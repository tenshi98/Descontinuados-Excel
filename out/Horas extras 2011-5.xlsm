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/>
  <bookViews>
    <workbookView xWindow="6555" yWindow="300" windowWidth="7635" windowHeight="8205"/>
  </bookViews>
  <sheets>
    <sheet name="CO11" sheetId="5" r:id="rId1"/>
    <sheet name="Kpi" sheetId="32915" r:id="rId2"/>
    <sheet name="Base" sheetId="32916" r:id="rId3"/>
    <sheet name="Ingreso" sheetId="32917" r:id="rId4"/>
    <sheet name="Informe Kelly" sheetId="32918" r:id="rId5"/>
    <sheet name="Control" sheetId="32919" r:id="rId6"/>
  </sheets>
  <functionGroups/>
  <calcPr calcId="125725"/>
  <pivotCaches>
    <pivotCache cacheId="112" r:id="rId7"/>
  </pivotCaches>
</workbook>
</file>

<file path=xl/calcChain.xml><?xml version="1.0" encoding="utf-8"?>
<calcChain xmlns="http://schemas.openxmlformats.org/spreadsheetml/2006/main">
  <c r="L5" i="32917"/>
  <c r="L10" i="32919"/>
  <c r="M10" s="1"/>
  <c r="L11"/>
  <c r="M11" s="1"/>
  <c r="L12"/>
  <c r="M12" s="1"/>
  <c r="L13"/>
  <c r="M13" s="1"/>
  <c r="L14"/>
  <c r="M14" s="1"/>
  <c r="L15"/>
  <c r="M15" s="1"/>
  <c r="L16"/>
  <c r="M16" s="1"/>
  <c r="L17"/>
  <c r="M17" s="1"/>
  <c r="L18"/>
  <c r="M18" s="1"/>
  <c r="L19"/>
  <c r="M19" s="1"/>
  <c r="L20"/>
  <c r="M20" s="1"/>
  <c r="L21"/>
  <c r="M21" s="1"/>
  <c r="L22"/>
  <c r="M22" s="1"/>
  <c r="L23"/>
  <c r="M23" s="1"/>
  <c r="L24"/>
  <c r="M24" s="1"/>
  <c r="L25"/>
  <c r="M25" s="1"/>
  <c r="L26"/>
  <c r="M26" s="1"/>
  <c r="L27"/>
  <c r="M27" s="1"/>
  <c r="L28"/>
  <c r="M28" s="1"/>
  <c r="L29"/>
  <c r="M29" s="1"/>
  <c r="L30"/>
  <c r="M30" s="1"/>
  <c r="L31"/>
  <c r="M31" s="1"/>
  <c r="L32"/>
  <c r="M32" s="1"/>
  <c r="L33"/>
  <c r="M33" s="1"/>
  <c r="L34"/>
  <c r="M34" s="1"/>
  <c r="L35"/>
  <c r="M35" s="1"/>
  <c r="L36"/>
  <c r="M36" s="1"/>
  <c r="L37"/>
  <c r="M37" s="1"/>
  <c r="L38"/>
  <c r="M38" s="1"/>
  <c r="L39"/>
  <c r="M39" s="1"/>
  <c r="L40"/>
  <c r="M40" s="1"/>
  <c r="L41"/>
  <c r="M41" s="1"/>
  <c r="L42"/>
  <c r="M42" s="1"/>
  <c r="L43"/>
  <c r="M43" s="1"/>
  <c r="L44"/>
  <c r="M44" s="1"/>
  <c r="L45"/>
  <c r="M45" s="1"/>
  <c r="L46"/>
  <c r="M46" s="1"/>
  <c r="L47"/>
  <c r="M47" s="1"/>
  <c r="L48"/>
  <c r="M48" s="1"/>
  <c r="L49"/>
  <c r="M49" s="1"/>
  <c r="L50"/>
  <c r="M50" s="1"/>
  <c r="L51"/>
  <c r="M51" s="1"/>
  <c r="L52"/>
  <c r="M52" s="1"/>
  <c r="L53"/>
  <c r="M53" s="1"/>
  <c r="L54"/>
  <c r="M54" s="1"/>
  <c r="L55"/>
  <c r="M55" s="1"/>
  <c r="L56"/>
  <c r="M56" s="1"/>
  <c r="L57"/>
  <c r="M57" s="1"/>
  <c r="L58"/>
  <c r="M58" s="1"/>
  <c r="L59"/>
  <c r="M59" s="1"/>
  <c r="L60"/>
  <c r="M60" s="1"/>
  <c r="L61"/>
  <c r="M61" s="1"/>
  <c r="L62"/>
  <c r="M62" s="1"/>
  <c r="L63"/>
  <c r="M63" s="1"/>
  <c r="L64"/>
  <c r="M64" s="1"/>
  <c r="L65"/>
  <c r="M65" s="1"/>
  <c r="L66"/>
  <c r="M66" s="1"/>
  <c r="L67"/>
  <c r="M67" s="1"/>
  <c r="L68"/>
  <c r="M68" s="1"/>
  <c r="L69"/>
  <c r="M69" s="1"/>
  <c r="L70"/>
  <c r="M70" s="1"/>
  <c r="L71"/>
  <c r="M71" s="1"/>
  <c r="L72"/>
  <c r="M72" s="1"/>
  <c r="L73"/>
  <c r="M73" s="1"/>
  <c r="L74"/>
  <c r="M74" s="1"/>
  <c r="L75"/>
  <c r="M75" s="1"/>
  <c r="L76"/>
  <c r="M76" s="1"/>
  <c r="L77"/>
  <c r="M77" s="1"/>
  <c r="L78"/>
  <c r="M78" s="1"/>
  <c r="L79"/>
  <c r="M79" s="1"/>
  <c r="L80"/>
  <c r="M80" s="1"/>
  <c r="L81"/>
  <c r="M81" s="1"/>
  <c r="L82"/>
  <c r="M82" s="1"/>
  <c r="L83"/>
  <c r="M83" s="1"/>
  <c r="L84"/>
  <c r="M84" s="1"/>
  <c r="L85"/>
  <c r="M85" s="1"/>
  <c r="L86"/>
  <c r="M86" s="1"/>
  <c r="L87"/>
  <c r="M87" s="1"/>
  <c r="L88"/>
  <c r="M88" s="1"/>
  <c r="L89"/>
  <c r="M89" s="1"/>
  <c r="L90"/>
  <c r="M90" s="1"/>
  <c r="L91"/>
  <c r="M91" s="1"/>
  <c r="L92"/>
  <c r="M92" s="1"/>
  <c r="L93"/>
  <c r="M93" s="1"/>
  <c r="L94"/>
  <c r="M94" s="1"/>
  <c r="L95"/>
  <c r="M95" s="1"/>
  <c r="L96"/>
  <c r="M96" s="1"/>
  <c r="L97"/>
  <c r="M97" s="1"/>
  <c r="L98"/>
  <c r="M98" s="1"/>
  <c r="L99"/>
  <c r="M99" s="1"/>
  <c r="L100"/>
  <c r="M100" s="1"/>
  <c r="L101"/>
  <c r="M101" s="1"/>
  <c r="L102"/>
  <c r="M102" s="1"/>
  <c r="L103"/>
  <c r="M103" s="1"/>
  <c r="L104"/>
  <c r="M104" s="1"/>
  <c r="L105"/>
  <c r="M105" s="1"/>
  <c r="L106"/>
  <c r="M106" s="1"/>
  <c r="L107"/>
  <c r="M107" s="1"/>
  <c r="L108"/>
  <c r="M108" s="1"/>
  <c r="L109"/>
  <c r="M109" s="1"/>
  <c r="L110"/>
  <c r="M110" s="1"/>
  <c r="L111"/>
  <c r="M111" s="1"/>
  <c r="L112"/>
  <c r="M112" s="1"/>
  <c r="L113"/>
  <c r="M113" s="1"/>
  <c r="L114"/>
  <c r="M114" s="1"/>
  <c r="L115"/>
  <c r="M115" s="1"/>
  <c r="L116"/>
  <c r="M116" s="1"/>
  <c r="L117"/>
  <c r="M117" s="1"/>
  <c r="L118"/>
  <c r="M118" s="1"/>
  <c r="L119"/>
  <c r="M119" s="1"/>
  <c r="L120"/>
  <c r="M120" s="1"/>
  <c r="L121"/>
  <c r="M121" s="1"/>
  <c r="L122"/>
  <c r="M122" s="1"/>
  <c r="L123"/>
  <c r="M123" s="1"/>
  <c r="L124"/>
  <c r="M124" s="1"/>
  <c r="L125"/>
  <c r="M125" s="1"/>
  <c r="L126"/>
  <c r="M126" s="1"/>
  <c r="L127"/>
  <c r="M127" s="1"/>
  <c r="L128"/>
  <c r="M128" s="1"/>
  <c r="L129"/>
  <c r="M129" s="1"/>
  <c r="L130"/>
  <c r="M130" s="1"/>
  <c r="L131"/>
  <c r="M131" s="1"/>
  <c r="L132"/>
  <c r="M132" s="1"/>
  <c r="L133"/>
  <c r="M133" s="1"/>
  <c r="L134"/>
  <c r="M134" s="1"/>
  <c r="L135"/>
  <c r="M135" s="1"/>
  <c r="L136"/>
  <c r="M136" s="1"/>
  <c r="L137"/>
  <c r="M137" s="1"/>
  <c r="L138"/>
  <c r="M138" s="1"/>
  <c r="L139"/>
  <c r="M139" s="1"/>
  <c r="L140"/>
  <c r="M140" s="1"/>
  <c r="L141"/>
  <c r="M141" s="1"/>
  <c r="L142"/>
  <c r="M142" s="1"/>
  <c r="L143"/>
  <c r="M143" s="1"/>
  <c r="L144"/>
  <c r="M144" s="1"/>
  <c r="L145"/>
  <c r="M145" s="1"/>
  <c r="L146"/>
  <c r="M146" s="1"/>
  <c r="L147"/>
  <c r="M147" s="1"/>
  <c r="L148"/>
  <c r="M148" s="1"/>
  <c r="L149"/>
  <c r="M149" s="1"/>
  <c r="L150"/>
  <c r="M150" s="1"/>
  <c r="L151"/>
  <c r="M151" s="1"/>
  <c r="L152"/>
  <c r="M152" s="1"/>
  <c r="L153"/>
  <c r="M153" s="1"/>
  <c r="L154"/>
  <c r="M154" s="1"/>
  <c r="L155"/>
  <c r="M155" s="1"/>
  <c r="L156"/>
  <c r="M156" s="1"/>
  <c r="L157"/>
  <c r="M157" s="1"/>
  <c r="L158"/>
  <c r="M158" s="1"/>
  <c r="L159"/>
  <c r="M159" s="1"/>
  <c r="L160"/>
  <c r="M160" s="1"/>
  <c r="L161"/>
  <c r="M161" s="1"/>
  <c r="L162"/>
  <c r="M162" s="1"/>
  <c r="L163"/>
  <c r="M163" s="1"/>
  <c r="L164"/>
  <c r="M164" s="1"/>
  <c r="L165"/>
  <c r="M165" s="1"/>
  <c r="L166"/>
  <c r="M166" s="1"/>
  <c r="L167"/>
  <c r="M167" s="1"/>
  <c r="L168"/>
  <c r="M168" s="1"/>
  <c r="L169"/>
  <c r="M169" s="1"/>
  <c r="L170"/>
  <c r="M170" s="1"/>
  <c r="L171"/>
  <c r="M171" s="1"/>
  <c r="L172"/>
  <c r="M172" s="1"/>
  <c r="L173"/>
  <c r="M173" s="1"/>
  <c r="L174"/>
  <c r="M174" s="1"/>
  <c r="L175"/>
  <c r="M175" s="1"/>
  <c r="L176"/>
  <c r="M176" s="1"/>
  <c r="L177"/>
  <c r="M177" s="1"/>
  <c r="L178"/>
  <c r="M178" s="1"/>
  <c r="L179"/>
  <c r="M179" s="1"/>
  <c r="L180"/>
  <c r="M180" s="1"/>
  <c r="L181"/>
  <c r="M181" s="1"/>
  <c r="L182"/>
  <c r="M182" s="1"/>
  <c r="L183"/>
  <c r="M183" s="1"/>
  <c r="L184"/>
  <c r="M184" s="1"/>
  <c r="L185"/>
  <c r="M185" s="1"/>
  <c r="L186"/>
  <c r="M186" s="1"/>
  <c r="L187"/>
  <c r="M187" s="1"/>
  <c r="L188"/>
  <c r="M188" s="1"/>
  <c r="L189"/>
  <c r="M189" s="1"/>
  <c r="L190"/>
  <c r="M190" s="1"/>
  <c r="L191"/>
  <c r="M191" s="1"/>
  <c r="L192"/>
  <c r="M192" s="1"/>
  <c r="L193"/>
  <c r="M193" s="1"/>
  <c r="L194"/>
  <c r="M194" s="1"/>
  <c r="L195"/>
  <c r="M195" s="1"/>
  <c r="L196"/>
  <c r="M196" s="1"/>
  <c r="L197"/>
  <c r="M197" s="1"/>
  <c r="L198"/>
  <c r="M198" s="1"/>
  <c r="L199"/>
  <c r="M199" s="1"/>
  <c r="L200"/>
  <c r="M200" s="1"/>
  <c r="L201"/>
  <c r="M201" s="1"/>
  <c r="L202"/>
  <c r="M202" s="1"/>
  <c r="L203"/>
  <c r="M203" s="1"/>
  <c r="L204"/>
  <c r="M204" s="1"/>
  <c r="L205"/>
  <c r="M205" s="1"/>
  <c r="L206"/>
  <c r="M206" s="1"/>
  <c r="L207"/>
  <c r="M207" s="1"/>
  <c r="L208"/>
  <c r="M208" s="1"/>
  <c r="L209"/>
  <c r="M209" s="1"/>
  <c r="L210"/>
  <c r="M210" s="1"/>
  <c r="L211"/>
  <c r="M211" s="1"/>
  <c r="L212"/>
  <c r="M212" s="1"/>
  <c r="L213"/>
  <c r="M213" s="1"/>
  <c r="L214"/>
  <c r="M214" s="1"/>
  <c r="L215"/>
  <c r="M215" s="1"/>
  <c r="L216"/>
  <c r="M216" s="1"/>
  <c r="L217"/>
  <c r="M217" s="1"/>
  <c r="L218"/>
  <c r="M218" s="1"/>
  <c r="L219"/>
  <c r="M219" s="1"/>
  <c r="L220"/>
  <c r="M220" s="1"/>
  <c r="L221"/>
  <c r="M221" s="1"/>
  <c r="L222"/>
  <c r="M222" s="1"/>
  <c r="L223"/>
  <c r="M223" s="1"/>
  <c r="L224"/>
  <c r="M224" s="1"/>
  <c r="L225"/>
  <c r="M225" s="1"/>
  <c r="L226"/>
  <c r="M226" s="1"/>
  <c r="L227"/>
  <c r="M227" s="1"/>
  <c r="L228"/>
  <c r="M228" s="1"/>
  <c r="L229"/>
  <c r="M229" s="1"/>
  <c r="L230"/>
  <c r="M230" s="1"/>
  <c r="L231"/>
  <c r="M231" s="1"/>
  <c r="L232"/>
  <c r="M232" s="1"/>
  <c r="L233"/>
  <c r="M233" s="1"/>
  <c r="L234"/>
  <c r="M234" s="1"/>
  <c r="L235"/>
  <c r="M235" s="1"/>
  <c r="L236"/>
  <c r="M236"/>
  <c r="L237"/>
  <c r="M237"/>
  <c r="L238"/>
  <c r="M238"/>
  <c r="L239"/>
  <c r="M239"/>
  <c r="L240"/>
  <c r="M240"/>
  <c r="L241"/>
  <c r="M241"/>
  <c r="L242"/>
  <c r="M242"/>
  <c r="L243"/>
  <c r="M243"/>
  <c r="L244"/>
  <c r="M244"/>
  <c r="L245"/>
  <c r="M245"/>
  <c r="L246"/>
  <c r="M246"/>
  <c r="L247"/>
  <c r="M247"/>
  <c r="L248"/>
  <c r="M248"/>
  <c r="L249"/>
  <c r="M249"/>
  <c r="A9"/>
  <c r="D9" s="1"/>
  <c r="B9"/>
  <c r="C9"/>
  <c r="A10"/>
  <c r="D10" s="1"/>
  <c r="B10"/>
  <c r="C10"/>
  <c r="A11"/>
  <c r="D11" s="1"/>
  <c r="B11"/>
  <c r="C11"/>
  <c r="A12"/>
  <c r="D12" s="1"/>
  <c r="B12"/>
  <c r="C12"/>
  <c r="A13"/>
  <c r="D13" s="1"/>
  <c r="B13"/>
  <c r="C13"/>
  <c r="A14"/>
  <c r="D14" s="1"/>
  <c r="B14"/>
  <c r="C14"/>
  <c r="A15"/>
  <c r="D15" s="1"/>
  <c r="B15"/>
  <c r="C15"/>
  <c r="A16"/>
  <c r="D16" s="1"/>
  <c r="B16"/>
  <c r="C16"/>
  <c r="A17"/>
  <c r="D17" s="1"/>
  <c r="B17"/>
  <c r="C17"/>
  <c r="A18"/>
  <c r="D18" s="1"/>
  <c r="B18"/>
  <c r="C18"/>
  <c r="A19"/>
  <c r="D19" s="1"/>
  <c r="B19"/>
  <c r="C19"/>
  <c r="A20"/>
  <c r="D20" s="1"/>
  <c r="B20"/>
  <c r="C20"/>
  <c r="A21"/>
  <c r="D21" s="1"/>
  <c r="B21"/>
  <c r="C21"/>
  <c r="A22"/>
  <c r="D22" s="1"/>
  <c r="B22"/>
  <c r="C22"/>
  <c r="A23"/>
  <c r="D23" s="1"/>
  <c r="B23"/>
  <c r="C23"/>
  <c r="A24"/>
  <c r="D24" s="1"/>
  <c r="B24"/>
  <c r="C24"/>
  <c r="A25"/>
  <c r="D25" s="1"/>
  <c r="B25"/>
  <c r="C25"/>
  <c r="A26"/>
  <c r="D26" s="1"/>
  <c r="B26"/>
  <c r="C26"/>
  <c r="A27"/>
  <c r="D27" s="1"/>
  <c r="B27"/>
  <c r="C27"/>
  <c r="A28"/>
  <c r="D28" s="1"/>
  <c r="B28"/>
  <c r="C28"/>
  <c r="A29"/>
  <c r="D29" s="1"/>
  <c r="B29"/>
  <c r="C29"/>
  <c r="A30"/>
  <c r="D30" s="1"/>
  <c r="B30"/>
  <c r="C30"/>
  <c r="A31"/>
  <c r="D31" s="1"/>
  <c r="B31"/>
  <c r="C31"/>
  <c r="A32"/>
  <c r="D32" s="1"/>
  <c r="B32"/>
  <c r="C32"/>
  <c r="A33"/>
  <c r="D33" s="1"/>
  <c r="B33"/>
  <c r="C33"/>
  <c r="A34"/>
  <c r="D34" s="1"/>
  <c r="B34"/>
  <c r="C34"/>
  <c r="A35"/>
  <c r="D35" s="1"/>
  <c r="B35"/>
  <c r="C35"/>
  <c r="A36"/>
  <c r="D36" s="1"/>
  <c r="B36"/>
  <c r="C36"/>
  <c r="A37"/>
  <c r="D37" s="1"/>
  <c r="B37"/>
  <c r="C37"/>
  <c r="A38"/>
  <c r="D38" s="1"/>
  <c r="B38"/>
  <c r="C38"/>
  <c r="A39"/>
  <c r="D39" s="1"/>
  <c r="B39"/>
  <c r="C39"/>
  <c r="A40"/>
  <c r="D40" s="1"/>
  <c r="B40"/>
  <c r="C40"/>
  <c r="A41"/>
  <c r="D41" s="1"/>
  <c r="E41" s="1"/>
  <c r="G41" s="1"/>
  <c r="B41"/>
  <c r="C41"/>
  <c r="A42"/>
  <c r="D42" s="1"/>
  <c r="B42"/>
  <c r="C42"/>
  <c r="A43"/>
  <c r="D43" s="1"/>
  <c r="E43" s="1"/>
  <c r="G43" s="1"/>
  <c r="B43"/>
  <c r="C43"/>
  <c r="A44"/>
  <c r="D44" s="1"/>
  <c r="B44"/>
  <c r="C44"/>
  <c r="A45"/>
  <c r="B45"/>
  <c r="C45"/>
  <c r="D45"/>
  <c r="E45" s="1"/>
  <c r="G45" s="1"/>
  <c r="A46"/>
  <c r="D46" s="1"/>
  <c r="B46"/>
  <c r="C46"/>
  <c r="A47"/>
  <c r="D47" s="1"/>
  <c r="E47" s="1"/>
  <c r="G47" s="1"/>
  <c r="B47"/>
  <c r="C47"/>
  <c r="A48"/>
  <c r="D48" s="1"/>
  <c r="B48"/>
  <c r="C48"/>
  <c r="A49"/>
  <c r="D49" s="1"/>
  <c r="E49" s="1"/>
  <c r="G49" s="1"/>
  <c r="B49"/>
  <c r="C49"/>
  <c r="A50"/>
  <c r="D50" s="1"/>
  <c r="B50"/>
  <c r="C50"/>
  <c r="A51"/>
  <c r="D51" s="1"/>
  <c r="E51" s="1"/>
  <c r="G51" s="1"/>
  <c r="B51"/>
  <c r="C51"/>
  <c r="A52"/>
  <c r="D52" s="1"/>
  <c r="B52"/>
  <c r="C52"/>
  <c r="A53"/>
  <c r="D53" s="1"/>
  <c r="E53" s="1"/>
  <c r="G53" s="1"/>
  <c r="B53"/>
  <c r="C53"/>
  <c r="A54"/>
  <c r="D54" s="1"/>
  <c r="B54"/>
  <c r="C54"/>
  <c r="A55"/>
  <c r="D55" s="1"/>
  <c r="E55" s="1"/>
  <c r="G55" s="1"/>
  <c r="B55"/>
  <c r="C55"/>
  <c r="A56"/>
  <c r="D56" s="1"/>
  <c r="B56"/>
  <c r="C56"/>
  <c r="A57"/>
  <c r="D57" s="1"/>
  <c r="E57" s="1"/>
  <c r="G57" s="1"/>
  <c r="B57"/>
  <c r="C57"/>
  <c r="A58"/>
  <c r="D58" s="1"/>
  <c r="B58"/>
  <c r="C58"/>
  <c r="A59"/>
  <c r="D59" s="1"/>
  <c r="E59" s="1"/>
  <c r="G59" s="1"/>
  <c r="B59"/>
  <c r="C59"/>
  <c r="A60"/>
  <c r="D60" s="1"/>
  <c r="B60"/>
  <c r="C60"/>
  <c r="A61"/>
  <c r="D61" s="1"/>
  <c r="E61" s="1"/>
  <c r="G61" s="1"/>
  <c r="B61"/>
  <c r="C61"/>
  <c r="A62"/>
  <c r="D62" s="1"/>
  <c r="B62"/>
  <c r="C62"/>
  <c r="A63"/>
  <c r="D63" s="1"/>
  <c r="E63" s="1"/>
  <c r="G63" s="1"/>
  <c r="B63"/>
  <c r="C63"/>
  <c r="A64"/>
  <c r="D64" s="1"/>
  <c r="F64" s="1"/>
  <c r="B64"/>
  <c r="C64"/>
  <c r="A65"/>
  <c r="D65" s="1"/>
  <c r="E65" s="1"/>
  <c r="G65" s="1"/>
  <c r="B65"/>
  <c r="C65"/>
  <c r="A66"/>
  <c r="D66" s="1"/>
  <c r="F66" s="1"/>
  <c r="B66"/>
  <c r="C66"/>
  <c r="A67"/>
  <c r="D67" s="1"/>
  <c r="E67" s="1"/>
  <c r="G67" s="1"/>
  <c r="B67"/>
  <c r="C67"/>
  <c r="A68"/>
  <c r="D68" s="1"/>
  <c r="F68" s="1"/>
  <c r="B68"/>
  <c r="C68"/>
  <c r="A69"/>
  <c r="D69" s="1"/>
  <c r="E69" s="1"/>
  <c r="G69" s="1"/>
  <c r="B69"/>
  <c r="C69"/>
  <c r="A70"/>
  <c r="D70" s="1"/>
  <c r="F70" s="1"/>
  <c r="B70"/>
  <c r="C70"/>
  <c r="A71"/>
  <c r="D71" s="1"/>
  <c r="E71" s="1"/>
  <c r="G71" s="1"/>
  <c r="B71"/>
  <c r="C71"/>
  <c r="A72"/>
  <c r="D72" s="1"/>
  <c r="F72" s="1"/>
  <c r="B72"/>
  <c r="C72"/>
  <c r="A73"/>
  <c r="D73" s="1"/>
  <c r="E73" s="1"/>
  <c r="G73" s="1"/>
  <c r="B73"/>
  <c r="C73"/>
  <c r="A74"/>
  <c r="D74" s="1"/>
  <c r="F74" s="1"/>
  <c r="B74"/>
  <c r="C74"/>
  <c r="A75"/>
  <c r="D75" s="1"/>
  <c r="E75" s="1"/>
  <c r="G75" s="1"/>
  <c r="B75"/>
  <c r="C75"/>
  <c r="A76"/>
  <c r="D76" s="1"/>
  <c r="F76" s="1"/>
  <c r="B76"/>
  <c r="C76"/>
  <c r="A77"/>
  <c r="D77" s="1"/>
  <c r="E77" s="1"/>
  <c r="G77" s="1"/>
  <c r="B77"/>
  <c r="C77"/>
  <c r="A78"/>
  <c r="D78" s="1"/>
  <c r="F78" s="1"/>
  <c r="B78"/>
  <c r="C78"/>
  <c r="A79"/>
  <c r="D79" s="1"/>
  <c r="E79" s="1"/>
  <c r="G79" s="1"/>
  <c r="B79"/>
  <c r="C79"/>
  <c r="A80"/>
  <c r="D80" s="1"/>
  <c r="F80" s="1"/>
  <c r="B80"/>
  <c r="C80"/>
  <c r="A81"/>
  <c r="D81" s="1"/>
  <c r="E81" s="1"/>
  <c r="G81" s="1"/>
  <c r="B81"/>
  <c r="C81"/>
  <c r="A82"/>
  <c r="D82" s="1"/>
  <c r="F82" s="1"/>
  <c r="B82"/>
  <c r="C82"/>
  <c r="A83"/>
  <c r="D83" s="1"/>
  <c r="E83" s="1"/>
  <c r="G83" s="1"/>
  <c r="B83"/>
  <c r="C83"/>
  <c r="A84"/>
  <c r="D84" s="1"/>
  <c r="F84" s="1"/>
  <c r="B84"/>
  <c r="C84"/>
  <c r="A85"/>
  <c r="D85" s="1"/>
  <c r="E85" s="1"/>
  <c r="G85" s="1"/>
  <c r="B85"/>
  <c r="C85"/>
  <c r="A86"/>
  <c r="D86" s="1"/>
  <c r="F86" s="1"/>
  <c r="B86"/>
  <c r="C86"/>
  <c r="A87"/>
  <c r="D87" s="1"/>
  <c r="E87" s="1"/>
  <c r="G87" s="1"/>
  <c r="B87"/>
  <c r="C87"/>
  <c r="A88"/>
  <c r="D88" s="1"/>
  <c r="F88" s="1"/>
  <c r="B88"/>
  <c r="C88"/>
  <c r="A89"/>
  <c r="D89" s="1"/>
  <c r="E89" s="1"/>
  <c r="G89" s="1"/>
  <c r="B89"/>
  <c r="C89"/>
  <c r="A90"/>
  <c r="D90" s="1"/>
  <c r="F90" s="1"/>
  <c r="B90"/>
  <c r="C90"/>
  <c r="A91"/>
  <c r="D91" s="1"/>
  <c r="E91" s="1"/>
  <c r="G91" s="1"/>
  <c r="B91"/>
  <c r="C91"/>
  <c r="A92"/>
  <c r="D92" s="1"/>
  <c r="F92" s="1"/>
  <c r="B92"/>
  <c r="C92"/>
  <c r="A93"/>
  <c r="D93" s="1"/>
  <c r="E93" s="1"/>
  <c r="G93" s="1"/>
  <c r="B93"/>
  <c r="C93"/>
  <c r="A94"/>
  <c r="D94" s="1"/>
  <c r="F94" s="1"/>
  <c r="B94"/>
  <c r="C94"/>
  <c r="A95"/>
  <c r="D95" s="1"/>
  <c r="E95" s="1"/>
  <c r="G95" s="1"/>
  <c r="B95"/>
  <c r="C95"/>
  <c r="A96"/>
  <c r="D96" s="1"/>
  <c r="F96" s="1"/>
  <c r="B96"/>
  <c r="C96"/>
  <c r="A97"/>
  <c r="D97" s="1"/>
  <c r="E97" s="1"/>
  <c r="G97" s="1"/>
  <c r="B97"/>
  <c r="C97"/>
  <c r="A98"/>
  <c r="D98" s="1"/>
  <c r="F98" s="1"/>
  <c r="B98"/>
  <c r="C98"/>
  <c r="A99"/>
  <c r="D99" s="1"/>
  <c r="E99" s="1"/>
  <c r="G99" s="1"/>
  <c r="B99"/>
  <c r="C99"/>
  <c r="A100"/>
  <c r="D100" s="1"/>
  <c r="F100" s="1"/>
  <c r="B100"/>
  <c r="C100"/>
  <c r="A101"/>
  <c r="D101" s="1"/>
  <c r="E101" s="1"/>
  <c r="G101" s="1"/>
  <c r="B101"/>
  <c r="C101"/>
  <c r="A102"/>
  <c r="D102" s="1"/>
  <c r="F102" s="1"/>
  <c r="B102"/>
  <c r="C102"/>
  <c r="A103"/>
  <c r="D103" s="1"/>
  <c r="E103" s="1"/>
  <c r="G103" s="1"/>
  <c r="B103"/>
  <c r="C103"/>
  <c r="A104"/>
  <c r="D104" s="1"/>
  <c r="F104" s="1"/>
  <c r="B104"/>
  <c r="C104"/>
  <c r="A105"/>
  <c r="D105" s="1"/>
  <c r="E105" s="1"/>
  <c r="G105" s="1"/>
  <c r="B105"/>
  <c r="C105"/>
  <c r="A106"/>
  <c r="D106" s="1"/>
  <c r="F106" s="1"/>
  <c r="B106"/>
  <c r="C106"/>
  <c r="A107"/>
  <c r="D107" s="1"/>
  <c r="E107" s="1"/>
  <c r="G107" s="1"/>
  <c r="B107"/>
  <c r="C107"/>
  <c r="A108"/>
  <c r="D108" s="1"/>
  <c r="F108" s="1"/>
  <c r="B108"/>
  <c r="C108"/>
  <c r="A109"/>
  <c r="D109" s="1"/>
  <c r="E109" s="1"/>
  <c r="G109" s="1"/>
  <c r="B109"/>
  <c r="C109"/>
  <c r="A110"/>
  <c r="D110" s="1"/>
  <c r="F110" s="1"/>
  <c r="B110"/>
  <c r="C110"/>
  <c r="A111"/>
  <c r="D111" s="1"/>
  <c r="E111" s="1"/>
  <c r="G111" s="1"/>
  <c r="B111"/>
  <c r="C111"/>
  <c r="A112"/>
  <c r="D112" s="1"/>
  <c r="F112" s="1"/>
  <c r="B112"/>
  <c r="C112"/>
  <c r="A113"/>
  <c r="D113" s="1"/>
  <c r="E113" s="1"/>
  <c r="G113" s="1"/>
  <c r="B113"/>
  <c r="C113"/>
  <c r="A114"/>
  <c r="D114" s="1"/>
  <c r="B114"/>
  <c r="C114"/>
  <c r="A115"/>
  <c r="D115" s="1"/>
  <c r="B115"/>
  <c r="C115"/>
  <c r="A116"/>
  <c r="D116" s="1"/>
  <c r="B116"/>
  <c r="C116"/>
  <c r="A117"/>
  <c r="D117" s="1"/>
  <c r="B117"/>
  <c r="C117"/>
  <c r="A118"/>
  <c r="D118" s="1"/>
  <c r="B118"/>
  <c r="C118"/>
  <c r="A119"/>
  <c r="D119" s="1"/>
  <c r="B119"/>
  <c r="C119"/>
  <c r="A120"/>
  <c r="D120" s="1"/>
  <c r="B120"/>
  <c r="C120"/>
  <c r="A121"/>
  <c r="D121" s="1"/>
  <c r="B121"/>
  <c r="C121"/>
  <c r="A122"/>
  <c r="D122" s="1"/>
  <c r="B122"/>
  <c r="C122"/>
  <c r="A123"/>
  <c r="D123" s="1"/>
  <c r="B123"/>
  <c r="C123"/>
  <c r="A124"/>
  <c r="D124" s="1"/>
  <c r="B124"/>
  <c r="C124"/>
  <c r="A125"/>
  <c r="D125" s="1"/>
  <c r="B125"/>
  <c r="C125"/>
  <c r="A126"/>
  <c r="D126" s="1"/>
  <c r="B126"/>
  <c r="C126"/>
  <c r="A127"/>
  <c r="D127" s="1"/>
  <c r="B127"/>
  <c r="C127"/>
  <c r="A128"/>
  <c r="D128" s="1"/>
  <c r="B128"/>
  <c r="C128"/>
  <c r="A129"/>
  <c r="D129" s="1"/>
  <c r="B129"/>
  <c r="C129"/>
  <c r="A130"/>
  <c r="D130" s="1"/>
  <c r="B130"/>
  <c r="C130"/>
  <c r="A131"/>
  <c r="D131" s="1"/>
  <c r="B131"/>
  <c r="C131"/>
  <c r="A132"/>
  <c r="D132" s="1"/>
  <c r="B132"/>
  <c r="C132"/>
  <c r="A133"/>
  <c r="D133" s="1"/>
  <c r="B133"/>
  <c r="C133"/>
  <c r="A134"/>
  <c r="D134" s="1"/>
  <c r="B134"/>
  <c r="C134"/>
  <c r="A135"/>
  <c r="D135" s="1"/>
  <c r="B135"/>
  <c r="C135"/>
  <c r="A136"/>
  <c r="D136" s="1"/>
  <c r="B136"/>
  <c r="C136"/>
  <c r="A137"/>
  <c r="B137"/>
  <c r="C137"/>
  <c r="D137"/>
  <c r="E137" s="1"/>
  <c r="G137" s="1"/>
  <c r="A138"/>
  <c r="D138" s="1"/>
  <c r="F138" s="1"/>
  <c r="B138"/>
  <c r="C138"/>
  <c r="A139"/>
  <c r="D139" s="1"/>
  <c r="E139" s="1"/>
  <c r="G139" s="1"/>
  <c r="B139"/>
  <c r="C139"/>
  <c r="A140"/>
  <c r="D140" s="1"/>
  <c r="F140" s="1"/>
  <c r="B140"/>
  <c r="C140"/>
  <c r="A141"/>
  <c r="D141" s="1"/>
  <c r="E141" s="1"/>
  <c r="G141" s="1"/>
  <c r="B141"/>
  <c r="C141"/>
  <c r="A142"/>
  <c r="D142" s="1"/>
  <c r="F142" s="1"/>
  <c r="B142"/>
  <c r="C142"/>
  <c r="A143"/>
  <c r="D143" s="1"/>
  <c r="E143" s="1"/>
  <c r="G143" s="1"/>
  <c r="B143"/>
  <c r="C143"/>
  <c r="A144"/>
  <c r="D144" s="1"/>
  <c r="F144" s="1"/>
  <c r="B144"/>
  <c r="C144"/>
  <c r="A145"/>
  <c r="D145" s="1"/>
  <c r="E145" s="1"/>
  <c r="G145" s="1"/>
  <c r="B145"/>
  <c r="C145"/>
  <c r="A146"/>
  <c r="D146" s="1"/>
  <c r="F146" s="1"/>
  <c r="B146"/>
  <c r="C146"/>
  <c r="A147"/>
  <c r="D147" s="1"/>
  <c r="E147" s="1"/>
  <c r="G147" s="1"/>
  <c r="B147"/>
  <c r="C147"/>
  <c r="A148"/>
  <c r="D148" s="1"/>
  <c r="F148" s="1"/>
  <c r="B148"/>
  <c r="C148"/>
  <c r="A149"/>
  <c r="D149" s="1"/>
  <c r="E149" s="1"/>
  <c r="G149" s="1"/>
  <c r="B149"/>
  <c r="C149"/>
  <c r="A150"/>
  <c r="D150" s="1"/>
  <c r="F150" s="1"/>
  <c r="B150"/>
  <c r="C150"/>
  <c r="A151"/>
  <c r="D151" s="1"/>
  <c r="E151" s="1"/>
  <c r="G151" s="1"/>
  <c r="B151"/>
  <c r="C151"/>
  <c r="A152"/>
  <c r="D152" s="1"/>
  <c r="F152" s="1"/>
  <c r="B152"/>
  <c r="C152"/>
  <c r="A153"/>
  <c r="D153" s="1"/>
  <c r="E153" s="1"/>
  <c r="G153" s="1"/>
  <c r="B153"/>
  <c r="C153"/>
  <c r="A154"/>
  <c r="D154" s="1"/>
  <c r="F154" s="1"/>
  <c r="B154"/>
  <c r="C154"/>
  <c r="A155"/>
  <c r="D155" s="1"/>
  <c r="E155" s="1"/>
  <c r="G155" s="1"/>
  <c r="B155"/>
  <c r="C155"/>
  <c r="A156"/>
  <c r="D156" s="1"/>
  <c r="F156" s="1"/>
  <c r="B156"/>
  <c r="C156"/>
  <c r="A157"/>
  <c r="D157" s="1"/>
  <c r="E157" s="1"/>
  <c r="G157" s="1"/>
  <c r="B157"/>
  <c r="C157"/>
  <c r="A158"/>
  <c r="D158" s="1"/>
  <c r="F158" s="1"/>
  <c r="B158"/>
  <c r="C158"/>
  <c r="A159"/>
  <c r="D159" s="1"/>
  <c r="E159" s="1"/>
  <c r="G159" s="1"/>
  <c r="B159"/>
  <c r="C159"/>
  <c r="A160"/>
  <c r="D160" s="1"/>
  <c r="F160" s="1"/>
  <c r="B160"/>
  <c r="C160"/>
  <c r="A161"/>
  <c r="D161" s="1"/>
  <c r="E161" s="1"/>
  <c r="G161" s="1"/>
  <c r="B161"/>
  <c r="C161"/>
  <c r="A162"/>
  <c r="D162" s="1"/>
  <c r="F162" s="1"/>
  <c r="B162"/>
  <c r="C162"/>
  <c r="A163"/>
  <c r="D163" s="1"/>
  <c r="E163" s="1"/>
  <c r="G163" s="1"/>
  <c r="B163"/>
  <c r="C163"/>
  <c r="A164"/>
  <c r="D164" s="1"/>
  <c r="F164" s="1"/>
  <c r="B164"/>
  <c r="C164"/>
  <c r="A165"/>
  <c r="D165" s="1"/>
  <c r="E165" s="1"/>
  <c r="G165" s="1"/>
  <c r="B165"/>
  <c r="C165"/>
  <c r="A166"/>
  <c r="D166" s="1"/>
  <c r="F166" s="1"/>
  <c r="B166"/>
  <c r="C166"/>
  <c r="A167"/>
  <c r="D167" s="1"/>
  <c r="E167" s="1"/>
  <c r="G167" s="1"/>
  <c r="B167"/>
  <c r="C167"/>
  <c r="A168"/>
  <c r="D168" s="1"/>
  <c r="F168" s="1"/>
  <c r="B168"/>
  <c r="C168"/>
  <c r="A169"/>
  <c r="D169" s="1"/>
  <c r="E169" s="1"/>
  <c r="G169" s="1"/>
  <c r="B169"/>
  <c r="C169"/>
  <c r="A170"/>
  <c r="D170" s="1"/>
  <c r="F170" s="1"/>
  <c r="B170"/>
  <c r="C170"/>
  <c r="A171"/>
  <c r="D171" s="1"/>
  <c r="E171" s="1"/>
  <c r="G171" s="1"/>
  <c r="B171"/>
  <c r="C171"/>
  <c r="A172"/>
  <c r="D172" s="1"/>
  <c r="F172" s="1"/>
  <c r="B172"/>
  <c r="C172"/>
  <c r="A173"/>
  <c r="D173" s="1"/>
  <c r="E173" s="1"/>
  <c r="G173" s="1"/>
  <c r="B173"/>
  <c r="C173"/>
  <c r="A174"/>
  <c r="D174" s="1"/>
  <c r="F174" s="1"/>
  <c r="B174"/>
  <c r="C174"/>
  <c r="A175"/>
  <c r="D175" s="1"/>
  <c r="E175" s="1"/>
  <c r="G175" s="1"/>
  <c r="B175"/>
  <c r="C175"/>
  <c r="A176"/>
  <c r="D176" s="1"/>
  <c r="F176" s="1"/>
  <c r="B176"/>
  <c r="C176"/>
  <c r="A177"/>
  <c r="D177" s="1"/>
  <c r="E177" s="1"/>
  <c r="G177" s="1"/>
  <c r="B177"/>
  <c r="C177"/>
  <c r="A178"/>
  <c r="D178" s="1"/>
  <c r="F178" s="1"/>
  <c r="B178"/>
  <c r="C178"/>
  <c r="A179"/>
  <c r="D179" s="1"/>
  <c r="E179" s="1"/>
  <c r="G179" s="1"/>
  <c r="B179"/>
  <c r="C179"/>
  <c r="A180"/>
  <c r="D180" s="1"/>
  <c r="F180" s="1"/>
  <c r="B180"/>
  <c r="C180"/>
  <c r="A181"/>
  <c r="D181" s="1"/>
  <c r="E181" s="1"/>
  <c r="G181" s="1"/>
  <c r="B181"/>
  <c r="C181"/>
  <c r="A182"/>
  <c r="D182" s="1"/>
  <c r="F182" s="1"/>
  <c r="B182"/>
  <c r="C182"/>
  <c r="A183"/>
  <c r="D183" s="1"/>
  <c r="E183" s="1"/>
  <c r="G183" s="1"/>
  <c r="B183"/>
  <c r="C183"/>
  <c r="A184"/>
  <c r="D184" s="1"/>
  <c r="F184" s="1"/>
  <c r="B184"/>
  <c r="C184"/>
  <c r="A185"/>
  <c r="D185" s="1"/>
  <c r="E185" s="1"/>
  <c r="G185" s="1"/>
  <c r="B185"/>
  <c r="C185"/>
  <c r="A186"/>
  <c r="D186" s="1"/>
  <c r="F186" s="1"/>
  <c r="B186"/>
  <c r="C186"/>
  <c r="A187"/>
  <c r="D187" s="1"/>
  <c r="E187" s="1"/>
  <c r="G187" s="1"/>
  <c r="B187"/>
  <c r="C187"/>
  <c r="A188"/>
  <c r="D188" s="1"/>
  <c r="F188" s="1"/>
  <c r="B188"/>
  <c r="C188"/>
  <c r="A189"/>
  <c r="D189" s="1"/>
  <c r="E189" s="1"/>
  <c r="G189" s="1"/>
  <c r="B189"/>
  <c r="C189"/>
  <c r="A190"/>
  <c r="D190" s="1"/>
  <c r="F190" s="1"/>
  <c r="B190"/>
  <c r="C190"/>
  <c r="A191"/>
  <c r="D191" s="1"/>
  <c r="E191" s="1"/>
  <c r="G191" s="1"/>
  <c r="B191"/>
  <c r="C191"/>
  <c r="A192"/>
  <c r="D192" s="1"/>
  <c r="F192" s="1"/>
  <c r="B192"/>
  <c r="C192"/>
  <c r="A193"/>
  <c r="D193" s="1"/>
  <c r="E193" s="1"/>
  <c r="G193" s="1"/>
  <c r="B193"/>
  <c r="C193"/>
  <c r="A194"/>
  <c r="D194" s="1"/>
  <c r="F194" s="1"/>
  <c r="B194"/>
  <c r="C194"/>
  <c r="A195"/>
  <c r="D195" s="1"/>
  <c r="E195" s="1"/>
  <c r="G195" s="1"/>
  <c r="B195"/>
  <c r="C195"/>
  <c r="A196"/>
  <c r="D196" s="1"/>
  <c r="F196" s="1"/>
  <c r="B196"/>
  <c r="C196"/>
  <c r="A197"/>
  <c r="D197" s="1"/>
  <c r="E197" s="1"/>
  <c r="G197" s="1"/>
  <c r="B197"/>
  <c r="C197"/>
  <c r="A198"/>
  <c r="D198" s="1"/>
  <c r="F198" s="1"/>
  <c r="B198"/>
  <c r="C198"/>
  <c r="A199"/>
  <c r="D199" s="1"/>
  <c r="E199" s="1"/>
  <c r="G199" s="1"/>
  <c r="B199"/>
  <c r="C199"/>
  <c r="A200"/>
  <c r="D200" s="1"/>
  <c r="F200" s="1"/>
  <c r="B200"/>
  <c r="C200"/>
  <c r="A201"/>
  <c r="B201"/>
  <c r="C201"/>
  <c r="D201"/>
  <c r="E201" s="1"/>
  <c r="G201" s="1"/>
  <c r="A202"/>
  <c r="D202" s="1"/>
  <c r="F202" s="1"/>
  <c r="B202"/>
  <c r="C202"/>
  <c r="A203"/>
  <c r="D203" s="1"/>
  <c r="E203" s="1"/>
  <c r="G203" s="1"/>
  <c r="B203"/>
  <c r="C203"/>
  <c r="A204"/>
  <c r="D204" s="1"/>
  <c r="F204" s="1"/>
  <c r="B204"/>
  <c r="C204"/>
  <c r="A205"/>
  <c r="D205" s="1"/>
  <c r="E205" s="1"/>
  <c r="G205" s="1"/>
  <c r="B205"/>
  <c r="C205"/>
  <c r="A206"/>
  <c r="D206" s="1"/>
  <c r="F206" s="1"/>
  <c r="B206"/>
  <c r="C206"/>
  <c r="A207"/>
  <c r="D207" s="1"/>
  <c r="E207" s="1"/>
  <c r="G207" s="1"/>
  <c r="B207"/>
  <c r="C207"/>
  <c r="A208"/>
  <c r="D208" s="1"/>
  <c r="F208" s="1"/>
  <c r="B208"/>
  <c r="C208"/>
  <c r="A209"/>
  <c r="D209" s="1"/>
  <c r="E209" s="1"/>
  <c r="G209" s="1"/>
  <c r="B209"/>
  <c r="C209"/>
  <c r="A210"/>
  <c r="D210" s="1"/>
  <c r="F210" s="1"/>
  <c r="B210"/>
  <c r="C210"/>
  <c r="A211"/>
  <c r="D211" s="1"/>
  <c r="E211" s="1"/>
  <c r="G211" s="1"/>
  <c r="B211"/>
  <c r="C211"/>
  <c r="A212"/>
  <c r="D212" s="1"/>
  <c r="F212" s="1"/>
  <c r="B212"/>
  <c r="C212"/>
  <c r="A213"/>
  <c r="D213" s="1"/>
  <c r="E213" s="1"/>
  <c r="G213" s="1"/>
  <c r="B213"/>
  <c r="C213"/>
  <c r="A214"/>
  <c r="D214" s="1"/>
  <c r="F214" s="1"/>
  <c r="B214"/>
  <c r="C214"/>
  <c r="A215"/>
  <c r="D215" s="1"/>
  <c r="E215" s="1"/>
  <c r="G215" s="1"/>
  <c r="B215"/>
  <c r="C215"/>
  <c r="A216"/>
  <c r="D216" s="1"/>
  <c r="F216" s="1"/>
  <c r="B216"/>
  <c r="C216"/>
  <c r="A217"/>
  <c r="D217" s="1"/>
  <c r="E217" s="1"/>
  <c r="G217" s="1"/>
  <c r="B217"/>
  <c r="C217"/>
  <c r="A218"/>
  <c r="D218" s="1"/>
  <c r="F218" s="1"/>
  <c r="B218"/>
  <c r="C218"/>
  <c r="A219"/>
  <c r="D219" s="1"/>
  <c r="E219" s="1"/>
  <c r="G219" s="1"/>
  <c r="B219"/>
  <c r="C219"/>
  <c r="A220"/>
  <c r="D220" s="1"/>
  <c r="F220" s="1"/>
  <c r="B220"/>
  <c r="C220"/>
  <c r="A221"/>
  <c r="D221" s="1"/>
  <c r="E221" s="1"/>
  <c r="G221" s="1"/>
  <c r="B221"/>
  <c r="C221"/>
  <c r="A222"/>
  <c r="D222" s="1"/>
  <c r="F222" s="1"/>
  <c r="B222"/>
  <c r="C222"/>
  <c r="A223"/>
  <c r="D223" s="1"/>
  <c r="E223" s="1"/>
  <c r="G223" s="1"/>
  <c r="B223"/>
  <c r="C223"/>
  <c r="A224"/>
  <c r="D224" s="1"/>
  <c r="F224" s="1"/>
  <c r="B224"/>
  <c r="C224"/>
  <c r="A225"/>
  <c r="D225" s="1"/>
  <c r="E225" s="1"/>
  <c r="G225" s="1"/>
  <c r="B225"/>
  <c r="C225"/>
  <c r="A226"/>
  <c r="D226" s="1"/>
  <c r="F226" s="1"/>
  <c r="B226"/>
  <c r="C226"/>
  <c r="A227"/>
  <c r="D227" s="1"/>
  <c r="E227" s="1"/>
  <c r="G227" s="1"/>
  <c r="B227"/>
  <c r="C227"/>
  <c r="A228"/>
  <c r="D228" s="1"/>
  <c r="F228" s="1"/>
  <c r="B228"/>
  <c r="C228"/>
  <c r="A229"/>
  <c r="D229" s="1"/>
  <c r="E229" s="1"/>
  <c r="G229" s="1"/>
  <c r="B229"/>
  <c r="C229"/>
  <c r="A230"/>
  <c r="D230" s="1"/>
  <c r="F230" s="1"/>
  <c r="B230"/>
  <c r="C230"/>
  <c r="A231"/>
  <c r="D231" s="1"/>
  <c r="E231" s="1"/>
  <c r="G231" s="1"/>
  <c r="B231"/>
  <c r="C231"/>
  <c r="A232"/>
  <c r="D232" s="1"/>
  <c r="F232" s="1"/>
  <c r="B232"/>
  <c r="C232"/>
  <c r="A233"/>
  <c r="D233" s="1"/>
  <c r="E233" s="1"/>
  <c r="G233" s="1"/>
  <c r="B233"/>
  <c r="C233"/>
  <c r="A234"/>
  <c r="D234" s="1"/>
  <c r="F234" s="1"/>
  <c r="B234"/>
  <c r="C234"/>
  <c r="A235"/>
  <c r="D235" s="1"/>
  <c r="E235" s="1"/>
  <c r="G235" s="1"/>
  <c r="B235"/>
  <c r="C235"/>
  <c r="A236"/>
  <c r="D236" s="1"/>
  <c r="F236" s="1"/>
  <c r="B236"/>
  <c r="C236"/>
  <c r="A237"/>
  <c r="D237" s="1"/>
  <c r="E237" s="1"/>
  <c r="G237" s="1"/>
  <c r="B237"/>
  <c r="C237"/>
  <c r="A238"/>
  <c r="D238" s="1"/>
  <c r="F238" s="1"/>
  <c r="B238"/>
  <c r="C238"/>
  <c r="A239"/>
  <c r="D239" s="1"/>
  <c r="E239" s="1"/>
  <c r="G239" s="1"/>
  <c r="B239"/>
  <c r="C239"/>
  <c r="A240"/>
  <c r="D240" s="1"/>
  <c r="F240" s="1"/>
  <c r="B240"/>
  <c r="C240"/>
  <c r="A241"/>
  <c r="D241" s="1"/>
  <c r="E241" s="1"/>
  <c r="G241" s="1"/>
  <c r="B241"/>
  <c r="C241"/>
  <c r="A242"/>
  <c r="D242" s="1"/>
  <c r="F242" s="1"/>
  <c r="B242"/>
  <c r="C242"/>
  <c r="A243"/>
  <c r="D243" s="1"/>
  <c r="E243" s="1"/>
  <c r="G243" s="1"/>
  <c r="B243"/>
  <c r="C243"/>
  <c r="A244"/>
  <c r="D244" s="1"/>
  <c r="F244" s="1"/>
  <c r="B244"/>
  <c r="C244"/>
  <c r="A245"/>
  <c r="D245" s="1"/>
  <c r="E245" s="1"/>
  <c r="G245" s="1"/>
  <c r="B245"/>
  <c r="C245"/>
  <c r="A246"/>
  <c r="D246" s="1"/>
  <c r="F246" s="1"/>
  <c r="B246"/>
  <c r="C246"/>
  <c r="A247"/>
  <c r="D247" s="1"/>
  <c r="E247" s="1"/>
  <c r="G247" s="1"/>
  <c r="B247"/>
  <c r="C247"/>
  <c r="A248"/>
  <c r="D248" s="1"/>
  <c r="F248" s="1"/>
  <c r="B248"/>
  <c r="C248"/>
  <c r="A249"/>
  <c r="D249" s="1"/>
  <c r="E249" s="1"/>
  <c r="G249" s="1"/>
  <c r="B249"/>
  <c r="C249"/>
  <c r="A250"/>
  <c r="D250" s="1"/>
  <c r="F250" s="1"/>
  <c r="B250"/>
  <c r="C250"/>
  <c r="A251"/>
  <c r="D251" s="1"/>
  <c r="E251" s="1"/>
  <c r="G251" s="1"/>
  <c r="B251"/>
  <c r="C251"/>
  <c r="A252"/>
  <c r="D252" s="1"/>
  <c r="F252" s="1"/>
  <c r="B252"/>
  <c r="C252"/>
  <c r="A253"/>
  <c r="D253" s="1"/>
  <c r="E253" s="1"/>
  <c r="G253" s="1"/>
  <c r="B253"/>
  <c r="C253"/>
  <c r="A254"/>
  <c r="D254" s="1"/>
  <c r="F254" s="1"/>
  <c r="B254"/>
  <c r="C254"/>
  <c r="A255"/>
  <c r="D255" s="1"/>
  <c r="E255" s="1"/>
  <c r="G255" s="1"/>
  <c r="B255"/>
  <c r="C255"/>
  <c r="A256"/>
  <c r="D256" s="1"/>
  <c r="F256" s="1"/>
  <c r="B256"/>
  <c r="C256"/>
  <c r="A257"/>
  <c r="D257" s="1"/>
  <c r="E257" s="1"/>
  <c r="G257" s="1"/>
  <c r="B257"/>
  <c r="C257"/>
  <c r="A258"/>
  <c r="D258" s="1"/>
  <c r="F258" s="1"/>
  <c r="B258"/>
  <c r="C258"/>
  <c r="A259"/>
  <c r="D259" s="1"/>
  <c r="E259" s="1"/>
  <c r="G259" s="1"/>
  <c r="B259"/>
  <c r="C259"/>
  <c r="A260"/>
  <c r="D260" s="1"/>
  <c r="B260"/>
  <c r="C260"/>
  <c r="A261"/>
  <c r="D261" s="1"/>
  <c r="B261"/>
  <c r="C261"/>
  <c r="A262"/>
  <c r="D262" s="1"/>
  <c r="B262"/>
  <c r="C262"/>
  <c r="A263"/>
  <c r="D263" s="1"/>
  <c r="B263"/>
  <c r="C263"/>
  <c r="A264"/>
  <c r="D264" s="1"/>
  <c r="B264"/>
  <c r="C264"/>
  <c r="A265"/>
  <c r="B265"/>
  <c r="C265"/>
  <c r="D265"/>
  <c r="A266"/>
  <c r="D266" s="1"/>
  <c r="B266"/>
  <c r="C266"/>
  <c r="A267"/>
  <c r="D267" s="1"/>
  <c r="B267"/>
  <c r="C267"/>
  <c r="A268"/>
  <c r="D268" s="1"/>
  <c r="B268"/>
  <c r="C268"/>
  <c r="A269"/>
  <c r="D269" s="1"/>
  <c r="B269"/>
  <c r="C269"/>
  <c r="A270"/>
  <c r="D270" s="1"/>
  <c r="B270"/>
  <c r="C270"/>
  <c r="A271"/>
  <c r="D271" s="1"/>
  <c r="B271"/>
  <c r="C271"/>
  <c r="A272"/>
  <c r="D272" s="1"/>
  <c r="B272"/>
  <c r="C272"/>
  <c r="A273"/>
  <c r="D273" s="1"/>
  <c r="B273"/>
  <c r="C273"/>
  <c r="A274"/>
  <c r="D274" s="1"/>
  <c r="B274"/>
  <c r="C274"/>
  <c r="A275"/>
  <c r="D275" s="1"/>
  <c r="B275"/>
  <c r="C275"/>
  <c r="A276"/>
  <c r="D276" s="1"/>
  <c r="B276"/>
  <c r="C276"/>
  <c r="A277"/>
  <c r="D277" s="1"/>
  <c r="B277"/>
  <c r="C277"/>
  <c r="A278"/>
  <c r="D278" s="1"/>
  <c r="B278"/>
  <c r="C278"/>
  <c r="A279"/>
  <c r="D279" s="1"/>
  <c r="B279"/>
  <c r="C279"/>
  <c r="A280"/>
  <c r="D280" s="1"/>
  <c r="B280"/>
  <c r="C280"/>
  <c r="A281"/>
  <c r="D281" s="1"/>
  <c r="B281"/>
  <c r="C281"/>
  <c r="A282"/>
  <c r="D282" s="1"/>
  <c r="B282"/>
  <c r="C282"/>
  <c r="A283"/>
  <c r="D283" s="1"/>
  <c r="B283"/>
  <c r="C283"/>
  <c r="A284"/>
  <c r="D284" s="1"/>
  <c r="B284"/>
  <c r="C284"/>
  <c r="A285"/>
  <c r="D285" s="1"/>
  <c r="B285"/>
  <c r="C285"/>
  <c r="A286"/>
  <c r="D286" s="1"/>
  <c r="B286"/>
  <c r="C286"/>
  <c r="A287"/>
  <c r="D287" s="1"/>
  <c r="B287"/>
  <c r="C287"/>
  <c r="A288"/>
  <c r="D288" s="1"/>
  <c r="B288"/>
  <c r="C288"/>
  <c r="A289"/>
  <c r="D289" s="1"/>
  <c r="B289"/>
  <c r="C289"/>
  <c r="A290"/>
  <c r="D290" s="1"/>
  <c r="B290"/>
  <c r="C290"/>
  <c r="A291"/>
  <c r="D291" s="1"/>
  <c r="B291"/>
  <c r="C291"/>
  <c r="A292"/>
  <c r="D292" s="1"/>
  <c r="B292"/>
  <c r="C292"/>
  <c r="A293"/>
  <c r="D293" s="1"/>
  <c r="B293"/>
  <c r="C293"/>
  <c r="A294"/>
  <c r="D294" s="1"/>
  <c r="B294"/>
  <c r="C294"/>
  <c r="A295"/>
  <c r="D295" s="1"/>
  <c r="B295"/>
  <c r="C295"/>
  <c r="A296"/>
  <c r="D296" s="1"/>
  <c r="B296"/>
  <c r="C296"/>
  <c r="A297"/>
  <c r="D297" s="1"/>
  <c r="B297"/>
  <c r="C297"/>
  <c r="A298"/>
  <c r="D298" s="1"/>
  <c r="B298"/>
  <c r="C298"/>
  <c r="A299"/>
  <c r="D299" s="1"/>
  <c r="B299"/>
  <c r="C299"/>
  <c r="A300"/>
  <c r="D300" s="1"/>
  <c r="B300"/>
  <c r="C300"/>
  <c r="A301"/>
  <c r="D301" s="1"/>
  <c r="B301"/>
  <c r="C301"/>
  <c r="A302"/>
  <c r="D302" s="1"/>
  <c r="B302"/>
  <c r="C302"/>
  <c r="A303"/>
  <c r="D303" s="1"/>
  <c r="B303"/>
  <c r="C303"/>
  <c r="A304"/>
  <c r="D304" s="1"/>
  <c r="B304"/>
  <c r="C304"/>
  <c r="A305"/>
  <c r="D305" s="1"/>
  <c r="B305"/>
  <c r="C305"/>
  <c r="A306"/>
  <c r="D306" s="1"/>
  <c r="B306"/>
  <c r="C306"/>
  <c r="A307"/>
  <c r="D307" s="1"/>
  <c r="B307"/>
  <c r="C307"/>
  <c r="A308"/>
  <c r="D308" s="1"/>
  <c r="B308"/>
  <c r="C308"/>
  <c r="A309"/>
  <c r="D309" s="1"/>
  <c r="B309"/>
  <c r="C309"/>
  <c r="A310"/>
  <c r="D310" s="1"/>
  <c r="B310"/>
  <c r="C310"/>
  <c r="A311"/>
  <c r="D311" s="1"/>
  <c r="B311"/>
  <c r="C311"/>
  <c r="A312"/>
  <c r="D312" s="1"/>
  <c r="B312"/>
  <c r="C312"/>
  <c r="A313"/>
  <c r="D313" s="1"/>
  <c r="B313"/>
  <c r="C313"/>
  <c r="A314"/>
  <c r="D314" s="1"/>
  <c r="B314"/>
  <c r="C314"/>
  <c r="A315"/>
  <c r="D315" s="1"/>
  <c r="B315"/>
  <c r="C315"/>
  <c r="A316"/>
  <c r="D316" s="1"/>
  <c r="B316"/>
  <c r="C316"/>
  <c r="A317"/>
  <c r="D317" s="1"/>
  <c r="B317"/>
  <c r="C317"/>
  <c r="A318"/>
  <c r="D318" s="1"/>
  <c r="B318"/>
  <c r="C318"/>
  <c r="A319"/>
  <c r="D319" s="1"/>
  <c r="B319"/>
  <c r="C319"/>
  <c r="A320"/>
  <c r="D320" s="1"/>
  <c r="B320"/>
  <c r="C320"/>
  <c r="A321"/>
  <c r="D321" s="1"/>
  <c r="B321"/>
  <c r="C321"/>
  <c r="A322"/>
  <c r="D322" s="1"/>
  <c r="B322"/>
  <c r="C322"/>
  <c r="A323"/>
  <c r="D323" s="1"/>
  <c r="B323"/>
  <c r="C323"/>
  <c r="A324"/>
  <c r="D324" s="1"/>
  <c r="B324"/>
  <c r="C324"/>
  <c r="A325"/>
  <c r="D325" s="1"/>
  <c r="B325"/>
  <c r="C325"/>
  <c r="A326"/>
  <c r="D326" s="1"/>
  <c r="B326"/>
  <c r="C326"/>
  <c r="A327"/>
  <c r="D327" s="1"/>
  <c r="B327"/>
  <c r="C327"/>
  <c r="A328"/>
  <c r="D328" s="1"/>
  <c r="B328"/>
  <c r="C328"/>
  <c r="A329"/>
  <c r="B329"/>
  <c r="C329"/>
  <c r="D329"/>
  <c r="A330"/>
  <c r="D330" s="1"/>
  <c r="B330"/>
  <c r="C330"/>
  <c r="A331"/>
  <c r="D331" s="1"/>
  <c r="B331"/>
  <c r="C331"/>
  <c r="A332"/>
  <c r="D332" s="1"/>
  <c r="B332"/>
  <c r="C332"/>
  <c r="A333"/>
  <c r="D333" s="1"/>
  <c r="B333"/>
  <c r="C333"/>
  <c r="A334"/>
  <c r="D334" s="1"/>
  <c r="B334"/>
  <c r="C334"/>
  <c r="A335"/>
  <c r="D335" s="1"/>
  <c r="B335"/>
  <c r="C335"/>
  <c r="A336"/>
  <c r="D336" s="1"/>
  <c r="B336"/>
  <c r="C336"/>
  <c r="A337"/>
  <c r="D337" s="1"/>
  <c r="B337"/>
  <c r="C337"/>
  <c r="A338"/>
  <c r="D338" s="1"/>
  <c r="B338"/>
  <c r="C338"/>
  <c r="A339"/>
  <c r="D339" s="1"/>
  <c r="B339"/>
  <c r="C339"/>
  <c r="A340"/>
  <c r="D340" s="1"/>
  <c r="B340"/>
  <c r="C340"/>
  <c r="A341"/>
  <c r="D341" s="1"/>
  <c r="B341"/>
  <c r="C341"/>
  <c r="A342"/>
  <c r="D342" s="1"/>
  <c r="B342"/>
  <c r="C342"/>
  <c r="A343"/>
  <c r="D343" s="1"/>
  <c r="B343"/>
  <c r="C343"/>
  <c r="A344"/>
  <c r="D344" s="1"/>
  <c r="B344"/>
  <c r="C344"/>
  <c r="A345"/>
  <c r="D345" s="1"/>
  <c r="B345"/>
  <c r="C345"/>
  <c r="A346"/>
  <c r="D346" s="1"/>
  <c r="B346"/>
  <c r="C346"/>
  <c r="A347"/>
  <c r="D347" s="1"/>
  <c r="B347"/>
  <c r="C347"/>
  <c r="A348"/>
  <c r="D348" s="1"/>
  <c r="B348"/>
  <c r="C348"/>
  <c r="A349"/>
  <c r="D349" s="1"/>
  <c r="B349"/>
  <c r="C349"/>
  <c r="A350"/>
  <c r="D350" s="1"/>
  <c r="B350"/>
  <c r="C350"/>
  <c r="A351"/>
  <c r="D351" s="1"/>
  <c r="B351"/>
  <c r="C351"/>
  <c r="A352"/>
  <c r="D352" s="1"/>
  <c r="B352"/>
  <c r="C352"/>
  <c r="A353"/>
  <c r="D353" s="1"/>
  <c r="B353"/>
  <c r="C353"/>
  <c r="A354"/>
  <c r="D354" s="1"/>
  <c r="B354"/>
  <c r="C354"/>
  <c r="A355"/>
  <c r="D355" s="1"/>
  <c r="B355"/>
  <c r="C355"/>
  <c r="A356"/>
  <c r="D356" s="1"/>
  <c r="E356" s="1"/>
  <c r="G356" s="1"/>
  <c r="B356"/>
  <c r="C356"/>
  <c r="A357"/>
  <c r="D357" s="1"/>
  <c r="F357" s="1"/>
  <c r="B357"/>
  <c r="C357"/>
  <c r="A358"/>
  <c r="D358" s="1"/>
  <c r="B358"/>
  <c r="C358"/>
  <c r="A359"/>
  <c r="D359" s="1"/>
  <c r="F359" s="1"/>
  <c r="B359"/>
  <c r="C359"/>
  <c r="A360"/>
  <c r="D360" s="1"/>
  <c r="E360" s="1"/>
  <c r="G360" s="1"/>
  <c r="B360"/>
  <c r="C360"/>
  <c r="A361"/>
  <c r="D361" s="1"/>
  <c r="F361" s="1"/>
  <c r="B361"/>
  <c r="C361"/>
  <c r="A362"/>
  <c r="D362" s="1"/>
  <c r="E362" s="1"/>
  <c r="G362" s="1"/>
  <c r="B362"/>
  <c r="C362"/>
  <c r="A363"/>
  <c r="D363" s="1"/>
  <c r="F363" s="1"/>
  <c r="B363"/>
  <c r="C363"/>
  <c r="A364"/>
  <c r="D364" s="1"/>
  <c r="E364" s="1"/>
  <c r="G364" s="1"/>
  <c r="B364"/>
  <c r="C364"/>
  <c r="A365"/>
  <c r="D365" s="1"/>
  <c r="F365" s="1"/>
  <c r="B365"/>
  <c r="C365"/>
  <c r="A366"/>
  <c r="D366" s="1"/>
  <c r="E366" s="1"/>
  <c r="G366" s="1"/>
  <c r="B366"/>
  <c r="C366"/>
  <c r="A367"/>
  <c r="D367" s="1"/>
  <c r="F367" s="1"/>
  <c r="B367"/>
  <c r="C367"/>
  <c r="A368"/>
  <c r="D368" s="1"/>
  <c r="E368" s="1"/>
  <c r="G368" s="1"/>
  <c r="B368"/>
  <c r="C368"/>
  <c r="A369"/>
  <c r="D369" s="1"/>
  <c r="F369" s="1"/>
  <c r="B369"/>
  <c r="C369"/>
  <c r="A370"/>
  <c r="D370" s="1"/>
  <c r="E370" s="1"/>
  <c r="G370" s="1"/>
  <c r="B370"/>
  <c r="C370"/>
  <c r="A371"/>
  <c r="D371" s="1"/>
  <c r="F371" s="1"/>
  <c r="B371"/>
  <c r="C371"/>
  <c r="A372"/>
  <c r="D372" s="1"/>
  <c r="E372" s="1"/>
  <c r="G372" s="1"/>
  <c r="B372"/>
  <c r="C372"/>
  <c r="A373"/>
  <c r="D373" s="1"/>
  <c r="F373" s="1"/>
  <c r="B373"/>
  <c r="C373"/>
  <c r="A374"/>
  <c r="D374" s="1"/>
  <c r="E374" s="1"/>
  <c r="G374" s="1"/>
  <c r="B374"/>
  <c r="C374"/>
  <c r="A375"/>
  <c r="D375" s="1"/>
  <c r="F375" s="1"/>
  <c r="B375"/>
  <c r="C375"/>
  <c r="A376"/>
  <c r="D376" s="1"/>
  <c r="E376" s="1"/>
  <c r="G376" s="1"/>
  <c r="B376"/>
  <c r="C376"/>
  <c r="A377"/>
  <c r="D377" s="1"/>
  <c r="F377" s="1"/>
  <c r="B377"/>
  <c r="C377"/>
  <c r="A378"/>
  <c r="D378" s="1"/>
  <c r="E378" s="1"/>
  <c r="G378" s="1"/>
  <c r="B378"/>
  <c r="C378"/>
  <c r="A379"/>
  <c r="D379" s="1"/>
  <c r="F379" s="1"/>
  <c r="B379"/>
  <c r="C379"/>
  <c r="A380"/>
  <c r="D380" s="1"/>
  <c r="E380" s="1"/>
  <c r="G380" s="1"/>
  <c r="B380"/>
  <c r="C380"/>
  <c r="A381"/>
  <c r="D381" s="1"/>
  <c r="F381" s="1"/>
  <c r="B381"/>
  <c r="C381"/>
  <c r="A382"/>
  <c r="D382" s="1"/>
  <c r="E382" s="1"/>
  <c r="G382" s="1"/>
  <c r="B382"/>
  <c r="C382"/>
  <c r="A383"/>
  <c r="D383" s="1"/>
  <c r="F383" s="1"/>
  <c r="B383"/>
  <c r="C383"/>
  <c r="A384"/>
  <c r="D384" s="1"/>
  <c r="E384" s="1"/>
  <c r="G384" s="1"/>
  <c r="B384"/>
  <c r="C384"/>
  <c r="A385"/>
  <c r="D385" s="1"/>
  <c r="F385" s="1"/>
  <c r="B385"/>
  <c r="C385"/>
  <c r="A386"/>
  <c r="B386"/>
  <c r="C386"/>
  <c r="D386"/>
  <c r="E386" s="1"/>
  <c r="G386" s="1"/>
  <c r="A387"/>
  <c r="D387" s="1"/>
  <c r="F387" s="1"/>
  <c r="B387"/>
  <c r="C387"/>
  <c r="A388"/>
  <c r="D388" s="1"/>
  <c r="E388" s="1"/>
  <c r="G388" s="1"/>
  <c r="B388"/>
  <c r="C388"/>
  <c r="A389"/>
  <c r="D389" s="1"/>
  <c r="F389" s="1"/>
  <c r="B389"/>
  <c r="C389"/>
  <c r="A390"/>
  <c r="D390" s="1"/>
  <c r="E390" s="1"/>
  <c r="G390" s="1"/>
  <c r="B390"/>
  <c r="C390"/>
  <c r="A391"/>
  <c r="D391" s="1"/>
  <c r="F391" s="1"/>
  <c r="B391"/>
  <c r="C391"/>
  <c r="A392"/>
  <c r="D392" s="1"/>
  <c r="E392" s="1"/>
  <c r="G392" s="1"/>
  <c r="B392"/>
  <c r="C392"/>
  <c r="A393"/>
  <c r="D393" s="1"/>
  <c r="F393" s="1"/>
  <c r="B393"/>
  <c r="C393"/>
  <c r="A394"/>
  <c r="D394" s="1"/>
  <c r="E394" s="1"/>
  <c r="G394" s="1"/>
  <c r="B394"/>
  <c r="C394"/>
  <c r="A395"/>
  <c r="D395" s="1"/>
  <c r="F395" s="1"/>
  <c r="B395"/>
  <c r="C395"/>
  <c r="A396"/>
  <c r="D396" s="1"/>
  <c r="E396" s="1"/>
  <c r="G396" s="1"/>
  <c r="B396"/>
  <c r="C396"/>
  <c r="A397"/>
  <c r="D397" s="1"/>
  <c r="F397" s="1"/>
  <c r="B397"/>
  <c r="C397"/>
  <c r="A398"/>
  <c r="D398" s="1"/>
  <c r="E398" s="1"/>
  <c r="G398" s="1"/>
  <c r="B398"/>
  <c r="C398"/>
  <c r="A399"/>
  <c r="D399" s="1"/>
  <c r="F399" s="1"/>
  <c r="B399"/>
  <c r="C399"/>
  <c r="A400"/>
  <c r="D400" s="1"/>
  <c r="E400" s="1"/>
  <c r="G400" s="1"/>
  <c r="B400"/>
  <c r="C400"/>
  <c r="A401"/>
  <c r="D401" s="1"/>
  <c r="F401" s="1"/>
  <c r="B401"/>
  <c r="C401"/>
  <c r="A402"/>
  <c r="D402" s="1"/>
  <c r="E402" s="1"/>
  <c r="G402" s="1"/>
  <c r="B402"/>
  <c r="C402"/>
  <c r="A403"/>
  <c r="D403" s="1"/>
  <c r="F403" s="1"/>
  <c r="B403"/>
  <c r="C403"/>
  <c r="A404"/>
  <c r="D404" s="1"/>
  <c r="E404" s="1"/>
  <c r="G404" s="1"/>
  <c r="B404"/>
  <c r="C404"/>
  <c r="A405"/>
  <c r="D405" s="1"/>
  <c r="F405" s="1"/>
  <c r="B405"/>
  <c r="C405"/>
  <c r="A406"/>
  <c r="D406" s="1"/>
  <c r="E406" s="1"/>
  <c r="G406" s="1"/>
  <c r="B406"/>
  <c r="C406"/>
  <c r="A407"/>
  <c r="D407" s="1"/>
  <c r="F407" s="1"/>
  <c r="B407"/>
  <c r="C407"/>
  <c r="A408"/>
  <c r="D408" s="1"/>
  <c r="E408" s="1"/>
  <c r="G408" s="1"/>
  <c r="B408"/>
  <c r="C408"/>
  <c r="A409"/>
  <c r="D409" s="1"/>
  <c r="F409" s="1"/>
  <c r="B409"/>
  <c r="C409"/>
  <c r="A410"/>
  <c r="D410" s="1"/>
  <c r="E410" s="1"/>
  <c r="G410" s="1"/>
  <c r="B410"/>
  <c r="C410"/>
  <c r="A411"/>
  <c r="D411" s="1"/>
  <c r="F411" s="1"/>
  <c r="B411"/>
  <c r="C411"/>
  <c r="A412"/>
  <c r="D412" s="1"/>
  <c r="E412" s="1"/>
  <c r="G412" s="1"/>
  <c r="B412"/>
  <c r="C412"/>
  <c r="A413"/>
  <c r="D413" s="1"/>
  <c r="F413" s="1"/>
  <c r="B413"/>
  <c r="C413"/>
  <c r="A414"/>
  <c r="D414" s="1"/>
  <c r="E414" s="1"/>
  <c r="G414" s="1"/>
  <c r="B414"/>
  <c r="C414"/>
  <c r="A415"/>
  <c r="D415" s="1"/>
  <c r="F415" s="1"/>
  <c r="B415"/>
  <c r="C415"/>
  <c r="A416"/>
  <c r="D416" s="1"/>
  <c r="E416" s="1"/>
  <c r="G416" s="1"/>
  <c r="B416"/>
  <c r="C416"/>
  <c r="A417"/>
  <c r="D417" s="1"/>
  <c r="F417" s="1"/>
  <c r="B417"/>
  <c r="C417"/>
  <c r="A418"/>
  <c r="D418" s="1"/>
  <c r="E418" s="1"/>
  <c r="G418" s="1"/>
  <c r="B418"/>
  <c r="C418"/>
  <c r="A419"/>
  <c r="D419" s="1"/>
  <c r="F419" s="1"/>
  <c r="B419"/>
  <c r="C419"/>
  <c r="A420"/>
  <c r="D420" s="1"/>
  <c r="E420" s="1"/>
  <c r="G420" s="1"/>
  <c r="B420"/>
  <c r="C420"/>
  <c r="A421"/>
  <c r="D421" s="1"/>
  <c r="F421" s="1"/>
  <c r="B421"/>
  <c r="C421"/>
  <c r="A422"/>
  <c r="D422" s="1"/>
  <c r="E422" s="1"/>
  <c r="G422" s="1"/>
  <c r="B422"/>
  <c r="C422"/>
  <c r="A423"/>
  <c r="D423" s="1"/>
  <c r="F423" s="1"/>
  <c r="B423"/>
  <c r="C423"/>
  <c r="A424"/>
  <c r="D424" s="1"/>
  <c r="E424" s="1"/>
  <c r="G424" s="1"/>
  <c r="B424"/>
  <c r="C424"/>
  <c r="A425"/>
  <c r="D425" s="1"/>
  <c r="F425" s="1"/>
  <c r="B425"/>
  <c r="C425"/>
  <c r="A426"/>
  <c r="D426" s="1"/>
  <c r="E426" s="1"/>
  <c r="G426" s="1"/>
  <c r="B426"/>
  <c r="C426"/>
  <c r="A427"/>
  <c r="D427" s="1"/>
  <c r="F427" s="1"/>
  <c r="B427"/>
  <c r="C427"/>
  <c r="A428"/>
  <c r="D428" s="1"/>
  <c r="E428" s="1"/>
  <c r="G428" s="1"/>
  <c r="B428"/>
  <c r="C428"/>
  <c r="A429"/>
  <c r="D429" s="1"/>
  <c r="F429" s="1"/>
  <c r="B429"/>
  <c r="C429"/>
  <c r="A430"/>
  <c r="D430" s="1"/>
  <c r="E430" s="1"/>
  <c r="G430" s="1"/>
  <c r="B430"/>
  <c r="C430"/>
  <c r="A431"/>
  <c r="D431" s="1"/>
  <c r="F431" s="1"/>
  <c r="B431"/>
  <c r="C431"/>
  <c r="A432"/>
  <c r="D432" s="1"/>
  <c r="E432" s="1"/>
  <c r="G432" s="1"/>
  <c r="B432"/>
  <c r="C432"/>
  <c r="A433"/>
  <c r="D433" s="1"/>
  <c r="F433" s="1"/>
  <c r="B433"/>
  <c r="C433"/>
  <c r="A434"/>
  <c r="D434" s="1"/>
  <c r="E434" s="1"/>
  <c r="G434" s="1"/>
  <c r="B434"/>
  <c r="C434"/>
  <c r="A435"/>
  <c r="D435" s="1"/>
  <c r="F435" s="1"/>
  <c r="B435"/>
  <c r="C435"/>
  <c r="A436"/>
  <c r="D436" s="1"/>
  <c r="E436" s="1"/>
  <c r="G436" s="1"/>
  <c r="B436"/>
  <c r="C436"/>
  <c r="A437"/>
  <c r="D437" s="1"/>
  <c r="F437" s="1"/>
  <c r="B437"/>
  <c r="C437"/>
  <c r="A438"/>
  <c r="D438" s="1"/>
  <c r="E438" s="1"/>
  <c r="G438" s="1"/>
  <c r="B438"/>
  <c r="C438"/>
  <c r="A439"/>
  <c r="D439" s="1"/>
  <c r="F439" s="1"/>
  <c r="B439"/>
  <c r="C439"/>
  <c r="A440"/>
  <c r="D440" s="1"/>
  <c r="E440" s="1"/>
  <c r="G440" s="1"/>
  <c r="B440"/>
  <c r="C440"/>
  <c r="A441"/>
  <c r="D441" s="1"/>
  <c r="F441" s="1"/>
  <c r="B441"/>
  <c r="C441"/>
  <c r="A442"/>
  <c r="D442" s="1"/>
  <c r="E442" s="1"/>
  <c r="G442" s="1"/>
  <c r="B442"/>
  <c r="C442"/>
  <c r="A443"/>
  <c r="D443" s="1"/>
  <c r="F443" s="1"/>
  <c r="B443"/>
  <c r="C443"/>
  <c r="A444"/>
  <c r="D444" s="1"/>
  <c r="E444" s="1"/>
  <c r="G444" s="1"/>
  <c r="B444"/>
  <c r="C444"/>
  <c r="A445"/>
  <c r="D445" s="1"/>
  <c r="F445" s="1"/>
  <c r="B445"/>
  <c r="C445"/>
  <c r="A446"/>
  <c r="D446" s="1"/>
  <c r="E446" s="1"/>
  <c r="G446" s="1"/>
  <c r="B446"/>
  <c r="C446"/>
  <c r="A447"/>
  <c r="D447" s="1"/>
  <c r="F447" s="1"/>
  <c r="B447"/>
  <c r="C447"/>
  <c r="A448"/>
  <c r="D448" s="1"/>
  <c r="E448" s="1"/>
  <c r="G448" s="1"/>
  <c r="B448"/>
  <c r="C448"/>
  <c r="A449"/>
  <c r="D449" s="1"/>
  <c r="F449" s="1"/>
  <c r="B449"/>
  <c r="C449"/>
  <c r="A450"/>
  <c r="B450"/>
  <c r="C450"/>
  <c r="D450"/>
  <c r="E450" s="1"/>
  <c r="G450" s="1"/>
  <c r="A451"/>
  <c r="D451" s="1"/>
  <c r="F451" s="1"/>
  <c r="B451"/>
  <c r="C451"/>
  <c r="A452"/>
  <c r="D452" s="1"/>
  <c r="E452" s="1"/>
  <c r="G452" s="1"/>
  <c r="B452"/>
  <c r="C452"/>
  <c r="A453"/>
  <c r="D453" s="1"/>
  <c r="F453" s="1"/>
  <c r="B453"/>
  <c r="C453"/>
  <c r="A454"/>
  <c r="D454" s="1"/>
  <c r="E454" s="1"/>
  <c r="G454" s="1"/>
  <c r="B454"/>
  <c r="C454"/>
  <c r="A455"/>
  <c r="D455" s="1"/>
  <c r="F455" s="1"/>
  <c r="B455"/>
  <c r="C455"/>
  <c r="A456"/>
  <c r="D456" s="1"/>
  <c r="E456" s="1"/>
  <c r="G456" s="1"/>
  <c r="B456"/>
  <c r="C456"/>
  <c r="A457"/>
  <c r="D457" s="1"/>
  <c r="F457" s="1"/>
  <c r="B457"/>
  <c r="C457"/>
  <c r="A458"/>
  <c r="D458" s="1"/>
  <c r="E458" s="1"/>
  <c r="G458" s="1"/>
  <c r="B458"/>
  <c r="C458"/>
  <c r="A459"/>
  <c r="D459" s="1"/>
  <c r="F459" s="1"/>
  <c r="B459"/>
  <c r="C459"/>
  <c r="A460"/>
  <c r="D460" s="1"/>
  <c r="E460" s="1"/>
  <c r="G460" s="1"/>
  <c r="B460"/>
  <c r="C460"/>
  <c r="A461"/>
  <c r="D461" s="1"/>
  <c r="F461" s="1"/>
  <c r="B461"/>
  <c r="C461"/>
  <c r="A462"/>
  <c r="D462" s="1"/>
  <c r="E462" s="1"/>
  <c r="G462" s="1"/>
  <c r="B462"/>
  <c r="C462"/>
  <c r="A463"/>
  <c r="D463" s="1"/>
  <c r="F463" s="1"/>
  <c r="B463"/>
  <c r="C463"/>
  <c r="A464"/>
  <c r="D464" s="1"/>
  <c r="E464" s="1"/>
  <c r="G464" s="1"/>
  <c r="B464"/>
  <c r="C464"/>
  <c r="A465"/>
  <c r="D465" s="1"/>
  <c r="F465" s="1"/>
  <c r="B465"/>
  <c r="C465"/>
  <c r="A466"/>
  <c r="D466" s="1"/>
  <c r="E466" s="1"/>
  <c r="G466" s="1"/>
  <c r="B466"/>
  <c r="C466"/>
  <c r="A467"/>
  <c r="D467" s="1"/>
  <c r="F467" s="1"/>
  <c r="B467"/>
  <c r="C467"/>
  <c r="A468"/>
  <c r="D468" s="1"/>
  <c r="E468" s="1"/>
  <c r="G468" s="1"/>
  <c r="B468"/>
  <c r="C468"/>
  <c r="A469"/>
  <c r="D469" s="1"/>
  <c r="F469" s="1"/>
  <c r="B469"/>
  <c r="C469"/>
  <c r="A470"/>
  <c r="D470" s="1"/>
  <c r="E470" s="1"/>
  <c r="G470" s="1"/>
  <c r="B470"/>
  <c r="C470"/>
  <c r="A471"/>
  <c r="D471" s="1"/>
  <c r="F471" s="1"/>
  <c r="B471"/>
  <c r="C471"/>
  <c r="A472"/>
  <c r="D472" s="1"/>
  <c r="E472" s="1"/>
  <c r="G472" s="1"/>
  <c r="B472"/>
  <c r="C472"/>
  <c r="A473"/>
  <c r="D473" s="1"/>
  <c r="F473" s="1"/>
  <c r="B473"/>
  <c r="C473"/>
  <c r="A474"/>
  <c r="D474" s="1"/>
  <c r="E474" s="1"/>
  <c r="G474" s="1"/>
  <c r="B474"/>
  <c r="C474"/>
  <c r="A475"/>
  <c r="D475" s="1"/>
  <c r="F475" s="1"/>
  <c r="B475"/>
  <c r="C475"/>
  <c r="A476"/>
  <c r="D476" s="1"/>
  <c r="E476" s="1"/>
  <c r="G476" s="1"/>
  <c r="B476"/>
  <c r="C476"/>
  <c r="A477"/>
  <c r="D477" s="1"/>
  <c r="F477" s="1"/>
  <c r="B477"/>
  <c r="C477"/>
  <c r="A478"/>
  <c r="D478" s="1"/>
  <c r="E478" s="1"/>
  <c r="G478" s="1"/>
  <c r="B478"/>
  <c r="C478"/>
  <c r="A479"/>
  <c r="D479" s="1"/>
  <c r="F479" s="1"/>
  <c r="B479"/>
  <c r="C479"/>
  <c r="A480"/>
  <c r="D480" s="1"/>
  <c r="E480" s="1"/>
  <c r="G480" s="1"/>
  <c r="B480"/>
  <c r="C480"/>
  <c r="A481"/>
  <c r="D481" s="1"/>
  <c r="F481" s="1"/>
  <c r="B481"/>
  <c r="C481"/>
  <c r="A482"/>
  <c r="D482" s="1"/>
  <c r="E482" s="1"/>
  <c r="G482" s="1"/>
  <c r="B482"/>
  <c r="C482"/>
  <c r="A483"/>
  <c r="D483" s="1"/>
  <c r="F483" s="1"/>
  <c r="B483"/>
  <c r="C483"/>
  <c r="A484"/>
  <c r="D484" s="1"/>
  <c r="E484" s="1"/>
  <c r="G484" s="1"/>
  <c r="B484"/>
  <c r="C484"/>
  <c r="A485"/>
  <c r="D485" s="1"/>
  <c r="F485" s="1"/>
  <c r="B485"/>
  <c r="C485"/>
  <c r="A486"/>
  <c r="D486" s="1"/>
  <c r="E486" s="1"/>
  <c r="G486" s="1"/>
  <c r="B486"/>
  <c r="C486"/>
  <c r="A487"/>
  <c r="D487" s="1"/>
  <c r="F487" s="1"/>
  <c r="B487"/>
  <c r="C487"/>
  <c r="A488"/>
  <c r="D488" s="1"/>
  <c r="E488" s="1"/>
  <c r="G488" s="1"/>
  <c r="B488"/>
  <c r="C488"/>
  <c r="A489"/>
  <c r="D489" s="1"/>
  <c r="F489" s="1"/>
  <c r="B489"/>
  <c r="C489"/>
  <c r="A490"/>
  <c r="D490" s="1"/>
  <c r="E490" s="1"/>
  <c r="G490" s="1"/>
  <c r="B490"/>
  <c r="C490"/>
  <c r="A491"/>
  <c r="D491" s="1"/>
  <c r="F491" s="1"/>
  <c r="B491"/>
  <c r="C491"/>
  <c r="A492"/>
  <c r="D492" s="1"/>
  <c r="E492" s="1"/>
  <c r="G492" s="1"/>
  <c r="B492"/>
  <c r="C492"/>
  <c r="A493"/>
  <c r="D493" s="1"/>
  <c r="F493" s="1"/>
  <c r="B493"/>
  <c r="C493"/>
  <c r="A494"/>
  <c r="D494" s="1"/>
  <c r="E494" s="1"/>
  <c r="G494" s="1"/>
  <c r="B494"/>
  <c r="C494"/>
  <c r="A495"/>
  <c r="D495" s="1"/>
  <c r="F495" s="1"/>
  <c r="B495"/>
  <c r="C495"/>
  <c r="A496"/>
  <c r="D496" s="1"/>
  <c r="E496" s="1"/>
  <c r="G496" s="1"/>
  <c r="B496"/>
  <c r="C496"/>
  <c r="A497"/>
  <c r="D497" s="1"/>
  <c r="F497" s="1"/>
  <c r="B497"/>
  <c r="C497"/>
  <c r="A498"/>
  <c r="D498" s="1"/>
  <c r="E498" s="1"/>
  <c r="G498" s="1"/>
  <c r="B498"/>
  <c r="C498"/>
  <c r="A499"/>
  <c r="D499" s="1"/>
  <c r="F499" s="1"/>
  <c r="B499"/>
  <c r="C499"/>
  <c r="A500"/>
  <c r="D500" s="1"/>
  <c r="E500" s="1"/>
  <c r="G500" s="1"/>
  <c r="B500"/>
  <c r="C500"/>
  <c r="A501"/>
  <c r="D501" s="1"/>
  <c r="F501" s="1"/>
  <c r="B501"/>
  <c r="C501"/>
  <c r="A502"/>
  <c r="D502" s="1"/>
  <c r="E502" s="1"/>
  <c r="G502" s="1"/>
  <c r="B502"/>
  <c r="C502"/>
  <c r="A503"/>
  <c r="D503" s="1"/>
  <c r="F503" s="1"/>
  <c r="B503"/>
  <c r="C503"/>
  <c r="A504"/>
  <c r="D504" s="1"/>
  <c r="E504" s="1"/>
  <c r="G504" s="1"/>
  <c r="B504"/>
  <c r="C504"/>
  <c r="A505"/>
  <c r="D505" s="1"/>
  <c r="F505" s="1"/>
  <c r="B505"/>
  <c r="C505"/>
  <c r="A506"/>
  <c r="D506" s="1"/>
  <c r="E506" s="1"/>
  <c r="G506" s="1"/>
  <c r="B506"/>
  <c r="C506"/>
  <c r="A507"/>
  <c r="D507" s="1"/>
  <c r="F507" s="1"/>
  <c r="B507"/>
  <c r="C507"/>
  <c r="A508"/>
  <c r="D508" s="1"/>
  <c r="E508" s="1"/>
  <c r="G508" s="1"/>
  <c r="B508"/>
  <c r="C508"/>
  <c r="A509"/>
  <c r="D509" s="1"/>
  <c r="F509" s="1"/>
  <c r="B509"/>
  <c r="C509"/>
  <c r="A510"/>
  <c r="D510" s="1"/>
  <c r="E510" s="1"/>
  <c r="G510" s="1"/>
  <c r="B510"/>
  <c r="C510"/>
  <c r="A511"/>
  <c r="D511" s="1"/>
  <c r="F511" s="1"/>
  <c r="B511"/>
  <c r="C511"/>
  <c r="A512"/>
  <c r="D512" s="1"/>
  <c r="E512" s="1"/>
  <c r="G512" s="1"/>
  <c r="B512"/>
  <c r="C512"/>
  <c r="A513"/>
  <c r="D513" s="1"/>
  <c r="F513" s="1"/>
  <c r="B513"/>
  <c r="C513"/>
  <c r="A514"/>
  <c r="B514"/>
  <c r="C514"/>
  <c r="D514"/>
  <c r="E514" s="1"/>
  <c r="G514" s="1"/>
  <c r="A515"/>
  <c r="D515" s="1"/>
  <c r="F515" s="1"/>
  <c r="B515"/>
  <c r="C515"/>
  <c r="A516"/>
  <c r="D516" s="1"/>
  <c r="E516" s="1"/>
  <c r="G516" s="1"/>
  <c r="B516"/>
  <c r="C516"/>
  <c r="A517"/>
  <c r="D517" s="1"/>
  <c r="F517" s="1"/>
  <c r="B517"/>
  <c r="C517"/>
  <c r="A518"/>
  <c r="D518" s="1"/>
  <c r="E518" s="1"/>
  <c r="G518" s="1"/>
  <c r="B518"/>
  <c r="C518"/>
  <c r="A519"/>
  <c r="D519" s="1"/>
  <c r="F519" s="1"/>
  <c r="B519"/>
  <c r="C519"/>
  <c r="A520"/>
  <c r="D520" s="1"/>
  <c r="E520" s="1"/>
  <c r="G520" s="1"/>
  <c r="B520"/>
  <c r="C520"/>
  <c r="A521"/>
  <c r="D521" s="1"/>
  <c r="F521" s="1"/>
  <c r="B521"/>
  <c r="C521"/>
  <c r="A522"/>
  <c r="D522" s="1"/>
  <c r="E522" s="1"/>
  <c r="G522" s="1"/>
  <c r="B522"/>
  <c r="C522"/>
  <c r="A523"/>
  <c r="D523" s="1"/>
  <c r="F523" s="1"/>
  <c r="B523"/>
  <c r="C523"/>
  <c r="A524"/>
  <c r="D524" s="1"/>
  <c r="E524" s="1"/>
  <c r="G524" s="1"/>
  <c r="B524"/>
  <c r="C524"/>
  <c r="A525"/>
  <c r="D525" s="1"/>
  <c r="F525" s="1"/>
  <c r="B525"/>
  <c r="C525"/>
  <c r="A526"/>
  <c r="D526" s="1"/>
  <c r="E526" s="1"/>
  <c r="G526" s="1"/>
  <c r="B526"/>
  <c r="C526"/>
  <c r="A527"/>
  <c r="D527" s="1"/>
  <c r="F527" s="1"/>
  <c r="B527"/>
  <c r="C527"/>
  <c r="A528"/>
  <c r="D528" s="1"/>
  <c r="E528" s="1"/>
  <c r="G528" s="1"/>
  <c r="B528"/>
  <c r="C528"/>
  <c r="A529"/>
  <c r="D529" s="1"/>
  <c r="F529" s="1"/>
  <c r="B529"/>
  <c r="C529"/>
  <c r="A530"/>
  <c r="D530" s="1"/>
  <c r="E530" s="1"/>
  <c r="G530" s="1"/>
  <c r="B530"/>
  <c r="C530"/>
  <c r="A531"/>
  <c r="D531" s="1"/>
  <c r="F531" s="1"/>
  <c r="B531"/>
  <c r="C531"/>
  <c r="A532"/>
  <c r="D532" s="1"/>
  <c r="E532" s="1"/>
  <c r="G532" s="1"/>
  <c r="B532"/>
  <c r="C532"/>
  <c r="A533"/>
  <c r="D533" s="1"/>
  <c r="F533" s="1"/>
  <c r="B533"/>
  <c r="C533"/>
  <c r="A534"/>
  <c r="D534" s="1"/>
  <c r="E534" s="1"/>
  <c r="G534" s="1"/>
  <c r="B534"/>
  <c r="C534"/>
  <c r="A535"/>
  <c r="D535" s="1"/>
  <c r="F535" s="1"/>
  <c r="B535"/>
  <c r="C535"/>
  <c r="A536"/>
  <c r="D536" s="1"/>
  <c r="E536" s="1"/>
  <c r="G536" s="1"/>
  <c r="B536"/>
  <c r="C536"/>
  <c r="A537"/>
  <c r="D537" s="1"/>
  <c r="F537" s="1"/>
  <c r="B537"/>
  <c r="C537"/>
  <c r="A538"/>
  <c r="D538" s="1"/>
  <c r="E538" s="1"/>
  <c r="G538" s="1"/>
  <c r="B538"/>
  <c r="C538"/>
  <c r="A539"/>
  <c r="D539" s="1"/>
  <c r="F539" s="1"/>
  <c r="B539"/>
  <c r="C539"/>
  <c r="A540"/>
  <c r="D540" s="1"/>
  <c r="E540" s="1"/>
  <c r="G540" s="1"/>
  <c r="B540"/>
  <c r="C540"/>
  <c r="A541"/>
  <c r="D541" s="1"/>
  <c r="F541" s="1"/>
  <c r="B541"/>
  <c r="C541"/>
  <c r="A542"/>
  <c r="D542" s="1"/>
  <c r="E542" s="1"/>
  <c r="G542" s="1"/>
  <c r="B542"/>
  <c r="C542"/>
  <c r="A543"/>
  <c r="D543" s="1"/>
  <c r="F543" s="1"/>
  <c r="B543"/>
  <c r="C543"/>
  <c r="A544"/>
  <c r="D544" s="1"/>
  <c r="E544" s="1"/>
  <c r="G544" s="1"/>
  <c r="B544"/>
  <c r="C544"/>
  <c r="A545"/>
  <c r="D545" s="1"/>
  <c r="F545" s="1"/>
  <c r="B545"/>
  <c r="C545"/>
  <c r="A546"/>
  <c r="D546" s="1"/>
  <c r="E546" s="1"/>
  <c r="G546" s="1"/>
  <c r="B546"/>
  <c r="C546"/>
  <c r="A547"/>
  <c r="D547" s="1"/>
  <c r="F547" s="1"/>
  <c r="B547"/>
  <c r="C547"/>
  <c r="A548"/>
  <c r="D548" s="1"/>
  <c r="E548" s="1"/>
  <c r="G548" s="1"/>
  <c r="B548"/>
  <c r="C548"/>
  <c r="A549"/>
  <c r="D549" s="1"/>
  <c r="F549" s="1"/>
  <c r="B549"/>
  <c r="C549"/>
  <c r="A550"/>
  <c r="D550" s="1"/>
  <c r="E550" s="1"/>
  <c r="G550" s="1"/>
  <c r="B550"/>
  <c r="C550"/>
  <c r="A551"/>
  <c r="D551" s="1"/>
  <c r="F551" s="1"/>
  <c r="B551"/>
  <c r="C551"/>
  <c r="A552"/>
  <c r="D552" s="1"/>
  <c r="E552" s="1"/>
  <c r="G552" s="1"/>
  <c r="B552"/>
  <c r="C552"/>
  <c r="A553"/>
  <c r="D553" s="1"/>
  <c r="F553" s="1"/>
  <c r="B553"/>
  <c r="C553"/>
  <c r="A554"/>
  <c r="D554" s="1"/>
  <c r="E554" s="1"/>
  <c r="G554" s="1"/>
  <c r="B554"/>
  <c r="C554"/>
  <c r="A555"/>
  <c r="D555" s="1"/>
  <c r="F555" s="1"/>
  <c r="B555"/>
  <c r="C555"/>
  <c r="A556"/>
  <c r="D556" s="1"/>
  <c r="E556" s="1"/>
  <c r="G556" s="1"/>
  <c r="B556"/>
  <c r="C556"/>
  <c r="A557"/>
  <c r="D557" s="1"/>
  <c r="F557" s="1"/>
  <c r="B557"/>
  <c r="C557"/>
  <c r="A558"/>
  <c r="D558" s="1"/>
  <c r="E558" s="1"/>
  <c r="G558" s="1"/>
  <c r="B558"/>
  <c r="C558"/>
  <c r="A559"/>
  <c r="D559" s="1"/>
  <c r="F559" s="1"/>
  <c r="B559"/>
  <c r="C559"/>
  <c r="A560"/>
  <c r="D560" s="1"/>
  <c r="E560" s="1"/>
  <c r="G560" s="1"/>
  <c r="B560"/>
  <c r="C560"/>
  <c r="A561"/>
  <c r="D561" s="1"/>
  <c r="F561" s="1"/>
  <c r="B561"/>
  <c r="C561"/>
  <c r="A562"/>
  <c r="D562" s="1"/>
  <c r="E562" s="1"/>
  <c r="G562" s="1"/>
  <c r="B562"/>
  <c r="C562"/>
  <c r="A563"/>
  <c r="D563" s="1"/>
  <c r="F563" s="1"/>
  <c r="B563"/>
  <c r="C563"/>
  <c r="A564"/>
  <c r="D564" s="1"/>
  <c r="E564" s="1"/>
  <c r="G564" s="1"/>
  <c r="B564"/>
  <c r="C564"/>
  <c r="A565"/>
  <c r="D565" s="1"/>
  <c r="F565" s="1"/>
  <c r="B565"/>
  <c r="C565"/>
  <c r="A566"/>
  <c r="D566" s="1"/>
  <c r="E566" s="1"/>
  <c r="G566" s="1"/>
  <c r="B566"/>
  <c r="C566"/>
  <c r="A567"/>
  <c r="D567" s="1"/>
  <c r="F567" s="1"/>
  <c r="B567"/>
  <c r="C567"/>
  <c r="A568"/>
  <c r="D568" s="1"/>
  <c r="E568" s="1"/>
  <c r="G568" s="1"/>
  <c r="B568"/>
  <c r="C568"/>
  <c r="A569"/>
  <c r="D569" s="1"/>
  <c r="F569" s="1"/>
  <c r="B569"/>
  <c r="C569"/>
  <c r="A570"/>
  <c r="D570" s="1"/>
  <c r="E570" s="1"/>
  <c r="G570" s="1"/>
  <c r="B570"/>
  <c r="C570"/>
  <c r="A571"/>
  <c r="D571" s="1"/>
  <c r="F571" s="1"/>
  <c r="B571"/>
  <c r="C571"/>
  <c r="A572"/>
  <c r="D572" s="1"/>
  <c r="E572" s="1"/>
  <c r="G572" s="1"/>
  <c r="B572"/>
  <c r="C572"/>
  <c r="A573"/>
  <c r="D573" s="1"/>
  <c r="F573" s="1"/>
  <c r="B573"/>
  <c r="C573"/>
  <c r="A574"/>
  <c r="D574" s="1"/>
  <c r="E574" s="1"/>
  <c r="G574" s="1"/>
  <c r="B574"/>
  <c r="C574"/>
  <c r="A575"/>
  <c r="D575" s="1"/>
  <c r="F575" s="1"/>
  <c r="B575"/>
  <c r="C575"/>
  <c r="A576"/>
  <c r="D576" s="1"/>
  <c r="E576" s="1"/>
  <c r="G576" s="1"/>
  <c r="B576"/>
  <c r="C576"/>
  <c r="A577"/>
  <c r="D577" s="1"/>
  <c r="F577" s="1"/>
  <c r="B577"/>
  <c r="C577"/>
  <c r="A578"/>
  <c r="B578"/>
  <c r="C578"/>
  <c r="D578"/>
  <c r="E578" s="1"/>
  <c r="G578" s="1"/>
  <c r="A579"/>
  <c r="D579" s="1"/>
  <c r="F579" s="1"/>
  <c r="B579"/>
  <c r="C579"/>
  <c r="A580"/>
  <c r="D580" s="1"/>
  <c r="E580" s="1"/>
  <c r="G580" s="1"/>
  <c r="B580"/>
  <c r="C580"/>
  <c r="A581"/>
  <c r="D581" s="1"/>
  <c r="F581" s="1"/>
  <c r="B581"/>
  <c r="C581"/>
  <c r="A582"/>
  <c r="D582" s="1"/>
  <c r="E582" s="1"/>
  <c r="G582" s="1"/>
  <c r="B582"/>
  <c r="C582"/>
  <c r="A583"/>
  <c r="D583" s="1"/>
  <c r="F583" s="1"/>
  <c r="B583"/>
  <c r="C583"/>
  <c r="A584"/>
  <c r="D584" s="1"/>
  <c r="E584" s="1"/>
  <c r="G584" s="1"/>
  <c r="B584"/>
  <c r="C584"/>
  <c r="A585"/>
  <c r="D585" s="1"/>
  <c r="F585" s="1"/>
  <c r="B585"/>
  <c r="C585"/>
  <c r="A586"/>
  <c r="D586" s="1"/>
  <c r="E586" s="1"/>
  <c r="G586" s="1"/>
  <c r="B586"/>
  <c r="C586"/>
  <c r="A587"/>
  <c r="D587" s="1"/>
  <c r="F587" s="1"/>
  <c r="B587"/>
  <c r="C587"/>
  <c r="A588"/>
  <c r="D588" s="1"/>
  <c r="E588" s="1"/>
  <c r="G588" s="1"/>
  <c r="B588"/>
  <c r="C588"/>
  <c r="A589"/>
  <c r="D589" s="1"/>
  <c r="F589" s="1"/>
  <c r="B589"/>
  <c r="C589"/>
  <c r="A590"/>
  <c r="D590" s="1"/>
  <c r="E590" s="1"/>
  <c r="G590" s="1"/>
  <c r="B590"/>
  <c r="C590"/>
  <c r="A591"/>
  <c r="D591" s="1"/>
  <c r="F591" s="1"/>
  <c r="B591"/>
  <c r="C591"/>
  <c r="A592"/>
  <c r="D592" s="1"/>
  <c r="E592" s="1"/>
  <c r="G592" s="1"/>
  <c r="B592"/>
  <c r="C592"/>
  <c r="A593"/>
  <c r="D593" s="1"/>
  <c r="F593" s="1"/>
  <c r="B593"/>
  <c r="C593"/>
  <c r="A594"/>
  <c r="D594" s="1"/>
  <c r="E594" s="1"/>
  <c r="G594" s="1"/>
  <c r="B594"/>
  <c r="C594"/>
  <c r="A595"/>
  <c r="D595" s="1"/>
  <c r="F595" s="1"/>
  <c r="B595"/>
  <c r="C595"/>
  <c r="A596"/>
  <c r="D596" s="1"/>
  <c r="E596" s="1"/>
  <c r="G596" s="1"/>
  <c r="B596"/>
  <c r="C596"/>
  <c r="A597"/>
  <c r="D597" s="1"/>
  <c r="F597" s="1"/>
  <c r="B597"/>
  <c r="C597"/>
  <c r="A598"/>
  <c r="D598" s="1"/>
  <c r="E598" s="1"/>
  <c r="G598" s="1"/>
  <c r="B598"/>
  <c r="C598"/>
  <c r="A599"/>
  <c r="D599" s="1"/>
  <c r="F599" s="1"/>
  <c r="B599"/>
  <c r="C599"/>
  <c r="A600"/>
  <c r="D600" s="1"/>
  <c r="E600" s="1"/>
  <c r="G600" s="1"/>
  <c r="B600"/>
  <c r="C600"/>
  <c r="A601"/>
  <c r="D601" s="1"/>
  <c r="F601" s="1"/>
  <c r="B601"/>
  <c r="C601"/>
  <c r="A602"/>
  <c r="D602" s="1"/>
  <c r="E602" s="1"/>
  <c r="G602" s="1"/>
  <c r="B602"/>
  <c r="C602"/>
  <c r="A603"/>
  <c r="D603" s="1"/>
  <c r="F603" s="1"/>
  <c r="B603"/>
  <c r="C603"/>
  <c r="A604"/>
  <c r="D604" s="1"/>
  <c r="E604" s="1"/>
  <c r="G604" s="1"/>
  <c r="B604"/>
  <c r="C604"/>
  <c r="A605"/>
  <c r="D605" s="1"/>
  <c r="F605" s="1"/>
  <c r="B605"/>
  <c r="C605"/>
  <c r="A606"/>
  <c r="D606" s="1"/>
  <c r="E606" s="1"/>
  <c r="G606" s="1"/>
  <c r="B606"/>
  <c r="C606"/>
  <c r="A607"/>
  <c r="D607" s="1"/>
  <c r="F607" s="1"/>
  <c r="B607"/>
  <c r="C607"/>
  <c r="A608"/>
  <c r="D608" s="1"/>
  <c r="E608" s="1"/>
  <c r="G608" s="1"/>
  <c r="B608"/>
  <c r="C608"/>
  <c r="A609"/>
  <c r="D609" s="1"/>
  <c r="F609" s="1"/>
  <c r="B609"/>
  <c r="C609"/>
  <c r="A610"/>
  <c r="D610" s="1"/>
  <c r="E610" s="1"/>
  <c r="G610" s="1"/>
  <c r="B610"/>
  <c r="C610"/>
  <c r="A611"/>
  <c r="D611" s="1"/>
  <c r="F611" s="1"/>
  <c r="B611"/>
  <c r="C611"/>
  <c r="A612"/>
  <c r="D612" s="1"/>
  <c r="E612" s="1"/>
  <c r="G612" s="1"/>
  <c r="B612"/>
  <c r="C612"/>
  <c r="A613"/>
  <c r="D613" s="1"/>
  <c r="F613" s="1"/>
  <c r="B613"/>
  <c r="C613"/>
  <c r="A614"/>
  <c r="D614" s="1"/>
  <c r="E614" s="1"/>
  <c r="G614" s="1"/>
  <c r="B614"/>
  <c r="C614"/>
  <c r="A615"/>
  <c r="D615" s="1"/>
  <c r="F615" s="1"/>
  <c r="B615"/>
  <c r="C615"/>
  <c r="A616"/>
  <c r="D616" s="1"/>
  <c r="E616" s="1"/>
  <c r="G616" s="1"/>
  <c r="B616"/>
  <c r="C616"/>
  <c r="A617"/>
  <c r="D617" s="1"/>
  <c r="F617" s="1"/>
  <c r="B617"/>
  <c r="C617"/>
  <c r="A618"/>
  <c r="D618" s="1"/>
  <c r="E618" s="1"/>
  <c r="G618" s="1"/>
  <c r="B618"/>
  <c r="C618"/>
  <c r="A619"/>
  <c r="D619" s="1"/>
  <c r="F619" s="1"/>
  <c r="B619"/>
  <c r="C619"/>
  <c r="A620"/>
  <c r="D620" s="1"/>
  <c r="E620" s="1"/>
  <c r="G620" s="1"/>
  <c r="B620"/>
  <c r="C620"/>
  <c r="A621"/>
  <c r="D621" s="1"/>
  <c r="F621" s="1"/>
  <c r="B621"/>
  <c r="C621"/>
  <c r="A622"/>
  <c r="D622" s="1"/>
  <c r="E622" s="1"/>
  <c r="G622" s="1"/>
  <c r="B622"/>
  <c r="C622"/>
  <c r="A623"/>
  <c r="D623" s="1"/>
  <c r="F623" s="1"/>
  <c r="B623"/>
  <c r="C623"/>
  <c r="A624"/>
  <c r="D624" s="1"/>
  <c r="B624"/>
  <c r="C624"/>
  <c r="A625"/>
  <c r="D625" s="1"/>
  <c r="B625"/>
  <c r="C625"/>
  <c r="A626"/>
  <c r="D626" s="1"/>
  <c r="B626"/>
  <c r="C626"/>
  <c r="A627"/>
  <c r="D627" s="1"/>
  <c r="B627"/>
  <c r="C627"/>
  <c r="A628"/>
  <c r="D628" s="1"/>
  <c r="B628"/>
  <c r="C628"/>
  <c r="A629"/>
  <c r="D629" s="1"/>
  <c r="B629"/>
  <c r="C629"/>
  <c r="A630"/>
  <c r="D630" s="1"/>
  <c r="B630"/>
  <c r="C630"/>
  <c r="A631"/>
  <c r="D631" s="1"/>
  <c r="B631"/>
  <c r="C631"/>
  <c r="A632"/>
  <c r="D632" s="1"/>
  <c r="B632"/>
  <c r="C632"/>
  <c r="A633"/>
  <c r="D633" s="1"/>
  <c r="B633"/>
  <c r="C633"/>
  <c r="A634"/>
  <c r="D634" s="1"/>
  <c r="B634"/>
  <c r="C634"/>
  <c r="A635"/>
  <c r="D635" s="1"/>
  <c r="B635"/>
  <c r="C635"/>
  <c r="A636"/>
  <c r="D636" s="1"/>
  <c r="B636"/>
  <c r="C636"/>
  <c r="A637"/>
  <c r="D637" s="1"/>
  <c r="B637"/>
  <c r="C637"/>
  <c r="A638"/>
  <c r="D638" s="1"/>
  <c r="B638"/>
  <c r="C638"/>
  <c r="A639"/>
  <c r="D639" s="1"/>
  <c r="B639"/>
  <c r="C639"/>
  <c r="A640"/>
  <c r="D640" s="1"/>
  <c r="B640"/>
  <c r="C640"/>
  <c r="A641"/>
  <c r="D641" s="1"/>
  <c r="B641"/>
  <c r="C641"/>
  <c r="A642"/>
  <c r="B642"/>
  <c r="C642"/>
  <c r="D642"/>
  <c r="A643"/>
  <c r="D643" s="1"/>
  <c r="B643"/>
  <c r="C643"/>
  <c r="A644"/>
  <c r="D644" s="1"/>
  <c r="B644"/>
  <c r="C644"/>
  <c r="A645"/>
  <c r="D645" s="1"/>
  <c r="B645"/>
  <c r="C645"/>
  <c r="A646"/>
  <c r="D646" s="1"/>
  <c r="B646"/>
  <c r="C646"/>
  <c r="A647"/>
  <c r="D647" s="1"/>
  <c r="B647"/>
  <c r="C647"/>
  <c r="A648"/>
  <c r="D648" s="1"/>
  <c r="B648"/>
  <c r="C648"/>
  <c r="A649"/>
  <c r="D649" s="1"/>
  <c r="B649"/>
  <c r="C649"/>
  <c r="A650"/>
  <c r="D650" s="1"/>
  <c r="B650"/>
  <c r="C650"/>
  <c r="A651"/>
  <c r="D651" s="1"/>
  <c r="B651"/>
  <c r="C651"/>
  <c r="A652"/>
  <c r="D652" s="1"/>
  <c r="B652"/>
  <c r="C652"/>
  <c r="A653"/>
  <c r="D653" s="1"/>
  <c r="B653"/>
  <c r="C653"/>
  <c r="A654"/>
  <c r="D654" s="1"/>
  <c r="B654"/>
  <c r="C654"/>
  <c r="A655"/>
  <c r="D655" s="1"/>
  <c r="B655"/>
  <c r="C655"/>
  <c r="A656"/>
  <c r="D656" s="1"/>
  <c r="B656"/>
  <c r="C656"/>
  <c r="A657"/>
  <c r="D657" s="1"/>
  <c r="B657"/>
  <c r="C657"/>
  <c r="A658"/>
  <c r="D658" s="1"/>
  <c r="B658"/>
  <c r="C658"/>
  <c r="A659"/>
  <c r="D659" s="1"/>
  <c r="B659"/>
  <c r="C659"/>
  <c r="A660"/>
  <c r="D660" s="1"/>
  <c r="B660"/>
  <c r="C660"/>
  <c r="A661"/>
  <c r="D661" s="1"/>
  <c r="B661"/>
  <c r="C661"/>
  <c r="A662"/>
  <c r="D662" s="1"/>
  <c r="B662"/>
  <c r="C662"/>
  <c r="A663"/>
  <c r="D663" s="1"/>
  <c r="B663"/>
  <c r="C663"/>
  <c r="A664"/>
  <c r="D664" s="1"/>
  <c r="B664"/>
  <c r="C664"/>
  <c r="A665"/>
  <c r="D665" s="1"/>
  <c r="B665"/>
  <c r="C665"/>
  <c r="A666"/>
  <c r="D666" s="1"/>
  <c r="B666"/>
  <c r="C666"/>
  <c r="A667"/>
  <c r="D667" s="1"/>
  <c r="B667"/>
  <c r="C667"/>
  <c r="A668"/>
  <c r="D668" s="1"/>
  <c r="B668"/>
  <c r="C668"/>
  <c r="A669"/>
  <c r="D669" s="1"/>
  <c r="B669"/>
  <c r="C669"/>
  <c r="A670"/>
  <c r="D670" s="1"/>
  <c r="B670"/>
  <c r="C670"/>
  <c r="A671"/>
  <c r="D671" s="1"/>
  <c r="B671"/>
  <c r="C671"/>
  <c r="A672"/>
  <c r="D672" s="1"/>
  <c r="B672"/>
  <c r="C672"/>
  <c r="A673"/>
  <c r="D673" s="1"/>
  <c r="B673"/>
  <c r="C673"/>
  <c r="A674"/>
  <c r="D674" s="1"/>
  <c r="B674"/>
  <c r="C674"/>
  <c r="A675"/>
  <c r="D675" s="1"/>
  <c r="B675"/>
  <c r="C675"/>
  <c r="A676"/>
  <c r="D676" s="1"/>
  <c r="B676"/>
  <c r="C676"/>
  <c r="A677"/>
  <c r="D677" s="1"/>
  <c r="B677"/>
  <c r="C677"/>
  <c r="A678"/>
  <c r="D678" s="1"/>
  <c r="B678"/>
  <c r="C678"/>
  <c r="A679"/>
  <c r="D679" s="1"/>
  <c r="B679"/>
  <c r="C679"/>
  <c r="A680"/>
  <c r="D680" s="1"/>
  <c r="B680"/>
  <c r="C680"/>
  <c r="A681"/>
  <c r="D681" s="1"/>
  <c r="B681"/>
  <c r="C681"/>
  <c r="A682"/>
  <c r="D682" s="1"/>
  <c r="B682"/>
  <c r="C682"/>
  <c r="A683"/>
  <c r="D683" s="1"/>
  <c r="B683"/>
  <c r="C683"/>
  <c r="A684"/>
  <c r="D684" s="1"/>
  <c r="B684"/>
  <c r="C684"/>
  <c r="A685"/>
  <c r="D685" s="1"/>
  <c r="B685"/>
  <c r="C685"/>
  <c r="A686"/>
  <c r="D686" s="1"/>
  <c r="B686"/>
  <c r="C686"/>
  <c r="A687"/>
  <c r="D687" s="1"/>
  <c r="B687"/>
  <c r="C687"/>
  <c r="A688"/>
  <c r="D688" s="1"/>
  <c r="B688"/>
  <c r="C688"/>
  <c r="A689"/>
  <c r="D689" s="1"/>
  <c r="B689"/>
  <c r="C689"/>
  <c r="A690"/>
  <c r="D690" s="1"/>
  <c r="B690"/>
  <c r="C690"/>
  <c r="A691"/>
  <c r="D691" s="1"/>
  <c r="B691"/>
  <c r="C691"/>
  <c r="A692"/>
  <c r="D692" s="1"/>
  <c r="B692"/>
  <c r="C692"/>
  <c r="A693"/>
  <c r="D693" s="1"/>
  <c r="B693"/>
  <c r="C693"/>
  <c r="A694"/>
  <c r="D694" s="1"/>
  <c r="B694"/>
  <c r="C694"/>
  <c r="A695"/>
  <c r="D695" s="1"/>
  <c r="B695"/>
  <c r="C695"/>
  <c r="A696"/>
  <c r="D696" s="1"/>
  <c r="B696"/>
  <c r="C696"/>
  <c r="A697"/>
  <c r="D697" s="1"/>
  <c r="B697"/>
  <c r="C697"/>
  <c r="A698"/>
  <c r="D698" s="1"/>
  <c r="B698"/>
  <c r="C698"/>
  <c r="A699"/>
  <c r="D699" s="1"/>
  <c r="B699"/>
  <c r="C699"/>
  <c r="A700"/>
  <c r="D700" s="1"/>
  <c r="B700"/>
  <c r="C700"/>
  <c r="A701"/>
  <c r="D701" s="1"/>
  <c r="B701"/>
  <c r="C701"/>
  <c r="A702"/>
  <c r="D702" s="1"/>
  <c r="B702"/>
  <c r="C702"/>
  <c r="A703"/>
  <c r="D703" s="1"/>
  <c r="B703"/>
  <c r="C703"/>
  <c r="A704"/>
  <c r="D704" s="1"/>
  <c r="B704"/>
  <c r="C704"/>
  <c r="A705"/>
  <c r="D705" s="1"/>
  <c r="B705"/>
  <c r="C705"/>
  <c r="A706"/>
  <c r="B706"/>
  <c r="C706"/>
  <c r="D706"/>
  <c r="A707"/>
  <c r="D707" s="1"/>
  <c r="B707"/>
  <c r="C707"/>
  <c r="A708"/>
  <c r="D708" s="1"/>
  <c r="B708"/>
  <c r="C708"/>
  <c r="A709"/>
  <c r="D709" s="1"/>
  <c r="B709"/>
  <c r="C709"/>
  <c r="A710"/>
  <c r="D710" s="1"/>
  <c r="B710"/>
  <c r="C710"/>
  <c r="A711"/>
  <c r="D711" s="1"/>
  <c r="B711"/>
  <c r="C711"/>
  <c r="A712"/>
  <c r="D712" s="1"/>
  <c r="B712"/>
  <c r="C712"/>
  <c r="A713"/>
  <c r="D713" s="1"/>
  <c r="B713"/>
  <c r="C713"/>
  <c r="A714"/>
  <c r="D714" s="1"/>
  <c r="B714"/>
  <c r="C714"/>
  <c r="A715"/>
  <c r="D715" s="1"/>
  <c r="B715"/>
  <c r="C715"/>
  <c r="A716"/>
  <c r="D716" s="1"/>
  <c r="B716"/>
  <c r="C716"/>
  <c r="A717"/>
  <c r="D717" s="1"/>
  <c r="B717"/>
  <c r="C717"/>
  <c r="A718"/>
  <c r="D718" s="1"/>
  <c r="B718"/>
  <c r="C718"/>
  <c r="A719"/>
  <c r="D719" s="1"/>
  <c r="B719"/>
  <c r="C719"/>
  <c r="A720"/>
  <c r="D720" s="1"/>
  <c r="B720"/>
  <c r="C720"/>
  <c r="A721"/>
  <c r="D721" s="1"/>
  <c r="B721"/>
  <c r="C721"/>
  <c r="A722"/>
  <c r="D722" s="1"/>
  <c r="B722"/>
  <c r="C722"/>
  <c r="A723"/>
  <c r="D723" s="1"/>
  <c r="B723"/>
  <c r="C723"/>
  <c r="A724"/>
  <c r="D724" s="1"/>
  <c r="B724"/>
  <c r="C724"/>
  <c r="A725"/>
  <c r="D725" s="1"/>
  <c r="B725"/>
  <c r="C725"/>
  <c r="A726"/>
  <c r="D726" s="1"/>
  <c r="B726"/>
  <c r="C726"/>
  <c r="A727"/>
  <c r="D727" s="1"/>
  <c r="B727"/>
  <c r="C727"/>
  <c r="A728"/>
  <c r="D728" s="1"/>
  <c r="B728"/>
  <c r="C728"/>
  <c r="A729"/>
  <c r="D729" s="1"/>
  <c r="B729"/>
  <c r="C729"/>
  <c r="A730"/>
  <c r="D730" s="1"/>
  <c r="B730"/>
  <c r="C730"/>
  <c r="A731"/>
  <c r="D731" s="1"/>
  <c r="B731"/>
  <c r="C731"/>
  <c r="A732"/>
  <c r="D732" s="1"/>
  <c r="B732"/>
  <c r="C732"/>
  <c r="A733"/>
  <c r="D733" s="1"/>
  <c r="B733"/>
  <c r="C733"/>
  <c r="A734"/>
  <c r="D734" s="1"/>
  <c r="B734"/>
  <c r="C734"/>
  <c r="A735"/>
  <c r="D735" s="1"/>
  <c r="B735"/>
  <c r="C735"/>
  <c r="A736"/>
  <c r="D736" s="1"/>
  <c r="B736"/>
  <c r="C736"/>
  <c r="A737"/>
  <c r="D737" s="1"/>
  <c r="B737"/>
  <c r="C737"/>
  <c r="A738"/>
  <c r="D738" s="1"/>
  <c r="B738"/>
  <c r="C738"/>
  <c r="A739"/>
  <c r="D739" s="1"/>
  <c r="B739"/>
  <c r="C739"/>
  <c r="A740"/>
  <c r="D740" s="1"/>
  <c r="B740"/>
  <c r="C740"/>
  <c r="A741"/>
  <c r="D741" s="1"/>
  <c r="B741"/>
  <c r="C741"/>
  <c r="A742"/>
  <c r="D742" s="1"/>
  <c r="B742"/>
  <c r="C742"/>
  <c r="A743"/>
  <c r="D743" s="1"/>
  <c r="B743"/>
  <c r="C743"/>
  <c r="A744"/>
  <c r="D744" s="1"/>
  <c r="B744"/>
  <c r="C744"/>
  <c r="A745"/>
  <c r="D745" s="1"/>
  <c r="B745"/>
  <c r="C745"/>
  <c r="A746"/>
  <c r="D746" s="1"/>
  <c r="B746"/>
  <c r="C746"/>
  <c r="A747"/>
  <c r="D747" s="1"/>
  <c r="B747"/>
  <c r="C747"/>
  <c r="A748"/>
  <c r="D748" s="1"/>
  <c r="B748"/>
  <c r="C748"/>
  <c r="A749"/>
  <c r="D749" s="1"/>
  <c r="B749"/>
  <c r="C749"/>
  <c r="A750"/>
  <c r="D750" s="1"/>
  <c r="B750"/>
  <c r="C750"/>
  <c r="A751"/>
  <c r="D751" s="1"/>
  <c r="B751"/>
  <c r="C751"/>
  <c r="A752"/>
  <c r="D752" s="1"/>
  <c r="B752"/>
  <c r="C752"/>
  <c r="A753"/>
  <c r="D753" s="1"/>
  <c r="B753"/>
  <c r="C753"/>
  <c r="A754"/>
  <c r="D754" s="1"/>
  <c r="B754"/>
  <c r="C754"/>
  <c r="A755"/>
  <c r="D755" s="1"/>
  <c r="B755"/>
  <c r="C755"/>
  <c r="A756"/>
  <c r="D756" s="1"/>
  <c r="B756"/>
  <c r="C756"/>
  <c r="A757"/>
  <c r="D757" s="1"/>
  <c r="B757"/>
  <c r="C757"/>
  <c r="A758"/>
  <c r="D758" s="1"/>
  <c r="B758"/>
  <c r="C758"/>
  <c r="A759"/>
  <c r="D759" s="1"/>
  <c r="E759" s="1"/>
  <c r="G759" s="1"/>
  <c r="B759"/>
  <c r="C759"/>
  <c r="A760"/>
  <c r="D760" s="1"/>
  <c r="F760" s="1"/>
  <c r="B760"/>
  <c r="C760"/>
  <c r="A761"/>
  <c r="D761" s="1"/>
  <c r="B761"/>
  <c r="C761"/>
  <c r="A762"/>
  <c r="D762" s="1"/>
  <c r="F762" s="1"/>
  <c r="B762"/>
  <c r="C762"/>
  <c r="A763"/>
  <c r="D763" s="1"/>
  <c r="E763" s="1"/>
  <c r="G763" s="1"/>
  <c r="B763"/>
  <c r="C763"/>
  <c r="A764"/>
  <c r="D764" s="1"/>
  <c r="F764" s="1"/>
  <c r="B764"/>
  <c r="C764"/>
  <c r="A765"/>
  <c r="D765" s="1"/>
  <c r="E765" s="1"/>
  <c r="G765" s="1"/>
  <c r="B765"/>
  <c r="C765"/>
  <c r="A766"/>
  <c r="D766" s="1"/>
  <c r="F766" s="1"/>
  <c r="B766"/>
  <c r="C766"/>
  <c r="A767"/>
  <c r="D767" s="1"/>
  <c r="E767" s="1"/>
  <c r="G767" s="1"/>
  <c r="B767"/>
  <c r="C767"/>
  <c r="A768"/>
  <c r="D768" s="1"/>
  <c r="F768" s="1"/>
  <c r="B768"/>
  <c r="C768"/>
  <c r="A769"/>
  <c r="D769" s="1"/>
  <c r="B769"/>
  <c r="C769"/>
  <c r="A770"/>
  <c r="D770" s="1"/>
  <c r="B770"/>
  <c r="C770"/>
  <c r="A771"/>
  <c r="D771" s="1"/>
  <c r="B771"/>
  <c r="C771"/>
  <c r="A772"/>
  <c r="D772" s="1"/>
  <c r="B772"/>
  <c r="C772"/>
  <c r="A773"/>
  <c r="D773" s="1"/>
  <c r="B773"/>
  <c r="C773"/>
  <c r="A774"/>
  <c r="D774" s="1"/>
  <c r="B774"/>
  <c r="C774"/>
  <c r="A775"/>
  <c r="D775" s="1"/>
  <c r="B775"/>
  <c r="C775"/>
  <c r="A776"/>
  <c r="D776" s="1"/>
  <c r="B776"/>
  <c r="C776"/>
  <c r="A777"/>
  <c r="D777" s="1"/>
  <c r="B777"/>
  <c r="C777"/>
  <c r="A778"/>
  <c r="D778" s="1"/>
  <c r="B778"/>
  <c r="C778"/>
  <c r="A779"/>
  <c r="D779" s="1"/>
  <c r="B779"/>
  <c r="C779"/>
  <c r="A780"/>
  <c r="D780" s="1"/>
  <c r="B780"/>
  <c r="C780"/>
  <c r="A781"/>
  <c r="D781" s="1"/>
  <c r="B781"/>
  <c r="C781"/>
  <c r="A782"/>
  <c r="D782" s="1"/>
  <c r="B782"/>
  <c r="C782"/>
  <c r="A783"/>
  <c r="D783" s="1"/>
  <c r="B783"/>
  <c r="C783"/>
  <c r="A784"/>
  <c r="D784" s="1"/>
  <c r="B784"/>
  <c r="C784"/>
  <c r="A785"/>
  <c r="D785" s="1"/>
  <c r="B785"/>
  <c r="C785"/>
  <c r="A786"/>
  <c r="D786" s="1"/>
  <c r="B786"/>
  <c r="C786"/>
  <c r="A787"/>
  <c r="D787" s="1"/>
  <c r="B787"/>
  <c r="C787"/>
  <c r="A788"/>
  <c r="D788" s="1"/>
  <c r="B788"/>
  <c r="C788"/>
  <c r="A789"/>
  <c r="D789" s="1"/>
  <c r="B789"/>
  <c r="C789"/>
  <c r="A790"/>
  <c r="D790" s="1"/>
  <c r="B790"/>
  <c r="C790"/>
  <c r="A791"/>
  <c r="D791" s="1"/>
  <c r="B791"/>
  <c r="C791"/>
  <c r="A792"/>
  <c r="D792" s="1"/>
  <c r="B792"/>
  <c r="C792"/>
  <c r="A793"/>
  <c r="D793" s="1"/>
  <c r="B793"/>
  <c r="C793"/>
  <c r="A794"/>
  <c r="D794" s="1"/>
  <c r="B794"/>
  <c r="C794"/>
  <c r="A795"/>
  <c r="D795" s="1"/>
  <c r="B795"/>
  <c r="C795"/>
  <c r="A796"/>
  <c r="D796" s="1"/>
  <c r="B796"/>
  <c r="C796"/>
  <c r="A797"/>
  <c r="D797" s="1"/>
  <c r="B797"/>
  <c r="C797"/>
  <c r="A798"/>
  <c r="D798" s="1"/>
  <c r="B798"/>
  <c r="C798"/>
  <c r="A799"/>
  <c r="D799" s="1"/>
  <c r="B799"/>
  <c r="C799"/>
  <c r="A800"/>
  <c r="D800" s="1"/>
  <c r="B800"/>
  <c r="C800"/>
  <c r="A801"/>
  <c r="D801" s="1"/>
  <c r="B801"/>
  <c r="C801"/>
  <c r="A802"/>
  <c r="D802" s="1"/>
  <c r="B802"/>
  <c r="C802"/>
  <c r="A803"/>
  <c r="D803" s="1"/>
  <c r="B803"/>
  <c r="C803"/>
  <c r="A804"/>
  <c r="D804" s="1"/>
  <c r="B804"/>
  <c r="C804"/>
  <c r="A805"/>
  <c r="D805" s="1"/>
  <c r="B805"/>
  <c r="C805"/>
  <c r="A806"/>
  <c r="D806" s="1"/>
  <c r="B806"/>
  <c r="C806"/>
  <c r="A807"/>
  <c r="D807" s="1"/>
  <c r="B807"/>
  <c r="C807"/>
  <c r="A808"/>
  <c r="D808" s="1"/>
  <c r="B808"/>
  <c r="C808"/>
  <c r="A809"/>
  <c r="D809" s="1"/>
  <c r="B809"/>
  <c r="C809"/>
  <c r="A810"/>
  <c r="D810" s="1"/>
  <c r="B810"/>
  <c r="C810"/>
  <c r="A811"/>
  <c r="D811" s="1"/>
  <c r="B811"/>
  <c r="C811"/>
  <c r="A812"/>
  <c r="D812" s="1"/>
  <c r="B812"/>
  <c r="C812"/>
  <c r="A813"/>
  <c r="B813"/>
  <c r="C813"/>
  <c r="D813"/>
  <c r="A814"/>
  <c r="D814" s="1"/>
  <c r="B814"/>
  <c r="C814"/>
  <c r="A815"/>
  <c r="D815" s="1"/>
  <c r="B815"/>
  <c r="C815"/>
  <c r="A816"/>
  <c r="D816" s="1"/>
  <c r="B816"/>
  <c r="C816"/>
  <c r="A817"/>
  <c r="D817" s="1"/>
  <c r="B817"/>
  <c r="C817"/>
  <c r="A818"/>
  <c r="D818" s="1"/>
  <c r="B818"/>
  <c r="C818"/>
  <c r="A819"/>
  <c r="D819" s="1"/>
  <c r="B819"/>
  <c r="C819"/>
  <c r="A820"/>
  <c r="D820" s="1"/>
  <c r="B820"/>
  <c r="C820"/>
  <c r="A821"/>
  <c r="D821" s="1"/>
  <c r="B821"/>
  <c r="C821"/>
  <c r="A822"/>
  <c r="D822" s="1"/>
  <c r="B822"/>
  <c r="C822"/>
  <c r="A823"/>
  <c r="D823" s="1"/>
  <c r="B823"/>
  <c r="C823"/>
  <c r="A824"/>
  <c r="D824" s="1"/>
  <c r="B824"/>
  <c r="C824"/>
  <c r="A825"/>
  <c r="D825" s="1"/>
  <c r="B825"/>
  <c r="C825"/>
  <c r="A826"/>
  <c r="D826" s="1"/>
  <c r="B826"/>
  <c r="C826"/>
  <c r="A827"/>
  <c r="D827" s="1"/>
  <c r="B827"/>
  <c r="C827"/>
  <c r="A828"/>
  <c r="D828" s="1"/>
  <c r="B828"/>
  <c r="C828"/>
  <c r="A829"/>
  <c r="D829" s="1"/>
  <c r="B829"/>
  <c r="C829"/>
  <c r="A830"/>
  <c r="D830" s="1"/>
  <c r="B830"/>
  <c r="C830"/>
  <c r="A831"/>
  <c r="D831" s="1"/>
  <c r="B831"/>
  <c r="C831"/>
  <c r="A832"/>
  <c r="D832" s="1"/>
  <c r="B832"/>
  <c r="C832"/>
  <c r="A833"/>
  <c r="D833" s="1"/>
  <c r="B833"/>
  <c r="C833"/>
  <c r="A834"/>
  <c r="D834" s="1"/>
  <c r="B834"/>
  <c r="C834"/>
  <c r="A835"/>
  <c r="D835" s="1"/>
  <c r="B835"/>
  <c r="C835"/>
  <c r="A836"/>
  <c r="D836" s="1"/>
  <c r="B836"/>
  <c r="C836"/>
  <c r="A837"/>
  <c r="D837" s="1"/>
  <c r="B837"/>
  <c r="C837"/>
  <c r="A838"/>
  <c r="D838" s="1"/>
  <c r="B838"/>
  <c r="C838"/>
  <c r="A839"/>
  <c r="D839" s="1"/>
  <c r="B839"/>
  <c r="C839"/>
  <c r="A840"/>
  <c r="D840" s="1"/>
  <c r="B840"/>
  <c r="C840"/>
  <c r="A841"/>
  <c r="D841" s="1"/>
  <c r="B841"/>
  <c r="C841"/>
  <c r="A842"/>
  <c r="D842" s="1"/>
  <c r="B842"/>
  <c r="C842"/>
  <c r="A843"/>
  <c r="D843" s="1"/>
  <c r="B843"/>
  <c r="C843"/>
  <c r="A844"/>
  <c r="D844" s="1"/>
  <c r="B844"/>
  <c r="C844"/>
  <c r="A845"/>
  <c r="D845" s="1"/>
  <c r="B845"/>
  <c r="C845"/>
  <c r="A846"/>
  <c r="D846" s="1"/>
  <c r="B846"/>
  <c r="C846"/>
  <c r="A847"/>
  <c r="D847" s="1"/>
  <c r="B847"/>
  <c r="C847"/>
  <c r="A848"/>
  <c r="D848" s="1"/>
  <c r="B848"/>
  <c r="C848"/>
  <c r="A849"/>
  <c r="D849" s="1"/>
  <c r="B849"/>
  <c r="C849"/>
  <c r="A850"/>
  <c r="D850" s="1"/>
  <c r="B850"/>
  <c r="C850"/>
  <c r="A851"/>
  <c r="D851" s="1"/>
  <c r="B851"/>
  <c r="C851"/>
  <c r="A852"/>
  <c r="D852" s="1"/>
  <c r="B852"/>
  <c r="C852"/>
  <c r="A853"/>
  <c r="D853" s="1"/>
  <c r="B853"/>
  <c r="C853"/>
  <c r="A854"/>
  <c r="D854" s="1"/>
  <c r="B854"/>
  <c r="C854"/>
  <c r="A855"/>
  <c r="D855" s="1"/>
  <c r="B855"/>
  <c r="C855"/>
  <c r="A856"/>
  <c r="D856" s="1"/>
  <c r="B856"/>
  <c r="C856"/>
  <c r="A857"/>
  <c r="D857" s="1"/>
  <c r="B857"/>
  <c r="C857"/>
  <c r="A858"/>
  <c r="D858" s="1"/>
  <c r="B858"/>
  <c r="C858"/>
  <c r="A859"/>
  <c r="D859" s="1"/>
  <c r="B859"/>
  <c r="C859"/>
  <c r="A860"/>
  <c r="D860" s="1"/>
  <c r="B860"/>
  <c r="C860"/>
  <c r="A861"/>
  <c r="D861" s="1"/>
  <c r="B861"/>
  <c r="C861"/>
  <c r="A862"/>
  <c r="D862" s="1"/>
  <c r="B862"/>
  <c r="C862"/>
  <c r="A863"/>
  <c r="D863" s="1"/>
  <c r="B863"/>
  <c r="C863"/>
  <c r="A864"/>
  <c r="D864" s="1"/>
  <c r="B864"/>
  <c r="C864"/>
  <c r="A865"/>
  <c r="D865" s="1"/>
  <c r="B865"/>
  <c r="C865"/>
  <c r="A866"/>
  <c r="D866" s="1"/>
  <c r="B866"/>
  <c r="C866"/>
  <c r="A867"/>
  <c r="D867" s="1"/>
  <c r="B867"/>
  <c r="C867"/>
  <c r="A868"/>
  <c r="D868" s="1"/>
  <c r="B868"/>
  <c r="C868"/>
  <c r="A869"/>
  <c r="D869" s="1"/>
  <c r="B869"/>
  <c r="C869"/>
  <c r="A870"/>
  <c r="D870" s="1"/>
  <c r="B870"/>
  <c r="C870"/>
  <c r="A871"/>
  <c r="D871" s="1"/>
  <c r="B871"/>
  <c r="C871"/>
  <c r="A872"/>
  <c r="D872" s="1"/>
  <c r="B872"/>
  <c r="C872"/>
  <c r="A873"/>
  <c r="D873" s="1"/>
  <c r="B873"/>
  <c r="C873"/>
  <c r="A874"/>
  <c r="D874" s="1"/>
  <c r="B874"/>
  <c r="C874"/>
  <c r="A875"/>
  <c r="D875" s="1"/>
  <c r="B875"/>
  <c r="C875"/>
  <c r="A876"/>
  <c r="D876" s="1"/>
  <c r="B876"/>
  <c r="C876"/>
  <c r="A877"/>
  <c r="B877"/>
  <c r="C877"/>
  <c r="D877"/>
  <c r="A878"/>
  <c r="D878" s="1"/>
  <c r="B878"/>
  <c r="C878"/>
  <c r="A879"/>
  <c r="D879" s="1"/>
  <c r="B879"/>
  <c r="C879"/>
  <c r="A880"/>
  <c r="D880" s="1"/>
  <c r="B880"/>
  <c r="C880"/>
  <c r="A881"/>
  <c r="D881" s="1"/>
  <c r="B881"/>
  <c r="C881"/>
  <c r="A882"/>
  <c r="D882" s="1"/>
  <c r="B882"/>
  <c r="C882"/>
  <c r="A883"/>
  <c r="D883" s="1"/>
  <c r="B883"/>
  <c r="C883"/>
  <c r="A884"/>
  <c r="D884" s="1"/>
  <c r="B884"/>
  <c r="C884"/>
  <c r="A885"/>
  <c r="D885" s="1"/>
  <c r="B885"/>
  <c r="C885"/>
  <c r="A886"/>
  <c r="D886" s="1"/>
  <c r="B886"/>
  <c r="C886"/>
  <c r="A887"/>
  <c r="D887" s="1"/>
  <c r="B887"/>
  <c r="C887"/>
  <c r="A888"/>
  <c r="D888" s="1"/>
  <c r="B888"/>
  <c r="C888"/>
  <c r="A889"/>
  <c r="D889" s="1"/>
  <c r="B889"/>
  <c r="C889"/>
  <c r="A890"/>
  <c r="D890" s="1"/>
  <c r="B890"/>
  <c r="C890"/>
  <c r="A891"/>
  <c r="D891" s="1"/>
  <c r="B891"/>
  <c r="C891"/>
  <c r="A892"/>
  <c r="D892" s="1"/>
  <c r="B892"/>
  <c r="C892"/>
  <c r="A893"/>
  <c r="D893" s="1"/>
  <c r="B893"/>
  <c r="C893"/>
  <c r="A894"/>
  <c r="D894" s="1"/>
  <c r="B894"/>
  <c r="C894"/>
  <c r="A895"/>
  <c r="D895" s="1"/>
  <c r="B895"/>
  <c r="C895"/>
  <c r="A896"/>
  <c r="D896" s="1"/>
  <c r="B896"/>
  <c r="C896"/>
  <c r="A897"/>
  <c r="D897" s="1"/>
  <c r="B897"/>
  <c r="C897"/>
  <c r="A898"/>
  <c r="D898" s="1"/>
  <c r="B898"/>
  <c r="C898"/>
  <c r="A899"/>
  <c r="D899" s="1"/>
  <c r="B899"/>
  <c r="C899"/>
  <c r="A900"/>
  <c r="D900" s="1"/>
  <c r="B900"/>
  <c r="C900"/>
  <c r="A901"/>
  <c r="D901" s="1"/>
  <c r="B901"/>
  <c r="C901"/>
  <c r="A902"/>
  <c r="D902" s="1"/>
  <c r="B902"/>
  <c r="C902"/>
  <c r="A903"/>
  <c r="D903" s="1"/>
  <c r="B903"/>
  <c r="C903"/>
  <c r="A904"/>
  <c r="D904" s="1"/>
  <c r="B904"/>
  <c r="C904"/>
  <c r="A905"/>
  <c r="D905" s="1"/>
  <c r="B905"/>
  <c r="C905"/>
  <c r="A906"/>
  <c r="D906" s="1"/>
  <c r="B906"/>
  <c r="C906"/>
  <c r="A907"/>
  <c r="D907" s="1"/>
  <c r="B907"/>
  <c r="C907"/>
  <c r="A908"/>
  <c r="D908" s="1"/>
  <c r="B908"/>
  <c r="C908"/>
  <c r="A909"/>
  <c r="D909" s="1"/>
  <c r="B909"/>
  <c r="C909"/>
  <c r="A910"/>
  <c r="D910" s="1"/>
  <c r="B910"/>
  <c r="C910"/>
  <c r="A911"/>
  <c r="D911" s="1"/>
  <c r="B911"/>
  <c r="C911"/>
  <c r="A912"/>
  <c r="D912" s="1"/>
  <c r="B912"/>
  <c r="C912"/>
  <c r="A913"/>
  <c r="D913" s="1"/>
  <c r="B913"/>
  <c r="C913"/>
  <c r="A914"/>
  <c r="D914" s="1"/>
  <c r="B914"/>
  <c r="C914"/>
  <c r="A915"/>
  <c r="D915" s="1"/>
  <c r="B915"/>
  <c r="C915"/>
  <c r="A916"/>
  <c r="D916" s="1"/>
  <c r="B916"/>
  <c r="C916"/>
  <c r="A917"/>
  <c r="D917" s="1"/>
  <c r="B917"/>
  <c r="C917"/>
  <c r="A918"/>
  <c r="D918" s="1"/>
  <c r="B918"/>
  <c r="C918"/>
  <c r="A919"/>
  <c r="D919" s="1"/>
  <c r="B919"/>
  <c r="C919"/>
  <c r="A920"/>
  <c r="D920" s="1"/>
  <c r="B920"/>
  <c r="C920"/>
  <c r="A921"/>
  <c r="D921" s="1"/>
  <c r="B921"/>
  <c r="C921"/>
  <c r="A922"/>
  <c r="D922" s="1"/>
  <c r="B922"/>
  <c r="C922"/>
  <c r="A923"/>
  <c r="D923" s="1"/>
  <c r="B923"/>
  <c r="C923"/>
  <c r="A924"/>
  <c r="D924" s="1"/>
  <c r="B924"/>
  <c r="C924"/>
  <c r="A925"/>
  <c r="D925" s="1"/>
  <c r="B925"/>
  <c r="C925"/>
  <c r="A926"/>
  <c r="D926" s="1"/>
  <c r="B926"/>
  <c r="C926"/>
  <c r="A927"/>
  <c r="D927" s="1"/>
  <c r="B927"/>
  <c r="C927"/>
  <c r="A928"/>
  <c r="D928" s="1"/>
  <c r="B928"/>
  <c r="C928"/>
  <c r="A929"/>
  <c r="D929" s="1"/>
  <c r="B929"/>
  <c r="C929"/>
  <c r="A930"/>
  <c r="D930" s="1"/>
  <c r="B930"/>
  <c r="C930"/>
  <c r="A931"/>
  <c r="D931" s="1"/>
  <c r="B931"/>
  <c r="C931"/>
  <c r="A932"/>
  <c r="D932" s="1"/>
  <c r="B932"/>
  <c r="C932"/>
  <c r="A933"/>
  <c r="D933" s="1"/>
  <c r="B933"/>
  <c r="C933"/>
  <c r="A934"/>
  <c r="D934" s="1"/>
  <c r="B934"/>
  <c r="C934"/>
  <c r="A935"/>
  <c r="D935" s="1"/>
  <c r="B935"/>
  <c r="C935"/>
  <c r="A936"/>
  <c r="D936" s="1"/>
  <c r="B936"/>
  <c r="C936"/>
  <c r="A937"/>
  <c r="D937" s="1"/>
  <c r="B937"/>
  <c r="C937"/>
  <c r="A938"/>
  <c r="D938" s="1"/>
  <c r="B938"/>
  <c r="C938"/>
  <c r="A939"/>
  <c r="D939" s="1"/>
  <c r="B939"/>
  <c r="C939"/>
  <c r="A940"/>
  <c r="D940" s="1"/>
  <c r="B940"/>
  <c r="C940"/>
  <c r="A941"/>
  <c r="B941"/>
  <c r="C941"/>
  <c r="D941"/>
  <c r="A942"/>
  <c r="D942" s="1"/>
  <c r="B942"/>
  <c r="C942"/>
  <c r="A943"/>
  <c r="D943" s="1"/>
  <c r="B943"/>
  <c r="C943"/>
  <c r="A944"/>
  <c r="D944" s="1"/>
  <c r="B944"/>
  <c r="C944"/>
  <c r="A945"/>
  <c r="D945" s="1"/>
  <c r="B945"/>
  <c r="C945"/>
  <c r="A946"/>
  <c r="D946" s="1"/>
  <c r="B946"/>
  <c r="C946"/>
  <c r="A947"/>
  <c r="D947" s="1"/>
  <c r="B947"/>
  <c r="C947"/>
  <c r="A948"/>
  <c r="D948" s="1"/>
  <c r="B948"/>
  <c r="C948"/>
  <c r="A949"/>
  <c r="D949" s="1"/>
  <c r="B949"/>
  <c r="C949"/>
  <c r="A950"/>
  <c r="D950" s="1"/>
  <c r="B950"/>
  <c r="C950"/>
  <c r="A951"/>
  <c r="D951" s="1"/>
  <c r="B951"/>
  <c r="C951"/>
  <c r="A952"/>
  <c r="D952" s="1"/>
  <c r="F952" s="1"/>
  <c r="B952"/>
  <c r="C952"/>
  <c r="A953"/>
  <c r="D953" s="1"/>
  <c r="E953" s="1"/>
  <c r="G953" s="1"/>
  <c r="B953"/>
  <c r="C953"/>
  <c r="A954"/>
  <c r="D954" s="1"/>
  <c r="F954" s="1"/>
  <c r="B954"/>
  <c r="C954"/>
  <c r="A955"/>
  <c r="D955" s="1"/>
  <c r="E955" s="1"/>
  <c r="G955" s="1"/>
  <c r="B955"/>
  <c r="C955"/>
  <c r="A956"/>
  <c r="D956" s="1"/>
  <c r="F956" s="1"/>
  <c r="B956"/>
  <c r="C956"/>
  <c r="A957"/>
  <c r="D957" s="1"/>
  <c r="E957" s="1"/>
  <c r="G957" s="1"/>
  <c r="B957"/>
  <c r="C957"/>
  <c r="A958"/>
  <c r="D958" s="1"/>
  <c r="F958" s="1"/>
  <c r="B958"/>
  <c r="C958"/>
  <c r="A959"/>
  <c r="D959" s="1"/>
  <c r="E959" s="1"/>
  <c r="G959" s="1"/>
  <c r="B959"/>
  <c r="C959"/>
  <c r="A960"/>
  <c r="D960" s="1"/>
  <c r="F960" s="1"/>
  <c r="B960"/>
  <c r="C960"/>
  <c r="A961"/>
  <c r="D961" s="1"/>
  <c r="E961" s="1"/>
  <c r="G961" s="1"/>
  <c r="B961"/>
  <c r="C961"/>
  <c r="A962"/>
  <c r="D962" s="1"/>
  <c r="F962" s="1"/>
  <c r="B962"/>
  <c r="C962"/>
  <c r="A963"/>
  <c r="D963" s="1"/>
  <c r="E963" s="1"/>
  <c r="G963" s="1"/>
  <c r="B963"/>
  <c r="C963"/>
  <c r="A964"/>
  <c r="D964" s="1"/>
  <c r="F964" s="1"/>
  <c r="B964"/>
  <c r="C964"/>
  <c r="A965"/>
  <c r="D965" s="1"/>
  <c r="E965" s="1"/>
  <c r="G965" s="1"/>
  <c r="B965"/>
  <c r="C965"/>
  <c r="A966"/>
  <c r="D966" s="1"/>
  <c r="F966" s="1"/>
  <c r="B966"/>
  <c r="C966"/>
  <c r="A967"/>
  <c r="D967" s="1"/>
  <c r="E967" s="1"/>
  <c r="G967" s="1"/>
  <c r="B967"/>
  <c r="C967"/>
  <c r="A968"/>
  <c r="D968" s="1"/>
  <c r="F968" s="1"/>
  <c r="B968"/>
  <c r="C968"/>
  <c r="A969"/>
  <c r="D969" s="1"/>
  <c r="E969" s="1"/>
  <c r="G969" s="1"/>
  <c r="B969"/>
  <c r="C969"/>
  <c r="A970"/>
  <c r="D970" s="1"/>
  <c r="F970" s="1"/>
  <c r="B970"/>
  <c r="C970"/>
  <c r="A971"/>
  <c r="D971" s="1"/>
  <c r="E971" s="1"/>
  <c r="G971" s="1"/>
  <c r="B971"/>
  <c r="C971"/>
  <c r="A972"/>
  <c r="D972" s="1"/>
  <c r="F972" s="1"/>
  <c r="B972"/>
  <c r="C972"/>
  <c r="A973"/>
  <c r="D973" s="1"/>
  <c r="E973" s="1"/>
  <c r="G973" s="1"/>
  <c r="B973"/>
  <c r="C973"/>
  <c r="A974"/>
  <c r="D974" s="1"/>
  <c r="F974" s="1"/>
  <c r="B974"/>
  <c r="C974"/>
  <c r="A975"/>
  <c r="D975" s="1"/>
  <c r="E975" s="1"/>
  <c r="G975" s="1"/>
  <c r="B975"/>
  <c r="C975"/>
  <c r="A976"/>
  <c r="D976" s="1"/>
  <c r="F976" s="1"/>
  <c r="B976"/>
  <c r="C976"/>
  <c r="A977"/>
  <c r="D977" s="1"/>
  <c r="E977" s="1"/>
  <c r="G977" s="1"/>
  <c r="B977"/>
  <c r="C977"/>
  <c r="A978"/>
  <c r="D978" s="1"/>
  <c r="F978" s="1"/>
  <c r="B978"/>
  <c r="C978"/>
  <c r="A979"/>
  <c r="D979" s="1"/>
  <c r="E979" s="1"/>
  <c r="G979" s="1"/>
  <c r="B979"/>
  <c r="C979"/>
  <c r="A980"/>
  <c r="D980" s="1"/>
  <c r="F980" s="1"/>
  <c r="B980"/>
  <c r="C980"/>
  <c r="A981"/>
  <c r="D981" s="1"/>
  <c r="E981" s="1"/>
  <c r="G981" s="1"/>
  <c r="B981"/>
  <c r="C981"/>
  <c r="A982"/>
  <c r="D982" s="1"/>
  <c r="F982" s="1"/>
  <c r="B982"/>
  <c r="C982"/>
  <c r="A983"/>
  <c r="D983" s="1"/>
  <c r="E983" s="1"/>
  <c r="G983" s="1"/>
  <c r="B983"/>
  <c r="C983"/>
  <c r="A984"/>
  <c r="D984" s="1"/>
  <c r="F984" s="1"/>
  <c r="B984"/>
  <c r="C984"/>
  <c r="A985"/>
  <c r="D985" s="1"/>
  <c r="E985" s="1"/>
  <c r="G985" s="1"/>
  <c r="B985"/>
  <c r="C985"/>
  <c r="A986"/>
  <c r="D986" s="1"/>
  <c r="F986" s="1"/>
  <c r="B986"/>
  <c r="C986"/>
  <c r="A987"/>
  <c r="D987" s="1"/>
  <c r="E987" s="1"/>
  <c r="G987" s="1"/>
  <c r="B987"/>
  <c r="C987"/>
  <c r="A988"/>
  <c r="D988" s="1"/>
  <c r="F988" s="1"/>
  <c r="B988"/>
  <c r="C988"/>
  <c r="A989"/>
  <c r="D989" s="1"/>
  <c r="E989" s="1"/>
  <c r="G989" s="1"/>
  <c r="B989"/>
  <c r="C989"/>
  <c r="A990"/>
  <c r="D990" s="1"/>
  <c r="F990" s="1"/>
  <c r="B990"/>
  <c r="C990"/>
  <c r="A991"/>
  <c r="D991" s="1"/>
  <c r="E991" s="1"/>
  <c r="G991" s="1"/>
  <c r="B991"/>
  <c r="C991"/>
  <c r="A992"/>
  <c r="D992" s="1"/>
  <c r="F992" s="1"/>
  <c r="B992"/>
  <c r="C992"/>
  <c r="A993"/>
  <c r="D993" s="1"/>
  <c r="E993" s="1"/>
  <c r="G993" s="1"/>
  <c r="B993"/>
  <c r="C993"/>
  <c r="A994"/>
  <c r="D994" s="1"/>
  <c r="F994" s="1"/>
  <c r="B994"/>
  <c r="C994"/>
  <c r="A995"/>
  <c r="D995" s="1"/>
  <c r="E995" s="1"/>
  <c r="G995" s="1"/>
  <c r="B995"/>
  <c r="C995"/>
  <c r="A996"/>
  <c r="D996" s="1"/>
  <c r="F996" s="1"/>
  <c r="B996"/>
  <c r="C996"/>
  <c r="A997"/>
  <c r="D997" s="1"/>
  <c r="E997" s="1"/>
  <c r="G997" s="1"/>
  <c r="B997"/>
  <c r="C997"/>
  <c r="A998"/>
  <c r="D998" s="1"/>
  <c r="F998" s="1"/>
  <c r="B998"/>
  <c r="C998"/>
  <c r="A999"/>
  <c r="D999" s="1"/>
  <c r="E999" s="1"/>
  <c r="G999" s="1"/>
  <c r="B999"/>
  <c r="C999"/>
  <c r="A1000"/>
  <c r="D1000" s="1"/>
  <c r="F1000" s="1"/>
  <c r="B1000"/>
  <c r="C1000"/>
  <c r="A1001"/>
  <c r="D1001" s="1"/>
  <c r="E1001" s="1"/>
  <c r="G1001" s="1"/>
  <c r="B1001"/>
  <c r="C1001"/>
  <c r="A1002"/>
  <c r="D1002" s="1"/>
  <c r="F1002" s="1"/>
  <c r="B1002"/>
  <c r="C1002"/>
  <c r="A1003"/>
  <c r="D1003" s="1"/>
  <c r="E1003" s="1"/>
  <c r="G1003" s="1"/>
  <c r="B1003"/>
  <c r="C1003"/>
  <c r="A1004"/>
  <c r="D1004" s="1"/>
  <c r="F1004" s="1"/>
  <c r="B1004"/>
  <c r="C1004"/>
  <c r="A1005"/>
  <c r="D1005" s="1"/>
  <c r="E1005" s="1"/>
  <c r="G1005" s="1"/>
  <c r="B1005"/>
  <c r="C1005"/>
  <c r="A1006"/>
  <c r="D1006" s="1"/>
  <c r="F1006" s="1"/>
  <c r="B1006"/>
  <c r="C1006"/>
  <c r="A1007"/>
  <c r="B1007"/>
  <c r="C1007"/>
  <c r="D1007"/>
  <c r="E1007" s="1"/>
  <c r="G1007" s="1"/>
  <c r="A1008"/>
  <c r="D1008" s="1"/>
  <c r="F1008" s="1"/>
  <c r="B1008"/>
  <c r="C1008"/>
  <c r="A1009"/>
  <c r="D1009" s="1"/>
  <c r="E1009" s="1"/>
  <c r="G1009" s="1"/>
  <c r="B1009"/>
  <c r="C1009"/>
  <c r="A1010"/>
  <c r="D1010" s="1"/>
  <c r="F1010" s="1"/>
  <c r="B1010"/>
  <c r="C1010"/>
  <c r="A1011"/>
  <c r="D1011" s="1"/>
  <c r="E1011" s="1"/>
  <c r="G1011" s="1"/>
  <c r="B1011"/>
  <c r="C1011"/>
  <c r="A1012"/>
  <c r="D1012" s="1"/>
  <c r="F1012" s="1"/>
  <c r="B1012"/>
  <c r="C1012"/>
  <c r="A1013"/>
  <c r="D1013" s="1"/>
  <c r="E1013" s="1"/>
  <c r="G1013" s="1"/>
  <c r="B1013"/>
  <c r="C1013"/>
  <c r="A1014"/>
  <c r="D1014" s="1"/>
  <c r="F1014" s="1"/>
  <c r="B1014"/>
  <c r="C1014"/>
  <c r="A1015"/>
  <c r="D1015" s="1"/>
  <c r="E1015" s="1"/>
  <c r="G1015" s="1"/>
  <c r="B1015"/>
  <c r="C1015"/>
  <c r="A1016"/>
  <c r="D1016" s="1"/>
  <c r="F1016" s="1"/>
  <c r="B1016"/>
  <c r="C1016"/>
  <c r="A1017"/>
  <c r="D1017" s="1"/>
  <c r="E1017" s="1"/>
  <c r="G1017" s="1"/>
  <c r="B1017"/>
  <c r="C1017"/>
  <c r="A1018"/>
  <c r="D1018" s="1"/>
  <c r="F1018" s="1"/>
  <c r="B1018"/>
  <c r="C1018"/>
  <c r="A1019"/>
  <c r="D1019" s="1"/>
  <c r="E1019" s="1"/>
  <c r="G1019" s="1"/>
  <c r="B1019"/>
  <c r="C1019"/>
  <c r="A1020"/>
  <c r="D1020" s="1"/>
  <c r="F1020" s="1"/>
  <c r="B1020"/>
  <c r="C1020"/>
  <c r="A1021"/>
  <c r="D1021" s="1"/>
  <c r="E1021" s="1"/>
  <c r="G1021" s="1"/>
  <c r="B1021"/>
  <c r="C1021"/>
  <c r="A1022"/>
  <c r="D1022" s="1"/>
  <c r="F1022" s="1"/>
  <c r="B1022"/>
  <c r="C1022"/>
  <c r="A1023"/>
  <c r="D1023" s="1"/>
  <c r="E1023" s="1"/>
  <c r="G1023" s="1"/>
  <c r="B1023"/>
  <c r="C1023"/>
  <c r="A1024"/>
  <c r="D1024" s="1"/>
  <c r="F1024" s="1"/>
  <c r="B1024"/>
  <c r="C1024"/>
  <c r="A1025"/>
  <c r="D1025" s="1"/>
  <c r="E1025" s="1"/>
  <c r="G1025" s="1"/>
  <c r="B1025"/>
  <c r="C1025"/>
  <c r="A1026"/>
  <c r="D1026" s="1"/>
  <c r="F1026" s="1"/>
  <c r="B1026"/>
  <c r="C1026"/>
  <c r="A1027"/>
  <c r="D1027" s="1"/>
  <c r="E1027" s="1"/>
  <c r="G1027" s="1"/>
  <c r="B1027"/>
  <c r="C1027"/>
  <c r="A1028"/>
  <c r="D1028" s="1"/>
  <c r="F1028" s="1"/>
  <c r="B1028"/>
  <c r="C1028"/>
  <c r="A1029"/>
  <c r="D1029" s="1"/>
  <c r="E1029" s="1"/>
  <c r="G1029" s="1"/>
  <c r="B1029"/>
  <c r="C1029"/>
  <c r="A1030"/>
  <c r="D1030" s="1"/>
  <c r="F1030" s="1"/>
  <c r="B1030"/>
  <c r="C1030"/>
  <c r="A1031"/>
  <c r="D1031" s="1"/>
  <c r="E1031" s="1"/>
  <c r="G1031" s="1"/>
  <c r="B1031"/>
  <c r="C1031"/>
  <c r="A1032"/>
  <c r="D1032" s="1"/>
  <c r="F1032" s="1"/>
  <c r="B1032"/>
  <c r="C1032"/>
  <c r="A1033"/>
  <c r="D1033" s="1"/>
  <c r="E1033" s="1"/>
  <c r="G1033" s="1"/>
  <c r="B1033"/>
  <c r="C1033"/>
  <c r="A1034"/>
  <c r="D1034" s="1"/>
  <c r="F1034" s="1"/>
  <c r="B1034"/>
  <c r="C1034"/>
  <c r="A1035"/>
  <c r="D1035" s="1"/>
  <c r="E1035" s="1"/>
  <c r="G1035" s="1"/>
  <c r="B1035"/>
  <c r="C1035"/>
  <c r="A1036"/>
  <c r="D1036" s="1"/>
  <c r="F1036" s="1"/>
  <c r="B1036"/>
  <c r="C1036"/>
  <c r="A1037"/>
  <c r="D1037" s="1"/>
  <c r="E1037" s="1"/>
  <c r="G1037" s="1"/>
  <c r="B1037"/>
  <c r="C1037"/>
  <c r="A1038"/>
  <c r="D1038" s="1"/>
  <c r="F1038" s="1"/>
  <c r="B1038"/>
  <c r="C1038"/>
  <c r="A1039"/>
  <c r="D1039" s="1"/>
  <c r="E1039" s="1"/>
  <c r="G1039" s="1"/>
  <c r="B1039"/>
  <c r="C1039"/>
  <c r="A1040"/>
  <c r="D1040" s="1"/>
  <c r="F1040" s="1"/>
  <c r="B1040"/>
  <c r="C1040"/>
  <c r="A1041"/>
  <c r="D1041" s="1"/>
  <c r="E1041" s="1"/>
  <c r="G1041" s="1"/>
  <c r="B1041"/>
  <c r="C1041"/>
  <c r="A1042"/>
  <c r="D1042" s="1"/>
  <c r="F1042" s="1"/>
  <c r="B1042"/>
  <c r="C1042"/>
  <c r="A1043"/>
  <c r="D1043" s="1"/>
  <c r="E1043" s="1"/>
  <c r="G1043" s="1"/>
  <c r="B1043"/>
  <c r="C1043"/>
  <c r="A1044"/>
  <c r="D1044" s="1"/>
  <c r="F1044" s="1"/>
  <c r="B1044"/>
  <c r="C1044"/>
  <c r="A1045"/>
  <c r="D1045" s="1"/>
  <c r="E1045" s="1"/>
  <c r="G1045" s="1"/>
  <c r="B1045"/>
  <c r="C1045"/>
  <c r="A1046"/>
  <c r="D1046" s="1"/>
  <c r="F1046" s="1"/>
  <c r="B1046"/>
  <c r="C1046"/>
  <c r="A1047"/>
  <c r="D1047" s="1"/>
  <c r="E1047" s="1"/>
  <c r="G1047" s="1"/>
  <c r="B1047"/>
  <c r="C1047"/>
  <c r="A1048"/>
  <c r="D1048" s="1"/>
  <c r="F1048" s="1"/>
  <c r="B1048"/>
  <c r="C1048"/>
  <c r="A1049"/>
  <c r="D1049" s="1"/>
  <c r="E1049" s="1"/>
  <c r="G1049" s="1"/>
  <c r="B1049"/>
  <c r="C1049"/>
  <c r="A1050"/>
  <c r="D1050" s="1"/>
  <c r="F1050" s="1"/>
  <c r="B1050"/>
  <c r="C1050"/>
  <c r="A1051"/>
  <c r="D1051" s="1"/>
  <c r="E1051" s="1"/>
  <c r="G1051" s="1"/>
  <c r="B1051"/>
  <c r="C1051"/>
  <c r="A1052"/>
  <c r="D1052" s="1"/>
  <c r="F1052" s="1"/>
  <c r="B1052"/>
  <c r="C1052"/>
  <c r="A1053"/>
  <c r="D1053" s="1"/>
  <c r="E1053" s="1"/>
  <c r="G1053" s="1"/>
  <c r="B1053"/>
  <c r="C1053"/>
  <c r="A1054"/>
  <c r="D1054" s="1"/>
  <c r="F1054" s="1"/>
  <c r="B1054"/>
  <c r="C1054"/>
  <c r="A1055"/>
  <c r="D1055" s="1"/>
  <c r="E1055" s="1"/>
  <c r="G1055" s="1"/>
  <c r="B1055"/>
  <c r="C1055"/>
  <c r="A1056"/>
  <c r="D1056" s="1"/>
  <c r="F1056" s="1"/>
  <c r="B1056"/>
  <c r="C1056"/>
  <c r="A1057"/>
  <c r="D1057" s="1"/>
  <c r="E1057" s="1"/>
  <c r="G1057" s="1"/>
  <c r="B1057"/>
  <c r="C1057"/>
  <c r="A1058"/>
  <c r="D1058" s="1"/>
  <c r="F1058" s="1"/>
  <c r="B1058"/>
  <c r="C1058"/>
  <c r="A1059"/>
  <c r="D1059" s="1"/>
  <c r="E1059" s="1"/>
  <c r="G1059" s="1"/>
  <c r="B1059"/>
  <c r="C1059"/>
  <c r="A1060"/>
  <c r="D1060" s="1"/>
  <c r="F1060" s="1"/>
  <c r="B1060"/>
  <c r="C1060"/>
  <c r="A1061"/>
  <c r="D1061" s="1"/>
  <c r="E1061" s="1"/>
  <c r="G1061" s="1"/>
  <c r="B1061"/>
  <c r="C1061"/>
  <c r="A1062"/>
  <c r="D1062" s="1"/>
  <c r="F1062" s="1"/>
  <c r="B1062"/>
  <c r="C1062"/>
  <c r="A1063"/>
  <c r="D1063" s="1"/>
  <c r="E1063" s="1"/>
  <c r="G1063" s="1"/>
  <c r="B1063"/>
  <c r="C1063"/>
  <c r="A1064"/>
  <c r="D1064" s="1"/>
  <c r="F1064" s="1"/>
  <c r="B1064"/>
  <c r="C1064"/>
  <c r="A1065"/>
  <c r="D1065" s="1"/>
  <c r="E1065" s="1"/>
  <c r="G1065" s="1"/>
  <c r="B1065"/>
  <c r="C1065"/>
  <c r="A1066"/>
  <c r="D1066" s="1"/>
  <c r="F1066" s="1"/>
  <c r="B1066"/>
  <c r="C1066"/>
  <c r="A1067"/>
  <c r="D1067" s="1"/>
  <c r="E1067" s="1"/>
  <c r="G1067" s="1"/>
  <c r="B1067"/>
  <c r="C1067"/>
  <c r="A1068"/>
  <c r="D1068" s="1"/>
  <c r="F1068" s="1"/>
  <c r="B1068"/>
  <c r="C1068"/>
  <c r="A1069"/>
  <c r="D1069" s="1"/>
  <c r="E1069" s="1"/>
  <c r="G1069" s="1"/>
  <c r="B1069"/>
  <c r="C1069"/>
  <c r="A1070"/>
  <c r="D1070" s="1"/>
  <c r="F1070" s="1"/>
  <c r="B1070"/>
  <c r="C1070"/>
  <c r="A1071"/>
  <c r="B1071"/>
  <c r="C1071"/>
  <c r="D1071"/>
  <c r="E1071" s="1"/>
  <c r="G1071" s="1"/>
  <c r="A1072"/>
  <c r="D1072" s="1"/>
  <c r="F1072" s="1"/>
  <c r="B1072"/>
  <c r="C1072"/>
  <c r="A1073"/>
  <c r="D1073" s="1"/>
  <c r="E1073" s="1"/>
  <c r="G1073" s="1"/>
  <c r="B1073"/>
  <c r="C1073"/>
  <c r="A1074"/>
  <c r="D1074" s="1"/>
  <c r="F1074" s="1"/>
  <c r="B1074"/>
  <c r="C1074"/>
  <c r="A1075"/>
  <c r="D1075" s="1"/>
  <c r="E1075" s="1"/>
  <c r="G1075" s="1"/>
  <c r="B1075"/>
  <c r="C1075"/>
  <c r="A1076"/>
  <c r="D1076" s="1"/>
  <c r="F1076" s="1"/>
  <c r="B1076"/>
  <c r="C1076"/>
  <c r="A1077"/>
  <c r="D1077" s="1"/>
  <c r="E1077" s="1"/>
  <c r="G1077" s="1"/>
  <c r="B1077"/>
  <c r="C1077"/>
  <c r="A1078"/>
  <c r="D1078" s="1"/>
  <c r="F1078" s="1"/>
  <c r="B1078"/>
  <c r="C1078"/>
  <c r="A1079"/>
  <c r="D1079" s="1"/>
  <c r="E1079" s="1"/>
  <c r="G1079" s="1"/>
  <c r="B1079"/>
  <c r="C1079"/>
  <c r="A1080"/>
  <c r="D1080" s="1"/>
  <c r="F1080" s="1"/>
  <c r="B1080"/>
  <c r="C1080"/>
  <c r="A1081"/>
  <c r="D1081" s="1"/>
  <c r="E1081" s="1"/>
  <c r="G1081" s="1"/>
  <c r="B1081"/>
  <c r="C1081"/>
  <c r="A1082"/>
  <c r="D1082" s="1"/>
  <c r="F1082" s="1"/>
  <c r="B1082"/>
  <c r="C1082"/>
  <c r="A1083"/>
  <c r="D1083" s="1"/>
  <c r="E1083" s="1"/>
  <c r="G1083" s="1"/>
  <c r="B1083"/>
  <c r="C1083"/>
  <c r="A1084"/>
  <c r="D1084" s="1"/>
  <c r="F1084" s="1"/>
  <c r="B1084"/>
  <c r="C1084"/>
  <c r="A1085"/>
  <c r="D1085" s="1"/>
  <c r="E1085" s="1"/>
  <c r="G1085" s="1"/>
  <c r="B1085"/>
  <c r="C1085"/>
  <c r="A1086"/>
  <c r="D1086" s="1"/>
  <c r="F1086" s="1"/>
  <c r="B1086"/>
  <c r="C1086"/>
  <c r="A1087"/>
  <c r="D1087" s="1"/>
  <c r="E1087" s="1"/>
  <c r="G1087" s="1"/>
  <c r="B1087"/>
  <c r="C1087"/>
  <c r="A1088"/>
  <c r="D1088" s="1"/>
  <c r="F1088" s="1"/>
  <c r="B1088"/>
  <c r="C1088"/>
  <c r="A1089"/>
  <c r="D1089" s="1"/>
  <c r="E1089" s="1"/>
  <c r="G1089" s="1"/>
  <c r="B1089"/>
  <c r="C1089"/>
  <c r="A1090"/>
  <c r="D1090" s="1"/>
  <c r="F1090" s="1"/>
  <c r="B1090"/>
  <c r="C1090"/>
  <c r="A1091"/>
  <c r="D1091" s="1"/>
  <c r="E1091" s="1"/>
  <c r="G1091" s="1"/>
  <c r="B1091"/>
  <c r="C1091"/>
  <c r="A1092"/>
  <c r="D1092" s="1"/>
  <c r="F1092" s="1"/>
  <c r="B1092"/>
  <c r="C1092"/>
  <c r="A1093"/>
  <c r="D1093" s="1"/>
  <c r="E1093" s="1"/>
  <c r="G1093" s="1"/>
  <c r="B1093"/>
  <c r="C1093"/>
  <c r="A1094"/>
  <c r="D1094" s="1"/>
  <c r="F1094" s="1"/>
  <c r="B1094"/>
  <c r="C1094"/>
  <c r="A1095"/>
  <c r="D1095" s="1"/>
  <c r="E1095" s="1"/>
  <c r="G1095" s="1"/>
  <c r="B1095"/>
  <c r="C1095"/>
  <c r="A1096"/>
  <c r="D1096" s="1"/>
  <c r="F1096" s="1"/>
  <c r="B1096"/>
  <c r="C1096"/>
  <c r="A1097"/>
  <c r="D1097" s="1"/>
  <c r="E1097" s="1"/>
  <c r="G1097" s="1"/>
  <c r="B1097"/>
  <c r="C1097"/>
  <c r="A1098"/>
  <c r="D1098" s="1"/>
  <c r="F1098" s="1"/>
  <c r="B1098"/>
  <c r="C1098"/>
  <c r="A1099"/>
  <c r="D1099" s="1"/>
  <c r="E1099" s="1"/>
  <c r="G1099" s="1"/>
  <c r="B1099"/>
  <c r="C1099"/>
  <c r="A1100"/>
  <c r="D1100" s="1"/>
  <c r="F1100" s="1"/>
  <c r="B1100"/>
  <c r="C1100"/>
  <c r="A1101"/>
  <c r="D1101" s="1"/>
  <c r="E1101" s="1"/>
  <c r="G1101" s="1"/>
  <c r="B1101"/>
  <c r="C1101"/>
  <c r="A1102"/>
  <c r="D1102" s="1"/>
  <c r="F1102" s="1"/>
  <c r="B1102"/>
  <c r="C1102"/>
  <c r="A1103"/>
  <c r="D1103" s="1"/>
  <c r="E1103" s="1"/>
  <c r="G1103" s="1"/>
  <c r="B1103"/>
  <c r="C1103"/>
  <c r="A1104"/>
  <c r="D1104" s="1"/>
  <c r="F1104" s="1"/>
  <c r="B1104"/>
  <c r="C1104"/>
  <c r="A1105"/>
  <c r="D1105" s="1"/>
  <c r="E1105" s="1"/>
  <c r="G1105" s="1"/>
  <c r="B1105"/>
  <c r="C1105"/>
  <c r="A1106"/>
  <c r="D1106" s="1"/>
  <c r="F1106" s="1"/>
  <c r="B1106"/>
  <c r="C1106"/>
  <c r="A1107"/>
  <c r="D1107" s="1"/>
  <c r="E1107" s="1"/>
  <c r="G1107" s="1"/>
  <c r="B1107"/>
  <c r="C1107"/>
  <c r="A1108"/>
  <c r="D1108" s="1"/>
  <c r="F1108" s="1"/>
  <c r="B1108"/>
  <c r="C1108"/>
  <c r="A1109"/>
  <c r="D1109" s="1"/>
  <c r="E1109" s="1"/>
  <c r="G1109" s="1"/>
  <c r="B1109"/>
  <c r="C1109"/>
  <c r="A1110"/>
  <c r="D1110" s="1"/>
  <c r="F1110" s="1"/>
  <c r="B1110"/>
  <c r="C1110"/>
  <c r="A1111"/>
  <c r="D1111" s="1"/>
  <c r="E1111" s="1"/>
  <c r="G1111" s="1"/>
  <c r="B1111"/>
  <c r="C1111"/>
  <c r="A1112"/>
  <c r="D1112" s="1"/>
  <c r="F1112" s="1"/>
  <c r="B1112"/>
  <c r="C1112"/>
  <c r="A1113"/>
  <c r="D1113" s="1"/>
  <c r="E1113" s="1"/>
  <c r="G1113" s="1"/>
  <c r="B1113"/>
  <c r="C1113"/>
  <c r="A1114"/>
  <c r="D1114" s="1"/>
  <c r="F1114" s="1"/>
  <c r="B1114"/>
  <c r="C1114"/>
  <c r="A1115"/>
  <c r="D1115" s="1"/>
  <c r="E1115" s="1"/>
  <c r="G1115" s="1"/>
  <c r="B1115"/>
  <c r="C1115"/>
  <c r="A1116"/>
  <c r="D1116" s="1"/>
  <c r="F1116" s="1"/>
  <c r="B1116"/>
  <c r="C1116"/>
  <c r="A1117"/>
  <c r="D1117" s="1"/>
  <c r="E1117" s="1"/>
  <c r="G1117" s="1"/>
  <c r="B1117"/>
  <c r="C1117"/>
  <c r="A1118"/>
  <c r="D1118" s="1"/>
  <c r="F1118" s="1"/>
  <c r="B1118"/>
  <c r="C1118"/>
  <c r="A1119"/>
  <c r="D1119" s="1"/>
  <c r="E1119" s="1"/>
  <c r="G1119" s="1"/>
  <c r="B1119"/>
  <c r="C1119"/>
  <c r="A1120"/>
  <c r="D1120" s="1"/>
  <c r="F1120" s="1"/>
  <c r="B1120"/>
  <c r="C1120"/>
  <c r="A1121"/>
  <c r="D1121" s="1"/>
  <c r="E1121" s="1"/>
  <c r="G1121" s="1"/>
  <c r="B1121"/>
  <c r="C1121"/>
  <c r="A1122"/>
  <c r="D1122" s="1"/>
  <c r="F1122" s="1"/>
  <c r="B1122"/>
  <c r="C1122"/>
  <c r="A1123"/>
  <c r="D1123" s="1"/>
  <c r="E1123" s="1"/>
  <c r="G1123" s="1"/>
  <c r="B1123"/>
  <c r="C1123"/>
  <c r="A1124"/>
  <c r="D1124" s="1"/>
  <c r="F1124" s="1"/>
  <c r="B1124"/>
  <c r="C1124"/>
  <c r="A1125"/>
  <c r="D1125" s="1"/>
  <c r="E1125" s="1"/>
  <c r="G1125" s="1"/>
  <c r="B1125"/>
  <c r="C1125"/>
  <c r="A1126"/>
  <c r="D1126" s="1"/>
  <c r="F1126" s="1"/>
  <c r="B1126"/>
  <c r="C1126"/>
  <c r="A1127"/>
  <c r="D1127" s="1"/>
  <c r="E1127" s="1"/>
  <c r="G1127" s="1"/>
  <c r="B1127"/>
  <c r="C1127"/>
  <c r="A1128"/>
  <c r="D1128" s="1"/>
  <c r="F1128" s="1"/>
  <c r="B1128"/>
  <c r="C1128"/>
  <c r="A1129"/>
  <c r="D1129" s="1"/>
  <c r="E1129" s="1"/>
  <c r="G1129" s="1"/>
  <c r="B1129"/>
  <c r="C1129"/>
  <c r="A1130"/>
  <c r="D1130" s="1"/>
  <c r="F1130" s="1"/>
  <c r="B1130"/>
  <c r="C1130"/>
  <c r="A1131"/>
  <c r="D1131" s="1"/>
  <c r="E1131" s="1"/>
  <c r="G1131" s="1"/>
  <c r="B1131"/>
  <c r="C1131"/>
  <c r="A1132"/>
  <c r="D1132" s="1"/>
  <c r="F1132" s="1"/>
  <c r="B1132"/>
  <c r="C1132"/>
  <c r="A1133"/>
  <c r="D1133" s="1"/>
  <c r="E1133" s="1"/>
  <c r="G1133" s="1"/>
  <c r="B1133"/>
  <c r="C1133"/>
  <c r="A1134"/>
  <c r="D1134" s="1"/>
  <c r="F1134" s="1"/>
  <c r="B1134"/>
  <c r="C1134"/>
  <c r="A1135"/>
  <c r="B1135"/>
  <c r="C1135"/>
  <c r="D1135"/>
  <c r="E1135" s="1"/>
  <c r="G1135" s="1"/>
  <c r="A1136"/>
  <c r="D1136" s="1"/>
  <c r="F1136" s="1"/>
  <c r="B1136"/>
  <c r="C1136"/>
  <c r="A1137"/>
  <c r="D1137" s="1"/>
  <c r="E1137" s="1"/>
  <c r="G1137" s="1"/>
  <c r="B1137"/>
  <c r="C1137"/>
  <c r="A1138"/>
  <c r="D1138" s="1"/>
  <c r="F1138" s="1"/>
  <c r="B1138"/>
  <c r="C1138"/>
  <c r="A1139"/>
  <c r="D1139" s="1"/>
  <c r="E1139" s="1"/>
  <c r="G1139" s="1"/>
  <c r="B1139"/>
  <c r="C1139"/>
  <c r="A1140"/>
  <c r="D1140" s="1"/>
  <c r="F1140" s="1"/>
  <c r="B1140"/>
  <c r="C1140"/>
  <c r="A1141"/>
  <c r="D1141" s="1"/>
  <c r="E1141" s="1"/>
  <c r="G1141" s="1"/>
  <c r="B1141"/>
  <c r="C1141"/>
  <c r="A1142"/>
  <c r="D1142" s="1"/>
  <c r="F1142" s="1"/>
  <c r="B1142"/>
  <c r="C1142"/>
  <c r="A1143"/>
  <c r="D1143" s="1"/>
  <c r="E1143" s="1"/>
  <c r="G1143" s="1"/>
  <c r="B1143"/>
  <c r="C1143"/>
  <c r="A1144"/>
  <c r="D1144" s="1"/>
  <c r="F1144" s="1"/>
  <c r="B1144"/>
  <c r="C1144"/>
  <c r="A1145"/>
  <c r="D1145" s="1"/>
  <c r="E1145" s="1"/>
  <c r="G1145" s="1"/>
  <c r="B1145"/>
  <c r="C1145"/>
  <c r="A1146"/>
  <c r="D1146" s="1"/>
  <c r="F1146" s="1"/>
  <c r="B1146"/>
  <c r="C1146"/>
  <c r="A1147"/>
  <c r="D1147" s="1"/>
  <c r="E1147" s="1"/>
  <c r="G1147" s="1"/>
  <c r="B1147"/>
  <c r="C1147"/>
  <c r="A1148"/>
  <c r="D1148" s="1"/>
  <c r="F1148" s="1"/>
  <c r="B1148"/>
  <c r="C1148"/>
  <c r="A1149"/>
  <c r="D1149" s="1"/>
  <c r="E1149" s="1"/>
  <c r="G1149" s="1"/>
  <c r="B1149"/>
  <c r="C1149"/>
  <c r="A1150"/>
  <c r="D1150" s="1"/>
  <c r="F1150" s="1"/>
  <c r="B1150"/>
  <c r="C1150"/>
  <c r="A1151"/>
  <c r="D1151" s="1"/>
  <c r="E1151" s="1"/>
  <c r="G1151" s="1"/>
  <c r="B1151"/>
  <c r="C1151"/>
  <c r="A1152"/>
  <c r="D1152" s="1"/>
  <c r="F1152" s="1"/>
  <c r="B1152"/>
  <c r="C1152"/>
  <c r="A1153"/>
  <c r="D1153" s="1"/>
  <c r="E1153" s="1"/>
  <c r="G1153" s="1"/>
  <c r="B1153"/>
  <c r="C1153"/>
  <c r="A1154"/>
  <c r="D1154" s="1"/>
  <c r="F1154" s="1"/>
  <c r="B1154"/>
  <c r="C1154"/>
  <c r="A1155"/>
  <c r="D1155" s="1"/>
  <c r="E1155" s="1"/>
  <c r="G1155" s="1"/>
  <c r="B1155"/>
  <c r="C1155"/>
  <c r="A1156"/>
  <c r="D1156" s="1"/>
  <c r="F1156" s="1"/>
  <c r="B1156"/>
  <c r="C1156"/>
  <c r="A1157"/>
  <c r="D1157" s="1"/>
  <c r="E1157" s="1"/>
  <c r="G1157" s="1"/>
  <c r="B1157"/>
  <c r="C1157"/>
  <c r="A1158"/>
  <c r="D1158" s="1"/>
  <c r="F1158" s="1"/>
  <c r="B1158"/>
  <c r="C1158"/>
  <c r="A1159"/>
  <c r="D1159" s="1"/>
  <c r="E1159" s="1"/>
  <c r="G1159" s="1"/>
  <c r="B1159"/>
  <c r="C1159"/>
  <c r="A1160"/>
  <c r="D1160" s="1"/>
  <c r="F1160" s="1"/>
  <c r="B1160"/>
  <c r="C1160"/>
  <c r="A1161"/>
  <c r="D1161" s="1"/>
  <c r="E1161" s="1"/>
  <c r="G1161" s="1"/>
  <c r="B1161"/>
  <c r="C1161"/>
  <c r="A1162"/>
  <c r="D1162" s="1"/>
  <c r="F1162" s="1"/>
  <c r="B1162"/>
  <c r="C1162"/>
  <c r="A1163"/>
  <c r="D1163" s="1"/>
  <c r="E1163" s="1"/>
  <c r="G1163" s="1"/>
  <c r="B1163"/>
  <c r="C1163"/>
  <c r="A1164"/>
  <c r="D1164" s="1"/>
  <c r="F1164" s="1"/>
  <c r="B1164"/>
  <c r="C1164"/>
  <c r="A1165"/>
  <c r="D1165" s="1"/>
  <c r="E1165" s="1"/>
  <c r="G1165" s="1"/>
  <c r="B1165"/>
  <c r="C1165"/>
  <c r="A1166"/>
  <c r="D1166" s="1"/>
  <c r="F1166" s="1"/>
  <c r="B1166"/>
  <c r="C1166"/>
  <c r="A1167"/>
  <c r="D1167" s="1"/>
  <c r="E1167" s="1"/>
  <c r="G1167" s="1"/>
  <c r="B1167"/>
  <c r="C1167"/>
  <c r="A1168"/>
  <c r="D1168" s="1"/>
  <c r="F1168" s="1"/>
  <c r="B1168"/>
  <c r="C1168"/>
  <c r="A1169"/>
  <c r="D1169" s="1"/>
  <c r="E1169" s="1"/>
  <c r="G1169" s="1"/>
  <c r="B1169"/>
  <c r="C1169"/>
  <c r="A1170"/>
  <c r="D1170" s="1"/>
  <c r="F1170" s="1"/>
  <c r="B1170"/>
  <c r="C1170"/>
  <c r="A1171"/>
  <c r="D1171" s="1"/>
  <c r="E1171" s="1"/>
  <c r="G1171" s="1"/>
  <c r="B1171"/>
  <c r="C1171"/>
  <c r="A1172"/>
  <c r="D1172" s="1"/>
  <c r="F1172" s="1"/>
  <c r="B1172"/>
  <c r="C1172"/>
  <c r="A1173"/>
  <c r="D1173" s="1"/>
  <c r="E1173" s="1"/>
  <c r="G1173" s="1"/>
  <c r="B1173"/>
  <c r="C1173"/>
  <c r="A1174"/>
  <c r="D1174" s="1"/>
  <c r="F1174" s="1"/>
  <c r="B1174"/>
  <c r="C1174"/>
  <c r="A1175"/>
  <c r="D1175" s="1"/>
  <c r="E1175" s="1"/>
  <c r="G1175" s="1"/>
  <c r="B1175"/>
  <c r="C1175"/>
  <c r="A1176"/>
  <c r="D1176" s="1"/>
  <c r="F1176" s="1"/>
  <c r="B1176"/>
  <c r="C1176"/>
  <c r="A1177"/>
  <c r="D1177" s="1"/>
  <c r="E1177" s="1"/>
  <c r="G1177" s="1"/>
  <c r="B1177"/>
  <c r="C1177"/>
  <c r="A1178"/>
  <c r="D1178" s="1"/>
  <c r="F1178" s="1"/>
  <c r="B1178"/>
  <c r="C1178"/>
  <c r="A1179"/>
  <c r="D1179" s="1"/>
  <c r="E1179" s="1"/>
  <c r="G1179" s="1"/>
  <c r="B1179"/>
  <c r="C1179"/>
  <c r="A1180"/>
  <c r="D1180" s="1"/>
  <c r="F1180" s="1"/>
  <c r="B1180"/>
  <c r="C1180"/>
  <c r="A1181"/>
  <c r="D1181" s="1"/>
  <c r="E1181" s="1"/>
  <c r="G1181" s="1"/>
  <c r="B1181"/>
  <c r="C1181"/>
  <c r="A1182"/>
  <c r="D1182" s="1"/>
  <c r="F1182" s="1"/>
  <c r="B1182"/>
  <c r="C1182"/>
  <c r="A1183"/>
  <c r="D1183" s="1"/>
  <c r="E1183" s="1"/>
  <c r="G1183" s="1"/>
  <c r="B1183"/>
  <c r="C1183"/>
  <c r="A1184"/>
  <c r="D1184" s="1"/>
  <c r="F1184" s="1"/>
  <c r="B1184"/>
  <c r="C1184"/>
  <c r="A1185"/>
  <c r="D1185" s="1"/>
  <c r="E1185" s="1"/>
  <c r="G1185" s="1"/>
  <c r="B1185"/>
  <c r="C1185"/>
  <c r="A1186"/>
  <c r="D1186" s="1"/>
  <c r="F1186" s="1"/>
  <c r="B1186"/>
  <c r="C1186"/>
  <c r="A1187"/>
  <c r="D1187" s="1"/>
  <c r="E1187" s="1"/>
  <c r="G1187" s="1"/>
  <c r="B1187"/>
  <c r="C1187"/>
  <c r="A1188"/>
  <c r="D1188" s="1"/>
  <c r="F1188" s="1"/>
  <c r="B1188"/>
  <c r="C1188"/>
  <c r="A1189"/>
  <c r="D1189" s="1"/>
  <c r="E1189" s="1"/>
  <c r="G1189" s="1"/>
  <c r="B1189"/>
  <c r="C1189"/>
  <c r="A1190"/>
  <c r="D1190" s="1"/>
  <c r="F1190" s="1"/>
  <c r="B1190"/>
  <c r="C1190"/>
  <c r="A1191"/>
  <c r="D1191" s="1"/>
  <c r="E1191" s="1"/>
  <c r="G1191" s="1"/>
  <c r="B1191"/>
  <c r="C1191"/>
  <c r="A1192"/>
  <c r="D1192" s="1"/>
  <c r="F1192" s="1"/>
  <c r="B1192"/>
  <c r="C1192"/>
  <c r="A1193"/>
  <c r="D1193" s="1"/>
  <c r="E1193" s="1"/>
  <c r="G1193" s="1"/>
  <c r="B1193"/>
  <c r="C1193"/>
  <c r="A1194"/>
  <c r="D1194" s="1"/>
  <c r="F1194" s="1"/>
  <c r="B1194"/>
  <c r="C1194"/>
  <c r="A1195"/>
  <c r="D1195" s="1"/>
  <c r="E1195" s="1"/>
  <c r="G1195" s="1"/>
  <c r="B1195"/>
  <c r="C1195"/>
  <c r="A1196"/>
  <c r="D1196" s="1"/>
  <c r="F1196" s="1"/>
  <c r="B1196"/>
  <c r="C1196"/>
  <c r="A1197"/>
  <c r="D1197" s="1"/>
  <c r="E1197" s="1"/>
  <c r="G1197" s="1"/>
  <c r="B1197"/>
  <c r="C1197"/>
  <c r="A1198"/>
  <c r="D1198" s="1"/>
  <c r="F1198" s="1"/>
  <c r="B1198"/>
  <c r="C1198"/>
  <c r="A1199"/>
  <c r="B1199"/>
  <c r="C1199"/>
  <c r="D1199"/>
  <c r="E1199" s="1"/>
  <c r="G1199" s="1"/>
  <c r="A1200"/>
  <c r="D1200" s="1"/>
  <c r="F1200" s="1"/>
  <c r="B1200"/>
  <c r="C1200"/>
  <c r="A1201"/>
  <c r="D1201" s="1"/>
  <c r="E1201" s="1"/>
  <c r="G1201" s="1"/>
  <c r="B1201"/>
  <c r="C1201"/>
  <c r="A1202"/>
  <c r="D1202" s="1"/>
  <c r="F1202" s="1"/>
  <c r="B1202"/>
  <c r="C1202"/>
  <c r="A1203"/>
  <c r="D1203" s="1"/>
  <c r="E1203" s="1"/>
  <c r="G1203" s="1"/>
  <c r="B1203"/>
  <c r="C1203"/>
  <c r="A1204"/>
  <c r="D1204" s="1"/>
  <c r="F1204" s="1"/>
  <c r="B1204"/>
  <c r="C1204"/>
  <c r="A1205"/>
  <c r="D1205" s="1"/>
  <c r="E1205" s="1"/>
  <c r="G1205" s="1"/>
  <c r="B1205"/>
  <c r="C1205"/>
  <c r="A1206"/>
  <c r="D1206" s="1"/>
  <c r="F1206" s="1"/>
  <c r="B1206"/>
  <c r="C1206"/>
  <c r="A1207"/>
  <c r="D1207" s="1"/>
  <c r="E1207" s="1"/>
  <c r="G1207" s="1"/>
  <c r="B1207"/>
  <c r="C1207"/>
  <c r="A1208"/>
  <c r="D1208" s="1"/>
  <c r="F1208" s="1"/>
  <c r="B1208"/>
  <c r="C1208"/>
  <c r="A1209"/>
  <c r="D1209" s="1"/>
  <c r="E1209" s="1"/>
  <c r="G1209" s="1"/>
  <c r="B1209"/>
  <c r="C1209"/>
  <c r="A1210"/>
  <c r="D1210" s="1"/>
  <c r="F1210" s="1"/>
  <c r="B1210"/>
  <c r="C1210"/>
  <c r="A1211"/>
  <c r="D1211" s="1"/>
  <c r="E1211" s="1"/>
  <c r="G1211" s="1"/>
  <c r="B1211"/>
  <c r="C1211"/>
  <c r="A1212"/>
  <c r="D1212" s="1"/>
  <c r="F1212" s="1"/>
  <c r="B1212"/>
  <c r="C1212"/>
  <c r="A1213"/>
  <c r="D1213" s="1"/>
  <c r="E1213" s="1"/>
  <c r="G1213" s="1"/>
  <c r="B1213"/>
  <c r="C1213"/>
  <c r="A1214"/>
  <c r="D1214" s="1"/>
  <c r="F1214" s="1"/>
  <c r="B1214"/>
  <c r="C1214"/>
  <c r="A1215"/>
  <c r="D1215" s="1"/>
  <c r="E1215" s="1"/>
  <c r="G1215" s="1"/>
  <c r="B1215"/>
  <c r="C1215"/>
  <c r="A1216"/>
  <c r="D1216" s="1"/>
  <c r="F1216" s="1"/>
  <c r="B1216"/>
  <c r="C1216"/>
  <c r="A1217"/>
  <c r="D1217" s="1"/>
  <c r="E1217" s="1"/>
  <c r="G1217" s="1"/>
  <c r="B1217"/>
  <c r="C1217"/>
  <c r="A1218"/>
  <c r="D1218" s="1"/>
  <c r="F1218" s="1"/>
  <c r="B1218"/>
  <c r="C1218"/>
  <c r="A1219"/>
  <c r="D1219" s="1"/>
  <c r="E1219" s="1"/>
  <c r="G1219" s="1"/>
  <c r="B1219"/>
  <c r="C1219"/>
  <c r="A1220"/>
  <c r="D1220" s="1"/>
  <c r="F1220" s="1"/>
  <c r="B1220"/>
  <c r="C1220"/>
  <c r="A1221"/>
  <c r="D1221" s="1"/>
  <c r="E1221" s="1"/>
  <c r="G1221" s="1"/>
  <c r="B1221"/>
  <c r="C1221"/>
  <c r="A1222"/>
  <c r="D1222" s="1"/>
  <c r="F1222" s="1"/>
  <c r="B1222"/>
  <c r="C1222"/>
  <c r="A1223"/>
  <c r="D1223" s="1"/>
  <c r="E1223" s="1"/>
  <c r="G1223" s="1"/>
  <c r="B1223"/>
  <c r="C1223"/>
  <c r="A1224"/>
  <c r="D1224" s="1"/>
  <c r="F1224" s="1"/>
  <c r="B1224"/>
  <c r="C1224"/>
  <c r="A1225"/>
  <c r="D1225" s="1"/>
  <c r="E1225" s="1"/>
  <c r="G1225" s="1"/>
  <c r="B1225"/>
  <c r="C1225"/>
  <c r="A1226"/>
  <c r="D1226" s="1"/>
  <c r="F1226" s="1"/>
  <c r="B1226"/>
  <c r="C1226"/>
  <c r="A1227"/>
  <c r="D1227" s="1"/>
  <c r="E1227" s="1"/>
  <c r="G1227" s="1"/>
  <c r="B1227"/>
  <c r="C1227"/>
  <c r="A1228"/>
  <c r="D1228" s="1"/>
  <c r="F1228" s="1"/>
  <c r="B1228"/>
  <c r="C1228"/>
  <c r="A1229"/>
  <c r="D1229" s="1"/>
  <c r="E1229" s="1"/>
  <c r="G1229" s="1"/>
  <c r="B1229"/>
  <c r="C1229"/>
  <c r="A1230"/>
  <c r="D1230" s="1"/>
  <c r="F1230" s="1"/>
  <c r="B1230"/>
  <c r="C1230"/>
  <c r="A1231"/>
  <c r="D1231" s="1"/>
  <c r="E1231" s="1"/>
  <c r="G1231" s="1"/>
  <c r="B1231"/>
  <c r="C1231"/>
  <c r="A1232"/>
  <c r="D1232" s="1"/>
  <c r="F1232" s="1"/>
  <c r="B1232"/>
  <c r="C1232"/>
  <c r="A1233"/>
  <c r="D1233" s="1"/>
  <c r="E1233" s="1"/>
  <c r="G1233" s="1"/>
  <c r="B1233"/>
  <c r="C1233"/>
  <c r="A1234"/>
  <c r="D1234" s="1"/>
  <c r="F1234" s="1"/>
  <c r="B1234"/>
  <c r="C1234"/>
  <c r="A1235"/>
  <c r="D1235" s="1"/>
  <c r="E1235" s="1"/>
  <c r="G1235" s="1"/>
  <c r="B1235"/>
  <c r="C1235"/>
  <c r="A1236"/>
  <c r="D1236" s="1"/>
  <c r="F1236" s="1"/>
  <c r="B1236"/>
  <c r="C1236"/>
  <c r="A1237"/>
  <c r="D1237" s="1"/>
  <c r="E1237" s="1"/>
  <c r="G1237" s="1"/>
  <c r="B1237"/>
  <c r="C1237"/>
  <c r="A1238"/>
  <c r="D1238" s="1"/>
  <c r="F1238" s="1"/>
  <c r="B1238"/>
  <c r="C1238"/>
  <c r="A1239"/>
  <c r="D1239" s="1"/>
  <c r="E1239" s="1"/>
  <c r="G1239" s="1"/>
  <c r="B1239"/>
  <c r="C1239"/>
  <c r="A1240"/>
  <c r="D1240" s="1"/>
  <c r="F1240" s="1"/>
  <c r="B1240"/>
  <c r="C1240"/>
  <c r="A1241"/>
  <c r="D1241" s="1"/>
  <c r="E1241" s="1"/>
  <c r="G1241" s="1"/>
  <c r="B1241"/>
  <c r="C1241"/>
  <c r="A1242"/>
  <c r="D1242" s="1"/>
  <c r="F1242" s="1"/>
  <c r="B1242"/>
  <c r="C1242"/>
  <c r="A1243"/>
  <c r="D1243" s="1"/>
  <c r="E1243" s="1"/>
  <c r="G1243" s="1"/>
  <c r="B1243"/>
  <c r="C1243"/>
  <c r="A1244"/>
  <c r="D1244" s="1"/>
  <c r="F1244" s="1"/>
  <c r="B1244"/>
  <c r="C1244"/>
  <c r="A1245"/>
  <c r="D1245" s="1"/>
  <c r="E1245" s="1"/>
  <c r="G1245" s="1"/>
  <c r="B1245"/>
  <c r="C1245"/>
  <c r="A1246"/>
  <c r="D1246" s="1"/>
  <c r="F1246" s="1"/>
  <c r="B1246"/>
  <c r="C1246"/>
  <c r="A1247"/>
  <c r="D1247" s="1"/>
  <c r="E1247" s="1"/>
  <c r="G1247" s="1"/>
  <c r="B1247"/>
  <c r="C1247"/>
  <c r="A1248"/>
  <c r="D1248" s="1"/>
  <c r="F1248" s="1"/>
  <c r="B1248"/>
  <c r="C1248"/>
  <c r="A1249"/>
  <c r="D1249" s="1"/>
  <c r="E1249" s="1"/>
  <c r="G1249" s="1"/>
  <c r="B1249"/>
  <c r="C1249"/>
  <c r="A1250"/>
  <c r="D1250" s="1"/>
  <c r="F1250" s="1"/>
  <c r="B1250"/>
  <c r="C1250"/>
  <c r="A1251"/>
  <c r="D1251" s="1"/>
  <c r="E1251" s="1"/>
  <c r="G1251" s="1"/>
  <c r="B1251"/>
  <c r="C1251"/>
  <c r="A1252"/>
  <c r="D1252" s="1"/>
  <c r="F1252" s="1"/>
  <c r="B1252"/>
  <c r="C1252"/>
  <c r="A1253"/>
  <c r="D1253" s="1"/>
  <c r="E1253" s="1"/>
  <c r="G1253" s="1"/>
  <c r="B1253"/>
  <c r="C1253"/>
  <c r="A1254"/>
  <c r="D1254" s="1"/>
  <c r="F1254" s="1"/>
  <c r="B1254"/>
  <c r="C1254"/>
  <c r="A1255"/>
  <c r="D1255" s="1"/>
  <c r="E1255" s="1"/>
  <c r="G1255" s="1"/>
  <c r="B1255"/>
  <c r="C1255"/>
  <c r="A1256"/>
  <c r="D1256" s="1"/>
  <c r="F1256" s="1"/>
  <c r="B1256"/>
  <c r="C1256"/>
  <c r="A1257"/>
  <c r="D1257" s="1"/>
  <c r="E1257" s="1"/>
  <c r="G1257" s="1"/>
  <c r="B1257"/>
  <c r="C1257"/>
  <c r="A1258"/>
  <c r="D1258" s="1"/>
  <c r="F1258" s="1"/>
  <c r="B1258"/>
  <c r="C1258"/>
  <c r="A1259"/>
  <c r="D1259" s="1"/>
  <c r="E1259" s="1"/>
  <c r="G1259" s="1"/>
  <c r="B1259"/>
  <c r="C1259"/>
  <c r="A1260"/>
  <c r="D1260" s="1"/>
  <c r="F1260" s="1"/>
  <c r="B1260"/>
  <c r="C1260"/>
  <c r="A1261"/>
  <c r="D1261" s="1"/>
  <c r="E1261" s="1"/>
  <c r="G1261" s="1"/>
  <c r="B1261"/>
  <c r="C1261"/>
  <c r="A1262"/>
  <c r="D1262" s="1"/>
  <c r="F1262" s="1"/>
  <c r="B1262"/>
  <c r="C1262"/>
  <c r="A1263"/>
  <c r="B1263"/>
  <c r="C1263"/>
  <c r="D1263"/>
  <c r="E1263" s="1"/>
  <c r="G1263" s="1"/>
  <c r="A1264"/>
  <c r="D1264" s="1"/>
  <c r="F1264" s="1"/>
  <c r="B1264"/>
  <c r="C1264"/>
  <c r="A1265"/>
  <c r="D1265" s="1"/>
  <c r="E1265" s="1"/>
  <c r="G1265" s="1"/>
  <c r="B1265"/>
  <c r="C1265"/>
  <c r="A1266"/>
  <c r="D1266" s="1"/>
  <c r="F1266" s="1"/>
  <c r="B1266"/>
  <c r="C1266"/>
  <c r="A1267"/>
  <c r="D1267" s="1"/>
  <c r="E1267" s="1"/>
  <c r="G1267" s="1"/>
  <c r="B1267"/>
  <c r="C1267"/>
  <c r="A1268"/>
  <c r="D1268" s="1"/>
  <c r="F1268" s="1"/>
  <c r="B1268"/>
  <c r="C1268"/>
  <c r="A1269"/>
  <c r="D1269" s="1"/>
  <c r="E1269" s="1"/>
  <c r="G1269" s="1"/>
  <c r="B1269"/>
  <c r="C1269"/>
  <c r="A1270"/>
  <c r="D1270" s="1"/>
  <c r="F1270" s="1"/>
  <c r="B1270"/>
  <c r="C1270"/>
  <c r="A1271"/>
  <c r="D1271" s="1"/>
  <c r="E1271" s="1"/>
  <c r="G1271" s="1"/>
  <c r="B1271"/>
  <c r="C1271"/>
  <c r="A1272"/>
  <c r="D1272" s="1"/>
  <c r="F1272" s="1"/>
  <c r="B1272"/>
  <c r="C1272"/>
  <c r="A1273"/>
  <c r="D1273" s="1"/>
  <c r="E1273" s="1"/>
  <c r="G1273" s="1"/>
  <c r="B1273"/>
  <c r="C1273"/>
  <c r="A1274"/>
  <c r="D1274" s="1"/>
  <c r="F1274" s="1"/>
  <c r="B1274"/>
  <c r="C1274"/>
  <c r="A1275"/>
  <c r="D1275" s="1"/>
  <c r="E1275" s="1"/>
  <c r="G1275" s="1"/>
  <c r="B1275"/>
  <c r="C1275"/>
  <c r="A1276"/>
  <c r="D1276" s="1"/>
  <c r="F1276" s="1"/>
  <c r="B1276"/>
  <c r="C1276"/>
  <c r="A1277"/>
  <c r="D1277" s="1"/>
  <c r="E1277" s="1"/>
  <c r="G1277" s="1"/>
  <c r="B1277"/>
  <c r="C1277"/>
  <c r="A1278"/>
  <c r="D1278" s="1"/>
  <c r="F1278" s="1"/>
  <c r="B1278"/>
  <c r="C1278"/>
  <c r="A1279"/>
  <c r="D1279" s="1"/>
  <c r="E1279" s="1"/>
  <c r="G1279" s="1"/>
  <c r="B1279"/>
  <c r="C1279"/>
  <c r="A1280"/>
  <c r="D1280" s="1"/>
  <c r="F1280" s="1"/>
  <c r="B1280"/>
  <c r="C1280"/>
  <c r="A1281"/>
  <c r="D1281" s="1"/>
  <c r="E1281" s="1"/>
  <c r="G1281" s="1"/>
  <c r="B1281"/>
  <c r="C1281"/>
  <c r="A1282"/>
  <c r="D1282" s="1"/>
  <c r="F1282" s="1"/>
  <c r="B1282"/>
  <c r="C1282"/>
  <c r="A1283"/>
  <c r="D1283" s="1"/>
  <c r="E1283" s="1"/>
  <c r="G1283" s="1"/>
  <c r="B1283"/>
  <c r="C1283"/>
  <c r="A1284"/>
  <c r="D1284" s="1"/>
  <c r="F1284" s="1"/>
  <c r="B1284"/>
  <c r="C1284"/>
  <c r="A1285"/>
  <c r="D1285" s="1"/>
  <c r="E1285" s="1"/>
  <c r="G1285" s="1"/>
  <c r="B1285"/>
  <c r="C1285"/>
  <c r="A1286"/>
  <c r="D1286" s="1"/>
  <c r="F1286" s="1"/>
  <c r="B1286"/>
  <c r="C1286"/>
  <c r="A1287"/>
  <c r="D1287" s="1"/>
  <c r="E1287" s="1"/>
  <c r="G1287" s="1"/>
  <c r="B1287"/>
  <c r="C1287"/>
  <c r="A1288"/>
  <c r="D1288" s="1"/>
  <c r="F1288" s="1"/>
  <c r="B1288"/>
  <c r="C1288"/>
  <c r="A1289"/>
  <c r="D1289" s="1"/>
  <c r="E1289" s="1"/>
  <c r="G1289" s="1"/>
  <c r="B1289"/>
  <c r="C1289"/>
  <c r="A1290"/>
  <c r="D1290" s="1"/>
  <c r="F1290" s="1"/>
  <c r="B1290"/>
  <c r="C1290"/>
  <c r="A1291"/>
  <c r="D1291" s="1"/>
  <c r="E1291" s="1"/>
  <c r="G1291" s="1"/>
  <c r="B1291"/>
  <c r="C1291"/>
  <c r="A1292"/>
  <c r="D1292" s="1"/>
  <c r="F1292" s="1"/>
  <c r="B1292"/>
  <c r="C1292"/>
  <c r="A1293"/>
  <c r="D1293" s="1"/>
  <c r="E1293" s="1"/>
  <c r="G1293" s="1"/>
  <c r="B1293"/>
  <c r="C1293"/>
  <c r="A1294"/>
  <c r="D1294" s="1"/>
  <c r="F1294" s="1"/>
  <c r="B1294"/>
  <c r="C1294"/>
  <c r="A1295"/>
  <c r="D1295" s="1"/>
  <c r="E1295" s="1"/>
  <c r="G1295" s="1"/>
  <c r="B1295"/>
  <c r="C1295"/>
  <c r="A1296"/>
  <c r="D1296" s="1"/>
  <c r="F1296" s="1"/>
  <c r="B1296"/>
  <c r="C1296"/>
  <c r="A1297"/>
  <c r="D1297" s="1"/>
  <c r="E1297" s="1"/>
  <c r="G1297" s="1"/>
  <c r="B1297"/>
  <c r="C1297"/>
  <c r="A1298"/>
  <c r="D1298" s="1"/>
  <c r="F1298" s="1"/>
  <c r="B1298"/>
  <c r="C1298"/>
  <c r="A1299"/>
  <c r="D1299" s="1"/>
  <c r="E1299" s="1"/>
  <c r="G1299" s="1"/>
  <c r="B1299"/>
  <c r="C1299"/>
  <c r="A1300"/>
  <c r="D1300" s="1"/>
  <c r="F1300" s="1"/>
  <c r="B1300"/>
  <c r="C1300"/>
  <c r="A1301"/>
  <c r="D1301" s="1"/>
  <c r="E1301" s="1"/>
  <c r="G1301" s="1"/>
  <c r="B1301"/>
  <c r="C1301"/>
  <c r="A1302"/>
  <c r="D1302" s="1"/>
  <c r="F1302" s="1"/>
  <c r="B1302"/>
  <c r="C1302"/>
  <c r="A1303"/>
  <c r="D1303" s="1"/>
  <c r="E1303" s="1"/>
  <c r="G1303" s="1"/>
  <c r="B1303"/>
  <c r="C1303"/>
  <c r="A1304"/>
  <c r="D1304" s="1"/>
  <c r="F1304" s="1"/>
  <c r="B1304"/>
  <c r="C1304"/>
  <c r="A1305"/>
  <c r="D1305" s="1"/>
  <c r="E1305" s="1"/>
  <c r="G1305" s="1"/>
  <c r="B1305"/>
  <c r="C1305"/>
  <c r="A1306"/>
  <c r="D1306" s="1"/>
  <c r="F1306" s="1"/>
  <c r="B1306"/>
  <c r="C1306"/>
  <c r="A1307"/>
  <c r="D1307" s="1"/>
  <c r="E1307" s="1"/>
  <c r="G1307" s="1"/>
  <c r="B1307"/>
  <c r="C1307"/>
  <c r="A1308"/>
  <c r="D1308" s="1"/>
  <c r="F1308" s="1"/>
  <c r="B1308"/>
  <c r="C1308"/>
  <c r="A1309"/>
  <c r="D1309" s="1"/>
  <c r="E1309" s="1"/>
  <c r="G1309" s="1"/>
  <c r="B1309"/>
  <c r="C1309"/>
  <c r="A1310"/>
  <c r="D1310" s="1"/>
  <c r="F1310" s="1"/>
  <c r="B1310"/>
  <c r="C1310"/>
  <c r="A1311"/>
  <c r="D1311" s="1"/>
  <c r="E1311" s="1"/>
  <c r="G1311" s="1"/>
  <c r="B1311"/>
  <c r="C1311"/>
  <c r="A1312"/>
  <c r="D1312" s="1"/>
  <c r="F1312" s="1"/>
  <c r="B1312"/>
  <c r="C1312"/>
  <c r="A1313"/>
  <c r="D1313" s="1"/>
  <c r="E1313" s="1"/>
  <c r="G1313" s="1"/>
  <c r="B1313"/>
  <c r="C1313"/>
  <c r="A1314"/>
  <c r="D1314" s="1"/>
  <c r="F1314" s="1"/>
  <c r="B1314"/>
  <c r="C1314"/>
  <c r="A1315"/>
  <c r="D1315" s="1"/>
  <c r="E1315" s="1"/>
  <c r="G1315" s="1"/>
  <c r="B1315"/>
  <c r="C1315"/>
  <c r="A1316"/>
  <c r="D1316" s="1"/>
  <c r="F1316" s="1"/>
  <c r="B1316"/>
  <c r="C1316"/>
  <c r="A1317"/>
  <c r="D1317" s="1"/>
  <c r="E1317" s="1"/>
  <c r="G1317" s="1"/>
  <c r="B1317"/>
  <c r="C1317"/>
  <c r="A1318"/>
  <c r="D1318" s="1"/>
  <c r="F1318" s="1"/>
  <c r="B1318"/>
  <c r="C1318"/>
  <c r="A1319"/>
  <c r="D1319" s="1"/>
  <c r="E1319" s="1"/>
  <c r="G1319" s="1"/>
  <c r="B1319"/>
  <c r="C1319"/>
  <c r="A1320"/>
  <c r="D1320" s="1"/>
  <c r="F1320" s="1"/>
  <c r="B1320"/>
  <c r="C1320"/>
  <c r="A1321"/>
  <c r="D1321" s="1"/>
  <c r="E1321" s="1"/>
  <c r="G1321" s="1"/>
  <c r="B1321"/>
  <c r="C1321"/>
  <c r="A1322"/>
  <c r="D1322" s="1"/>
  <c r="F1322" s="1"/>
  <c r="B1322"/>
  <c r="C1322"/>
  <c r="A1323"/>
  <c r="D1323" s="1"/>
  <c r="E1323" s="1"/>
  <c r="G1323" s="1"/>
  <c r="B1323"/>
  <c r="C1323"/>
  <c r="A1324"/>
  <c r="D1324" s="1"/>
  <c r="F1324" s="1"/>
  <c r="B1324"/>
  <c r="C1324"/>
  <c r="A1325"/>
  <c r="D1325" s="1"/>
  <c r="E1325" s="1"/>
  <c r="G1325" s="1"/>
  <c r="B1325"/>
  <c r="C1325"/>
  <c r="A1326"/>
  <c r="D1326" s="1"/>
  <c r="F1326" s="1"/>
  <c r="B1326"/>
  <c r="C1326"/>
  <c r="A1327"/>
  <c r="B1327"/>
  <c r="C1327"/>
  <c r="D1327"/>
  <c r="E1327" s="1"/>
  <c r="G1327" s="1"/>
  <c r="A1328"/>
  <c r="D1328" s="1"/>
  <c r="F1328" s="1"/>
  <c r="B1328"/>
  <c r="C1328"/>
  <c r="A1329"/>
  <c r="D1329" s="1"/>
  <c r="E1329" s="1"/>
  <c r="G1329" s="1"/>
  <c r="B1329"/>
  <c r="C1329"/>
  <c r="A1330"/>
  <c r="D1330" s="1"/>
  <c r="F1330" s="1"/>
  <c r="B1330"/>
  <c r="C1330"/>
  <c r="A1331"/>
  <c r="D1331" s="1"/>
  <c r="E1331" s="1"/>
  <c r="G1331" s="1"/>
  <c r="B1331"/>
  <c r="C1331"/>
  <c r="A1332"/>
  <c r="D1332" s="1"/>
  <c r="F1332" s="1"/>
  <c r="B1332"/>
  <c r="C1332"/>
  <c r="A1333"/>
  <c r="D1333" s="1"/>
  <c r="E1333" s="1"/>
  <c r="G1333" s="1"/>
  <c r="B1333"/>
  <c r="C1333"/>
  <c r="A1334"/>
  <c r="D1334" s="1"/>
  <c r="F1334" s="1"/>
  <c r="B1334"/>
  <c r="C1334"/>
  <c r="A1335"/>
  <c r="D1335" s="1"/>
  <c r="E1335" s="1"/>
  <c r="G1335" s="1"/>
  <c r="B1335"/>
  <c r="C1335"/>
  <c r="A1336"/>
  <c r="D1336" s="1"/>
  <c r="F1336" s="1"/>
  <c r="B1336"/>
  <c r="C1336"/>
  <c r="A1337"/>
  <c r="D1337" s="1"/>
  <c r="E1337" s="1"/>
  <c r="G1337" s="1"/>
  <c r="B1337"/>
  <c r="C1337"/>
  <c r="A1338"/>
  <c r="D1338" s="1"/>
  <c r="F1338" s="1"/>
  <c r="B1338"/>
  <c r="C1338"/>
  <c r="A1339"/>
  <c r="D1339" s="1"/>
  <c r="E1339" s="1"/>
  <c r="G1339" s="1"/>
  <c r="B1339"/>
  <c r="C1339"/>
  <c r="A1340"/>
  <c r="D1340" s="1"/>
  <c r="F1340" s="1"/>
  <c r="B1340"/>
  <c r="C1340"/>
  <c r="A1341"/>
  <c r="D1341" s="1"/>
  <c r="E1341" s="1"/>
  <c r="G1341" s="1"/>
  <c r="B1341"/>
  <c r="C1341"/>
  <c r="A1342"/>
  <c r="D1342" s="1"/>
  <c r="F1342" s="1"/>
  <c r="B1342"/>
  <c r="C1342"/>
  <c r="A1343"/>
  <c r="D1343" s="1"/>
  <c r="E1343" s="1"/>
  <c r="G1343" s="1"/>
  <c r="B1343"/>
  <c r="C1343"/>
  <c r="A1344"/>
  <c r="D1344" s="1"/>
  <c r="F1344" s="1"/>
  <c r="B1344"/>
  <c r="C1344"/>
  <c r="A1345"/>
  <c r="D1345" s="1"/>
  <c r="E1345" s="1"/>
  <c r="G1345" s="1"/>
  <c r="B1345"/>
  <c r="C1345"/>
  <c r="A1346"/>
  <c r="D1346" s="1"/>
  <c r="F1346" s="1"/>
  <c r="B1346"/>
  <c r="C1346"/>
  <c r="A1347"/>
  <c r="D1347" s="1"/>
  <c r="E1347" s="1"/>
  <c r="G1347" s="1"/>
  <c r="B1347"/>
  <c r="C1347"/>
  <c r="A1348"/>
  <c r="D1348" s="1"/>
  <c r="F1348" s="1"/>
  <c r="B1348"/>
  <c r="C1348"/>
  <c r="A1349"/>
  <c r="D1349" s="1"/>
  <c r="E1349" s="1"/>
  <c r="G1349" s="1"/>
  <c r="B1349"/>
  <c r="C1349"/>
  <c r="A1350"/>
  <c r="D1350" s="1"/>
  <c r="F1350" s="1"/>
  <c r="B1350"/>
  <c r="C1350"/>
  <c r="A1351"/>
  <c r="D1351" s="1"/>
  <c r="E1351" s="1"/>
  <c r="G1351" s="1"/>
  <c r="B1351"/>
  <c r="C1351"/>
  <c r="A1352"/>
  <c r="D1352" s="1"/>
  <c r="F1352" s="1"/>
  <c r="B1352"/>
  <c r="C1352"/>
  <c r="A1353"/>
  <c r="D1353" s="1"/>
  <c r="E1353" s="1"/>
  <c r="G1353" s="1"/>
  <c r="B1353"/>
  <c r="C1353"/>
  <c r="A1354"/>
  <c r="D1354" s="1"/>
  <c r="F1354" s="1"/>
  <c r="B1354"/>
  <c r="C1354"/>
  <c r="A1355"/>
  <c r="D1355" s="1"/>
  <c r="E1355" s="1"/>
  <c r="G1355" s="1"/>
  <c r="B1355"/>
  <c r="C1355"/>
  <c r="A1356"/>
  <c r="D1356" s="1"/>
  <c r="F1356" s="1"/>
  <c r="B1356"/>
  <c r="C1356"/>
  <c r="A1357"/>
  <c r="D1357" s="1"/>
  <c r="E1357" s="1"/>
  <c r="G1357" s="1"/>
  <c r="B1357"/>
  <c r="C1357"/>
  <c r="A1358"/>
  <c r="D1358" s="1"/>
  <c r="F1358" s="1"/>
  <c r="B1358"/>
  <c r="C1358"/>
  <c r="A1359"/>
  <c r="D1359" s="1"/>
  <c r="E1359" s="1"/>
  <c r="G1359" s="1"/>
  <c r="B1359"/>
  <c r="C1359"/>
  <c r="A1360"/>
  <c r="D1360" s="1"/>
  <c r="F1360" s="1"/>
  <c r="B1360"/>
  <c r="C1360"/>
  <c r="A1361"/>
  <c r="D1361" s="1"/>
  <c r="E1361" s="1"/>
  <c r="G1361" s="1"/>
  <c r="B1361"/>
  <c r="C1361"/>
  <c r="A1362"/>
  <c r="D1362" s="1"/>
  <c r="F1362" s="1"/>
  <c r="B1362"/>
  <c r="C1362"/>
  <c r="A1363"/>
  <c r="D1363" s="1"/>
  <c r="E1363" s="1"/>
  <c r="G1363" s="1"/>
  <c r="B1363"/>
  <c r="C1363"/>
  <c r="A1364"/>
  <c r="D1364" s="1"/>
  <c r="F1364" s="1"/>
  <c r="B1364"/>
  <c r="C1364"/>
  <c r="A1365"/>
  <c r="D1365" s="1"/>
  <c r="E1365" s="1"/>
  <c r="G1365" s="1"/>
  <c r="B1365"/>
  <c r="C1365"/>
  <c r="A1366"/>
  <c r="D1366" s="1"/>
  <c r="F1366" s="1"/>
  <c r="B1366"/>
  <c r="C1366"/>
  <c r="A1367"/>
  <c r="D1367" s="1"/>
  <c r="E1367" s="1"/>
  <c r="G1367" s="1"/>
  <c r="B1367"/>
  <c r="C1367"/>
  <c r="A1368"/>
  <c r="D1368" s="1"/>
  <c r="F1368" s="1"/>
  <c r="B1368"/>
  <c r="C1368"/>
  <c r="A1369"/>
  <c r="D1369" s="1"/>
  <c r="E1369" s="1"/>
  <c r="G1369" s="1"/>
  <c r="B1369"/>
  <c r="C1369"/>
  <c r="A1370"/>
  <c r="D1370" s="1"/>
  <c r="F1370" s="1"/>
  <c r="B1370"/>
  <c r="C1370"/>
  <c r="A1371"/>
  <c r="D1371" s="1"/>
  <c r="E1371" s="1"/>
  <c r="G1371" s="1"/>
  <c r="B1371"/>
  <c r="C1371"/>
  <c r="A1372"/>
  <c r="D1372" s="1"/>
  <c r="F1372" s="1"/>
  <c r="B1372"/>
  <c r="C1372"/>
  <c r="A1373"/>
  <c r="D1373" s="1"/>
  <c r="E1373" s="1"/>
  <c r="G1373" s="1"/>
  <c r="B1373"/>
  <c r="C1373"/>
  <c r="A1374"/>
  <c r="D1374" s="1"/>
  <c r="F1374" s="1"/>
  <c r="B1374"/>
  <c r="C1374"/>
  <c r="A1375"/>
  <c r="D1375" s="1"/>
  <c r="E1375" s="1"/>
  <c r="G1375" s="1"/>
  <c r="B1375"/>
  <c r="C1375"/>
  <c r="A1376"/>
  <c r="D1376" s="1"/>
  <c r="F1376" s="1"/>
  <c r="B1376"/>
  <c r="C1376"/>
  <c r="A1377"/>
  <c r="D1377" s="1"/>
  <c r="E1377" s="1"/>
  <c r="G1377" s="1"/>
  <c r="B1377"/>
  <c r="C1377"/>
  <c r="A1378"/>
  <c r="D1378" s="1"/>
  <c r="F1378" s="1"/>
  <c r="B1378"/>
  <c r="C1378"/>
  <c r="A1379"/>
  <c r="D1379" s="1"/>
  <c r="E1379" s="1"/>
  <c r="G1379" s="1"/>
  <c r="B1379"/>
  <c r="C1379"/>
  <c r="A1380"/>
  <c r="D1380" s="1"/>
  <c r="F1380" s="1"/>
  <c r="B1380"/>
  <c r="C1380"/>
  <c r="A1381"/>
  <c r="D1381" s="1"/>
  <c r="E1381" s="1"/>
  <c r="G1381" s="1"/>
  <c r="B1381"/>
  <c r="C1381"/>
  <c r="A1382"/>
  <c r="D1382" s="1"/>
  <c r="F1382" s="1"/>
  <c r="B1382"/>
  <c r="C1382"/>
  <c r="A1383"/>
  <c r="D1383" s="1"/>
  <c r="E1383" s="1"/>
  <c r="G1383" s="1"/>
  <c r="B1383"/>
  <c r="C1383"/>
  <c r="A1384"/>
  <c r="D1384" s="1"/>
  <c r="F1384" s="1"/>
  <c r="B1384"/>
  <c r="C1384"/>
  <c r="A1385"/>
  <c r="D1385" s="1"/>
  <c r="E1385" s="1"/>
  <c r="G1385" s="1"/>
  <c r="B1385"/>
  <c r="C1385"/>
  <c r="A1386"/>
  <c r="D1386" s="1"/>
  <c r="F1386" s="1"/>
  <c r="B1386"/>
  <c r="C1386"/>
  <c r="A1387"/>
  <c r="D1387" s="1"/>
  <c r="E1387" s="1"/>
  <c r="G1387" s="1"/>
  <c r="B1387"/>
  <c r="C1387"/>
  <c r="A1388"/>
  <c r="D1388" s="1"/>
  <c r="F1388" s="1"/>
  <c r="B1388"/>
  <c r="C1388"/>
  <c r="A1389"/>
  <c r="D1389" s="1"/>
  <c r="E1389" s="1"/>
  <c r="G1389" s="1"/>
  <c r="B1389"/>
  <c r="C1389"/>
  <c r="A1390"/>
  <c r="D1390" s="1"/>
  <c r="F1390" s="1"/>
  <c r="B1390"/>
  <c r="C1390"/>
  <c r="A1391"/>
  <c r="B1391"/>
  <c r="C1391"/>
  <c r="D1391"/>
  <c r="E1391" s="1"/>
  <c r="G1391" s="1"/>
  <c r="A1392"/>
  <c r="D1392" s="1"/>
  <c r="F1392" s="1"/>
  <c r="B1392"/>
  <c r="C1392"/>
  <c r="A1393"/>
  <c r="D1393" s="1"/>
  <c r="E1393" s="1"/>
  <c r="G1393" s="1"/>
  <c r="B1393"/>
  <c r="C1393"/>
  <c r="A1394"/>
  <c r="D1394" s="1"/>
  <c r="F1394" s="1"/>
  <c r="B1394"/>
  <c r="C1394"/>
  <c r="A1395"/>
  <c r="D1395" s="1"/>
  <c r="E1395" s="1"/>
  <c r="G1395" s="1"/>
  <c r="B1395"/>
  <c r="C1395"/>
  <c r="A1396"/>
  <c r="D1396" s="1"/>
  <c r="F1396" s="1"/>
  <c r="B1396"/>
  <c r="C1396"/>
  <c r="A1397"/>
  <c r="D1397" s="1"/>
  <c r="E1397" s="1"/>
  <c r="G1397" s="1"/>
  <c r="B1397"/>
  <c r="C1397"/>
  <c r="A1398"/>
  <c r="D1398" s="1"/>
  <c r="F1398" s="1"/>
  <c r="B1398"/>
  <c r="C1398"/>
  <c r="A1399"/>
  <c r="D1399" s="1"/>
  <c r="E1399" s="1"/>
  <c r="G1399" s="1"/>
  <c r="B1399"/>
  <c r="C1399"/>
  <c r="A1400"/>
  <c r="D1400" s="1"/>
  <c r="F1400" s="1"/>
  <c r="B1400"/>
  <c r="C1400"/>
  <c r="A1401"/>
  <c r="D1401" s="1"/>
  <c r="E1401" s="1"/>
  <c r="G1401" s="1"/>
  <c r="B1401"/>
  <c r="C1401"/>
  <c r="A1402"/>
  <c r="D1402" s="1"/>
  <c r="F1402" s="1"/>
  <c r="B1402"/>
  <c r="C1402"/>
  <c r="A1403"/>
  <c r="D1403" s="1"/>
  <c r="E1403" s="1"/>
  <c r="G1403" s="1"/>
  <c r="B1403"/>
  <c r="C1403"/>
  <c r="A1404"/>
  <c r="D1404" s="1"/>
  <c r="F1404" s="1"/>
  <c r="B1404"/>
  <c r="C1404"/>
  <c r="A1405"/>
  <c r="D1405" s="1"/>
  <c r="E1405" s="1"/>
  <c r="G1405" s="1"/>
  <c r="B1405"/>
  <c r="C1405"/>
  <c r="A1406"/>
  <c r="D1406" s="1"/>
  <c r="F1406" s="1"/>
  <c r="B1406"/>
  <c r="C1406"/>
  <c r="A1407"/>
  <c r="D1407" s="1"/>
  <c r="E1407" s="1"/>
  <c r="G1407" s="1"/>
  <c r="B1407"/>
  <c r="C1407"/>
  <c r="A1408"/>
  <c r="D1408" s="1"/>
  <c r="F1408" s="1"/>
  <c r="B1408"/>
  <c r="C1408"/>
  <c r="A1409"/>
  <c r="D1409" s="1"/>
  <c r="E1409" s="1"/>
  <c r="G1409" s="1"/>
  <c r="B1409"/>
  <c r="C1409"/>
  <c r="A1410"/>
  <c r="D1410" s="1"/>
  <c r="F1410" s="1"/>
  <c r="B1410"/>
  <c r="C1410"/>
  <c r="A1411"/>
  <c r="D1411" s="1"/>
  <c r="E1411" s="1"/>
  <c r="G1411" s="1"/>
  <c r="B1411"/>
  <c r="C1411"/>
  <c r="A1412"/>
  <c r="D1412" s="1"/>
  <c r="F1412" s="1"/>
  <c r="B1412"/>
  <c r="C1412"/>
  <c r="A1413"/>
  <c r="D1413" s="1"/>
  <c r="E1413" s="1"/>
  <c r="G1413" s="1"/>
  <c r="B1413"/>
  <c r="C1413"/>
  <c r="A1414"/>
  <c r="D1414" s="1"/>
  <c r="F1414" s="1"/>
  <c r="B1414"/>
  <c r="C1414"/>
  <c r="A1415"/>
  <c r="D1415" s="1"/>
  <c r="E1415" s="1"/>
  <c r="G1415" s="1"/>
  <c r="B1415"/>
  <c r="C1415"/>
  <c r="A1416"/>
  <c r="D1416" s="1"/>
  <c r="F1416" s="1"/>
  <c r="B1416"/>
  <c r="C1416"/>
  <c r="A1417"/>
  <c r="D1417" s="1"/>
  <c r="E1417" s="1"/>
  <c r="G1417" s="1"/>
  <c r="B1417"/>
  <c r="C1417"/>
  <c r="A1418"/>
  <c r="D1418" s="1"/>
  <c r="F1418" s="1"/>
  <c r="B1418"/>
  <c r="C1418"/>
  <c r="A1419"/>
  <c r="D1419" s="1"/>
  <c r="E1419" s="1"/>
  <c r="G1419" s="1"/>
  <c r="B1419"/>
  <c r="C1419"/>
  <c r="A1420"/>
  <c r="D1420" s="1"/>
  <c r="F1420" s="1"/>
  <c r="B1420"/>
  <c r="C1420"/>
  <c r="A1421"/>
  <c r="D1421" s="1"/>
  <c r="E1421" s="1"/>
  <c r="G1421" s="1"/>
  <c r="B1421"/>
  <c r="C1421"/>
  <c r="A1422"/>
  <c r="D1422" s="1"/>
  <c r="F1422" s="1"/>
  <c r="B1422"/>
  <c r="C1422"/>
  <c r="A1423"/>
  <c r="D1423" s="1"/>
  <c r="E1423" s="1"/>
  <c r="G1423" s="1"/>
  <c r="B1423"/>
  <c r="C1423"/>
  <c r="A1424"/>
  <c r="D1424" s="1"/>
  <c r="F1424" s="1"/>
  <c r="B1424"/>
  <c r="C1424"/>
  <c r="A1425"/>
  <c r="D1425" s="1"/>
  <c r="E1425" s="1"/>
  <c r="G1425" s="1"/>
  <c r="B1425"/>
  <c r="C1425"/>
  <c r="A1426"/>
  <c r="D1426" s="1"/>
  <c r="F1426" s="1"/>
  <c r="B1426"/>
  <c r="C1426"/>
  <c r="A1427"/>
  <c r="D1427" s="1"/>
  <c r="E1427" s="1"/>
  <c r="G1427" s="1"/>
  <c r="B1427"/>
  <c r="C1427"/>
  <c r="A1428"/>
  <c r="D1428" s="1"/>
  <c r="F1428" s="1"/>
  <c r="B1428"/>
  <c r="C1428"/>
  <c r="A1429"/>
  <c r="D1429" s="1"/>
  <c r="E1429" s="1"/>
  <c r="G1429" s="1"/>
  <c r="B1429"/>
  <c r="C1429"/>
  <c r="A1430"/>
  <c r="D1430" s="1"/>
  <c r="F1430" s="1"/>
  <c r="B1430"/>
  <c r="C1430"/>
  <c r="A1431"/>
  <c r="D1431" s="1"/>
  <c r="E1431" s="1"/>
  <c r="G1431" s="1"/>
  <c r="B1431"/>
  <c r="C1431"/>
  <c r="A1432"/>
  <c r="D1432" s="1"/>
  <c r="F1432" s="1"/>
  <c r="B1432"/>
  <c r="C1432"/>
  <c r="A1433"/>
  <c r="D1433" s="1"/>
  <c r="E1433" s="1"/>
  <c r="G1433" s="1"/>
  <c r="B1433"/>
  <c r="C1433"/>
  <c r="A1434"/>
  <c r="D1434" s="1"/>
  <c r="F1434" s="1"/>
  <c r="B1434"/>
  <c r="C1434"/>
  <c r="A1435"/>
  <c r="D1435" s="1"/>
  <c r="E1435" s="1"/>
  <c r="G1435" s="1"/>
  <c r="B1435"/>
  <c r="C1435"/>
  <c r="A1436"/>
  <c r="D1436" s="1"/>
  <c r="F1436" s="1"/>
  <c r="B1436"/>
  <c r="C1436"/>
  <c r="A1437"/>
  <c r="D1437" s="1"/>
  <c r="E1437" s="1"/>
  <c r="G1437" s="1"/>
  <c r="B1437"/>
  <c r="C1437"/>
  <c r="A1438"/>
  <c r="D1438" s="1"/>
  <c r="F1438" s="1"/>
  <c r="B1438"/>
  <c r="C1438"/>
  <c r="A1439"/>
  <c r="D1439" s="1"/>
  <c r="E1439" s="1"/>
  <c r="G1439" s="1"/>
  <c r="B1439"/>
  <c r="C1439"/>
  <c r="A1440"/>
  <c r="D1440" s="1"/>
  <c r="F1440" s="1"/>
  <c r="B1440"/>
  <c r="C1440"/>
  <c r="A1441"/>
  <c r="D1441" s="1"/>
  <c r="E1441" s="1"/>
  <c r="G1441" s="1"/>
  <c r="B1441"/>
  <c r="C1441"/>
  <c r="A1442"/>
  <c r="D1442" s="1"/>
  <c r="F1442" s="1"/>
  <c r="B1442"/>
  <c r="C1442"/>
  <c r="A1443"/>
  <c r="D1443" s="1"/>
  <c r="E1443" s="1"/>
  <c r="G1443" s="1"/>
  <c r="B1443"/>
  <c r="C1443"/>
  <c r="A1444"/>
  <c r="D1444" s="1"/>
  <c r="F1444" s="1"/>
  <c r="B1444"/>
  <c r="C1444"/>
  <c r="A1445"/>
  <c r="D1445" s="1"/>
  <c r="E1445" s="1"/>
  <c r="G1445" s="1"/>
  <c r="B1445"/>
  <c r="C1445"/>
  <c r="A1446"/>
  <c r="D1446" s="1"/>
  <c r="F1446" s="1"/>
  <c r="B1446"/>
  <c r="C1446"/>
  <c r="A1447"/>
  <c r="D1447" s="1"/>
  <c r="E1447" s="1"/>
  <c r="G1447" s="1"/>
  <c r="B1447"/>
  <c r="C1447"/>
  <c r="A1448"/>
  <c r="D1448" s="1"/>
  <c r="F1448" s="1"/>
  <c r="B1448"/>
  <c r="C1448"/>
  <c r="A1449"/>
  <c r="D1449" s="1"/>
  <c r="E1449" s="1"/>
  <c r="G1449" s="1"/>
  <c r="B1449"/>
  <c r="C1449"/>
  <c r="A1450"/>
  <c r="D1450" s="1"/>
  <c r="F1450" s="1"/>
  <c r="B1450"/>
  <c r="C1450"/>
  <c r="A1451"/>
  <c r="D1451" s="1"/>
  <c r="E1451" s="1"/>
  <c r="G1451" s="1"/>
  <c r="B1451"/>
  <c r="C1451"/>
  <c r="A1452"/>
  <c r="D1452" s="1"/>
  <c r="F1452" s="1"/>
  <c r="B1452"/>
  <c r="C1452"/>
  <c r="A1453"/>
  <c r="D1453" s="1"/>
  <c r="E1453" s="1"/>
  <c r="G1453" s="1"/>
  <c r="B1453"/>
  <c r="C1453"/>
  <c r="A1454"/>
  <c r="D1454" s="1"/>
  <c r="F1454" s="1"/>
  <c r="B1454"/>
  <c r="C1454"/>
  <c r="A1455"/>
  <c r="B1455"/>
  <c r="C1455"/>
  <c r="D1455"/>
  <c r="E1455" s="1"/>
  <c r="G1455" s="1"/>
  <c r="A1456"/>
  <c r="D1456" s="1"/>
  <c r="F1456" s="1"/>
  <c r="B1456"/>
  <c r="C1456"/>
  <c r="A1457"/>
  <c r="D1457" s="1"/>
  <c r="E1457" s="1"/>
  <c r="G1457" s="1"/>
  <c r="B1457"/>
  <c r="C1457"/>
  <c r="A1458"/>
  <c r="D1458" s="1"/>
  <c r="F1458" s="1"/>
  <c r="B1458"/>
  <c r="C1458"/>
  <c r="A1459"/>
  <c r="D1459" s="1"/>
  <c r="E1459" s="1"/>
  <c r="G1459" s="1"/>
  <c r="B1459"/>
  <c r="C1459"/>
  <c r="A1460"/>
  <c r="D1460" s="1"/>
  <c r="F1460" s="1"/>
  <c r="B1460"/>
  <c r="C1460"/>
  <c r="A1461"/>
  <c r="D1461" s="1"/>
  <c r="E1461" s="1"/>
  <c r="G1461" s="1"/>
  <c r="B1461"/>
  <c r="C1461"/>
  <c r="A1462"/>
  <c r="D1462" s="1"/>
  <c r="F1462" s="1"/>
  <c r="B1462"/>
  <c r="C1462"/>
  <c r="A1463"/>
  <c r="D1463" s="1"/>
  <c r="E1463" s="1"/>
  <c r="G1463" s="1"/>
  <c r="B1463"/>
  <c r="C1463"/>
  <c r="A1464"/>
  <c r="D1464" s="1"/>
  <c r="F1464" s="1"/>
  <c r="B1464"/>
  <c r="C1464"/>
  <c r="A1465"/>
  <c r="D1465" s="1"/>
  <c r="E1465" s="1"/>
  <c r="G1465" s="1"/>
  <c r="B1465"/>
  <c r="C1465"/>
  <c r="A1466"/>
  <c r="D1466" s="1"/>
  <c r="F1466" s="1"/>
  <c r="B1466"/>
  <c r="C1466"/>
  <c r="A1467"/>
  <c r="D1467" s="1"/>
  <c r="E1467" s="1"/>
  <c r="G1467" s="1"/>
  <c r="B1467"/>
  <c r="C1467"/>
  <c r="A1468"/>
  <c r="D1468" s="1"/>
  <c r="F1468" s="1"/>
  <c r="B1468"/>
  <c r="C1468"/>
  <c r="A1469"/>
  <c r="D1469" s="1"/>
  <c r="E1469" s="1"/>
  <c r="G1469" s="1"/>
  <c r="B1469"/>
  <c r="C1469"/>
  <c r="A1470"/>
  <c r="D1470" s="1"/>
  <c r="F1470" s="1"/>
  <c r="B1470"/>
  <c r="C1470"/>
  <c r="A1471"/>
  <c r="D1471" s="1"/>
  <c r="E1471" s="1"/>
  <c r="G1471" s="1"/>
  <c r="B1471"/>
  <c r="C1471"/>
  <c r="A1472"/>
  <c r="D1472" s="1"/>
  <c r="F1472" s="1"/>
  <c r="B1472"/>
  <c r="C1472"/>
  <c r="A1473"/>
  <c r="D1473" s="1"/>
  <c r="E1473" s="1"/>
  <c r="G1473" s="1"/>
  <c r="B1473"/>
  <c r="C1473"/>
  <c r="A1474"/>
  <c r="D1474" s="1"/>
  <c r="F1474" s="1"/>
  <c r="B1474"/>
  <c r="C1474"/>
  <c r="A1475"/>
  <c r="D1475" s="1"/>
  <c r="E1475" s="1"/>
  <c r="G1475" s="1"/>
  <c r="B1475"/>
  <c r="C1475"/>
  <c r="A1476"/>
  <c r="D1476" s="1"/>
  <c r="F1476" s="1"/>
  <c r="B1476"/>
  <c r="C1476"/>
  <c r="A1477"/>
  <c r="D1477" s="1"/>
  <c r="E1477" s="1"/>
  <c r="G1477" s="1"/>
  <c r="B1477"/>
  <c r="C1477"/>
  <c r="A1478"/>
  <c r="D1478" s="1"/>
  <c r="F1478" s="1"/>
  <c r="B1478"/>
  <c r="C1478"/>
  <c r="A1479"/>
  <c r="D1479" s="1"/>
  <c r="E1479" s="1"/>
  <c r="G1479" s="1"/>
  <c r="B1479"/>
  <c r="C1479"/>
  <c r="A1480"/>
  <c r="D1480" s="1"/>
  <c r="F1480" s="1"/>
  <c r="B1480"/>
  <c r="C1480"/>
  <c r="A1481"/>
  <c r="D1481" s="1"/>
  <c r="E1481" s="1"/>
  <c r="G1481" s="1"/>
  <c r="B1481"/>
  <c r="C1481"/>
  <c r="A1482"/>
  <c r="D1482" s="1"/>
  <c r="F1482" s="1"/>
  <c r="B1482"/>
  <c r="C1482"/>
  <c r="A1483"/>
  <c r="D1483" s="1"/>
  <c r="E1483" s="1"/>
  <c r="G1483" s="1"/>
  <c r="B1483"/>
  <c r="C1483"/>
  <c r="A1484"/>
  <c r="D1484" s="1"/>
  <c r="F1484" s="1"/>
  <c r="B1484"/>
  <c r="C1484"/>
  <c r="A1485"/>
  <c r="D1485" s="1"/>
  <c r="E1485" s="1"/>
  <c r="G1485" s="1"/>
  <c r="B1485"/>
  <c r="C1485"/>
  <c r="A1486"/>
  <c r="D1486" s="1"/>
  <c r="F1486" s="1"/>
  <c r="B1486"/>
  <c r="C1486"/>
  <c r="A1487"/>
  <c r="D1487" s="1"/>
  <c r="E1487" s="1"/>
  <c r="G1487" s="1"/>
  <c r="B1487"/>
  <c r="C1487"/>
  <c r="A1488"/>
  <c r="D1488" s="1"/>
  <c r="F1488" s="1"/>
  <c r="B1488"/>
  <c r="C1488"/>
  <c r="A1489"/>
  <c r="D1489" s="1"/>
  <c r="E1489" s="1"/>
  <c r="G1489" s="1"/>
  <c r="B1489"/>
  <c r="C1489"/>
  <c r="A1490"/>
  <c r="D1490" s="1"/>
  <c r="F1490" s="1"/>
  <c r="B1490"/>
  <c r="C1490"/>
  <c r="A1491"/>
  <c r="D1491" s="1"/>
  <c r="E1491" s="1"/>
  <c r="G1491" s="1"/>
  <c r="B1491"/>
  <c r="C1491"/>
  <c r="A1492"/>
  <c r="D1492" s="1"/>
  <c r="F1492" s="1"/>
  <c r="B1492"/>
  <c r="C1492"/>
  <c r="A1493"/>
  <c r="D1493" s="1"/>
  <c r="E1493" s="1"/>
  <c r="G1493" s="1"/>
  <c r="B1493"/>
  <c r="C1493"/>
  <c r="A1494"/>
  <c r="D1494" s="1"/>
  <c r="F1494" s="1"/>
  <c r="B1494"/>
  <c r="C1494"/>
  <c r="A1495"/>
  <c r="D1495" s="1"/>
  <c r="E1495" s="1"/>
  <c r="G1495" s="1"/>
  <c r="B1495"/>
  <c r="C1495"/>
  <c r="A1496"/>
  <c r="D1496" s="1"/>
  <c r="F1496" s="1"/>
  <c r="B1496"/>
  <c r="C1496"/>
  <c r="A1497"/>
  <c r="D1497" s="1"/>
  <c r="E1497" s="1"/>
  <c r="G1497" s="1"/>
  <c r="B1497"/>
  <c r="C1497"/>
  <c r="A1498"/>
  <c r="D1498" s="1"/>
  <c r="F1498" s="1"/>
  <c r="B1498"/>
  <c r="C1498"/>
  <c r="A1499"/>
  <c r="D1499" s="1"/>
  <c r="E1499" s="1"/>
  <c r="G1499" s="1"/>
  <c r="B1499"/>
  <c r="C1499"/>
  <c r="A1500"/>
  <c r="D1500" s="1"/>
  <c r="F1500" s="1"/>
  <c r="B1500"/>
  <c r="C1500"/>
  <c r="A1501"/>
  <c r="D1501" s="1"/>
  <c r="E1501" s="1"/>
  <c r="G1501" s="1"/>
  <c r="B1501"/>
  <c r="C1501"/>
  <c r="A1502"/>
  <c r="D1502" s="1"/>
  <c r="F1502" s="1"/>
  <c r="B1502"/>
  <c r="C1502"/>
  <c r="A1503"/>
  <c r="D1503" s="1"/>
  <c r="E1503" s="1"/>
  <c r="G1503" s="1"/>
  <c r="B1503"/>
  <c r="C1503"/>
  <c r="A1504"/>
  <c r="D1504" s="1"/>
  <c r="F1504" s="1"/>
  <c r="B1504"/>
  <c r="C1504"/>
  <c r="A1505"/>
  <c r="D1505" s="1"/>
  <c r="E1505" s="1"/>
  <c r="G1505" s="1"/>
  <c r="B1505"/>
  <c r="C1505"/>
  <c r="A1506"/>
  <c r="D1506" s="1"/>
  <c r="F1506" s="1"/>
  <c r="B1506"/>
  <c r="C1506"/>
  <c r="A1507"/>
  <c r="D1507" s="1"/>
  <c r="E1507" s="1"/>
  <c r="G1507" s="1"/>
  <c r="B1507"/>
  <c r="C1507"/>
  <c r="A1508"/>
  <c r="D1508" s="1"/>
  <c r="F1508" s="1"/>
  <c r="B1508"/>
  <c r="C1508"/>
  <c r="A1509"/>
  <c r="D1509" s="1"/>
  <c r="E1509" s="1"/>
  <c r="G1509" s="1"/>
  <c r="B1509"/>
  <c r="C1509"/>
  <c r="A1510"/>
  <c r="D1510" s="1"/>
  <c r="F1510" s="1"/>
  <c r="B1510"/>
  <c r="C1510"/>
  <c r="A1511"/>
  <c r="D1511" s="1"/>
  <c r="E1511" s="1"/>
  <c r="G1511" s="1"/>
  <c r="B1511"/>
  <c r="C1511"/>
  <c r="A1512"/>
  <c r="D1512" s="1"/>
  <c r="F1512" s="1"/>
  <c r="B1512"/>
  <c r="C1512"/>
  <c r="A1513"/>
  <c r="D1513" s="1"/>
  <c r="E1513" s="1"/>
  <c r="G1513" s="1"/>
  <c r="B1513"/>
  <c r="C1513"/>
  <c r="A1514"/>
  <c r="D1514" s="1"/>
  <c r="F1514" s="1"/>
  <c r="B1514"/>
  <c r="C1514"/>
  <c r="A1515"/>
  <c r="D1515" s="1"/>
  <c r="E1515" s="1"/>
  <c r="G1515" s="1"/>
  <c r="B1515"/>
  <c r="C1515"/>
  <c r="A1516"/>
  <c r="D1516" s="1"/>
  <c r="F1516" s="1"/>
  <c r="B1516"/>
  <c r="C1516"/>
  <c r="A1517"/>
  <c r="D1517" s="1"/>
  <c r="E1517" s="1"/>
  <c r="G1517" s="1"/>
  <c r="B1517"/>
  <c r="C1517"/>
  <c r="A1518"/>
  <c r="D1518" s="1"/>
  <c r="F1518" s="1"/>
  <c r="B1518"/>
  <c r="C1518"/>
  <c r="A1519"/>
  <c r="B1519"/>
  <c r="C1519"/>
  <c r="D1519"/>
  <c r="E1519" s="1"/>
  <c r="G1519" s="1"/>
  <c r="A1520"/>
  <c r="D1520" s="1"/>
  <c r="F1520" s="1"/>
  <c r="B1520"/>
  <c r="C1520"/>
  <c r="A1521"/>
  <c r="D1521" s="1"/>
  <c r="E1521" s="1"/>
  <c r="G1521" s="1"/>
  <c r="B1521"/>
  <c r="C1521"/>
  <c r="A1522"/>
  <c r="D1522" s="1"/>
  <c r="F1522" s="1"/>
  <c r="B1522"/>
  <c r="C1522"/>
  <c r="A1523"/>
  <c r="D1523" s="1"/>
  <c r="E1523" s="1"/>
  <c r="G1523" s="1"/>
  <c r="B1523"/>
  <c r="C1523"/>
  <c r="A1524"/>
  <c r="D1524" s="1"/>
  <c r="F1524" s="1"/>
  <c r="B1524"/>
  <c r="C1524"/>
  <c r="A1525"/>
  <c r="D1525" s="1"/>
  <c r="E1525" s="1"/>
  <c r="G1525" s="1"/>
  <c r="B1525"/>
  <c r="C1525"/>
  <c r="A1526"/>
  <c r="D1526" s="1"/>
  <c r="F1526" s="1"/>
  <c r="B1526"/>
  <c r="C1526"/>
  <c r="A1527"/>
  <c r="D1527" s="1"/>
  <c r="E1527" s="1"/>
  <c r="G1527" s="1"/>
  <c r="B1527"/>
  <c r="C1527"/>
  <c r="A1528"/>
  <c r="D1528" s="1"/>
  <c r="F1528" s="1"/>
  <c r="B1528"/>
  <c r="C1528"/>
  <c r="A1529"/>
  <c r="D1529" s="1"/>
  <c r="E1529" s="1"/>
  <c r="G1529" s="1"/>
  <c r="B1529"/>
  <c r="C1529"/>
  <c r="A1530"/>
  <c r="D1530" s="1"/>
  <c r="F1530" s="1"/>
  <c r="B1530"/>
  <c r="C1530"/>
  <c r="A1531"/>
  <c r="D1531" s="1"/>
  <c r="E1531" s="1"/>
  <c r="G1531" s="1"/>
  <c r="B1531"/>
  <c r="C1531"/>
  <c r="A1532"/>
  <c r="D1532" s="1"/>
  <c r="F1532" s="1"/>
  <c r="B1532"/>
  <c r="C1532"/>
  <c r="A1533"/>
  <c r="D1533" s="1"/>
  <c r="E1533" s="1"/>
  <c r="G1533" s="1"/>
  <c r="B1533"/>
  <c r="C1533"/>
  <c r="A1534"/>
  <c r="D1534" s="1"/>
  <c r="F1534" s="1"/>
  <c r="B1534"/>
  <c r="C1534"/>
  <c r="A1535"/>
  <c r="D1535" s="1"/>
  <c r="E1535" s="1"/>
  <c r="G1535" s="1"/>
  <c r="B1535"/>
  <c r="C1535"/>
  <c r="A1536"/>
  <c r="D1536" s="1"/>
  <c r="F1536" s="1"/>
  <c r="B1536"/>
  <c r="C1536"/>
  <c r="A1537"/>
  <c r="D1537" s="1"/>
  <c r="E1537" s="1"/>
  <c r="G1537" s="1"/>
  <c r="B1537"/>
  <c r="C1537"/>
  <c r="A1538"/>
  <c r="D1538" s="1"/>
  <c r="F1538" s="1"/>
  <c r="B1538"/>
  <c r="C1538"/>
  <c r="A1539"/>
  <c r="D1539" s="1"/>
  <c r="E1539" s="1"/>
  <c r="G1539" s="1"/>
  <c r="B1539"/>
  <c r="C1539"/>
  <c r="A1540"/>
  <c r="D1540" s="1"/>
  <c r="F1540" s="1"/>
  <c r="B1540"/>
  <c r="C1540"/>
  <c r="A1541"/>
  <c r="D1541" s="1"/>
  <c r="E1541" s="1"/>
  <c r="G1541" s="1"/>
  <c r="B1541"/>
  <c r="C1541"/>
  <c r="A1542"/>
  <c r="D1542" s="1"/>
  <c r="F1542" s="1"/>
  <c r="B1542"/>
  <c r="C1542"/>
  <c r="A1543"/>
  <c r="D1543" s="1"/>
  <c r="E1543" s="1"/>
  <c r="G1543" s="1"/>
  <c r="B1543"/>
  <c r="C1543"/>
  <c r="A1544"/>
  <c r="D1544" s="1"/>
  <c r="F1544" s="1"/>
  <c r="B1544"/>
  <c r="C1544"/>
  <c r="A1545"/>
  <c r="D1545" s="1"/>
  <c r="E1545" s="1"/>
  <c r="G1545" s="1"/>
  <c r="B1545"/>
  <c r="C1545"/>
  <c r="A1546"/>
  <c r="D1546" s="1"/>
  <c r="F1546" s="1"/>
  <c r="B1546"/>
  <c r="C1546"/>
  <c r="A1547"/>
  <c r="D1547" s="1"/>
  <c r="E1547" s="1"/>
  <c r="G1547" s="1"/>
  <c r="B1547"/>
  <c r="C1547"/>
  <c r="A1548"/>
  <c r="D1548" s="1"/>
  <c r="F1548" s="1"/>
  <c r="B1548"/>
  <c r="C1548"/>
  <c r="A1549"/>
  <c r="D1549" s="1"/>
  <c r="E1549" s="1"/>
  <c r="G1549" s="1"/>
  <c r="B1549"/>
  <c r="C1549"/>
  <c r="A1550"/>
  <c r="D1550" s="1"/>
  <c r="F1550" s="1"/>
  <c r="B1550"/>
  <c r="C1550"/>
  <c r="A1551"/>
  <c r="D1551" s="1"/>
  <c r="E1551" s="1"/>
  <c r="G1551" s="1"/>
  <c r="B1551"/>
  <c r="C1551"/>
  <c r="A1552"/>
  <c r="D1552" s="1"/>
  <c r="F1552" s="1"/>
  <c r="B1552"/>
  <c r="C1552"/>
  <c r="A1553"/>
  <c r="D1553" s="1"/>
  <c r="E1553" s="1"/>
  <c r="G1553" s="1"/>
  <c r="B1553"/>
  <c r="C1553"/>
  <c r="A1554"/>
  <c r="D1554" s="1"/>
  <c r="F1554" s="1"/>
  <c r="B1554"/>
  <c r="C1554"/>
  <c r="A1555"/>
  <c r="D1555" s="1"/>
  <c r="E1555" s="1"/>
  <c r="G1555" s="1"/>
  <c r="B1555"/>
  <c r="C1555"/>
  <c r="A1556"/>
  <c r="D1556" s="1"/>
  <c r="F1556" s="1"/>
  <c r="B1556"/>
  <c r="C1556"/>
  <c r="A1557"/>
  <c r="D1557" s="1"/>
  <c r="E1557" s="1"/>
  <c r="G1557" s="1"/>
  <c r="B1557"/>
  <c r="C1557"/>
  <c r="A1558"/>
  <c r="D1558" s="1"/>
  <c r="F1558" s="1"/>
  <c r="B1558"/>
  <c r="C1558"/>
  <c r="A1559"/>
  <c r="D1559" s="1"/>
  <c r="E1559" s="1"/>
  <c r="G1559" s="1"/>
  <c r="B1559"/>
  <c r="C1559"/>
  <c r="A1560"/>
  <c r="D1560" s="1"/>
  <c r="B1560"/>
  <c r="C1560"/>
  <c r="A1561"/>
  <c r="D1561" s="1"/>
  <c r="E1561" s="1"/>
  <c r="G1561" s="1"/>
  <c r="B1561"/>
  <c r="C1561"/>
  <c r="A1562"/>
  <c r="D1562" s="1"/>
  <c r="B1562"/>
  <c r="C1562"/>
  <c r="A1563"/>
  <c r="D1563" s="1"/>
  <c r="E1563" s="1"/>
  <c r="G1563" s="1"/>
  <c r="B1563"/>
  <c r="C1563"/>
  <c r="A1564"/>
  <c r="D1564" s="1"/>
  <c r="B1564"/>
  <c r="C1564"/>
  <c r="A1565"/>
  <c r="D1565" s="1"/>
  <c r="E1565" s="1"/>
  <c r="G1565" s="1"/>
  <c r="B1565"/>
  <c r="C1565"/>
  <c r="A1566"/>
  <c r="D1566" s="1"/>
  <c r="B1566"/>
  <c r="C1566"/>
  <c r="A1567"/>
  <c r="D1567" s="1"/>
  <c r="E1567" s="1"/>
  <c r="G1567" s="1"/>
  <c r="B1567"/>
  <c r="C1567"/>
  <c r="A1568"/>
  <c r="D1568" s="1"/>
  <c r="B1568"/>
  <c r="C1568"/>
  <c r="A1569"/>
  <c r="D1569" s="1"/>
  <c r="E1569" s="1"/>
  <c r="G1569" s="1"/>
  <c r="B1569"/>
  <c r="C1569"/>
  <c r="A1570"/>
  <c r="D1570" s="1"/>
  <c r="B1570"/>
  <c r="C1570"/>
  <c r="A1571"/>
  <c r="B1571"/>
  <c r="C1571"/>
  <c r="D1571"/>
  <c r="A1572"/>
  <c r="D1572" s="1"/>
  <c r="B1572"/>
  <c r="C1572"/>
  <c r="A1573"/>
  <c r="D1573" s="1"/>
  <c r="B1573"/>
  <c r="C1573"/>
  <c r="A1574"/>
  <c r="D1574" s="1"/>
  <c r="B1574"/>
  <c r="C1574"/>
  <c r="A1575"/>
  <c r="D1575" s="1"/>
  <c r="B1575"/>
  <c r="C1575"/>
  <c r="A1576"/>
  <c r="D1576" s="1"/>
  <c r="B1576"/>
  <c r="C1576"/>
  <c r="A1577"/>
  <c r="D1577" s="1"/>
  <c r="B1577"/>
  <c r="C1577"/>
  <c r="A1578"/>
  <c r="D1578" s="1"/>
  <c r="B1578"/>
  <c r="C1578"/>
  <c r="A1579"/>
  <c r="D1579" s="1"/>
  <c r="B1579"/>
  <c r="C1579"/>
  <c r="A1580"/>
  <c r="D1580" s="1"/>
  <c r="B1580"/>
  <c r="C1580"/>
  <c r="A1581"/>
  <c r="D1581" s="1"/>
  <c r="B1581"/>
  <c r="C1581"/>
  <c r="A1582"/>
  <c r="D1582" s="1"/>
  <c r="B1582"/>
  <c r="C1582"/>
  <c r="A1583"/>
  <c r="D1583" s="1"/>
  <c r="B1583"/>
  <c r="C1583"/>
  <c r="A1584"/>
  <c r="D1584" s="1"/>
  <c r="B1584"/>
  <c r="C1584"/>
  <c r="A1585"/>
  <c r="D1585" s="1"/>
  <c r="B1585"/>
  <c r="C1585"/>
  <c r="A1586"/>
  <c r="D1586" s="1"/>
  <c r="B1586"/>
  <c r="C1586"/>
  <c r="A1587"/>
  <c r="D1587" s="1"/>
  <c r="B1587"/>
  <c r="C1587"/>
  <c r="A1588"/>
  <c r="D1588" s="1"/>
  <c r="B1588"/>
  <c r="C1588"/>
  <c r="A1589"/>
  <c r="D1589" s="1"/>
  <c r="B1589"/>
  <c r="C1589"/>
  <c r="A1590"/>
  <c r="D1590" s="1"/>
  <c r="B1590"/>
  <c r="C1590"/>
  <c r="A1591"/>
  <c r="D1591" s="1"/>
  <c r="B1591"/>
  <c r="C1591"/>
  <c r="A1592"/>
  <c r="D1592" s="1"/>
  <c r="B1592"/>
  <c r="C1592"/>
  <c r="A1593"/>
  <c r="D1593" s="1"/>
  <c r="B1593"/>
  <c r="C1593"/>
  <c r="A1594"/>
  <c r="D1594" s="1"/>
  <c r="B1594"/>
  <c r="C1594"/>
  <c r="A1595"/>
  <c r="D1595" s="1"/>
  <c r="B1595"/>
  <c r="C1595"/>
  <c r="A1596"/>
  <c r="D1596" s="1"/>
  <c r="B1596"/>
  <c r="C1596"/>
  <c r="A1597"/>
  <c r="D1597" s="1"/>
  <c r="B1597"/>
  <c r="C1597"/>
  <c r="A1598"/>
  <c r="D1598" s="1"/>
  <c r="B1598"/>
  <c r="C1598"/>
  <c r="A1599"/>
  <c r="D1599" s="1"/>
  <c r="B1599"/>
  <c r="C1599"/>
  <c r="A1600"/>
  <c r="D1600" s="1"/>
  <c r="B1600"/>
  <c r="C1600"/>
  <c r="A1601"/>
  <c r="D1601" s="1"/>
  <c r="B1601"/>
  <c r="C1601"/>
  <c r="A1602"/>
  <c r="D1602" s="1"/>
  <c r="B1602"/>
  <c r="C1602"/>
  <c r="A1603"/>
  <c r="B1603"/>
  <c r="C1603"/>
  <c r="D1603"/>
  <c r="A1604"/>
  <c r="D1604" s="1"/>
  <c r="B1604"/>
  <c r="C1604"/>
  <c r="A1605"/>
  <c r="D1605" s="1"/>
  <c r="B1605"/>
  <c r="C1605"/>
  <c r="A1606"/>
  <c r="D1606" s="1"/>
  <c r="B1606"/>
  <c r="C1606"/>
  <c r="A1607"/>
  <c r="D1607" s="1"/>
  <c r="B1607"/>
  <c r="C1607"/>
  <c r="A1608"/>
  <c r="D1608" s="1"/>
  <c r="B1608"/>
  <c r="C1608"/>
  <c r="A1609"/>
  <c r="D1609" s="1"/>
  <c r="B1609"/>
  <c r="C1609"/>
  <c r="A1610"/>
  <c r="D1610" s="1"/>
  <c r="B1610"/>
  <c r="C1610"/>
  <c r="A1611"/>
  <c r="D1611" s="1"/>
  <c r="B1611"/>
  <c r="C1611"/>
  <c r="A1612"/>
  <c r="D1612" s="1"/>
  <c r="B1612"/>
  <c r="C1612"/>
  <c r="A1613"/>
  <c r="D1613" s="1"/>
  <c r="B1613"/>
  <c r="C1613"/>
  <c r="A1614"/>
  <c r="D1614" s="1"/>
  <c r="B1614"/>
  <c r="C1614"/>
  <c r="A1615"/>
  <c r="D1615" s="1"/>
  <c r="B1615"/>
  <c r="C1615"/>
  <c r="A1616"/>
  <c r="D1616" s="1"/>
  <c r="B1616"/>
  <c r="C1616"/>
  <c r="A1617"/>
  <c r="D1617" s="1"/>
  <c r="B1617"/>
  <c r="C1617"/>
  <c r="A1618"/>
  <c r="D1618" s="1"/>
  <c r="B1618"/>
  <c r="C1618"/>
  <c r="A1619"/>
  <c r="D1619" s="1"/>
  <c r="B1619"/>
  <c r="C1619"/>
  <c r="A1620"/>
  <c r="D1620" s="1"/>
  <c r="B1620"/>
  <c r="C1620"/>
  <c r="A1621"/>
  <c r="D1621" s="1"/>
  <c r="B1621"/>
  <c r="C1621"/>
  <c r="A1622"/>
  <c r="D1622" s="1"/>
  <c r="B1622"/>
  <c r="C1622"/>
  <c r="A1623"/>
  <c r="D1623" s="1"/>
  <c r="B1623"/>
  <c r="C1623"/>
  <c r="A1624"/>
  <c r="D1624" s="1"/>
  <c r="B1624"/>
  <c r="C1624"/>
  <c r="A1625"/>
  <c r="D1625" s="1"/>
  <c r="B1625"/>
  <c r="C1625"/>
  <c r="A1626"/>
  <c r="D1626" s="1"/>
  <c r="B1626"/>
  <c r="C1626"/>
  <c r="A1627"/>
  <c r="D1627" s="1"/>
  <c r="B1627"/>
  <c r="C1627"/>
  <c r="A1628"/>
  <c r="D1628" s="1"/>
  <c r="B1628"/>
  <c r="C1628"/>
  <c r="A1629"/>
  <c r="D1629" s="1"/>
  <c r="B1629"/>
  <c r="C1629"/>
  <c r="A1630"/>
  <c r="D1630" s="1"/>
  <c r="B1630"/>
  <c r="C1630"/>
  <c r="A1631"/>
  <c r="D1631" s="1"/>
  <c r="B1631"/>
  <c r="C1631"/>
  <c r="A1632"/>
  <c r="D1632" s="1"/>
  <c r="B1632"/>
  <c r="C1632"/>
  <c r="A1633"/>
  <c r="D1633" s="1"/>
  <c r="B1633"/>
  <c r="C1633"/>
  <c r="A1634"/>
  <c r="D1634" s="1"/>
  <c r="B1634"/>
  <c r="C1634"/>
  <c r="A1635"/>
  <c r="B1635"/>
  <c r="C1635"/>
  <c r="D1635"/>
  <c r="A1636"/>
  <c r="D1636" s="1"/>
  <c r="B1636"/>
  <c r="C1636"/>
  <c r="A1637"/>
  <c r="D1637" s="1"/>
  <c r="B1637"/>
  <c r="C1637"/>
  <c r="A1638"/>
  <c r="D1638" s="1"/>
  <c r="B1638"/>
  <c r="C1638"/>
  <c r="A1639"/>
  <c r="D1639" s="1"/>
  <c r="B1639"/>
  <c r="C1639"/>
  <c r="A1640"/>
  <c r="D1640" s="1"/>
  <c r="B1640"/>
  <c r="C1640"/>
  <c r="A1641"/>
  <c r="D1641" s="1"/>
  <c r="B1641"/>
  <c r="C1641"/>
  <c r="A1642"/>
  <c r="D1642" s="1"/>
  <c r="B1642"/>
  <c r="C1642"/>
  <c r="A1643"/>
  <c r="D1643" s="1"/>
  <c r="B1643"/>
  <c r="C1643"/>
  <c r="A1644"/>
  <c r="D1644" s="1"/>
  <c r="B1644"/>
  <c r="C1644"/>
  <c r="A1645"/>
  <c r="D1645" s="1"/>
  <c r="B1645"/>
  <c r="C1645"/>
  <c r="A1646"/>
  <c r="D1646" s="1"/>
  <c r="B1646"/>
  <c r="C1646"/>
  <c r="A1647"/>
  <c r="D1647" s="1"/>
  <c r="B1647"/>
  <c r="C1647"/>
  <c r="A1648"/>
  <c r="D1648" s="1"/>
  <c r="B1648"/>
  <c r="C1648"/>
  <c r="A1649"/>
  <c r="D1649" s="1"/>
  <c r="B1649"/>
  <c r="C1649"/>
  <c r="A1650"/>
  <c r="D1650" s="1"/>
  <c r="B1650"/>
  <c r="C1650"/>
  <c r="A1651"/>
  <c r="D1651" s="1"/>
  <c r="B1651"/>
  <c r="C1651"/>
  <c r="A1652"/>
  <c r="D1652" s="1"/>
  <c r="B1652"/>
  <c r="C1652"/>
  <c r="A1653"/>
  <c r="D1653" s="1"/>
  <c r="B1653"/>
  <c r="C1653"/>
  <c r="A1654"/>
  <c r="D1654" s="1"/>
  <c r="B1654"/>
  <c r="C1654"/>
  <c r="A1655"/>
  <c r="D1655" s="1"/>
  <c r="B1655"/>
  <c r="C1655"/>
  <c r="A1656"/>
  <c r="D1656" s="1"/>
  <c r="B1656"/>
  <c r="C1656"/>
  <c r="A1657"/>
  <c r="D1657" s="1"/>
  <c r="B1657"/>
  <c r="C1657"/>
  <c r="A1658"/>
  <c r="D1658" s="1"/>
  <c r="B1658"/>
  <c r="C1658"/>
  <c r="A1659"/>
  <c r="D1659" s="1"/>
  <c r="B1659"/>
  <c r="C1659"/>
  <c r="A1660"/>
  <c r="D1660" s="1"/>
  <c r="B1660"/>
  <c r="C1660"/>
  <c r="A1661"/>
  <c r="D1661" s="1"/>
  <c r="B1661"/>
  <c r="C1661"/>
  <c r="A1662"/>
  <c r="D1662" s="1"/>
  <c r="B1662"/>
  <c r="C1662"/>
  <c r="A1663"/>
  <c r="D1663" s="1"/>
  <c r="B1663"/>
  <c r="C1663"/>
  <c r="A1664"/>
  <c r="D1664" s="1"/>
  <c r="B1664"/>
  <c r="C1664"/>
  <c r="A1665"/>
  <c r="D1665" s="1"/>
  <c r="B1665"/>
  <c r="C1665"/>
  <c r="A1666"/>
  <c r="D1666" s="1"/>
  <c r="B1666"/>
  <c r="C1666"/>
  <c r="A1667"/>
  <c r="B1667"/>
  <c r="C1667"/>
  <c r="D1667"/>
  <c r="A1668"/>
  <c r="D1668" s="1"/>
  <c r="B1668"/>
  <c r="C1668"/>
  <c r="A1669"/>
  <c r="D1669" s="1"/>
  <c r="B1669"/>
  <c r="C1669"/>
  <c r="A1670"/>
  <c r="D1670" s="1"/>
  <c r="B1670"/>
  <c r="C1670"/>
  <c r="A1671"/>
  <c r="D1671" s="1"/>
  <c r="B1671"/>
  <c r="C1671"/>
  <c r="A1672"/>
  <c r="D1672" s="1"/>
  <c r="B1672"/>
  <c r="C1672"/>
  <c r="A1673"/>
  <c r="D1673" s="1"/>
  <c r="B1673"/>
  <c r="C1673"/>
  <c r="A1674"/>
  <c r="D1674" s="1"/>
  <c r="B1674"/>
  <c r="C1674"/>
  <c r="A1675"/>
  <c r="D1675" s="1"/>
  <c r="B1675"/>
  <c r="C1675"/>
  <c r="A1676"/>
  <c r="D1676" s="1"/>
  <c r="B1676"/>
  <c r="C1676"/>
  <c r="A1677"/>
  <c r="D1677" s="1"/>
  <c r="B1677"/>
  <c r="C1677"/>
  <c r="A1678"/>
  <c r="D1678" s="1"/>
  <c r="B1678"/>
  <c r="C1678"/>
  <c r="A1679"/>
  <c r="D1679" s="1"/>
  <c r="B1679"/>
  <c r="C1679"/>
  <c r="A1680"/>
  <c r="D1680" s="1"/>
  <c r="B1680"/>
  <c r="C1680"/>
  <c r="A1681"/>
  <c r="D1681" s="1"/>
  <c r="B1681"/>
  <c r="C1681"/>
  <c r="A1682"/>
  <c r="D1682" s="1"/>
  <c r="B1682"/>
  <c r="C1682"/>
  <c r="A1683"/>
  <c r="D1683" s="1"/>
  <c r="B1683"/>
  <c r="C1683"/>
  <c r="A1684"/>
  <c r="D1684" s="1"/>
  <c r="B1684"/>
  <c r="C1684"/>
  <c r="A1685"/>
  <c r="D1685" s="1"/>
  <c r="B1685"/>
  <c r="C1685"/>
  <c r="A1686"/>
  <c r="D1686" s="1"/>
  <c r="B1686"/>
  <c r="C1686"/>
  <c r="A1687"/>
  <c r="D1687" s="1"/>
  <c r="B1687"/>
  <c r="C1687"/>
  <c r="A1688"/>
  <c r="D1688" s="1"/>
  <c r="B1688"/>
  <c r="C1688"/>
  <c r="A1689"/>
  <c r="D1689" s="1"/>
  <c r="B1689"/>
  <c r="C1689"/>
  <c r="A1690"/>
  <c r="D1690" s="1"/>
  <c r="B1690"/>
  <c r="C1690"/>
  <c r="A1691"/>
  <c r="D1691" s="1"/>
  <c r="B1691"/>
  <c r="C1691"/>
  <c r="A1692"/>
  <c r="D1692" s="1"/>
  <c r="B1692"/>
  <c r="C1692"/>
  <c r="A1693"/>
  <c r="D1693" s="1"/>
  <c r="B1693"/>
  <c r="C1693"/>
  <c r="A1694"/>
  <c r="D1694" s="1"/>
  <c r="B1694"/>
  <c r="C1694"/>
  <c r="A1695"/>
  <c r="D1695" s="1"/>
  <c r="B1695"/>
  <c r="C1695"/>
  <c r="A1696"/>
  <c r="D1696" s="1"/>
  <c r="B1696"/>
  <c r="C1696"/>
  <c r="A1697"/>
  <c r="D1697" s="1"/>
  <c r="B1697"/>
  <c r="C1697"/>
  <c r="A1698"/>
  <c r="D1698" s="1"/>
  <c r="B1698"/>
  <c r="C1698"/>
  <c r="A1699"/>
  <c r="B1699"/>
  <c r="C1699"/>
  <c r="D1699"/>
  <c r="A1700"/>
  <c r="D1700" s="1"/>
  <c r="B1700"/>
  <c r="C1700"/>
  <c r="A1701"/>
  <c r="D1701" s="1"/>
  <c r="B1701"/>
  <c r="C1701"/>
  <c r="A1702"/>
  <c r="D1702" s="1"/>
  <c r="B1702"/>
  <c r="C1702"/>
  <c r="A1703"/>
  <c r="D1703" s="1"/>
  <c r="B1703"/>
  <c r="C1703"/>
  <c r="A1704"/>
  <c r="D1704" s="1"/>
  <c r="B1704"/>
  <c r="C1704"/>
  <c r="A1705"/>
  <c r="D1705" s="1"/>
  <c r="B1705"/>
  <c r="C1705"/>
  <c r="A1706"/>
  <c r="D1706" s="1"/>
  <c r="B1706"/>
  <c r="C1706"/>
  <c r="A1707"/>
  <c r="D1707" s="1"/>
  <c r="B1707"/>
  <c r="C1707"/>
  <c r="A1708"/>
  <c r="D1708" s="1"/>
  <c r="B1708"/>
  <c r="C1708"/>
  <c r="A1709"/>
  <c r="D1709" s="1"/>
  <c r="B1709"/>
  <c r="C1709"/>
  <c r="A1710"/>
  <c r="D1710" s="1"/>
  <c r="B1710"/>
  <c r="C1710"/>
  <c r="A1711"/>
  <c r="D1711" s="1"/>
  <c r="B1711"/>
  <c r="C1711"/>
  <c r="A1712"/>
  <c r="D1712" s="1"/>
  <c r="B1712"/>
  <c r="C1712"/>
  <c r="A1713"/>
  <c r="D1713" s="1"/>
  <c r="B1713"/>
  <c r="C1713"/>
  <c r="A1714"/>
  <c r="D1714" s="1"/>
  <c r="B1714"/>
  <c r="C1714"/>
  <c r="A1715"/>
  <c r="D1715" s="1"/>
  <c r="B1715"/>
  <c r="C1715"/>
  <c r="A1716"/>
  <c r="D1716" s="1"/>
  <c r="B1716"/>
  <c r="C1716"/>
  <c r="A1717"/>
  <c r="D1717" s="1"/>
  <c r="B1717"/>
  <c r="C1717"/>
  <c r="A1718"/>
  <c r="D1718" s="1"/>
  <c r="B1718"/>
  <c r="C1718"/>
  <c r="A1719"/>
  <c r="D1719" s="1"/>
  <c r="B1719"/>
  <c r="C1719"/>
  <c r="A1720"/>
  <c r="D1720" s="1"/>
  <c r="B1720"/>
  <c r="C1720"/>
  <c r="A1721"/>
  <c r="D1721" s="1"/>
  <c r="B1721"/>
  <c r="C1721"/>
  <c r="A1722"/>
  <c r="D1722" s="1"/>
  <c r="B1722"/>
  <c r="C1722"/>
  <c r="A1723"/>
  <c r="D1723" s="1"/>
  <c r="B1723"/>
  <c r="C1723"/>
  <c r="A1724"/>
  <c r="D1724" s="1"/>
  <c r="B1724"/>
  <c r="C1724"/>
  <c r="A1725"/>
  <c r="D1725" s="1"/>
  <c r="B1725"/>
  <c r="C1725"/>
  <c r="A1726"/>
  <c r="D1726" s="1"/>
  <c r="B1726"/>
  <c r="C1726"/>
  <c r="A1727"/>
  <c r="D1727" s="1"/>
  <c r="B1727"/>
  <c r="C1727"/>
  <c r="A1728"/>
  <c r="D1728" s="1"/>
  <c r="B1728"/>
  <c r="C1728"/>
  <c r="A1729"/>
  <c r="D1729" s="1"/>
  <c r="B1729"/>
  <c r="C1729"/>
  <c r="A1730"/>
  <c r="D1730" s="1"/>
  <c r="B1730"/>
  <c r="C1730"/>
  <c r="A1731"/>
  <c r="D1731" s="1"/>
  <c r="B1731"/>
  <c r="C1731"/>
  <c r="A1732"/>
  <c r="D1732" s="1"/>
  <c r="B1732"/>
  <c r="C1732"/>
  <c r="A1733"/>
  <c r="D1733" s="1"/>
  <c r="B1733"/>
  <c r="C1733"/>
  <c r="A1734"/>
  <c r="D1734" s="1"/>
  <c r="B1734"/>
  <c r="C1734"/>
  <c r="A1735"/>
  <c r="D1735" s="1"/>
  <c r="B1735"/>
  <c r="C1735"/>
  <c r="A1736"/>
  <c r="D1736" s="1"/>
  <c r="B1736"/>
  <c r="C1736"/>
  <c r="A1737"/>
  <c r="D1737" s="1"/>
  <c r="B1737"/>
  <c r="C1737"/>
  <c r="A1738"/>
  <c r="D1738" s="1"/>
  <c r="B1738"/>
  <c r="C1738"/>
  <c r="A1739"/>
  <c r="D1739" s="1"/>
  <c r="B1739"/>
  <c r="C1739"/>
  <c r="A1740"/>
  <c r="D1740" s="1"/>
  <c r="B1740"/>
  <c r="C1740"/>
  <c r="A1741"/>
  <c r="D1741" s="1"/>
  <c r="B1741"/>
  <c r="C1741"/>
  <c r="A1742"/>
  <c r="D1742" s="1"/>
  <c r="B1742"/>
  <c r="C1742"/>
  <c r="A1743"/>
  <c r="D1743" s="1"/>
  <c r="B1743"/>
  <c r="C1743"/>
  <c r="A1744"/>
  <c r="D1744" s="1"/>
  <c r="B1744"/>
  <c r="C1744"/>
  <c r="A1745"/>
  <c r="D1745" s="1"/>
  <c r="B1745"/>
  <c r="C1745"/>
  <c r="A1746"/>
  <c r="D1746" s="1"/>
  <c r="B1746"/>
  <c r="C1746"/>
  <c r="A1747"/>
  <c r="D1747" s="1"/>
  <c r="B1747"/>
  <c r="C1747"/>
  <c r="A1748"/>
  <c r="D1748" s="1"/>
  <c r="B1748"/>
  <c r="C1748"/>
  <c r="A1749"/>
  <c r="D1749" s="1"/>
  <c r="B1749"/>
  <c r="C1749"/>
  <c r="A1750"/>
  <c r="D1750" s="1"/>
  <c r="B1750"/>
  <c r="C1750"/>
  <c r="A1751"/>
  <c r="D1751" s="1"/>
  <c r="B1751"/>
  <c r="C1751"/>
  <c r="A1752"/>
  <c r="D1752" s="1"/>
  <c r="B1752"/>
  <c r="C1752"/>
  <c r="A1753"/>
  <c r="D1753" s="1"/>
  <c r="B1753"/>
  <c r="C1753"/>
  <c r="A1754"/>
  <c r="D1754" s="1"/>
  <c r="B1754"/>
  <c r="C1754"/>
  <c r="A1755"/>
  <c r="D1755" s="1"/>
  <c r="B1755"/>
  <c r="C1755"/>
  <c r="A1756"/>
  <c r="D1756" s="1"/>
  <c r="B1756"/>
  <c r="C1756"/>
  <c r="A1757"/>
  <c r="D1757" s="1"/>
  <c r="B1757"/>
  <c r="C1757"/>
  <c r="A1758"/>
  <c r="D1758" s="1"/>
  <c r="B1758"/>
  <c r="C1758"/>
  <c r="A1759"/>
  <c r="B1759"/>
  <c r="C1759"/>
  <c r="D1759"/>
  <c r="A1760"/>
  <c r="D1760" s="1"/>
  <c r="B1760"/>
  <c r="C1760"/>
  <c r="A1761"/>
  <c r="D1761" s="1"/>
  <c r="B1761"/>
  <c r="C1761"/>
  <c r="A1762"/>
  <c r="D1762" s="1"/>
  <c r="B1762"/>
  <c r="C1762"/>
  <c r="A1763"/>
  <c r="D1763" s="1"/>
  <c r="B1763"/>
  <c r="C1763"/>
  <c r="A1764"/>
  <c r="D1764" s="1"/>
  <c r="B1764"/>
  <c r="C1764"/>
  <c r="A1765"/>
  <c r="D1765" s="1"/>
  <c r="B1765"/>
  <c r="C1765"/>
  <c r="A1766"/>
  <c r="D1766" s="1"/>
  <c r="B1766"/>
  <c r="C1766"/>
  <c r="A1767"/>
  <c r="D1767" s="1"/>
  <c r="B1767"/>
  <c r="C1767"/>
  <c r="A1768"/>
  <c r="D1768" s="1"/>
  <c r="B1768"/>
  <c r="C1768"/>
  <c r="A1769"/>
  <c r="D1769" s="1"/>
  <c r="B1769"/>
  <c r="C1769"/>
  <c r="A1770"/>
  <c r="D1770" s="1"/>
  <c r="B1770"/>
  <c r="C1770"/>
  <c r="A1771"/>
  <c r="D1771" s="1"/>
  <c r="B1771"/>
  <c r="C1771"/>
  <c r="A1772"/>
  <c r="D1772" s="1"/>
  <c r="B1772"/>
  <c r="C1772"/>
  <c r="A1773"/>
  <c r="D1773" s="1"/>
  <c r="B1773"/>
  <c r="C1773"/>
  <c r="A1774"/>
  <c r="D1774" s="1"/>
  <c r="B1774"/>
  <c r="C1774"/>
  <c r="A1775"/>
  <c r="D1775" s="1"/>
  <c r="B1775"/>
  <c r="C1775"/>
  <c r="A1776"/>
  <c r="D1776" s="1"/>
  <c r="B1776"/>
  <c r="C1776"/>
  <c r="A1777"/>
  <c r="D1777" s="1"/>
  <c r="B1777"/>
  <c r="C1777"/>
  <c r="A1778"/>
  <c r="D1778" s="1"/>
  <c r="B1778"/>
  <c r="C1778"/>
  <c r="A1779"/>
  <c r="D1779" s="1"/>
  <c r="B1779"/>
  <c r="C1779"/>
  <c r="A1780"/>
  <c r="D1780" s="1"/>
  <c r="B1780"/>
  <c r="C1780"/>
  <c r="A1781"/>
  <c r="D1781" s="1"/>
  <c r="B1781"/>
  <c r="C1781"/>
  <c r="A1782"/>
  <c r="D1782" s="1"/>
  <c r="B1782"/>
  <c r="C1782"/>
  <c r="A1783"/>
  <c r="D1783" s="1"/>
  <c r="B1783"/>
  <c r="C1783"/>
  <c r="A1784"/>
  <c r="D1784" s="1"/>
  <c r="B1784"/>
  <c r="C1784"/>
  <c r="A1785"/>
  <c r="D1785" s="1"/>
  <c r="B1785"/>
  <c r="C1785"/>
  <c r="A1786"/>
  <c r="D1786" s="1"/>
  <c r="B1786"/>
  <c r="C1786"/>
  <c r="A1787"/>
  <c r="D1787" s="1"/>
  <c r="B1787"/>
  <c r="C1787"/>
  <c r="A1788"/>
  <c r="D1788" s="1"/>
  <c r="B1788"/>
  <c r="C1788"/>
  <c r="A1789"/>
  <c r="D1789" s="1"/>
  <c r="B1789"/>
  <c r="C1789"/>
  <c r="A1790"/>
  <c r="D1790" s="1"/>
  <c r="B1790"/>
  <c r="C1790"/>
  <c r="A1791"/>
  <c r="D1791" s="1"/>
  <c r="B1791"/>
  <c r="C1791"/>
  <c r="A1792"/>
  <c r="D1792" s="1"/>
  <c r="B1792"/>
  <c r="C1792"/>
  <c r="A1793"/>
  <c r="D1793" s="1"/>
  <c r="B1793"/>
  <c r="C1793"/>
  <c r="A1794"/>
  <c r="D1794" s="1"/>
  <c r="B1794"/>
  <c r="C1794"/>
  <c r="A1795"/>
  <c r="D1795" s="1"/>
  <c r="B1795"/>
  <c r="C1795"/>
  <c r="A1796"/>
  <c r="D1796" s="1"/>
  <c r="B1796"/>
  <c r="C1796"/>
  <c r="A1797"/>
  <c r="D1797" s="1"/>
  <c r="B1797"/>
  <c r="C1797"/>
  <c r="A1798"/>
  <c r="D1798" s="1"/>
  <c r="B1798"/>
  <c r="C1798"/>
  <c r="A1799"/>
  <c r="D1799" s="1"/>
  <c r="B1799"/>
  <c r="C1799"/>
  <c r="A1800"/>
  <c r="D1800" s="1"/>
  <c r="B1800"/>
  <c r="C1800"/>
  <c r="A1801"/>
  <c r="D1801" s="1"/>
  <c r="B1801"/>
  <c r="C1801"/>
  <c r="A1802"/>
  <c r="D1802" s="1"/>
  <c r="B1802"/>
  <c r="C1802"/>
  <c r="A1803"/>
  <c r="D1803" s="1"/>
  <c r="B1803"/>
  <c r="C1803"/>
  <c r="A1804"/>
  <c r="D1804" s="1"/>
  <c r="B1804"/>
  <c r="C1804"/>
  <c r="A1805"/>
  <c r="D1805" s="1"/>
  <c r="B1805"/>
  <c r="C1805"/>
  <c r="A1806"/>
  <c r="D1806" s="1"/>
  <c r="B1806"/>
  <c r="C1806"/>
  <c r="A1807"/>
  <c r="D1807" s="1"/>
  <c r="B1807"/>
  <c r="C1807"/>
  <c r="A1808"/>
  <c r="D1808" s="1"/>
  <c r="B1808"/>
  <c r="C1808"/>
  <c r="A1809"/>
  <c r="D1809" s="1"/>
  <c r="B1809"/>
  <c r="C1809"/>
  <c r="A1810"/>
  <c r="D1810" s="1"/>
  <c r="B1810"/>
  <c r="C1810"/>
  <c r="A1811"/>
  <c r="D1811" s="1"/>
  <c r="B1811"/>
  <c r="C1811"/>
  <c r="A1812"/>
  <c r="D1812" s="1"/>
  <c r="B1812"/>
  <c r="C1812"/>
  <c r="A1813"/>
  <c r="D1813" s="1"/>
  <c r="B1813"/>
  <c r="C1813"/>
  <c r="A1814"/>
  <c r="D1814" s="1"/>
  <c r="B1814"/>
  <c r="C1814"/>
  <c r="A1815"/>
  <c r="D1815" s="1"/>
  <c r="B1815"/>
  <c r="C1815"/>
  <c r="A1816"/>
  <c r="D1816" s="1"/>
  <c r="B1816"/>
  <c r="C1816"/>
  <c r="A1817"/>
  <c r="D1817" s="1"/>
  <c r="B1817"/>
  <c r="C1817"/>
  <c r="A1818"/>
  <c r="D1818" s="1"/>
  <c r="B1818"/>
  <c r="C1818"/>
  <c r="A1819"/>
  <c r="D1819" s="1"/>
  <c r="B1819"/>
  <c r="C1819"/>
  <c r="A1820"/>
  <c r="D1820" s="1"/>
  <c r="B1820"/>
  <c r="C1820"/>
  <c r="A1821"/>
  <c r="D1821" s="1"/>
  <c r="B1821"/>
  <c r="C1821"/>
  <c r="A1822"/>
  <c r="D1822" s="1"/>
  <c r="B1822"/>
  <c r="C1822"/>
  <c r="A1823"/>
  <c r="D1823" s="1"/>
  <c r="B1823"/>
  <c r="C1823"/>
  <c r="A1824"/>
  <c r="D1824" s="1"/>
  <c r="B1824"/>
  <c r="C1824"/>
  <c r="A1825"/>
  <c r="D1825" s="1"/>
  <c r="B1825"/>
  <c r="C1825"/>
  <c r="A1826"/>
  <c r="D1826" s="1"/>
  <c r="B1826"/>
  <c r="C1826"/>
  <c r="A1827"/>
  <c r="D1827" s="1"/>
  <c r="B1827"/>
  <c r="C1827"/>
  <c r="A1828"/>
  <c r="D1828" s="1"/>
  <c r="B1828"/>
  <c r="C1828"/>
  <c r="A1829"/>
  <c r="D1829" s="1"/>
  <c r="B1829"/>
  <c r="C1829"/>
  <c r="A1830"/>
  <c r="D1830" s="1"/>
  <c r="B1830"/>
  <c r="C1830"/>
  <c r="A1831"/>
  <c r="D1831" s="1"/>
  <c r="B1831"/>
  <c r="C1831"/>
  <c r="A1832"/>
  <c r="D1832" s="1"/>
  <c r="B1832"/>
  <c r="C1832"/>
  <c r="A1833"/>
  <c r="D1833" s="1"/>
  <c r="B1833"/>
  <c r="C1833"/>
  <c r="A1834"/>
  <c r="D1834" s="1"/>
  <c r="B1834"/>
  <c r="C1834"/>
  <c r="A1835"/>
  <c r="D1835" s="1"/>
  <c r="B1835"/>
  <c r="C1835"/>
  <c r="A1836"/>
  <c r="D1836" s="1"/>
  <c r="B1836"/>
  <c r="C1836"/>
  <c r="A1837"/>
  <c r="D1837" s="1"/>
  <c r="B1837"/>
  <c r="C1837"/>
  <c r="A1838"/>
  <c r="D1838" s="1"/>
  <c r="B1838"/>
  <c r="C1838"/>
  <c r="A1839"/>
  <c r="B1839"/>
  <c r="C1839"/>
  <c r="D1839"/>
  <c r="A1840"/>
  <c r="D1840" s="1"/>
  <c r="B1840"/>
  <c r="C1840"/>
  <c r="A1841"/>
  <c r="D1841" s="1"/>
  <c r="B1841"/>
  <c r="C1841"/>
  <c r="A1842"/>
  <c r="D1842" s="1"/>
  <c r="B1842"/>
  <c r="C1842"/>
  <c r="A1843"/>
  <c r="D1843" s="1"/>
  <c r="B1843"/>
  <c r="C1843"/>
  <c r="A1844"/>
  <c r="D1844" s="1"/>
  <c r="B1844"/>
  <c r="C1844"/>
  <c r="A1845"/>
  <c r="D1845" s="1"/>
  <c r="B1845"/>
  <c r="C1845"/>
  <c r="A1846"/>
  <c r="D1846" s="1"/>
  <c r="B1846"/>
  <c r="C1846"/>
  <c r="A1847"/>
  <c r="D1847" s="1"/>
  <c r="B1847"/>
  <c r="C1847"/>
  <c r="A1848"/>
  <c r="D1848" s="1"/>
  <c r="B1848"/>
  <c r="C1848"/>
  <c r="A1849"/>
  <c r="D1849" s="1"/>
  <c r="B1849"/>
  <c r="C1849"/>
  <c r="A1850"/>
  <c r="D1850" s="1"/>
  <c r="B1850"/>
  <c r="C1850"/>
  <c r="A1851"/>
  <c r="D1851" s="1"/>
  <c r="B1851"/>
  <c r="C1851"/>
  <c r="A1852"/>
  <c r="D1852" s="1"/>
  <c r="B1852"/>
  <c r="C1852"/>
  <c r="A1853"/>
  <c r="D1853" s="1"/>
  <c r="B1853"/>
  <c r="C1853"/>
  <c r="A1854"/>
  <c r="D1854" s="1"/>
  <c r="B1854"/>
  <c r="C1854"/>
  <c r="A1855"/>
  <c r="D1855" s="1"/>
  <c r="B1855"/>
  <c r="C1855"/>
  <c r="A1856"/>
  <c r="D1856" s="1"/>
  <c r="B1856"/>
  <c r="C1856"/>
  <c r="A1857"/>
  <c r="D1857" s="1"/>
  <c r="B1857"/>
  <c r="C1857"/>
  <c r="A1858"/>
  <c r="D1858" s="1"/>
  <c r="B1858"/>
  <c r="C1858"/>
  <c r="A1859"/>
  <c r="D1859" s="1"/>
  <c r="B1859"/>
  <c r="C1859"/>
  <c r="A1860"/>
  <c r="D1860" s="1"/>
  <c r="B1860"/>
  <c r="C1860"/>
  <c r="A1861"/>
  <c r="D1861" s="1"/>
  <c r="B1861"/>
  <c r="C1861"/>
  <c r="A1862"/>
  <c r="D1862" s="1"/>
  <c r="B1862"/>
  <c r="C1862"/>
  <c r="A1863"/>
  <c r="D1863" s="1"/>
  <c r="B1863"/>
  <c r="C1863"/>
  <c r="A1864"/>
  <c r="D1864" s="1"/>
  <c r="B1864"/>
  <c r="C1864"/>
  <c r="A1865"/>
  <c r="D1865" s="1"/>
  <c r="B1865"/>
  <c r="C1865"/>
  <c r="A1866"/>
  <c r="D1866" s="1"/>
  <c r="B1866"/>
  <c r="C1866"/>
  <c r="A1867"/>
  <c r="D1867" s="1"/>
  <c r="B1867"/>
  <c r="C1867"/>
  <c r="A1868"/>
  <c r="D1868" s="1"/>
  <c r="B1868"/>
  <c r="C1868"/>
  <c r="A1869"/>
  <c r="D1869" s="1"/>
  <c r="B1869"/>
  <c r="C1869"/>
  <c r="A1870"/>
  <c r="D1870" s="1"/>
  <c r="B1870"/>
  <c r="C1870"/>
  <c r="A1871"/>
  <c r="D1871" s="1"/>
  <c r="B1871"/>
  <c r="C1871"/>
  <c r="A1872"/>
  <c r="D1872" s="1"/>
  <c r="B1872"/>
  <c r="C1872"/>
  <c r="A1873"/>
  <c r="D1873" s="1"/>
  <c r="B1873"/>
  <c r="C1873"/>
  <c r="A1874"/>
  <c r="D1874" s="1"/>
  <c r="B1874"/>
  <c r="C1874"/>
  <c r="A1875"/>
  <c r="D1875" s="1"/>
  <c r="B1875"/>
  <c r="C1875"/>
  <c r="A1876"/>
  <c r="D1876" s="1"/>
  <c r="B1876"/>
  <c r="C1876"/>
  <c r="A1877"/>
  <c r="D1877" s="1"/>
  <c r="B1877"/>
  <c r="C1877"/>
  <c r="A1878"/>
  <c r="D1878" s="1"/>
  <c r="B1878"/>
  <c r="C1878"/>
  <c r="A1879"/>
  <c r="D1879" s="1"/>
  <c r="B1879"/>
  <c r="C1879"/>
  <c r="A1880"/>
  <c r="D1880" s="1"/>
  <c r="B1880"/>
  <c r="C1880"/>
  <c r="A1881"/>
  <c r="D1881" s="1"/>
  <c r="B1881"/>
  <c r="C1881"/>
  <c r="A1882"/>
  <c r="D1882" s="1"/>
  <c r="B1882"/>
  <c r="C1882"/>
  <c r="A1883"/>
  <c r="D1883" s="1"/>
  <c r="B1883"/>
  <c r="C1883"/>
  <c r="A1884"/>
  <c r="D1884" s="1"/>
  <c r="B1884"/>
  <c r="C1884"/>
  <c r="A1885"/>
  <c r="D1885" s="1"/>
  <c r="B1885"/>
  <c r="C1885"/>
  <c r="A1886"/>
  <c r="D1886" s="1"/>
  <c r="B1886"/>
  <c r="C1886"/>
  <c r="A1887"/>
  <c r="D1887" s="1"/>
  <c r="B1887"/>
  <c r="C1887"/>
  <c r="A1888"/>
  <c r="D1888" s="1"/>
  <c r="B1888"/>
  <c r="C1888"/>
  <c r="A1889"/>
  <c r="D1889" s="1"/>
  <c r="B1889"/>
  <c r="C1889"/>
  <c r="A1890"/>
  <c r="D1890" s="1"/>
  <c r="B1890"/>
  <c r="C1890"/>
  <c r="A1891"/>
  <c r="D1891" s="1"/>
  <c r="B1891"/>
  <c r="C1891"/>
  <c r="A1892"/>
  <c r="D1892" s="1"/>
  <c r="B1892"/>
  <c r="C1892"/>
  <c r="A1893"/>
  <c r="D1893" s="1"/>
  <c r="B1893"/>
  <c r="C1893"/>
  <c r="A1894"/>
  <c r="D1894" s="1"/>
  <c r="B1894"/>
  <c r="C1894"/>
  <c r="A1895"/>
  <c r="D1895" s="1"/>
  <c r="B1895"/>
  <c r="C1895"/>
  <c r="A1896"/>
  <c r="D1896" s="1"/>
  <c r="B1896"/>
  <c r="C1896"/>
  <c r="A1897"/>
  <c r="D1897" s="1"/>
  <c r="B1897"/>
  <c r="C1897"/>
  <c r="A1898"/>
  <c r="D1898" s="1"/>
  <c r="B1898"/>
  <c r="C1898"/>
  <c r="A1899"/>
  <c r="D1899" s="1"/>
  <c r="B1899"/>
  <c r="C1899"/>
  <c r="A1900"/>
  <c r="D1900" s="1"/>
  <c r="B1900"/>
  <c r="C1900"/>
  <c r="A1901"/>
  <c r="D1901" s="1"/>
  <c r="B1901"/>
  <c r="C1901"/>
  <c r="A1902"/>
  <c r="D1902" s="1"/>
  <c r="B1902"/>
  <c r="C1902"/>
  <c r="A1903"/>
  <c r="B1903"/>
  <c r="C1903"/>
  <c r="D1903"/>
  <c r="A1904"/>
  <c r="D1904" s="1"/>
  <c r="B1904"/>
  <c r="C1904"/>
  <c r="A1905"/>
  <c r="D1905" s="1"/>
  <c r="B1905"/>
  <c r="C1905"/>
  <c r="A1906"/>
  <c r="D1906" s="1"/>
  <c r="B1906"/>
  <c r="C1906"/>
  <c r="A1907"/>
  <c r="D1907" s="1"/>
  <c r="B1907"/>
  <c r="C1907"/>
  <c r="A1908"/>
  <c r="D1908" s="1"/>
  <c r="B1908"/>
  <c r="C1908"/>
  <c r="A1909"/>
  <c r="D1909" s="1"/>
  <c r="B1909"/>
  <c r="C1909"/>
  <c r="A1910"/>
  <c r="D1910" s="1"/>
  <c r="B1910"/>
  <c r="C1910"/>
  <c r="A1911"/>
  <c r="D1911" s="1"/>
  <c r="B1911"/>
  <c r="C1911"/>
  <c r="A1912"/>
  <c r="D1912" s="1"/>
  <c r="B1912"/>
  <c r="C1912"/>
  <c r="A1913"/>
  <c r="D1913" s="1"/>
  <c r="B1913"/>
  <c r="C1913"/>
  <c r="A1914"/>
  <c r="D1914" s="1"/>
  <c r="B1914"/>
  <c r="C1914"/>
  <c r="A1915"/>
  <c r="D1915" s="1"/>
  <c r="B1915"/>
  <c r="C1915"/>
  <c r="A1916"/>
  <c r="D1916" s="1"/>
  <c r="B1916"/>
  <c r="C1916"/>
  <c r="A1917"/>
  <c r="D1917" s="1"/>
  <c r="B1917"/>
  <c r="C1917"/>
  <c r="A1918"/>
  <c r="D1918" s="1"/>
  <c r="B1918"/>
  <c r="C1918"/>
  <c r="A1919"/>
  <c r="D1919" s="1"/>
  <c r="B1919"/>
  <c r="C1919"/>
  <c r="A1920"/>
  <c r="D1920" s="1"/>
  <c r="B1920"/>
  <c r="C1920"/>
  <c r="A1921"/>
  <c r="D1921" s="1"/>
  <c r="B1921"/>
  <c r="C1921"/>
  <c r="A1922"/>
  <c r="D1922" s="1"/>
  <c r="B1922"/>
  <c r="C1922"/>
  <c r="A1923"/>
  <c r="D1923" s="1"/>
  <c r="B1923"/>
  <c r="C1923"/>
  <c r="A1924"/>
  <c r="D1924" s="1"/>
  <c r="B1924"/>
  <c r="C1924"/>
  <c r="A1925"/>
  <c r="D1925" s="1"/>
  <c r="B1925"/>
  <c r="C1925"/>
  <c r="A1926"/>
  <c r="D1926" s="1"/>
  <c r="B1926"/>
  <c r="C1926"/>
  <c r="A1927"/>
  <c r="D1927" s="1"/>
  <c r="B1927"/>
  <c r="C1927"/>
  <c r="A1928"/>
  <c r="D1928" s="1"/>
  <c r="B1928"/>
  <c r="C1928"/>
  <c r="A1929"/>
  <c r="D1929" s="1"/>
  <c r="B1929"/>
  <c r="C1929"/>
  <c r="A1930"/>
  <c r="D1930" s="1"/>
  <c r="B1930"/>
  <c r="C1930"/>
  <c r="A1931"/>
  <c r="D1931" s="1"/>
  <c r="B1931"/>
  <c r="C1931"/>
  <c r="A1932"/>
  <c r="D1932" s="1"/>
  <c r="B1932"/>
  <c r="C1932"/>
  <c r="A1933"/>
  <c r="D1933" s="1"/>
  <c r="B1933"/>
  <c r="C1933"/>
  <c r="A1934"/>
  <c r="D1934" s="1"/>
  <c r="B1934"/>
  <c r="C1934"/>
  <c r="A1935"/>
  <c r="D1935" s="1"/>
  <c r="B1935"/>
  <c r="C1935"/>
  <c r="A1936"/>
  <c r="D1936" s="1"/>
  <c r="B1936"/>
  <c r="C1936"/>
  <c r="A1937"/>
  <c r="D1937" s="1"/>
  <c r="B1937"/>
  <c r="C1937"/>
  <c r="A1938"/>
  <c r="D1938" s="1"/>
  <c r="B1938"/>
  <c r="C1938"/>
  <c r="A1939"/>
  <c r="D1939" s="1"/>
  <c r="B1939"/>
  <c r="C1939"/>
  <c r="A1940"/>
  <c r="D1940" s="1"/>
  <c r="B1940"/>
  <c r="C1940"/>
  <c r="A1941"/>
  <c r="D1941" s="1"/>
  <c r="B1941"/>
  <c r="C1941"/>
  <c r="A1942"/>
  <c r="D1942" s="1"/>
  <c r="B1942"/>
  <c r="C1942"/>
  <c r="A1943"/>
  <c r="D1943" s="1"/>
  <c r="B1943"/>
  <c r="C1943"/>
  <c r="A1944"/>
  <c r="D1944" s="1"/>
  <c r="B1944"/>
  <c r="C1944"/>
  <c r="A1945"/>
  <c r="D1945" s="1"/>
  <c r="B1945"/>
  <c r="C1945"/>
  <c r="A1946"/>
  <c r="D1946" s="1"/>
  <c r="B1946"/>
  <c r="C1946"/>
  <c r="A1947"/>
  <c r="D1947" s="1"/>
  <c r="B1947"/>
  <c r="C1947"/>
  <c r="A1948"/>
  <c r="D1948" s="1"/>
  <c r="B1948"/>
  <c r="C1948"/>
  <c r="A1949"/>
  <c r="D1949" s="1"/>
  <c r="B1949"/>
  <c r="C1949"/>
  <c r="A1950"/>
  <c r="D1950" s="1"/>
  <c r="B1950"/>
  <c r="C1950"/>
  <c r="A1951"/>
  <c r="D1951" s="1"/>
  <c r="B1951"/>
  <c r="C1951"/>
  <c r="A1952"/>
  <c r="D1952" s="1"/>
  <c r="B1952"/>
  <c r="C1952"/>
  <c r="A1953"/>
  <c r="D1953" s="1"/>
  <c r="B1953"/>
  <c r="C1953"/>
  <c r="A1954"/>
  <c r="D1954" s="1"/>
  <c r="B1954"/>
  <c r="C1954"/>
  <c r="A1955"/>
  <c r="D1955" s="1"/>
  <c r="B1955"/>
  <c r="C1955"/>
  <c r="A1956"/>
  <c r="D1956" s="1"/>
  <c r="B1956"/>
  <c r="C1956"/>
  <c r="A1957"/>
  <c r="D1957" s="1"/>
  <c r="B1957"/>
  <c r="C1957"/>
  <c r="A1958"/>
  <c r="D1958" s="1"/>
  <c r="B1958"/>
  <c r="C1958"/>
  <c r="A1959"/>
  <c r="D1959" s="1"/>
  <c r="B1959"/>
  <c r="C1959"/>
  <c r="A1960"/>
  <c r="D1960" s="1"/>
  <c r="B1960"/>
  <c r="C1960"/>
  <c r="A1961"/>
  <c r="D1961" s="1"/>
  <c r="B1961"/>
  <c r="C1961"/>
  <c r="A1962"/>
  <c r="D1962" s="1"/>
  <c r="B1962"/>
  <c r="C1962"/>
  <c r="A1963"/>
  <c r="D1963" s="1"/>
  <c r="B1963"/>
  <c r="C1963"/>
  <c r="A1964"/>
  <c r="D1964" s="1"/>
  <c r="B1964"/>
  <c r="C1964"/>
  <c r="A1965"/>
  <c r="D1965" s="1"/>
  <c r="B1965"/>
  <c r="C1965"/>
  <c r="A1966"/>
  <c r="D1966" s="1"/>
  <c r="B1966"/>
  <c r="C1966"/>
  <c r="A1967"/>
  <c r="D1967" s="1"/>
  <c r="B1967"/>
  <c r="C1967"/>
  <c r="A1968"/>
  <c r="D1968" s="1"/>
  <c r="B1968"/>
  <c r="C1968"/>
  <c r="A1969"/>
  <c r="D1969" s="1"/>
  <c r="B1969"/>
  <c r="C1969"/>
  <c r="A1970"/>
  <c r="D1970" s="1"/>
  <c r="B1970"/>
  <c r="C1970"/>
  <c r="A1971"/>
  <c r="B1971"/>
  <c r="C1971"/>
  <c r="D1971"/>
  <c r="A1972"/>
  <c r="D1972" s="1"/>
  <c r="B1972"/>
  <c r="C1972"/>
  <c r="A1973"/>
  <c r="D1973" s="1"/>
  <c r="B1973"/>
  <c r="C1973"/>
  <c r="A1974"/>
  <c r="D1974" s="1"/>
  <c r="B1974"/>
  <c r="C1974"/>
  <c r="A1975"/>
  <c r="D1975" s="1"/>
  <c r="B1975"/>
  <c r="C1975"/>
  <c r="A1976"/>
  <c r="D1976" s="1"/>
  <c r="B1976"/>
  <c r="C1976"/>
  <c r="A1977"/>
  <c r="D1977" s="1"/>
  <c r="B1977"/>
  <c r="C1977"/>
  <c r="A1978"/>
  <c r="D1978" s="1"/>
  <c r="B1978"/>
  <c r="C1978"/>
  <c r="A1979"/>
  <c r="D1979" s="1"/>
  <c r="B1979"/>
  <c r="C1979"/>
  <c r="A1980"/>
  <c r="D1980" s="1"/>
  <c r="B1980"/>
  <c r="C1980"/>
  <c r="A1981"/>
  <c r="D1981" s="1"/>
  <c r="B1981"/>
  <c r="C1981"/>
  <c r="A1982"/>
  <c r="D1982" s="1"/>
  <c r="B1982"/>
  <c r="C1982"/>
  <c r="A1983"/>
  <c r="D1983" s="1"/>
  <c r="B1983"/>
  <c r="C1983"/>
  <c r="A1984"/>
  <c r="D1984" s="1"/>
  <c r="B1984"/>
  <c r="C1984"/>
  <c r="A1985"/>
  <c r="D1985" s="1"/>
  <c r="B1985"/>
  <c r="C1985"/>
  <c r="A1986"/>
  <c r="D1986" s="1"/>
  <c r="B1986"/>
  <c r="C1986"/>
  <c r="A1987"/>
  <c r="D1987" s="1"/>
  <c r="B1987"/>
  <c r="C1987"/>
  <c r="A1988"/>
  <c r="D1988" s="1"/>
  <c r="B1988"/>
  <c r="C1988"/>
  <c r="A1989"/>
  <c r="D1989" s="1"/>
  <c r="B1989"/>
  <c r="C1989"/>
  <c r="A1990"/>
  <c r="D1990" s="1"/>
  <c r="B1990"/>
  <c r="C1990"/>
  <c r="A1991"/>
  <c r="D1991" s="1"/>
  <c r="B1991"/>
  <c r="C1991"/>
  <c r="A1992"/>
  <c r="D1992" s="1"/>
  <c r="B1992"/>
  <c r="C1992"/>
  <c r="A1993"/>
  <c r="D1993" s="1"/>
  <c r="B1993"/>
  <c r="C1993"/>
  <c r="A1994"/>
  <c r="D1994" s="1"/>
  <c r="B1994"/>
  <c r="C1994"/>
  <c r="A1995"/>
  <c r="D1995" s="1"/>
  <c r="B1995"/>
  <c r="C1995"/>
  <c r="A1996"/>
  <c r="D1996" s="1"/>
  <c r="B1996"/>
  <c r="C1996"/>
  <c r="A1997"/>
  <c r="D1997" s="1"/>
  <c r="B1997"/>
  <c r="C1997"/>
  <c r="A1998"/>
  <c r="D1998" s="1"/>
  <c r="B1998"/>
  <c r="C1998"/>
  <c r="A1999"/>
  <c r="D1999" s="1"/>
  <c r="B1999"/>
  <c r="C1999"/>
  <c r="A2000"/>
  <c r="D2000" s="1"/>
  <c r="B2000"/>
  <c r="C2000"/>
  <c r="A2001"/>
  <c r="D2001" s="1"/>
  <c r="B2001"/>
  <c r="C2001"/>
  <c r="A2002"/>
  <c r="D2002" s="1"/>
  <c r="B2002"/>
  <c r="C2002"/>
  <c r="A2003"/>
  <c r="D2003" s="1"/>
  <c r="B2003"/>
  <c r="C2003"/>
  <c r="A2004"/>
  <c r="D2004" s="1"/>
  <c r="B2004"/>
  <c r="C2004"/>
  <c r="A2005"/>
  <c r="D2005" s="1"/>
  <c r="B2005"/>
  <c r="C2005"/>
  <c r="A2006"/>
  <c r="D2006" s="1"/>
  <c r="B2006"/>
  <c r="C2006"/>
  <c r="A2007"/>
  <c r="D2007" s="1"/>
  <c r="B2007"/>
  <c r="C2007"/>
  <c r="A2008"/>
  <c r="D2008" s="1"/>
  <c r="B2008"/>
  <c r="C2008"/>
  <c r="A2009"/>
  <c r="D2009" s="1"/>
  <c r="B2009"/>
  <c r="C2009"/>
  <c r="A2010"/>
  <c r="D2010" s="1"/>
  <c r="B2010"/>
  <c r="C2010"/>
  <c r="A2011"/>
  <c r="D2011" s="1"/>
  <c r="B2011"/>
  <c r="C2011"/>
  <c r="A2012"/>
  <c r="D2012" s="1"/>
  <c r="B2012"/>
  <c r="C2012"/>
  <c r="A2013"/>
  <c r="D2013" s="1"/>
  <c r="B2013"/>
  <c r="C2013"/>
  <c r="A2014"/>
  <c r="D2014" s="1"/>
  <c r="B2014"/>
  <c r="C2014"/>
  <c r="A2015"/>
  <c r="D2015" s="1"/>
  <c r="B2015"/>
  <c r="C2015"/>
  <c r="A2016"/>
  <c r="D2016" s="1"/>
  <c r="B2016"/>
  <c r="C2016"/>
  <c r="A2017"/>
  <c r="D2017" s="1"/>
  <c r="B2017"/>
  <c r="C2017"/>
  <c r="A2018"/>
  <c r="D2018" s="1"/>
  <c r="B2018"/>
  <c r="C2018"/>
  <c r="A2019"/>
  <c r="D2019" s="1"/>
  <c r="B2019"/>
  <c r="C2019"/>
  <c r="A2020"/>
  <c r="D2020" s="1"/>
  <c r="B2020"/>
  <c r="C2020"/>
  <c r="A2021"/>
  <c r="D2021" s="1"/>
  <c r="B2021"/>
  <c r="C2021"/>
  <c r="A2022"/>
  <c r="D2022" s="1"/>
  <c r="B2022"/>
  <c r="C2022"/>
  <c r="A2023"/>
  <c r="D2023" s="1"/>
  <c r="B2023"/>
  <c r="C2023"/>
  <c r="A2024"/>
  <c r="D2024" s="1"/>
  <c r="B2024"/>
  <c r="C2024"/>
  <c r="A2025"/>
  <c r="D2025" s="1"/>
  <c r="B2025"/>
  <c r="C2025"/>
  <c r="A2026"/>
  <c r="D2026" s="1"/>
  <c r="B2026"/>
  <c r="C2026"/>
  <c r="A2027"/>
  <c r="D2027" s="1"/>
  <c r="B2027"/>
  <c r="C2027"/>
  <c r="A2028"/>
  <c r="D2028" s="1"/>
  <c r="B2028"/>
  <c r="C2028"/>
  <c r="A2029"/>
  <c r="D2029" s="1"/>
  <c r="B2029"/>
  <c r="C2029"/>
  <c r="A2030"/>
  <c r="D2030" s="1"/>
  <c r="B2030"/>
  <c r="C2030"/>
  <c r="A2031"/>
  <c r="D2031" s="1"/>
  <c r="B2031"/>
  <c r="C2031"/>
  <c r="A2032"/>
  <c r="D2032" s="1"/>
  <c r="B2032"/>
  <c r="C2032"/>
  <c r="A2033"/>
  <c r="D2033" s="1"/>
  <c r="B2033"/>
  <c r="C2033"/>
  <c r="A2034"/>
  <c r="D2034" s="1"/>
  <c r="B2034"/>
  <c r="C2034"/>
  <c r="A2035"/>
  <c r="B2035"/>
  <c r="C2035"/>
  <c r="D2035"/>
  <c r="A2036"/>
  <c r="D2036" s="1"/>
  <c r="B2036"/>
  <c r="C2036"/>
  <c r="A2037"/>
  <c r="D2037" s="1"/>
  <c r="B2037"/>
  <c r="C2037"/>
  <c r="A2038"/>
  <c r="D2038" s="1"/>
  <c r="B2038"/>
  <c r="C2038"/>
  <c r="A2039"/>
  <c r="D2039" s="1"/>
  <c r="B2039"/>
  <c r="C2039"/>
  <c r="A2040"/>
  <c r="D2040" s="1"/>
  <c r="B2040"/>
  <c r="C2040"/>
  <c r="A2041"/>
  <c r="D2041" s="1"/>
  <c r="B2041"/>
  <c r="C2041"/>
  <c r="A2042"/>
  <c r="D2042" s="1"/>
  <c r="B2042"/>
  <c r="C2042"/>
  <c r="A2043"/>
  <c r="D2043" s="1"/>
  <c r="B2043"/>
  <c r="C2043"/>
  <c r="A2044"/>
  <c r="D2044" s="1"/>
  <c r="B2044"/>
  <c r="C2044"/>
  <c r="A2045"/>
  <c r="D2045" s="1"/>
  <c r="B2045"/>
  <c r="C2045"/>
  <c r="A2046"/>
  <c r="D2046" s="1"/>
  <c r="B2046"/>
  <c r="C2046"/>
  <c r="A2047"/>
  <c r="D2047" s="1"/>
  <c r="B2047"/>
  <c r="C2047"/>
  <c r="A2048"/>
  <c r="D2048" s="1"/>
  <c r="B2048"/>
  <c r="C2048"/>
  <c r="A2049"/>
  <c r="D2049" s="1"/>
  <c r="B2049"/>
  <c r="C2049"/>
  <c r="A2050"/>
  <c r="D2050" s="1"/>
  <c r="B2050"/>
  <c r="C2050"/>
  <c r="A2051"/>
  <c r="D2051" s="1"/>
  <c r="B2051"/>
  <c r="C2051"/>
  <c r="A2052"/>
  <c r="D2052" s="1"/>
  <c r="B2052"/>
  <c r="C2052"/>
  <c r="A2053"/>
  <c r="D2053" s="1"/>
  <c r="B2053"/>
  <c r="C2053"/>
  <c r="A2054"/>
  <c r="D2054" s="1"/>
  <c r="B2054"/>
  <c r="C2054"/>
  <c r="A2055"/>
  <c r="D2055" s="1"/>
  <c r="B2055"/>
  <c r="C2055"/>
  <c r="A2056"/>
  <c r="D2056" s="1"/>
  <c r="B2056"/>
  <c r="C2056"/>
  <c r="A2057"/>
  <c r="D2057" s="1"/>
  <c r="B2057"/>
  <c r="C2057"/>
  <c r="A2058"/>
  <c r="D2058" s="1"/>
  <c r="B2058"/>
  <c r="C2058"/>
  <c r="A2059"/>
  <c r="D2059" s="1"/>
  <c r="B2059"/>
  <c r="C2059"/>
  <c r="A2060"/>
  <c r="D2060" s="1"/>
  <c r="B2060"/>
  <c r="C2060"/>
  <c r="A2061"/>
  <c r="D2061" s="1"/>
  <c r="B2061"/>
  <c r="C2061"/>
  <c r="A2062"/>
  <c r="D2062" s="1"/>
  <c r="B2062"/>
  <c r="C2062"/>
  <c r="A2063"/>
  <c r="D2063" s="1"/>
  <c r="B2063"/>
  <c r="C2063"/>
  <c r="A2064"/>
  <c r="D2064" s="1"/>
  <c r="B2064"/>
  <c r="C2064"/>
  <c r="A2065"/>
  <c r="D2065" s="1"/>
  <c r="B2065"/>
  <c r="C2065"/>
  <c r="A2066"/>
  <c r="D2066" s="1"/>
  <c r="B2066"/>
  <c r="C2066"/>
  <c r="A2067"/>
  <c r="D2067" s="1"/>
  <c r="B2067"/>
  <c r="C2067"/>
  <c r="A2068"/>
  <c r="D2068" s="1"/>
  <c r="B2068"/>
  <c r="C2068"/>
  <c r="A2069"/>
  <c r="D2069" s="1"/>
  <c r="B2069"/>
  <c r="C2069"/>
  <c r="A2070"/>
  <c r="D2070" s="1"/>
  <c r="B2070"/>
  <c r="C2070"/>
  <c r="A2071"/>
  <c r="D2071" s="1"/>
  <c r="B2071"/>
  <c r="C2071"/>
  <c r="A2072"/>
  <c r="D2072" s="1"/>
  <c r="B2072"/>
  <c r="C2072"/>
  <c r="A2073"/>
  <c r="D2073" s="1"/>
  <c r="B2073"/>
  <c r="C2073"/>
  <c r="A2074"/>
  <c r="D2074" s="1"/>
  <c r="B2074"/>
  <c r="C2074"/>
  <c r="A2075"/>
  <c r="D2075" s="1"/>
  <c r="B2075"/>
  <c r="C2075"/>
  <c r="A2076"/>
  <c r="D2076" s="1"/>
  <c r="B2076"/>
  <c r="C2076"/>
  <c r="A2077"/>
  <c r="D2077" s="1"/>
  <c r="B2077"/>
  <c r="C2077"/>
  <c r="A2078"/>
  <c r="D2078" s="1"/>
  <c r="B2078"/>
  <c r="C2078"/>
  <c r="A2079"/>
  <c r="D2079" s="1"/>
  <c r="B2079"/>
  <c r="C2079"/>
  <c r="A2080"/>
  <c r="D2080" s="1"/>
  <c r="B2080"/>
  <c r="C2080"/>
  <c r="A2081"/>
  <c r="D2081" s="1"/>
  <c r="B2081"/>
  <c r="C2081"/>
  <c r="A2082"/>
  <c r="D2082" s="1"/>
  <c r="B2082"/>
  <c r="C2082"/>
  <c r="A2083"/>
  <c r="D2083" s="1"/>
  <c r="B2083"/>
  <c r="C2083"/>
  <c r="A2084"/>
  <c r="D2084" s="1"/>
  <c r="B2084"/>
  <c r="C2084"/>
  <c r="A2085"/>
  <c r="D2085" s="1"/>
  <c r="B2085"/>
  <c r="C2085"/>
  <c r="A2086"/>
  <c r="D2086" s="1"/>
  <c r="B2086"/>
  <c r="C2086"/>
  <c r="A2087"/>
  <c r="D2087" s="1"/>
  <c r="B2087"/>
  <c r="C2087"/>
  <c r="A2088"/>
  <c r="D2088" s="1"/>
  <c r="B2088"/>
  <c r="C2088"/>
  <c r="A2089"/>
  <c r="D2089" s="1"/>
  <c r="B2089"/>
  <c r="C2089"/>
  <c r="A2090"/>
  <c r="D2090" s="1"/>
  <c r="B2090"/>
  <c r="C2090"/>
  <c r="A2091"/>
  <c r="D2091" s="1"/>
  <c r="B2091"/>
  <c r="C2091"/>
  <c r="A2092"/>
  <c r="D2092" s="1"/>
  <c r="B2092"/>
  <c r="C2092"/>
  <c r="A2093"/>
  <c r="D2093" s="1"/>
  <c r="B2093"/>
  <c r="C2093"/>
  <c r="A2094"/>
  <c r="D2094" s="1"/>
  <c r="B2094"/>
  <c r="C2094"/>
  <c r="A2095"/>
  <c r="D2095" s="1"/>
  <c r="B2095"/>
  <c r="C2095"/>
  <c r="A2096"/>
  <c r="D2096" s="1"/>
  <c r="B2096"/>
  <c r="C2096"/>
  <c r="A2097"/>
  <c r="D2097" s="1"/>
  <c r="B2097"/>
  <c r="C2097"/>
  <c r="A2098"/>
  <c r="D2098" s="1"/>
  <c r="B2098"/>
  <c r="C2098"/>
  <c r="A2099"/>
  <c r="B2099"/>
  <c r="C2099"/>
  <c r="D2099"/>
  <c r="A2100"/>
  <c r="D2100" s="1"/>
  <c r="B2100"/>
  <c r="C2100"/>
  <c r="A2101"/>
  <c r="D2101" s="1"/>
  <c r="B2101"/>
  <c r="C2101"/>
  <c r="A2102"/>
  <c r="D2102" s="1"/>
  <c r="B2102"/>
  <c r="C2102"/>
  <c r="A2103"/>
  <c r="D2103" s="1"/>
  <c r="B2103"/>
  <c r="C2103"/>
  <c r="A2104"/>
  <c r="D2104" s="1"/>
  <c r="B2104"/>
  <c r="C2104"/>
  <c r="A2105"/>
  <c r="D2105" s="1"/>
  <c r="B2105"/>
  <c r="C2105"/>
  <c r="A2106"/>
  <c r="D2106" s="1"/>
  <c r="B2106"/>
  <c r="C2106"/>
  <c r="A2107"/>
  <c r="D2107" s="1"/>
  <c r="B2107"/>
  <c r="C2107"/>
  <c r="A2108"/>
  <c r="D2108" s="1"/>
  <c r="B2108"/>
  <c r="C2108"/>
  <c r="A2109"/>
  <c r="D2109" s="1"/>
  <c r="B2109"/>
  <c r="C2109"/>
  <c r="A2110"/>
  <c r="D2110" s="1"/>
  <c r="B2110"/>
  <c r="C2110"/>
  <c r="A2111"/>
  <c r="D2111" s="1"/>
  <c r="B2111"/>
  <c r="C2111"/>
  <c r="A2112"/>
  <c r="D2112" s="1"/>
  <c r="B2112"/>
  <c r="C2112"/>
  <c r="A2113"/>
  <c r="D2113" s="1"/>
  <c r="B2113"/>
  <c r="C2113"/>
  <c r="A2114"/>
  <c r="D2114" s="1"/>
  <c r="B2114"/>
  <c r="C2114"/>
  <c r="A2115"/>
  <c r="D2115" s="1"/>
  <c r="B2115"/>
  <c r="C2115"/>
  <c r="A2116"/>
  <c r="D2116" s="1"/>
  <c r="B2116"/>
  <c r="C2116"/>
  <c r="A2117"/>
  <c r="D2117" s="1"/>
  <c r="B2117"/>
  <c r="C2117"/>
  <c r="A2118"/>
  <c r="D2118" s="1"/>
  <c r="B2118"/>
  <c r="C2118"/>
  <c r="A2119"/>
  <c r="D2119" s="1"/>
  <c r="B2119"/>
  <c r="C2119"/>
  <c r="A2120"/>
  <c r="D2120" s="1"/>
  <c r="B2120"/>
  <c r="C2120"/>
  <c r="A2121"/>
  <c r="D2121" s="1"/>
  <c r="B2121"/>
  <c r="C2121"/>
  <c r="A2122"/>
  <c r="D2122" s="1"/>
  <c r="B2122"/>
  <c r="C2122"/>
  <c r="A2123"/>
  <c r="D2123" s="1"/>
  <c r="B2123"/>
  <c r="C2123"/>
  <c r="A2124"/>
  <c r="D2124" s="1"/>
  <c r="B2124"/>
  <c r="C2124"/>
  <c r="A2125"/>
  <c r="D2125" s="1"/>
  <c r="B2125"/>
  <c r="C2125"/>
  <c r="A2126"/>
  <c r="D2126" s="1"/>
  <c r="B2126"/>
  <c r="C2126"/>
  <c r="A2127"/>
  <c r="D2127" s="1"/>
  <c r="B2127"/>
  <c r="C2127"/>
  <c r="A2128"/>
  <c r="D2128" s="1"/>
  <c r="B2128"/>
  <c r="C2128"/>
  <c r="A2129"/>
  <c r="D2129" s="1"/>
  <c r="B2129"/>
  <c r="C2129"/>
  <c r="A2130"/>
  <c r="D2130" s="1"/>
  <c r="B2130"/>
  <c r="C2130"/>
  <c r="A2131"/>
  <c r="D2131" s="1"/>
  <c r="B2131"/>
  <c r="C2131"/>
  <c r="A2132"/>
  <c r="D2132" s="1"/>
  <c r="B2132"/>
  <c r="C2132"/>
  <c r="A2133"/>
  <c r="D2133" s="1"/>
  <c r="B2133"/>
  <c r="C2133"/>
  <c r="A2134"/>
  <c r="D2134" s="1"/>
  <c r="B2134"/>
  <c r="C2134"/>
  <c r="A2135"/>
  <c r="D2135" s="1"/>
  <c r="B2135"/>
  <c r="C2135"/>
  <c r="A2136"/>
  <c r="D2136" s="1"/>
  <c r="B2136"/>
  <c r="C2136"/>
  <c r="A2137"/>
  <c r="D2137" s="1"/>
  <c r="B2137"/>
  <c r="C2137"/>
  <c r="A2138"/>
  <c r="D2138" s="1"/>
  <c r="B2138"/>
  <c r="C2138"/>
  <c r="A2139"/>
  <c r="D2139" s="1"/>
  <c r="B2139"/>
  <c r="C2139"/>
  <c r="A2140"/>
  <c r="D2140" s="1"/>
  <c r="B2140"/>
  <c r="C2140"/>
  <c r="A2141"/>
  <c r="D2141" s="1"/>
  <c r="B2141"/>
  <c r="C2141"/>
  <c r="A2142"/>
  <c r="D2142" s="1"/>
  <c r="B2142"/>
  <c r="C2142"/>
  <c r="A2143"/>
  <c r="D2143" s="1"/>
  <c r="B2143"/>
  <c r="C2143"/>
  <c r="A2144"/>
  <c r="D2144" s="1"/>
  <c r="B2144"/>
  <c r="C2144"/>
  <c r="A2145"/>
  <c r="D2145" s="1"/>
  <c r="B2145"/>
  <c r="C2145"/>
  <c r="A2146"/>
  <c r="D2146" s="1"/>
  <c r="B2146"/>
  <c r="C2146"/>
  <c r="A2147"/>
  <c r="D2147" s="1"/>
  <c r="B2147"/>
  <c r="C2147"/>
  <c r="A2148"/>
  <c r="D2148" s="1"/>
  <c r="B2148"/>
  <c r="C2148"/>
  <c r="A2149"/>
  <c r="D2149" s="1"/>
  <c r="B2149"/>
  <c r="C2149"/>
  <c r="A2150"/>
  <c r="D2150" s="1"/>
  <c r="B2150"/>
  <c r="C2150"/>
  <c r="A2151"/>
  <c r="D2151" s="1"/>
  <c r="B2151"/>
  <c r="C2151"/>
  <c r="A2152"/>
  <c r="D2152" s="1"/>
  <c r="B2152"/>
  <c r="C2152"/>
  <c r="A2153"/>
  <c r="D2153" s="1"/>
  <c r="B2153"/>
  <c r="C2153"/>
  <c r="A2154"/>
  <c r="D2154" s="1"/>
  <c r="B2154"/>
  <c r="C2154"/>
  <c r="A2155"/>
  <c r="D2155" s="1"/>
  <c r="B2155"/>
  <c r="C2155"/>
  <c r="A2156"/>
  <c r="D2156" s="1"/>
  <c r="B2156"/>
  <c r="C2156"/>
  <c r="A2157"/>
  <c r="D2157" s="1"/>
  <c r="B2157"/>
  <c r="C2157"/>
  <c r="A2158"/>
  <c r="D2158" s="1"/>
  <c r="B2158"/>
  <c r="C2158"/>
  <c r="A2159"/>
  <c r="D2159" s="1"/>
  <c r="B2159"/>
  <c r="C2159"/>
  <c r="A2160"/>
  <c r="D2160" s="1"/>
  <c r="B2160"/>
  <c r="C2160"/>
  <c r="A2161"/>
  <c r="D2161" s="1"/>
  <c r="B2161"/>
  <c r="C2161"/>
  <c r="A2162"/>
  <c r="D2162" s="1"/>
  <c r="B2162"/>
  <c r="C2162"/>
  <c r="A2163"/>
  <c r="B2163"/>
  <c r="C2163"/>
  <c r="D2163"/>
  <c r="A2164"/>
  <c r="D2164" s="1"/>
  <c r="B2164"/>
  <c r="C2164"/>
  <c r="A2165"/>
  <c r="D2165" s="1"/>
  <c r="B2165"/>
  <c r="C2165"/>
  <c r="A2166"/>
  <c r="D2166" s="1"/>
  <c r="B2166"/>
  <c r="C2166"/>
  <c r="A2167"/>
  <c r="D2167" s="1"/>
  <c r="B2167"/>
  <c r="C2167"/>
  <c r="A2168"/>
  <c r="D2168" s="1"/>
  <c r="B2168"/>
  <c r="C2168"/>
  <c r="A2169"/>
  <c r="D2169" s="1"/>
  <c r="B2169"/>
  <c r="C2169"/>
  <c r="A2170"/>
  <c r="D2170" s="1"/>
  <c r="B2170"/>
  <c r="C2170"/>
  <c r="A2171"/>
  <c r="D2171" s="1"/>
  <c r="B2171"/>
  <c r="C2171"/>
  <c r="A2172"/>
  <c r="D2172" s="1"/>
  <c r="B2172"/>
  <c r="C2172"/>
  <c r="A2173"/>
  <c r="D2173" s="1"/>
  <c r="B2173"/>
  <c r="C2173"/>
  <c r="A2174"/>
  <c r="D2174" s="1"/>
  <c r="B2174"/>
  <c r="C2174"/>
  <c r="A2175"/>
  <c r="D2175" s="1"/>
  <c r="B2175"/>
  <c r="C2175"/>
  <c r="A2176"/>
  <c r="D2176" s="1"/>
  <c r="B2176"/>
  <c r="C2176"/>
  <c r="A2177"/>
  <c r="D2177" s="1"/>
  <c r="B2177"/>
  <c r="C2177"/>
  <c r="A2178"/>
  <c r="D2178" s="1"/>
  <c r="B2178"/>
  <c r="C2178"/>
  <c r="A2179"/>
  <c r="D2179" s="1"/>
  <c r="B2179"/>
  <c r="C2179"/>
  <c r="A2180"/>
  <c r="D2180" s="1"/>
  <c r="B2180"/>
  <c r="C2180"/>
  <c r="A2181"/>
  <c r="D2181" s="1"/>
  <c r="B2181"/>
  <c r="C2181"/>
  <c r="A2182"/>
  <c r="D2182" s="1"/>
  <c r="B2182"/>
  <c r="C2182"/>
  <c r="A2183"/>
  <c r="D2183" s="1"/>
  <c r="B2183"/>
  <c r="C2183"/>
  <c r="A2184"/>
  <c r="D2184" s="1"/>
  <c r="B2184"/>
  <c r="C2184"/>
  <c r="A2185"/>
  <c r="D2185" s="1"/>
  <c r="B2185"/>
  <c r="C2185"/>
  <c r="A2186"/>
  <c r="D2186" s="1"/>
  <c r="B2186"/>
  <c r="C2186"/>
  <c r="A2187"/>
  <c r="D2187" s="1"/>
  <c r="B2187"/>
  <c r="C2187"/>
  <c r="A2188"/>
  <c r="D2188" s="1"/>
  <c r="B2188"/>
  <c r="C2188"/>
  <c r="A2189"/>
  <c r="D2189" s="1"/>
  <c r="B2189"/>
  <c r="C2189"/>
  <c r="A2190"/>
  <c r="D2190" s="1"/>
  <c r="B2190"/>
  <c r="C2190"/>
  <c r="A2191"/>
  <c r="D2191" s="1"/>
  <c r="B2191"/>
  <c r="C2191"/>
  <c r="A2192"/>
  <c r="D2192" s="1"/>
  <c r="B2192"/>
  <c r="C2192"/>
  <c r="A2193"/>
  <c r="D2193" s="1"/>
  <c r="B2193"/>
  <c r="C2193"/>
  <c r="A2194"/>
  <c r="D2194" s="1"/>
  <c r="B2194"/>
  <c r="C2194"/>
  <c r="A2195"/>
  <c r="D2195" s="1"/>
  <c r="B2195"/>
  <c r="C2195"/>
  <c r="A2196"/>
  <c r="D2196" s="1"/>
  <c r="B2196"/>
  <c r="C2196"/>
  <c r="A2197"/>
  <c r="D2197" s="1"/>
  <c r="B2197"/>
  <c r="C2197"/>
  <c r="A2198"/>
  <c r="D2198" s="1"/>
  <c r="B2198"/>
  <c r="C2198"/>
  <c r="A2199"/>
  <c r="D2199" s="1"/>
  <c r="B2199"/>
  <c r="C2199"/>
  <c r="A2200"/>
  <c r="D2200" s="1"/>
  <c r="B2200"/>
  <c r="C2200"/>
  <c r="A2201"/>
  <c r="D2201" s="1"/>
  <c r="B2201"/>
  <c r="C2201"/>
  <c r="A2202"/>
  <c r="D2202" s="1"/>
  <c r="B2202"/>
  <c r="C2202"/>
  <c r="A2203"/>
  <c r="D2203" s="1"/>
  <c r="B2203"/>
  <c r="C2203"/>
  <c r="A2204"/>
  <c r="D2204" s="1"/>
  <c r="B2204"/>
  <c r="C2204"/>
  <c r="A2205"/>
  <c r="D2205" s="1"/>
  <c r="B2205"/>
  <c r="C2205"/>
  <c r="A2206"/>
  <c r="D2206" s="1"/>
  <c r="B2206"/>
  <c r="C2206"/>
  <c r="A2207"/>
  <c r="D2207" s="1"/>
  <c r="B2207"/>
  <c r="C2207"/>
  <c r="A2208"/>
  <c r="D2208" s="1"/>
  <c r="B2208"/>
  <c r="C2208"/>
  <c r="A2209"/>
  <c r="D2209" s="1"/>
  <c r="B2209"/>
  <c r="C2209"/>
  <c r="A2210"/>
  <c r="D2210" s="1"/>
  <c r="B2210"/>
  <c r="C2210"/>
  <c r="A2211"/>
  <c r="D2211" s="1"/>
  <c r="B2211"/>
  <c r="C2211"/>
  <c r="A2212"/>
  <c r="D2212" s="1"/>
  <c r="B2212"/>
  <c r="C2212"/>
  <c r="A2213"/>
  <c r="D2213" s="1"/>
  <c r="B2213"/>
  <c r="C2213"/>
  <c r="A2214"/>
  <c r="D2214" s="1"/>
  <c r="F2214" s="1"/>
  <c r="B2214"/>
  <c r="C2214"/>
  <c r="A2215"/>
  <c r="D2215" s="1"/>
  <c r="B2215"/>
  <c r="C2215"/>
  <c r="A2216"/>
  <c r="D2216" s="1"/>
  <c r="F2216" s="1"/>
  <c r="B2216"/>
  <c r="C2216"/>
  <c r="A2217"/>
  <c r="D2217" s="1"/>
  <c r="E2217" s="1"/>
  <c r="G2217" s="1"/>
  <c r="B2217"/>
  <c r="C2217"/>
  <c r="A2218"/>
  <c r="D2218" s="1"/>
  <c r="F2218" s="1"/>
  <c r="B2218"/>
  <c r="C2218"/>
  <c r="A2219"/>
  <c r="D2219" s="1"/>
  <c r="B2219"/>
  <c r="C2219"/>
  <c r="A2220"/>
  <c r="D2220" s="1"/>
  <c r="F2220" s="1"/>
  <c r="B2220"/>
  <c r="C2220"/>
  <c r="A2221"/>
  <c r="D2221" s="1"/>
  <c r="E2221" s="1"/>
  <c r="G2221" s="1"/>
  <c r="B2221"/>
  <c r="C2221"/>
  <c r="A2222"/>
  <c r="D2222" s="1"/>
  <c r="F2222" s="1"/>
  <c r="B2222"/>
  <c r="C2222"/>
  <c r="A2223"/>
  <c r="D2223" s="1"/>
  <c r="E2223" s="1"/>
  <c r="G2223" s="1"/>
  <c r="B2223"/>
  <c r="C2223"/>
  <c r="A2224"/>
  <c r="D2224" s="1"/>
  <c r="F2224" s="1"/>
  <c r="B2224"/>
  <c r="C2224"/>
  <c r="A2225"/>
  <c r="D2225" s="1"/>
  <c r="E2225" s="1"/>
  <c r="G2225" s="1"/>
  <c r="B2225"/>
  <c r="C2225"/>
  <c r="A2226"/>
  <c r="D2226" s="1"/>
  <c r="F2226" s="1"/>
  <c r="B2226"/>
  <c r="C2226"/>
  <c r="A2227"/>
  <c r="B2227"/>
  <c r="C2227"/>
  <c r="D2227"/>
  <c r="E2227" s="1"/>
  <c r="G2227" s="1"/>
  <c r="A2228"/>
  <c r="D2228" s="1"/>
  <c r="F2228" s="1"/>
  <c r="B2228"/>
  <c r="C2228"/>
  <c r="A2229"/>
  <c r="D2229" s="1"/>
  <c r="E2229" s="1"/>
  <c r="G2229" s="1"/>
  <c r="B2229"/>
  <c r="C2229"/>
  <c r="A2230"/>
  <c r="D2230" s="1"/>
  <c r="F2230" s="1"/>
  <c r="B2230"/>
  <c r="C2230"/>
  <c r="A2231"/>
  <c r="D2231" s="1"/>
  <c r="E2231" s="1"/>
  <c r="G2231" s="1"/>
  <c r="B2231"/>
  <c r="C2231"/>
  <c r="A2232"/>
  <c r="D2232" s="1"/>
  <c r="F2232" s="1"/>
  <c r="B2232"/>
  <c r="C2232"/>
  <c r="A2233"/>
  <c r="D2233" s="1"/>
  <c r="E2233" s="1"/>
  <c r="G2233" s="1"/>
  <c r="B2233"/>
  <c r="C2233"/>
  <c r="A2234"/>
  <c r="D2234" s="1"/>
  <c r="F2234" s="1"/>
  <c r="B2234"/>
  <c r="C2234"/>
  <c r="A2235"/>
  <c r="D2235" s="1"/>
  <c r="E2235" s="1"/>
  <c r="G2235" s="1"/>
  <c r="B2235"/>
  <c r="C2235"/>
  <c r="A2236"/>
  <c r="D2236" s="1"/>
  <c r="F2236" s="1"/>
  <c r="B2236"/>
  <c r="C2236"/>
  <c r="A2237"/>
  <c r="D2237" s="1"/>
  <c r="E2237" s="1"/>
  <c r="G2237" s="1"/>
  <c r="B2237"/>
  <c r="C2237"/>
  <c r="A2238"/>
  <c r="D2238" s="1"/>
  <c r="F2238" s="1"/>
  <c r="B2238"/>
  <c r="C2238"/>
  <c r="A2239"/>
  <c r="D2239" s="1"/>
  <c r="B2239"/>
  <c r="C2239"/>
  <c r="A2240"/>
  <c r="D2240" s="1"/>
  <c r="B2240"/>
  <c r="C2240"/>
  <c r="A2241"/>
  <c r="D2241" s="1"/>
  <c r="B2241"/>
  <c r="C2241"/>
  <c r="A2242"/>
  <c r="D2242" s="1"/>
  <c r="B2242"/>
  <c r="C2242"/>
  <c r="A2243"/>
  <c r="D2243" s="1"/>
  <c r="B2243"/>
  <c r="C2243"/>
  <c r="A2244"/>
  <c r="D2244" s="1"/>
  <c r="B2244"/>
  <c r="C2244"/>
  <c r="A2245"/>
  <c r="D2245" s="1"/>
  <c r="B2245"/>
  <c r="C2245"/>
  <c r="A2246"/>
  <c r="D2246" s="1"/>
  <c r="B2246"/>
  <c r="C2246"/>
  <c r="A2247"/>
  <c r="D2247" s="1"/>
  <c r="B2247"/>
  <c r="C2247"/>
  <c r="A2248"/>
  <c r="D2248" s="1"/>
  <c r="B2248"/>
  <c r="C2248"/>
  <c r="A2249"/>
  <c r="D2249" s="1"/>
  <c r="B2249"/>
  <c r="C2249"/>
  <c r="A2250"/>
  <c r="D2250" s="1"/>
  <c r="B2250"/>
  <c r="C2250"/>
  <c r="A2251"/>
  <c r="D2251" s="1"/>
  <c r="B2251"/>
  <c r="C2251"/>
  <c r="A2252"/>
  <c r="D2252" s="1"/>
  <c r="B2252"/>
  <c r="C2252"/>
  <c r="A2253"/>
  <c r="D2253" s="1"/>
  <c r="B2253"/>
  <c r="C2253"/>
  <c r="A2254"/>
  <c r="D2254" s="1"/>
  <c r="B2254"/>
  <c r="C2254"/>
  <c r="A2255"/>
  <c r="D2255" s="1"/>
  <c r="B2255"/>
  <c r="C2255"/>
  <c r="A2256"/>
  <c r="D2256" s="1"/>
  <c r="B2256"/>
  <c r="C2256"/>
  <c r="A2257"/>
  <c r="D2257" s="1"/>
  <c r="B2257"/>
  <c r="C2257"/>
  <c r="A2258"/>
  <c r="D2258" s="1"/>
  <c r="B2258"/>
  <c r="C2258"/>
  <c r="A2259"/>
  <c r="D2259" s="1"/>
  <c r="B2259"/>
  <c r="C2259"/>
  <c r="A2260"/>
  <c r="D2260" s="1"/>
  <c r="B2260"/>
  <c r="C2260"/>
  <c r="A2261"/>
  <c r="D2261" s="1"/>
  <c r="B2261"/>
  <c r="C2261"/>
  <c r="A2262"/>
  <c r="D2262" s="1"/>
  <c r="B2262"/>
  <c r="C2262"/>
  <c r="A2263"/>
  <c r="D2263" s="1"/>
  <c r="B2263"/>
  <c r="C2263"/>
  <c r="A2264"/>
  <c r="D2264" s="1"/>
  <c r="B2264"/>
  <c r="C2264"/>
  <c r="A2265"/>
  <c r="D2265" s="1"/>
  <c r="B2265"/>
  <c r="C2265"/>
  <c r="A2266"/>
  <c r="D2266" s="1"/>
  <c r="B2266"/>
  <c r="C2266"/>
  <c r="A2267"/>
  <c r="D2267" s="1"/>
  <c r="B2267"/>
  <c r="C2267"/>
  <c r="A2268"/>
  <c r="D2268" s="1"/>
  <c r="B2268"/>
  <c r="C2268"/>
  <c r="A2269"/>
  <c r="D2269" s="1"/>
  <c r="B2269"/>
  <c r="C2269"/>
  <c r="A2270"/>
  <c r="D2270" s="1"/>
  <c r="B2270"/>
  <c r="C2270"/>
  <c r="A2271"/>
  <c r="D2271" s="1"/>
  <c r="B2271"/>
  <c r="C2271"/>
  <c r="A2272"/>
  <c r="D2272" s="1"/>
  <c r="B2272"/>
  <c r="C2272"/>
  <c r="A2273"/>
  <c r="D2273" s="1"/>
  <c r="B2273"/>
  <c r="C2273"/>
  <c r="A2274"/>
  <c r="D2274" s="1"/>
  <c r="B2274"/>
  <c r="C2274"/>
  <c r="A2275"/>
  <c r="D2275" s="1"/>
  <c r="B2275"/>
  <c r="C2275"/>
  <c r="A2276"/>
  <c r="D2276" s="1"/>
  <c r="B2276"/>
  <c r="C2276"/>
  <c r="A2277"/>
  <c r="D2277" s="1"/>
  <c r="B2277"/>
  <c r="C2277"/>
  <c r="A2278"/>
  <c r="D2278" s="1"/>
  <c r="B2278"/>
  <c r="C2278"/>
  <c r="A2279"/>
  <c r="D2279" s="1"/>
  <c r="B2279"/>
  <c r="C2279"/>
  <c r="A2280"/>
  <c r="D2280" s="1"/>
  <c r="B2280"/>
  <c r="C2280"/>
  <c r="A2281"/>
  <c r="D2281" s="1"/>
  <c r="B2281"/>
  <c r="C2281"/>
  <c r="A2282"/>
  <c r="D2282" s="1"/>
  <c r="B2282"/>
  <c r="C2282"/>
  <c r="A2283"/>
  <c r="D2283" s="1"/>
  <c r="B2283"/>
  <c r="C2283"/>
  <c r="A2284"/>
  <c r="D2284" s="1"/>
  <c r="B2284"/>
  <c r="C2284"/>
  <c r="A2285"/>
  <c r="D2285" s="1"/>
  <c r="B2285"/>
  <c r="C2285"/>
  <c r="A2286"/>
  <c r="D2286" s="1"/>
  <c r="B2286"/>
  <c r="C2286"/>
  <c r="A2287"/>
  <c r="D2287" s="1"/>
  <c r="B2287"/>
  <c r="C2287"/>
  <c r="A2288"/>
  <c r="D2288" s="1"/>
  <c r="B2288"/>
  <c r="C2288"/>
  <c r="A2289"/>
  <c r="D2289" s="1"/>
  <c r="B2289"/>
  <c r="C2289"/>
  <c r="A2290"/>
  <c r="D2290" s="1"/>
  <c r="B2290"/>
  <c r="C2290"/>
  <c r="A2291"/>
  <c r="B2291"/>
  <c r="C2291"/>
  <c r="D2291"/>
  <c r="A2292"/>
  <c r="D2292" s="1"/>
  <c r="B2292"/>
  <c r="C2292"/>
  <c r="A2293"/>
  <c r="D2293" s="1"/>
  <c r="B2293"/>
  <c r="C2293"/>
  <c r="A2294"/>
  <c r="D2294" s="1"/>
  <c r="B2294"/>
  <c r="C2294"/>
  <c r="A2295"/>
  <c r="D2295" s="1"/>
  <c r="B2295"/>
  <c r="C2295"/>
  <c r="A2296"/>
  <c r="D2296" s="1"/>
  <c r="B2296"/>
  <c r="C2296"/>
  <c r="A2297"/>
  <c r="D2297" s="1"/>
  <c r="B2297"/>
  <c r="C2297"/>
  <c r="A2298"/>
  <c r="D2298" s="1"/>
  <c r="B2298"/>
  <c r="C2298"/>
  <c r="A2299"/>
  <c r="D2299" s="1"/>
  <c r="B2299"/>
  <c r="C2299"/>
  <c r="A2300"/>
  <c r="D2300" s="1"/>
  <c r="B2300"/>
  <c r="C2300"/>
  <c r="A2301"/>
  <c r="D2301" s="1"/>
  <c r="B2301"/>
  <c r="C2301"/>
  <c r="A2302"/>
  <c r="D2302" s="1"/>
  <c r="B2302"/>
  <c r="C2302"/>
  <c r="A2303"/>
  <c r="D2303" s="1"/>
  <c r="B2303"/>
  <c r="C2303"/>
  <c r="A2304"/>
  <c r="D2304" s="1"/>
  <c r="B2304"/>
  <c r="C2304"/>
  <c r="A2305"/>
  <c r="D2305" s="1"/>
  <c r="B2305"/>
  <c r="C2305"/>
  <c r="A2306"/>
  <c r="D2306" s="1"/>
  <c r="B2306"/>
  <c r="C2306"/>
  <c r="A2307"/>
  <c r="D2307" s="1"/>
  <c r="B2307"/>
  <c r="C2307"/>
  <c r="A2308"/>
  <c r="D2308" s="1"/>
  <c r="B2308"/>
  <c r="C2308"/>
  <c r="A2309"/>
  <c r="D2309" s="1"/>
  <c r="B2309"/>
  <c r="C2309"/>
  <c r="A2310"/>
  <c r="D2310" s="1"/>
  <c r="B2310"/>
  <c r="C2310"/>
  <c r="A2311"/>
  <c r="D2311" s="1"/>
  <c r="B2311"/>
  <c r="C2311"/>
  <c r="A2312"/>
  <c r="D2312" s="1"/>
  <c r="B2312"/>
  <c r="C2312"/>
  <c r="A2313"/>
  <c r="D2313" s="1"/>
  <c r="B2313"/>
  <c r="C2313"/>
  <c r="A2314"/>
  <c r="D2314" s="1"/>
  <c r="B2314"/>
  <c r="C2314"/>
  <c r="A2315"/>
  <c r="D2315" s="1"/>
  <c r="B2315"/>
  <c r="C2315"/>
  <c r="A2316"/>
  <c r="D2316" s="1"/>
  <c r="B2316"/>
  <c r="C2316"/>
  <c r="A2317"/>
  <c r="D2317" s="1"/>
  <c r="B2317"/>
  <c r="C2317"/>
  <c r="A2318"/>
  <c r="D2318" s="1"/>
  <c r="B2318"/>
  <c r="C2318"/>
  <c r="A2319"/>
  <c r="D2319" s="1"/>
  <c r="B2319"/>
  <c r="C2319"/>
  <c r="A2320"/>
  <c r="D2320" s="1"/>
  <c r="B2320"/>
  <c r="C2320"/>
  <c r="A2321"/>
  <c r="D2321" s="1"/>
  <c r="B2321"/>
  <c r="C2321"/>
  <c r="A2322"/>
  <c r="D2322" s="1"/>
  <c r="B2322"/>
  <c r="C2322"/>
  <c r="A2323"/>
  <c r="D2323" s="1"/>
  <c r="B2323"/>
  <c r="C2323"/>
  <c r="A2324"/>
  <c r="D2324" s="1"/>
  <c r="B2324"/>
  <c r="C2324"/>
  <c r="A2325"/>
  <c r="D2325" s="1"/>
  <c r="B2325"/>
  <c r="C2325"/>
  <c r="A2326"/>
  <c r="D2326" s="1"/>
  <c r="B2326"/>
  <c r="C2326"/>
  <c r="A2327"/>
  <c r="D2327" s="1"/>
  <c r="B2327"/>
  <c r="C2327"/>
  <c r="A2328"/>
  <c r="D2328" s="1"/>
  <c r="B2328"/>
  <c r="C2328"/>
  <c r="A2329"/>
  <c r="D2329" s="1"/>
  <c r="B2329"/>
  <c r="C2329"/>
  <c r="A2330"/>
  <c r="D2330" s="1"/>
  <c r="B2330"/>
  <c r="C2330"/>
  <c r="A2331"/>
  <c r="D2331" s="1"/>
  <c r="B2331"/>
  <c r="C2331"/>
  <c r="A2332"/>
  <c r="D2332" s="1"/>
  <c r="B2332"/>
  <c r="C2332"/>
  <c r="A2333"/>
  <c r="D2333" s="1"/>
  <c r="B2333"/>
  <c r="C2333"/>
  <c r="A2334"/>
  <c r="D2334" s="1"/>
  <c r="B2334"/>
  <c r="C2334"/>
  <c r="A2335"/>
  <c r="D2335" s="1"/>
  <c r="B2335"/>
  <c r="C2335"/>
  <c r="A2336"/>
  <c r="D2336" s="1"/>
  <c r="B2336"/>
  <c r="C2336"/>
  <c r="A2337"/>
  <c r="D2337" s="1"/>
  <c r="B2337"/>
  <c r="C2337"/>
  <c r="A2338"/>
  <c r="D2338" s="1"/>
  <c r="B2338"/>
  <c r="C2338"/>
  <c r="A2339"/>
  <c r="D2339" s="1"/>
  <c r="B2339"/>
  <c r="C2339"/>
  <c r="A2340"/>
  <c r="D2340" s="1"/>
  <c r="B2340"/>
  <c r="C2340"/>
  <c r="A2341"/>
  <c r="D2341" s="1"/>
  <c r="B2341"/>
  <c r="C2341"/>
  <c r="A2342"/>
  <c r="D2342" s="1"/>
  <c r="B2342"/>
  <c r="C2342"/>
  <c r="A2343"/>
  <c r="D2343" s="1"/>
  <c r="B2343"/>
  <c r="C2343"/>
  <c r="A2344"/>
  <c r="D2344" s="1"/>
  <c r="B2344"/>
  <c r="C2344"/>
  <c r="A2345"/>
  <c r="D2345" s="1"/>
  <c r="B2345"/>
  <c r="C2345"/>
  <c r="A2346"/>
  <c r="D2346" s="1"/>
  <c r="B2346"/>
  <c r="C2346"/>
  <c r="A2347"/>
  <c r="D2347" s="1"/>
  <c r="B2347"/>
  <c r="C2347"/>
  <c r="A2348"/>
  <c r="D2348" s="1"/>
  <c r="B2348"/>
  <c r="C2348"/>
  <c r="A2349"/>
  <c r="D2349" s="1"/>
  <c r="B2349"/>
  <c r="C2349"/>
  <c r="A2350"/>
  <c r="D2350" s="1"/>
  <c r="B2350"/>
  <c r="C2350"/>
  <c r="A2351"/>
  <c r="D2351" s="1"/>
  <c r="B2351"/>
  <c r="C2351"/>
  <c r="A2352"/>
  <c r="D2352" s="1"/>
  <c r="B2352"/>
  <c r="C2352"/>
  <c r="A2353"/>
  <c r="D2353" s="1"/>
  <c r="B2353"/>
  <c r="C2353"/>
  <c r="A2354"/>
  <c r="D2354" s="1"/>
  <c r="B2354"/>
  <c r="C2354"/>
  <c r="A2355"/>
  <c r="B2355"/>
  <c r="C2355"/>
  <c r="D2355"/>
  <c r="A2356"/>
  <c r="D2356" s="1"/>
  <c r="B2356"/>
  <c r="C2356"/>
  <c r="A2357"/>
  <c r="D2357" s="1"/>
  <c r="B2357"/>
  <c r="C2357"/>
  <c r="A2358"/>
  <c r="D2358" s="1"/>
  <c r="B2358"/>
  <c r="C2358"/>
  <c r="A2359"/>
  <c r="D2359" s="1"/>
  <c r="B2359"/>
  <c r="C2359"/>
  <c r="A2360"/>
  <c r="D2360" s="1"/>
  <c r="B2360"/>
  <c r="C2360"/>
  <c r="A2361"/>
  <c r="D2361" s="1"/>
  <c r="B2361"/>
  <c r="C2361"/>
  <c r="A2362"/>
  <c r="D2362" s="1"/>
  <c r="B2362"/>
  <c r="C2362"/>
  <c r="A2363"/>
  <c r="D2363" s="1"/>
  <c r="B2363"/>
  <c r="C2363"/>
  <c r="A2364"/>
  <c r="D2364" s="1"/>
  <c r="B2364"/>
  <c r="C2364"/>
  <c r="A2365"/>
  <c r="D2365" s="1"/>
  <c r="B2365"/>
  <c r="C2365"/>
  <c r="A2366"/>
  <c r="D2366" s="1"/>
  <c r="B2366"/>
  <c r="C2366"/>
  <c r="A2367"/>
  <c r="D2367" s="1"/>
  <c r="B2367"/>
  <c r="C2367"/>
  <c r="A2368"/>
  <c r="D2368" s="1"/>
  <c r="B2368"/>
  <c r="C2368"/>
  <c r="A2369"/>
  <c r="D2369" s="1"/>
  <c r="B2369"/>
  <c r="C2369"/>
  <c r="A2370"/>
  <c r="D2370" s="1"/>
  <c r="B2370"/>
  <c r="C2370"/>
  <c r="A2371"/>
  <c r="D2371" s="1"/>
  <c r="B2371"/>
  <c r="C2371"/>
  <c r="A2372"/>
  <c r="D2372" s="1"/>
  <c r="B2372"/>
  <c r="C2372"/>
  <c r="A2373"/>
  <c r="D2373" s="1"/>
  <c r="B2373"/>
  <c r="C2373"/>
  <c r="A2374"/>
  <c r="D2374" s="1"/>
  <c r="B2374"/>
  <c r="C2374"/>
  <c r="A2375"/>
  <c r="D2375" s="1"/>
  <c r="B2375"/>
  <c r="C2375"/>
  <c r="A2376"/>
  <c r="D2376" s="1"/>
  <c r="B2376"/>
  <c r="C2376"/>
  <c r="A2377"/>
  <c r="D2377" s="1"/>
  <c r="B2377"/>
  <c r="C2377"/>
  <c r="A2378"/>
  <c r="D2378" s="1"/>
  <c r="B2378"/>
  <c r="C2378"/>
  <c r="A2379"/>
  <c r="D2379" s="1"/>
  <c r="B2379"/>
  <c r="C2379"/>
  <c r="A2380"/>
  <c r="D2380" s="1"/>
  <c r="B2380"/>
  <c r="C2380"/>
  <c r="A2381"/>
  <c r="D2381" s="1"/>
  <c r="B2381"/>
  <c r="C2381"/>
  <c r="A2382"/>
  <c r="D2382" s="1"/>
  <c r="B2382"/>
  <c r="C2382"/>
  <c r="A2383"/>
  <c r="D2383" s="1"/>
  <c r="B2383"/>
  <c r="C2383"/>
  <c r="A2384"/>
  <c r="D2384" s="1"/>
  <c r="B2384"/>
  <c r="C2384"/>
  <c r="A2385"/>
  <c r="D2385" s="1"/>
  <c r="B2385"/>
  <c r="C2385"/>
  <c r="A2386"/>
  <c r="D2386" s="1"/>
  <c r="B2386"/>
  <c r="C2386"/>
  <c r="A2387"/>
  <c r="D2387" s="1"/>
  <c r="B2387"/>
  <c r="C2387"/>
  <c r="A2388"/>
  <c r="D2388" s="1"/>
  <c r="B2388"/>
  <c r="C2388"/>
  <c r="A2389"/>
  <c r="D2389" s="1"/>
  <c r="B2389"/>
  <c r="C2389"/>
  <c r="A2390"/>
  <c r="D2390" s="1"/>
  <c r="B2390"/>
  <c r="C2390"/>
  <c r="A2391"/>
  <c r="D2391" s="1"/>
  <c r="B2391"/>
  <c r="C2391"/>
  <c r="A2392"/>
  <c r="D2392" s="1"/>
  <c r="B2392"/>
  <c r="C2392"/>
  <c r="A2393"/>
  <c r="D2393" s="1"/>
  <c r="B2393"/>
  <c r="C2393"/>
  <c r="A2394"/>
  <c r="D2394" s="1"/>
  <c r="B2394"/>
  <c r="C2394"/>
  <c r="A2395"/>
  <c r="D2395" s="1"/>
  <c r="B2395"/>
  <c r="C2395"/>
  <c r="A2396"/>
  <c r="D2396" s="1"/>
  <c r="B2396"/>
  <c r="C2396"/>
  <c r="A2397"/>
  <c r="D2397" s="1"/>
  <c r="B2397"/>
  <c r="C2397"/>
  <c r="A2398"/>
  <c r="D2398" s="1"/>
  <c r="B2398"/>
  <c r="C2398"/>
  <c r="A2399"/>
  <c r="D2399" s="1"/>
  <c r="B2399"/>
  <c r="C2399"/>
  <c r="A2400"/>
  <c r="D2400" s="1"/>
  <c r="B2400"/>
  <c r="C2400"/>
  <c r="A2401"/>
  <c r="D2401" s="1"/>
  <c r="B2401"/>
  <c r="C2401"/>
  <c r="A2402"/>
  <c r="D2402" s="1"/>
  <c r="B2402"/>
  <c r="C2402"/>
  <c r="A2403"/>
  <c r="D2403" s="1"/>
  <c r="B2403"/>
  <c r="C2403"/>
  <c r="A2404"/>
  <c r="D2404" s="1"/>
  <c r="B2404"/>
  <c r="C2404"/>
  <c r="A2405"/>
  <c r="D2405" s="1"/>
  <c r="B2405"/>
  <c r="C2405"/>
  <c r="A2406"/>
  <c r="D2406" s="1"/>
  <c r="B2406"/>
  <c r="C2406"/>
  <c r="A2407"/>
  <c r="D2407" s="1"/>
  <c r="B2407"/>
  <c r="C2407"/>
  <c r="A2408"/>
  <c r="D2408" s="1"/>
  <c r="B2408"/>
  <c r="C2408"/>
  <c r="A2409"/>
  <c r="D2409" s="1"/>
  <c r="B2409"/>
  <c r="C2409"/>
  <c r="A2410"/>
  <c r="D2410" s="1"/>
  <c r="B2410"/>
  <c r="C2410"/>
  <c r="A2411"/>
  <c r="D2411" s="1"/>
  <c r="B2411"/>
  <c r="C2411"/>
  <c r="A2412"/>
  <c r="D2412" s="1"/>
  <c r="B2412"/>
  <c r="C2412"/>
  <c r="A2413"/>
  <c r="D2413" s="1"/>
  <c r="B2413"/>
  <c r="C2413"/>
  <c r="A2414"/>
  <c r="D2414" s="1"/>
  <c r="B2414"/>
  <c r="C2414"/>
  <c r="A2415"/>
  <c r="D2415" s="1"/>
  <c r="B2415"/>
  <c r="C2415"/>
  <c r="A2416"/>
  <c r="D2416" s="1"/>
  <c r="B2416"/>
  <c r="C2416"/>
  <c r="A2417"/>
  <c r="D2417" s="1"/>
  <c r="B2417"/>
  <c r="C2417"/>
  <c r="A2418"/>
  <c r="D2418" s="1"/>
  <c r="B2418"/>
  <c r="C2418"/>
  <c r="A2419"/>
  <c r="B2419"/>
  <c r="C2419"/>
  <c r="D2419"/>
  <c r="A2420"/>
  <c r="D2420" s="1"/>
  <c r="B2420"/>
  <c r="C2420"/>
  <c r="A2421"/>
  <c r="D2421" s="1"/>
  <c r="B2421"/>
  <c r="C2421"/>
  <c r="A2422"/>
  <c r="D2422" s="1"/>
  <c r="B2422"/>
  <c r="C2422"/>
  <c r="A2423"/>
  <c r="D2423" s="1"/>
  <c r="B2423"/>
  <c r="C2423"/>
  <c r="A2424"/>
  <c r="D2424" s="1"/>
  <c r="B2424"/>
  <c r="C2424"/>
  <c r="A2425"/>
  <c r="D2425" s="1"/>
  <c r="B2425"/>
  <c r="C2425"/>
  <c r="A2426"/>
  <c r="D2426" s="1"/>
  <c r="B2426"/>
  <c r="C2426"/>
  <c r="A2427"/>
  <c r="D2427" s="1"/>
  <c r="B2427"/>
  <c r="C2427"/>
  <c r="A2428"/>
  <c r="D2428" s="1"/>
  <c r="B2428"/>
  <c r="C2428"/>
  <c r="A2429"/>
  <c r="D2429" s="1"/>
  <c r="B2429"/>
  <c r="C2429"/>
  <c r="A2430"/>
  <c r="D2430" s="1"/>
  <c r="B2430"/>
  <c r="C2430"/>
  <c r="A2431"/>
  <c r="D2431" s="1"/>
  <c r="B2431"/>
  <c r="C2431"/>
  <c r="A2432"/>
  <c r="D2432" s="1"/>
  <c r="B2432"/>
  <c r="C2432"/>
  <c r="A2433"/>
  <c r="D2433" s="1"/>
  <c r="B2433"/>
  <c r="C2433"/>
  <c r="A2434"/>
  <c r="D2434" s="1"/>
  <c r="B2434"/>
  <c r="C2434"/>
  <c r="A2435"/>
  <c r="D2435" s="1"/>
  <c r="B2435"/>
  <c r="C2435"/>
  <c r="A2436"/>
  <c r="D2436" s="1"/>
  <c r="B2436"/>
  <c r="C2436"/>
  <c r="A2437"/>
  <c r="D2437" s="1"/>
  <c r="B2437"/>
  <c r="C2437"/>
  <c r="A2438"/>
  <c r="D2438" s="1"/>
  <c r="B2438"/>
  <c r="C2438"/>
  <c r="A2439"/>
  <c r="D2439" s="1"/>
  <c r="B2439"/>
  <c r="C2439"/>
  <c r="A2440"/>
  <c r="D2440" s="1"/>
  <c r="B2440"/>
  <c r="C2440"/>
  <c r="A2441"/>
  <c r="D2441" s="1"/>
  <c r="B2441"/>
  <c r="C2441"/>
  <c r="A2442"/>
  <c r="D2442" s="1"/>
  <c r="B2442"/>
  <c r="C2442"/>
  <c r="A2443"/>
  <c r="D2443" s="1"/>
  <c r="B2443"/>
  <c r="C2443"/>
  <c r="A2444"/>
  <c r="D2444" s="1"/>
  <c r="B2444"/>
  <c r="C2444"/>
  <c r="A2445"/>
  <c r="D2445" s="1"/>
  <c r="B2445"/>
  <c r="C2445"/>
  <c r="A2446"/>
  <c r="D2446" s="1"/>
  <c r="B2446"/>
  <c r="C2446"/>
  <c r="A2447"/>
  <c r="D2447" s="1"/>
  <c r="B2447"/>
  <c r="C2447"/>
  <c r="A2448"/>
  <c r="D2448" s="1"/>
  <c r="B2448"/>
  <c r="C2448"/>
  <c r="A2449"/>
  <c r="D2449" s="1"/>
  <c r="B2449"/>
  <c r="C2449"/>
  <c r="A2450"/>
  <c r="D2450" s="1"/>
  <c r="B2450"/>
  <c r="C2450"/>
  <c r="A2451"/>
  <c r="D2451" s="1"/>
  <c r="B2451"/>
  <c r="C2451"/>
  <c r="A2452"/>
  <c r="D2452" s="1"/>
  <c r="B2452"/>
  <c r="C2452"/>
  <c r="A2453"/>
  <c r="D2453" s="1"/>
  <c r="B2453"/>
  <c r="C2453"/>
  <c r="A2454"/>
  <c r="D2454" s="1"/>
  <c r="B2454"/>
  <c r="C2454"/>
  <c r="A2455"/>
  <c r="D2455" s="1"/>
  <c r="B2455"/>
  <c r="C2455"/>
  <c r="A2456"/>
  <c r="D2456" s="1"/>
  <c r="B2456"/>
  <c r="C2456"/>
  <c r="A2457"/>
  <c r="D2457" s="1"/>
  <c r="B2457"/>
  <c r="C2457"/>
  <c r="A2458"/>
  <c r="D2458" s="1"/>
  <c r="B2458"/>
  <c r="C2458"/>
  <c r="A2459"/>
  <c r="D2459" s="1"/>
  <c r="B2459"/>
  <c r="C2459"/>
  <c r="A2460"/>
  <c r="D2460" s="1"/>
  <c r="B2460"/>
  <c r="C2460"/>
  <c r="A2461"/>
  <c r="D2461" s="1"/>
  <c r="B2461"/>
  <c r="C2461"/>
  <c r="A2462"/>
  <c r="D2462" s="1"/>
  <c r="B2462"/>
  <c r="C2462"/>
  <c r="A2463"/>
  <c r="D2463" s="1"/>
  <c r="B2463"/>
  <c r="C2463"/>
  <c r="A2464"/>
  <c r="D2464" s="1"/>
  <c r="B2464"/>
  <c r="C2464"/>
  <c r="A2465"/>
  <c r="D2465" s="1"/>
  <c r="B2465"/>
  <c r="C2465"/>
  <c r="A2466"/>
  <c r="D2466" s="1"/>
  <c r="B2466"/>
  <c r="C2466"/>
  <c r="A2467"/>
  <c r="D2467" s="1"/>
  <c r="B2467"/>
  <c r="C2467"/>
  <c r="A2468"/>
  <c r="D2468" s="1"/>
  <c r="B2468"/>
  <c r="C2468"/>
  <c r="A2469"/>
  <c r="D2469" s="1"/>
  <c r="B2469"/>
  <c r="C2469"/>
  <c r="A2470"/>
  <c r="D2470" s="1"/>
  <c r="B2470"/>
  <c r="C2470"/>
  <c r="A2471"/>
  <c r="D2471" s="1"/>
  <c r="B2471"/>
  <c r="C2471"/>
  <c r="A2472"/>
  <c r="D2472" s="1"/>
  <c r="B2472"/>
  <c r="C2472"/>
  <c r="A2473"/>
  <c r="D2473" s="1"/>
  <c r="B2473"/>
  <c r="C2473"/>
  <c r="A2474"/>
  <c r="D2474" s="1"/>
  <c r="B2474"/>
  <c r="C2474"/>
  <c r="A2475"/>
  <c r="D2475" s="1"/>
  <c r="B2475"/>
  <c r="C2475"/>
  <c r="A2476"/>
  <c r="D2476" s="1"/>
  <c r="B2476"/>
  <c r="C2476"/>
  <c r="A2477"/>
  <c r="D2477" s="1"/>
  <c r="B2477"/>
  <c r="C2477"/>
  <c r="A2478"/>
  <c r="D2478" s="1"/>
  <c r="B2478"/>
  <c r="C2478"/>
  <c r="A2479"/>
  <c r="D2479" s="1"/>
  <c r="B2479"/>
  <c r="C2479"/>
  <c r="A2480"/>
  <c r="D2480" s="1"/>
  <c r="B2480"/>
  <c r="C2480"/>
  <c r="A2481"/>
  <c r="D2481" s="1"/>
  <c r="B2481"/>
  <c r="C2481"/>
  <c r="A2482"/>
  <c r="D2482" s="1"/>
  <c r="B2482"/>
  <c r="C2482"/>
  <c r="A2483"/>
  <c r="B2483"/>
  <c r="C2483"/>
  <c r="D2483"/>
  <c r="A2484"/>
  <c r="D2484" s="1"/>
  <c r="B2484"/>
  <c r="C2484"/>
  <c r="A2485"/>
  <c r="D2485" s="1"/>
  <c r="B2485"/>
  <c r="C2485"/>
  <c r="A2486"/>
  <c r="D2486" s="1"/>
  <c r="B2486"/>
  <c r="C2486"/>
  <c r="A2487"/>
  <c r="D2487" s="1"/>
  <c r="B2487"/>
  <c r="C2487"/>
  <c r="A2488"/>
  <c r="D2488" s="1"/>
  <c r="B2488"/>
  <c r="C2488"/>
  <c r="A2489"/>
  <c r="D2489" s="1"/>
  <c r="B2489"/>
  <c r="C2489"/>
  <c r="A2490"/>
  <c r="D2490" s="1"/>
  <c r="B2490"/>
  <c r="C2490"/>
  <c r="A2491"/>
  <c r="D2491" s="1"/>
  <c r="B2491"/>
  <c r="C2491"/>
  <c r="A2492"/>
  <c r="D2492" s="1"/>
  <c r="B2492"/>
  <c r="C2492"/>
  <c r="A2493"/>
  <c r="D2493" s="1"/>
  <c r="B2493"/>
  <c r="C2493"/>
  <c r="A2494"/>
  <c r="D2494" s="1"/>
  <c r="B2494"/>
  <c r="C2494"/>
  <c r="A2495"/>
  <c r="D2495" s="1"/>
  <c r="B2495"/>
  <c r="C2495"/>
  <c r="A2496"/>
  <c r="D2496" s="1"/>
  <c r="B2496"/>
  <c r="C2496"/>
  <c r="A2497"/>
  <c r="D2497" s="1"/>
  <c r="B2497"/>
  <c r="C2497"/>
  <c r="A2498"/>
  <c r="D2498" s="1"/>
  <c r="B2498"/>
  <c r="C2498"/>
  <c r="A2499"/>
  <c r="D2499" s="1"/>
  <c r="B2499"/>
  <c r="C2499"/>
  <c r="A2500"/>
  <c r="D2500" s="1"/>
  <c r="B2500"/>
  <c r="C2500"/>
  <c r="A2501"/>
  <c r="D2501" s="1"/>
  <c r="B2501"/>
  <c r="C2501"/>
  <c r="A2502"/>
  <c r="D2502" s="1"/>
  <c r="B2502"/>
  <c r="C2502"/>
  <c r="A2503"/>
  <c r="D2503" s="1"/>
  <c r="B2503"/>
  <c r="C2503"/>
  <c r="A2504"/>
  <c r="D2504" s="1"/>
  <c r="B2504"/>
  <c r="C2504"/>
  <c r="A2505"/>
  <c r="D2505" s="1"/>
  <c r="B2505"/>
  <c r="C2505"/>
  <c r="A2506"/>
  <c r="D2506" s="1"/>
  <c r="B2506"/>
  <c r="C2506"/>
  <c r="A2507"/>
  <c r="D2507" s="1"/>
  <c r="B2507"/>
  <c r="C2507"/>
  <c r="A2508"/>
  <c r="D2508" s="1"/>
  <c r="B2508"/>
  <c r="C2508"/>
  <c r="A2509"/>
  <c r="D2509" s="1"/>
  <c r="B2509"/>
  <c r="C2509"/>
  <c r="A2510"/>
  <c r="D2510" s="1"/>
  <c r="B2510"/>
  <c r="C2510"/>
  <c r="A2511"/>
  <c r="D2511" s="1"/>
  <c r="B2511"/>
  <c r="C2511"/>
  <c r="A2512"/>
  <c r="D2512" s="1"/>
  <c r="B2512"/>
  <c r="C2512"/>
  <c r="A2513"/>
  <c r="D2513" s="1"/>
  <c r="B2513"/>
  <c r="C2513"/>
  <c r="A2514"/>
  <c r="D2514" s="1"/>
  <c r="B2514"/>
  <c r="C2514"/>
  <c r="A2515"/>
  <c r="D2515" s="1"/>
  <c r="B2515"/>
  <c r="C2515"/>
  <c r="A2516"/>
  <c r="D2516" s="1"/>
  <c r="B2516"/>
  <c r="C2516"/>
  <c r="A2517"/>
  <c r="D2517" s="1"/>
  <c r="B2517"/>
  <c r="C2517"/>
  <c r="A2518"/>
  <c r="D2518" s="1"/>
  <c r="B2518"/>
  <c r="C2518"/>
  <c r="A2519"/>
  <c r="D2519" s="1"/>
  <c r="B2519"/>
  <c r="C2519"/>
  <c r="A2520"/>
  <c r="D2520" s="1"/>
  <c r="B2520"/>
  <c r="C2520"/>
  <c r="A2521"/>
  <c r="D2521" s="1"/>
  <c r="B2521"/>
  <c r="C2521"/>
  <c r="A2522"/>
  <c r="D2522" s="1"/>
  <c r="B2522"/>
  <c r="C2522"/>
  <c r="A2523"/>
  <c r="D2523" s="1"/>
  <c r="B2523"/>
  <c r="C2523"/>
  <c r="A2524"/>
  <c r="D2524" s="1"/>
  <c r="B2524"/>
  <c r="C2524"/>
  <c r="A2525"/>
  <c r="D2525" s="1"/>
  <c r="B2525"/>
  <c r="C2525"/>
  <c r="A2526"/>
  <c r="D2526" s="1"/>
  <c r="B2526"/>
  <c r="C2526"/>
  <c r="A2527"/>
  <c r="D2527" s="1"/>
  <c r="B2527"/>
  <c r="C2527"/>
  <c r="A2528"/>
  <c r="D2528" s="1"/>
  <c r="B2528"/>
  <c r="C2528"/>
  <c r="A2529"/>
  <c r="D2529" s="1"/>
  <c r="B2529"/>
  <c r="C2529"/>
  <c r="A2530"/>
  <c r="D2530" s="1"/>
  <c r="B2530"/>
  <c r="C2530"/>
  <c r="A2531"/>
  <c r="D2531" s="1"/>
  <c r="B2531"/>
  <c r="C2531"/>
  <c r="A2532"/>
  <c r="D2532" s="1"/>
  <c r="B2532"/>
  <c r="C2532"/>
  <c r="A2533"/>
  <c r="D2533" s="1"/>
  <c r="B2533"/>
  <c r="C2533"/>
  <c r="A2534"/>
  <c r="D2534" s="1"/>
  <c r="B2534"/>
  <c r="C2534"/>
  <c r="A2535"/>
  <c r="D2535" s="1"/>
  <c r="B2535"/>
  <c r="C2535"/>
  <c r="A2536"/>
  <c r="D2536" s="1"/>
  <c r="B2536"/>
  <c r="C2536"/>
  <c r="A2537"/>
  <c r="D2537" s="1"/>
  <c r="B2537"/>
  <c r="C2537"/>
  <c r="A2538"/>
  <c r="D2538" s="1"/>
  <c r="B2538"/>
  <c r="C2538"/>
  <c r="A2539"/>
  <c r="D2539" s="1"/>
  <c r="B2539"/>
  <c r="C2539"/>
  <c r="A2540"/>
  <c r="D2540" s="1"/>
  <c r="B2540"/>
  <c r="C2540"/>
  <c r="A2541"/>
  <c r="D2541" s="1"/>
  <c r="B2541"/>
  <c r="C2541"/>
  <c r="A2542"/>
  <c r="D2542" s="1"/>
  <c r="B2542"/>
  <c r="C2542"/>
  <c r="A2543"/>
  <c r="D2543" s="1"/>
  <c r="B2543"/>
  <c r="C2543"/>
  <c r="A2544"/>
  <c r="D2544" s="1"/>
  <c r="B2544"/>
  <c r="C2544"/>
  <c r="A2545"/>
  <c r="D2545" s="1"/>
  <c r="B2545"/>
  <c r="C2545"/>
  <c r="A2546"/>
  <c r="D2546" s="1"/>
  <c r="B2546"/>
  <c r="C2546"/>
  <c r="A2547"/>
  <c r="B2547"/>
  <c r="C2547"/>
  <c r="D2547"/>
  <c r="A2548"/>
  <c r="D2548" s="1"/>
  <c r="B2548"/>
  <c r="C2548"/>
  <c r="A2549"/>
  <c r="D2549" s="1"/>
  <c r="B2549"/>
  <c r="C2549"/>
  <c r="A2550"/>
  <c r="D2550" s="1"/>
  <c r="B2550"/>
  <c r="C2550"/>
  <c r="A2551"/>
  <c r="D2551" s="1"/>
  <c r="B2551"/>
  <c r="C2551"/>
  <c r="A2552"/>
  <c r="D2552" s="1"/>
  <c r="B2552"/>
  <c r="C2552"/>
  <c r="A2553"/>
  <c r="D2553" s="1"/>
  <c r="B2553"/>
  <c r="C2553"/>
  <c r="A2554"/>
  <c r="D2554" s="1"/>
  <c r="B2554"/>
  <c r="C2554"/>
  <c r="A2555"/>
  <c r="D2555" s="1"/>
  <c r="B2555"/>
  <c r="C2555"/>
  <c r="A2556"/>
  <c r="D2556" s="1"/>
  <c r="B2556"/>
  <c r="C2556"/>
  <c r="A2557"/>
  <c r="D2557" s="1"/>
  <c r="B2557"/>
  <c r="C2557"/>
  <c r="A2558"/>
  <c r="D2558" s="1"/>
  <c r="B2558"/>
  <c r="C2558"/>
  <c r="A2559"/>
  <c r="D2559" s="1"/>
  <c r="B2559"/>
  <c r="C2559"/>
  <c r="A2560"/>
  <c r="D2560" s="1"/>
  <c r="B2560"/>
  <c r="C2560"/>
  <c r="A2561"/>
  <c r="D2561" s="1"/>
  <c r="B2561"/>
  <c r="C2561"/>
  <c r="A2562"/>
  <c r="D2562" s="1"/>
  <c r="B2562"/>
  <c r="C2562"/>
  <c r="A2563"/>
  <c r="D2563" s="1"/>
  <c r="B2563"/>
  <c r="C2563"/>
  <c r="A2564"/>
  <c r="D2564" s="1"/>
  <c r="B2564"/>
  <c r="C2564"/>
  <c r="A2565"/>
  <c r="D2565" s="1"/>
  <c r="B2565"/>
  <c r="C2565"/>
  <c r="A2566"/>
  <c r="D2566" s="1"/>
  <c r="B2566"/>
  <c r="C2566"/>
  <c r="A2567"/>
  <c r="D2567" s="1"/>
  <c r="B2567"/>
  <c r="C2567"/>
  <c r="A2568"/>
  <c r="D2568" s="1"/>
  <c r="B2568"/>
  <c r="C2568"/>
  <c r="A2569"/>
  <c r="D2569" s="1"/>
  <c r="B2569"/>
  <c r="C2569"/>
  <c r="A2570"/>
  <c r="D2570" s="1"/>
  <c r="B2570"/>
  <c r="C2570"/>
  <c r="A2571"/>
  <c r="D2571" s="1"/>
  <c r="B2571"/>
  <c r="C2571"/>
  <c r="A2572"/>
  <c r="D2572" s="1"/>
  <c r="B2572"/>
  <c r="C2572"/>
  <c r="A2573"/>
  <c r="D2573" s="1"/>
  <c r="B2573"/>
  <c r="C2573"/>
  <c r="A2574"/>
  <c r="D2574" s="1"/>
  <c r="B2574"/>
  <c r="C2574"/>
  <c r="A2575"/>
  <c r="D2575" s="1"/>
  <c r="B2575"/>
  <c r="C2575"/>
  <c r="A2576"/>
  <c r="D2576" s="1"/>
  <c r="B2576"/>
  <c r="C2576"/>
  <c r="A2577"/>
  <c r="D2577" s="1"/>
  <c r="B2577"/>
  <c r="C2577"/>
  <c r="A2578"/>
  <c r="D2578" s="1"/>
  <c r="B2578"/>
  <c r="C2578"/>
  <c r="A2579"/>
  <c r="D2579" s="1"/>
  <c r="B2579"/>
  <c r="C2579"/>
  <c r="A2580"/>
  <c r="D2580" s="1"/>
  <c r="B2580"/>
  <c r="C2580"/>
  <c r="A2581"/>
  <c r="D2581" s="1"/>
  <c r="B2581"/>
  <c r="C2581"/>
  <c r="A2582"/>
  <c r="D2582" s="1"/>
  <c r="B2582"/>
  <c r="C2582"/>
  <c r="A2583"/>
  <c r="D2583" s="1"/>
  <c r="B2583"/>
  <c r="C2583"/>
  <c r="A2584"/>
  <c r="D2584" s="1"/>
  <c r="B2584"/>
  <c r="C2584"/>
  <c r="A2585"/>
  <c r="D2585" s="1"/>
  <c r="B2585"/>
  <c r="C2585"/>
  <c r="A2586"/>
  <c r="D2586" s="1"/>
  <c r="B2586"/>
  <c r="C2586"/>
  <c r="A2587"/>
  <c r="D2587" s="1"/>
  <c r="B2587"/>
  <c r="C2587"/>
  <c r="A2588"/>
  <c r="D2588" s="1"/>
  <c r="B2588"/>
  <c r="C2588"/>
  <c r="A2589"/>
  <c r="D2589" s="1"/>
  <c r="B2589"/>
  <c r="C2589"/>
  <c r="A2590"/>
  <c r="D2590" s="1"/>
  <c r="B2590"/>
  <c r="C2590"/>
  <c r="A2591"/>
  <c r="D2591" s="1"/>
  <c r="B2591"/>
  <c r="C2591"/>
  <c r="A2592"/>
  <c r="D2592" s="1"/>
  <c r="B2592"/>
  <c r="C2592"/>
  <c r="A2593"/>
  <c r="D2593" s="1"/>
  <c r="B2593"/>
  <c r="C2593"/>
  <c r="A2594"/>
  <c r="D2594" s="1"/>
  <c r="B2594"/>
  <c r="C2594"/>
  <c r="A2595"/>
  <c r="D2595" s="1"/>
  <c r="B2595"/>
  <c r="C2595"/>
  <c r="A2596"/>
  <c r="D2596" s="1"/>
  <c r="B2596"/>
  <c r="C2596"/>
  <c r="A2597"/>
  <c r="D2597" s="1"/>
  <c r="B2597"/>
  <c r="C2597"/>
  <c r="A2598"/>
  <c r="D2598" s="1"/>
  <c r="B2598"/>
  <c r="C2598"/>
  <c r="A2599"/>
  <c r="D2599" s="1"/>
  <c r="B2599"/>
  <c r="C2599"/>
  <c r="A2600"/>
  <c r="D2600" s="1"/>
  <c r="B2600"/>
  <c r="C2600"/>
  <c r="A2601"/>
  <c r="D2601" s="1"/>
  <c r="B2601"/>
  <c r="C2601"/>
  <c r="A2602"/>
  <c r="D2602" s="1"/>
  <c r="B2602"/>
  <c r="C2602"/>
  <c r="A2603"/>
  <c r="D2603" s="1"/>
  <c r="B2603"/>
  <c r="C2603"/>
  <c r="A2604"/>
  <c r="D2604" s="1"/>
  <c r="B2604"/>
  <c r="C2604"/>
  <c r="A2605"/>
  <c r="D2605" s="1"/>
  <c r="B2605"/>
  <c r="C2605"/>
  <c r="A2606"/>
  <c r="D2606" s="1"/>
  <c r="B2606"/>
  <c r="C2606"/>
  <c r="A2607"/>
  <c r="D2607" s="1"/>
  <c r="B2607"/>
  <c r="C2607"/>
  <c r="A2608"/>
  <c r="D2608" s="1"/>
  <c r="B2608"/>
  <c r="C2608"/>
  <c r="A2609"/>
  <c r="D2609" s="1"/>
  <c r="B2609"/>
  <c r="C2609"/>
  <c r="A2610"/>
  <c r="D2610" s="1"/>
  <c r="B2610"/>
  <c r="C2610"/>
  <c r="A2611"/>
  <c r="B2611"/>
  <c r="C2611"/>
  <c r="D2611"/>
  <c r="A2612"/>
  <c r="D2612" s="1"/>
  <c r="B2612"/>
  <c r="C2612"/>
  <c r="A2613"/>
  <c r="D2613" s="1"/>
  <c r="B2613"/>
  <c r="C2613"/>
  <c r="A2614"/>
  <c r="D2614" s="1"/>
  <c r="B2614"/>
  <c r="C2614"/>
  <c r="A2615"/>
  <c r="D2615" s="1"/>
  <c r="B2615"/>
  <c r="C2615"/>
  <c r="A2616"/>
  <c r="D2616" s="1"/>
  <c r="B2616"/>
  <c r="C2616"/>
  <c r="A2617"/>
  <c r="D2617" s="1"/>
  <c r="B2617"/>
  <c r="C2617"/>
  <c r="A2618"/>
  <c r="D2618" s="1"/>
  <c r="B2618"/>
  <c r="C2618"/>
  <c r="A2619"/>
  <c r="D2619" s="1"/>
  <c r="B2619"/>
  <c r="C2619"/>
  <c r="A2620"/>
  <c r="D2620" s="1"/>
  <c r="B2620"/>
  <c r="C2620"/>
  <c r="A2621"/>
  <c r="D2621" s="1"/>
  <c r="B2621"/>
  <c r="C2621"/>
  <c r="A2622"/>
  <c r="D2622" s="1"/>
  <c r="B2622"/>
  <c r="C2622"/>
  <c r="A2623"/>
  <c r="D2623" s="1"/>
  <c r="B2623"/>
  <c r="C2623"/>
  <c r="A2624"/>
  <c r="D2624" s="1"/>
  <c r="B2624"/>
  <c r="C2624"/>
  <c r="A2625"/>
  <c r="D2625" s="1"/>
  <c r="B2625"/>
  <c r="C2625"/>
  <c r="A2626"/>
  <c r="D2626" s="1"/>
  <c r="B2626"/>
  <c r="C2626"/>
  <c r="A2627"/>
  <c r="D2627" s="1"/>
  <c r="B2627"/>
  <c r="C2627"/>
  <c r="A2628"/>
  <c r="D2628" s="1"/>
  <c r="B2628"/>
  <c r="C2628"/>
  <c r="A2629"/>
  <c r="D2629" s="1"/>
  <c r="B2629"/>
  <c r="C2629"/>
  <c r="A2630"/>
  <c r="D2630" s="1"/>
  <c r="B2630"/>
  <c r="C2630"/>
  <c r="A2631"/>
  <c r="D2631" s="1"/>
  <c r="B2631"/>
  <c r="C2631"/>
  <c r="A2632"/>
  <c r="D2632" s="1"/>
  <c r="B2632"/>
  <c r="C2632"/>
  <c r="A2633"/>
  <c r="D2633" s="1"/>
  <c r="B2633"/>
  <c r="C2633"/>
  <c r="A2634"/>
  <c r="D2634" s="1"/>
  <c r="B2634"/>
  <c r="C2634"/>
  <c r="A2635"/>
  <c r="D2635" s="1"/>
  <c r="B2635"/>
  <c r="C2635"/>
  <c r="A2636"/>
  <c r="D2636" s="1"/>
  <c r="B2636"/>
  <c r="C2636"/>
  <c r="A2637"/>
  <c r="D2637" s="1"/>
  <c r="B2637"/>
  <c r="C2637"/>
  <c r="A2638"/>
  <c r="D2638" s="1"/>
  <c r="B2638"/>
  <c r="C2638"/>
  <c r="A2639"/>
  <c r="D2639" s="1"/>
  <c r="B2639"/>
  <c r="C2639"/>
  <c r="A2640"/>
  <c r="D2640" s="1"/>
  <c r="B2640"/>
  <c r="C2640"/>
  <c r="A2641"/>
  <c r="D2641" s="1"/>
  <c r="B2641"/>
  <c r="C2641"/>
  <c r="A2642"/>
  <c r="D2642" s="1"/>
  <c r="B2642"/>
  <c r="C2642"/>
  <c r="A2643"/>
  <c r="D2643" s="1"/>
  <c r="B2643"/>
  <c r="C2643"/>
  <c r="A2644"/>
  <c r="D2644" s="1"/>
  <c r="B2644"/>
  <c r="C2644"/>
  <c r="A2645"/>
  <c r="D2645" s="1"/>
  <c r="B2645"/>
  <c r="C2645"/>
  <c r="A2646"/>
  <c r="D2646" s="1"/>
  <c r="B2646"/>
  <c r="C2646"/>
  <c r="A2647"/>
  <c r="D2647" s="1"/>
  <c r="B2647"/>
  <c r="C2647"/>
  <c r="A2648"/>
  <c r="D2648" s="1"/>
  <c r="B2648"/>
  <c r="C2648"/>
  <c r="A2649"/>
  <c r="D2649" s="1"/>
  <c r="B2649"/>
  <c r="C2649"/>
  <c r="A2650"/>
  <c r="D2650" s="1"/>
  <c r="B2650"/>
  <c r="C2650"/>
  <c r="A2651"/>
  <c r="D2651" s="1"/>
  <c r="B2651"/>
  <c r="C2651"/>
  <c r="A2652"/>
  <c r="D2652" s="1"/>
  <c r="B2652"/>
  <c r="C2652"/>
  <c r="A2653"/>
  <c r="D2653" s="1"/>
  <c r="B2653"/>
  <c r="C2653"/>
  <c r="A2654"/>
  <c r="D2654" s="1"/>
  <c r="B2654"/>
  <c r="C2654"/>
  <c r="A2655"/>
  <c r="D2655" s="1"/>
  <c r="B2655"/>
  <c r="C2655"/>
  <c r="A2656"/>
  <c r="D2656" s="1"/>
  <c r="B2656"/>
  <c r="C2656"/>
  <c r="A2657"/>
  <c r="D2657" s="1"/>
  <c r="B2657"/>
  <c r="C2657"/>
  <c r="A2658"/>
  <c r="D2658" s="1"/>
  <c r="B2658"/>
  <c r="C2658"/>
  <c r="A2659"/>
  <c r="D2659" s="1"/>
  <c r="B2659"/>
  <c r="C2659"/>
  <c r="A2660"/>
  <c r="D2660" s="1"/>
  <c r="B2660"/>
  <c r="C2660"/>
  <c r="A2661"/>
  <c r="D2661" s="1"/>
  <c r="B2661"/>
  <c r="C2661"/>
  <c r="A2662"/>
  <c r="D2662" s="1"/>
  <c r="B2662"/>
  <c r="C2662"/>
  <c r="A2663"/>
  <c r="D2663" s="1"/>
  <c r="B2663"/>
  <c r="C2663"/>
  <c r="A2664"/>
  <c r="D2664" s="1"/>
  <c r="B2664"/>
  <c r="C2664"/>
  <c r="A2665"/>
  <c r="D2665" s="1"/>
  <c r="B2665"/>
  <c r="C2665"/>
  <c r="A2666"/>
  <c r="D2666" s="1"/>
  <c r="B2666"/>
  <c r="C2666"/>
  <c r="A2667"/>
  <c r="D2667" s="1"/>
  <c r="B2667"/>
  <c r="C2667"/>
  <c r="A2668"/>
  <c r="D2668" s="1"/>
  <c r="B2668"/>
  <c r="C2668"/>
  <c r="A2669"/>
  <c r="D2669" s="1"/>
  <c r="B2669"/>
  <c r="C2669"/>
  <c r="A2670"/>
  <c r="D2670" s="1"/>
  <c r="B2670"/>
  <c r="C2670"/>
  <c r="A2671"/>
  <c r="D2671" s="1"/>
  <c r="B2671"/>
  <c r="C2671"/>
  <c r="A2672"/>
  <c r="D2672" s="1"/>
  <c r="B2672"/>
  <c r="C2672"/>
  <c r="A2673"/>
  <c r="D2673" s="1"/>
  <c r="B2673"/>
  <c r="C2673"/>
  <c r="A2674"/>
  <c r="D2674" s="1"/>
  <c r="B2674"/>
  <c r="C2674"/>
  <c r="A2675"/>
  <c r="B2675"/>
  <c r="C2675"/>
  <c r="D2675"/>
  <c r="A2676"/>
  <c r="D2676" s="1"/>
  <c r="B2676"/>
  <c r="C2676"/>
  <c r="A2677"/>
  <c r="D2677" s="1"/>
  <c r="B2677"/>
  <c r="C2677"/>
  <c r="A2678"/>
  <c r="D2678" s="1"/>
  <c r="B2678"/>
  <c r="C2678"/>
  <c r="A2679"/>
  <c r="D2679" s="1"/>
  <c r="B2679"/>
  <c r="C2679"/>
  <c r="A2680"/>
  <c r="D2680" s="1"/>
  <c r="B2680"/>
  <c r="C2680"/>
  <c r="A2681"/>
  <c r="D2681" s="1"/>
  <c r="B2681"/>
  <c r="C2681"/>
  <c r="A2682"/>
  <c r="D2682" s="1"/>
  <c r="B2682"/>
  <c r="C2682"/>
  <c r="A2683"/>
  <c r="D2683" s="1"/>
  <c r="B2683"/>
  <c r="C2683"/>
  <c r="A2684"/>
  <c r="D2684" s="1"/>
  <c r="B2684"/>
  <c r="C2684"/>
  <c r="A2685"/>
  <c r="D2685" s="1"/>
  <c r="B2685"/>
  <c r="C2685"/>
  <c r="A2686"/>
  <c r="D2686" s="1"/>
  <c r="B2686"/>
  <c r="C2686"/>
  <c r="A2687"/>
  <c r="D2687" s="1"/>
  <c r="B2687"/>
  <c r="C2687"/>
  <c r="A2688"/>
  <c r="D2688" s="1"/>
  <c r="B2688"/>
  <c r="C2688"/>
  <c r="A2689"/>
  <c r="D2689" s="1"/>
  <c r="B2689"/>
  <c r="C2689"/>
  <c r="A2690"/>
  <c r="D2690" s="1"/>
  <c r="B2690"/>
  <c r="C2690"/>
  <c r="A2691"/>
  <c r="D2691" s="1"/>
  <c r="B2691"/>
  <c r="C2691"/>
  <c r="A2692"/>
  <c r="D2692" s="1"/>
  <c r="B2692"/>
  <c r="C2692"/>
  <c r="A2693"/>
  <c r="D2693" s="1"/>
  <c r="B2693"/>
  <c r="C2693"/>
  <c r="A2694"/>
  <c r="D2694" s="1"/>
  <c r="B2694"/>
  <c r="C2694"/>
  <c r="A2695"/>
  <c r="D2695" s="1"/>
  <c r="B2695"/>
  <c r="C2695"/>
  <c r="A2696"/>
  <c r="D2696" s="1"/>
  <c r="B2696"/>
  <c r="C2696"/>
  <c r="A2697"/>
  <c r="D2697" s="1"/>
  <c r="B2697"/>
  <c r="C2697"/>
  <c r="A2698"/>
  <c r="D2698" s="1"/>
  <c r="B2698"/>
  <c r="C2698"/>
  <c r="A2699"/>
  <c r="D2699" s="1"/>
  <c r="B2699"/>
  <c r="C2699"/>
  <c r="A2700"/>
  <c r="D2700" s="1"/>
  <c r="B2700"/>
  <c r="C2700"/>
  <c r="A2701"/>
  <c r="D2701" s="1"/>
  <c r="B2701"/>
  <c r="C2701"/>
  <c r="A2702"/>
  <c r="D2702" s="1"/>
  <c r="B2702"/>
  <c r="C2702"/>
  <c r="A2703"/>
  <c r="D2703" s="1"/>
  <c r="B2703"/>
  <c r="C2703"/>
  <c r="A2704"/>
  <c r="D2704" s="1"/>
  <c r="B2704"/>
  <c r="C2704"/>
  <c r="A2705"/>
  <c r="D2705" s="1"/>
  <c r="B2705"/>
  <c r="C2705"/>
  <c r="A2706"/>
  <c r="D2706" s="1"/>
  <c r="B2706"/>
  <c r="C2706"/>
  <c r="A2707"/>
  <c r="D2707" s="1"/>
  <c r="B2707"/>
  <c r="C2707"/>
  <c r="A2708"/>
  <c r="D2708" s="1"/>
  <c r="B2708"/>
  <c r="C2708"/>
  <c r="A2709"/>
  <c r="D2709" s="1"/>
  <c r="B2709"/>
  <c r="C2709"/>
  <c r="A2710"/>
  <c r="D2710" s="1"/>
  <c r="B2710"/>
  <c r="C2710"/>
  <c r="A2711"/>
  <c r="D2711" s="1"/>
  <c r="B2711"/>
  <c r="C2711"/>
  <c r="A2712"/>
  <c r="D2712" s="1"/>
  <c r="B2712"/>
  <c r="C2712"/>
  <c r="A2713"/>
  <c r="D2713" s="1"/>
  <c r="B2713"/>
  <c r="C2713"/>
  <c r="A2714"/>
  <c r="D2714" s="1"/>
  <c r="B2714"/>
  <c r="C2714"/>
  <c r="A2715"/>
  <c r="D2715" s="1"/>
  <c r="B2715"/>
  <c r="C2715"/>
  <c r="A2716"/>
  <c r="D2716" s="1"/>
  <c r="B2716"/>
  <c r="C2716"/>
  <c r="A2717"/>
  <c r="D2717" s="1"/>
  <c r="B2717"/>
  <c r="C2717"/>
  <c r="A2718"/>
  <c r="D2718" s="1"/>
  <c r="B2718"/>
  <c r="C2718"/>
  <c r="A2719"/>
  <c r="D2719" s="1"/>
  <c r="B2719"/>
  <c r="C2719"/>
  <c r="A2720"/>
  <c r="D2720" s="1"/>
  <c r="B2720"/>
  <c r="C2720"/>
  <c r="A2721"/>
  <c r="D2721" s="1"/>
  <c r="B2721"/>
  <c r="C2721"/>
  <c r="A2722"/>
  <c r="D2722" s="1"/>
  <c r="B2722"/>
  <c r="C2722"/>
  <c r="A2723"/>
  <c r="D2723" s="1"/>
  <c r="B2723"/>
  <c r="C2723"/>
  <c r="A2724"/>
  <c r="D2724" s="1"/>
  <c r="B2724"/>
  <c r="C2724"/>
  <c r="A2725"/>
  <c r="D2725" s="1"/>
  <c r="B2725"/>
  <c r="C2725"/>
  <c r="A2726"/>
  <c r="D2726" s="1"/>
  <c r="B2726"/>
  <c r="C2726"/>
  <c r="A2727"/>
  <c r="D2727" s="1"/>
  <c r="B2727"/>
  <c r="C2727"/>
  <c r="A2728"/>
  <c r="D2728" s="1"/>
  <c r="B2728"/>
  <c r="C2728"/>
  <c r="A2729"/>
  <c r="D2729" s="1"/>
  <c r="B2729"/>
  <c r="C2729"/>
  <c r="A2730"/>
  <c r="D2730" s="1"/>
  <c r="B2730"/>
  <c r="C2730"/>
  <c r="A2731"/>
  <c r="D2731" s="1"/>
  <c r="B2731"/>
  <c r="C2731"/>
  <c r="A2732"/>
  <c r="D2732" s="1"/>
  <c r="B2732"/>
  <c r="C2732"/>
  <c r="A2733"/>
  <c r="D2733" s="1"/>
  <c r="B2733"/>
  <c r="C2733"/>
  <c r="A2734"/>
  <c r="D2734" s="1"/>
  <c r="B2734"/>
  <c r="C2734"/>
  <c r="A2735"/>
  <c r="D2735" s="1"/>
  <c r="B2735"/>
  <c r="C2735"/>
  <c r="A2736"/>
  <c r="D2736" s="1"/>
  <c r="B2736"/>
  <c r="C2736"/>
  <c r="A2737"/>
  <c r="D2737" s="1"/>
  <c r="B2737"/>
  <c r="C2737"/>
  <c r="A2738"/>
  <c r="D2738" s="1"/>
  <c r="B2738"/>
  <c r="C2738"/>
  <c r="A2739"/>
  <c r="B2739"/>
  <c r="C2739"/>
  <c r="D2739"/>
  <c r="A2740"/>
  <c r="D2740" s="1"/>
  <c r="B2740"/>
  <c r="C2740"/>
  <c r="A2741"/>
  <c r="D2741" s="1"/>
  <c r="B2741"/>
  <c r="C2741"/>
  <c r="A2742"/>
  <c r="D2742" s="1"/>
  <c r="B2742"/>
  <c r="C2742"/>
  <c r="A2743"/>
  <c r="D2743" s="1"/>
  <c r="B2743"/>
  <c r="C2743"/>
  <c r="A2744"/>
  <c r="D2744" s="1"/>
  <c r="B2744"/>
  <c r="C2744"/>
  <c r="A2745"/>
  <c r="D2745" s="1"/>
  <c r="B2745"/>
  <c r="C2745"/>
  <c r="A2746"/>
  <c r="D2746" s="1"/>
  <c r="B2746"/>
  <c r="C2746"/>
  <c r="A2747"/>
  <c r="D2747" s="1"/>
  <c r="B2747"/>
  <c r="C2747"/>
  <c r="A2748"/>
  <c r="D2748" s="1"/>
  <c r="B2748"/>
  <c r="C2748"/>
  <c r="A2749"/>
  <c r="D2749" s="1"/>
  <c r="B2749"/>
  <c r="C2749"/>
  <c r="A2750"/>
  <c r="D2750" s="1"/>
  <c r="B2750"/>
  <c r="C2750"/>
  <c r="A2751"/>
  <c r="D2751" s="1"/>
  <c r="B2751"/>
  <c r="C2751"/>
  <c r="A2752"/>
  <c r="D2752" s="1"/>
  <c r="B2752"/>
  <c r="C2752"/>
  <c r="A2753"/>
  <c r="D2753" s="1"/>
  <c r="B2753"/>
  <c r="C2753"/>
  <c r="A2754"/>
  <c r="D2754" s="1"/>
  <c r="B2754"/>
  <c r="C2754"/>
  <c r="A2755"/>
  <c r="D2755" s="1"/>
  <c r="B2755"/>
  <c r="C2755"/>
  <c r="A2756"/>
  <c r="D2756" s="1"/>
  <c r="B2756"/>
  <c r="C2756"/>
  <c r="A2757"/>
  <c r="D2757" s="1"/>
  <c r="B2757"/>
  <c r="C2757"/>
  <c r="A2758"/>
  <c r="D2758" s="1"/>
  <c r="B2758"/>
  <c r="C2758"/>
  <c r="A2759"/>
  <c r="D2759" s="1"/>
  <c r="B2759"/>
  <c r="C2759"/>
  <c r="A2760"/>
  <c r="D2760" s="1"/>
  <c r="B2760"/>
  <c r="C2760"/>
  <c r="A2761"/>
  <c r="D2761" s="1"/>
  <c r="B2761"/>
  <c r="C2761"/>
  <c r="A2762"/>
  <c r="D2762" s="1"/>
  <c r="B2762"/>
  <c r="C2762"/>
  <c r="A2763"/>
  <c r="D2763" s="1"/>
  <c r="B2763"/>
  <c r="C2763"/>
  <c r="A2764"/>
  <c r="D2764" s="1"/>
  <c r="B2764"/>
  <c r="C2764"/>
  <c r="A2765"/>
  <c r="D2765" s="1"/>
  <c r="B2765"/>
  <c r="C2765"/>
  <c r="A2766"/>
  <c r="D2766" s="1"/>
  <c r="B2766"/>
  <c r="C2766"/>
  <c r="A2767"/>
  <c r="D2767" s="1"/>
  <c r="B2767"/>
  <c r="C2767"/>
  <c r="A2768"/>
  <c r="D2768" s="1"/>
  <c r="B2768"/>
  <c r="C2768"/>
  <c r="A2769"/>
  <c r="D2769" s="1"/>
  <c r="B2769"/>
  <c r="C2769"/>
  <c r="A2770"/>
  <c r="D2770" s="1"/>
  <c r="B2770"/>
  <c r="C2770"/>
  <c r="A2771"/>
  <c r="D2771" s="1"/>
  <c r="B2771"/>
  <c r="C2771"/>
  <c r="A2772"/>
  <c r="D2772" s="1"/>
  <c r="B2772"/>
  <c r="C2772"/>
  <c r="A2773"/>
  <c r="D2773" s="1"/>
  <c r="B2773"/>
  <c r="C2773"/>
  <c r="A2774"/>
  <c r="D2774" s="1"/>
  <c r="B2774"/>
  <c r="C2774"/>
  <c r="A2775"/>
  <c r="D2775" s="1"/>
  <c r="B2775"/>
  <c r="C2775"/>
  <c r="A2776"/>
  <c r="D2776" s="1"/>
  <c r="B2776"/>
  <c r="C2776"/>
  <c r="A2777"/>
  <c r="D2777" s="1"/>
  <c r="B2777"/>
  <c r="C2777"/>
  <c r="A2778"/>
  <c r="D2778" s="1"/>
  <c r="B2778"/>
  <c r="C2778"/>
  <c r="A2779"/>
  <c r="D2779" s="1"/>
  <c r="B2779"/>
  <c r="C2779"/>
  <c r="A2780"/>
  <c r="D2780" s="1"/>
  <c r="B2780"/>
  <c r="C2780"/>
  <c r="A2781"/>
  <c r="D2781" s="1"/>
  <c r="B2781"/>
  <c r="C2781"/>
  <c r="A2782"/>
  <c r="D2782" s="1"/>
  <c r="B2782"/>
  <c r="C2782"/>
  <c r="A2783"/>
  <c r="D2783" s="1"/>
  <c r="B2783"/>
  <c r="C2783"/>
  <c r="A2784"/>
  <c r="D2784" s="1"/>
  <c r="B2784"/>
  <c r="C2784"/>
  <c r="A2785"/>
  <c r="D2785" s="1"/>
  <c r="B2785"/>
  <c r="C2785"/>
  <c r="A2786"/>
  <c r="D2786" s="1"/>
  <c r="B2786"/>
  <c r="C2786"/>
  <c r="A2787"/>
  <c r="D2787" s="1"/>
  <c r="B2787"/>
  <c r="C2787"/>
  <c r="A2788"/>
  <c r="D2788" s="1"/>
  <c r="B2788"/>
  <c r="C2788"/>
  <c r="A2789"/>
  <c r="D2789" s="1"/>
  <c r="B2789"/>
  <c r="C2789"/>
  <c r="A2790"/>
  <c r="D2790" s="1"/>
  <c r="B2790"/>
  <c r="C2790"/>
  <c r="A2791"/>
  <c r="D2791" s="1"/>
  <c r="B2791"/>
  <c r="C2791"/>
  <c r="A2792"/>
  <c r="D2792" s="1"/>
  <c r="B2792"/>
  <c r="C2792"/>
  <c r="A2793"/>
  <c r="D2793" s="1"/>
  <c r="B2793"/>
  <c r="C2793"/>
  <c r="A2794"/>
  <c r="D2794" s="1"/>
  <c r="B2794"/>
  <c r="C2794"/>
  <c r="A2795"/>
  <c r="D2795" s="1"/>
  <c r="B2795"/>
  <c r="C2795"/>
  <c r="A2796"/>
  <c r="D2796" s="1"/>
  <c r="B2796"/>
  <c r="C2796"/>
  <c r="A2797"/>
  <c r="D2797" s="1"/>
  <c r="B2797"/>
  <c r="C2797"/>
  <c r="A2798"/>
  <c r="D2798" s="1"/>
  <c r="B2798"/>
  <c r="C2798"/>
  <c r="A2799"/>
  <c r="D2799" s="1"/>
  <c r="B2799"/>
  <c r="C2799"/>
  <c r="A2800"/>
  <c r="D2800" s="1"/>
  <c r="B2800"/>
  <c r="C2800"/>
  <c r="A2801"/>
  <c r="D2801" s="1"/>
  <c r="B2801"/>
  <c r="C2801"/>
  <c r="A2802"/>
  <c r="D2802" s="1"/>
  <c r="B2802"/>
  <c r="C2802"/>
  <c r="A2803"/>
  <c r="B2803"/>
  <c r="C2803"/>
  <c r="D2803"/>
  <c r="A2804"/>
  <c r="D2804" s="1"/>
  <c r="B2804"/>
  <c r="C2804"/>
  <c r="A2805"/>
  <c r="D2805" s="1"/>
  <c r="B2805"/>
  <c r="C2805"/>
  <c r="A2806"/>
  <c r="D2806" s="1"/>
  <c r="B2806"/>
  <c r="C2806"/>
  <c r="A2807"/>
  <c r="D2807" s="1"/>
  <c r="B2807"/>
  <c r="C2807"/>
  <c r="A2808"/>
  <c r="D2808" s="1"/>
  <c r="B2808"/>
  <c r="C2808"/>
  <c r="A2809"/>
  <c r="D2809" s="1"/>
  <c r="B2809"/>
  <c r="C2809"/>
  <c r="A2810"/>
  <c r="D2810" s="1"/>
  <c r="B2810"/>
  <c r="C2810"/>
  <c r="A2811"/>
  <c r="D2811" s="1"/>
  <c r="B2811"/>
  <c r="C2811"/>
  <c r="A2812"/>
  <c r="D2812" s="1"/>
  <c r="B2812"/>
  <c r="C2812"/>
  <c r="A2813"/>
  <c r="D2813" s="1"/>
  <c r="B2813"/>
  <c r="C2813"/>
  <c r="A2814"/>
  <c r="D2814" s="1"/>
  <c r="B2814"/>
  <c r="C2814"/>
  <c r="A2815"/>
  <c r="D2815" s="1"/>
  <c r="B2815"/>
  <c r="C2815"/>
  <c r="A2816"/>
  <c r="D2816" s="1"/>
  <c r="B2816"/>
  <c r="C2816"/>
  <c r="A2817"/>
  <c r="D2817" s="1"/>
  <c r="B2817"/>
  <c r="C2817"/>
  <c r="A2818"/>
  <c r="D2818" s="1"/>
  <c r="B2818"/>
  <c r="C2818"/>
  <c r="A2819"/>
  <c r="D2819" s="1"/>
  <c r="B2819"/>
  <c r="C2819"/>
  <c r="A2820"/>
  <c r="D2820" s="1"/>
  <c r="B2820"/>
  <c r="C2820"/>
  <c r="A2821"/>
  <c r="D2821" s="1"/>
  <c r="B2821"/>
  <c r="C2821"/>
  <c r="A2822"/>
  <c r="D2822" s="1"/>
  <c r="B2822"/>
  <c r="C2822"/>
  <c r="A2823"/>
  <c r="D2823" s="1"/>
  <c r="B2823"/>
  <c r="C2823"/>
  <c r="A2824"/>
  <c r="D2824" s="1"/>
  <c r="B2824"/>
  <c r="C2824"/>
  <c r="A2825"/>
  <c r="D2825" s="1"/>
  <c r="B2825"/>
  <c r="C2825"/>
  <c r="A2826"/>
  <c r="D2826" s="1"/>
  <c r="B2826"/>
  <c r="C2826"/>
  <c r="A2827"/>
  <c r="D2827" s="1"/>
  <c r="B2827"/>
  <c r="C2827"/>
  <c r="A2828"/>
  <c r="D2828" s="1"/>
  <c r="B2828"/>
  <c r="C2828"/>
  <c r="A2829"/>
  <c r="D2829" s="1"/>
  <c r="B2829"/>
  <c r="C2829"/>
  <c r="A2830"/>
  <c r="D2830" s="1"/>
  <c r="B2830"/>
  <c r="C2830"/>
  <c r="A2831"/>
  <c r="D2831" s="1"/>
  <c r="B2831"/>
  <c r="C2831"/>
  <c r="A2832"/>
  <c r="D2832" s="1"/>
  <c r="B2832"/>
  <c r="C2832"/>
  <c r="A2833"/>
  <c r="D2833" s="1"/>
  <c r="B2833"/>
  <c r="C2833"/>
  <c r="A2834"/>
  <c r="D2834" s="1"/>
  <c r="B2834"/>
  <c r="C2834"/>
  <c r="A2835"/>
  <c r="D2835" s="1"/>
  <c r="B2835"/>
  <c r="C2835"/>
  <c r="A2836"/>
  <c r="D2836" s="1"/>
  <c r="B2836"/>
  <c r="C2836"/>
  <c r="A2837"/>
  <c r="D2837" s="1"/>
  <c r="B2837"/>
  <c r="C2837"/>
  <c r="A2838"/>
  <c r="D2838" s="1"/>
  <c r="B2838"/>
  <c r="C2838"/>
  <c r="A2839"/>
  <c r="D2839" s="1"/>
  <c r="B2839"/>
  <c r="C2839"/>
  <c r="A2840"/>
  <c r="D2840" s="1"/>
  <c r="B2840"/>
  <c r="C2840"/>
  <c r="A2841"/>
  <c r="D2841" s="1"/>
  <c r="B2841"/>
  <c r="C2841"/>
  <c r="A2842"/>
  <c r="D2842" s="1"/>
  <c r="B2842"/>
  <c r="C2842"/>
  <c r="A2843"/>
  <c r="D2843" s="1"/>
  <c r="B2843"/>
  <c r="C2843"/>
  <c r="A2844"/>
  <c r="D2844" s="1"/>
  <c r="B2844"/>
  <c r="C2844"/>
  <c r="A2845"/>
  <c r="D2845" s="1"/>
  <c r="B2845"/>
  <c r="C2845"/>
  <c r="A2846"/>
  <c r="D2846" s="1"/>
  <c r="B2846"/>
  <c r="C2846"/>
  <c r="A2847"/>
  <c r="D2847" s="1"/>
  <c r="B2847"/>
  <c r="C2847"/>
  <c r="A2848"/>
  <c r="D2848" s="1"/>
  <c r="B2848"/>
  <c r="C2848"/>
  <c r="A2849"/>
  <c r="D2849" s="1"/>
  <c r="B2849"/>
  <c r="C2849"/>
  <c r="A2850"/>
  <c r="D2850" s="1"/>
  <c r="B2850"/>
  <c r="C2850"/>
  <c r="A2851"/>
  <c r="D2851" s="1"/>
  <c r="B2851"/>
  <c r="C2851"/>
  <c r="A2852"/>
  <c r="D2852" s="1"/>
  <c r="B2852"/>
  <c r="C2852"/>
  <c r="A2853"/>
  <c r="D2853" s="1"/>
  <c r="B2853"/>
  <c r="C2853"/>
  <c r="A2854"/>
  <c r="D2854" s="1"/>
  <c r="B2854"/>
  <c r="C2854"/>
  <c r="A2855"/>
  <c r="D2855" s="1"/>
  <c r="B2855"/>
  <c r="C2855"/>
  <c r="A2856"/>
  <c r="D2856" s="1"/>
  <c r="B2856"/>
  <c r="C2856"/>
  <c r="A2857"/>
  <c r="D2857" s="1"/>
  <c r="B2857"/>
  <c r="C2857"/>
  <c r="A2858"/>
  <c r="D2858" s="1"/>
  <c r="B2858"/>
  <c r="C2858"/>
  <c r="A2859"/>
  <c r="D2859" s="1"/>
  <c r="B2859"/>
  <c r="C2859"/>
  <c r="A2860"/>
  <c r="D2860" s="1"/>
  <c r="B2860"/>
  <c r="C2860"/>
  <c r="A2861"/>
  <c r="D2861" s="1"/>
  <c r="B2861"/>
  <c r="C2861"/>
  <c r="A2862"/>
  <c r="D2862" s="1"/>
  <c r="B2862"/>
  <c r="C2862"/>
  <c r="A2863"/>
  <c r="D2863" s="1"/>
  <c r="B2863"/>
  <c r="C2863"/>
  <c r="A2864"/>
  <c r="D2864" s="1"/>
  <c r="B2864"/>
  <c r="C2864"/>
  <c r="A2865"/>
  <c r="D2865" s="1"/>
  <c r="B2865"/>
  <c r="C2865"/>
  <c r="A2866"/>
  <c r="D2866" s="1"/>
  <c r="B2866"/>
  <c r="C2866"/>
  <c r="A2867"/>
  <c r="B2867"/>
  <c r="C2867"/>
  <c r="D2867"/>
  <c r="A2868"/>
  <c r="D2868" s="1"/>
  <c r="B2868"/>
  <c r="C2868"/>
  <c r="A2869"/>
  <c r="D2869" s="1"/>
  <c r="B2869"/>
  <c r="C2869"/>
  <c r="A2870"/>
  <c r="D2870" s="1"/>
  <c r="B2870"/>
  <c r="C2870"/>
  <c r="A2871"/>
  <c r="D2871" s="1"/>
  <c r="B2871"/>
  <c r="C2871"/>
  <c r="A2872"/>
  <c r="D2872" s="1"/>
  <c r="B2872"/>
  <c r="C2872"/>
  <c r="A2873"/>
  <c r="D2873" s="1"/>
  <c r="B2873"/>
  <c r="C2873"/>
  <c r="A2874"/>
  <c r="D2874" s="1"/>
  <c r="B2874"/>
  <c r="C2874"/>
  <c r="A2875"/>
  <c r="D2875" s="1"/>
  <c r="B2875"/>
  <c r="C2875"/>
  <c r="A2876"/>
  <c r="D2876" s="1"/>
  <c r="B2876"/>
  <c r="C2876"/>
  <c r="A2877"/>
  <c r="D2877" s="1"/>
  <c r="B2877"/>
  <c r="C2877"/>
  <c r="A2878"/>
  <c r="D2878" s="1"/>
  <c r="B2878"/>
  <c r="C2878"/>
  <c r="A2879"/>
  <c r="D2879" s="1"/>
  <c r="B2879"/>
  <c r="C2879"/>
  <c r="A2880"/>
  <c r="D2880" s="1"/>
  <c r="B2880"/>
  <c r="C2880"/>
  <c r="A2881"/>
  <c r="D2881" s="1"/>
  <c r="B2881"/>
  <c r="C2881"/>
  <c r="A2882"/>
  <c r="D2882" s="1"/>
  <c r="B2882"/>
  <c r="C2882"/>
  <c r="A2883"/>
  <c r="D2883" s="1"/>
  <c r="B2883"/>
  <c r="C2883"/>
  <c r="A2884"/>
  <c r="D2884" s="1"/>
  <c r="B2884"/>
  <c r="C2884"/>
  <c r="A2885"/>
  <c r="D2885" s="1"/>
  <c r="B2885"/>
  <c r="C2885"/>
  <c r="A2886"/>
  <c r="D2886" s="1"/>
  <c r="B2886"/>
  <c r="C2886"/>
  <c r="A2887"/>
  <c r="D2887" s="1"/>
  <c r="B2887"/>
  <c r="C2887"/>
  <c r="A2888"/>
  <c r="D2888" s="1"/>
  <c r="B2888"/>
  <c r="C2888"/>
  <c r="A2889"/>
  <c r="D2889" s="1"/>
  <c r="B2889"/>
  <c r="C2889"/>
  <c r="A2890"/>
  <c r="D2890" s="1"/>
  <c r="B2890"/>
  <c r="C2890"/>
  <c r="A2891"/>
  <c r="D2891" s="1"/>
  <c r="B2891"/>
  <c r="C2891"/>
  <c r="A2892"/>
  <c r="D2892" s="1"/>
  <c r="B2892"/>
  <c r="C2892"/>
  <c r="A2893"/>
  <c r="D2893" s="1"/>
  <c r="B2893"/>
  <c r="C2893"/>
  <c r="A2894"/>
  <c r="D2894" s="1"/>
  <c r="B2894"/>
  <c r="C2894"/>
  <c r="A2895"/>
  <c r="D2895" s="1"/>
  <c r="B2895"/>
  <c r="C2895"/>
  <c r="A2896"/>
  <c r="D2896" s="1"/>
  <c r="B2896"/>
  <c r="C2896"/>
  <c r="A2897"/>
  <c r="D2897" s="1"/>
  <c r="B2897"/>
  <c r="C2897"/>
  <c r="A2898"/>
  <c r="D2898" s="1"/>
  <c r="B2898"/>
  <c r="C2898"/>
  <c r="A2899"/>
  <c r="D2899" s="1"/>
  <c r="B2899"/>
  <c r="C2899"/>
  <c r="A2900"/>
  <c r="D2900" s="1"/>
  <c r="B2900"/>
  <c r="C2900"/>
  <c r="A2901"/>
  <c r="D2901" s="1"/>
  <c r="B2901"/>
  <c r="C2901"/>
  <c r="A2902"/>
  <c r="D2902" s="1"/>
  <c r="B2902"/>
  <c r="C2902"/>
  <c r="A2903"/>
  <c r="D2903" s="1"/>
  <c r="B2903"/>
  <c r="C2903"/>
  <c r="A2904"/>
  <c r="D2904" s="1"/>
  <c r="B2904"/>
  <c r="C2904"/>
  <c r="A2905"/>
  <c r="D2905" s="1"/>
  <c r="B2905"/>
  <c r="C2905"/>
  <c r="A2906"/>
  <c r="D2906" s="1"/>
  <c r="B2906"/>
  <c r="C2906"/>
  <c r="A2907"/>
  <c r="D2907" s="1"/>
  <c r="B2907"/>
  <c r="C2907"/>
  <c r="A2908"/>
  <c r="D2908" s="1"/>
  <c r="B2908"/>
  <c r="C2908"/>
  <c r="A2909"/>
  <c r="D2909" s="1"/>
  <c r="B2909"/>
  <c r="C2909"/>
  <c r="A2910"/>
  <c r="D2910" s="1"/>
  <c r="B2910"/>
  <c r="C2910"/>
  <c r="A2911"/>
  <c r="D2911" s="1"/>
  <c r="B2911"/>
  <c r="C2911"/>
  <c r="A2912"/>
  <c r="D2912" s="1"/>
  <c r="B2912"/>
  <c r="C2912"/>
  <c r="A2913"/>
  <c r="D2913" s="1"/>
  <c r="B2913"/>
  <c r="C2913"/>
  <c r="A2914"/>
  <c r="D2914" s="1"/>
  <c r="B2914"/>
  <c r="C2914"/>
  <c r="A2915"/>
  <c r="D2915" s="1"/>
  <c r="B2915"/>
  <c r="C2915"/>
  <c r="A2916"/>
  <c r="D2916" s="1"/>
  <c r="B2916"/>
  <c r="C2916"/>
  <c r="A2917"/>
  <c r="D2917" s="1"/>
  <c r="B2917"/>
  <c r="C2917"/>
  <c r="A2918"/>
  <c r="D2918" s="1"/>
  <c r="B2918"/>
  <c r="C2918"/>
  <c r="A2919"/>
  <c r="D2919" s="1"/>
  <c r="B2919"/>
  <c r="C2919"/>
  <c r="A2920"/>
  <c r="D2920" s="1"/>
  <c r="B2920"/>
  <c r="C2920"/>
  <c r="A2921"/>
  <c r="D2921" s="1"/>
  <c r="B2921"/>
  <c r="C2921"/>
  <c r="A2922"/>
  <c r="D2922" s="1"/>
  <c r="B2922"/>
  <c r="C2922"/>
  <c r="A2923"/>
  <c r="D2923" s="1"/>
  <c r="B2923"/>
  <c r="C2923"/>
  <c r="A2924"/>
  <c r="D2924" s="1"/>
  <c r="B2924"/>
  <c r="C2924"/>
  <c r="A2925"/>
  <c r="D2925" s="1"/>
  <c r="B2925"/>
  <c r="C2925"/>
  <c r="A2926"/>
  <c r="D2926" s="1"/>
  <c r="B2926"/>
  <c r="C2926"/>
  <c r="A2927"/>
  <c r="D2927" s="1"/>
  <c r="B2927"/>
  <c r="C2927"/>
  <c r="A2928"/>
  <c r="D2928" s="1"/>
  <c r="B2928"/>
  <c r="C2928"/>
  <c r="A2929"/>
  <c r="D2929" s="1"/>
  <c r="B2929"/>
  <c r="C2929"/>
  <c r="A2930"/>
  <c r="D2930" s="1"/>
  <c r="B2930"/>
  <c r="C2930"/>
  <c r="A2931"/>
  <c r="B2931"/>
  <c r="C2931"/>
  <c r="D2931"/>
  <c r="A2932"/>
  <c r="D2932" s="1"/>
  <c r="B2932"/>
  <c r="C2932"/>
  <c r="A2933"/>
  <c r="D2933" s="1"/>
  <c r="B2933"/>
  <c r="C2933"/>
  <c r="A2934"/>
  <c r="D2934" s="1"/>
  <c r="B2934"/>
  <c r="C2934"/>
  <c r="A2935"/>
  <c r="D2935" s="1"/>
  <c r="B2935"/>
  <c r="C2935"/>
  <c r="A2936"/>
  <c r="D2936" s="1"/>
  <c r="B2936"/>
  <c r="C2936"/>
  <c r="A2937"/>
  <c r="D2937" s="1"/>
  <c r="B2937"/>
  <c r="C2937"/>
  <c r="A2938"/>
  <c r="D2938" s="1"/>
  <c r="B2938"/>
  <c r="C2938"/>
  <c r="A2939"/>
  <c r="D2939" s="1"/>
  <c r="B2939"/>
  <c r="C2939"/>
  <c r="A2940"/>
  <c r="D2940" s="1"/>
  <c r="B2940"/>
  <c r="C2940"/>
  <c r="A2941"/>
  <c r="D2941" s="1"/>
  <c r="B2941"/>
  <c r="C2941"/>
  <c r="A2942"/>
  <c r="D2942" s="1"/>
  <c r="B2942"/>
  <c r="C2942"/>
  <c r="A2943"/>
  <c r="D2943" s="1"/>
  <c r="B2943"/>
  <c r="C2943"/>
  <c r="A2944"/>
  <c r="D2944" s="1"/>
  <c r="B2944"/>
  <c r="C2944"/>
  <c r="A2945"/>
  <c r="D2945" s="1"/>
  <c r="B2945"/>
  <c r="C2945"/>
  <c r="A2946"/>
  <c r="D2946" s="1"/>
  <c r="B2946"/>
  <c r="C2946"/>
  <c r="A2947"/>
  <c r="D2947" s="1"/>
  <c r="B2947"/>
  <c r="C2947"/>
  <c r="A2948"/>
  <c r="D2948" s="1"/>
  <c r="B2948"/>
  <c r="C2948"/>
  <c r="A2949"/>
  <c r="D2949" s="1"/>
  <c r="B2949"/>
  <c r="C2949"/>
  <c r="A2950"/>
  <c r="D2950" s="1"/>
  <c r="B2950"/>
  <c r="C2950"/>
  <c r="A2951"/>
  <c r="D2951" s="1"/>
  <c r="B2951"/>
  <c r="C2951"/>
  <c r="A2952"/>
  <c r="D2952" s="1"/>
  <c r="B2952"/>
  <c r="C2952"/>
  <c r="A2953"/>
  <c r="D2953" s="1"/>
  <c r="B2953"/>
  <c r="C2953"/>
  <c r="A2954"/>
  <c r="D2954" s="1"/>
  <c r="B2954"/>
  <c r="C2954"/>
  <c r="A2955"/>
  <c r="D2955" s="1"/>
  <c r="B2955"/>
  <c r="C2955"/>
  <c r="A2956"/>
  <c r="D2956" s="1"/>
  <c r="B2956"/>
  <c r="C2956"/>
  <c r="A2957"/>
  <c r="D2957" s="1"/>
  <c r="B2957"/>
  <c r="C2957"/>
  <c r="A2958"/>
  <c r="D2958" s="1"/>
  <c r="B2958"/>
  <c r="C2958"/>
  <c r="A2959"/>
  <c r="D2959" s="1"/>
  <c r="B2959"/>
  <c r="C2959"/>
  <c r="A2960"/>
  <c r="D2960" s="1"/>
  <c r="B2960"/>
  <c r="C2960"/>
  <c r="A2961"/>
  <c r="D2961" s="1"/>
  <c r="B2961"/>
  <c r="C2961"/>
  <c r="A2962"/>
  <c r="D2962" s="1"/>
  <c r="B2962"/>
  <c r="C2962"/>
  <c r="A2963"/>
  <c r="D2963" s="1"/>
  <c r="B2963"/>
  <c r="C2963"/>
  <c r="A2964"/>
  <c r="D2964" s="1"/>
  <c r="B2964"/>
  <c r="C2964"/>
  <c r="A2965"/>
  <c r="D2965" s="1"/>
  <c r="B2965"/>
  <c r="C2965"/>
  <c r="A2966"/>
  <c r="D2966" s="1"/>
  <c r="B2966"/>
  <c r="C2966"/>
  <c r="A2967"/>
  <c r="D2967" s="1"/>
  <c r="B2967"/>
  <c r="C2967"/>
  <c r="A2968"/>
  <c r="D2968" s="1"/>
  <c r="B2968"/>
  <c r="C2968"/>
  <c r="A2969"/>
  <c r="D2969" s="1"/>
  <c r="B2969"/>
  <c r="C2969"/>
  <c r="A2970"/>
  <c r="D2970" s="1"/>
  <c r="B2970"/>
  <c r="C2970"/>
  <c r="A2971"/>
  <c r="D2971" s="1"/>
  <c r="B2971"/>
  <c r="C2971"/>
  <c r="A2972"/>
  <c r="D2972" s="1"/>
  <c r="B2972"/>
  <c r="C2972"/>
  <c r="A2973"/>
  <c r="D2973" s="1"/>
  <c r="B2973"/>
  <c r="C2973"/>
  <c r="A2974"/>
  <c r="D2974" s="1"/>
  <c r="B2974"/>
  <c r="C2974"/>
  <c r="A2975"/>
  <c r="D2975" s="1"/>
  <c r="B2975"/>
  <c r="C2975"/>
  <c r="A2976"/>
  <c r="D2976" s="1"/>
  <c r="B2976"/>
  <c r="C2976"/>
  <c r="A2977"/>
  <c r="D2977" s="1"/>
  <c r="B2977"/>
  <c r="C2977"/>
  <c r="A2978"/>
  <c r="D2978" s="1"/>
  <c r="B2978"/>
  <c r="C2978"/>
  <c r="A2979"/>
  <c r="D2979" s="1"/>
  <c r="B2979"/>
  <c r="C2979"/>
  <c r="A2980"/>
  <c r="D2980" s="1"/>
  <c r="B2980"/>
  <c r="C2980"/>
  <c r="A2981"/>
  <c r="D2981" s="1"/>
  <c r="B2981"/>
  <c r="C2981"/>
  <c r="A2982"/>
  <c r="D2982" s="1"/>
  <c r="B2982"/>
  <c r="C2982"/>
  <c r="A2983"/>
  <c r="D2983" s="1"/>
  <c r="B2983"/>
  <c r="C2983"/>
  <c r="A2984"/>
  <c r="D2984" s="1"/>
  <c r="B2984"/>
  <c r="C2984"/>
  <c r="A2985"/>
  <c r="D2985" s="1"/>
  <c r="B2985"/>
  <c r="C2985"/>
  <c r="A2986"/>
  <c r="D2986" s="1"/>
  <c r="B2986"/>
  <c r="C2986"/>
  <c r="A2987"/>
  <c r="D2987" s="1"/>
  <c r="B2987"/>
  <c r="C2987"/>
  <c r="A2988"/>
  <c r="D2988" s="1"/>
  <c r="B2988"/>
  <c r="C2988"/>
  <c r="A2989"/>
  <c r="D2989" s="1"/>
  <c r="B2989"/>
  <c r="C2989"/>
  <c r="A2990"/>
  <c r="D2990" s="1"/>
  <c r="B2990"/>
  <c r="C2990"/>
  <c r="A2991"/>
  <c r="D2991" s="1"/>
  <c r="B2991"/>
  <c r="C2991"/>
  <c r="A2992"/>
  <c r="D2992" s="1"/>
  <c r="B2992"/>
  <c r="C2992"/>
  <c r="A2993"/>
  <c r="D2993" s="1"/>
  <c r="B2993"/>
  <c r="C2993"/>
  <c r="A2994"/>
  <c r="D2994" s="1"/>
  <c r="B2994"/>
  <c r="C2994"/>
  <c r="A2995"/>
  <c r="B2995"/>
  <c r="C2995"/>
  <c r="D2995"/>
  <c r="A2996"/>
  <c r="D2996" s="1"/>
  <c r="B2996"/>
  <c r="C2996"/>
  <c r="A2997"/>
  <c r="D2997" s="1"/>
  <c r="B2997"/>
  <c r="C2997"/>
  <c r="A2998"/>
  <c r="D2998" s="1"/>
  <c r="B2998"/>
  <c r="C2998"/>
  <c r="A2999"/>
  <c r="D2999" s="1"/>
  <c r="B2999"/>
  <c r="C2999"/>
  <c r="A3000"/>
  <c r="D3000" s="1"/>
  <c r="B3000"/>
  <c r="C3000"/>
  <c r="A3001"/>
  <c r="D3001" s="1"/>
  <c r="B3001"/>
  <c r="C3001"/>
  <c r="A3002"/>
  <c r="D3002" s="1"/>
  <c r="B3002"/>
  <c r="C3002"/>
  <c r="A3003"/>
  <c r="D3003" s="1"/>
  <c r="B3003"/>
  <c r="C3003"/>
  <c r="A3004"/>
  <c r="D3004" s="1"/>
  <c r="B3004"/>
  <c r="C3004"/>
  <c r="A3005"/>
  <c r="D3005" s="1"/>
  <c r="B3005"/>
  <c r="C3005"/>
  <c r="A3006"/>
  <c r="D3006" s="1"/>
  <c r="B3006"/>
  <c r="C3006"/>
  <c r="A3007"/>
  <c r="D3007" s="1"/>
  <c r="B3007"/>
  <c r="C3007"/>
  <c r="A3008"/>
  <c r="D3008" s="1"/>
  <c r="B3008"/>
  <c r="C3008"/>
  <c r="A3009"/>
  <c r="D3009" s="1"/>
  <c r="B3009"/>
  <c r="C3009"/>
  <c r="A3010"/>
  <c r="D3010" s="1"/>
  <c r="B3010"/>
  <c r="C3010"/>
  <c r="A3011"/>
  <c r="D3011" s="1"/>
  <c r="B3011"/>
  <c r="C3011"/>
  <c r="A3012"/>
  <c r="D3012" s="1"/>
  <c r="B3012"/>
  <c r="C3012"/>
  <c r="A3013"/>
  <c r="D3013" s="1"/>
  <c r="B3013"/>
  <c r="C3013"/>
  <c r="A3014"/>
  <c r="D3014" s="1"/>
  <c r="B3014"/>
  <c r="C3014"/>
  <c r="A3015"/>
  <c r="D3015" s="1"/>
  <c r="B3015"/>
  <c r="C3015"/>
  <c r="A3016"/>
  <c r="D3016" s="1"/>
  <c r="B3016"/>
  <c r="C3016"/>
  <c r="A3017"/>
  <c r="D3017" s="1"/>
  <c r="B3017"/>
  <c r="C3017"/>
  <c r="A3018"/>
  <c r="D3018" s="1"/>
  <c r="B3018"/>
  <c r="C3018"/>
  <c r="A3019"/>
  <c r="D3019" s="1"/>
  <c r="B3019"/>
  <c r="C3019"/>
  <c r="A3020"/>
  <c r="D3020" s="1"/>
  <c r="B3020"/>
  <c r="C3020"/>
  <c r="A3021"/>
  <c r="D3021" s="1"/>
  <c r="B3021"/>
  <c r="C3021"/>
  <c r="A3022"/>
  <c r="D3022" s="1"/>
  <c r="B3022"/>
  <c r="C3022"/>
  <c r="A3023"/>
  <c r="D3023" s="1"/>
  <c r="B3023"/>
  <c r="C3023"/>
  <c r="A3024"/>
  <c r="D3024" s="1"/>
  <c r="B3024"/>
  <c r="C3024"/>
  <c r="A3025"/>
  <c r="D3025" s="1"/>
  <c r="B3025"/>
  <c r="C3025"/>
  <c r="A3026"/>
  <c r="D3026" s="1"/>
  <c r="B3026"/>
  <c r="C3026"/>
  <c r="A3027"/>
  <c r="D3027" s="1"/>
  <c r="B3027"/>
  <c r="C3027"/>
  <c r="A3028"/>
  <c r="D3028" s="1"/>
  <c r="B3028"/>
  <c r="C3028"/>
  <c r="A3029"/>
  <c r="D3029" s="1"/>
  <c r="B3029"/>
  <c r="C3029"/>
  <c r="A3030"/>
  <c r="D3030" s="1"/>
  <c r="B3030"/>
  <c r="C3030"/>
  <c r="A3031"/>
  <c r="D3031" s="1"/>
  <c r="B3031"/>
  <c r="C3031"/>
  <c r="A3032"/>
  <c r="D3032" s="1"/>
  <c r="B3032"/>
  <c r="C3032"/>
  <c r="A3033"/>
  <c r="D3033" s="1"/>
  <c r="B3033"/>
  <c r="C3033"/>
  <c r="A3034"/>
  <c r="D3034" s="1"/>
  <c r="B3034"/>
  <c r="C3034"/>
  <c r="A3035"/>
  <c r="D3035" s="1"/>
  <c r="B3035"/>
  <c r="C3035"/>
  <c r="A3036"/>
  <c r="D3036" s="1"/>
  <c r="B3036"/>
  <c r="C3036"/>
  <c r="A3037"/>
  <c r="D3037" s="1"/>
  <c r="B3037"/>
  <c r="C3037"/>
  <c r="A3038"/>
  <c r="D3038" s="1"/>
  <c r="B3038"/>
  <c r="C3038"/>
  <c r="A3039"/>
  <c r="D3039" s="1"/>
  <c r="B3039"/>
  <c r="C3039"/>
  <c r="A3040"/>
  <c r="D3040" s="1"/>
  <c r="B3040"/>
  <c r="C3040"/>
  <c r="A3041"/>
  <c r="D3041" s="1"/>
  <c r="B3041"/>
  <c r="C3041"/>
  <c r="A3042"/>
  <c r="D3042" s="1"/>
  <c r="B3042"/>
  <c r="C3042"/>
  <c r="A3043"/>
  <c r="D3043" s="1"/>
  <c r="B3043"/>
  <c r="C3043"/>
  <c r="A3044"/>
  <c r="D3044" s="1"/>
  <c r="B3044"/>
  <c r="C3044"/>
  <c r="A3045"/>
  <c r="D3045" s="1"/>
  <c r="B3045"/>
  <c r="C3045"/>
  <c r="A3046"/>
  <c r="D3046" s="1"/>
  <c r="B3046"/>
  <c r="C3046"/>
  <c r="A3047"/>
  <c r="D3047" s="1"/>
  <c r="B3047"/>
  <c r="C3047"/>
  <c r="A3048"/>
  <c r="D3048" s="1"/>
  <c r="B3048"/>
  <c r="C3048"/>
  <c r="A3049"/>
  <c r="D3049" s="1"/>
  <c r="B3049"/>
  <c r="C3049"/>
  <c r="A3050"/>
  <c r="D3050" s="1"/>
  <c r="B3050"/>
  <c r="C3050"/>
  <c r="A3051"/>
  <c r="D3051" s="1"/>
  <c r="B3051"/>
  <c r="C3051"/>
  <c r="A3052"/>
  <c r="D3052" s="1"/>
  <c r="B3052"/>
  <c r="C3052"/>
  <c r="A3053"/>
  <c r="D3053" s="1"/>
  <c r="B3053"/>
  <c r="C3053"/>
  <c r="A3054"/>
  <c r="D3054" s="1"/>
  <c r="B3054"/>
  <c r="C3054"/>
  <c r="A3055"/>
  <c r="D3055" s="1"/>
  <c r="B3055"/>
  <c r="C3055"/>
  <c r="A3056"/>
  <c r="D3056" s="1"/>
  <c r="B3056"/>
  <c r="C3056"/>
  <c r="A3057"/>
  <c r="D3057" s="1"/>
  <c r="B3057"/>
  <c r="C3057"/>
  <c r="A3058"/>
  <c r="D3058" s="1"/>
  <c r="B3058"/>
  <c r="C3058"/>
  <c r="A3059"/>
  <c r="B3059"/>
  <c r="C3059"/>
  <c r="D3059"/>
  <c r="A3060"/>
  <c r="D3060" s="1"/>
  <c r="B3060"/>
  <c r="C3060"/>
  <c r="A3061"/>
  <c r="D3061" s="1"/>
  <c r="B3061"/>
  <c r="C3061"/>
  <c r="A3062"/>
  <c r="D3062" s="1"/>
  <c r="B3062"/>
  <c r="C3062"/>
  <c r="A3063"/>
  <c r="D3063" s="1"/>
  <c r="B3063"/>
  <c r="C3063"/>
  <c r="A3064"/>
  <c r="D3064" s="1"/>
  <c r="B3064"/>
  <c r="C3064"/>
  <c r="A3065"/>
  <c r="D3065" s="1"/>
  <c r="B3065"/>
  <c r="C3065"/>
  <c r="A3066"/>
  <c r="D3066" s="1"/>
  <c r="B3066"/>
  <c r="C3066"/>
  <c r="A3067"/>
  <c r="D3067" s="1"/>
  <c r="B3067"/>
  <c r="C3067"/>
  <c r="A3068"/>
  <c r="D3068" s="1"/>
  <c r="B3068"/>
  <c r="C3068"/>
  <c r="A3069"/>
  <c r="D3069" s="1"/>
  <c r="B3069"/>
  <c r="C3069"/>
  <c r="A3070"/>
  <c r="D3070" s="1"/>
  <c r="B3070"/>
  <c r="C3070"/>
  <c r="A3071"/>
  <c r="D3071" s="1"/>
  <c r="B3071"/>
  <c r="C3071"/>
  <c r="A3072"/>
  <c r="D3072" s="1"/>
  <c r="B3072"/>
  <c r="C3072"/>
  <c r="A3073"/>
  <c r="D3073" s="1"/>
  <c r="B3073"/>
  <c r="C3073"/>
  <c r="A3074"/>
  <c r="D3074" s="1"/>
  <c r="B3074"/>
  <c r="C3074"/>
  <c r="A3075"/>
  <c r="D3075" s="1"/>
  <c r="B3075"/>
  <c r="C3075"/>
  <c r="A3076"/>
  <c r="D3076" s="1"/>
  <c r="B3076"/>
  <c r="C3076"/>
  <c r="A3077"/>
  <c r="D3077" s="1"/>
  <c r="B3077"/>
  <c r="C3077"/>
  <c r="A3078"/>
  <c r="D3078" s="1"/>
  <c r="B3078"/>
  <c r="C3078"/>
  <c r="A3079"/>
  <c r="D3079" s="1"/>
  <c r="B3079"/>
  <c r="C3079"/>
  <c r="A3080"/>
  <c r="D3080" s="1"/>
  <c r="B3080"/>
  <c r="C3080"/>
  <c r="A3081"/>
  <c r="D3081" s="1"/>
  <c r="B3081"/>
  <c r="C3081"/>
  <c r="A3082"/>
  <c r="D3082" s="1"/>
  <c r="B3082"/>
  <c r="C3082"/>
  <c r="A3083"/>
  <c r="D3083" s="1"/>
  <c r="B3083"/>
  <c r="C3083"/>
  <c r="A3084"/>
  <c r="D3084" s="1"/>
  <c r="B3084"/>
  <c r="C3084"/>
  <c r="A3085"/>
  <c r="D3085" s="1"/>
  <c r="B3085"/>
  <c r="C3085"/>
  <c r="A3086"/>
  <c r="D3086" s="1"/>
  <c r="B3086"/>
  <c r="C3086"/>
  <c r="A3087"/>
  <c r="D3087" s="1"/>
  <c r="B3087"/>
  <c r="C3087"/>
  <c r="A3088"/>
  <c r="D3088" s="1"/>
  <c r="B3088"/>
  <c r="C3088"/>
  <c r="A3089"/>
  <c r="D3089" s="1"/>
  <c r="B3089"/>
  <c r="C3089"/>
  <c r="A3090"/>
  <c r="D3090" s="1"/>
  <c r="B3090"/>
  <c r="C3090"/>
  <c r="A3091"/>
  <c r="D3091" s="1"/>
  <c r="B3091"/>
  <c r="C3091"/>
  <c r="A3092"/>
  <c r="D3092" s="1"/>
  <c r="B3092"/>
  <c r="C3092"/>
  <c r="A3093"/>
  <c r="D3093" s="1"/>
  <c r="B3093"/>
  <c r="C3093"/>
  <c r="A3094"/>
  <c r="D3094" s="1"/>
  <c r="B3094"/>
  <c r="C3094"/>
  <c r="A3095"/>
  <c r="D3095" s="1"/>
  <c r="B3095"/>
  <c r="C3095"/>
  <c r="A3096"/>
  <c r="D3096" s="1"/>
  <c r="B3096"/>
  <c r="C3096"/>
  <c r="A3097"/>
  <c r="D3097" s="1"/>
  <c r="B3097"/>
  <c r="C3097"/>
  <c r="A3098"/>
  <c r="D3098" s="1"/>
  <c r="B3098"/>
  <c r="C3098"/>
  <c r="A3099"/>
  <c r="D3099" s="1"/>
  <c r="B3099"/>
  <c r="C3099"/>
  <c r="A3100"/>
  <c r="D3100" s="1"/>
  <c r="B3100"/>
  <c r="C3100"/>
  <c r="A3101"/>
  <c r="D3101" s="1"/>
  <c r="B3101"/>
  <c r="C3101"/>
  <c r="A3102"/>
  <c r="D3102" s="1"/>
  <c r="B3102"/>
  <c r="C3102"/>
  <c r="A3103"/>
  <c r="D3103" s="1"/>
  <c r="B3103"/>
  <c r="C3103"/>
  <c r="A3104"/>
  <c r="D3104" s="1"/>
  <c r="B3104"/>
  <c r="C3104"/>
  <c r="A3105"/>
  <c r="D3105" s="1"/>
  <c r="B3105"/>
  <c r="C3105"/>
  <c r="A3106"/>
  <c r="D3106" s="1"/>
  <c r="B3106"/>
  <c r="C3106"/>
  <c r="A3107"/>
  <c r="D3107" s="1"/>
  <c r="B3107"/>
  <c r="C3107"/>
  <c r="A3108"/>
  <c r="D3108" s="1"/>
  <c r="B3108"/>
  <c r="C3108"/>
  <c r="A3109"/>
  <c r="D3109" s="1"/>
  <c r="B3109"/>
  <c r="C3109"/>
  <c r="A3110"/>
  <c r="D3110" s="1"/>
  <c r="B3110"/>
  <c r="C3110"/>
  <c r="A3111"/>
  <c r="D3111" s="1"/>
  <c r="B3111"/>
  <c r="C3111"/>
  <c r="A3112"/>
  <c r="D3112" s="1"/>
  <c r="B3112"/>
  <c r="C3112"/>
  <c r="A3113"/>
  <c r="D3113" s="1"/>
  <c r="B3113"/>
  <c r="C3113"/>
  <c r="A3114"/>
  <c r="D3114" s="1"/>
  <c r="B3114"/>
  <c r="C3114"/>
  <c r="A3115"/>
  <c r="D3115" s="1"/>
  <c r="B3115"/>
  <c r="C3115"/>
  <c r="A3116"/>
  <c r="D3116" s="1"/>
  <c r="B3116"/>
  <c r="C3116"/>
  <c r="A3117"/>
  <c r="D3117" s="1"/>
  <c r="B3117"/>
  <c r="C3117"/>
  <c r="A3118"/>
  <c r="D3118" s="1"/>
  <c r="B3118"/>
  <c r="C3118"/>
  <c r="A3119"/>
  <c r="D3119" s="1"/>
  <c r="B3119"/>
  <c r="C3119"/>
  <c r="A3120"/>
  <c r="D3120" s="1"/>
  <c r="B3120"/>
  <c r="C3120"/>
  <c r="A3121"/>
  <c r="D3121" s="1"/>
  <c r="B3121"/>
  <c r="C3121"/>
  <c r="A3122"/>
  <c r="D3122" s="1"/>
  <c r="B3122"/>
  <c r="C3122"/>
  <c r="A3123"/>
  <c r="B3123"/>
  <c r="C3123"/>
  <c r="D3123"/>
  <c r="A3124"/>
  <c r="D3124" s="1"/>
  <c r="B3124"/>
  <c r="C3124"/>
  <c r="A3125"/>
  <c r="D3125" s="1"/>
  <c r="B3125"/>
  <c r="C3125"/>
  <c r="A3126"/>
  <c r="D3126" s="1"/>
  <c r="B3126"/>
  <c r="C3126"/>
  <c r="A3127"/>
  <c r="D3127" s="1"/>
  <c r="B3127"/>
  <c r="C3127"/>
  <c r="A3128"/>
  <c r="D3128" s="1"/>
  <c r="B3128"/>
  <c r="C3128"/>
  <c r="A3129"/>
  <c r="D3129" s="1"/>
  <c r="B3129"/>
  <c r="C3129"/>
  <c r="A3130"/>
  <c r="D3130" s="1"/>
  <c r="B3130"/>
  <c r="C3130"/>
  <c r="A3131"/>
  <c r="D3131" s="1"/>
  <c r="B3131"/>
  <c r="C3131"/>
  <c r="A3132"/>
  <c r="D3132" s="1"/>
  <c r="B3132"/>
  <c r="C3132"/>
  <c r="A3133"/>
  <c r="D3133" s="1"/>
  <c r="B3133"/>
  <c r="C3133"/>
  <c r="A3134"/>
  <c r="D3134" s="1"/>
  <c r="B3134"/>
  <c r="C3134"/>
  <c r="A3135"/>
  <c r="D3135" s="1"/>
  <c r="B3135"/>
  <c r="C3135"/>
  <c r="A3136"/>
  <c r="D3136" s="1"/>
  <c r="B3136"/>
  <c r="C3136"/>
  <c r="A3137"/>
  <c r="D3137" s="1"/>
  <c r="B3137"/>
  <c r="C3137"/>
  <c r="A3138"/>
  <c r="D3138" s="1"/>
  <c r="B3138"/>
  <c r="C3138"/>
  <c r="A3139"/>
  <c r="D3139" s="1"/>
  <c r="B3139"/>
  <c r="C3139"/>
  <c r="A3140"/>
  <c r="D3140" s="1"/>
  <c r="B3140"/>
  <c r="C3140"/>
  <c r="A3141"/>
  <c r="D3141" s="1"/>
  <c r="B3141"/>
  <c r="C3141"/>
  <c r="A3142"/>
  <c r="D3142" s="1"/>
  <c r="B3142"/>
  <c r="C3142"/>
  <c r="A3143"/>
  <c r="D3143" s="1"/>
  <c r="B3143"/>
  <c r="C3143"/>
  <c r="A3144"/>
  <c r="D3144" s="1"/>
  <c r="B3144"/>
  <c r="C3144"/>
  <c r="A3145"/>
  <c r="D3145" s="1"/>
  <c r="B3145"/>
  <c r="C3145"/>
  <c r="A3146"/>
  <c r="D3146" s="1"/>
  <c r="B3146"/>
  <c r="C3146"/>
  <c r="A3147"/>
  <c r="D3147" s="1"/>
  <c r="B3147"/>
  <c r="C3147"/>
  <c r="A3148"/>
  <c r="D3148" s="1"/>
  <c r="B3148"/>
  <c r="C3148"/>
  <c r="A3149"/>
  <c r="D3149" s="1"/>
  <c r="B3149"/>
  <c r="C3149"/>
  <c r="A3150"/>
  <c r="D3150" s="1"/>
  <c r="B3150"/>
  <c r="C3150"/>
  <c r="A3151"/>
  <c r="D3151" s="1"/>
  <c r="B3151"/>
  <c r="C3151"/>
  <c r="A3152"/>
  <c r="D3152" s="1"/>
  <c r="B3152"/>
  <c r="C3152"/>
  <c r="A3153"/>
  <c r="D3153" s="1"/>
  <c r="B3153"/>
  <c r="C3153"/>
  <c r="A3154"/>
  <c r="D3154" s="1"/>
  <c r="B3154"/>
  <c r="C3154"/>
  <c r="A3155"/>
  <c r="D3155" s="1"/>
  <c r="B3155"/>
  <c r="C3155"/>
  <c r="A3156"/>
  <c r="D3156" s="1"/>
  <c r="B3156"/>
  <c r="C3156"/>
  <c r="A3157"/>
  <c r="D3157" s="1"/>
  <c r="B3157"/>
  <c r="C3157"/>
  <c r="A3158"/>
  <c r="D3158" s="1"/>
  <c r="B3158"/>
  <c r="C3158"/>
  <c r="A3159"/>
  <c r="D3159" s="1"/>
  <c r="B3159"/>
  <c r="C3159"/>
  <c r="A3160"/>
  <c r="D3160" s="1"/>
  <c r="B3160"/>
  <c r="C3160"/>
  <c r="A3161"/>
  <c r="D3161" s="1"/>
  <c r="B3161"/>
  <c r="C3161"/>
  <c r="A3162"/>
  <c r="D3162" s="1"/>
  <c r="B3162"/>
  <c r="C3162"/>
  <c r="A3163"/>
  <c r="D3163" s="1"/>
  <c r="B3163"/>
  <c r="C3163"/>
  <c r="A3164"/>
  <c r="D3164" s="1"/>
  <c r="B3164"/>
  <c r="C3164"/>
  <c r="A3165"/>
  <c r="D3165" s="1"/>
  <c r="B3165"/>
  <c r="C3165"/>
  <c r="A3166"/>
  <c r="D3166" s="1"/>
  <c r="B3166"/>
  <c r="C3166"/>
  <c r="A3167"/>
  <c r="D3167" s="1"/>
  <c r="B3167"/>
  <c r="C3167"/>
  <c r="A3168"/>
  <c r="D3168" s="1"/>
  <c r="B3168"/>
  <c r="C3168"/>
  <c r="A3169"/>
  <c r="D3169" s="1"/>
  <c r="B3169"/>
  <c r="C3169"/>
  <c r="A3170"/>
  <c r="D3170" s="1"/>
  <c r="B3170"/>
  <c r="C3170"/>
  <c r="A3171"/>
  <c r="D3171" s="1"/>
  <c r="B3171"/>
  <c r="C3171"/>
  <c r="A3172"/>
  <c r="D3172" s="1"/>
  <c r="B3172"/>
  <c r="C3172"/>
  <c r="A3173"/>
  <c r="D3173" s="1"/>
  <c r="B3173"/>
  <c r="C3173"/>
  <c r="A3174"/>
  <c r="D3174" s="1"/>
  <c r="B3174"/>
  <c r="C3174"/>
  <c r="A3175"/>
  <c r="D3175" s="1"/>
  <c r="B3175"/>
  <c r="C3175"/>
  <c r="A3176"/>
  <c r="D3176" s="1"/>
  <c r="B3176"/>
  <c r="C3176"/>
  <c r="A3177"/>
  <c r="D3177" s="1"/>
  <c r="B3177"/>
  <c r="C3177"/>
  <c r="A3178"/>
  <c r="D3178" s="1"/>
  <c r="B3178"/>
  <c r="C3178"/>
  <c r="A3179"/>
  <c r="D3179" s="1"/>
  <c r="B3179"/>
  <c r="C3179"/>
  <c r="A3180"/>
  <c r="D3180" s="1"/>
  <c r="B3180"/>
  <c r="C3180"/>
  <c r="A3181"/>
  <c r="D3181" s="1"/>
  <c r="B3181"/>
  <c r="C3181"/>
  <c r="A3182"/>
  <c r="D3182" s="1"/>
  <c r="B3182"/>
  <c r="C3182"/>
  <c r="A3183"/>
  <c r="D3183" s="1"/>
  <c r="B3183"/>
  <c r="C3183"/>
  <c r="A3184"/>
  <c r="D3184" s="1"/>
  <c r="B3184"/>
  <c r="C3184"/>
  <c r="A3185"/>
  <c r="D3185" s="1"/>
  <c r="B3185"/>
  <c r="C3185"/>
  <c r="A3186"/>
  <c r="D3186" s="1"/>
  <c r="B3186"/>
  <c r="C3186"/>
  <c r="A3187"/>
  <c r="B3187"/>
  <c r="C3187"/>
  <c r="D3187"/>
  <c r="A3188"/>
  <c r="D3188" s="1"/>
  <c r="B3188"/>
  <c r="C3188"/>
  <c r="A3189"/>
  <c r="D3189" s="1"/>
  <c r="B3189"/>
  <c r="C3189"/>
  <c r="A3190"/>
  <c r="D3190" s="1"/>
  <c r="B3190"/>
  <c r="C3190"/>
  <c r="A3191"/>
  <c r="D3191" s="1"/>
  <c r="B3191"/>
  <c r="C3191"/>
  <c r="A3192"/>
  <c r="D3192" s="1"/>
  <c r="B3192"/>
  <c r="C3192"/>
  <c r="A3193"/>
  <c r="D3193" s="1"/>
  <c r="B3193"/>
  <c r="C3193"/>
  <c r="A3194"/>
  <c r="D3194" s="1"/>
  <c r="B3194"/>
  <c r="C3194"/>
  <c r="A3195"/>
  <c r="D3195" s="1"/>
  <c r="B3195"/>
  <c r="C3195"/>
  <c r="A3196"/>
  <c r="D3196" s="1"/>
  <c r="B3196"/>
  <c r="C3196"/>
  <c r="A3197"/>
  <c r="D3197" s="1"/>
  <c r="B3197"/>
  <c r="C3197"/>
  <c r="A3198"/>
  <c r="D3198" s="1"/>
  <c r="B3198"/>
  <c r="C3198"/>
  <c r="A3199"/>
  <c r="D3199" s="1"/>
  <c r="B3199"/>
  <c r="C3199"/>
  <c r="A3200"/>
  <c r="D3200" s="1"/>
  <c r="B3200"/>
  <c r="C3200"/>
  <c r="A3201"/>
  <c r="D3201" s="1"/>
  <c r="B3201"/>
  <c r="C3201"/>
  <c r="A3202"/>
  <c r="D3202" s="1"/>
  <c r="F3202" s="1"/>
  <c r="B3202"/>
  <c r="C3202"/>
  <c r="A3203"/>
  <c r="D3203" s="1"/>
  <c r="B3203"/>
  <c r="C3203"/>
  <c r="A3204"/>
  <c r="D3204" s="1"/>
  <c r="F3204" s="1"/>
  <c r="B3204"/>
  <c r="C3204"/>
  <c r="A3205"/>
  <c r="D3205" s="1"/>
  <c r="E3205" s="1"/>
  <c r="G3205" s="1"/>
  <c r="B3205"/>
  <c r="C3205"/>
  <c r="A3206"/>
  <c r="D3206" s="1"/>
  <c r="F3206" s="1"/>
  <c r="B3206"/>
  <c r="C3206"/>
  <c r="A3207"/>
  <c r="D3207" s="1"/>
  <c r="B3207"/>
  <c r="C3207"/>
  <c r="A3208"/>
  <c r="D3208" s="1"/>
  <c r="F3208" s="1"/>
  <c r="B3208"/>
  <c r="C3208"/>
  <c r="A3209"/>
  <c r="D3209" s="1"/>
  <c r="E3209" s="1"/>
  <c r="G3209" s="1"/>
  <c r="B3209"/>
  <c r="C3209"/>
  <c r="A3210"/>
  <c r="D3210" s="1"/>
  <c r="F3210" s="1"/>
  <c r="B3210"/>
  <c r="C3210"/>
  <c r="A3211"/>
  <c r="D3211" s="1"/>
  <c r="B3211"/>
  <c r="C3211"/>
  <c r="A3212"/>
  <c r="D3212" s="1"/>
  <c r="F3212" s="1"/>
  <c r="B3212"/>
  <c r="C3212"/>
  <c r="A3213"/>
  <c r="D3213" s="1"/>
  <c r="E3213" s="1"/>
  <c r="G3213" s="1"/>
  <c r="B3213"/>
  <c r="C3213"/>
  <c r="A3214"/>
  <c r="D3214" s="1"/>
  <c r="F3214" s="1"/>
  <c r="B3214"/>
  <c r="C3214"/>
  <c r="A3215"/>
  <c r="D3215" s="1"/>
  <c r="B3215"/>
  <c r="C3215"/>
  <c r="A3216"/>
  <c r="D3216" s="1"/>
  <c r="F3216" s="1"/>
  <c r="B3216"/>
  <c r="C3216"/>
  <c r="A3217"/>
  <c r="D3217" s="1"/>
  <c r="E3217" s="1"/>
  <c r="G3217" s="1"/>
  <c r="B3217"/>
  <c r="C3217"/>
  <c r="A3218"/>
  <c r="D3218" s="1"/>
  <c r="F3218" s="1"/>
  <c r="B3218"/>
  <c r="C3218"/>
  <c r="A3219"/>
  <c r="D3219" s="1"/>
  <c r="B3219"/>
  <c r="C3219"/>
  <c r="A3220"/>
  <c r="D3220" s="1"/>
  <c r="F3220" s="1"/>
  <c r="B3220"/>
  <c r="C3220"/>
  <c r="A3221"/>
  <c r="D3221" s="1"/>
  <c r="E3221" s="1"/>
  <c r="G3221" s="1"/>
  <c r="B3221"/>
  <c r="C3221"/>
  <c r="A3222"/>
  <c r="D3222" s="1"/>
  <c r="F3222" s="1"/>
  <c r="B3222"/>
  <c r="C3222"/>
  <c r="A3223"/>
  <c r="D3223" s="1"/>
  <c r="B3223"/>
  <c r="C3223"/>
  <c r="A3224"/>
  <c r="D3224" s="1"/>
  <c r="F3224" s="1"/>
  <c r="B3224"/>
  <c r="C3224"/>
  <c r="A3225"/>
  <c r="D3225" s="1"/>
  <c r="E3225" s="1"/>
  <c r="G3225" s="1"/>
  <c r="B3225"/>
  <c r="C3225"/>
  <c r="A3226"/>
  <c r="D3226" s="1"/>
  <c r="F3226" s="1"/>
  <c r="B3226"/>
  <c r="C3226"/>
  <c r="A3227"/>
  <c r="D3227" s="1"/>
  <c r="B3227"/>
  <c r="C3227"/>
  <c r="A3228"/>
  <c r="D3228" s="1"/>
  <c r="F3228" s="1"/>
  <c r="B3228"/>
  <c r="C3228"/>
  <c r="A3229"/>
  <c r="D3229" s="1"/>
  <c r="E3229" s="1"/>
  <c r="G3229" s="1"/>
  <c r="B3229"/>
  <c r="C3229"/>
  <c r="A3230"/>
  <c r="D3230" s="1"/>
  <c r="F3230" s="1"/>
  <c r="B3230"/>
  <c r="C3230"/>
  <c r="A3231"/>
  <c r="D3231" s="1"/>
  <c r="B3231"/>
  <c r="C3231"/>
  <c r="A3232"/>
  <c r="D3232" s="1"/>
  <c r="F3232" s="1"/>
  <c r="B3232"/>
  <c r="C3232"/>
  <c r="A3233"/>
  <c r="D3233" s="1"/>
  <c r="E3233" s="1"/>
  <c r="G3233" s="1"/>
  <c r="B3233"/>
  <c r="C3233"/>
  <c r="A3234"/>
  <c r="D3234" s="1"/>
  <c r="F3234" s="1"/>
  <c r="B3234"/>
  <c r="C3234"/>
  <c r="A3235"/>
  <c r="D3235" s="1"/>
  <c r="B3235"/>
  <c r="C3235"/>
  <c r="A3236"/>
  <c r="D3236" s="1"/>
  <c r="F3236" s="1"/>
  <c r="B3236"/>
  <c r="C3236"/>
  <c r="A3237"/>
  <c r="D3237" s="1"/>
  <c r="E3237" s="1"/>
  <c r="G3237" s="1"/>
  <c r="B3237"/>
  <c r="C3237"/>
  <c r="A3238"/>
  <c r="D3238" s="1"/>
  <c r="F3238" s="1"/>
  <c r="B3238"/>
  <c r="C3238"/>
  <c r="A3239"/>
  <c r="D3239" s="1"/>
  <c r="B3239"/>
  <c r="C3239"/>
  <c r="A3240"/>
  <c r="D3240" s="1"/>
  <c r="F3240" s="1"/>
  <c r="B3240"/>
  <c r="C3240"/>
  <c r="A3241"/>
  <c r="D3241" s="1"/>
  <c r="E3241" s="1"/>
  <c r="G3241" s="1"/>
  <c r="B3241"/>
  <c r="C3241"/>
  <c r="A3242"/>
  <c r="D3242" s="1"/>
  <c r="F3242" s="1"/>
  <c r="B3242"/>
  <c r="C3242"/>
  <c r="A3243"/>
  <c r="D3243" s="1"/>
  <c r="B3243"/>
  <c r="C3243"/>
  <c r="A3244"/>
  <c r="D3244" s="1"/>
  <c r="F3244" s="1"/>
  <c r="B3244"/>
  <c r="C3244"/>
  <c r="A3245"/>
  <c r="D3245" s="1"/>
  <c r="E3245" s="1"/>
  <c r="G3245" s="1"/>
  <c r="B3245"/>
  <c r="C3245"/>
  <c r="A3246"/>
  <c r="D3246" s="1"/>
  <c r="F3246" s="1"/>
  <c r="B3246"/>
  <c r="C3246"/>
  <c r="A3247"/>
  <c r="D3247" s="1"/>
  <c r="E3247" s="1"/>
  <c r="G3247" s="1"/>
  <c r="B3247"/>
  <c r="C3247"/>
  <c r="A3248"/>
  <c r="D3248" s="1"/>
  <c r="F3248" s="1"/>
  <c r="B3248"/>
  <c r="C3248"/>
  <c r="A3249"/>
  <c r="D3249" s="1"/>
  <c r="E3249" s="1"/>
  <c r="G3249" s="1"/>
  <c r="B3249"/>
  <c r="C3249"/>
  <c r="A3250"/>
  <c r="D3250" s="1"/>
  <c r="F3250" s="1"/>
  <c r="B3250"/>
  <c r="C3250"/>
  <c r="A3251"/>
  <c r="D3251" s="1"/>
  <c r="E3251" s="1"/>
  <c r="G3251" s="1"/>
  <c r="B3251"/>
  <c r="C3251"/>
  <c r="A3252"/>
  <c r="D3252" s="1"/>
  <c r="F3252" s="1"/>
  <c r="B3252"/>
  <c r="C3252"/>
  <c r="A3253"/>
  <c r="D3253" s="1"/>
  <c r="E3253" s="1"/>
  <c r="G3253" s="1"/>
  <c r="B3253"/>
  <c r="C3253"/>
  <c r="A3254"/>
  <c r="D3254" s="1"/>
  <c r="F3254" s="1"/>
  <c r="B3254"/>
  <c r="C3254"/>
  <c r="A3255"/>
  <c r="D3255" s="1"/>
  <c r="E3255" s="1"/>
  <c r="G3255" s="1"/>
  <c r="B3255"/>
  <c r="C3255"/>
  <c r="A3256"/>
  <c r="D3256" s="1"/>
  <c r="F3256" s="1"/>
  <c r="B3256"/>
  <c r="C3256"/>
  <c r="A3257"/>
  <c r="D3257" s="1"/>
  <c r="E3257" s="1"/>
  <c r="G3257" s="1"/>
  <c r="B3257"/>
  <c r="C3257"/>
  <c r="A3258"/>
  <c r="D3258" s="1"/>
  <c r="E3258" s="1"/>
  <c r="G3258" s="1"/>
  <c r="B3258"/>
  <c r="C3258"/>
  <c r="A3259"/>
  <c r="D3259" s="1"/>
  <c r="B3259"/>
  <c r="C3259"/>
  <c r="A3260"/>
  <c r="D3260" s="1"/>
  <c r="E3260" s="1"/>
  <c r="G3260" s="1"/>
  <c r="B3260"/>
  <c r="C3260"/>
  <c r="A3261"/>
  <c r="D3261" s="1"/>
  <c r="B3261"/>
  <c r="C3261"/>
  <c r="A3262"/>
  <c r="D3262" s="1"/>
  <c r="E3262" s="1"/>
  <c r="G3262" s="1"/>
  <c r="B3262"/>
  <c r="C3262"/>
  <c r="A3263"/>
  <c r="D3263" s="1"/>
  <c r="B3263"/>
  <c r="C3263"/>
  <c r="A3264"/>
  <c r="D3264" s="1"/>
  <c r="E3264" s="1"/>
  <c r="G3264" s="1"/>
  <c r="B3264"/>
  <c r="C3264"/>
  <c r="A3265"/>
  <c r="D3265" s="1"/>
  <c r="B3265"/>
  <c r="C3265"/>
  <c r="A3266"/>
  <c r="D3266" s="1"/>
  <c r="E3266" s="1"/>
  <c r="G3266" s="1"/>
  <c r="B3266"/>
  <c r="C3266"/>
  <c r="A3267"/>
  <c r="D3267" s="1"/>
  <c r="B3267"/>
  <c r="C3267"/>
  <c r="A3268"/>
  <c r="D3268" s="1"/>
  <c r="E3268" s="1"/>
  <c r="G3268" s="1"/>
  <c r="B3268"/>
  <c r="C3268"/>
  <c r="A3269"/>
  <c r="D3269" s="1"/>
  <c r="B3269"/>
  <c r="C3269"/>
  <c r="A3270"/>
  <c r="B3270"/>
  <c r="C3270"/>
  <c r="D3270"/>
  <c r="E3270" s="1"/>
  <c r="G3270" s="1"/>
  <c r="A3271"/>
  <c r="D3271" s="1"/>
  <c r="B3271"/>
  <c r="C3271"/>
  <c r="A3272"/>
  <c r="D3272" s="1"/>
  <c r="E3272" s="1"/>
  <c r="G3272" s="1"/>
  <c r="B3272"/>
  <c r="C3272"/>
  <c r="A3273"/>
  <c r="D3273" s="1"/>
  <c r="B3273"/>
  <c r="C3273"/>
  <c r="A3274"/>
  <c r="D3274" s="1"/>
  <c r="E3274" s="1"/>
  <c r="G3274" s="1"/>
  <c r="B3274"/>
  <c r="C3274"/>
  <c r="A3275"/>
  <c r="D3275" s="1"/>
  <c r="B3275"/>
  <c r="C3275"/>
  <c r="A3276"/>
  <c r="D3276" s="1"/>
  <c r="E3276" s="1"/>
  <c r="G3276" s="1"/>
  <c r="B3276"/>
  <c r="C3276"/>
  <c r="A3277"/>
  <c r="D3277" s="1"/>
  <c r="B3277"/>
  <c r="C3277"/>
  <c r="A3278"/>
  <c r="D3278" s="1"/>
  <c r="E3278" s="1"/>
  <c r="G3278" s="1"/>
  <c r="B3278"/>
  <c r="C3278"/>
  <c r="A3279"/>
  <c r="D3279" s="1"/>
  <c r="B3279"/>
  <c r="C3279"/>
  <c r="A3280"/>
  <c r="D3280" s="1"/>
  <c r="E3280" s="1"/>
  <c r="G3280" s="1"/>
  <c r="B3280"/>
  <c r="C3280"/>
  <c r="A3281"/>
  <c r="D3281" s="1"/>
  <c r="B3281"/>
  <c r="C3281"/>
  <c r="A3282"/>
  <c r="D3282" s="1"/>
  <c r="E3282" s="1"/>
  <c r="G3282" s="1"/>
  <c r="B3282"/>
  <c r="C3282"/>
  <c r="A3283"/>
  <c r="D3283" s="1"/>
  <c r="B3283"/>
  <c r="C3283"/>
  <c r="A3284"/>
  <c r="D3284" s="1"/>
  <c r="E3284" s="1"/>
  <c r="G3284" s="1"/>
  <c r="B3284"/>
  <c r="C3284"/>
  <c r="A3285"/>
  <c r="D3285" s="1"/>
  <c r="B3285"/>
  <c r="C3285"/>
  <c r="A3286"/>
  <c r="D3286" s="1"/>
  <c r="E3286" s="1"/>
  <c r="G3286" s="1"/>
  <c r="B3286"/>
  <c r="C3286"/>
  <c r="A3287"/>
  <c r="D3287" s="1"/>
  <c r="B3287"/>
  <c r="C3287"/>
  <c r="A3288"/>
  <c r="D3288" s="1"/>
  <c r="E3288" s="1"/>
  <c r="G3288" s="1"/>
  <c r="B3288"/>
  <c r="C3288"/>
  <c r="A3289"/>
  <c r="D3289" s="1"/>
  <c r="B3289"/>
  <c r="C3289"/>
  <c r="A3290"/>
  <c r="D3290" s="1"/>
  <c r="E3290" s="1"/>
  <c r="G3290" s="1"/>
  <c r="B3290"/>
  <c r="C3290"/>
  <c r="A3291"/>
  <c r="D3291" s="1"/>
  <c r="B3291"/>
  <c r="C3291"/>
  <c r="A3292"/>
  <c r="D3292" s="1"/>
  <c r="E3292" s="1"/>
  <c r="G3292" s="1"/>
  <c r="B3292"/>
  <c r="C3292"/>
  <c r="A3293"/>
  <c r="D3293" s="1"/>
  <c r="B3293"/>
  <c r="C3293"/>
  <c r="A3294"/>
  <c r="D3294" s="1"/>
  <c r="E3294" s="1"/>
  <c r="G3294" s="1"/>
  <c r="B3294"/>
  <c r="C3294"/>
  <c r="A3295"/>
  <c r="D3295" s="1"/>
  <c r="B3295"/>
  <c r="C3295"/>
  <c r="A3296"/>
  <c r="D3296" s="1"/>
  <c r="E3296" s="1"/>
  <c r="G3296" s="1"/>
  <c r="B3296"/>
  <c r="C3296"/>
  <c r="A3297"/>
  <c r="D3297" s="1"/>
  <c r="B3297"/>
  <c r="C3297"/>
  <c r="A3298"/>
  <c r="D3298" s="1"/>
  <c r="E3298" s="1"/>
  <c r="G3298" s="1"/>
  <c r="B3298"/>
  <c r="C3298"/>
  <c r="A3299"/>
  <c r="D3299" s="1"/>
  <c r="B3299"/>
  <c r="C3299"/>
  <c r="A3300"/>
  <c r="D3300" s="1"/>
  <c r="E3300" s="1"/>
  <c r="G3300" s="1"/>
  <c r="B3300"/>
  <c r="C3300"/>
  <c r="A3301"/>
  <c r="D3301" s="1"/>
  <c r="B3301"/>
  <c r="C3301"/>
  <c r="A3302"/>
  <c r="B3302"/>
  <c r="C3302"/>
  <c r="D3302"/>
  <c r="E3302" s="1"/>
  <c r="G3302" s="1"/>
  <c r="A3303"/>
  <c r="D3303" s="1"/>
  <c r="B3303"/>
  <c r="C3303"/>
  <c r="A3304"/>
  <c r="D3304" s="1"/>
  <c r="E3304" s="1"/>
  <c r="G3304" s="1"/>
  <c r="B3304"/>
  <c r="C3304"/>
  <c r="A3305"/>
  <c r="D3305" s="1"/>
  <c r="B3305"/>
  <c r="C3305"/>
  <c r="A3306"/>
  <c r="D3306" s="1"/>
  <c r="E3306" s="1"/>
  <c r="G3306" s="1"/>
  <c r="B3306"/>
  <c r="C3306"/>
  <c r="A3307"/>
  <c r="D3307" s="1"/>
  <c r="B3307"/>
  <c r="C3307"/>
  <c r="A3308"/>
  <c r="D3308" s="1"/>
  <c r="E3308" s="1"/>
  <c r="G3308" s="1"/>
  <c r="B3308"/>
  <c r="C3308"/>
  <c r="A3309"/>
  <c r="D3309" s="1"/>
  <c r="B3309"/>
  <c r="C3309"/>
  <c r="A3310"/>
  <c r="D3310" s="1"/>
  <c r="E3310" s="1"/>
  <c r="G3310" s="1"/>
  <c r="B3310"/>
  <c r="C3310"/>
  <c r="A3311"/>
  <c r="D3311" s="1"/>
  <c r="B3311"/>
  <c r="C3311"/>
  <c r="A3312"/>
  <c r="D3312" s="1"/>
  <c r="E3312" s="1"/>
  <c r="G3312" s="1"/>
  <c r="B3312"/>
  <c r="C3312"/>
  <c r="A3313"/>
  <c r="D3313" s="1"/>
  <c r="B3313"/>
  <c r="C3313"/>
  <c r="A3314"/>
  <c r="D3314" s="1"/>
  <c r="E3314" s="1"/>
  <c r="G3314" s="1"/>
  <c r="B3314"/>
  <c r="C3314"/>
  <c r="A3315"/>
  <c r="D3315" s="1"/>
  <c r="B3315"/>
  <c r="C3315"/>
  <c r="A3316"/>
  <c r="D3316" s="1"/>
  <c r="B3316"/>
  <c r="C3316"/>
  <c r="A3317"/>
  <c r="D3317" s="1"/>
  <c r="B3317"/>
  <c r="C3317"/>
  <c r="A3318"/>
  <c r="D3318" s="1"/>
  <c r="B3318"/>
  <c r="C3318"/>
  <c r="A3319"/>
  <c r="D3319" s="1"/>
  <c r="B3319"/>
  <c r="C3319"/>
  <c r="A3320"/>
  <c r="D3320" s="1"/>
  <c r="B3320"/>
  <c r="C3320"/>
  <c r="A3321"/>
  <c r="D3321" s="1"/>
  <c r="B3321"/>
  <c r="C3321"/>
  <c r="A3322"/>
  <c r="D3322" s="1"/>
  <c r="B3322"/>
  <c r="C3322"/>
  <c r="A3323"/>
  <c r="D3323" s="1"/>
  <c r="B3323"/>
  <c r="C3323"/>
  <c r="A3324"/>
  <c r="D3324" s="1"/>
  <c r="B3324"/>
  <c r="C3324"/>
  <c r="A3325"/>
  <c r="D3325" s="1"/>
  <c r="B3325"/>
  <c r="C3325"/>
  <c r="A3326"/>
  <c r="D3326" s="1"/>
  <c r="B3326"/>
  <c r="C3326"/>
  <c r="A3327"/>
  <c r="D3327" s="1"/>
  <c r="B3327"/>
  <c r="C3327"/>
  <c r="A3328"/>
  <c r="D3328" s="1"/>
  <c r="B3328"/>
  <c r="C3328"/>
  <c r="A3329"/>
  <c r="D3329" s="1"/>
  <c r="B3329"/>
  <c r="C3329"/>
  <c r="A3330"/>
  <c r="D3330" s="1"/>
  <c r="B3330"/>
  <c r="C3330"/>
  <c r="A3331"/>
  <c r="D3331" s="1"/>
  <c r="B3331"/>
  <c r="C3331"/>
  <c r="A3332"/>
  <c r="D3332" s="1"/>
  <c r="B3332"/>
  <c r="C3332"/>
  <c r="A3333"/>
  <c r="D3333" s="1"/>
  <c r="B3333"/>
  <c r="C3333"/>
  <c r="A3334"/>
  <c r="B3334"/>
  <c r="C3334"/>
  <c r="D3334"/>
  <c r="A3335"/>
  <c r="D3335" s="1"/>
  <c r="B3335"/>
  <c r="C3335"/>
  <c r="A3336"/>
  <c r="D3336" s="1"/>
  <c r="B3336"/>
  <c r="C3336"/>
  <c r="A3337"/>
  <c r="D3337" s="1"/>
  <c r="B3337"/>
  <c r="C3337"/>
  <c r="A3338"/>
  <c r="D3338" s="1"/>
  <c r="B3338"/>
  <c r="C3338"/>
  <c r="A3339"/>
  <c r="D3339" s="1"/>
  <c r="B3339"/>
  <c r="C3339"/>
  <c r="A3340"/>
  <c r="D3340" s="1"/>
  <c r="B3340"/>
  <c r="C3340"/>
  <c r="A3341"/>
  <c r="D3341" s="1"/>
  <c r="B3341"/>
  <c r="C3341"/>
  <c r="A3342"/>
  <c r="D3342" s="1"/>
  <c r="B3342"/>
  <c r="C3342"/>
  <c r="A3343"/>
  <c r="D3343" s="1"/>
  <c r="B3343"/>
  <c r="C3343"/>
  <c r="A3344"/>
  <c r="D3344" s="1"/>
  <c r="B3344"/>
  <c r="C3344"/>
  <c r="A3345"/>
  <c r="D3345" s="1"/>
  <c r="B3345"/>
  <c r="C3345"/>
  <c r="A3346"/>
  <c r="D3346" s="1"/>
  <c r="B3346"/>
  <c r="C3346"/>
  <c r="A3347"/>
  <c r="D3347" s="1"/>
  <c r="B3347"/>
  <c r="C3347"/>
  <c r="A3348"/>
  <c r="D3348" s="1"/>
  <c r="B3348"/>
  <c r="C3348"/>
  <c r="A3349"/>
  <c r="D3349" s="1"/>
  <c r="B3349"/>
  <c r="C3349"/>
  <c r="A3350"/>
  <c r="D3350" s="1"/>
  <c r="B3350"/>
  <c r="C3350"/>
  <c r="A3351"/>
  <c r="D3351" s="1"/>
  <c r="B3351"/>
  <c r="C3351"/>
  <c r="A3352"/>
  <c r="D3352" s="1"/>
  <c r="B3352"/>
  <c r="C3352"/>
  <c r="A3353"/>
  <c r="D3353" s="1"/>
  <c r="B3353"/>
  <c r="C3353"/>
  <c r="A3354"/>
  <c r="D3354" s="1"/>
  <c r="B3354"/>
  <c r="C3354"/>
  <c r="A3355"/>
  <c r="D3355" s="1"/>
  <c r="B3355"/>
  <c r="C3355"/>
  <c r="A3356"/>
  <c r="D3356" s="1"/>
  <c r="B3356"/>
  <c r="C3356"/>
  <c r="A3357"/>
  <c r="D3357" s="1"/>
  <c r="B3357"/>
  <c r="C3357"/>
  <c r="A3358"/>
  <c r="D3358" s="1"/>
  <c r="B3358"/>
  <c r="C3358"/>
  <c r="A3359"/>
  <c r="D3359" s="1"/>
  <c r="B3359"/>
  <c r="C3359"/>
  <c r="A3360"/>
  <c r="D3360" s="1"/>
  <c r="B3360"/>
  <c r="C3360"/>
  <c r="A3361"/>
  <c r="D3361" s="1"/>
  <c r="B3361"/>
  <c r="C3361"/>
  <c r="A3362"/>
  <c r="D3362" s="1"/>
  <c r="B3362"/>
  <c r="C3362"/>
  <c r="A3363"/>
  <c r="D3363" s="1"/>
  <c r="B3363"/>
  <c r="C3363"/>
  <c r="A3364"/>
  <c r="D3364" s="1"/>
  <c r="B3364"/>
  <c r="C3364"/>
  <c r="A3365"/>
  <c r="D3365" s="1"/>
  <c r="B3365"/>
  <c r="C3365"/>
  <c r="A3366"/>
  <c r="B3366"/>
  <c r="C3366"/>
  <c r="D3366"/>
  <c r="A3367"/>
  <c r="D3367" s="1"/>
  <c r="B3367"/>
  <c r="C3367"/>
  <c r="A3368"/>
  <c r="D3368" s="1"/>
  <c r="B3368"/>
  <c r="C3368"/>
  <c r="A3369"/>
  <c r="D3369" s="1"/>
  <c r="B3369"/>
  <c r="C3369"/>
  <c r="A3370"/>
  <c r="D3370" s="1"/>
  <c r="B3370"/>
  <c r="C3370"/>
  <c r="A3371"/>
  <c r="D3371" s="1"/>
  <c r="B3371"/>
  <c r="C3371"/>
  <c r="A3372"/>
  <c r="D3372" s="1"/>
  <c r="B3372"/>
  <c r="C3372"/>
  <c r="A3373"/>
  <c r="D3373" s="1"/>
  <c r="B3373"/>
  <c r="C3373"/>
  <c r="A3374"/>
  <c r="D3374" s="1"/>
  <c r="B3374"/>
  <c r="C3374"/>
  <c r="A3375"/>
  <c r="D3375" s="1"/>
  <c r="B3375"/>
  <c r="C3375"/>
  <c r="A3376"/>
  <c r="D3376" s="1"/>
  <c r="B3376"/>
  <c r="C3376"/>
  <c r="A3377"/>
  <c r="D3377" s="1"/>
  <c r="B3377"/>
  <c r="C3377"/>
  <c r="A3378"/>
  <c r="D3378" s="1"/>
  <c r="B3378"/>
  <c r="C3378"/>
  <c r="A3379"/>
  <c r="D3379" s="1"/>
  <c r="B3379"/>
  <c r="C3379"/>
  <c r="A3380"/>
  <c r="D3380" s="1"/>
  <c r="B3380"/>
  <c r="C3380"/>
  <c r="A3381"/>
  <c r="D3381" s="1"/>
  <c r="B3381"/>
  <c r="C3381"/>
  <c r="A3382"/>
  <c r="D3382" s="1"/>
  <c r="B3382"/>
  <c r="C3382"/>
  <c r="A3383"/>
  <c r="D3383" s="1"/>
  <c r="B3383"/>
  <c r="C3383"/>
  <c r="A3384"/>
  <c r="D3384" s="1"/>
  <c r="B3384"/>
  <c r="C3384"/>
  <c r="A3385"/>
  <c r="D3385" s="1"/>
  <c r="B3385"/>
  <c r="C3385"/>
  <c r="A3386"/>
  <c r="D3386" s="1"/>
  <c r="B3386"/>
  <c r="C3386"/>
  <c r="A3387"/>
  <c r="D3387" s="1"/>
  <c r="B3387"/>
  <c r="C3387"/>
  <c r="A3388"/>
  <c r="D3388" s="1"/>
  <c r="B3388"/>
  <c r="C3388"/>
  <c r="A3389"/>
  <c r="D3389" s="1"/>
  <c r="B3389"/>
  <c r="C3389"/>
  <c r="A3390"/>
  <c r="D3390" s="1"/>
  <c r="B3390"/>
  <c r="C3390"/>
  <c r="A3391"/>
  <c r="D3391" s="1"/>
  <c r="B3391"/>
  <c r="C3391"/>
  <c r="A3392"/>
  <c r="D3392" s="1"/>
  <c r="B3392"/>
  <c r="C3392"/>
  <c r="A3393"/>
  <c r="D3393" s="1"/>
  <c r="B3393"/>
  <c r="C3393"/>
  <c r="A3394"/>
  <c r="D3394" s="1"/>
  <c r="B3394"/>
  <c r="C3394"/>
  <c r="A3395"/>
  <c r="D3395" s="1"/>
  <c r="B3395"/>
  <c r="C3395"/>
  <c r="A3396"/>
  <c r="D3396" s="1"/>
  <c r="B3396"/>
  <c r="C3396"/>
  <c r="A3397"/>
  <c r="D3397" s="1"/>
  <c r="B3397"/>
  <c r="C3397"/>
  <c r="A3398"/>
  <c r="B3398"/>
  <c r="C3398"/>
  <c r="D3398"/>
  <c r="A3399"/>
  <c r="D3399" s="1"/>
  <c r="B3399"/>
  <c r="C3399"/>
  <c r="A3400"/>
  <c r="D3400" s="1"/>
  <c r="B3400"/>
  <c r="C3400"/>
  <c r="A3401"/>
  <c r="D3401" s="1"/>
  <c r="B3401"/>
  <c r="C3401"/>
  <c r="A3402"/>
  <c r="D3402" s="1"/>
  <c r="B3402"/>
  <c r="C3402"/>
  <c r="A3403"/>
  <c r="D3403" s="1"/>
  <c r="B3403"/>
  <c r="C3403"/>
  <c r="A3404"/>
  <c r="D3404" s="1"/>
  <c r="B3404"/>
  <c r="C3404"/>
  <c r="A3405"/>
  <c r="D3405" s="1"/>
  <c r="B3405"/>
  <c r="C3405"/>
  <c r="A3406"/>
  <c r="D3406" s="1"/>
  <c r="B3406"/>
  <c r="C3406"/>
  <c r="A3407"/>
  <c r="D3407" s="1"/>
  <c r="B3407"/>
  <c r="C3407"/>
  <c r="A3408"/>
  <c r="D3408" s="1"/>
  <c r="B3408"/>
  <c r="C3408"/>
  <c r="A3409"/>
  <c r="D3409" s="1"/>
  <c r="B3409"/>
  <c r="C3409"/>
  <c r="A3410"/>
  <c r="D3410" s="1"/>
  <c r="B3410"/>
  <c r="C3410"/>
  <c r="A3411"/>
  <c r="D3411" s="1"/>
  <c r="E3411" s="1"/>
  <c r="G3411" s="1"/>
  <c r="B3411"/>
  <c r="C3411"/>
  <c r="A3412"/>
  <c r="D3412" s="1"/>
  <c r="B3412"/>
  <c r="C3412"/>
  <c r="A3413"/>
  <c r="D3413" s="1"/>
  <c r="E3413" s="1"/>
  <c r="G3413" s="1"/>
  <c r="B3413"/>
  <c r="C3413"/>
  <c r="A3414"/>
  <c r="D3414" s="1"/>
  <c r="B3414"/>
  <c r="C3414"/>
  <c r="A3415"/>
  <c r="D3415" s="1"/>
  <c r="E3415" s="1"/>
  <c r="G3415" s="1"/>
  <c r="B3415"/>
  <c r="C3415"/>
  <c r="A3416"/>
  <c r="D3416" s="1"/>
  <c r="B3416"/>
  <c r="C3416"/>
  <c r="A3417"/>
  <c r="D3417" s="1"/>
  <c r="E3417" s="1"/>
  <c r="G3417" s="1"/>
  <c r="B3417"/>
  <c r="C3417"/>
  <c r="A3418"/>
  <c r="D3418" s="1"/>
  <c r="B3418"/>
  <c r="C3418"/>
  <c r="A3419"/>
  <c r="D3419" s="1"/>
  <c r="E3419" s="1"/>
  <c r="G3419" s="1"/>
  <c r="B3419"/>
  <c r="C3419"/>
  <c r="A3420"/>
  <c r="D3420" s="1"/>
  <c r="B3420"/>
  <c r="C3420"/>
  <c r="A3421"/>
  <c r="D3421" s="1"/>
  <c r="E3421" s="1"/>
  <c r="G3421" s="1"/>
  <c r="B3421"/>
  <c r="C3421"/>
  <c r="A3422"/>
  <c r="D3422" s="1"/>
  <c r="B3422"/>
  <c r="C3422"/>
  <c r="A3423"/>
  <c r="D3423" s="1"/>
  <c r="E3423" s="1"/>
  <c r="G3423" s="1"/>
  <c r="B3423"/>
  <c r="C3423"/>
  <c r="A3424"/>
  <c r="D3424" s="1"/>
  <c r="B3424"/>
  <c r="C3424"/>
  <c r="A3425"/>
  <c r="D3425" s="1"/>
  <c r="E3425" s="1"/>
  <c r="G3425" s="1"/>
  <c r="B3425"/>
  <c r="C3425"/>
  <c r="A3426"/>
  <c r="D3426" s="1"/>
  <c r="B3426"/>
  <c r="C3426"/>
  <c r="A3427"/>
  <c r="D3427" s="1"/>
  <c r="E3427" s="1"/>
  <c r="G3427" s="1"/>
  <c r="B3427"/>
  <c r="C3427"/>
  <c r="A3428"/>
  <c r="D3428" s="1"/>
  <c r="B3428"/>
  <c r="C3428"/>
  <c r="A3429"/>
  <c r="D3429" s="1"/>
  <c r="E3429" s="1"/>
  <c r="G3429" s="1"/>
  <c r="B3429"/>
  <c r="C3429"/>
  <c r="A3430"/>
  <c r="D3430" s="1"/>
  <c r="B3430"/>
  <c r="C3430"/>
  <c r="A3431"/>
  <c r="D3431" s="1"/>
  <c r="E3431" s="1"/>
  <c r="G3431" s="1"/>
  <c r="B3431"/>
  <c r="C3431"/>
  <c r="A3432"/>
  <c r="D3432" s="1"/>
  <c r="B3432"/>
  <c r="C3432"/>
  <c r="A3433"/>
  <c r="D3433" s="1"/>
  <c r="E3433" s="1"/>
  <c r="G3433" s="1"/>
  <c r="B3433"/>
  <c r="C3433"/>
  <c r="A3434"/>
  <c r="D3434" s="1"/>
  <c r="B3434"/>
  <c r="C3434"/>
  <c r="A3435"/>
  <c r="D3435" s="1"/>
  <c r="E3435" s="1"/>
  <c r="G3435" s="1"/>
  <c r="B3435"/>
  <c r="C3435"/>
  <c r="A3436"/>
  <c r="D3436" s="1"/>
  <c r="B3436"/>
  <c r="C3436"/>
  <c r="A3437"/>
  <c r="D3437" s="1"/>
  <c r="E3437" s="1"/>
  <c r="G3437" s="1"/>
  <c r="B3437"/>
  <c r="C3437"/>
  <c r="A3438"/>
  <c r="D3438" s="1"/>
  <c r="B3438"/>
  <c r="C3438"/>
  <c r="A3439"/>
  <c r="D3439" s="1"/>
  <c r="E3439" s="1"/>
  <c r="G3439" s="1"/>
  <c r="B3439"/>
  <c r="C3439"/>
  <c r="A3440"/>
  <c r="D3440" s="1"/>
  <c r="B3440"/>
  <c r="C3440"/>
  <c r="A3441"/>
  <c r="D3441" s="1"/>
  <c r="E3441" s="1"/>
  <c r="G3441" s="1"/>
  <c r="B3441"/>
  <c r="C3441"/>
  <c r="A3442"/>
  <c r="D3442" s="1"/>
  <c r="B3442"/>
  <c r="C3442"/>
  <c r="A3443"/>
  <c r="D3443" s="1"/>
  <c r="E3443" s="1"/>
  <c r="G3443" s="1"/>
  <c r="B3443"/>
  <c r="C3443"/>
  <c r="A3444"/>
  <c r="D3444" s="1"/>
  <c r="B3444"/>
  <c r="C3444"/>
  <c r="A3445"/>
  <c r="D3445" s="1"/>
  <c r="E3445" s="1"/>
  <c r="G3445" s="1"/>
  <c r="B3445"/>
  <c r="C3445"/>
  <c r="A3446"/>
  <c r="D3446" s="1"/>
  <c r="B3446"/>
  <c r="C3446"/>
  <c r="A3447"/>
  <c r="D3447" s="1"/>
  <c r="E3447" s="1"/>
  <c r="G3447" s="1"/>
  <c r="B3447"/>
  <c r="C3447"/>
  <c r="A3448"/>
  <c r="D3448" s="1"/>
  <c r="B3448"/>
  <c r="C3448"/>
  <c r="A3449"/>
  <c r="D3449" s="1"/>
  <c r="E3449" s="1"/>
  <c r="G3449" s="1"/>
  <c r="B3449"/>
  <c r="C3449"/>
  <c r="A3450"/>
  <c r="D3450" s="1"/>
  <c r="B3450"/>
  <c r="C3450"/>
  <c r="A3451"/>
  <c r="D3451" s="1"/>
  <c r="E3451" s="1"/>
  <c r="G3451" s="1"/>
  <c r="B3451"/>
  <c r="C3451"/>
  <c r="A3452"/>
  <c r="D3452" s="1"/>
  <c r="B3452"/>
  <c r="C3452"/>
  <c r="A3453"/>
  <c r="D3453" s="1"/>
  <c r="E3453" s="1"/>
  <c r="G3453" s="1"/>
  <c r="B3453"/>
  <c r="C3453"/>
  <c r="A3454"/>
  <c r="D3454" s="1"/>
  <c r="B3454"/>
  <c r="C3454"/>
  <c r="A3455"/>
  <c r="D3455" s="1"/>
  <c r="E3455" s="1"/>
  <c r="G3455" s="1"/>
  <c r="B3455"/>
  <c r="C3455"/>
  <c r="A3456"/>
  <c r="D3456" s="1"/>
  <c r="B3456"/>
  <c r="C3456"/>
  <c r="A3457"/>
  <c r="D3457" s="1"/>
  <c r="E3457" s="1"/>
  <c r="G3457" s="1"/>
  <c r="B3457"/>
  <c r="C3457"/>
  <c r="A3458"/>
  <c r="D3458" s="1"/>
  <c r="B3458"/>
  <c r="C3458"/>
  <c r="A3459"/>
  <c r="D3459" s="1"/>
  <c r="E3459" s="1"/>
  <c r="G3459" s="1"/>
  <c r="B3459"/>
  <c r="C3459"/>
  <c r="A3460"/>
  <c r="D3460" s="1"/>
  <c r="B3460"/>
  <c r="C3460"/>
  <c r="A3461"/>
  <c r="D3461" s="1"/>
  <c r="E3461" s="1"/>
  <c r="G3461" s="1"/>
  <c r="B3461"/>
  <c r="C3461"/>
  <c r="A3462"/>
  <c r="D3462" s="1"/>
  <c r="B3462"/>
  <c r="C3462"/>
  <c r="A3463"/>
  <c r="D3463" s="1"/>
  <c r="E3463" s="1"/>
  <c r="G3463" s="1"/>
  <c r="B3463"/>
  <c r="C3463"/>
  <c r="A3464"/>
  <c r="D3464" s="1"/>
  <c r="B3464"/>
  <c r="C3464"/>
  <c r="A3465"/>
  <c r="D3465" s="1"/>
  <c r="E3465" s="1"/>
  <c r="G3465" s="1"/>
  <c r="B3465"/>
  <c r="C3465"/>
  <c r="A3466"/>
  <c r="D3466" s="1"/>
  <c r="B3466"/>
  <c r="C3466"/>
  <c r="A3467"/>
  <c r="D3467" s="1"/>
  <c r="E3467" s="1"/>
  <c r="G3467" s="1"/>
  <c r="B3467"/>
  <c r="C3467"/>
  <c r="A3468"/>
  <c r="D3468" s="1"/>
  <c r="B3468"/>
  <c r="C3468"/>
  <c r="A3469"/>
  <c r="D3469" s="1"/>
  <c r="E3469" s="1"/>
  <c r="G3469" s="1"/>
  <c r="B3469"/>
  <c r="C3469"/>
  <c r="A3470"/>
  <c r="D3470" s="1"/>
  <c r="B3470"/>
  <c r="C3470"/>
  <c r="A3471"/>
  <c r="D3471" s="1"/>
  <c r="E3471" s="1"/>
  <c r="G3471" s="1"/>
  <c r="B3471"/>
  <c r="C3471"/>
  <c r="A3472"/>
  <c r="D3472" s="1"/>
  <c r="B3472"/>
  <c r="C3472"/>
  <c r="A3473"/>
  <c r="D3473" s="1"/>
  <c r="E3473" s="1"/>
  <c r="G3473" s="1"/>
  <c r="B3473"/>
  <c r="C3473"/>
  <c r="A3474"/>
  <c r="D3474" s="1"/>
  <c r="B3474"/>
  <c r="C3474"/>
  <c r="A3475"/>
  <c r="D3475" s="1"/>
  <c r="E3475" s="1"/>
  <c r="G3475" s="1"/>
  <c r="B3475"/>
  <c r="C3475"/>
  <c r="A3476"/>
  <c r="D3476" s="1"/>
  <c r="B3476"/>
  <c r="C3476"/>
  <c r="A3477"/>
  <c r="D3477" s="1"/>
  <c r="E3477" s="1"/>
  <c r="G3477" s="1"/>
  <c r="B3477"/>
  <c r="C3477"/>
  <c r="A3478"/>
  <c r="D3478" s="1"/>
  <c r="B3478"/>
  <c r="C3478"/>
  <c r="A3479"/>
  <c r="D3479" s="1"/>
  <c r="E3479" s="1"/>
  <c r="G3479" s="1"/>
  <c r="B3479"/>
  <c r="C3479"/>
  <c r="A3480"/>
  <c r="D3480" s="1"/>
  <c r="B3480"/>
  <c r="C3480"/>
  <c r="A3481"/>
  <c r="D3481" s="1"/>
  <c r="E3481" s="1"/>
  <c r="G3481" s="1"/>
  <c r="B3481"/>
  <c r="C3481"/>
  <c r="A3482"/>
  <c r="D3482" s="1"/>
  <c r="B3482"/>
  <c r="C3482"/>
  <c r="A3483"/>
  <c r="D3483" s="1"/>
  <c r="E3483" s="1"/>
  <c r="G3483" s="1"/>
  <c r="B3483"/>
  <c r="C3483"/>
  <c r="A3484"/>
  <c r="D3484" s="1"/>
  <c r="B3484"/>
  <c r="C3484"/>
  <c r="A3485"/>
  <c r="D3485" s="1"/>
  <c r="E3485" s="1"/>
  <c r="G3485" s="1"/>
  <c r="B3485"/>
  <c r="C3485"/>
  <c r="A3486"/>
  <c r="D3486" s="1"/>
  <c r="B3486"/>
  <c r="C3486"/>
  <c r="A3487"/>
  <c r="D3487" s="1"/>
  <c r="E3487" s="1"/>
  <c r="G3487" s="1"/>
  <c r="B3487"/>
  <c r="C3487"/>
  <c r="A3488"/>
  <c r="D3488" s="1"/>
  <c r="B3488"/>
  <c r="C3488"/>
  <c r="A3489"/>
  <c r="D3489" s="1"/>
  <c r="E3489" s="1"/>
  <c r="G3489" s="1"/>
  <c r="B3489"/>
  <c r="C3489"/>
  <c r="A3490"/>
  <c r="D3490" s="1"/>
  <c r="B3490"/>
  <c r="C3490"/>
  <c r="A3491"/>
  <c r="D3491" s="1"/>
  <c r="E3491" s="1"/>
  <c r="G3491" s="1"/>
  <c r="B3491"/>
  <c r="C3491"/>
  <c r="A3492"/>
  <c r="D3492" s="1"/>
  <c r="B3492"/>
  <c r="C3492"/>
  <c r="A3493"/>
  <c r="D3493" s="1"/>
  <c r="E3493" s="1"/>
  <c r="G3493" s="1"/>
  <c r="B3493"/>
  <c r="C3493"/>
  <c r="A3494"/>
  <c r="D3494" s="1"/>
  <c r="B3494"/>
  <c r="C3494"/>
  <c r="A3495"/>
  <c r="D3495" s="1"/>
  <c r="E3495" s="1"/>
  <c r="G3495" s="1"/>
  <c r="B3495"/>
  <c r="C3495"/>
  <c r="A3496"/>
  <c r="D3496" s="1"/>
  <c r="B3496"/>
  <c r="C3496"/>
  <c r="A3497"/>
  <c r="D3497" s="1"/>
  <c r="E3497" s="1"/>
  <c r="G3497" s="1"/>
  <c r="B3497"/>
  <c r="C3497"/>
  <c r="A3498"/>
  <c r="D3498" s="1"/>
  <c r="B3498"/>
  <c r="C3498"/>
  <c r="A3499"/>
  <c r="D3499" s="1"/>
  <c r="E3499" s="1"/>
  <c r="G3499" s="1"/>
  <c r="B3499"/>
  <c r="C3499"/>
  <c r="A3500"/>
  <c r="D3500" s="1"/>
  <c r="B3500"/>
  <c r="C3500"/>
  <c r="A3501"/>
  <c r="D3501" s="1"/>
  <c r="E3501" s="1"/>
  <c r="G3501" s="1"/>
  <c r="B3501"/>
  <c r="C3501"/>
  <c r="A3502"/>
  <c r="D3502" s="1"/>
  <c r="B3502"/>
  <c r="C3502"/>
  <c r="A3503"/>
  <c r="D3503" s="1"/>
  <c r="E3503" s="1"/>
  <c r="G3503" s="1"/>
  <c r="B3503"/>
  <c r="C3503"/>
  <c r="A3504"/>
  <c r="D3504" s="1"/>
  <c r="B3504"/>
  <c r="C3504"/>
  <c r="A3505"/>
  <c r="D3505" s="1"/>
  <c r="E3505" s="1"/>
  <c r="G3505" s="1"/>
  <c r="B3505"/>
  <c r="C3505"/>
  <c r="A3506"/>
  <c r="D3506" s="1"/>
  <c r="B3506"/>
  <c r="C3506"/>
  <c r="A3507"/>
  <c r="D3507" s="1"/>
  <c r="E3507" s="1"/>
  <c r="G3507" s="1"/>
  <c r="B3507"/>
  <c r="C3507"/>
  <c r="A3508"/>
  <c r="D3508" s="1"/>
  <c r="B3508"/>
  <c r="C3508"/>
  <c r="A3509"/>
  <c r="D3509" s="1"/>
  <c r="E3509" s="1"/>
  <c r="G3509" s="1"/>
  <c r="B3509"/>
  <c r="C3509"/>
  <c r="A3510"/>
  <c r="D3510" s="1"/>
  <c r="B3510"/>
  <c r="C3510"/>
  <c r="A3511"/>
  <c r="D3511" s="1"/>
  <c r="E3511" s="1"/>
  <c r="G3511" s="1"/>
  <c r="B3511"/>
  <c r="C3511"/>
  <c r="A3512"/>
  <c r="D3512" s="1"/>
  <c r="B3512"/>
  <c r="C3512"/>
  <c r="A3513"/>
  <c r="D3513" s="1"/>
  <c r="E3513" s="1"/>
  <c r="G3513" s="1"/>
  <c r="B3513"/>
  <c r="C3513"/>
  <c r="A3514"/>
  <c r="D3514" s="1"/>
  <c r="B3514"/>
  <c r="C3514"/>
  <c r="A3515"/>
  <c r="D3515" s="1"/>
  <c r="E3515" s="1"/>
  <c r="G3515" s="1"/>
  <c r="B3515"/>
  <c r="C3515"/>
  <c r="A3516"/>
  <c r="D3516" s="1"/>
  <c r="B3516"/>
  <c r="C3516"/>
  <c r="A3517"/>
  <c r="D3517" s="1"/>
  <c r="E3517" s="1"/>
  <c r="G3517" s="1"/>
  <c r="B3517"/>
  <c r="C3517"/>
  <c r="A3518"/>
  <c r="D3518" s="1"/>
  <c r="B3518"/>
  <c r="C3518"/>
  <c r="A3519"/>
  <c r="D3519" s="1"/>
  <c r="B3519"/>
  <c r="C3519"/>
  <c r="A3520"/>
  <c r="D3520" s="1"/>
  <c r="B3520"/>
  <c r="C3520"/>
  <c r="A3521"/>
  <c r="D3521" s="1"/>
  <c r="B3521"/>
  <c r="C3521"/>
  <c r="A3522"/>
  <c r="D3522" s="1"/>
  <c r="B3522"/>
  <c r="C3522"/>
  <c r="A3523"/>
  <c r="D3523" s="1"/>
  <c r="B3523"/>
  <c r="C3523"/>
  <c r="A3524"/>
  <c r="D3524" s="1"/>
  <c r="B3524"/>
  <c r="C3524"/>
  <c r="A3525"/>
  <c r="D3525" s="1"/>
  <c r="B3525"/>
  <c r="C3525"/>
  <c r="A3526"/>
  <c r="D3526" s="1"/>
  <c r="B3526"/>
  <c r="C3526"/>
  <c r="A3527"/>
  <c r="D3527" s="1"/>
  <c r="B3527"/>
  <c r="C3527"/>
  <c r="A3528"/>
  <c r="D3528" s="1"/>
  <c r="B3528"/>
  <c r="C3528"/>
  <c r="A3529"/>
  <c r="D3529" s="1"/>
  <c r="B3529"/>
  <c r="C3529"/>
  <c r="A3530"/>
  <c r="D3530" s="1"/>
  <c r="B3530"/>
  <c r="C3530"/>
  <c r="A3531"/>
  <c r="D3531" s="1"/>
  <c r="B3531"/>
  <c r="C3531"/>
  <c r="A3532"/>
  <c r="D3532" s="1"/>
  <c r="B3532"/>
  <c r="C3532"/>
  <c r="A3533"/>
  <c r="D3533" s="1"/>
  <c r="B3533"/>
  <c r="C3533"/>
  <c r="A3534"/>
  <c r="D3534" s="1"/>
  <c r="B3534"/>
  <c r="C3534"/>
  <c r="A3535"/>
  <c r="D3535" s="1"/>
  <c r="B3535"/>
  <c r="C3535"/>
  <c r="A3536"/>
  <c r="D3536" s="1"/>
  <c r="B3536"/>
  <c r="C3536"/>
  <c r="A3537"/>
  <c r="D3537" s="1"/>
  <c r="B3537"/>
  <c r="C3537"/>
  <c r="A3538"/>
  <c r="D3538" s="1"/>
  <c r="B3538"/>
  <c r="C3538"/>
  <c r="A3539"/>
  <c r="D3539" s="1"/>
  <c r="B3539"/>
  <c r="C3539"/>
  <c r="A3540"/>
  <c r="D3540" s="1"/>
  <c r="B3540"/>
  <c r="C3540"/>
  <c r="A3541"/>
  <c r="D3541" s="1"/>
  <c r="B3541"/>
  <c r="C3541"/>
  <c r="A3542"/>
  <c r="D3542" s="1"/>
  <c r="B3542"/>
  <c r="C3542"/>
  <c r="A3543"/>
  <c r="D3543" s="1"/>
  <c r="B3543"/>
  <c r="C3543"/>
  <c r="A3544"/>
  <c r="D3544" s="1"/>
  <c r="B3544"/>
  <c r="C3544"/>
  <c r="A3545"/>
  <c r="D3545" s="1"/>
  <c r="B3545"/>
  <c r="C3545"/>
  <c r="A3546"/>
  <c r="D3546" s="1"/>
  <c r="B3546"/>
  <c r="C3546"/>
  <c r="A3547"/>
  <c r="D3547" s="1"/>
  <c r="B3547"/>
  <c r="C3547"/>
  <c r="A3548"/>
  <c r="D3548" s="1"/>
  <c r="B3548"/>
  <c r="C3548"/>
  <c r="A3549"/>
  <c r="D3549" s="1"/>
  <c r="B3549"/>
  <c r="C3549"/>
  <c r="A3550"/>
  <c r="D3550" s="1"/>
  <c r="B3550"/>
  <c r="C3550"/>
  <c r="A3551"/>
  <c r="D3551" s="1"/>
  <c r="B3551"/>
  <c r="C3551"/>
  <c r="A3552"/>
  <c r="D3552" s="1"/>
  <c r="B3552"/>
  <c r="C3552"/>
  <c r="A3553"/>
  <c r="D3553" s="1"/>
  <c r="B3553"/>
  <c r="C3553"/>
  <c r="A3554"/>
  <c r="D3554" s="1"/>
  <c r="B3554"/>
  <c r="C3554"/>
  <c r="A3555"/>
  <c r="D3555" s="1"/>
  <c r="B3555"/>
  <c r="C3555"/>
  <c r="A3556"/>
  <c r="D3556" s="1"/>
  <c r="B3556"/>
  <c r="C3556"/>
  <c r="A3557"/>
  <c r="D3557" s="1"/>
  <c r="B3557"/>
  <c r="C3557"/>
  <c r="A3558"/>
  <c r="D3558" s="1"/>
  <c r="B3558"/>
  <c r="C3558"/>
  <c r="A3559"/>
  <c r="D3559" s="1"/>
  <c r="B3559"/>
  <c r="C3559"/>
  <c r="A3560"/>
  <c r="D3560" s="1"/>
  <c r="B3560"/>
  <c r="C3560"/>
  <c r="A3561"/>
  <c r="D3561" s="1"/>
  <c r="B3561"/>
  <c r="C3561"/>
  <c r="A3562"/>
  <c r="D3562" s="1"/>
  <c r="B3562"/>
  <c r="C3562"/>
  <c r="A3563"/>
  <c r="D3563" s="1"/>
  <c r="B3563"/>
  <c r="C3563"/>
  <c r="A3564"/>
  <c r="D3564" s="1"/>
  <c r="B3564"/>
  <c r="C3564"/>
  <c r="A3565"/>
  <c r="D3565" s="1"/>
  <c r="B3565"/>
  <c r="C3565"/>
  <c r="A3566"/>
  <c r="D3566" s="1"/>
  <c r="B3566"/>
  <c r="C3566"/>
  <c r="A3567"/>
  <c r="D3567" s="1"/>
  <c r="B3567"/>
  <c r="C3567"/>
  <c r="A3568"/>
  <c r="D3568" s="1"/>
  <c r="B3568"/>
  <c r="C3568"/>
  <c r="A3569"/>
  <c r="D3569" s="1"/>
  <c r="B3569"/>
  <c r="C3569"/>
  <c r="A3570"/>
  <c r="D3570" s="1"/>
  <c r="B3570"/>
  <c r="C3570"/>
  <c r="A3571"/>
  <c r="D3571" s="1"/>
  <c r="B3571"/>
  <c r="C3571"/>
  <c r="A3572"/>
  <c r="D3572" s="1"/>
  <c r="B3572"/>
  <c r="C3572"/>
  <c r="A3573"/>
  <c r="D3573" s="1"/>
  <c r="B3573"/>
  <c r="C3573"/>
  <c r="A3574"/>
  <c r="D3574" s="1"/>
  <c r="B3574"/>
  <c r="C3574"/>
  <c r="A3575"/>
  <c r="D3575" s="1"/>
  <c r="B3575"/>
  <c r="C3575"/>
  <c r="A3576"/>
  <c r="D3576" s="1"/>
  <c r="B3576"/>
  <c r="C3576"/>
  <c r="A3577"/>
  <c r="D3577" s="1"/>
  <c r="B3577"/>
  <c r="C3577"/>
  <c r="A3578"/>
  <c r="D3578" s="1"/>
  <c r="B3578"/>
  <c r="C3578"/>
  <c r="A3579"/>
  <c r="D3579" s="1"/>
  <c r="B3579"/>
  <c r="C3579"/>
  <c r="A3580"/>
  <c r="D3580" s="1"/>
  <c r="B3580"/>
  <c r="C3580"/>
  <c r="A3581"/>
  <c r="D3581" s="1"/>
  <c r="B3581"/>
  <c r="C3581"/>
  <c r="A3582"/>
  <c r="D3582" s="1"/>
  <c r="B3582"/>
  <c r="C3582"/>
  <c r="A3583"/>
  <c r="D3583" s="1"/>
  <c r="B3583"/>
  <c r="C3583"/>
  <c r="A3584"/>
  <c r="D3584" s="1"/>
  <c r="B3584"/>
  <c r="C3584"/>
  <c r="A3585"/>
  <c r="D3585" s="1"/>
  <c r="B3585"/>
  <c r="C3585"/>
  <c r="A3586"/>
  <c r="D3586" s="1"/>
  <c r="B3586"/>
  <c r="C3586"/>
  <c r="A3587"/>
  <c r="D3587" s="1"/>
  <c r="B3587"/>
  <c r="C3587"/>
  <c r="A3588"/>
  <c r="D3588" s="1"/>
  <c r="B3588"/>
  <c r="C3588"/>
  <c r="A3589"/>
  <c r="D3589" s="1"/>
  <c r="B3589"/>
  <c r="C3589"/>
  <c r="A3590"/>
  <c r="D3590" s="1"/>
  <c r="B3590"/>
  <c r="C3590"/>
  <c r="A3591"/>
  <c r="D3591" s="1"/>
  <c r="B3591"/>
  <c r="C3591"/>
  <c r="A3592"/>
  <c r="D3592" s="1"/>
  <c r="B3592"/>
  <c r="C3592"/>
  <c r="A3593"/>
  <c r="D3593" s="1"/>
  <c r="B3593"/>
  <c r="C3593"/>
  <c r="A3594"/>
  <c r="D3594" s="1"/>
  <c r="B3594"/>
  <c r="C3594"/>
  <c r="A3595"/>
  <c r="D3595" s="1"/>
  <c r="B3595"/>
  <c r="C3595"/>
  <c r="A3596"/>
  <c r="D3596" s="1"/>
  <c r="B3596"/>
  <c r="C3596"/>
  <c r="A3597"/>
  <c r="D3597" s="1"/>
  <c r="B3597"/>
  <c r="C3597"/>
  <c r="A3598"/>
  <c r="D3598" s="1"/>
  <c r="B3598"/>
  <c r="C3598"/>
  <c r="A3599"/>
  <c r="D3599" s="1"/>
  <c r="B3599"/>
  <c r="C3599"/>
  <c r="A3600"/>
  <c r="D3600" s="1"/>
  <c r="B3600"/>
  <c r="C3600"/>
  <c r="A3601"/>
  <c r="D3601" s="1"/>
  <c r="B3601"/>
  <c r="C3601"/>
  <c r="A3602"/>
  <c r="D3602" s="1"/>
  <c r="B3602"/>
  <c r="C3602"/>
  <c r="A3603"/>
  <c r="D3603" s="1"/>
  <c r="B3603"/>
  <c r="C3603"/>
  <c r="A3604"/>
  <c r="D3604" s="1"/>
  <c r="B3604"/>
  <c r="C3604"/>
  <c r="A3605"/>
  <c r="D3605" s="1"/>
  <c r="B3605"/>
  <c r="C3605"/>
  <c r="A3606"/>
  <c r="D3606" s="1"/>
  <c r="B3606"/>
  <c r="C3606"/>
  <c r="A3607"/>
  <c r="D3607" s="1"/>
  <c r="B3607"/>
  <c r="C3607"/>
  <c r="A3608"/>
  <c r="D3608" s="1"/>
  <c r="B3608"/>
  <c r="C3608"/>
  <c r="A3609"/>
  <c r="D3609" s="1"/>
  <c r="B3609"/>
  <c r="C3609"/>
  <c r="A3610"/>
  <c r="D3610" s="1"/>
  <c r="B3610"/>
  <c r="C3610"/>
  <c r="A3611"/>
  <c r="D3611" s="1"/>
  <c r="B3611"/>
  <c r="C3611"/>
  <c r="A3612"/>
  <c r="D3612" s="1"/>
  <c r="B3612"/>
  <c r="C3612"/>
  <c r="A3613"/>
  <c r="D3613" s="1"/>
  <c r="B3613"/>
  <c r="C3613"/>
  <c r="A3614"/>
  <c r="D3614" s="1"/>
  <c r="B3614"/>
  <c r="C3614"/>
  <c r="A3615"/>
  <c r="D3615" s="1"/>
  <c r="B3615"/>
  <c r="C3615"/>
  <c r="A3616"/>
  <c r="D3616" s="1"/>
  <c r="B3616"/>
  <c r="C3616"/>
  <c r="A3617"/>
  <c r="D3617" s="1"/>
  <c r="B3617"/>
  <c r="C3617"/>
  <c r="A3618"/>
  <c r="D3618" s="1"/>
  <c r="B3618"/>
  <c r="C3618"/>
  <c r="A3619"/>
  <c r="D3619" s="1"/>
  <c r="B3619"/>
  <c r="C3619"/>
  <c r="A3620"/>
  <c r="D3620" s="1"/>
  <c r="B3620"/>
  <c r="C3620"/>
  <c r="A3621"/>
  <c r="D3621" s="1"/>
  <c r="B3621"/>
  <c r="C3621"/>
  <c r="A3622"/>
  <c r="D3622" s="1"/>
  <c r="B3622"/>
  <c r="C3622"/>
  <c r="A3623"/>
  <c r="D3623" s="1"/>
  <c r="B3623"/>
  <c r="C3623"/>
  <c r="A3624"/>
  <c r="D3624" s="1"/>
  <c r="B3624"/>
  <c r="C3624"/>
  <c r="A3625"/>
  <c r="D3625" s="1"/>
  <c r="B3625"/>
  <c r="C3625"/>
  <c r="A3626"/>
  <c r="D3626" s="1"/>
  <c r="B3626"/>
  <c r="C3626"/>
  <c r="A3627"/>
  <c r="D3627" s="1"/>
  <c r="B3627"/>
  <c r="C3627"/>
  <c r="A3628"/>
  <c r="D3628" s="1"/>
  <c r="B3628"/>
  <c r="C3628"/>
  <c r="A3629"/>
  <c r="D3629" s="1"/>
  <c r="B3629"/>
  <c r="C3629"/>
  <c r="A3630"/>
  <c r="D3630" s="1"/>
  <c r="B3630"/>
  <c r="C3630"/>
  <c r="A3631"/>
  <c r="D3631" s="1"/>
  <c r="B3631"/>
  <c r="C3631"/>
  <c r="A3632"/>
  <c r="D3632" s="1"/>
  <c r="B3632"/>
  <c r="C3632"/>
  <c r="A3633"/>
  <c r="D3633" s="1"/>
  <c r="B3633"/>
  <c r="C3633"/>
  <c r="A3634"/>
  <c r="D3634" s="1"/>
  <c r="B3634"/>
  <c r="C3634"/>
  <c r="A3635"/>
  <c r="D3635" s="1"/>
  <c r="B3635"/>
  <c r="C3635"/>
  <c r="A3636"/>
  <c r="D3636" s="1"/>
  <c r="B3636"/>
  <c r="C3636"/>
  <c r="A3637"/>
  <c r="D3637" s="1"/>
  <c r="B3637"/>
  <c r="C3637"/>
  <c r="A3638"/>
  <c r="D3638" s="1"/>
  <c r="B3638"/>
  <c r="C3638"/>
  <c r="A3639"/>
  <c r="D3639" s="1"/>
  <c r="B3639"/>
  <c r="C3639"/>
  <c r="A3640"/>
  <c r="D3640" s="1"/>
  <c r="B3640"/>
  <c r="C3640"/>
  <c r="A3641"/>
  <c r="D3641" s="1"/>
  <c r="B3641"/>
  <c r="C3641"/>
  <c r="A3642"/>
  <c r="D3642" s="1"/>
  <c r="B3642"/>
  <c r="C3642"/>
  <c r="A3643"/>
  <c r="D3643" s="1"/>
  <c r="B3643"/>
  <c r="C3643"/>
  <c r="A3644"/>
  <c r="D3644" s="1"/>
  <c r="B3644"/>
  <c r="C3644"/>
  <c r="A3645"/>
  <c r="D3645" s="1"/>
  <c r="B3645"/>
  <c r="C3645"/>
  <c r="A3646"/>
  <c r="D3646" s="1"/>
  <c r="B3646"/>
  <c r="C3646"/>
  <c r="A3647"/>
  <c r="D3647" s="1"/>
  <c r="B3647"/>
  <c r="C3647"/>
  <c r="A3648"/>
  <c r="D3648" s="1"/>
  <c r="B3648"/>
  <c r="C3648"/>
  <c r="A3649"/>
  <c r="D3649" s="1"/>
  <c r="B3649"/>
  <c r="C3649"/>
  <c r="A3650"/>
  <c r="D3650" s="1"/>
  <c r="B3650"/>
  <c r="C3650"/>
  <c r="A3651"/>
  <c r="D3651" s="1"/>
  <c r="B3651"/>
  <c r="C3651"/>
  <c r="A3652"/>
  <c r="D3652" s="1"/>
  <c r="B3652"/>
  <c r="C3652"/>
  <c r="A3653"/>
  <c r="D3653" s="1"/>
  <c r="B3653"/>
  <c r="C3653"/>
  <c r="A3654"/>
  <c r="D3654" s="1"/>
  <c r="B3654"/>
  <c r="C3654"/>
  <c r="A3655"/>
  <c r="D3655" s="1"/>
  <c r="B3655"/>
  <c r="C3655"/>
  <c r="A3656"/>
  <c r="D3656" s="1"/>
  <c r="B3656"/>
  <c r="C3656"/>
  <c r="A3657"/>
  <c r="D3657" s="1"/>
  <c r="B3657"/>
  <c r="C3657"/>
  <c r="A3658"/>
  <c r="D3658" s="1"/>
  <c r="B3658"/>
  <c r="C3658"/>
  <c r="A3659"/>
  <c r="D3659" s="1"/>
  <c r="B3659"/>
  <c r="C3659"/>
  <c r="A3660"/>
  <c r="D3660" s="1"/>
  <c r="B3660"/>
  <c r="C3660"/>
  <c r="A3661"/>
  <c r="D3661" s="1"/>
  <c r="B3661"/>
  <c r="C3661"/>
  <c r="A3662"/>
  <c r="D3662" s="1"/>
  <c r="B3662"/>
  <c r="C3662"/>
  <c r="A3663"/>
  <c r="D3663" s="1"/>
  <c r="B3663"/>
  <c r="C3663"/>
  <c r="A3664"/>
  <c r="D3664" s="1"/>
  <c r="B3664"/>
  <c r="C3664"/>
  <c r="A3665"/>
  <c r="D3665" s="1"/>
  <c r="B3665"/>
  <c r="C3665"/>
  <c r="A3666"/>
  <c r="D3666" s="1"/>
  <c r="B3666"/>
  <c r="C3666"/>
  <c r="A3667"/>
  <c r="D3667" s="1"/>
  <c r="B3667"/>
  <c r="C3667"/>
  <c r="A3668"/>
  <c r="D3668" s="1"/>
  <c r="B3668"/>
  <c r="C3668"/>
  <c r="A3669"/>
  <c r="D3669" s="1"/>
  <c r="B3669"/>
  <c r="C3669"/>
  <c r="A3670"/>
  <c r="D3670" s="1"/>
  <c r="B3670"/>
  <c r="C3670"/>
  <c r="A3671"/>
  <c r="D3671" s="1"/>
  <c r="B3671"/>
  <c r="C3671"/>
  <c r="A3672"/>
  <c r="D3672" s="1"/>
  <c r="B3672"/>
  <c r="C3672"/>
  <c r="A3673"/>
  <c r="D3673" s="1"/>
  <c r="B3673"/>
  <c r="C3673"/>
  <c r="A3674"/>
  <c r="D3674" s="1"/>
  <c r="B3674"/>
  <c r="C3674"/>
  <c r="A3675"/>
  <c r="D3675" s="1"/>
  <c r="B3675"/>
  <c r="C3675"/>
  <c r="A3676"/>
  <c r="D3676" s="1"/>
  <c r="B3676"/>
  <c r="C3676"/>
  <c r="A3677"/>
  <c r="D3677" s="1"/>
  <c r="B3677"/>
  <c r="C3677"/>
  <c r="A3678"/>
  <c r="D3678" s="1"/>
  <c r="B3678"/>
  <c r="C3678"/>
  <c r="A3679"/>
  <c r="D3679" s="1"/>
  <c r="B3679"/>
  <c r="C3679"/>
  <c r="A3680"/>
  <c r="D3680" s="1"/>
  <c r="B3680"/>
  <c r="C3680"/>
  <c r="A3681"/>
  <c r="D3681" s="1"/>
  <c r="B3681"/>
  <c r="C3681"/>
  <c r="A3682"/>
  <c r="D3682" s="1"/>
  <c r="B3682"/>
  <c r="C3682"/>
  <c r="A3683"/>
  <c r="D3683" s="1"/>
  <c r="B3683"/>
  <c r="C3683"/>
  <c r="A3684"/>
  <c r="D3684" s="1"/>
  <c r="B3684"/>
  <c r="C3684"/>
  <c r="A3685"/>
  <c r="D3685" s="1"/>
  <c r="B3685"/>
  <c r="C3685"/>
  <c r="A3686"/>
  <c r="D3686" s="1"/>
  <c r="B3686"/>
  <c r="C3686"/>
  <c r="A3687"/>
  <c r="D3687" s="1"/>
  <c r="B3687"/>
  <c r="C3687"/>
  <c r="A3688"/>
  <c r="D3688" s="1"/>
  <c r="B3688"/>
  <c r="C3688"/>
  <c r="A3689"/>
  <c r="D3689" s="1"/>
  <c r="B3689"/>
  <c r="C3689"/>
  <c r="A3690"/>
  <c r="D3690" s="1"/>
  <c r="B3690"/>
  <c r="C3690"/>
  <c r="A3691"/>
  <c r="D3691" s="1"/>
  <c r="B3691"/>
  <c r="C3691"/>
  <c r="A3692"/>
  <c r="D3692" s="1"/>
  <c r="B3692"/>
  <c r="C3692"/>
  <c r="A3693"/>
  <c r="D3693" s="1"/>
  <c r="B3693"/>
  <c r="C3693"/>
  <c r="A3694"/>
  <c r="D3694" s="1"/>
  <c r="B3694"/>
  <c r="C3694"/>
  <c r="A3695"/>
  <c r="D3695" s="1"/>
  <c r="B3695"/>
  <c r="C3695"/>
  <c r="A3696"/>
  <c r="D3696" s="1"/>
  <c r="B3696"/>
  <c r="C3696"/>
  <c r="A3697"/>
  <c r="D3697" s="1"/>
  <c r="B3697"/>
  <c r="C3697"/>
  <c r="A3698"/>
  <c r="D3698" s="1"/>
  <c r="B3698"/>
  <c r="C3698"/>
  <c r="A3699"/>
  <c r="D3699" s="1"/>
  <c r="B3699"/>
  <c r="C3699"/>
  <c r="A3700"/>
  <c r="D3700" s="1"/>
  <c r="B3700"/>
  <c r="C3700"/>
  <c r="A3701"/>
  <c r="D3701" s="1"/>
  <c r="B3701"/>
  <c r="C3701"/>
  <c r="A3702"/>
  <c r="D3702" s="1"/>
  <c r="B3702"/>
  <c r="C3702"/>
  <c r="A3703"/>
  <c r="D3703" s="1"/>
  <c r="B3703"/>
  <c r="C3703"/>
  <c r="A3704"/>
  <c r="D3704" s="1"/>
  <c r="B3704"/>
  <c r="C3704"/>
  <c r="A3705"/>
  <c r="D3705" s="1"/>
  <c r="B3705"/>
  <c r="C3705"/>
  <c r="A3706"/>
  <c r="D3706" s="1"/>
  <c r="B3706"/>
  <c r="C3706"/>
  <c r="A3707"/>
  <c r="D3707" s="1"/>
  <c r="B3707"/>
  <c r="C3707"/>
  <c r="A3708"/>
  <c r="D3708" s="1"/>
  <c r="B3708"/>
  <c r="C3708"/>
  <c r="A3709"/>
  <c r="D3709" s="1"/>
  <c r="B3709"/>
  <c r="C3709"/>
  <c r="A3710"/>
  <c r="D3710" s="1"/>
  <c r="B3710"/>
  <c r="C3710"/>
  <c r="A3711"/>
  <c r="D3711" s="1"/>
  <c r="B3711"/>
  <c r="C3711"/>
  <c r="A3712"/>
  <c r="D3712" s="1"/>
  <c r="B3712"/>
  <c r="C3712"/>
  <c r="A3713"/>
  <c r="D3713" s="1"/>
  <c r="B3713"/>
  <c r="C3713"/>
  <c r="A3714"/>
  <c r="D3714" s="1"/>
  <c r="B3714"/>
  <c r="C3714"/>
  <c r="A3715"/>
  <c r="D3715" s="1"/>
  <c r="B3715"/>
  <c r="C3715"/>
  <c r="A3716"/>
  <c r="D3716" s="1"/>
  <c r="B3716"/>
  <c r="C3716"/>
  <c r="A3717"/>
  <c r="D3717" s="1"/>
  <c r="B3717"/>
  <c r="C3717"/>
  <c r="A3718"/>
  <c r="D3718" s="1"/>
  <c r="B3718"/>
  <c r="C3718"/>
  <c r="A3719"/>
  <c r="D3719" s="1"/>
  <c r="B3719"/>
  <c r="C3719"/>
  <c r="A3720"/>
  <c r="D3720" s="1"/>
  <c r="B3720"/>
  <c r="C3720"/>
  <c r="A3721"/>
  <c r="D3721" s="1"/>
  <c r="B3721"/>
  <c r="C3721"/>
  <c r="A3722"/>
  <c r="D3722" s="1"/>
  <c r="B3722"/>
  <c r="C3722"/>
  <c r="A3723"/>
  <c r="D3723" s="1"/>
  <c r="B3723"/>
  <c r="C3723"/>
  <c r="A3724"/>
  <c r="D3724" s="1"/>
  <c r="B3724"/>
  <c r="C3724"/>
  <c r="A3725"/>
  <c r="D3725" s="1"/>
  <c r="B3725"/>
  <c r="C3725"/>
  <c r="A3726"/>
  <c r="D3726" s="1"/>
  <c r="B3726"/>
  <c r="C3726"/>
  <c r="A3727"/>
  <c r="D3727" s="1"/>
  <c r="B3727"/>
  <c r="C3727"/>
  <c r="A3728"/>
  <c r="D3728" s="1"/>
  <c r="B3728"/>
  <c r="C3728"/>
  <c r="A3729"/>
  <c r="D3729" s="1"/>
  <c r="B3729"/>
  <c r="C3729"/>
  <c r="A3730"/>
  <c r="D3730" s="1"/>
  <c r="B3730"/>
  <c r="C3730"/>
  <c r="A3731"/>
  <c r="D3731" s="1"/>
  <c r="B3731"/>
  <c r="C3731"/>
  <c r="A3732"/>
  <c r="D3732" s="1"/>
  <c r="B3732"/>
  <c r="C3732"/>
  <c r="A3733"/>
  <c r="D3733" s="1"/>
  <c r="B3733"/>
  <c r="C3733"/>
  <c r="A3734"/>
  <c r="D3734" s="1"/>
  <c r="B3734"/>
  <c r="C3734"/>
  <c r="A3735"/>
  <c r="D3735" s="1"/>
  <c r="B3735"/>
  <c r="C3735"/>
  <c r="A3736"/>
  <c r="D3736" s="1"/>
  <c r="B3736"/>
  <c r="C3736"/>
  <c r="A3737"/>
  <c r="D3737" s="1"/>
  <c r="B3737"/>
  <c r="C3737"/>
  <c r="A3738"/>
  <c r="D3738" s="1"/>
  <c r="B3738"/>
  <c r="C3738"/>
  <c r="A3739"/>
  <c r="D3739" s="1"/>
  <c r="B3739"/>
  <c r="C3739"/>
  <c r="A3740"/>
  <c r="D3740" s="1"/>
  <c r="B3740"/>
  <c r="C3740"/>
  <c r="A3741"/>
  <c r="D3741" s="1"/>
  <c r="B3741"/>
  <c r="C3741"/>
  <c r="A3742"/>
  <c r="D3742" s="1"/>
  <c r="B3742"/>
  <c r="C3742"/>
  <c r="A3743"/>
  <c r="D3743" s="1"/>
  <c r="B3743"/>
  <c r="C3743"/>
  <c r="A3744"/>
  <c r="D3744" s="1"/>
  <c r="B3744"/>
  <c r="C3744"/>
  <c r="A3745"/>
  <c r="D3745" s="1"/>
  <c r="B3745"/>
  <c r="C3745"/>
  <c r="A3746"/>
  <c r="D3746" s="1"/>
  <c r="B3746"/>
  <c r="C3746"/>
  <c r="A3747"/>
  <c r="D3747" s="1"/>
  <c r="B3747"/>
  <c r="C3747"/>
  <c r="A3748"/>
  <c r="D3748" s="1"/>
  <c r="B3748"/>
  <c r="C3748"/>
  <c r="A3749"/>
  <c r="D3749" s="1"/>
  <c r="B3749"/>
  <c r="C3749"/>
  <c r="A3750"/>
  <c r="D3750" s="1"/>
  <c r="B3750"/>
  <c r="C3750"/>
  <c r="A3751"/>
  <c r="D3751" s="1"/>
  <c r="B3751"/>
  <c r="C3751"/>
  <c r="A3752"/>
  <c r="D3752" s="1"/>
  <c r="B3752"/>
  <c r="C3752"/>
  <c r="A3753"/>
  <c r="D3753" s="1"/>
  <c r="B3753"/>
  <c r="C3753"/>
  <c r="A3754"/>
  <c r="D3754" s="1"/>
  <c r="B3754"/>
  <c r="C3754"/>
  <c r="A3755"/>
  <c r="D3755" s="1"/>
  <c r="B3755"/>
  <c r="C3755"/>
  <c r="A3756"/>
  <c r="D3756" s="1"/>
  <c r="B3756"/>
  <c r="C3756"/>
  <c r="A3757"/>
  <c r="D3757" s="1"/>
  <c r="B3757"/>
  <c r="C3757"/>
  <c r="A3758"/>
  <c r="D3758" s="1"/>
  <c r="B3758"/>
  <c r="C3758"/>
  <c r="A3759"/>
  <c r="D3759" s="1"/>
  <c r="B3759"/>
  <c r="C3759"/>
  <c r="A3760"/>
  <c r="D3760" s="1"/>
  <c r="B3760"/>
  <c r="C3760"/>
  <c r="A3761"/>
  <c r="D3761" s="1"/>
  <c r="B3761"/>
  <c r="C3761"/>
  <c r="A3762"/>
  <c r="D3762" s="1"/>
  <c r="B3762"/>
  <c r="C3762"/>
  <c r="A3763"/>
  <c r="D3763" s="1"/>
  <c r="B3763"/>
  <c r="C3763"/>
  <c r="A3764"/>
  <c r="D3764" s="1"/>
  <c r="B3764"/>
  <c r="C3764"/>
  <c r="A3765"/>
  <c r="D3765" s="1"/>
  <c r="B3765"/>
  <c r="C3765"/>
  <c r="A3766"/>
  <c r="D3766" s="1"/>
  <c r="B3766"/>
  <c r="C3766"/>
  <c r="A3767"/>
  <c r="D3767" s="1"/>
  <c r="B3767"/>
  <c r="C3767"/>
  <c r="A3768"/>
  <c r="D3768" s="1"/>
  <c r="B3768"/>
  <c r="C3768"/>
  <c r="A3769"/>
  <c r="D3769" s="1"/>
  <c r="B3769"/>
  <c r="C3769"/>
  <c r="A3770"/>
  <c r="D3770" s="1"/>
  <c r="B3770"/>
  <c r="C3770"/>
  <c r="A3771"/>
  <c r="D3771" s="1"/>
  <c r="B3771"/>
  <c r="C3771"/>
  <c r="A3772"/>
  <c r="D3772" s="1"/>
  <c r="B3772"/>
  <c r="C3772"/>
  <c r="A3773"/>
  <c r="D3773" s="1"/>
  <c r="B3773"/>
  <c r="C3773"/>
  <c r="A3774"/>
  <c r="D3774" s="1"/>
  <c r="B3774"/>
  <c r="C3774"/>
  <c r="A3775"/>
  <c r="D3775" s="1"/>
  <c r="B3775"/>
  <c r="C3775"/>
  <c r="A3776"/>
  <c r="D3776" s="1"/>
  <c r="B3776"/>
  <c r="C3776"/>
  <c r="A3777"/>
  <c r="D3777" s="1"/>
  <c r="B3777"/>
  <c r="C3777"/>
  <c r="A3778"/>
  <c r="D3778" s="1"/>
  <c r="B3778"/>
  <c r="C3778"/>
  <c r="A3779"/>
  <c r="D3779" s="1"/>
  <c r="B3779"/>
  <c r="C3779"/>
  <c r="A3780"/>
  <c r="D3780" s="1"/>
  <c r="B3780"/>
  <c r="C3780"/>
  <c r="A3781"/>
  <c r="D3781" s="1"/>
  <c r="B3781"/>
  <c r="C3781"/>
  <c r="A3782"/>
  <c r="D3782" s="1"/>
  <c r="B3782"/>
  <c r="C3782"/>
  <c r="A3783"/>
  <c r="D3783" s="1"/>
  <c r="B3783"/>
  <c r="C3783"/>
  <c r="A3784"/>
  <c r="D3784" s="1"/>
  <c r="B3784"/>
  <c r="C3784"/>
  <c r="A3785"/>
  <c r="D3785" s="1"/>
  <c r="B3785"/>
  <c r="C3785"/>
  <c r="A3786"/>
  <c r="D3786" s="1"/>
  <c r="B3786"/>
  <c r="C3786"/>
  <c r="A3787"/>
  <c r="D3787" s="1"/>
  <c r="B3787"/>
  <c r="C3787"/>
  <c r="A3788"/>
  <c r="D3788" s="1"/>
  <c r="B3788"/>
  <c r="C3788"/>
  <c r="A3789"/>
  <c r="D3789" s="1"/>
  <c r="B3789"/>
  <c r="C3789"/>
  <c r="A3790"/>
  <c r="D3790" s="1"/>
  <c r="B3790"/>
  <c r="C3790"/>
  <c r="A3791"/>
  <c r="D3791" s="1"/>
  <c r="B3791"/>
  <c r="C3791"/>
  <c r="A3792"/>
  <c r="D3792" s="1"/>
  <c r="B3792"/>
  <c r="C3792"/>
  <c r="A3793"/>
  <c r="D3793" s="1"/>
  <c r="B3793"/>
  <c r="C3793"/>
  <c r="A3794"/>
  <c r="D3794" s="1"/>
  <c r="B3794"/>
  <c r="C3794"/>
  <c r="A3795"/>
  <c r="D3795" s="1"/>
  <c r="B3795"/>
  <c r="C3795"/>
  <c r="A3796"/>
  <c r="D3796" s="1"/>
  <c r="B3796"/>
  <c r="C3796"/>
  <c r="A3797"/>
  <c r="D3797" s="1"/>
  <c r="B3797"/>
  <c r="C3797"/>
  <c r="A3798"/>
  <c r="D3798" s="1"/>
  <c r="B3798"/>
  <c r="C3798"/>
  <c r="A3799"/>
  <c r="D3799" s="1"/>
  <c r="B3799"/>
  <c r="C3799"/>
  <c r="A3800"/>
  <c r="D3800" s="1"/>
  <c r="B3800"/>
  <c r="C3800"/>
  <c r="A3801"/>
  <c r="D3801" s="1"/>
  <c r="B3801"/>
  <c r="C3801"/>
  <c r="A3802"/>
  <c r="D3802" s="1"/>
  <c r="B3802"/>
  <c r="C3802"/>
  <c r="A3803"/>
  <c r="D3803" s="1"/>
  <c r="B3803"/>
  <c r="C3803"/>
  <c r="A3804"/>
  <c r="D3804" s="1"/>
  <c r="B3804"/>
  <c r="C3804"/>
  <c r="A3805"/>
  <c r="D3805" s="1"/>
  <c r="B3805"/>
  <c r="C3805"/>
  <c r="A3806"/>
  <c r="D3806" s="1"/>
  <c r="B3806"/>
  <c r="C3806"/>
  <c r="A3807"/>
  <c r="D3807" s="1"/>
  <c r="B3807"/>
  <c r="C3807"/>
  <c r="A3808"/>
  <c r="D3808" s="1"/>
  <c r="B3808"/>
  <c r="C3808"/>
  <c r="A3809"/>
  <c r="D3809" s="1"/>
  <c r="B3809"/>
  <c r="C3809"/>
  <c r="A3810"/>
  <c r="D3810" s="1"/>
  <c r="B3810"/>
  <c r="C3810"/>
  <c r="A3811"/>
  <c r="D3811" s="1"/>
  <c r="B3811"/>
  <c r="C3811"/>
  <c r="A3812"/>
  <c r="D3812" s="1"/>
  <c r="B3812"/>
  <c r="C3812"/>
  <c r="A3813"/>
  <c r="D3813" s="1"/>
  <c r="B3813"/>
  <c r="C3813"/>
  <c r="A3814"/>
  <c r="D3814" s="1"/>
  <c r="B3814"/>
  <c r="C3814"/>
  <c r="A3815"/>
  <c r="D3815" s="1"/>
  <c r="B3815"/>
  <c r="C3815"/>
  <c r="A3816"/>
  <c r="D3816" s="1"/>
  <c r="B3816"/>
  <c r="C3816"/>
  <c r="A3817"/>
  <c r="D3817" s="1"/>
  <c r="B3817"/>
  <c r="C3817"/>
  <c r="A3818"/>
  <c r="D3818" s="1"/>
  <c r="B3818"/>
  <c r="C3818"/>
  <c r="A3819"/>
  <c r="D3819" s="1"/>
  <c r="B3819"/>
  <c r="C3819"/>
  <c r="A3820"/>
  <c r="D3820" s="1"/>
  <c r="B3820"/>
  <c r="C3820"/>
  <c r="A3821"/>
  <c r="D3821" s="1"/>
  <c r="B3821"/>
  <c r="C3821"/>
  <c r="A3822"/>
  <c r="D3822" s="1"/>
  <c r="B3822"/>
  <c r="C3822"/>
  <c r="A3823"/>
  <c r="D3823" s="1"/>
  <c r="B3823"/>
  <c r="C3823"/>
  <c r="A3824"/>
  <c r="D3824" s="1"/>
  <c r="B3824"/>
  <c r="C3824"/>
  <c r="A3825"/>
  <c r="D3825" s="1"/>
  <c r="B3825"/>
  <c r="C3825"/>
  <c r="A3826"/>
  <c r="D3826" s="1"/>
  <c r="B3826"/>
  <c r="C3826"/>
  <c r="A3827"/>
  <c r="D3827" s="1"/>
  <c r="B3827"/>
  <c r="C3827"/>
  <c r="A3828"/>
  <c r="D3828" s="1"/>
  <c r="B3828"/>
  <c r="C3828"/>
  <c r="A3829"/>
  <c r="D3829" s="1"/>
  <c r="B3829"/>
  <c r="C3829"/>
  <c r="A3830"/>
  <c r="D3830" s="1"/>
  <c r="B3830"/>
  <c r="C3830"/>
  <c r="A3831"/>
  <c r="D3831" s="1"/>
  <c r="B3831"/>
  <c r="C3831"/>
  <c r="A3832"/>
  <c r="D3832" s="1"/>
  <c r="B3832"/>
  <c r="C3832"/>
  <c r="A3833"/>
  <c r="D3833" s="1"/>
  <c r="B3833"/>
  <c r="C3833"/>
  <c r="A3834"/>
  <c r="D3834" s="1"/>
  <c r="B3834"/>
  <c r="C3834"/>
  <c r="A3835"/>
  <c r="D3835" s="1"/>
  <c r="B3835"/>
  <c r="C3835"/>
  <c r="A3836"/>
  <c r="D3836" s="1"/>
  <c r="B3836"/>
  <c r="C3836"/>
  <c r="A3837"/>
  <c r="D3837" s="1"/>
  <c r="B3837"/>
  <c r="C3837"/>
  <c r="A3838"/>
  <c r="D3838" s="1"/>
  <c r="B3838"/>
  <c r="C3838"/>
  <c r="A3839"/>
  <c r="D3839" s="1"/>
  <c r="B3839"/>
  <c r="C3839"/>
  <c r="A3840"/>
  <c r="D3840" s="1"/>
  <c r="B3840"/>
  <c r="C3840"/>
  <c r="A3841"/>
  <c r="D3841" s="1"/>
  <c r="B3841"/>
  <c r="C3841"/>
  <c r="A3842"/>
  <c r="D3842" s="1"/>
  <c r="B3842"/>
  <c r="C3842"/>
  <c r="A3843"/>
  <c r="D3843" s="1"/>
  <c r="B3843"/>
  <c r="C3843"/>
  <c r="A3844"/>
  <c r="D3844" s="1"/>
  <c r="B3844"/>
  <c r="C3844"/>
  <c r="A3845"/>
  <c r="D3845" s="1"/>
  <c r="B3845"/>
  <c r="C3845"/>
  <c r="A3846"/>
  <c r="D3846" s="1"/>
  <c r="B3846"/>
  <c r="C3846"/>
  <c r="A3847"/>
  <c r="D3847" s="1"/>
  <c r="B3847"/>
  <c r="C3847"/>
  <c r="A3848"/>
  <c r="D3848" s="1"/>
  <c r="B3848"/>
  <c r="C3848"/>
  <c r="A3849"/>
  <c r="D3849" s="1"/>
  <c r="B3849"/>
  <c r="C3849"/>
  <c r="A3850"/>
  <c r="D3850" s="1"/>
  <c r="B3850"/>
  <c r="C3850"/>
  <c r="A3851"/>
  <c r="D3851" s="1"/>
  <c r="B3851"/>
  <c r="C3851"/>
  <c r="A3852"/>
  <c r="D3852" s="1"/>
  <c r="B3852"/>
  <c r="C3852"/>
  <c r="A3853"/>
  <c r="D3853" s="1"/>
  <c r="B3853"/>
  <c r="C3853"/>
  <c r="A3854"/>
  <c r="D3854" s="1"/>
  <c r="B3854"/>
  <c r="C3854"/>
  <c r="A3855"/>
  <c r="D3855" s="1"/>
  <c r="B3855"/>
  <c r="C3855"/>
  <c r="A3856"/>
  <c r="D3856" s="1"/>
  <c r="B3856"/>
  <c r="C3856"/>
  <c r="A3857"/>
  <c r="D3857" s="1"/>
  <c r="B3857"/>
  <c r="C3857"/>
  <c r="A3858"/>
  <c r="D3858" s="1"/>
  <c r="B3858"/>
  <c r="C3858"/>
  <c r="A3859"/>
  <c r="D3859" s="1"/>
  <c r="B3859"/>
  <c r="C3859"/>
  <c r="A3860"/>
  <c r="D3860" s="1"/>
  <c r="B3860"/>
  <c r="C3860"/>
  <c r="A3861"/>
  <c r="D3861" s="1"/>
  <c r="B3861"/>
  <c r="C3861"/>
  <c r="A3862"/>
  <c r="D3862" s="1"/>
  <c r="B3862"/>
  <c r="C3862"/>
  <c r="A3863"/>
  <c r="D3863" s="1"/>
  <c r="B3863"/>
  <c r="C3863"/>
  <c r="A3864"/>
  <c r="D3864" s="1"/>
  <c r="B3864"/>
  <c r="C3864"/>
  <c r="A3865"/>
  <c r="D3865" s="1"/>
  <c r="B3865"/>
  <c r="C3865"/>
  <c r="A3866"/>
  <c r="D3866" s="1"/>
  <c r="B3866"/>
  <c r="C3866"/>
  <c r="A3867"/>
  <c r="D3867" s="1"/>
  <c r="B3867"/>
  <c r="C3867"/>
  <c r="A3868"/>
  <c r="D3868" s="1"/>
  <c r="B3868"/>
  <c r="C3868"/>
  <c r="A3869"/>
  <c r="D3869" s="1"/>
  <c r="B3869"/>
  <c r="C3869"/>
  <c r="A3870"/>
  <c r="D3870" s="1"/>
  <c r="B3870"/>
  <c r="C3870"/>
  <c r="A3871"/>
  <c r="D3871" s="1"/>
  <c r="B3871"/>
  <c r="C3871"/>
  <c r="A3872"/>
  <c r="D3872" s="1"/>
  <c r="B3872"/>
  <c r="C3872"/>
  <c r="A3873"/>
  <c r="D3873" s="1"/>
  <c r="B3873"/>
  <c r="C3873"/>
  <c r="A3874"/>
  <c r="D3874" s="1"/>
  <c r="B3874"/>
  <c r="C3874"/>
  <c r="A3875"/>
  <c r="D3875" s="1"/>
  <c r="B3875"/>
  <c r="C3875"/>
  <c r="A3876"/>
  <c r="D3876" s="1"/>
  <c r="B3876"/>
  <c r="C3876"/>
  <c r="A3877"/>
  <c r="D3877" s="1"/>
  <c r="B3877"/>
  <c r="C3877"/>
  <c r="A3878"/>
  <c r="D3878" s="1"/>
  <c r="B3878"/>
  <c r="C3878"/>
  <c r="A3879"/>
  <c r="D3879" s="1"/>
  <c r="B3879"/>
  <c r="C3879"/>
  <c r="A3880"/>
  <c r="D3880" s="1"/>
  <c r="B3880"/>
  <c r="C3880"/>
  <c r="A3881"/>
  <c r="D3881" s="1"/>
  <c r="B3881"/>
  <c r="C3881"/>
  <c r="A3882"/>
  <c r="D3882" s="1"/>
  <c r="B3882"/>
  <c r="C3882"/>
  <c r="A3883"/>
  <c r="D3883" s="1"/>
  <c r="B3883"/>
  <c r="C3883"/>
  <c r="A3884"/>
  <c r="D3884" s="1"/>
  <c r="B3884"/>
  <c r="C3884"/>
  <c r="A3885"/>
  <c r="D3885" s="1"/>
  <c r="B3885"/>
  <c r="C3885"/>
  <c r="A3886"/>
  <c r="D3886" s="1"/>
  <c r="B3886"/>
  <c r="C3886"/>
  <c r="A3887"/>
  <c r="D3887" s="1"/>
  <c r="B3887"/>
  <c r="C3887"/>
  <c r="A3888"/>
  <c r="D3888" s="1"/>
  <c r="B3888"/>
  <c r="C3888"/>
  <c r="A3889"/>
  <c r="D3889" s="1"/>
  <c r="B3889"/>
  <c r="C3889"/>
  <c r="A3890"/>
  <c r="D3890" s="1"/>
  <c r="B3890"/>
  <c r="C3890"/>
  <c r="A3891"/>
  <c r="D3891" s="1"/>
  <c r="B3891"/>
  <c r="C3891"/>
  <c r="A3892"/>
  <c r="D3892" s="1"/>
  <c r="B3892"/>
  <c r="C3892"/>
  <c r="A3893"/>
  <c r="D3893" s="1"/>
  <c r="B3893"/>
  <c r="C3893"/>
  <c r="A3894"/>
  <c r="D3894" s="1"/>
  <c r="B3894"/>
  <c r="C3894"/>
  <c r="A3895"/>
  <c r="D3895" s="1"/>
  <c r="B3895"/>
  <c r="C3895"/>
  <c r="A3896"/>
  <c r="D3896" s="1"/>
  <c r="B3896"/>
  <c r="C3896"/>
  <c r="A3897"/>
  <c r="D3897" s="1"/>
  <c r="B3897"/>
  <c r="C3897"/>
  <c r="A3898"/>
  <c r="D3898" s="1"/>
  <c r="B3898"/>
  <c r="C3898"/>
  <c r="A3899"/>
  <c r="D3899" s="1"/>
  <c r="B3899"/>
  <c r="C3899"/>
  <c r="A3900"/>
  <c r="D3900" s="1"/>
  <c r="B3900"/>
  <c r="C3900"/>
  <c r="A3901"/>
  <c r="D3901" s="1"/>
  <c r="B3901"/>
  <c r="C3901"/>
  <c r="A3902"/>
  <c r="D3902" s="1"/>
  <c r="B3902"/>
  <c r="C3902"/>
  <c r="A3903"/>
  <c r="D3903" s="1"/>
  <c r="B3903"/>
  <c r="C3903"/>
  <c r="A3904"/>
  <c r="D3904" s="1"/>
  <c r="B3904"/>
  <c r="C3904"/>
  <c r="A3905"/>
  <c r="D3905" s="1"/>
  <c r="B3905"/>
  <c r="C3905"/>
  <c r="A3906"/>
  <c r="D3906" s="1"/>
  <c r="B3906"/>
  <c r="C3906"/>
  <c r="A3907"/>
  <c r="D3907" s="1"/>
  <c r="B3907"/>
  <c r="C3907"/>
  <c r="A3908"/>
  <c r="D3908" s="1"/>
  <c r="B3908"/>
  <c r="C3908"/>
  <c r="A3909"/>
  <c r="D3909" s="1"/>
  <c r="B3909"/>
  <c r="C3909"/>
  <c r="A3910"/>
  <c r="D3910" s="1"/>
  <c r="B3910"/>
  <c r="C3910"/>
  <c r="A3911"/>
  <c r="D3911" s="1"/>
  <c r="B3911"/>
  <c r="C3911"/>
  <c r="A3912"/>
  <c r="D3912" s="1"/>
  <c r="B3912"/>
  <c r="C3912"/>
  <c r="A3913"/>
  <c r="D3913" s="1"/>
  <c r="B3913"/>
  <c r="C3913"/>
  <c r="A3914"/>
  <c r="D3914" s="1"/>
  <c r="B3914"/>
  <c r="C3914"/>
  <c r="A3915"/>
  <c r="D3915" s="1"/>
  <c r="B3915"/>
  <c r="C3915"/>
  <c r="A3916"/>
  <c r="D3916" s="1"/>
  <c r="B3916"/>
  <c r="C3916"/>
  <c r="A3917"/>
  <c r="D3917" s="1"/>
  <c r="B3917"/>
  <c r="C3917"/>
  <c r="A3918"/>
  <c r="D3918" s="1"/>
  <c r="B3918"/>
  <c r="C3918"/>
  <c r="A3919"/>
  <c r="D3919" s="1"/>
  <c r="B3919"/>
  <c r="C3919"/>
  <c r="A3920"/>
  <c r="D3920" s="1"/>
  <c r="B3920"/>
  <c r="C3920"/>
  <c r="A3921"/>
  <c r="D3921" s="1"/>
  <c r="B3921"/>
  <c r="C3921"/>
  <c r="A3922"/>
  <c r="D3922" s="1"/>
  <c r="B3922"/>
  <c r="C3922"/>
  <c r="A3923"/>
  <c r="D3923" s="1"/>
  <c r="B3923"/>
  <c r="C3923"/>
  <c r="A3924"/>
  <c r="D3924" s="1"/>
  <c r="B3924"/>
  <c r="C3924"/>
  <c r="A3925"/>
  <c r="D3925" s="1"/>
  <c r="B3925"/>
  <c r="C3925"/>
  <c r="A3926"/>
  <c r="D3926" s="1"/>
  <c r="B3926"/>
  <c r="C3926"/>
  <c r="A3927"/>
  <c r="D3927" s="1"/>
  <c r="B3927"/>
  <c r="C3927"/>
  <c r="A3928"/>
  <c r="D3928" s="1"/>
  <c r="B3928"/>
  <c r="C3928"/>
  <c r="A3929"/>
  <c r="D3929" s="1"/>
  <c r="B3929"/>
  <c r="C3929"/>
  <c r="A3930"/>
  <c r="D3930" s="1"/>
  <c r="B3930"/>
  <c r="C3930"/>
  <c r="A3931"/>
  <c r="D3931" s="1"/>
  <c r="B3931"/>
  <c r="C3931"/>
  <c r="A3932"/>
  <c r="D3932" s="1"/>
  <c r="B3932"/>
  <c r="C3932"/>
  <c r="A3933"/>
  <c r="D3933" s="1"/>
  <c r="B3933"/>
  <c r="C3933"/>
  <c r="A3934"/>
  <c r="D3934" s="1"/>
  <c r="B3934"/>
  <c r="C3934"/>
  <c r="A3935"/>
  <c r="D3935" s="1"/>
  <c r="B3935"/>
  <c r="C3935"/>
  <c r="A3936"/>
  <c r="D3936" s="1"/>
  <c r="B3936"/>
  <c r="C3936"/>
  <c r="A3937"/>
  <c r="D3937" s="1"/>
  <c r="B3937"/>
  <c r="C3937"/>
  <c r="A3938"/>
  <c r="D3938" s="1"/>
  <c r="B3938"/>
  <c r="C3938"/>
  <c r="A3939"/>
  <c r="D3939" s="1"/>
  <c r="B3939"/>
  <c r="C3939"/>
  <c r="A3940"/>
  <c r="D3940" s="1"/>
  <c r="B3940"/>
  <c r="C3940"/>
  <c r="A3941"/>
  <c r="D3941" s="1"/>
  <c r="B3941"/>
  <c r="C3941"/>
  <c r="A3942"/>
  <c r="D3942" s="1"/>
  <c r="B3942"/>
  <c r="C3942"/>
  <c r="A3943"/>
  <c r="D3943" s="1"/>
  <c r="B3943"/>
  <c r="C3943"/>
  <c r="A3944"/>
  <c r="D3944" s="1"/>
  <c r="B3944"/>
  <c r="C3944"/>
  <c r="A3945"/>
  <c r="D3945" s="1"/>
  <c r="B3945"/>
  <c r="C3945"/>
  <c r="A3946"/>
  <c r="D3946" s="1"/>
  <c r="B3946"/>
  <c r="C3946"/>
  <c r="A3947"/>
  <c r="D3947" s="1"/>
  <c r="B3947"/>
  <c r="C3947"/>
  <c r="A3948"/>
  <c r="D3948" s="1"/>
  <c r="B3948"/>
  <c r="C3948"/>
  <c r="A3949"/>
  <c r="D3949" s="1"/>
  <c r="B3949"/>
  <c r="C3949"/>
  <c r="A3950"/>
  <c r="D3950" s="1"/>
  <c r="B3950"/>
  <c r="C3950"/>
  <c r="A3951"/>
  <c r="D3951" s="1"/>
  <c r="B3951"/>
  <c r="C3951"/>
  <c r="A3952"/>
  <c r="D3952" s="1"/>
  <c r="B3952"/>
  <c r="C3952"/>
  <c r="A3953"/>
  <c r="D3953" s="1"/>
  <c r="B3953"/>
  <c r="C3953"/>
  <c r="A3954"/>
  <c r="D3954" s="1"/>
  <c r="B3954"/>
  <c r="C3954"/>
  <c r="A3955"/>
  <c r="D3955" s="1"/>
  <c r="B3955"/>
  <c r="C3955"/>
  <c r="A3956"/>
  <c r="D3956" s="1"/>
  <c r="B3956"/>
  <c r="C3956"/>
  <c r="A3957"/>
  <c r="D3957" s="1"/>
  <c r="B3957"/>
  <c r="C3957"/>
  <c r="A3958"/>
  <c r="D3958" s="1"/>
  <c r="B3958"/>
  <c r="C3958"/>
  <c r="A3959"/>
  <c r="D3959" s="1"/>
  <c r="B3959"/>
  <c r="C3959"/>
  <c r="A3960"/>
  <c r="D3960" s="1"/>
  <c r="B3960"/>
  <c r="C3960"/>
  <c r="A3961"/>
  <c r="D3961" s="1"/>
  <c r="B3961"/>
  <c r="C3961"/>
  <c r="A3962"/>
  <c r="D3962" s="1"/>
  <c r="B3962"/>
  <c r="C3962"/>
  <c r="A3963"/>
  <c r="D3963" s="1"/>
  <c r="B3963"/>
  <c r="C3963"/>
  <c r="A3964"/>
  <c r="D3964" s="1"/>
  <c r="B3964"/>
  <c r="C3964"/>
  <c r="A3965"/>
  <c r="D3965" s="1"/>
  <c r="B3965"/>
  <c r="C3965"/>
  <c r="A3966"/>
  <c r="D3966" s="1"/>
  <c r="B3966"/>
  <c r="C3966"/>
  <c r="A3967"/>
  <c r="D3967" s="1"/>
  <c r="B3967"/>
  <c r="C3967"/>
  <c r="A3968"/>
  <c r="D3968" s="1"/>
  <c r="B3968"/>
  <c r="C3968"/>
  <c r="A3969"/>
  <c r="D3969" s="1"/>
  <c r="B3969"/>
  <c r="C3969"/>
  <c r="A3970"/>
  <c r="D3970" s="1"/>
  <c r="B3970"/>
  <c r="C3970"/>
  <c r="A3971"/>
  <c r="D3971" s="1"/>
  <c r="B3971"/>
  <c r="C3971"/>
  <c r="A3972"/>
  <c r="D3972" s="1"/>
  <c r="B3972"/>
  <c r="C3972"/>
  <c r="A3973"/>
  <c r="D3973" s="1"/>
  <c r="B3973"/>
  <c r="C3973"/>
  <c r="A3974"/>
  <c r="D3974" s="1"/>
  <c r="B3974"/>
  <c r="C3974"/>
  <c r="A3975"/>
  <c r="D3975" s="1"/>
  <c r="B3975"/>
  <c r="C3975"/>
  <c r="A3976"/>
  <c r="D3976" s="1"/>
  <c r="B3976"/>
  <c r="C3976"/>
  <c r="A3977"/>
  <c r="D3977" s="1"/>
  <c r="B3977"/>
  <c r="C3977"/>
  <c r="A3978"/>
  <c r="D3978" s="1"/>
  <c r="B3978"/>
  <c r="C3978"/>
  <c r="A3979"/>
  <c r="D3979" s="1"/>
  <c r="B3979"/>
  <c r="C3979"/>
  <c r="A3980"/>
  <c r="D3980" s="1"/>
  <c r="B3980"/>
  <c r="C3980"/>
  <c r="A3981"/>
  <c r="D3981" s="1"/>
  <c r="B3981"/>
  <c r="C3981"/>
  <c r="A3982"/>
  <c r="D3982" s="1"/>
  <c r="B3982"/>
  <c r="C3982"/>
  <c r="A3983"/>
  <c r="D3983" s="1"/>
  <c r="B3983"/>
  <c r="C3983"/>
  <c r="A3984"/>
  <c r="D3984" s="1"/>
  <c r="B3984"/>
  <c r="C3984"/>
  <c r="A3985"/>
  <c r="D3985" s="1"/>
  <c r="B3985"/>
  <c r="C3985"/>
  <c r="A3986"/>
  <c r="D3986" s="1"/>
  <c r="B3986"/>
  <c r="C3986"/>
  <c r="A3987"/>
  <c r="D3987" s="1"/>
  <c r="B3987"/>
  <c r="C3987"/>
  <c r="A3988"/>
  <c r="D3988" s="1"/>
  <c r="B3988"/>
  <c r="C3988"/>
  <c r="A3989"/>
  <c r="D3989" s="1"/>
  <c r="B3989"/>
  <c r="C3989"/>
  <c r="A3990"/>
  <c r="D3990" s="1"/>
  <c r="B3990"/>
  <c r="C3990"/>
  <c r="A3991"/>
  <c r="D3991" s="1"/>
  <c r="B3991"/>
  <c r="C3991"/>
  <c r="A3992"/>
  <c r="D3992" s="1"/>
  <c r="B3992"/>
  <c r="C3992"/>
  <c r="A3993"/>
  <c r="D3993" s="1"/>
  <c r="B3993"/>
  <c r="C3993"/>
  <c r="A3994"/>
  <c r="D3994" s="1"/>
  <c r="B3994"/>
  <c r="C3994"/>
  <c r="A3995"/>
  <c r="D3995" s="1"/>
  <c r="B3995"/>
  <c r="C3995"/>
  <c r="A3996"/>
  <c r="D3996" s="1"/>
  <c r="B3996"/>
  <c r="C3996"/>
  <c r="A3997"/>
  <c r="D3997" s="1"/>
  <c r="B3997"/>
  <c r="C3997"/>
  <c r="A3998"/>
  <c r="D3998" s="1"/>
  <c r="B3998"/>
  <c r="C3998"/>
  <c r="A3999"/>
  <c r="D3999" s="1"/>
  <c r="B3999"/>
  <c r="C3999"/>
  <c r="A4000"/>
  <c r="D4000" s="1"/>
  <c r="B4000"/>
  <c r="C4000"/>
  <c r="A4001"/>
  <c r="D4001" s="1"/>
  <c r="B4001"/>
  <c r="C4001"/>
  <c r="A4002"/>
  <c r="D4002" s="1"/>
  <c r="B4002"/>
  <c r="C4002"/>
  <c r="A4003"/>
  <c r="D4003" s="1"/>
  <c r="B4003"/>
  <c r="C4003"/>
  <c r="A4004"/>
  <c r="D4004" s="1"/>
  <c r="B4004"/>
  <c r="C4004"/>
  <c r="A4005"/>
  <c r="D4005" s="1"/>
  <c r="B4005"/>
  <c r="C4005"/>
  <c r="A4006"/>
  <c r="D4006" s="1"/>
  <c r="B4006"/>
  <c r="C4006"/>
  <c r="A4007"/>
  <c r="D4007" s="1"/>
  <c r="B4007"/>
  <c r="C4007"/>
  <c r="A4008"/>
  <c r="D4008" s="1"/>
  <c r="B4008"/>
  <c r="C4008"/>
  <c r="A4009"/>
  <c r="D4009" s="1"/>
  <c r="B4009"/>
  <c r="C4009"/>
  <c r="A4010"/>
  <c r="D4010" s="1"/>
  <c r="B4010"/>
  <c r="C4010"/>
  <c r="A4011"/>
  <c r="D4011" s="1"/>
  <c r="B4011"/>
  <c r="C4011"/>
  <c r="A4012"/>
  <c r="D4012" s="1"/>
  <c r="B4012"/>
  <c r="C4012"/>
  <c r="A4013"/>
  <c r="D4013" s="1"/>
  <c r="B4013"/>
  <c r="C4013"/>
  <c r="A4014"/>
  <c r="D4014" s="1"/>
  <c r="B4014"/>
  <c r="C4014"/>
  <c r="A4015"/>
  <c r="D4015" s="1"/>
  <c r="B4015"/>
  <c r="C4015"/>
  <c r="A4016"/>
  <c r="D4016" s="1"/>
  <c r="B4016"/>
  <c r="C4016"/>
  <c r="A4017"/>
  <c r="D4017" s="1"/>
  <c r="B4017"/>
  <c r="C4017"/>
  <c r="A4018"/>
  <c r="D4018" s="1"/>
  <c r="B4018"/>
  <c r="C4018"/>
  <c r="A4019"/>
  <c r="D4019" s="1"/>
  <c r="B4019"/>
  <c r="C4019"/>
  <c r="A4020"/>
  <c r="D4020" s="1"/>
  <c r="B4020"/>
  <c r="C4020"/>
  <c r="A4021"/>
  <c r="D4021" s="1"/>
  <c r="B4021"/>
  <c r="C4021"/>
  <c r="A4022"/>
  <c r="D4022" s="1"/>
  <c r="B4022"/>
  <c r="C4022"/>
  <c r="A4023"/>
  <c r="D4023" s="1"/>
  <c r="B4023"/>
  <c r="C4023"/>
  <c r="A4024"/>
  <c r="D4024" s="1"/>
  <c r="B4024"/>
  <c r="C4024"/>
  <c r="A4025"/>
  <c r="D4025" s="1"/>
  <c r="B4025"/>
  <c r="C4025"/>
  <c r="A4026"/>
  <c r="D4026" s="1"/>
  <c r="B4026"/>
  <c r="C4026"/>
  <c r="A4027"/>
  <c r="D4027" s="1"/>
  <c r="B4027"/>
  <c r="C4027"/>
  <c r="A4028"/>
  <c r="D4028" s="1"/>
  <c r="B4028"/>
  <c r="C4028"/>
  <c r="A4029"/>
  <c r="D4029" s="1"/>
  <c r="B4029"/>
  <c r="C4029"/>
  <c r="A4030"/>
  <c r="D4030" s="1"/>
  <c r="B4030"/>
  <c r="C4030"/>
  <c r="A4031"/>
  <c r="D4031" s="1"/>
  <c r="B4031"/>
  <c r="C4031"/>
  <c r="A4032"/>
  <c r="D4032" s="1"/>
  <c r="B4032"/>
  <c r="C4032"/>
  <c r="A4033"/>
  <c r="D4033" s="1"/>
  <c r="B4033"/>
  <c r="C4033"/>
  <c r="A4034"/>
  <c r="D4034" s="1"/>
  <c r="B4034"/>
  <c r="C4034"/>
  <c r="A4035"/>
  <c r="D4035" s="1"/>
  <c r="B4035"/>
  <c r="C4035"/>
  <c r="A4036"/>
  <c r="D4036" s="1"/>
  <c r="B4036"/>
  <c r="C4036"/>
  <c r="A4037"/>
  <c r="D4037" s="1"/>
  <c r="B4037"/>
  <c r="C4037"/>
  <c r="A4038"/>
  <c r="D4038" s="1"/>
  <c r="B4038"/>
  <c r="C4038"/>
  <c r="A4039"/>
  <c r="D4039" s="1"/>
  <c r="B4039"/>
  <c r="C4039"/>
  <c r="A4040"/>
  <c r="D4040" s="1"/>
  <c r="B4040"/>
  <c r="C4040"/>
  <c r="A4041"/>
  <c r="D4041" s="1"/>
  <c r="B4041"/>
  <c r="C4041"/>
  <c r="A4042"/>
  <c r="D4042" s="1"/>
  <c r="B4042"/>
  <c r="C4042"/>
  <c r="A4043"/>
  <c r="D4043" s="1"/>
  <c r="B4043"/>
  <c r="C4043"/>
  <c r="A4044"/>
  <c r="D4044" s="1"/>
  <c r="B4044"/>
  <c r="C4044"/>
  <c r="A4045"/>
  <c r="D4045" s="1"/>
  <c r="B4045"/>
  <c r="C4045"/>
  <c r="A4046"/>
  <c r="D4046" s="1"/>
  <c r="B4046"/>
  <c r="C4046"/>
  <c r="A4047"/>
  <c r="D4047" s="1"/>
  <c r="B4047"/>
  <c r="C4047"/>
  <c r="A4048"/>
  <c r="D4048" s="1"/>
  <c r="B4048"/>
  <c r="C4048"/>
  <c r="A4049"/>
  <c r="D4049" s="1"/>
  <c r="B4049"/>
  <c r="C4049"/>
  <c r="A4050"/>
  <c r="D4050" s="1"/>
  <c r="B4050"/>
  <c r="C4050"/>
  <c r="A4051"/>
  <c r="D4051" s="1"/>
  <c r="B4051"/>
  <c r="C4051"/>
  <c r="A4052"/>
  <c r="D4052" s="1"/>
  <c r="B4052"/>
  <c r="C4052"/>
  <c r="A4053"/>
  <c r="D4053" s="1"/>
  <c r="B4053"/>
  <c r="C4053"/>
  <c r="A4054"/>
  <c r="D4054" s="1"/>
  <c r="B4054"/>
  <c r="C4054"/>
  <c r="A4055"/>
  <c r="D4055" s="1"/>
  <c r="B4055"/>
  <c r="C4055"/>
  <c r="A4056"/>
  <c r="D4056" s="1"/>
  <c r="B4056"/>
  <c r="C4056"/>
  <c r="A4057"/>
  <c r="D4057" s="1"/>
  <c r="B4057"/>
  <c r="C4057"/>
  <c r="A4058"/>
  <c r="D4058" s="1"/>
  <c r="B4058"/>
  <c r="C4058"/>
  <c r="A4059"/>
  <c r="D4059" s="1"/>
  <c r="B4059"/>
  <c r="C4059"/>
  <c r="A4060"/>
  <c r="D4060" s="1"/>
  <c r="B4060"/>
  <c r="C4060"/>
  <c r="A4061"/>
  <c r="D4061" s="1"/>
  <c r="B4061"/>
  <c r="C4061"/>
  <c r="A4062"/>
  <c r="D4062" s="1"/>
  <c r="B4062"/>
  <c r="C4062"/>
  <c r="A4063"/>
  <c r="D4063" s="1"/>
  <c r="F4063" s="1"/>
  <c r="B4063"/>
  <c r="C4063"/>
  <c r="A4064"/>
  <c r="D4064" s="1"/>
  <c r="B4064"/>
  <c r="C4064"/>
  <c r="A4065"/>
  <c r="D4065" s="1"/>
  <c r="E4065" s="1"/>
  <c r="G4065" s="1"/>
  <c r="B4065"/>
  <c r="C4065"/>
  <c r="A4066"/>
  <c r="D4066" s="1"/>
  <c r="B4066"/>
  <c r="C4066"/>
  <c r="C8"/>
  <c r="B8"/>
  <c r="A8"/>
  <c r="D8" s="1"/>
  <c r="A5" i="32917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8"/>
  <c r="B128"/>
  <c r="C128"/>
  <c r="D128"/>
  <c r="E128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AF260"/>
  <c r="AE260"/>
  <c r="O260"/>
  <c r="N260"/>
  <c r="M260"/>
  <c r="L260"/>
  <c r="AF259"/>
  <c r="AE259"/>
  <c r="O259"/>
  <c r="N259"/>
  <c r="M259"/>
  <c r="L259"/>
  <c r="AF258"/>
  <c r="AE258"/>
  <c r="O258"/>
  <c r="N258"/>
  <c r="M258"/>
  <c r="L258"/>
  <c r="AF257"/>
  <c r="AE257"/>
  <c r="O257"/>
  <c r="N257"/>
  <c r="M257"/>
  <c r="L257"/>
  <c r="AF256"/>
  <c r="AE256"/>
  <c r="O256"/>
  <c r="N256"/>
  <c r="M256"/>
  <c r="L256"/>
  <c r="AF255"/>
  <c r="AE255"/>
  <c r="O255"/>
  <c r="N255"/>
  <c r="M255"/>
  <c r="L255"/>
  <c r="AF254"/>
  <c r="AE254"/>
  <c r="O254"/>
  <c r="N254"/>
  <c r="M254"/>
  <c r="L254"/>
  <c r="AF253"/>
  <c r="AE253"/>
  <c r="O253"/>
  <c r="N253"/>
  <c r="M253"/>
  <c r="L253"/>
  <c r="AF252"/>
  <c r="AE252"/>
  <c r="O252"/>
  <c r="N252"/>
  <c r="M252"/>
  <c r="L252"/>
  <c r="AF251"/>
  <c r="AE251"/>
  <c r="O251"/>
  <c r="N251"/>
  <c r="M251"/>
  <c r="L251"/>
  <c r="AF250"/>
  <c r="AE250"/>
  <c r="O250"/>
  <c r="N250"/>
  <c r="M250"/>
  <c r="L250"/>
  <c r="AF249"/>
  <c r="AE249"/>
  <c r="O249"/>
  <c r="N249"/>
  <c r="M249"/>
  <c r="L249"/>
  <c r="AF248"/>
  <c r="AE248"/>
  <c r="O248"/>
  <c r="N248"/>
  <c r="M248"/>
  <c r="L248"/>
  <c r="AF247"/>
  <c r="AE247"/>
  <c r="O247"/>
  <c r="N247"/>
  <c r="M247"/>
  <c r="L247"/>
  <c r="AF246"/>
  <c r="AE246"/>
  <c r="O246"/>
  <c r="N246"/>
  <c r="M246"/>
  <c r="L246"/>
  <c r="AF245"/>
  <c r="AE245"/>
  <c r="O245"/>
  <c r="N245"/>
  <c r="M245"/>
  <c r="L245"/>
  <c r="AF244"/>
  <c r="AE244"/>
  <c r="O244"/>
  <c r="N244"/>
  <c r="M244"/>
  <c r="L244"/>
  <c r="AF243"/>
  <c r="AE243"/>
  <c r="O243"/>
  <c r="N243"/>
  <c r="M243"/>
  <c r="L243"/>
  <c r="AF242"/>
  <c r="AE242"/>
  <c r="O242"/>
  <c r="N242"/>
  <c r="M242"/>
  <c r="L242"/>
  <c r="AF241"/>
  <c r="AE241"/>
  <c r="O241"/>
  <c r="N241"/>
  <c r="M241"/>
  <c r="L241"/>
  <c r="AF240"/>
  <c r="AE240"/>
  <c r="O240"/>
  <c r="N240"/>
  <c r="M240"/>
  <c r="L240"/>
  <c r="AF239"/>
  <c r="AE239"/>
  <c r="O239"/>
  <c r="N239"/>
  <c r="M239"/>
  <c r="L239"/>
  <c r="AF238"/>
  <c r="AE238"/>
  <c r="O238"/>
  <c r="N238"/>
  <c r="M238"/>
  <c r="L238"/>
  <c r="AF237"/>
  <c r="AE237"/>
  <c r="O237"/>
  <c r="N237"/>
  <c r="M237"/>
  <c r="L237"/>
  <c r="AF236"/>
  <c r="AE236"/>
  <c r="O236"/>
  <c r="N236"/>
  <c r="M236"/>
  <c r="L236"/>
  <c r="AF235"/>
  <c r="AE235"/>
  <c r="O235"/>
  <c r="N235"/>
  <c r="M235"/>
  <c r="L235"/>
  <c r="AF234"/>
  <c r="AE234"/>
  <c r="O234"/>
  <c r="N234"/>
  <c r="M234"/>
  <c r="L234"/>
  <c r="AF233"/>
  <c r="AE233"/>
  <c r="O233"/>
  <c r="N233"/>
  <c r="M233"/>
  <c r="L233"/>
  <c r="AF232"/>
  <c r="AE232"/>
  <c r="O232"/>
  <c r="N232"/>
  <c r="M232"/>
  <c r="L232"/>
  <c r="AF231"/>
  <c r="AE231"/>
  <c r="O231"/>
  <c r="N231"/>
  <c r="M231"/>
  <c r="L231"/>
  <c r="AF230"/>
  <c r="AE230"/>
  <c r="O230"/>
  <c r="N230"/>
  <c r="M230"/>
  <c r="L230"/>
  <c r="AF229"/>
  <c r="AE229"/>
  <c r="O229"/>
  <c r="N229"/>
  <c r="M229"/>
  <c r="L229"/>
  <c r="AF228"/>
  <c r="AE228"/>
  <c r="O228"/>
  <c r="N228"/>
  <c r="M228"/>
  <c r="L228"/>
  <c r="AF227"/>
  <c r="AE227"/>
  <c r="O227"/>
  <c r="N227"/>
  <c r="M227"/>
  <c r="L227"/>
  <c r="AF226"/>
  <c r="AE226"/>
  <c r="O226"/>
  <c r="N226"/>
  <c r="M226"/>
  <c r="L226"/>
  <c r="AF225"/>
  <c r="AE225"/>
  <c r="O225"/>
  <c r="N225"/>
  <c r="M225"/>
  <c r="L225"/>
  <c r="AF224"/>
  <c r="AE224"/>
  <c r="O224"/>
  <c r="N224"/>
  <c r="M224"/>
  <c r="L224"/>
  <c r="AF223"/>
  <c r="AE223"/>
  <c r="O223"/>
  <c r="N223"/>
  <c r="M223"/>
  <c r="L223"/>
  <c r="AF222"/>
  <c r="AE222"/>
  <c r="O222"/>
  <c r="N222"/>
  <c r="M222"/>
  <c r="L222"/>
  <c r="AF221"/>
  <c r="AE221"/>
  <c r="O221"/>
  <c r="N221"/>
  <c r="M221"/>
  <c r="L221"/>
  <c r="AF220"/>
  <c r="AE220"/>
  <c r="O220"/>
  <c r="N220"/>
  <c r="M220"/>
  <c r="L220"/>
  <c r="AF219"/>
  <c r="AE219"/>
  <c r="O219"/>
  <c r="N219"/>
  <c r="M219"/>
  <c r="L219"/>
  <c r="AF218"/>
  <c r="AE218"/>
  <c r="O218"/>
  <c r="N218"/>
  <c r="M218"/>
  <c r="L218"/>
  <c r="AF217"/>
  <c r="AE217"/>
  <c r="O217"/>
  <c r="N217"/>
  <c r="M217"/>
  <c r="L217"/>
  <c r="AF216"/>
  <c r="AE216"/>
  <c r="O216"/>
  <c r="N216"/>
  <c r="M216"/>
  <c r="L216"/>
  <c r="AF215"/>
  <c r="AE215"/>
  <c r="O215"/>
  <c r="N215"/>
  <c r="M215"/>
  <c r="L215"/>
  <c r="AF214"/>
  <c r="AE214"/>
  <c r="O214"/>
  <c r="N214"/>
  <c r="M214"/>
  <c r="L214"/>
  <c r="AF213"/>
  <c r="AE213"/>
  <c r="O213"/>
  <c r="N213"/>
  <c r="M213"/>
  <c r="L213"/>
  <c r="AF212"/>
  <c r="AE212"/>
  <c r="O212"/>
  <c r="N212"/>
  <c r="M212"/>
  <c r="L212"/>
  <c r="AF211"/>
  <c r="AE211"/>
  <c r="O211"/>
  <c r="N211"/>
  <c r="M211"/>
  <c r="L211"/>
  <c r="AF210"/>
  <c r="AE210"/>
  <c r="O210"/>
  <c r="N210"/>
  <c r="M210"/>
  <c r="L210"/>
  <c r="AF209"/>
  <c r="AE209"/>
  <c r="O209"/>
  <c r="N209"/>
  <c r="M209"/>
  <c r="L209"/>
  <c r="AF208"/>
  <c r="AE208"/>
  <c r="O208"/>
  <c r="N208"/>
  <c r="M208"/>
  <c r="L208"/>
  <c r="AF207"/>
  <c r="AE207"/>
  <c r="O207"/>
  <c r="N207"/>
  <c r="M207"/>
  <c r="L207"/>
  <c r="AF206"/>
  <c r="AE206"/>
  <c r="O206"/>
  <c r="N206"/>
  <c r="M206"/>
  <c r="L206"/>
  <c r="AF205"/>
  <c r="AE205"/>
  <c r="O205"/>
  <c r="N205"/>
  <c r="M205"/>
  <c r="L205"/>
  <c r="AF204"/>
  <c r="AE204"/>
  <c r="O204"/>
  <c r="N204"/>
  <c r="M204"/>
  <c r="L204"/>
  <c r="AF203"/>
  <c r="AE203"/>
  <c r="O203"/>
  <c r="N203"/>
  <c r="M203"/>
  <c r="L203"/>
  <c r="AF202"/>
  <c r="AE202"/>
  <c r="O202"/>
  <c r="N202"/>
  <c r="M202"/>
  <c r="L202"/>
  <c r="AF201"/>
  <c r="AE201"/>
  <c r="O201"/>
  <c r="N201"/>
  <c r="M201"/>
  <c r="L201"/>
  <c r="AF200"/>
  <c r="AE200"/>
  <c r="O200"/>
  <c r="N200"/>
  <c r="M200"/>
  <c r="L200"/>
  <c r="AF199"/>
  <c r="AE199"/>
  <c r="O199"/>
  <c r="N199"/>
  <c r="M199"/>
  <c r="L199"/>
  <c r="AF198"/>
  <c r="AE198"/>
  <c r="O198"/>
  <c r="N198"/>
  <c r="M198"/>
  <c r="L198"/>
  <c r="AF197"/>
  <c r="AE197"/>
  <c r="O197"/>
  <c r="N197"/>
  <c r="M197"/>
  <c r="L197"/>
  <c r="AF196"/>
  <c r="AE196"/>
  <c r="O196"/>
  <c r="N196"/>
  <c r="M196"/>
  <c r="L196"/>
  <c r="AF195"/>
  <c r="AE195"/>
  <c r="O195"/>
  <c r="N195"/>
  <c r="M195"/>
  <c r="L195"/>
  <c r="AF194"/>
  <c r="AE194"/>
  <c r="O194"/>
  <c r="N194"/>
  <c r="M194"/>
  <c r="L194"/>
  <c r="AF193"/>
  <c r="AE193"/>
  <c r="O193"/>
  <c r="N193"/>
  <c r="M193"/>
  <c r="L193"/>
  <c r="AF192"/>
  <c r="AE192"/>
  <c r="O192"/>
  <c r="N192"/>
  <c r="M192"/>
  <c r="L192"/>
  <c r="AF191"/>
  <c r="AE191"/>
  <c r="O191"/>
  <c r="N191"/>
  <c r="M191"/>
  <c r="L191"/>
  <c r="AF190"/>
  <c r="AE190"/>
  <c r="O190"/>
  <c r="N190"/>
  <c r="M190"/>
  <c r="L190"/>
  <c r="AF189"/>
  <c r="AE189"/>
  <c r="O189"/>
  <c r="N189"/>
  <c r="M189"/>
  <c r="L189"/>
  <c r="AF188"/>
  <c r="AE188"/>
  <c r="O188"/>
  <c r="N188"/>
  <c r="M188"/>
  <c r="L188"/>
  <c r="AF187"/>
  <c r="AE187"/>
  <c r="O187"/>
  <c r="N187"/>
  <c r="M187"/>
  <c r="L187"/>
  <c r="AF186"/>
  <c r="AE186"/>
  <c r="O186"/>
  <c r="N186"/>
  <c r="M186"/>
  <c r="L186"/>
  <c r="AF185"/>
  <c r="AE185"/>
  <c r="O185"/>
  <c r="N185"/>
  <c r="M185"/>
  <c r="L185"/>
  <c r="AF184"/>
  <c r="AE184"/>
  <c r="O184"/>
  <c r="N184"/>
  <c r="M184"/>
  <c r="L184"/>
  <c r="AF183"/>
  <c r="AE183"/>
  <c r="O183"/>
  <c r="N183"/>
  <c r="M183"/>
  <c r="L183"/>
  <c r="AF182"/>
  <c r="AE182"/>
  <c r="O182"/>
  <c r="N182"/>
  <c r="M182"/>
  <c r="L182"/>
  <c r="AF181"/>
  <c r="AE181"/>
  <c r="O181"/>
  <c r="N181"/>
  <c r="M181"/>
  <c r="L181"/>
  <c r="AF180"/>
  <c r="AE180"/>
  <c r="O180"/>
  <c r="N180"/>
  <c r="M180"/>
  <c r="L180"/>
  <c r="AF179"/>
  <c r="AE179"/>
  <c r="O179"/>
  <c r="N179"/>
  <c r="M179"/>
  <c r="L179"/>
  <c r="AF178"/>
  <c r="AE178"/>
  <c r="O178"/>
  <c r="N178"/>
  <c r="M178"/>
  <c r="L178"/>
  <c r="AF177"/>
  <c r="AE177"/>
  <c r="O177"/>
  <c r="N177"/>
  <c r="M177"/>
  <c r="L177"/>
  <c r="AF176"/>
  <c r="AE176"/>
  <c r="O176"/>
  <c r="N176"/>
  <c r="M176"/>
  <c r="L176"/>
  <c r="AF175"/>
  <c r="AE175"/>
  <c r="O175"/>
  <c r="N175"/>
  <c r="M175"/>
  <c r="L175"/>
  <c r="AF174"/>
  <c r="AE174"/>
  <c r="O174"/>
  <c r="N174"/>
  <c r="M174"/>
  <c r="L174"/>
  <c r="AF173"/>
  <c r="AE173"/>
  <c r="O173"/>
  <c r="N173"/>
  <c r="M173"/>
  <c r="L173"/>
  <c r="AF172"/>
  <c r="AE172"/>
  <c r="O172"/>
  <c r="N172"/>
  <c r="M172"/>
  <c r="L172"/>
  <c r="AF171"/>
  <c r="AE171"/>
  <c r="O171"/>
  <c r="N171"/>
  <c r="M171"/>
  <c r="L171"/>
  <c r="AF170"/>
  <c r="AE170"/>
  <c r="O170"/>
  <c r="N170"/>
  <c r="M170"/>
  <c r="L170"/>
  <c r="AF169"/>
  <c r="AE169"/>
  <c r="O169"/>
  <c r="N169"/>
  <c r="M169"/>
  <c r="L169"/>
  <c r="AF168"/>
  <c r="AE168"/>
  <c r="O168"/>
  <c r="N168"/>
  <c r="M168"/>
  <c r="L168"/>
  <c r="AF167"/>
  <c r="AE167"/>
  <c r="O167"/>
  <c r="N167"/>
  <c r="M167"/>
  <c r="L167"/>
  <c r="AF166"/>
  <c r="AE166"/>
  <c r="O166"/>
  <c r="N166"/>
  <c r="M166"/>
  <c r="L166"/>
  <c r="AF165"/>
  <c r="AE165"/>
  <c r="O165"/>
  <c r="N165"/>
  <c r="M165"/>
  <c r="L165"/>
  <c r="AF164"/>
  <c r="AE164"/>
  <c r="O164"/>
  <c r="N164"/>
  <c r="M164"/>
  <c r="L164"/>
  <c r="AF163"/>
  <c r="AE163"/>
  <c r="O163"/>
  <c r="N163"/>
  <c r="M163"/>
  <c r="L163"/>
  <c r="AF162"/>
  <c r="AE162"/>
  <c r="O162"/>
  <c r="N162"/>
  <c r="M162"/>
  <c r="L162"/>
  <c r="AF161"/>
  <c r="AE161"/>
  <c r="O161"/>
  <c r="N161"/>
  <c r="M161"/>
  <c r="L161"/>
  <c r="AF160"/>
  <c r="AE160"/>
  <c r="O160"/>
  <c r="N160"/>
  <c r="M160"/>
  <c r="L160"/>
  <c r="AF159"/>
  <c r="AE159"/>
  <c r="O159"/>
  <c r="N159"/>
  <c r="M159"/>
  <c r="L159"/>
  <c r="AF158"/>
  <c r="AE158"/>
  <c r="O158"/>
  <c r="N158"/>
  <c r="M158"/>
  <c r="L158"/>
  <c r="AF157"/>
  <c r="AE157"/>
  <c r="O157"/>
  <c r="N157"/>
  <c r="M157"/>
  <c r="L157"/>
  <c r="AF156"/>
  <c r="AE156"/>
  <c r="O156"/>
  <c r="N156"/>
  <c r="M156"/>
  <c r="L156"/>
  <c r="AF155"/>
  <c r="AE155"/>
  <c r="O155"/>
  <c r="N155"/>
  <c r="M155"/>
  <c r="L155"/>
  <c r="AF154"/>
  <c r="AE154"/>
  <c r="O154"/>
  <c r="N154"/>
  <c r="M154"/>
  <c r="L154"/>
  <c r="AF153"/>
  <c r="AE153"/>
  <c r="O153"/>
  <c r="N153"/>
  <c r="M153"/>
  <c r="L153"/>
  <c r="AF152"/>
  <c r="AE152"/>
  <c r="O152"/>
  <c r="N152"/>
  <c r="M152"/>
  <c r="L152"/>
  <c r="AF151"/>
  <c r="AE151"/>
  <c r="O151"/>
  <c r="N151"/>
  <c r="M151"/>
  <c r="L151"/>
  <c r="AF150"/>
  <c r="AE150"/>
  <c r="O150"/>
  <c r="N150"/>
  <c r="M150"/>
  <c r="L150"/>
  <c r="AF149"/>
  <c r="AE149"/>
  <c r="O149"/>
  <c r="N149"/>
  <c r="M149"/>
  <c r="L149"/>
  <c r="AF148"/>
  <c r="AE148"/>
  <c r="O148"/>
  <c r="N148"/>
  <c r="M148"/>
  <c r="L148"/>
  <c r="AF147"/>
  <c r="AE147"/>
  <c r="O147"/>
  <c r="N147"/>
  <c r="M147"/>
  <c r="L147"/>
  <c r="AF146"/>
  <c r="AE146"/>
  <c r="O146"/>
  <c r="N146"/>
  <c r="M146"/>
  <c r="L146"/>
  <c r="AF145"/>
  <c r="AE145"/>
  <c r="O145"/>
  <c r="N145"/>
  <c r="M145"/>
  <c r="L145"/>
  <c r="AF144"/>
  <c r="AE144"/>
  <c r="O144"/>
  <c r="N144"/>
  <c r="M144"/>
  <c r="L144"/>
  <c r="AF143"/>
  <c r="AE143"/>
  <c r="O143"/>
  <c r="N143"/>
  <c r="M143"/>
  <c r="L143"/>
  <c r="AF142"/>
  <c r="AE142"/>
  <c r="O142"/>
  <c r="N142"/>
  <c r="M142"/>
  <c r="L142"/>
  <c r="AF141"/>
  <c r="AE141"/>
  <c r="O141"/>
  <c r="N141"/>
  <c r="M141"/>
  <c r="L141"/>
  <c r="AF140"/>
  <c r="AE140"/>
  <c r="O140"/>
  <c r="N140"/>
  <c r="M140"/>
  <c r="L140"/>
  <c r="AF139"/>
  <c r="AE139"/>
  <c r="O139"/>
  <c r="N139"/>
  <c r="M139"/>
  <c r="L139"/>
  <c r="AF138"/>
  <c r="AE138"/>
  <c r="O138"/>
  <c r="N138"/>
  <c r="M138"/>
  <c r="L138"/>
  <c r="AF137"/>
  <c r="AE137"/>
  <c r="O137"/>
  <c r="N137"/>
  <c r="M137"/>
  <c r="L137"/>
  <c r="AF136"/>
  <c r="AE136"/>
  <c r="O136"/>
  <c r="N136"/>
  <c r="M136"/>
  <c r="L136"/>
  <c r="AF135"/>
  <c r="AE135"/>
  <c r="O135"/>
  <c r="N135"/>
  <c r="M135"/>
  <c r="L135"/>
  <c r="AF134"/>
  <c r="AE134"/>
  <c r="O134"/>
  <c r="N134"/>
  <c r="M134"/>
  <c r="L134"/>
  <c r="AF133"/>
  <c r="AE133"/>
  <c r="O133"/>
  <c r="N133"/>
  <c r="M133"/>
  <c r="L133"/>
  <c r="AF132"/>
  <c r="AE132"/>
  <c r="O132"/>
  <c r="N132"/>
  <c r="M132"/>
  <c r="L132"/>
  <c r="AF131"/>
  <c r="AE131"/>
  <c r="O131"/>
  <c r="N131"/>
  <c r="M131"/>
  <c r="L131"/>
  <c r="AF130"/>
  <c r="AE130"/>
  <c r="O130"/>
  <c r="N130"/>
  <c r="M130"/>
  <c r="L130"/>
  <c r="AF129"/>
  <c r="AE129"/>
  <c r="O129"/>
  <c r="N129"/>
  <c r="M129"/>
  <c r="L129"/>
  <c r="AF128"/>
  <c r="AE128"/>
  <c r="O128"/>
  <c r="N128"/>
  <c r="M128"/>
  <c r="L128"/>
  <c r="AF127"/>
  <c r="AE127"/>
  <c r="O127"/>
  <c r="N127"/>
  <c r="M127"/>
  <c r="L127"/>
  <c r="AF126"/>
  <c r="AE126"/>
  <c r="O126"/>
  <c r="N126"/>
  <c r="M126"/>
  <c r="L126"/>
  <c r="AF125"/>
  <c r="AE125"/>
  <c r="O125"/>
  <c r="N125"/>
  <c r="M125"/>
  <c r="L125"/>
  <c r="AF124"/>
  <c r="AE124"/>
  <c r="O124"/>
  <c r="N124"/>
  <c r="M124"/>
  <c r="L124"/>
  <c r="AF123"/>
  <c r="AE123"/>
  <c r="O123"/>
  <c r="N123"/>
  <c r="M123"/>
  <c r="L123"/>
  <c r="AF122"/>
  <c r="AE122"/>
  <c r="O122"/>
  <c r="N122"/>
  <c r="M122"/>
  <c r="L122"/>
  <c r="AF121"/>
  <c r="AE121"/>
  <c r="O121"/>
  <c r="N121"/>
  <c r="M121"/>
  <c r="L121"/>
  <c r="AF120"/>
  <c r="AE120"/>
  <c r="O120"/>
  <c r="N120"/>
  <c r="M120"/>
  <c r="L120"/>
  <c r="AF119"/>
  <c r="AE119"/>
  <c r="O119"/>
  <c r="N119"/>
  <c r="M119"/>
  <c r="L119"/>
  <c r="AF118"/>
  <c r="AE118"/>
  <c r="O118"/>
  <c r="N118"/>
  <c r="M118"/>
  <c r="L118"/>
  <c r="AF117"/>
  <c r="AE117"/>
  <c r="O117"/>
  <c r="N117"/>
  <c r="M117"/>
  <c r="L117"/>
  <c r="AF116"/>
  <c r="AE116"/>
  <c r="O116"/>
  <c r="N116"/>
  <c r="M116"/>
  <c r="L116"/>
  <c r="AF115"/>
  <c r="AE115"/>
  <c r="O115"/>
  <c r="N115"/>
  <c r="M115"/>
  <c r="L115"/>
  <c r="AF114"/>
  <c r="AE114"/>
  <c r="O114"/>
  <c r="N114"/>
  <c r="M114"/>
  <c r="L114"/>
  <c r="AF113"/>
  <c r="AE113"/>
  <c r="O113"/>
  <c r="N113"/>
  <c r="M113"/>
  <c r="L113"/>
  <c r="AF112"/>
  <c r="AE112"/>
  <c r="O112"/>
  <c r="N112"/>
  <c r="M112"/>
  <c r="L112"/>
  <c r="AF111"/>
  <c r="AE111"/>
  <c r="O111"/>
  <c r="N111"/>
  <c r="M111"/>
  <c r="L111"/>
  <c r="AF110"/>
  <c r="AE110"/>
  <c r="O110"/>
  <c r="N110"/>
  <c r="M110"/>
  <c r="L110"/>
  <c r="AF109"/>
  <c r="AE109"/>
  <c r="O109"/>
  <c r="N109"/>
  <c r="M109"/>
  <c r="L109"/>
  <c r="AF108"/>
  <c r="AE108"/>
  <c r="O108"/>
  <c r="N108"/>
  <c r="M108"/>
  <c r="L108"/>
  <c r="AF107"/>
  <c r="AE107"/>
  <c r="O107"/>
  <c r="N107"/>
  <c r="M107"/>
  <c r="L107"/>
  <c r="AF106"/>
  <c r="AE106"/>
  <c r="O106"/>
  <c r="N106"/>
  <c r="M106"/>
  <c r="L106"/>
  <c r="AF105"/>
  <c r="AE105"/>
  <c r="O105"/>
  <c r="N105"/>
  <c r="M105"/>
  <c r="L105"/>
  <c r="AF104"/>
  <c r="AE104"/>
  <c r="O104"/>
  <c r="N104"/>
  <c r="M104"/>
  <c r="L104"/>
  <c r="AF103"/>
  <c r="AE103"/>
  <c r="O103"/>
  <c r="N103"/>
  <c r="M103"/>
  <c r="L103"/>
  <c r="AF102"/>
  <c r="AE102"/>
  <c r="O102"/>
  <c r="N102"/>
  <c r="M102"/>
  <c r="L102"/>
  <c r="AF101"/>
  <c r="AE101"/>
  <c r="O101"/>
  <c r="N101"/>
  <c r="M101"/>
  <c r="L101"/>
  <c r="AF100"/>
  <c r="AE100"/>
  <c r="O100"/>
  <c r="N100"/>
  <c r="M100"/>
  <c r="L100"/>
  <c r="AF99"/>
  <c r="AE99"/>
  <c r="O99"/>
  <c r="N99"/>
  <c r="M99"/>
  <c r="L99"/>
  <c r="AF98"/>
  <c r="AE98"/>
  <c r="O98"/>
  <c r="N98"/>
  <c r="M98"/>
  <c r="L98"/>
  <c r="AF97"/>
  <c r="AE97"/>
  <c r="O97"/>
  <c r="N97"/>
  <c r="M97"/>
  <c r="L97"/>
  <c r="AF96"/>
  <c r="AE96"/>
  <c r="O96"/>
  <c r="N96"/>
  <c r="M96"/>
  <c r="L96"/>
  <c r="AF95"/>
  <c r="AE95"/>
  <c r="O95"/>
  <c r="N95"/>
  <c r="M95"/>
  <c r="L95"/>
  <c r="AF94"/>
  <c r="AE94"/>
  <c r="O94"/>
  <c r="N94"/>
  <c r="M94"/>
  <c r="L94"/>
  <c r="AF93"/>
  <c r="AE93"/>
  <c r="O93"/>
  <c r="N93"/>
  <c r="M93"/>
  <c r="L93"/>
  <c r="AF92"/>
  <c r="AE92"/>
  <c r="O92"/>
  <c r="N92"/>
  <c r="M92"/>
  <c r="L92"/>
  <c r="AF91"/>
  <c r="AE91"/>
  <c r="O91"/>
  <c r="N91"/>
  <c r="M91"/>
  <c r="L91"/>
  <c r="AF90"/>
  <c r="AE90"/>
  <c r="O90"/>
  <c r="N90"/>
  <c r="M90"/>
  <c r="L90"/>
  <c r="AF89"/>
  <c r="AE89"/>
  <c r="O89"/>
  <c r="N89"/>
  <c r="M89"/>
  <c r="L89"/>
  <c r="AF88"/>
  <c r="AE88"/>
  <c r="O88"/>
  <c r="N88"/>
  <c r="M88"/>
  <c r="L88"/>
  <c r="AF87"/>
  <c r="AE87"/>
  <c r="O87"/>
  <c r="N87"/>
  <c r="M87"/>
  <c r="L87"/>
  <c r="AF86"/>
  <c r="AE86"/>
  <c r="O86"/>
  <c r="N86"/>
  <c r="M86"/>
  <c r="L86"/>
  <c r="AF85"/>
  <c r="AE85"/>
  <c r="O85"/>
  <c r="N85"/>
  <c r="M85"/>
  <c r="L85"/>
  <c r="AF84"/>
  <c r="AE84"/>
  <c r="O84"/>
  <c r="N84"/>
  <c r="M84"/>
  <c r="L84"/>
  <c r="AF83"/>
  <c r="AE83"/>
  <c r="O83"/>
  <c r="N83"/>
  <c r="M83"/>
  <c r="L83"/>
  <c r="AF82"/>
  <c r="AE82"/>
  <c r="O82"/>
  <c r="N82"/>
  <c r="M82"/>
  <c r="L82"/>
  <c r="AF81"/>
  <c r="AE81"/>
  <c r="O81"/>
  <c r="N81"/>
  <c r="M81"/>
  <c r="L81"/>
  <c r="AF80"/>
  <c r="AE80"/>
  <c r="O80"/>
  <c r="N80"/>
  <c r="M80"/>
  <c r="L80"/>
  <c r="AF79"/>
  <c r="AE79"/>
  <c r="O79"/>
  <c r="N79"/>
  <c r="M79"/>
  <c r="L79"/>
  <c r="AF78"/>
  <c r="AE78"/>
  <c r="O78"/>
  <c r="N78"/>
  <c r="M78"/>
  <c r="L78"/>
  <c r="AF77"/>
  <c r="AE77"/>
  <c r="O77"/>
  <c r="N77"/>
  <c r="M77"/>
  <c r="L77"/>
  <c r="AF76"/>
  <c r="AE76"/>
  <c r="O76"/>
  <c r="N76"/>
  <c r="M76"/>
  <c r="L76"/>
  <c r="AF75"/>
  <c r="AE75"/>
  <c r="O75"/>
  <c r="N75"/>
  <c r="M75"/>
  <c r="L75"/>
  <c r="AF74"/>
  <c r="AE74"/>
  <c r="O74"/>
  <c r="N74"/>
  <c r="M74"/>
  <c r="L74"/>
  <c r="AF73"/>
  <c r="AE73"/>
  <c r="O73"/>
  <c r="N73"/>
  <c r="M73"/>
  <c r="L73"/>
  <c r="AF72"/>
  <c r="AE72"/>
  <c r="O72"/>
  <c r="N72"/>
  <c r="M72"/>
  <c r="L72"/>
  <c r="AF71"/>
  <c r="AE71"/>
  <c r="O71"/>
  <c r="N71"/>
  <c r="M71"/>
  <c r="L71"/>
  <c r="AF70"/>
  <c r="AE70"/>
  <c r="O70"/>
  <c r="N70"/>
  <c r="M70"/>
  <c r="L70"/>
  <c r="AF69"/>
  <c r="AE69"/>
  <c r="O69"/>
  <c r="N69"/>
  <c r="M69"/>
  <c r="L69"/>
  <c r="AF68"/>
  <c r="AE68"/>
  <c r="O68"/>
  <c r="N68"/>
  <c r="M68"/>
  <c r="L68"/>
  <c r="AF67"/>
  <c r="AE67"/>
  <c r="O67"/>
  <c r="N67"/>
  <c r="M67"/>
  <c r="L67"/>
  <c r="AF66"/>
  <c r="AE66"/>
  <c r="O66"/>
  <c r="N66"/>
  <c r="M66"/>
  <c r="L66"/>
  <c r="AF65"/>
  <c r="AE65"/>
  <c r="O65"/>
  <c r="N65"/>
  <c r="M65"/>
  <c r="L65"/>
  <c r="AF64"/>
  <c r="AE64"/>
  <c r="O64"/>
  <c r="N64"/>
  <c r="M64"/>
  <c r="L64"/>
  <c r="AF63"/>
  <c r="AE63"/>
  <c r="O63"/>
  <c r="N63"/>
  <c r="M63"/>
  <c r="L63"/>
  <c r="AF62"/>
  <c r="AE62"/>
  <c r="O62"/>
  <c r="N62"/>
  <c r="M62"/>
  <c r="L62"/>
  <c r="AF61"/>
  <c r="AE61"/>
  <c r="O61"/>
  <c r="N61"/>
  <c r="M61"/>
  <c r="L61"/>
  <c r="AF60"/>
  <c r="AE60"/>
  <c r="O60"/>
  <c r="N60"/>
  <c r="M60"/>
  <c r="L60"/>
  <c r="AF59"/>
  <c r="AE59"/>
  <c r="O59"/>
  <c r="N59"/>
  <c r="M59"/>
  <c r="L59"/>
  <c r="AF58"/>
  <c r="AE58"/>
  <c r="O58"/>
  <c r="N58"/>
  <c r="M58"/>
  <c r="L58"/>
  <c r="AF57"/>
  <c r="AE57"/>
  <c r="O57"/>
  <c r="N57"/>
  <c r="M57"/>
  <c r="L57"/>
  <c r="AF56"/>
  <c r="AE56"/>
  <c r="O56"/>
  <c r="N56"/>
  <c r="M56"/>
  <c r="L56"/>
  <c r="AF55"/>
  <c r="AE55"/>
  <c r="O55"/>
  <c r="N55"/>
  <c r="M55"/>
  <c r="L55"/>
  <c r="AF54"/>
  <c r="AE54"/>
  <c r="O54"/>
  <c r="N54"/>
  <c r="M54"/>
  <c r="L54"/>
  <c r="AF53"/>
  <c r="AE53"/>
  <c r="O53"/>
  <c r="N53"/>
  <c r="M53"/>
  <c r="L53"/>
  <c r="AF52"/>
  <c r="AE52"/>
  <c r="O52"/>
  <c r="N52"/>
  <c r="M52"/>
  <c r="L52"/>
  <c r="AF51"/>
  <c r="AE51"/>
  <c r="O51"/>
  <c r="N51"/>
  <c r="M51"/>
  <c r="L51"/>
  <c r="AF50"/>
  <c r="AE50"/>
  <c r="O50"/>
  <c r="N50"/>
  <c r="M50"/>
  <c r="L50"/>
  <c r="AF49"/>
  <c r="AE49"/>
  <c r="O49"/>
  <c r="N49"/>
  <c r="M49"/>
  <c r="L49"/>
  <c r="AF48"/>
  <c r="AE48"/>
  <c r="O48"/>
  <c r="N48"/>
  <c r="M48"/>
  <c r="L48"/>
  <c r="AF47"/>
  <c r="AE47"/>
  <c r="O47"/>
  <c r="N47"/>
  <c r="M47"/>
  <c r="L47"/>
  <c r="AF46"/>
  <c r="AE46"/>
  <c r="O46"/>
  <c r="N46"/>
  <c r="M46"/>
  <c r="L46"/>
  <c r="AF45"/>
  <c r="AE45"/>
  <c r="O45"/>
  <c r="N45"/>
  <c r="M45"/>
  <c r="L45"/>
  <c r="AF44"/>
  <c r="AE44"/>
  <c r="O44"/>
  <c r="N44"/>
  <c r="M44"/>
  <c r="L44"/>
  <c r="AF43"/>
  <c r="AE43"/>
  <c r="O43"/>
  <c r="N43"/>
  <c r="M43"/>
  <c r="L43"/>
  <c r="AF42"/>
  <c r="AE42"/>
  <c r="O42"/>
  <c r="N42"/>
  <c r="M42"/>
  <c r="L42"/>
  <c r="AF41"/>
  <c r="AE41"/>
  <c r="O41"/>
  <c r="N41"/>
  <c r="M41"/>
  <c r="L41"/>
  <c r="AF40"/>
  <c r="AE40"/>
  <c r="O40"/>
  <c r="N40"/>
  <c r="M40"/>
  <c r="L40"/>
  <c r="AF39"/>
  <c r="AE39"/>
  <c r="O39"/>
  <c r="N39"/>
  <c r="M39"/>
  <c r="L39"/>
  <c r="AF38"/>
  <c r="AE38"/>
  <c r="O38"/>
  <c r="N38"/>
  <c r="M38"/>
  <c r="L38"/>
  <c r="AF37"/>
  <c r="AE37"/>
  <c r="O37"/>
  <c r="N37"/>
  <c r="M37"/>
  <c r="L37"/>
  <c r="AF36"/>
  <c r="AE36"/>
  <c r="O36"/>
  <c r="N36"/>
  <c r="M36"/>
  <c r="L36"/>
  <c r="AF35"/>
  <c r="AE35"/>
  <c r="O35"/>
  <c r="N35"/>
  <c r="M35"/>
  <c r="L35"/>
  <c r="AF34"/>
  <c r="AE34"/>
  <c r="O34"/>
  <c r="N34"/>
  <c r="M34"/>
  <c r="L34"/>
  <c r="AF33"/>
  <c r="AE33"/>
  <c r="O33"/>
  <c r="N33"/>
  <c r="M33"/>
  <c r="L33"/>
  <c r="AF32"/>
  <c r="AE32"/>
  <c r="O32"/>
  <c r="N32"/>
  <c r="M32"/>
  <c r="L32"/>
  <c r="AF31"/>
  <c r="AE31"/>
  <c r="O31"/>
  <c r="N31"/>
  <c r="M31"/>
  <c r="L31"/>
  <c r="AF30"/>
  <c r="AE30"/>
  <c r="O30"/>
  <c r="N30"/>
  <c r="M30"/>
  <c r="L30"/>
  <c r="AF29"/>
  <c r="AE29"/>
  <c r="O29"/>
  <c r="N29"/>
  <c r="M29"/>
  <c r="L29"/>
  <c r="AF28"/>
  <c r="AE28"/>
  <c r="O28"/>
  <c r="N28"/>
  <c r="M28"/>
  <c r="L28"/>
  <c r="AF27"/>
  <c r="AE27"/>
  <c r="O27"/>
  <c r="N27"/>
  <c r="M27"/>
  <c r="L27"/>
  <c r="AF26"/>
  <c r="AE26"/>
  <c r="O26"/>
  <c r="N26"/>
  <c r="M26"/>
  <c r="L26"/>
  <c r="AF25"/>
  <c r="AE25"/>
  <c r="O25"/>
  <c r="N25"/>
  <c r="M25"/>
  <c r="L25"/>
  <c r="AF24"/>
  <c r="AE24"/>
  <c r="O24"/>
  <c r="N24"/>
  <c r="M24"/>
  <c r="L24"/>
  <c r="AF23"/>
  <c r="AE23"/>
  <c r="O23"/>
  <c r="N23"/>
  <c r="M23"/>
  <c r="L23"/>
  <c r="AF22"/>
  <c r="AE22"/>
  <c r="O22"/>
  <c r="N22"/>
  <c r="M22"/>
  <c r="L22"/>
  <c r="AF21"/>
  <c r="AE21"/>
  <c r="O21"/>
  <c r="N21"/>
  <c r="M21"/>
  <c r="L21"/>
  <c r="AF20"/>
  <c r="AE20"/>
  <c r="O20"/>
  <c r="N20"/>
  <c r="M20"/>
  <c r="L20"/>
  <c r="AF19"/>
  <c r="AE19"/>
  <c r="O19"/>
  <c r="N19"/>
  <c r="M19"/>
  <c r="L19"/>
  <c r="AF18"/>
  <c r="AE18"/>
  <c r="O18"/>
  <c r="N18"/>
  <c r="M18"/>
  <c r="L18"/>
  <c r="AF17"/>
  <c r="AE17"/>
  <c r="O17"/>
  <c r="N17"/>
  <c r="M17"/>
  <c r="L17"/>
  <c r="AF16"/>
  <c r="AE16"/>
  <c r="O16"/>
  <c r="N16"/>
  <c r="M16"/>
  <c r="L16"/>
  <c r="AF15"/>
  <c r="AE15"/>
  <c r="O15"/>
  <c r="N15"/>
  <c r="M15"/>
  <c r="L15"/>
  <c r="AF14"/>
  <c r="AE14"/>
  <c r="O14"/>
  <c r="N14"/>
  <c r="M14"/>
  <c r="L14"/>
  <c r="AF13"/>
  <c r="AE13"/>
  <c r="O13"/>
  <c r="N13"/>
  <c r="M13"/>
  <c r="L13"/>
  <c r="AF12"/>
  <c r="AE12"/>
  <c r="O12"/>
  <c r="N12"/>
  <c r="M12"/>
  <c r="L12"/>
  <c r="AF11"/>
  <c r="AE11"/>
  <c r="U9"/>
  <c r="W9" s="1"/>
  <c r="Y9" s="1"/>
  <c r="AA9" s="1"/>
  <c r="AC9" s="1"/>
  <c r="S9"/>
  <c r="L4"/>
  <c r="N11"/>
  <c r="O11" l="1"/>
  <c r="F3481" i="32919"/>
  <c r="F3513"/>
  <c r="F3449"/>
  <c r="F3497"/>
  <c r="F3465"/>
  <c r="F3433"/>
  <c r="F3505"/>
  <c r="F3489"/>
  <c r="F3473"/>
  <c r="F3457"/>
  <c r="F3441"/>
  <c r="F3425"/>
  <c r="E2216"/>
  <c r="G2216" s="1"/>
  <c r="F3417"/>
  <c r="AH11" i="32917"/>
  <c r="L9" i="32919" s="1"/>
  <c r="M9" s="1"/>
  <c r="AH12" i="32917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H75"/>
  <c r="AH76"/>
  <c r="AH77"/>
  <c r="AH78"/>
  <c r="AH79"/>
  <c r="AH80"/>
  <c r="AH81"/>
  <c r="AH82"/>
  <c r="AH83"/>
  <c r="AH84"/>
  <c r="AH85"/>
  <c r="AH86"/>
  <c r="AH87"/>
  <c r="AH88"/>
  <c r="AH89"/>
  <c r="AH90"/>
  <c r="AH91"/>
  <c r="AH92"/>
  <c r="AH93"/>
  <c r="AH94"/>
  <c r="AH95"/>
  <c r="AH96"/>
  <c r="AH97"/>
  <c r="AH98"/>
  <c r="AH99"/>
  <c r="AH100"/>
  <c r="AH101"/>
  <c r="AH102"/>
  <c r="AH103"/>
  <c r="AH104"/>
  <c r="AH105"/>
  <c r="AH106"/>
  <c r="AH107"/>
  <c r="AH108"/>
  <c r="AH109"/>
  <c r="AH110"/>
  <c r="AH111"/>
  <c r="AH112"/>
  <c r="AH113"/>
  <c r="AH114"/>
  <c r="AH115"/>
  <c r="AH116"/>
  <c r="AH117"/>
  <c r="AH118"/>
  <c r="AH119"/>
  <c r="AH120"/>
  <c r="AH121"/>
  <c r="AH122"/>
  <c r="AH123"/>
  <c r="AH124"/>
  <c r="AH125"/>
  <c r="AH126"/>
  <c r="AH127"/>
  <c r="AH128"/>
  <c r="AH129"/>
  <c r="AH130"/>
  <c r="AH131"/>
  <c r="AH132"/>
  <c r="AH133"/>
  <c r="AH134"/>
  <c r="AH135"/>
  <c r="AH136"/>
  <c r="AH137"/>
  <c r="AH138"/>
  <c r="AH139"/>
  <c r="AH140"/>
  <c r="AH141"/>
  <c r="AH142"/>
  <c r="AH143"/>
  <c r="AH144"/>
  <c r="AH145"/>
  <c r="AH146"/>
  <c r="AH147"/>
  <c r="AH148"/>
  <c r="AH149"/>
  <c r="AH150"/>
  <c r="AH151"/>
  <c r="AH152"/>
  <c r="AH153"/>
  <c r="AH154"/>
  <c r="AH155"/>
  <c r="AH156"/>
  <c r="AH157"/>
  <c r="AH158"/>
  <c r="AH159"/>
  <c r="AH160"/>
  <c r="AH161"/>
  <c r="AH162"/>
  <c r="AH163"/>
  <c r="AH164"/>
  <c r="AH165"/>
  <c r="AH166"/>
  <c r="AH167"/>
  <c r="AH168"/>
  <c r="AH169"/>
  <c r="AH170"/>
  <c r="AH171"/>
  <c r="AH172"/>
  <c r="AH173"/>
  <c r="AH174"/>
  <c r="AH175"/>
  <c r="AH176"/>
  <c r="AH177"/>
  <c r="AH178"/>
  <c r="AH179"/>
  <c r="AH180"/>
  <c r="AH181"/>
  <c r="AH182"/>
  <c r="AH183"/>
  <c r="AH184"/>
  <c r="AH185"/>
  <c r="AH186"/>
  <c r="AH187"/>
  <c r="AH188"/>
  <c r="AH189"/>
  <c r="AH190"/>
  <c r="AH191"/>
  <c r="AH192"/>
  <c r="AH193"/>
  <c r="AH194"/>
  <c r="AH195"/>
  <c r="AH196"/>
  <c r="AH197"/>
  <c r="AH198"/>
  <c r="AH199"/>
  <c r="AH200"/>
  <c r="AH201"/>
  <c r="AH202"/>
  <c r="AH203"/>
  <c r="AH204"/>
  <c r="AH205"/>
  <c r="AH206"/>
  <c r="AH207"/>
  <c r="AH208"/>
  <c r="AH209"/>
  <c r="AH210"/>
  <c r="AH211"/>
  <c r="AH212"/>
  <c r="AH213"/>
  <c r="AH214"/>
  <c r="AH215"/>
  <c r="AH216"/>
  <c r="AH217"/>
  <c r="AH218"/>
  <c r="AH219"/>
  <c r="AH220"/>
  <c r="AH221"/>
  <c r="AH222"/>
  <c r="AH223"/>
  <c r="AH224"/>
  <c r="AH225"/>
  <c r="AH226"/>
  <c r="AH227"/>
  <c r="AH228"/>
  <c r="AH229"/>
  <c r="AH230"/>
  <c r="AH231"/>
  <c r="AH232"/>
  <c r="AH233"/>
  <c r="AH234"/>
  <c r="AH235"/>
  <c r="AH236"/>
  <c r="AH237"/>
  <c r="AH238"/>
  <c r="AH239"/>
  <c r="AH240"/>
  <c r="AH241"/>
  <c r="AH242"/>
  <c r="AH243"/>
  <c r="AH244"/>
  <c r="AH245"/>
  <c r="AH246"/>
  <c r="AH247"/>
  <c r="AH248"/>
  <c r="AH249"/>
  <c r="AH250"/>
  <c r="AH251"/>
  <c r="AH252"/>
  <c r="AH253"/>
  <c r="AH254"/>
  <c r="AH255"/>
  <c r="AH256"/>
  <c r="AH257"/>
  <c r="AH258"/>
  <c r="AH259"/>
  <c r="AH260"/>
  <c r="F3517" i="32919"/>
  <c r="F3509"/>
  <c r="F3501"/>
  <c r="F3493"/>
  <c r="F3485"/>
  <c r="F3477"/>
  <c r="F3469"/>
  <c r="F3461"/>
  <c r="F3453"/>
  <c r="F3445"/>
  <c r="F3437"/>
  <c r="F3429"/>
  <c r="F3421"/>
  <c r="F3413"/>
  <c r="E3244"/>
  <c r="G3244" s="1"/>
  <c r="E3240"/>
  <c r="G3240" s="1"/>
  <c r="E3236"/>
  <c r="G3236" s="1"/>
  <c r="E3232"/>
  <c r="G3232" s="1"/>
  <c r="E3228"/>
  <c r="G3228" s="1"/>
  <c r="E3224"/>
  <c r="G3224" s="1"/>
  <c r="E3220"/>
  <c r="G3220" s="1"/>
  <c r="E3216"/>
  <c r="G3216" s="1"/>
  <c r="E3212"/>
  <c r="G3212" s="1"/>
  <c r="E3208"/>
  <c r="G3208" s="1"/>
  <c r="E3204"/>
  <c r="G3204" s="1"/>
  <c r="E762"/>
  <c r="G762" s="1"/>
  <c r="E4061"/>
  <c r="G4061" s="1"/>
  <c r="F4061"/>
  <c r="E4059"/>
  <c r="G4059" s="1"/>
  <c r="F4059"/>
  <c r="E4057"/>
  <c r="G4057" s="1"/>
  <c r="F4057"/>
  <c r="E4055"/>
  <c r="G4055" s="1"/>
  <c r="F4055"/>
  <c r="E4053"/>
  <c r="G4053" s="1"/>
  <c r="F4053"/>
  <c r="E4051"/>
  <c r="G4051" s="1"/>
  <c r="F4051"/>
  <c r="E4049"/>
  <c r="G4049" s="1"/>
  <c r="F4049"/>
  <c r="E4047"/>
  <c r="G4047" s="1"/>
  <c r="F4047"/>
  <c r="E4045"/>
  <c r="G4045" s="1"/>
  <c r="F4045"/>
  <c r="E4043"/>
  <c r="G4043" s="1"/>
  <c r="F4043"/>
  <c r="E4041"/>
  <c r="G4041" s="1"/>
  <c r="F4041"/>
  <c r="E4039"/>
  <c r="G4039" s="1"/>
  <c r="F4039"/>
  <c r="E4037"/>
  <c r="G4037" s="1"/>
  <c r="F4037"/>
  <c r="E4035"/>
  <c r="G4035" s="1"/>
  <c r="F4035"/>
  <c r="E4033"/>
  <c r="G4033" s="1"/>
  <c r="F4033"/>
  <c r="E4031"/>
  <c r="G4031" s="1"/>
  <c r="F4031"/>
  <c r="E4029"/>
  <c r="G4029" s="1"/>
  <c r="F4029"/>
  <c r="E4027"/>
  <c r="G4027" s="1"/>
  <c r="F4027"/>
  <c r="E4025"/>
  <c r="G4025" s="1"/>
  <c r="F4025"/>
  <c r="E4023"/>
  <c r="G4023" s="1"/>
  <c r="F4023"/>
  <c r="E4021"/>
  <c r="G4021" s="1"/>
  <c r="F4021"/>
  <c r="E4019"/>
  <c r="G4019" s="1"/>
  <c r="F4019"/>
  <c r="E4017"/>
  <c r="G4017" s="1"/>
  <c r="F4017"/>
  <c r="E4015"/>
  <c r="G4015" s="1"/>
  <c r="F4015"/>
  <c r="E4013"/>
  <c r="G4013" s="1"/>
  <c r="F4013"/>
  <c r="E4011"/>
  <c r="G4011" s="1"/>
  <c r="F4011"/>
  <c r="E4009"/>
  <c r="G4009" s="1"/>
  <c r="F4009"/>
  <c r="E4007"/>
  <c r="G4007" s="1"/>
  <c r="F4007"/>
  <c r="E4005"/>
  <c r="G4005" s="1"/>
  <c r="F4005"/>
  <c r="E4003"/>
  <c r="G4003" s="1"/>
  <c r="F4003"/>
  <c r="E4001"/>
  <c r="G4001" s="1"/>
  <c r="F4001"/>
  <c r="E3999"/>
  <c r="G3999" s="1"/>
  <c r="F3999"/>
  <c r="E3997"/>
  <c r="G3997" s="1"/>
  <c r="F3997"/>
  <c r="E3995"/>
  <c r="G3995" s="1"/>
  <c r="F3995"/>
  <c r="E3993"/>
  <c r="G3993" s="1"/>
  <c r="F3993"/>
  <c r="E3991"/>
  <c r="G3991" s="1"/>
  <c r="F3991"/>
  <c r="E3989"/>
  <c r="G3989" s="1"/>
  <c r="F3989"/>
  <c r="E3987"/>
  <c r="G3987" s="1"/>
  <c r="F3987"/>
  <c r="E3985"/>
  <c r="G3985" s="1"/>
  <c r="F3985"/>
  <c r="E3983"/>
  <c r="G3983" s="1"/>
  <c r="F3983"/>
  <c r="E3981"/>
  <c r="G3981" s="1"/>
  <c r="F3981"/>
  <c r="E3979"/>
  <c r="G3979" s="1"/>
  <c r="F3979"/>
  <c r="E3977"/>
  <c r="G3977" s="1"/>
  <c r="F3977"/>
  <c r="E3975"/>
  <c r="G3975" s="1"/>
  <c r="F3975"/>
  <c r="E3973"/>
  <c r="G3973" s="1"/>
  <c r="F3973"/>
  <c r="E3971"/>
  <c r="G3971" s="1"/>
  <c r="F3971"/>
  <c r="E3969"/>
  <c r="G3969" s="1"/>
  <c r="F3969"/>
  <c r="E3967"/>
  <c r="G3967" s="1"/>
  <c r="F3967"/>
  <c r="E3965"/>
  <c r="G3965" s="1"/>
  <c r="F3965"/>
  <c r="E3963"/>
  <c r="G3963" s="1"/>
  <c r="F3963"/>
  <c r="E3961"/>
  <c r="G3961" s="1"/>
  <c r="F3961"/>
  <c r="E3959"/>
  <c r="G3959" s="1"/>
  <c r="F3959"/>
  <c r="E3957"/>
  <c r="G3957" s="1"/>
  <c r="F3957"/>
  <c r="E3955"/>
  <c r="G3955" s="1"/>
  <c r="F3955"/>
  <c r="E3953"/>
  <c r="G3953" s="1"/>
  <c r="F3953"/>
  <c r="E3951"/>
  <c r="G3951" s="1"/>
  <c r="F3951"/>
  <c r="E3949"/>
  <c r="G3949" s="1"/>
  <c r="F3949"/>
  <c r="E3947"/>
  <c r="G3947" s="1"/>
  <c r="F3947"/>
  <c r="E3945"/>
  <c r="G3945" s="1"/>
  <c r="F3945"/>
  <c r="E3943"/>
  <c r="G3943" s="1"/>
  <c r="F3943"/>
  <c r="E3941"/>
  <c r="G3941" s="1"/>
  <c r="F3941"/>
  <c r="E3939"/>
  <c r="G3939" s="1"/>
  <c r="F3939"/>
  <c r="E3937"/>
  <c r="G3937" s="1"/>
  <c r="F3937"/>
  <c r="E3935"/>
  <c r="G3935" s="1"/>
  <c r="F3935"/>
  <c r="E3933"/>
  <c r="G3933" s="1"/>
  <c r="F3933"/>
  <c r="E3931"/>
  <c r="G3931" s="1"/>
  <c r="F3931"/>
  <c r="E3929"/>
  <c r="G3929" s="1"/>
  <c r="F3929"/>
  <c r="E3927"/>
  <c r="G3927" s="1"/>
  <c r="F3927"/>
  <c r="E3925"/>
  <c r="G3925" s="1"/>
  <c r="F3925"/>
  <c r="E3923"/>
  <c r="G3923" s="1"/>
  <c r="F3923"/>
  <c r="E3921"/>
  <c r="G3921" s="1"/>
  <c r="F3921"/>
  <c r="E3919"/>
  <c r="G3919" s="1"/>
  <c r="F3919"/>
  <c r="E3917"/>
  <c r="G3917" s="1"/>
  <c r="F3917"/>
  <c r="E3915"/>
  <c r="G3915" s="1"/>
  <c r="F3915"/>
  <c r="E3913"/>
  <c r="G3913" s="1"/>
  <c r="F3913"/>
  <c r="E3911"/>
  <c r="G3911" s="1"/>
  <c r="F3911"/>
  <c r="E3909"/>
  <c r="G3909" s="1"/>
  <c r="F3909"/>
  <c r="E3907"/>
  <c r="G3907" s="1"/>
  <c r="F3907"/>
  <c r="E3905"/>
  <c r="G3905" s="1"/>
  <c r="F3905"/>
  <c r="E3903"/>
  <c r="G3903" s="1"/>
  <c r="F3903"/>
  <c r="E3901"/>
  <c r="G3901" s="1"/>
  <c r="F3901"/>
  <c r="E3899"/>
  <c r="G3899" s="1"/>
  <c r="F3899"/>
  <c r="E3897"/>
  <c r="G3897" s="1"/>
  <c r="F3897"/>
  <c r="E3895"/>
  <c r="G3895" s="1"/>
  <c r="F3895"/>
  <c r="E3893"/>
  <c r="G3893" s="1"/>
  <c r="F3893"/>
  <c r="E3891"/>
  <c r="G3891" s="1"/>
  <c r="F3891"/>
  <c r="E3889"/>
  <c r="G3889" s="1"/>
  <c r="F3889"/>
  <c r="E3887"/>
  <c r="G3887" s="1"/>
  <c r="F3887"/>
  <c r="E3885"/>
  <c r="G3885" s="1"/>
  <c r="F3885"/>
  <c r="E3883"/>
  <c r="G3883" s="1"/>
  <c r="F3883"/>
  <c r="E3881"/>
  <c r="G3881" s="1"/>
  <c r="F3881"/>
  <c r="E3879"/>
  <c r="G3879" s="1"/>
  <c r="F3879"/>
  <c r="E3877"/>
  <c r="G3877" s="1"/>
  <c r="F3877"/>
  <c r="E3875"/>
  <c r="G3875" s="1"/>
  <c r="F3875"/>
  <c r="E3873"/>
  <c r="G3873" s="1"/>
  <c r="F3873"/>
  <c r="E3871"/>
  <c r="G3871" s="1"/>
  <c r="F3871"/>
  <c r="E3869"/>
  <c r="G3869" s="1"/>
  <c r="F3869"/>
  <c r="E3867"/>
  <c r="G3867" s="1"/>
  <c r="F3867"/>
  <c r="E3865"/>
  <c r="G3865" s="1"/>
  <c r="F3865"/>
  <c r="E3863"/>
  <c r="G3863" s="1"/>
  <c r="F3863"/>
  <c r="E3861"/>
  <c r="G3861" s="1"/>
  <c r="F3861"/>
  <c r="E3859"/>
  <c r="G3859" s="1"/>
  <c r="F3859"/>
  <c r="E3857"/>
  <c r="G3857" s="1"/>
  <c r="F3857"/>
  <c r="E3855"/>
  <c r="G3855" s="1"/>
  <c r="F3855"/>
  <c r="E3853"/>
  <c r="G3853" s="1"/>
  <c r="F3853"/>
  <c r="E3851"/>
  <c r="G3851" s="1"/>
  <c r="F3851"/>
  <c r="E3849"/>
  <c r="G3849" s="1"/>
  <c r="F3849"/>
  <c r="E3847"/>
  <c r="G3847" s="1"/>
  <c r="F3847"/>
  <c r="E3845"/>
  <c r="G3845" s="1"/>
  <c r="F3845"/>
  <c r="E3843"/>
  <c r="G3843" s="1"/>
  <c r="F3843"/>
  <c r="E3841"/>
  <c r="G3841" s="1"/>
  <c r="F3841"/>
  <c r="E3839"/>
  <c r="G3839" s="1"/>
  <c r="F3839"/>
  <c r="E3837"/>
  <c r="G3837" s="1"/>
  <c r="F3837"/>
  <c r="E3835"/>
  <c r="G3835" s="1"/>
  <c r="F3835"/>
  <c r="E3833"/>
  <c r="G3833" s="1"/>
  <c r="F3833"/>
  <c r="E3831"/>
  <c r="G3831" s="1"/>
  <c r="F3831"/>
  <c r="E3829"/>
  <c r="G3829" s="1"/>
  <c r="F3829"/>
  <c r="E3827"/>
  <c r="G3827" s="1"/>
  <c r="F3827"/>
  <c r="E3825"/>
  <c r="G3825" s="1"/>
  <c r="F3825"/>
  <c r="E3823"/>
  <c r="G3823" s="1"/>
  <c r="F3823"/>
  <c r="E3821"/>
  <c r="G3821" s="1"/>
  <c r="F3821"/>
  <c r="E3819"/>
  <c r="G3819" s="1"/>
  <c r="F3819"/>
  <c r="E3817"/>
  <c r="G3817" s="1"/>
  <c r="F3817"/>
  <c r="E3815"/>
  <c r="G3815" s="1"/>
  <c r="F3815"/>
  <c r="E3813"/>
  <c r="G3813" s="1"/>
  <c r="F3813"/>
  <c r="E3811"/>
  <c r="G3811" s="1"/>
  <c r="F3811"/>
  <c r="E3809"/>
  <c r="G3809" s="1"/>
  <c r="F3809"/>
  <c r="E3807"/>
  <c r="G3807" s="1"/>
  <c r="F3807"/>
  <c r="E3805"/>
  <c r="G3805" s="1"/>
  <c r="F3805"/>
  <c r="E3803"/>
  <c r="G3803" s="1"/>
  <c r="F3803"/>
  <c r="E3801"/>
  <c r="G3801" s="1"/>
  <c r="F3801"/>
  <c r="E3799"/>
  <c r="G3799" s="1"/>
  <c r="F3799"/>
  <c r="E3797"/>
  <c r="G3797" s="1"/>
  <c r="F3797"/>
  <c r="E3795"/>
  <c r="G3795" s="1"/>
  <c r="F3795"/>
  <c r="E3793"/>
  <c r="G3793" s="1"/>
  <c r="F3793"/>
  <c r="E3791"/>
  <c r="G3791" s="1"/>
  <c r="F3791"/>
  <c r="E3789"/>
  <c r="G3789" s="1"/>
  <c r="F3789"/>
  <c r="E3787"/>
  <c r="G3787" s="1"/>
  <c r="F3787"/>
  <c r="E3785"/>
  <c r="G3785" s="1"/>
  <c r="F3785"/>
  <c r="E3783"/>
  <c r="G3783" s="1"/>
  <c r="F3783"/>
  <c r="E3781"/>
  <c r="G3781" s="1"/>
  <c r="F3781"/>
  <c r="E3779"/>
  <c r="G3779" s="1"/>
  <c r="F3779"/>
  <c r="E3777"/>
  <c r="G3777" s="1"/>
  <c r="F3777"/>
  <c r="E3775"/>
  <c r="G3775" s="1"/>
  <c r="F3775"/>
  <c r="E3773"/>
  <c r="G3773" s="1"/>
  <c r="F3773"/>
  <c r="E3771"/>
  <c r="G3771" s="1"/>
  <c r="F3771"/>
  <c r="E3769"/>
  <c r="G3769" s="1"/>
  <c r="F3769"/>
  <c r="E3767"/>
  <c r="G3767" s="1"/>
  <c r="F3767"/>
  <c r="E3765"/>
  <c r="G3765" s="1"/>
  <c r="F3765"/>
  <c r="E3763"/>
  <c r="G3763" s="1"/>
  <c r="F3763"/>
  <c r="E3761"/>
  <c r="G3761" s="1"/>
  <c r="F3761"/>
  <c r="E3759"/>
  <c r="G3759" s="1"/>
  <c r="F3759"/>
  <c r="E3757"/>
  <c r="G3757" s="1"/>
  <c r="F3757"/>
  <c r="E3755"/>
  <c r="G3755" s="1"/>
  <c r="F3755"/>
  <c r="E3753"/>
  <c r="G3753" s="1"/>
  <c r="F3753"/>
  <c r="E3751"/>
  <c r="G3751" s="1"/>
  <c r="F3751"/>
  <c r="E3749"/>
  <c r="G3749" s="1"/>
  <c r="F3749"/>
  <c r="E3747"/>
  <c r="G3747" s="1"/>
  <c r="F3747"/>
  <c r="E3745"/>
  <c r="G3745" s="1"/>
  <c r="F3745"/>
  <c r="E3743"/>
  <c r="G3743" s="1"/>
  <c r="F3743"/>
  <c r="E3741"/>
  <c r="G3741" s="1"/>
  <c r="F3741"/>
  <c r="E3739"/>
  <c r="G3739" s="1"/>
  <c r="F3739"/>
  <c r="E3737"/>
  <c r="G3737" s="1"/>
  <c r="F3737"/>
  <c r="E3735"/>
  <c r="G3735" s="1"/>
  <c r="F3735"/>
  <c r="E3733"/>
  <c r="G3733" s="1"/>
  <c r="F3733"/>
  <c r="E3731"/>
  <c r="G3731" s="1"/>
  <c r="F3731"/>
  <c r="E3729"/>
  <c r="G3729" s="1"/>
  <c r="F3729"/>
  <c r="E3727"/>
  <c r="G3727" s="1"/>
  <c r="F3727"/>
  <c r="E3725"/>
  <c r="G3725" s="1"/>
  <c r="F3725"/>
  <c r="E3723"/>
  <c r="G3723" s="1"/>
  <c r="F3723"/>
  <c r="E3721"/>
  <c r="G3721" s="1"/>
  <c r="F3721"/>
  <c r="E3719"/>
  <c r="G3719" s="1"/>
  <c r="F3719"/>
  <c r="E3717"/>
  <c r="G3717" s="1"/>
  <c r="F3717"/>
  <c r="E3715"/>
  <c r="G3715" s="1"/>
  <c r="F3715"/>
  <c r="E3713"/>
  <c r="G3713" s="1"/>
  <c r="F3713"/>
  <c r="E3711"/>
  <c r="G3711" s="1"/>
  <c r="F3711"/>
  <c r="E3709"/>
  <c r="G3709" s="1"/>
  <c r="F3709"/>
  <c r="E3707"/>
  <c r="G3707" s="1"/>
  <c r="F3707"/>
  <c r="E3705"/>
  <c r="G3705" s="1"/>
  <c r="F3705"/>
  <c r="E3703"/>
  <c r="G3703" s="1"/>
  <c r="F3703"/>
  <c r="E3701"/>
  <c r="G3701" s="1"/>
  <c r="F3701"/>
  <c r="E3699"/>
  <c r="G3699" s="1"/>
  <c r="F3699"/>
  <c r="E3697"/>
  <c r="G3697" s="1"/>
  <c r="F3697"/>
  <c r="E3695"/>
  <c r="G3695" s="1"/>
  <c r="F3695"/>
  <c r="E3693"/>
  <c r="G3693" s="1"/>
  <c r="F3693"/>
  <c r="E3691"/>
  <c r="G3691" s="1"/>
  <c r="F3691"/>
  <c r="E3689"/>
  <c r="G3689" s="1"/>
  <c r="F3689"/>
  <c r="E3687"/>
  <c r="G3687" s="1"/>
  <c r="F3687"/>
  <c r="E3685"/>
  <c r="G3685" s="1"/>
  <c r="F3685"/>
  <c r="E3683"/>
  <c r="G3683" s="1"/>
  <c r="F3683"/>
  <c r="E3681"/>
  <c r="G3681" s="1"/>
  <c r="F3681"/>
  <c r="E3679"/>
  <c r="G3679" s="1"/>
  <c r="F3679"/>
  <c r="E3677"/>
  <c r="G3677" s="1"/>
  <c r="F3677"/>
  <c r="E3675"/>
  <c r="G3675" s="1"/>
  <c r="F3675"/>
  <c r="E3673"/>
  <c r="G3673" s="1"/>
  <c r="F3673"/>
  <c r="E3671"/>
  <c r="G3671" s="1"/>
  <c r="F3671"/>
  <c r="E3669"/>
  <c r="G3669" s="1"/>
  <c r="F3669"/>
  <c r="E3667"/>
  <c r="G3667" s="1"/>
  <c r="F3667"/>
  <c r="E3665"/>
  <c r="G3665" s="1"/>
  <c r="F3665"/>
  <c r="E3663"/>
  <c r="G3663" s="1"/>
  <c r="F3663"/>
  <c r="E3661"/>
  <c r="G3661" s="1"/>
  <c r="F3661"/>
  <c r="E3659"/>
  <c r="G3659" s="1"/>
  <c r="F3659"/>
  <c r="E3657"/>
  <c r="G3657" s="1"/>
  <c r="F3657"/>
  <c r="E3655"/>
  <c r="G3655" s="1"/>
  <c r="F3655"/>
  <c r="E3653"/>
  <c r="G3653" s="1"/>
  <c r="F3653"/>
  <c r="E3651"/>
  <c r="G3651" s="1"/>
  <c r="F3651"/>
  <c r="E3649"/>
  <c r="G3649" s="1"/>
  <c r="F3649"/>
  <c r="E3647"/>
  <c r="G3647" s="1"/>
  <c r="F3647"/>
  <c r="E3645"/>
  <c r="G3645" s="1"/>
  <c r="F3645"/>
  <c r="E3643"/>
  <c r="G3643" s="1"/>
  <c r="F3643"/>
  <c r="E3641"/>
  <c r="G3641" s="1"/>
  <c r="F3641"/>
  <c r="E3639"/>
  <c r="G3639" s="1"/>
  <c r="F3639"/>
  <c r="E3637"/>
  <c r="G3637" s="1"/>
  <c r="F3637"/>
  <c r="E3635"/>
  <c r="G3635" s="1"/>
  <c r="F3635"/>
  <c r="E3633"/>
  <c r="G3633" s="1"/>
  <c r="F3633"/>
  <c r="E3631"/>
  <c r="G3631" s="1"/>
  <c r="F3631"/>
  <c r="E3629"/>
  <c r="G3629" s="1"/>
  <c r="F3629"/>
  <c r="E3627"/>
  <c r="G3627" s="1"/>
  <c r="F3627"/>
  <c r="E3625"/>
  <c r="G3625" s="1"/>
  <c r="F3625"/>
  <c r="E3623"/>
  <c r="G3623" s="1"/>
  <c r="F3623"/>
  <c r="E3621"/>
  <c r="G3621" s="1"/>
  <c r="F3621"/>
  <c r="E3619"/>
  <c r="G3619" s="1"/>
  <c r="F3619"/>
  <c r="E3617"/>
  <c r="G3617" s="1"/>
  <c r="F3617"/>
  <c r="E3615"/>
  <c r="G3615" s="1"/>
  <c r="F3615"/>
  <c r="E3613"/>
  <c r="G3613" s="1"/>
  <c r="F3613"/>
  <c r="E3611"/>
  <c r="G3611" s="1"/>
  <c r="F3611"/>
  <c r="E3609"/>
  <c r="G3609" s="1"/>
  <c r="F3609"/>
  <c r="E3607"/>
  <c r="G3607" s="1"/>
  <c r="F3607"/>
  <c r="E3605"/>
  <c r="G3605" s="1"/>
  <c r="F3605"/>
  <c r="E3603"/>
  <c r="G3603" s="1"/>
  <c r="F3603"/>
  <c r="E3601"/>
  <c r="G3601" s="1"/>
  <c r="F3601"/>
  <c r="E3599"/>
  <c r="G3599" s="1"/>
  <c r="F3599"/>
  <c r="E3597"/>
  <c r="G3597" s="1"/>
  <c r="F3597"/>
  <c r="E3595"/>
  <c r="G3595" s="1"/>
  <c r="F3595"/>
  <c r="E3593"/>
  <c r="G3593" s="1"/>
  <c r="F3593"/>
  <c r="E3591"/>
  <c r="G3591" s="1"/>
  <c r="F3591"/>
  <c r="E3589"/>
  <c r="G3589" s="1"/>
  <c r="F3589"/>
  <c r="E3587"/>
  <c r="G3587" s="1"/>
  <c r="F3587"/>
  <c r="E3585"/>
  <c r="G3585" s="1"/>
  <c r="F3585"/>
  <c r="E3583"/>
  <c r="G3583" s="1"/>
  <c r="F3583"/>
  <c r="E3581"/>
  <c r="G3581" s="1"/>
  <c r="F3581"/>
  <c r="E3579"/>
  <c r="G3579" s="1"/>
  <c r="F3579"/>
  <c r="E3577"/>
  <c r="G3577" s="1"/>
  <c r="F3577"/>
  <c r="E3575"/>
  <c r="G3575" s="1"/>
  <c r="F3575"/>
  <c r="E3573"/>
  <c r="G3573" s="1"/>
  <c r="F3573"/>
  <c r="E3571"/>
  <c r="G3571" s="1"/>
  <c r="F3571"/>
  <c r="E3569"/>
  <c r="G3569" s="1"/>
  <c r="F3569"/>
  <c r="E3567"/>
  <c r="G3567" s="1"/>
  <c r="F3567"/>
  <c r="E3565"/>
  <c r="G3565" s="1"/>
  <c r="F3565"/>
  <c r="E3563"/>
  <c r="G3563" s="1"/>
  <c r="F3563"/>
  <c r="E3561"/>
  <c r="G3561" s="1"/>
  <c r="F3561"/>
  <c r="E3559"/>
  <c r="G3559" s="1"/>
  <c r="F3559"/>
  <c r="E3557"/>
  <c r="G3557" s="1"/>
  <c r="F3557"/>
  <c r="E3555"/>
  <c r="G3555" s="1"/>
  <c r="F3555"/>
  <c r="E3553"/>
  <c r="G3553" s="1"/>
  <c r="F3553"/>
  <c r="E3551"/>
  <c r="G3551" s="1"/>
  <c r="F3551"/>
  <c r="E3549"/>
  <c r="G3549" s="1"/>
  <c r="F3549"/>
  <c r="E3547"/>
  <c r="G3547" s="1"/>
  <c r="F3547"/>
  <c r="E3545"/>
  <c r="G3545" s="1"/>
  <c r="F3545"/>
  <c r="E3543"/>
  <c r="G3543" s="1"/>
  <c r="F3543"/>
  <c r="E3541"/>
  <c r="G3541" s="1"/>
  <c r="F3541"/>
  <c r="E3539"/>
  <c r="G3539" s="1"/>
  <c r="F3539"/>
  <c r="E3537"/>
  <c r="G3537" s="1"/>
  <c r="F3537"/>
  <c r="E3535"/>
  <c r="G3535" s="1"/>
  <c r="F3535"/>
  <c r="E3533"/>
  <c r="G3533" s="1"/>
  <c r="F3533"/>
  <c r="E3531"/>
  <c r="G3531" s="1"/>
  <c r="F3531"/>
  <c r="E3529"/>
  <c r="G3529" s="1"/>
  <c r="F3529"/>
  <c r="E3527"/>
  <c r="G3527" s="1"/>
  <c r="F3527"/>
  <c r="E3525"/>
  <c r="G3525" s="1"/>
  <c r="F3525"/>
  <c r="E3523"/>
  <c r="G3523" s="1"/>
  <c r="F3523"/>
  <c r="E3521"/>
  <c r="G3521" s="1"/>
  <c r="F3521"/>
  <c r="E3519"/>
  <c r="G3519" s="1"/>
  <c r="F3519"/>
  <c r="F8"/>
  <c r="E8"/>
  <c r="G8" s="1"/>
  <c r="E3408"/>
  <c r="G3408" s="1"/>
  <c r="F3408"/>
  <c r="E3404"/>
  <c r="G3404" s="1"/>
  <c r="F3404"/>
  <c r="E3400"/>
  <c r="G3400" s="1"/>
  <c r="F3400"/>
  <c r="E3396"/>
  <c r="G3396" s="1"/>
  <c r="F3396"/>
  <c r="E3392"/>
  <c r="G3392" s="1"/>
  <c r="F3392"/>
  <c r="E3388"/>
  <c r="G3388" s="1"/>
  <c r="F3388"/>
  <c r="E3384"/>
  <c r="G3384" s="1"/>
  <c r="F3384"/>
  <c r="E3380"/>
  <c r="G3380" s="1"/>
  <c r="F3380"/>
  <c r="E3376"/>
  <c r="G3376" s="1"/>
  <c r="F3376"/>
  <c r="E3372"/>
  <c r="G3372" s="1"/>
  <c r="F3372"/>
  <c r="E3368"/>
  <c r="G3368" s="1"/>
  <c r="F3368"/>
  <c r="E3364"/>
  <c r="G3364" s="1"/>
  <c r="F3364"/>
  <c r="E3360"/>
  <c r="G3360" s="1"/>
  <c r="F3360"/>
  <c r="E3356"/>
  <c r="G3356" s="1"/>
  <c r="F3356"/>
  <c r="E3352"/>
  <c r="G3352" s="1"/>
  <c r="F3352"/>
  <c r="E3348"/>
  <c r="G3348" s="1"/>
  <c r="F3348"/>
  <c r="E3344"/>
  <c r="G3344" s="1"/>
  <c r="F3344"/>
  <c r="E3340"/>
  <c r="G3340" s="1"/>
  <c r="F3340"/>
  <c r="E3336"/>
  <c r="G3336" s="1"/>
  <c r="F3336"/>
  <c r="E3332"/>
  <c r="G3332" s="1"/>
  <c r="F3332"/>
  <c r="E3328"/>
  <c r="G3328" s="1"/>
  <c r="F3328"/>
  <c r="E3324"/>
  <c r="G3324" s="1"/>
  <c r="F3324"/>
  <c r="E3320"/>
  <c r="G3320" s="1"/>
  <c r="F3320"/>
  <c r="E3316"/>
  <c r="G3316" s="1"/>
  <c r="F3316"/>
  <c r="E3243"/>
  <c r="G3243" s="1"/>
  <c r="F3243"/>
  <c r="E3239"/>
  <c r="G3239" s="1"/>
  <c r="F3239"/>
  <c r="E3235"/>
  <c r="G3235" s="1"/>
  <c r="F3235"/>
  <c r="E3231"/>
  <c r="G3231" s="1"/>
  <c r="F3231"/>
  <c r="E3227"/>
  <c r="G3227" s="1"/>
  <c r="F3227"/>
  <c r="E3223"/>
  <c r="G3223" s="1"/>
  <c r="F3223"/>
  <c r="E3219"/>
  <c r="G3219" s="1"/>
  <c r="F3219"/>
  <c r="E3215"/>
  <c r="G3215" s="1"/>
  <c r="F3215"/>
  <c r="E3211"/>
  <c r="G3211" s="1"/>
  <c r="F3211"/>
  <c r="E3207"/>
  <c r="G3207" s="1"/>
  <c r="F3207"/>
  <c r="E3203"/>
  <c r="G3203" s="1"/>
  <c r="F3203"/>
  <c r="F4065"/>
  <c r="F3515"/>
  <c r="F3511"/>
  <c r="F3507"/>
  <c r="F3503"/>
  <c r="F3499"/>
  <c r="F3495"/>
  <c r="F3491"/>
  <c r="F3487"/>
  <c r="F3483"/>
  <c r="F3479"/>
  <c r="F3475"/>
  <c r="F3471"/>
  <c r="F3467"/>
  <c r="F3463"/>
  <c r="F3459"/>
  <c r="F3455"/>
  <c r="F3451"/>
  <c r="F3447"/>
  <c r="F3443"/>
  <c r="F3439"/>
  <c r="F3435"/>
  <c r="F3431"/>
  <c r="F3427"/>
  <c r="F3423"/>
  <c r="F3419"/>
  <c r="F3415"/>
  <c r="F3411"/>
  <c r="E3406"/>
  <c r="G3406" s="1"/>
  <c r="F3406"/>
  <c r="E3402"/>
  <c r="G3402" s="1"/>
  <c r="F3402"/>
  <c r="E3398"/>
  <c r="G3398" s="1"/>
  <c r="F3398"/>
  <c r="E3394"/>
  <c r="G3394" s="1"/>
  <c r="F3394"/>
  <c r="E3390"/>
  <c r="G3390" s="1"/>
  <c r="F3390"/>
  <c r="E3386"/>
  <c r="G3386" s="1"/>
  <c r="F3386"/>
  <c r="E3382"/>
  <c r="G3382" s="1"/>
  <c r="F3382"/>
  <c r="E3378"/>
  <c r="G3378" s="1"/>
  <c r="F3378"/>
  <c r="E3374"/>
  <c r="G3374" s="1"/>
  <c r="F3374"/>
  <c r="E3370"/>
  <c r="G3370" s="1"/>
  <c r="F3370"/>
  <c r="E3366"/>
  <c r="G3366" s="1"/>
  <c r="F3366"/>
  <c r="E3362"/>
  <c r="G3362" s="1"/>
  <c r="F3362"/>
  <c r="E3358"/>
  <c r="G3358" s="1"/>
  <c r="F3358"/>
  <c r="E3354"/>
  <c r="G3354" s="1"/>
  <c r="F3354"/>
  <c r="E3350"/>
  <c r="G3350" s="1"/>
  <c r="F3350"/>
  <c r="E3346"/>
  <c r="G3346" s="1"/>
  <c r="F3346"/>
  <c r="E3342"/>
  <c r="G3342" s="1"/>
  <c r="F3342"/>
  <c r="E3338"/>
  <c r="G3338" s="1"/>
  <c r="F3338"/>
  <c r="E3334"/>
  <c r="G3334" s="1"/>
  <c r="F3334"/>
  <c r="E3330"/>
  <c r="G3330" s="1"/>
  <c r="F3330"/>
  <c r="E3326"/>
  <c r="G3326" s="1"/>
  <c r="F3326"/>
  <c r="E3322"/>
  <c r="G3322" s="1"/>
  <c r="F3322"/>
  <c r="E3318"/>
  <c r="G3318" s="1"/>
  <c r="F3318"/>
  <c r="E2219"/>
  <c r="G2219" s="1"/>
  <c r="F2219"/>
  <c r="E2215"/>
  <c r="G2215" s="1"/>
  <c r="F2215"/>
  <c r="E1699"/>
  <c r="G1699" s="1"/>
  <c r="F1699"/>
  <c r="E1695"/>
  <c r="G1695" s="1"/>
  <c r="F1695"/>
  <c r="E1691"/>
  <c r="G1691" s="1"/>
  <c r="F1691"/>
  <c r="E1687"/>
  <c r="G1687" s="1"/>
  <c r="F1687"/>
  <c r="E1683"/>
  <c r="G1683" s="1"/>
  <c r="F1683"/>
  <c r="E1679"/>
  <c r="G1679" s="1"/>
  <c r="F1679"/>
  <c r="E1675"/>
  <c r="G1675" s="1"/>
  <c r="F1675"/>
  <c r="E1671"/>
  <c r="G1671" s="1"/>
  <c r="F1671"/>
  <c r="E1667"/>
  <c r="G1667" s="1"/>
  <c r="F1667"/>
  <c r="E1663"/>
  <c r="G1663" s="1"/>
  <c r="F1663"/>
  <c r="E1659"/>
  <c r="G1659" s="1"/>
  <c r="F1659"/>
  <c r="E1655"/>
  <c r="G1655" s="1"/>
  <c r="F1655"/>
  <c r="E1651"/>
  <c r="G1651" s="1"/>
  <c r="F1651"/>
  <c r="E1647"/>
  <c r="G1647" s="1"/>
  <c r="F1647"/>
  <c r="E1643"/>
  <c r="G1643" s="1"/>
  <c r="F1643"/>
  <c r="E1639"/>
  <c r="G1639" s="1"/>
  <c r="F1639"/>
  <c r="E1635"/>
  <c r="G1635" s="1"/>
  <c r="F1635"/>
  <c r="E1631"/>
  <c r="G1631" s="1"/>
  <c r="F1631"/>
  <c r="E1627"/>
  <c r="G1627" s="1"/>
  <c r="F1627"/>
  <c r="E1623"/>
  <c r="G1623" s="1"/>
  <c r="F1623"/>
  <c r="E1619"/>
  <c r="G1619" s="1"/>
  <c r="F1619"/>
  <c r="E1615"/>
  <c r="G1615" s="1"/>
  <c r="F1615"/>
  <c r="E1611"/>
  <c r="G1611" s="1"/>
  <c r="F1611"/>
  <c r="E1607"/>
  <c r="G1607" s="1"/>
  <c r="F1607"/>
  <c r="E1603"/>
  <c r="G1603" s="1"/>
  <c r="F1603"/>
  <c r="E1599"/>
  <c r="G1599" s="1"/>
  <c r="F1599"/>
  <c r="E1595"/>
  <c r="G1595" s="1"/>
  <c r="F1595"/>
  <c r="E1591"/>
  <c r="G1591" s="1"/>
  <c r="F1591"/>
  <c r="E1587"/>
  <c r="G1587" s="1"/>
  <c r="F1587"/>
  <c r="E1583"/>
  <c r="G1583" s="1"/>
  <c r="F1583"/>
  <c r="E1579"/>
  <c r="G1579" s="1"/>
  <c r="F1579"/>
  <c r="E1575"/>
  <c r="G1575" s="1"/>
  <c r="F1575"/>
  <c r="E1571"/>
  <c r="G1571" s="1"/>
  <c r="F1571"/>
  <c r="F3314"/>
  <c r="F3312"/>
  <c r="F3310"/>
  <c r="F3308"/>
  <c r="F3306"/>
  <c r="F3304"/>
  <c r="F3302"/>
  <c r="F3300"/>
  <c r="F3298"/>
  <c r="F3296"/>
  <c r="F3294"/>
  <c r="F3292"/>
  <c r="F3290"/>
  <c r="F3288"/>
  <c r="F3286"/>
  <c r="F3284"/>
  <c r="F3282"/>
  <c r="F3280"/>
  <c r="F3278"/>
  <c r="F3276"/>
  <c r="F3274"/>
  <c r="F3272"/>
  <c r="F3270"/>
  <c r="F3268"/>
  <c r="F3266"/>
  <c r="F3264"/>
  <c r="F3262"/>
  <c r="F3260"/>
  <c r="F3258"/>
  <c r="F3245"/>
  <c r="E3242"/>
  <c r="G3242" s="1"/>
  <c r="F3241"/>
  <c r="E3238"/>
  <c r="G3238" s="1"/>
  <c r="F3237"/>
  <c r="E3234"/>
  <c r="G3234" s="1"/>
  <c r="F3233"/>
  <c r="E3230"/>
  <c r="G3230" s="1"/>
  <c r="F3229"/>
  <c r="E3226"/>
  <c r="G3226" s="1"/>
  <c r="F3225"/>
  <c r="E3222"/>
  <c r="G3222" s="1"/>
  <c r="F3221"/>
  <c r="E3218"/>
  <c r="G3218" s="1"/>
  <c r="F3217"/>
  <c r="E3214"/>
  <c r="G3214" s="1"/>
  <c r="F3213"/>
  <c r="E3210"/>
  <c r="G3210" s="1"/>
  <c r="F3209"/>
  <c r="E3206"/>
  <c r="G3206" s="1"/>
  <c r="F3205"/>
  <c r="E3202"/>
  <c r="G3202" s="1"/>
  <c r="E2218"/>
  <c r="G2218" s="1"/>
  <c r="F2217"/>
  <c r="E2214"/>
  <c r="G2214" s="1"/>
  <c r="E1701"/>
  <c r="G1701" s="1"/>
  <c r="F1701"/>
  <c r="E1697"/>
  <c r="G1697" s="1"/>
  <c r="F1697"/>
  <c r="E1693"/>
  <c r="G1693" s="1"/>
  <c r="F1693"/>
  <c r="E1689"/>
  <c r="G1689" s="1"/>
  <c r="F1689"/>
  <c r="E1685"/>
  <c r="G1685" s="1"/>
  <c r="F1685"/>
  <c r="E1681"/>
  <c r="G1681" s="1"/>
  <c r="F1681"/>
  <c r="E1677"/>
  <c r="G1677" s="1"/>
  <c r="F1677"/>
  <c r="E1673"/>
  <c r="G1673" s="1"/>
  <c r="F1673"/>
  <c r="E1669"/>
  <c r="G1669" s="1"/>
  <c r="F1669"/>
  <c r="E1665"/>
  <c r="G1665" s="1"/>
  <c r="F1665"/>
  <c r="E1661"/>
  <c r="G1661" s="1"/>
  <c r="F1661"/>
  <c r="E1657"/>
  <c r="G1657" s="1"/>
  <c r="F1657"/>
  <c r="E1653"/>
  <c r="G1653" s="1"/>
  <c r="F1653"/>
  <c r="E1649"/>
  <c r="G1649" s="1"/>
  <c r="F1649"/>
  <c r="E1645"/>
  <c r="G1645" s="1"/>
  <c r="F1645"/>
  <c r="E1641"/>
  <c r="G1641" s="1"/>
  <c r="F1641"/>
  <c r="E1637"/>
  <c r="G1637" s="1"/>
  <c r="F1637"/>
  <c r="E1633"/>
  <c r="G1633" s="1"/>
  <c r="F1633"/>
  <c r="E1629"/>
  <c r="G1629" s="1"/>
  <c r="F1629"/>
  <c r="E1625"/>
  <c r="G1625" s="1"/>
  <c r="F1625"/>
  <c r="E1621"/>
  <c r="G1621" s="1"/>
  <c r="F1621"/>
  <c r="E1617"/>
  <c r="G1617" s="1"/>
  <c r="F1617"/>
  <c r="E1613"/>
  <c r="G1613" s="1"/>
  <c r="F1613"/>
  <c r="E1609"/>
  <c r="G1609" s="1"/>
  <c r="F1609"/>
  <c r="E1605"/>
  <c r="G1605" s="1"/>
  <c r="F1605"/>
  <c r="E1601"/>
  <c r="G1601" s="1"/>
  <c r="F1601"/>
  <c r="E1597"/>
  <c r="G1597" s="1"/>
  <c r="F1597"/>
  <c r="E1593"/>
  <c r="G1593" s="1"/>
  <c r="F1593"/>
  <c r="E1589"/>
  <c r="G1589" s="1"/>
  <c r="F1589"/>
  <c r="E1585"/>
  <c r="G1585" s="1"/>
  <c r="F1585"/>
  <c r="E1581"/>
  <c r="G1581" s="1"/>
  <c r="F1581"/>
  <c r="E1577"/>
  <c r="G1577" s="1"/>
  <c r="F1577"/>
  <c r="E1573"/>
  <c r="G1573" s="1"/>
  <c r="F1573"/>
  <c r="F1569"/>
  <c r="F1567"/>
  <c r="F1565"/>
  <c r="F1563"/>
  <c r="F1561"/>
  <c r="F1559"/>
  <c r="E761"/>
  <c r="G761" s="1"/>
  <c r="F761"/>
  <c r="E358"/>
  <c r="G358" s="1"/>
  <c r="F358"/>
  <c r="E39"/>
  <c r="G39" s="1"/>
  <c r="F39"/>
  <c r="E37"/>
  <c r="G37" s="1"/>
  <c r="F37"/>
  <c r="E35"/>
  <c r="G35" s="1"/>
  <c r="F35"/>
  <c r="E33"/>
  <c r="G33" s="1"/>
  <c r="F33"/>
  <c r="E31"/>
  <c r="G31" s="1"/>
  <c r="F31"/>
  <c r="E29"/>
  <c r="G29" s="1"/>
  <c r="F29"/>
  <c r="E27"/>
  <c r="G27" s="1"/>
  <c r="F27"/>
  <c r="E25"/>
  <c r="G25" s="1"/>
  <c r="F25"/>
  <c r="E23"/>
  <c r="G23" s="1"/>
  <c r="F23"/>
  <c r="E21"/>
  <c r="G21" s="1"/>
  <c r="F21"/>
  <c r="E19"/>
  <c r="G19" s="1"/>
  <c r="F19"/>
  <c r="E17"/>
  <c r="G17" s="1"/>
  <c r="F17"/>
  <c r="E15"/>
  <c r="G15" s="1"/>
  <c r="F15"/>
  <c r="E13"/>
  <c r="G13" s="1"/>
  <c r="F13"/>
  <c r="E11"/>
  <c r="G11" s="1"/>
  <c r="F11"/>
  <c r="E9"/>
  <c r="G9" s="1"/>
  <c r="F9"/>
  <c r="F763"/>
  <c r="E760"/>
  <c r="G760" s="1"/>
  <c r="F759"/>
  <c r="E357"/>
  <c r="G357" s="1"/>
  <c r="F356"/>
  <c r="F63"/>
  <c r="F61"/>
  <c r="F59"/>
  <c r="F57"/>
  <c r="F55"/>
  <c r="F53"/>
  <c r="F51"/>
  <c r="F49"/>
  <c r="F47"/>
  <c r="F45"/>
  <c r="F43"/>
  <c r="F41"/>
  <c r="E4066"/>
  <c r="G4066" s="1"/>
  <c r="F4066"/>
  <c r="E4064"/>
  <c r="G4064" s="1"/>
  <c r="F4064"/>
  <c r="F3409"/>
  <c r="E3409"/>
  <c r="G3409" s="1"/>
  <c r="F3407"/>
  <c r="E3407"/>
  <c r="G3407" s="1"/>
  <c r="F3405"/>
  <c r="E3405"/>
  <c r="G3405" s="1"/>
  <c r="F3403"/>
  <c r="E3403"/>
  <c r="G3403" s="1"/>
  <c r="F3401"/>
  <c r="E3401"/>
  <c r="G3401" s="1"/>
  <c r="F3399"/>
  <c r="E3399"/>
  <c r="G3399" s="1"/>
  <c r="F3397"/>
  <c r="E3397"/>
  <c r="G3397" s="1"/>
  <c r="F3395"/>
  <c r="E3395"/>
  <c r="G3395" s="1"/>
  <c r="F3393"/>
  <c r="E3393"/>
  <c r="G3393" s="1"/>
  <c r="F3391"/>
  <c r="E3391"/>
  <c r="G3391" s="1"/>
  <c r="F3389"/>
  <c r="E3389"/>
  <c r="G3389" s="1"/>
  <c r="F3387"/>
  <c r="E3387"/>
  <c r="G3387" s="1"/>
  <c r="F3385"/>
  <c r="E3385"/>
  <c r="G3385" s="1"/>
  <c r="F3383"/>
  <c r="E3383"/>
  <c r="G3383" s="1"/>
  <c r="F3381"/>
  <c r="E3381"/>
  <c r="G3381" s="1"/>
  <c r="F3379"/>
  <c r="E3379"/>
  <c r="G3379" s="1"/>
  <c r="F3377"/>
  <c r="E3377"/>
  <c r="G3377" s="1"/>
  <c r="F3375"/>
  <c r="E3375"/>
  <c r="G3375" s="1"/>
  <c r="F3373"/>
  <c r="E3373"/>
  <c r="G3373" s="1"/>
  <c r="F3371"/>
  <c r="E3371"/>
  <c r="G3371" s="1"/>
  <c r="F3369"/>
  <c r="E3369"/>
  <c r="G3369" s="1"/>
  <c r="F3367"/>
  <c r="E3367"/>
  <c r="G3367" s="1"/>
  <c r="F3365"/>
  <c r="E3365"/>
  <c r="G3365" s="1"/>
  <c r="F3363"/>
  <c r="E3363"/>
  <c r="G3363" s="1"/>
  <c r="F3361"/>
  <c r="E3361"/>
  <c r="G3361" s="1"/>
  <c r="F3359"/>
  <c r="E3359"/>
  <c r="G3359" s="1"/>
  <c r="F3357"/>
  <c r="E3357"/>
  <c r="G3357" s="1"/>
  <c r="F3355"/>
  <c r="E3355"/>
  <c r="G3355" s="1"/>
  <c r="F3353"/>
  <c r="E3353"/>
  <c r="G3353" s="1"/>
  <c r="F3351"/>
  <c r="E3351"/>
  <c r="G3351" s="1"/>
  <c r="F3349"/>
  <c r="E3349"/>
  <c r="G3349" s="1"/>
  <c r="F3347"/>
  <c r="E3347"/>
  <c r="G3347" s="1"/>
  <c r="F3345"/>
  <c r="E3345"/>
  <c r="G3345" s="1"/>
  <c r="F3343"/>
  <c r="E3343"/>
  <c r="G3343" s="1"/>
  <c r="F3341"/>
  <c r="E3341"/>
  <c r="G3341" s="1"/>
  <c r="F3339"/>
  <c r="E3339"/>
  <c r="G3339" s="1"/>
  <c r="F3337"/>
  <c r="E3337"/>
  <c r="G3337" s="1"/>
  <c r="F3335"/>
  <c r="E3335"/>
  <c r="G3335" s="1"/>
  <c r="F3333"/>
  <c r="E3333"/>
  <c r="G3333" s="1"/>
  <c r="F3331"/>
  <c r="E3331"/>
  <c r="G3331" s="1"/>
  <c r="F3329"/>
  <c r="E3329"/>
  <c r="G3329" s="1"/>
  <c r="F3327"/>
  <c r="E3327"/>
  <c r="G3327" s="1"/>
  <c r="F3325"/>
  <c r="E3325"/>
  <c r="G3325" s="1"/>
  <c r="F3323"/>
  <c r="E3323"/>
  <c r="G3323" s="1"/>
  <c r="F3321"/>
  <c r="E3321"/>
  <c r="G3321" s="1"/>
  <c r="F3319"/>
  <c r="E3319"/>
  <c r="G3319" s="1"/>
  <c r="F3317"/>
  <c r="E3317"/>
  <c r="G3317" s="1"/>
  <c r="F3315"/>
  <c r="E3315"/>
  <c r="G3315" s="1"/>
  <c r="F3313"/>
  <c r="E3313"/>
  <c r="G3313" s="1"/>
  <c r="F3311"/>
  <c r="E3311"/>
  <c r="G3311" s="1"/>
  <c r="F3309"/>
  <c r="E3309"/>
  <c r="G3309" s="1"/>
  <c r="F3307"/>
  <c r="E3307"/>
  <c r="G3307" s="1"/>
  <c r="F3305"/>
  <c r="E3305"/>
  <c r="G3305" s="1"/>
  <c r="F3303"/>
  <c r="E3303"/>
  <c r="G3303" s="1"/>
  <c r="F3301"/>
  <c r="E3301"/>
  <c r="G3301" s="1"/>
  <c r="F3299"/>
  <c r="E3299"/>
  <c r="G3299" s="1"/>
  <c r="F3297"/>
  <c r="E3297"/>
  <c r="G3297" s="1"/>
  <c r="F3295"/>
  <c r="E3295"/>
  <c r="G3295" s="1"/>
  <c r="F3293"/>
  <c r="E3293"/>
  <c r="G3293" s="1"/>
  <c r="F3291"/>
  <c r="E3291"/>
  <c r="G3291" s="1"/>
  <c r="F3289"/>
  <c r="E3289"/>
  <c r="G3289" s="1"/>
  <c r="F3287"/>
  <c r="E3287"/>
  <c r="G3287" s="1"/>
  <c r="F3285"/>
  <c r="E3285"/>
  <c r="G3285" s="1"/>
  <c r="F3283"/>
  <c r="E3283"/>
  <c r="G3283" s="1"/>
  <c r="F3281"/>
  <c r="E3281"/>
  <c r="G3281" s="1"/>
  <c r="F3279"/>
  <c r="E3279"/>
  <c r="G3279" s="1"/>
  <c r="F3277"/>
  <c r="E3277"/>
  <c r="G3277" s="1"/>
  <c r="F3275"/>
  <c r="E3275"/>
  <c r="G3275" s="1"/>
  <c r="F3273"/>
  <c r="E3273"/>
  <c r="G3273" s="1"/>
  <c r="F3271"/>
  <c r="E3271"/>
  <c r="G3271" s="1"/>
  <c r="F3269"/>
  <c r="E3269"/>
  <c r="G3269" s="1"/>
  <c r="F3267"/>
  <c r="E3267"/>
  <c r="G3267" s="1"/>
  <c r="F3265"/>
  <c r="E3265"/>
  <c r="G3265" s="1"/>
  <c r="F3263"/>
  <c r="E3263"/>
  <c r="G3263" s="1"/>
  <c r="F3261"/>
  <c r="E3261"/>
  <c r="G3261" s="1"/>
  <c r="F3259"/>
  <c r="E3259"/>
  <c r="G3259" s="1"/>
  <c r="E4062"/>
  <c r="G4062" s="1"/>
  <c r="F4062"/>
  <c r="E4060"/>
  <c r="G4060" s="1"/>
  <c r="F4060"/>
  <c r="E4058"/>
  <c r="G4058" s="1"/>
  <c r="F4058"/>
  <c r="E4056"/>
  <c r="G4056" s="1"/>
  <c r="F4056"/>
  <c r="E4054"/>
  <c r="G4054" s="1"/>
  <c r="F4054"/>
  <c r="E4052"/>
  <c r="G4052" s="1"/>
  <c r="F4052"/>
  <c r="E4050"/>
  <c r="G4050" s="1"/>
  <c r="F4050"/>
  <c r="E4048"/>
  <c r="G4048" s="1"/>
  <c r="F4048"/>
  <c r="E4046"/>
  <c r="G4046" s="1"/>
  <c r="F4046"/>
  <c r="E4044"/>
  <c r="G4044" s="1"/>
  <c r="F4044"/>
  <c r="E4042"/>
  <c r="G4042" s="1"/>
  <c r="F4042"/>
  <c r="E4040"/>
  <c r="G4040" s="1"/>
  <c r="F4040"/>
  <c r="E4038"/>
  <c r="G4038" s="1"/>
  <c r="F4038"/>
  <c r="E4036"/>
  <c r="G4036" s="1"/>
  <c r="F4036"/>
  <c r="E4034"/>
  <c r="G4034" s="1"/>
  <c r="F4034"/>
  <c r="E4032"/>
  <c r="G4032" s="1"/>
  <c r="F4032"/>
  <c r="E4030"/>
  <c r="G4030" s="1"/>
  <c r="F4030"/>
  <c r="E4028"/>
  <c r="G4028" s="1"/>
  <c r="F4028"/>
  <c r="E4026"/>
  <c r="G4026" s="1"/>
  <c r="F4026"/>
  <c r="E4024"/>
  <c r="G4024" s="1"/>
  <c r="F4024"/>
  <c r="E4022"/>
  <c r="G4022" s="1"/>
  <c r="F4022"/>
  <c r="E4020"/>
  <c r="G4020" s="1"/>
  <c r="F4020"/>
  <c r="E4018"/>
  <c r="G4018" s="1"/>
  <c r="F4018"/>
  <c r="E4016"/>
  <c r="G4016" s="1"/>
  <c r="F4016"/>
  <c r="E4014"/>
  <c r="G4014" s="1"/>
  <c r="F4014"/>
  <c r="E4012"/>
  <c r="G4012" s="1"/>
  <c r="F4012"/>
  <c r="E4010"/>
  <c r="G4010" s="1"/>
  <c r="F4010"/>
  <c r="E4008"/>
  <c r="G4008" s="1"/>
  <c r="F4008"/>
  <c r="E4006"/>
  <c r="G4006" s="1"/>
  <c r="F4006"/>
  <c r="E4004"/>
  <c r="G4004" s="1"/>
  <c r="F4004"/>
  <c r="E4002"/>
  <c r="G4002" s="1"/>
  <c r="F4002"/>
  <c r="E4000"/>
  <c r="G4000" s="1"/>
  <c r="F4000"/>
  <c r="E3998"/>
  <c r="G3998" s="1"/>
  <c r="F3998"/>
  <c r="E3996"/>
  <c r="G3996" s="1"/>
  <c r="F3996"/>
  <c r="E3994"/>
  <c r="G3994" s="1"/>
  <c r="F3994"/>
  <c r="E3992"/>
  <c r="G3992" s="1"/>
  <c r="F3992"/>
  <c r="E3990"/>
  <c r="G3990" s="1"/>
  <c r="F3990"/>
  <c r="E3988"/>
  <c r="G3988" s="1"/>
  <c r="F3988"/>
  <c r="E3986"/>
  <c r="G3986" s="1"/>
  <c r="F3986"/>
  <c r="E3984"/>
  <c r="G3984" s="1"/>
  <c r="F3984"/>
  <c r="E3982"/>
  <c r="G3982" s="1"/>
  <c r="F3982"/>
  <c r="E3980"/>
  <c r="G3980" s="1"/>
  <c r="F3980"/>
  <c r="E3978"/>
  <c r="G3978" s="1"/>
  <c r="F3978"/>
  <c r="E3976"/>
  <c r="G3976" s="1"/>
  <c r="F3976"/>
  <c r="E3974"/>
  <c r="G3974" s="1"/>
  <c r="F3974"/>
  <c r="E3972"/>
  <c r="G3972" s="1"/>
  <c r="F3972"/>
  <c r="E3970"/>
  <c r="G3970" s="1"/>
  <c r="F3970"/>
  <c r="E3968"/>
  <c r="G3968" s="1"/>
  <c r="F3968"/>
  <c r="E3966"/>
  <c r="G3966" s="1"/>
  <c r="F3966"/>
  <c r="E3964"/>
  <c r="G3964" s="1"/>
  <c r="F3964"/>
  <c r="E3962"/>
  <c r="G3962" s="1"/>
  <c r="F3962"/>
  <c r="E3960"/>
  <c r="G3960" s="1"/>
  <c r="F3960"/>
  <c r="E3958"/>
  <c r="G3958" s="1"/>
  <c r="F3958"/>
  <c r="E3956"/>
  <c r="G3956" s="1"/>
  <c r="F3956"/>
  <c r="E3954"/>
  <c r="G3954" s="1"/>
  <c r="F3954"/>
  <c r="E3952"/>
  <c r="G3952" s="1"/>
  <c r="F3952"/>
  <c r="E3950"/>
  <c r="G3950" s="1"/>
  <c r="F3950"/>
  <c r="E3948"/>
  <c r="G3948" s="1"/>
  <c r="F3948"/>
  <c r="E3946"/>
  <c r="G3946" s="1"/>
  <c r="F3946"/>
  <c r="E3944"/>
  <c r="G3944" s="1"/>
  <c r="F3944"/>
  <c r="E3942"/>
  <c r="G3942" s="1"/>
  <c r="F3942"/>
  <c r="E3940"/>
  <c r="G3940" s="1"/>
  <c r="F3940"/>
  <c r="E3938"/>
  <c r="G3938" s="1"/>
  <c r="F3938"/>
  <c r="E3936"/>
  <c r="G3936" s="1"/>
  <c r="F3936"/>
  <c r="E3934"/>
  <c r="G3934" s="1"/>
  <c r="F3934"/>
  <c r="E3932"/>
  <c r="G3932" s="1"/>
  <c r="F3932"/>
  <c r="E3930"/>
  <c r="G3930" s="1"/>
  <c r="F3930"/>
  <c r="E3928"/>
  <c r="G3928" s="1"/>
  <c r="F3928"/>
  <c r="E3926"/>
  <c r="G3926" s="1"/>
  <c r="F3926"/>
  <c r="E3924"/>
  <c r="G3924" s="1"/>
  <c r="F3924"/>
  <c r="E3922"/>
  <c r="G3922" s="1"/>
  <c r="F3922"/>
  <c r="E3920"/>
  <c r="G3920" s="1"/>
  <c r="F3920"/>
  <c r="E3918"/>
  <c r="G3918" s="1"/>
  <c r="F3918"/>
  <c r="E3916"/>
  <c r="G3916" s="1"/>
  <c r="F3916"/>
  <c r="E3914"/>
  <c r="G3914" s="1"/>
  <c r="F3914"/>
  <c r="E3912"/>
  <c r="G3912" s="1"/>
  <c r="F3912"/>
  <c r="E3910"/>
  <c r="G3910" s="1"/>
  <c r="F3910"/>
  <c r="E3908"/>
  <c r="G3908" s="1"/>
  <c r="F3908"/>
  <c r="E3906"/>
  <c r="G3906" s="1"/>
  <c r="F3906"/>
  <c r="E3904"/>
  <c r="G3904" s="1"/>
  <c r="F3904"/>
  <c r="E3902"/>
  <c r="G3902" s="1"/>
  <c r="F3902"/>
  <c r="E3900"/>
  <c r="G3900" s="1"/>
  <c r="F3900"/>
  <c r="E3898"/>
  <c r="G3898" s="1"/>
  <c r="F3898"/>
  <c r="E3896"/>
  <c r="G3896" s="1"/>
  <c r="F3896"/>
  <c r="E3894"/>
  <c r="G3894" s="1"/>
  <c r="F3894"/>
  <c r="E3892"/>
  <c r="G3892" s="1"/>
  <c r="F3892"/>
  <c r="E3890"/>
  <c r="G3890" s="1"/>
  <c r="F3890"/>
  <c r="E3888"/>
  <c r="G3888" s="1"/>
  <c r="F3888"/>
  <c r="E3886"/>
  <c r="G3886" s="1"/>
  <c r="F3886"/>
  <c r="E3884"/>
  <c r="G3884" s="1"/>
  <c r="F3884"/>
  <c r="E3882"/>
  <c r="G3882" s="1"/>
  <c r="F3882"/>
  <c r="E3880"/>
  <c r="G3880" s="1"/>
  <c r="F3880"/>
  <c r="E3878"/>
  <c r="G3878" s="1"/>
  <c r="F3878"/>
  <c r="E3876"/>
  <c r="G3876" s="1"/>
  <c r="F3876"/>
  <c r="E3874"/>
  <c r="G3874" s="1"/>
  <c r="F3874"/>
  <c r="E3872"/>
  <c r="G3872" s="1"/>
  <c r="F3872"/>
  <c r="E3870"/>
  <c r="G3870" s="1"/>
  <c r="F3870"/>
  <c r="E3868"/>
  <c r="G3868" s="1"/>
  <c r="F3868"/>
  <c r="E3866"/>
  <c r="G3866" s="1"/>
  <c r="F3866"/>
  <c r="E3864"/>
  <c r="G3864" s="1"/>
  <c r="F3864"/>
  <c r="E3862"/>
  <c r="G3862" s="1"/>
  <c r="F3862"/>
  <c r="E3860"/>
  <c r="G3860" s="1"/>
  <c r="F3860"/>
  <c r="E3858"/>
  <c r="G3858" s="1"/>
  <c r="F3858"/>
  <c r="E3856"/>
  <c r="G3856" s="1"/>
  <c r="F3856"/>
  <c r="E3854"/>
  <c r="G3854" s="1"/>
  <c r="F3854"/>
  <c r="E3852"/>
  <c r="G3852" s="1"/>
  <c r="F3852"/>
  <c r="E3850"/>
  <c r="G3850" s="1"/>
  <c r="F3850"/>
  <c r="E3848"/>
  <c r="G3848" s="1"/>
  <c r="F3848"/>
  <c r="E3846"/>
  <c r="G3846" s="1"/>
  <c r="F3846"/>
  <c r="E3844"/>
  <c r="G3844" s="1"/>
  <c r="F3844"/>
  <c r="E3842"/>
  <c r="G3842" s="1"/>
  <c r="F3842"/>
  <c r="E3840"/>
  <c r="G3840" s="1"/>
  <c r="F3840"/>
  <c r="E3838"/>
  <c r="G3838" s="1"/>
  <c r="F3838"/>
  <c r="E3836"/>
  <c r="G3836" s="1"/>
  <c r="F3836"/>
  <c r="E3834"/>
  <c r="G3834" s="1"/>
  <c r="F3834"/>
  <c r="E3832"/>
  <c r="G3832" s="1"/>
  <c r="F3832"/>
  <c r="E3830"/>
  <c r="G3830" s="1"/>
  <c r="F3830"/>
  <c r="E3828"/>
  <c r="G3828" s="1"/>
  <c r="F3828"/>
  <c r="E3826"/>
  <c r="G3826" s="1"/>
  <c r="F3826"/>
  <c r="E3824"/>
  <c r="G3824" s="1"/>
  <c r="F3824"/>
  <c r="E3822"/>
  <c r="G3822" s="1"/>
  <c r="F3822"/>
  <c r="E3820"/>
  <c r="G3820" s="1"/>
  <c r="F3820"/>
  <c r="E3818"/>
  <c r="G3818" s="1"/>
  <c r="F3818"/>
  <c r="E3816"/>
  <c r="G3816" s="1"/>
  <c r="F3816"/>
  <c r="E3814"/>
  <c r="G3814" s="1"/>
  <c r="F3814"/>
  <c r="E3812"/>
  <c r="G3812" s="1"/>
  <c r="F3812"/>
  <c r="E3810"/>
  <c r="G3810" s="1"/>
  <c r="F3810"/>
  <c r="E3808"/>
  <c r="G3808" s="1"/>
  <c r="F3808"/>
  <c r="E3806"/>
  <c r="G3806" s="1"/>
  <c r="F3806"/>
  <c r="E3804"/>
  <c r="G3804" s="1"/>
  <c r="F3804"/>
  <c r="E3802"/>
  <c r="G3802" s="1"/>
  <c r="F3802"/>
  <c r="E3800"/>
  <c r="G3800" s="1"/>
  <c r="F3800"/>
  <c r="E3798"/>
  <c r="G3798" s="1"/>
  <c r="F3798"/>
  <c r="E3796"/>
  <c r="G3796" s="1"/>
  <c r="F3796"/>
  <c r="E3794"/>
  <c r="G3794" s="1"/>
  <c r="F3794"/>
  <c r="E3792"/>
  <c r="G3792" s="1"/>
  <c r="F3792"/>
  <c r="E3790"/>
  <c r="G3790" s="1"/>
  <c r="F3790"/>
  <c r="E3788"/>
  <c r="G3788" s="1"/>
  <c r="F3788"/>
  <c r="E3786"/>
  <c r="G3786" s="1"/>
  <c r="F3786"/>
  <c r="E3784"/>
  <c r="G3784" s="1"/>
  <c r="F3784"/>
  <c r="E3782"/>
  <c r="G3782" s="1"/>
  <c r="F3782"/>
  <c r="E3780"/>
  <c r="G3780" s="1"/>
  <c r="F3780"/>
  <c r="E3778"/>
  <c r="G3778" s="1"/>
  <c r="F3778"/>
  <c r="E3776"/>
  <c r="G3776" s="1"/>
  <c r="F3776"/>
  <c r="E3774"/>
  <c r="G3774" s="1"/>
  <c r="F3774"/>
  <c r="E3772"/>
  <c r="G3772" s="1"/>
  <c r="F3772"/>
  <c r="E3770"/>
  <c r="G3770" s="1"/>
  <c r="F3770"/>
  <c r="E3768"/>
  <c r="G3768" s="1"/>
  <c r="F3768"/>
  <c r="E3766"/>
  <c r="G3766" s="1"/>
  <c r="F3766"/>
  <c r="E3764"/>
  <c r="G3764" s="1"/>
  <c r="F3764"/>
  <c r="E3762"/>
  <c r="G3762" s="1"/>
  <c r="F3762"/>
  <c r="E3760"/>
  <c r="G3760" s="1"/>
  <c r="F3760"/>
  <c r="E3758"/>
  <c r="G3758" s="1"/>
  <c r="F3758"/>
  <c r="E3756"/>
  <c r="G3756" s="1"/>
  <c r="F3756"/>
  <c r="E3754"/>
  <c r="G3754" s="1"/>
  <c r="F3754"/>
  <c r="E3752"/>
  <c r="G3752" s="1"/>
  <c r="F3752"/>
  <c r="E3750"/>
  <c r="G3750" s="1"/>
  <c r="F3750"/>
  <c r="E3748"/>
  <c r="G3748" s="1"/>
  <c r="F3748"/>
  <c r="E3746"/>
  <c r="G3746" s="1"/>
  <c r="F3746"/>
  <c r="E3744"/>
  <c r="G3744" s="1"/>
  <c r="F3744"/>
  <c r="E3742"/>
  <c r="G3742" s="1"/>
  <c r="F3742"/>
  <c r="E3740"/>
  <c r="G3740" s="1"/>
  <c r="F3740"/>
  <c r="E3738"/>
  <c r="G3738" s="1"/>
  <c r="F3738"/>
  <c r="E3736"/>
  <c r="G3736" s="1"/>
  <c r="F3736"/>
  <c r="E3734"/>
  <c r="G3734" s="1"/>
  <c r="F3734"/>
  <c r="E3732"/>
  <c r="G3732" s="1"/>
  <c r="F3732"/>
  <c r="E3730"/>
  <c r="G3730" s="1"/>
  <c r="F3730"/>
  <c r="E3728"/>
  <c r="G3728" s="1"/>
  <c r="F3728"/>
  <c r="E3726"/>
  <c r="G3726" s="1"/>
  <c r="F3726"/>
  <c r="E3724"/>
  <c r="G3724" s="1"/>
  <c r="F3724"/>
  <c r="E3722"/>
  <c r="G3722" s="1"/>
  <c r="F3722"/>
  <c r="E3720"/>
  <c r="G3720" s="1"/>
  <c r="F3720"/>
  <c r="E3718"/>
  <c r="G3718" s="1"/>
  <c r="F3718"/>
  <c r="E3716"/>
  <c r="G3716" s="1"/>
  <c r="F3716"/>
  <c r="E3714"/>
  <c r="G3714" s="1"/>
  <c r="F3714"/>
  <c r="E3712"/>
  <c r="G3712" s="1"/>
  <c r="F3712"/>
  <c r="E3710"/>
  <c r="G3710" s="1"/>
  <c r="F3710"/>
  <c r="E3708"/>
  <c r="G3708" s="1"/>
  <c r="F3708"/>
  <c r="E3706"/>
  <c r="G3706" s="1"/>
  <c r="F3706"/>
  <c r="E3704"/>
  <c r="G3704" s="1"/>
  <c r="F3704"/>
  <c r="E3702"/>
  <c r="G3702" s="1"/>
  <c r="F3702"/>
  <c r="E3700"/>
  <c r="G3700" s="1"/>
  <c r="F3700"/>
  <c r="E3698"/>
  <c r="G3698" s="1"/>
  <c r="F3698"/>
  <c r="E3696"/>
  <c r="G3696" s="1"/>
  <c r="F3696"/>
  <c r="E3694"/>
  <c r="G3694" s="1"/>
  <c r="F3694"/>
  <c r="E3692"/>
  <c r="G3692" s="1"/>
  <c r="F3692"/>
  <c r="E3690"/>
  <c r="G3690" s="1"/>
  <c r="F3690"/>
  <c r="E3688"/>
  <c r="G3688" s="1"/>
  <c r="F3688"/>
  <c r="E3686"/>
  <c r="G3686" s="1"/>
  <c r="F3686"/>
  <c r="E3684"/>
  <c r="G3684" s="1"/>
  <c r="F3684"/>
  <c r="E3682"/>
  <c r="G3682" s="1"/>
  <c r="F3682"/>
  <c r="E3680"/>
  <c r="G3680" s="1"/>
  <c r="F3680"/>
  <c r="E3678"/>
  <c r="G3678" s="1"/>
  <c r="F3678"/>
  <c r="E3676"/>
  <c r="G3676" s="1"/>
  <c r="F3676"/>
  <c r="E3674"/>
  <c r="G3674" s="1"/>
  <c r="F3674"/>
  <c r="E3672"/>
  <c r="G3672" s="1"/>
  <c r="F3672"/>
  <c r="E3670"/>
  <c r="G3670" s="1"/>
  <c r="F3670"/>
  <c r="E3668"/>
  <c r="G3668" s="1"/>
  <c r="F3668"/>
  <c r="E3666"/>
  <c r="G3666" s="1"/>
  <c r="F3666"/>
  <c r="E3664"/>
  <c r="G3664" s="1"/>
  <c r="F3664"/>
  <c r="E3662"/>
  <c r="G3662" s="1"/>
  <c r="F3662"/>
  <c r="E3660"/>
  <c r="G3660" s="1"/>
  <c r="F3660"/>
  <c r="E3658"/>
  <c r="G3658" s="1"/>
  <c r="F3658"/>
  <c r="E3656"/>
  <c r="G3656" s="1"/>
  <c r="F3656"/>
  <c r="E3654"/>
  <c r="G3654" s="1"/>
  <c r="F3654"/>
  <c r="E3652"/>
  <c r="G3652" s="1"/>
  <c r="F3652"/>
  <c r="E3650"/>
  <c r="G3650" s="1"/>
  <c r="F3650"/>
  <c r="E3648"/>
  <c r="G3648" s="1"/>
  <c r="F3648"/>
  <c r="E3646"/>
  <c r="G3646" s="1"/>
  <c r="F3646"/>
  <c r="E3644"/>
  <c r="G3644" s="1"/>
  <c r="F3644"/>
  <c r="E3642"/>
  <c r="G3642" s="1"/>
  <c r="F3642"/>
  <c r="E3640"/>
  <c r="G3640" s="1"/>
  <c r="F3640"/>
  <c r="E3638"/>
  <c r="G3638" s="1"/>
  <c r="F3638"/>
  <c r="E3636"/>
  <c r="G3636" s="1"/>
  <c r="F3636"/>
  <c r="E3634"/>
  <c r="G3634" s="1"/>
  <c r="F3634"/>
  <c r="E3632"/>
  <c r="G3632" s="1"/>
  <c r="F3632"/>
  <c r="E3630"/>
  <c r="G3630" s="1"/>
  <c r="F3630"/>
  <c r="E3628"/>
  <c r="G3628" s="1"/>
  <c r="F3628"/>
  <c r="E3626"/>
  <c r="G3626" s="1"/>
  <c r="F3626"/>
  <c r="E3624"/>
  <c r="G3624" s="1"/>
  <c r="F3624"/>
  <c r="E3622"/>
  <c r="G3622" s="1"/>
  <c r="F3622"/>
  <c r="E3620"/>
  <c r="G3620" s="1"/>
  <c r="F3620"/>
  <c r="E3618"/>
  <c r="G3618" s="1"/>
  <c r="F3618"/>
  <c r="E3616"/>
  <c r="G3616" s="1"/>
  <c r="F3616"/>
  <c r="E3614"/>
  <c r="G3614" s="1"/>
  <c r="F3614"/>
  <c r="E3612"/>
  <c r="G3612" s="1"/>
  <c r="F3612"/>
  <c r="E3610"/>
  <c r="G3610" s="1"/>
  <c r="F3610"/>
  <c r="E3608"/>
  <c r="G3608" s="1"/>
  <c r="F3608"/>
  <c r="E3606"/>
  <c r="G3606" s="1"/>
  <c r="F3606"/>
  <c r="E3604"/>
  <c r="G3604" s="1"/>
  <c r="F3604"/>
  <c r="E3602"/>
  <c r="G3602" s="1"/>
  <c r="F3602"/>
  <c r="E3600"/>
  <c r="G3600" s="1"/>
  <c r="F3600"/>
  <c r="E3598"/>
  <c r="G3598" s="1"/>
  <c r="F3598"/>
  <c r="E3596"/>
  <c r="G3596" s="1"/>
  <c r="F3596"/>
  <c r="E3594"/>
  <c r="G3594" s="1"/>
  <c r="F3594"/>
  <c r="E3592"/>
  <c r="G3592" s="1"/>
  <c r="F3592"/>
  <c r="E3590"/>
  <c r="G3590" s="1"/>
  <c r="F3590"/>
  <c r="E3588"/>
  <c r="G3588" s="1"/>
  <c r="F3588"/>
  <c r="E3586"/>
  <c r="G3586" s="1"/>
  <c r="F3586"/>
  <c r="E3584"/>
  <c r="G3584" s="1"/>
  <c r="F3584"/>
  <c r="E3582"/>
  <c r="G3582" s="1"/>
  <c r="F3582"/>
  <c r="E3580"/>
  <c r="G3580" s="1"/>
  <c r="F3580"/>
  <c r="E3578"/>
  <c r="G3578" s="1"/>
  <c r="F3578"/>
  <c r="E3576"/>
  <c r="G3576" s="1"/>
  <c r="F3576"/>
  <c r="E3574"/>
  <c r="G3574" s="1"/>
  <c r="F3574"/>
  <c r="E3572"/>
  <c r="G3572" s="1"/>
  <c r="F3572"/>
  <c r="E3570"/>
  <c r="G3570" s="1"/>
  <c r="F3570"/>
  <c r="E3568"/>
  <c r="G3568" s="1"/>
  <c r="F3568"/>
  <c r="E3566"/>
  <c r="G3566" s="1"/>
  <c r="F3566"/>
  <c r="E3564"/>
  <c r="G3564" s="1"/>
  <c r="F3564"/>
  <c r="E3562"/>
  <c r="G3562" s="1"/>
  <c r="F3562"/>
  <c r="E3560"/>
  <c r="G3560" s="1"/>
  <c r="F3560"/>
  <c r="E3558"/>
  <c r="G3558" s="1"/>
  <c r="F3558"/>
  <c r="E3556"/>
  <c r="G3556" s="1"/>
  <c r="F3556"/>
  <c r="E3554"/>
  <c r="G3554" s="1"/>
  <c r="F3554"/>
  <c r="E3552"/>
  <c r="G3552" s="1"/>
  <c r="F3552"/>
  <c r="E3550"/>
  <c r="G3550" s="1"/>
  <c r="F3550"/>
  <c r="E3548"/>
  <c r="G3548" s="1"/>
  <c r="F3548"/>
  <c r="E3546"/>
  <c r="G3546" s="1"/>
  <c r="F3546"/>
  <c r="E3544"/>
  <c r="G3544" s="1"/>
  <c r="F3544"/>
  <c r="E3542"/>
  <c r="G3542" s="1"/>
  <c r="F3542"/>
  <c r="E3540"/>
  <c r="G3540" s="1"/>
  <c r="F3540"/>
  <c r="E3538"/>
  <c r="G3538" s="1"/>
  <c r="F3538"/>
  <c r="E3536"/>
  <c r="G3536" s="1"/>
  <c r="F3536"/>
  <c r="E3534"/>
  <c r="G3534" s="1"/>
  <c r="F3534"/>
  <c r="E3532"/>
  <c r="G3532" s="1"/>
  <c r="F3532"/>
  <c r="E3530"/>
  <c r="G3530" s="1"/>
  <c r="F3530"/>
  <c r="E3528"/>
  <c r="G3528" s="1"/>
  <c r="F3528"/>
  <c r="E3526"/>
  <c r="G3526" s="1"/>
  <c r="F3526"/>
  <c r="E3524"/>
  <c r="G3524" s="1"/>
  <c r="F3524"/>
  <c r="E3522"/>
  <c r="G3522" s="1"/>
  <c r="F3522"/>
  <c r="E3520"/>
  <c r="G3520" s="1"/>
  <c r="F3520"/>
  <c r="E3518"/>
  <c r="G3518" s="1"/>
  <c r="F3518"/>
  <c r="E3516"/>
  <c r="G3516" s="1"/>
  <c r="F3516"/>
  <c r="E3514"/>
  <c r="G3514" s="1"/>
  <c r="F3514"/>
  <c r="E3512"/>
  <c r="G3512" s="1"/>
  <c r="F3512"/>
  <c r="E3510"/>
  <c r="G3510" s="1"/>
  <c r="F3510"/>
  <c r="E3508"/>
  <c r="G3508" s="1"/>
  <c r="F3508"/>
  <c r="E3506"/>
  <c r="G3506" s="1"/>
  <c r="F3506"/>
  <c r="E3504"/>
  <c r="G3504" s="1"/>
  <c r="F3504"/>
  <c r="E3502"/>
  <c r="G3502" s="1"/>
  <c r="F3502"/>
  <c r="E3500"/>
  <c r="G3500" s="1"/>
  <c r="F3500"/>
  <c r="E3498"/>
  <c r="G3498" s="1"/>
  <c r="F3498"/>
  <c r="E3496"/>
  <c r="G3496" s="1"/>
  <c r="F3496"/>
  <c r="E3494"/>
  <c r="G3494" s="1"/>
  <c r="F3494"/>
  <c r="E3492"/>
  <c r="G3492" s="1"/>
  <c r="F3492"/>
  <c r="E3490"/>
  <c r="G3490" s="1"/>
  <c r="F3490"/>
  <c r="E3488"/>
  <c r="G3488" s="1"/>
  <c r="F3488"/>
  <c r="E3486"/>
  <c r="G3486" s="1"/>
  <c r="F3486"/>
  <c r="E3484"/>
  <c r="G3484" s="1"/>
  <c r="F3484"/>
  <c r="E3482"/>
  <c r="G3482" s="1"/>
  <c r="F3482"/>
  <c r="E3480"/>
  <c r="G3480" s="1"/>
  <c r="F3480"/>
  <c r="E3478"/>
  <c r="G3478" s="1"/>
  <c r="F3478"/>
  <c r="E3476"/>
  <c r="G3476" s="1"/>
  <c r="F3476"/>
  <c r="E3474"/>
  <c r="G3474" s="1"/>
  <c r="F3474"/>
  <c r="E3472"/>
  <c r="G3472" s="1"/>
  <c r="F3472"/>
  <c r="E3470"/>
  <c r="G3470" s="1"/>
  <c r="F3470"/>
  <c r="E3468"/>
  <c r="G3468" s="1"/>
  <c r="F3468"/>
  <c r="E3466"/>
  <c r="G3466" s="1"/>
  <c r="F3466"/>
  <c r="E3464"/>
  <c r="G3464" s="1"/>
  <c r="F3464"/>
  <c r="E3462"/>
  <c r="G3462" s="1"/>
  <c r="F3462"/>
  <c r="E3460"/>
  <c r="G3460" s="1"/>
  <c r="F3460"/>
  <c r="E3458"/>
  <c r="G3458" s="1"/>
  <c r="F3458"/>
  <c r="E3456"/>
  <c r="G3456" s="1"/>
  <c r="F3456"/>
  <c r="E3454"/>
  <c r="G3454" s="1"/>
  <c r="F3454"/>
  <c r="E3452"/>
  <c r="G3452" s="1"/>
  <c r="F3452"/>
  <c r="E3450"/>
  <c r="G3450" s="1"/>
  <c r="F3450"/>
  <c r="E3448"/>
  <c r="G3448" s="1"/>
  <c r="F3448"/>
  <c r="E3446"/>
  <c r="G3446" s="1"/>
  <c r="F3446"/>
  <c r="E3444"/>
  <c r="G3444" s="1"/>
  <c r="F3444"/>
  <c r="E3442"/>
  <c r="G3442" s="1"/>
  <c r="F3442"/>
  <c r="E3440"/>
  <c r="G3440" s="1"/>
  <c r="F3440"/>
  <c r="E3438"/>
  <c r="G3438" s="1"/>
  <c r="F3438"/>
  <c r="E3436"/>
  <c r="G3436" s="1"/>
  <c r="F3436"/>
  <c r="E3434"/>
  <c r="G3434" s="1"/>
  <c r="F3434"/>
  <c r="E3432"/>
  <c r="G3432" s="1"/>
  <c r="F3432"/>
  <c r="E3430"/>
  <c r="G3430" s="1"/>
  <c r="F3430"/>
  <c r="E3428"/>
  <c r="G3428" s="1"/>
  <c r="F3428"/>
  <c r="E3426"/>
  <c r="G3426" s="1"/>
  <c r="F3426"/>
  <c r="E3424"/>
  <c r="G3424" s="1"/>
  <c r="F3424"/>
  <c r="E3422"/>
  <c r="G3422" s="1"/>
  <c r="F3422"/>
  <c r="E3420"/>
  <c r="G3420" s="1"/>
  <c r="F3420"/>
  <c r="E3418"/>
  <c r="G3418" s="1"/>
  <c r="F3418"/>
  <c r="E3416"/>
  <c r="G3416" s="1"/>
  <c r="F3416"/>
  <c r="E3414"/>
  <c r="G3414" s="1"/>
  <c r="F3414"/>
  <c r="E3412"/>
  <c r="G3412" s="1"/>
  <c r="F3412"/>
  <c r="E3410"/>
  <c r="G3410" s="1"/>
  <c r="F3410"/>
  <c r="F3200"/>
  <c r="E3200"/>
  <c r="G3200" s="1"/>
  <c r="F3198"/>
  <c r="E3198"/>
  <c r="G3198" s="1"/>
  <c r="F3196"/>
  <c r="E3196"/>
  <c r="G3196" s="1"/>
  <c r="F3194"/>
  <c r="E3194"/>
  <c r="G3194" s="1"/>
  <c r="F3192"/>
  <c r="E3192"/>
  <c r="G3192" s="1"/>
  <c r="F3190"/>
  <c r="E3190"/>
  <c r="G3190" s="1"/>
  <c r="F3188"/>
  <c r="E3188"/>
  <c r="G3188" s="1"/>
  <c r="F3186"/>
  <c r="E3186"/>
  <c r="G3186" s="1"/>
  <c r="F3184"/>
  <c r="E3184"/>
  <c r="G3184" s="1"/>
  <c r="F3182"/>
  <c r="E3182"/>
  <c r="G3182" s="1"/>
  <c r="F3180"/>
  <c r="E3180"/>
  <c r="G3180" s="1"/>
  <c r="F3178"/>
  <c r="E3178"/>
  <c r="G3178" s="1"/>
  <c r="F3176"/>
  <c r="E3176"/>
  <c r="G3176" s="1"/>
  <c r="F3174"/>
  <c r="E3174"/>
  <c r="G3174" s="1"/>
  <c r="F3172"/>
  <c r="E3172"/>
  <c r="G3172" s="1"/>
  <c r="F3170"/>
  <c r="E3170"/>
  <c r="G3170" s="1"/>
  <c r="F3168"/>
  <c r="E3168"/>
  <c r="G3168" s="1"/>
  <c r="F3166"/>
  <c r="E3166"/>
  <c r="G3166" s="1"/>
  <c r="F3164"/>
  <c r="E3164"/>
  <c r="G3164" s="1"/>
  <c r="F3162"/>
  <c r="E3162"/>
  <c r="G3162" s="1"/>
  <c r="F3160"/>
  <c r="E3160"/>
  <c r="G3160" s="1"/>
  <c r="F3158"/>
  <c r="E3158"/>
  <c r="G3158" s="1"/>
  <c r="F3156"/>
  <c r="E3156"/>
  <c r="G3156" s="1"/>
  <c r="F3154"/>
  <c r="E3154"/>
  <c r="G3154" s="1"/>
  <c r="F3152"/>
  <c r="E3152"/>
  <c r="G3152" s="1"/>
  <c r="F3150"/>
  <c r="E3150"/>
  <c r="G3150" s="1"/>
  <c r="F3148"/>
  <c r="E3148"/>
  <c r="G3148" s="1"/>
  <c r="F3146"/>
  <c r="E3146"/>
  <c r="G3146" s="1"/>
  <c r="F3144"/>
  <c r="E3144"/>
  <c r="G3144" s="1"/>
  <c r="F3142"/>
  <c r="E3142"/>
  <c r="G3142" s="1"/>
  <c r="F3140"/>
  <c r="E3140"/>
  <c r="G3140" s="1"/>
  <c r="F3138"/>
  <c r="E3138"/>
  <c r="G3138" s="1"/>
  <c r="F3136"/>
  <c r="E3136"/>
  <c r="G3136" s="1"/>
  <c r="F3134"/>
  <c r="E3134"/>
  <c r="G3134" s="1"/>
  <c r="F3132"/>
  <c r="E3132"/>
  <c r="G3132" s="1"/>
  <c r="F3130"/>
  <c r="E3130"/>
  <c r="G3130" s="1"/>
  <c r="F3128"/>
  <c r="E3128"/>
  <c r="G3128" s="1"/>
  <c r="F3126"/>
  <c r="E3126"/>
  <c r="G3126" s="1"/>
  <c r="F3124"/>
  <c r="E3124"/>
  <c r="G3124" s="1"/>
  <c r="F3122"/>
  <c r="E3122"/>
  <c r="G3122" s="1"/>
  <c r="F3120"/>
  <c r="E3120"/>
  <c r="G3120" s="1"/>
  <c r="F3118"/>
  <c r="E3118"/>
  <c r="G3118" s="1"/>
  <c r="F3116"/>
  <c r="E3116"/>
  <c r="G3116" s="1"/>
  <c r="F3114"/>
  <c r="E3114"/>
  <c r="G3114" s="1"/>
  <c r="F3112"/>
  <c r="E3112"/>
  <c r="G3112" s="1"/>
  <c r="F3110"/>
  <c r="E3110"/>
  <c r="G3110" s="1"/>
  <c r="F3108"/>
  <c r="E3108"/>
  <c r="G3108" s="1"/>
  <c r="F3106"/>
  <c r="E3106"/>
  <c r="G3106" s="1"/>
  <c r="F3104"/>
  <c r="E3104"/>
  <c r="G3104" s="1"/>
  <c r="F3102"/>
  <c r="E3102"/>
  <c r="G3102" s="1"/>
  <c r="F3100"/>
  <c r="E3100"/>
  <c r="G3100" s="1"/>
  <c r="F3098"/>
  <c r="E3098"/>
  <c r="G3098" s="1"/>
  <c r="F3096"/>
  <c r="E3096"/>
  <c r="G3096" s="1"/>
  <c r="F3094"/>
  <c r="E3094"/>
  <c r="G3094" s="1"/>
  <c r="F3092"/>
  <c r="E3092"/>
  <c r="G3092" s="1"/>
  <c r="F3090"/>
  <c r="E3090"/>
  <c r="G3090" s="1"/>
  <c r="F3088"/>
  <c r="E3088"/>
  <c r="G3088" s="1"/>
  <c r="F3086"/>
  <c r="E3086"/>
  <c r="G3086" s="1"/>
  <c r="F3084"/>
  <c r="E3084"/>
  <c r="G3084" s="1"/>
  <c r="F3082"/>
  <c r="E3082"/>
  <c r="G3082" s="1"/>
  <c r="F3080"/>
  <c r="E3080"/>
  <c r="G3080" s="1"/>
  <c r="F3078"/>
  <c r="E3078"/>
  <c r="G3078" s="1"/>
  <c r="F3076"/>
  <c r="E3076"/>
  <c r="G3076" s="1"/>
  <c r="F3074"/>
  <c r="E3074"/>
  <c r="G3074" s="1"/>
  <c r="F3072"/>
  <c r="E3072"/>
  <c r="G3072" s="1"/>
  <c r="F3070"/>
  <c r="E3070"/>
  <c r="G3070" s="1"/>
  <c r="F3068"/>
  <c r="E3068"/>
  <c r="G3068" s="1"/>
  <c r="F3066"/>
  <c r="E3066"/>
  <c r="G3066" s="1"/>
  <c r="F3064"/>
  <c r="E3064"/>
  <c r="G3064" s="1"/>
  <c r="F3062"/>
  <c r="E3062"/>
  <c r="G3062" s="1"/>
  <c r="F3060"/>
  <c r="E3060"/>
  <c r="G3060" s="1"/>
  <c r="F3058"/>
  <c r="E3058"/>
  <c r="G3058" s="1"/>
  <c r="F3056"/>
  <c r="E3056"/>
  <c r="G3056" s="1"/>
  <c r="F3054"/>
  <c r="E3054"/>
  <c r="G3054" s="1"/>
  <c r="F3052"/>
  <c r="E3052"/>
  <c r="G3052" s="1"/>
  <c r="F3050"/>
  <c r="E3050"/>
  <c r="G3050" s="1"/>
  <c r="F3048"/>
  <c r="E3048"/>
  <c r="G3048" s="1"/>
  <c r="F3046"/>
  <c r="E3046"/>
  <c r="G3046" s="1"/>
  <c r="F3044"/>
  <c r="E3044"/>
  <c r="G3044" s="1"/>
  <c r="F3042"/>
  <c r="E3042"/>
  <c r="G3042" s="1"/>
  <c r="F3040"/>
  <c r="E3040"/>
  <c r="G3040" s="1"/>
  <c r="F3038"/>
  <c r="E3038"/>
  <c r="G3038" s="1"/>
  <c r="F3036"/>
  <c r="E3036"/>
  <c r="G3036" s="1"/>
  <c r="F3034"/>
  <c r="E3034"/>
  <c r="G3034" s="1"/>
  <c r="F3032"/>
  <c r="E3032"/>
  <c r="G3032" s="1"/>
  <c r="F3030"/>
  <c r="E3030"/>
  <c r="G3030" s="1"/>
  <c r="F3028"/>
  <c r="E3028"/>
  <c r="G3028" s="1"/>
  <c r="F3026"/>
  <c r="E3026"/>
  <c r="G3026" s="1"/>
  <c r="F3024"/>
  <c r="E3024"/>
  <c r="G3024" s="1"/>
  <c r="F3022"/>
  <c r="E3022"/>
  <c r="G3022" s="1"/>
  <c r="F3020"/>
  <c r="E3020"/>
  <c r="G3020" s="1"/>
  <c r="F3018"/>
  <c r="E3018"/>
  <c r="G3018" s="1"/>
  <c r="F3016"/>
  <c r="E3016"/>
  <c r="G3016" s="1"/>
  <c r="F3014"/>
  <c r="E3014"/>
  <c r="G3014" s="1"/>
  <c r="F3012"/>
  <c r="E3012"/>
  <c r="G3012" s="1"/>
  <c r="F3010"/>
  <c r="E3010"/>
  <c r="G3010" s="1"/>
  <c r="F3008"/>
  <c r="E3008"/>
  <c r="G3008" s="1"/>
  <c r="F3006"/>
  <c r="E3006"/>
  <c r="G3006" s="1"/>
  <c r="F3004"/>
  <c r="E3004"/>
  <c r="G3004" s="1"/>
  <c r="F3002"/>
  <c r="E3002"/>
  <c r="G3002" s="1"/>
  <c r="F3000"/>
  <c r="E3000"/>
  <c r="G3000" s="1"/>
  <c r="F2998"/>
  <c r="E2998"/>
  <c r="G2998" s="1"/>
  <c r="F2996"/>
  <c r="E2996"/>
  <c r="G2996" s="1"/>
  <c r="F2994"/>
  <c r="E2994"/>
  <c r="G2994" s="1"/>
  <c r="F2992"/>
  <c r="E2992"/>
  <c r="G2992" s="1"/>
  <c r="F2990"/>
  <c r="E2990"/>
  <c r="G2990" s="1"/>
  <c r="F2988"/>
  <c r="E2988"/>
  <c r="G2988" s="1"/>
  <c r="F2986"/>
  <c r="E2986"/>
  <c r="G2986" s="1"/>
  <c r="F2984"/>
  <c r="E2984"/>
  <c r="G2984" s="1"/>
  <c r="F2982"/>
  <c r="E2982"/>
  <c r="G2982" s="1"/>
  <c r="F2980"/>
  <c r="E2980"/>
  <c r="G2980" s="1"/>
  <c r="F2978"/>
  <c r="E2978"/>
  <c r="G2978" s="1"/>
  <c r="F2976"/>
  <c r="E2976"/>
  <c r="G2976" s="1"/>
  <c r="F2974"/>
  <c r="E2974"/>
  <c r="G2974" s="1"/>
  <c r="F2972"/>
  <c r="E2972"/>
  <c r="G2972" s="1"/>
  <c r="F2970"/>
  <c r="E2970"/>
  <c r="G2970" s="1"/>
  <c r="F2968"/>
  <c r="E2968"/>
  <c r="G2968" s="1"/>
  <c r="F2966"/>
  <c r="E2966"/>
  <c r="G2966" s="1"/>
  <c r="F2964"/>
  <c r="E2964"/>
  <c r="G2964" s="1"/>
  <c r="F2962"/>
  <c r="E2962"/>
  <c r="G2962" s="1"/>
  <c r="F2960"/>
  <c r="E2960"/>
  <c r="G2960" s="1"/>
  <c r="F2958"/>
  <c r="E2958"/>
  <c r="G2958" s="1"/>
  <c r="F2956"/>
  <c r="E2956"/>
  <c r="G2956" s="1"/>
  <c r="F2954"/>
  <c r="E2954"/>
  <c r="G2954" s="1"/>
  <c r="F2952"/>
  <c r="E2952"/>
  <c r="G2952" s="1"/>
  <c r="F2950"/>
  <c r="E2950"/>
  <c r="G2950" s="1"/>
  <c r="F2948"/>
  <c r="E2948"/>
  <c r="G2948" s="1"/>
  <c r="F2946"/>
  <c r="E2946"/>
  <c r="G2946" s="1"/>
  <c r="F2944"/>
  <c r="E2944"/>
  <c r="G2944" s="1"/>
  <c r="F2942"/>
  <c r="E2942"/>
  <c r="G2942" s="1"/>
  <c r="F2940"/>
  <c r="E2940"/>
  <c r="G2940" s="1"/>
  <c r="F2938"/>
  <c r="E2938"/>
  <c r="G2938" s="1"/>
  <c r="F2936"/>
  <c r="E2936"/>
  <c r="G2936" s="1"/>
  <c r="F2934"/>
  <c r="E2934"/>
  <c r="G2934" s="1"/>
  <c r="F2932"/>
  <c r="E2932"/>
  <c r="G2932" s="1"/>
  <c r="F2930"/>
  <c r="E2930"/>
  <c r="G2930" s="1"/>
  <c r="F2928"/>
  <c r="E2928"/>
  <c r="G2928" s="1"/>
  <c r="F2926"/>
  <c r="E2926"/>
  <c r="G2926" s="1"/>
  <c r="F2924"/>
  <c r="E2924"/>
  <c r="G2924" s="1"/>
  <c r="F2922"/>
  <c r="E2922"/>
  <c r="G2922" s="1"/>
  <c r="F2920"/>
  <c r="E2920"/>
  <c r="G2920" s="1"/>
  <c r="F2918"/>
  <c r="E2918"/>
  <c r="G2918" s="1"/>
  <c r="F2916"/>
  <c r="E2916"/>
  <c r="G2916" s="1"/>
  <c r="F2914"/>
  <c r="E2914"/>
  <c r="G2914" s="1"/>
  <c r="F2912"/>
  <c r="E2912"/>
  <c r="G2912" s="1"/>
  <c r="F2910"/>
  <c r="E2910"/>
  <c r="G2910" s="1"/>
  <c r="F2908"/>
  <c r="E2908"/>
  <c r="G2908" s="1"/>
  <c r="F2906"/>
  <c r="E2906"/>
  <c r="G2906" s="1"/>
  <c r="F2904"/>
  <c r="E2904"/>
  <c r="G2904" s="1"/>
  <c r="F2902"/>
  <c r="E2902"/>
  <c r="G2902" s="1"/>
  <c r="F2900"/>
  <c r="E2900"/>
  <c r="G2900" s="1"/>
  <c r="F2898"/>
  <c r="E2898"/>
  <c r="G2898" s="1"/>
  <c r="F2896"/>
  <c r="E2896"/>
  <c r="G2896" s="1"/>
  <c r="F2894"/>
  <c r="E2894"/>
  <c r="G2894" s="1"/>
  <c r="F2892"/>
  <c r="E2892"/>
  <c r="G2892" s="1"/>
  <c r="F2890"/>
  <c r="E2890"/>
  <c r="G2890" s="1"/>
  <c r="F2888"/>
  <c r="E2888"/>
  <c r="G2888" s="1"/>
  <c r="F2886"/>
  <c r="E2886"/>
  <c r="G2886" s="1"/>
  <c r="F2884"/>
  <c r="E2884"/>
  <c r="G2884" s="1"/>
  <c r="F2882"/>
  <c r="E2882"/>
  <c r="G2882" s="1"/>
  <c r="F2880"/>
  <c r="E2880"/>
  <c r="G2880" s="1"/>
  <c r="F2878"/>
  <c r="E2878"/>
  <c r="G2878" s="1"/>
  <c r="F2876"/>
  <c r="E2876"/>
  <c r="G2876" s="1"/>
  <c r="F2874"/>
  <c r="E2874"/>
  <c r="G2874" s="1"/>
  <c r="F2872"/>
  <c r="E2872"/>
  <c r="G2872" s="1"/>
  <c r="F2870"/>
  <c r="E2870"/>
  <c r="G2870" s="1"/>
  <c r="F2868"/>
  <c r="E2868"/>
  <c r="G2868" s="1"/>
  <c r="F2866"/>
  <c r="E2866"/>
  <c r="G2866" s="1"/>
  <c r="F2864"/>
  <c r="E2864"/>
  <c r="G2864" s="1"/>
  <c r="F2862"/>
  <c r="E2862"/>
  <c r="G2862" s="1"/>
  <c r="F2860"/>
  <c r="E2860"/>
  <c r="G2860" s="1"/>
  <c r="F2858"/>
  <c r="E2858"/>
  <c r="G2858" s="1"/>
  <c r="F2856"/>
  <c r="E2856"/>
  <c r="G2856" s="1"/>
  <c r="F2854"/>
  <c r="E2854"/>
  <c r="G2854" s="1"/>
  <c r="F2852"/>
  <c r="E2852"/>
  <c r="G2852" s="1"/>
  <c r="F2850"/>
  <c r="E2850"/>
  <c r="G2850" s="1"/>
  <c r="F2848"/>
  <c r="E2848"/>
  <c r="G2848" s="1"/>
  <c r="F2846"/>
  <c r="E2846"/>
  <c r="G2846" s="1"/>
  <c r="F2844"/>
  <c r="E2844"/>
  <c r="G2844" s="1"/>
  <c r="F2842"/>
  <c r="E2842"/>
  <c r="G2842" s="1"/>
  <c r="F2840"/>
  <c r="E2840"/>
  <c r="G2840" s="1"/>
  <c r="F2838"/>
  <c r="E2838"/>
  <c r="G2838" s="1"/>
  <c r="F2836"/>
  <c r="E2836"/>
  <c r="G2836" s="1"/>
  <c r="F2834"/>
  <c r="E2834"/>
  <c r="G2834" s="1"/>
  <c r="F2832"/>
  <c r="E2832"/>
  <c r="G2832" s="1"/>
  <c r="F2830"/>
  <c r="E2830"/>
  <c r="G2830" s="1"/>
  <c r="F2828"/>
  <c r="E2828"/>
  <c r="G2828" s="1"/>
  <c r="F2826"/>
  <c r="E2826"/>
  <c r="G2826" s="1"/>
  <c r="F2824"/>
  <c r="E2824"/>
  <c r="G2824" s="1"/>
  <c r="F2822"/>
  <c r="E2822"/>
  <c r="G2822" s="1"/>
  <c r="F2820"/>
  <c r="E2820"/>
  <c r="G2820" s="1"/>
  <c r="F2818"/>
  <c r="E2818"/>
  <c r="G2818" s="1"/>
  <c r="F2816"/>
  <c r="E2816"/>
  <c r="G2816" s="1"/>
  <c r="F2814"/>
  <c r="E2814"/>
  <c r="G2814" s="1"/>
  <c r="F2812"/>
  <c r="E2812"/>
  <c r="G2812" s="1"/>
  <c r="F2810"/>
  <c r="E2810"/>
  <c r="G2810" s="1"/>
  <c r="F2808"/>
  <c r="E2808"/>
  <c r="G2808" s="1"/>
  <c r="E4063"/>
  <c r="G4063" s="1"/>
  <c r="E3201"/>
  <c r="G3201" s="1"/>
  <c r="F3201"/>
  <c r="E3199"/>
  <c r="G3199" s="1"/>
  <c r="F3199"/>
  <c r="E3197"/>
  <c r="G3197" s="1"/>
  <c r="F3197"/>
  <c r="E3195"/>
  <c r="G3195" s="1"/>
  <c r="F3195"/>
  <c r="E3193"/>
  <c r="G3193" s="1"/>
  <c r="F3193"/>
  <c r="E3191"/>
  <c r="G3191" s="1"/>
  <c r="F3191"/>
  <c r="E3189"/>
  <c r="G3189" s="1"/>
  <c r="F3189"/>
  <c r="E3187"/>
  <c r="G3187" s="1"/>
  <c r="F3187"/>
  <c r="E3185"/>
  <c r="G3185" s="1"/>
  <c r="F3185"/>
  <c r="E3183"/>
  <c r="G3183" s="1"/>
  <c r="F3183"/>
  <c r="E3181"/>
  <c r="G3181" s="1"/>
  <c r="F3181"/>
  <c r="E3179"/>
  <c r="G3179" s="1"/>
  <c r="F3179"/>
  <c r="E3177"/>
  <c r="G3177" s="1"/>
  <c r="F3177"/>
  <c r="E3175"/>
  <c r="G3175" s="1"/>
  <c r="F3175"/>
  <c r="E3173"/>
  <c r="G3173" s="1"/>
  <c r="F3173"/>
  <c r="E3171"/>
  <c r="G3171" s="1"/>
  <c r="F3171"/>
  <c r="E3169"/>
  <c r="G3169" s="1"/>
  <c r="F3169"/>
  <c r="E3167"/>
  <c r="G3167" s="1"/>
  <c r="F3167"/>
  <c r="E3165"/>
  <c r="G3165" s="1"/>
  <c r="F3165"/>
  <c r="E3163"/>
  <c r="G3163" s="1"/>
  <c r="F3163"/>
  <c r="E3161"/>
  <c r="G3161" s="1"/>
  <c r="F3161"/>
  <c r="E3159"/>
  <c r="G3159" s="1"/>
  <c r="F3159"/>
  <c r="E3157"/>
  <c r="G3157" s="1"/>
  <c r="F3157"/>
  <c r="E3155"/>
  <c r="G3155" s="1"/>
  <c r="F3155"/>
  <c r="E3153"/>
  <c r="G3153" s="1"/>
  <c r="F3153"/>
  <c r="E3151"/>
  <c r="G3151" s="1"/>
  <c r="F3151"/>
  <c r="E3149"/>
  <c r="G3149" s="1"/>
  <c r="F3149"/>
  <c r="E3147"/>
  <c r="G3147" s="1"/>
  <c r="F3147"/>
  <c r="E3145"/>
  <c r="G3145" s="1"/>
  <c r="F3145"/>
  <c r="E3143"/>
  <c r="G3143" s="1"/>
  <c r="F3143"/>
  <c r="E3141"/>
  <c r="G3141" s="1"/>
  <c r="F3141"/>
  <c r="E3139"/>
  <c r="G3139" s="1"/>
  <c r="F3139"/>
  <c r="E3137"/>
  <c r="G3137" s="1"/>
  <c r="F3137"/>
  <c r="E3135"/>
  <c r="G3135" s="1"/>
  <c r="F3135"/>
  <c r="E3133"/>
  <c r="G3133" s="1"/>
  <c r="F3133"/>
  <c r="E3131"/>
  <c r="G3131" s="1"/>
  <c r="F3131"/>
  <c r="E3129"/>
  <c r="G3129" s="1"/>
  <c r="F3129"/>
  <c r="E3127"/>
  <c r="G3127" s="1"/>
  <c r="F3127"/>
  <c r="E3125"/>
  <c r="G3125" s="1"/>
  <c r="F3125"/>
  <c r="E3123"/>
  <c r="G3123" s="1"/>
  <c r="F3123"/>
  <c r="E3121"/>
  <c r="G3121" s="1"/>
  <c r="F3121"/>
  <c r="E3119"/>
  <c r="G3119" s="1"/>
  <c r="F3119"/>
  <c r="E3117"/>
  <c r="G3117" s="1"/>
  <c r="F3117"/>
  <c r="E3115"/>
  <c r="G3115" s="1"/>
  <c r="F3115"/>
  <c r="E3113"/>
  <c r="G3113" s="1"/>
  <c r="F3113"/>
  <c r="E3111"/>
  <c r="G3111" s="1"/>
  <c r="F3111"/>
  <c r="E3109"/>
  <c r="G3109" s="1"/>
  <c r="F3109"/>
  <c r="E3107"/>
  <c r="G3107" s="1"/>
  <c r="F3107"/>
  <c r="E3105"/>
  <c r="G3105" s="1"/>
  <c r="F3105"/>
  <c r="E3103"/>
  <c r="G3103" s="1"/>
  <c r="F3103"/>
  <c r="E3101"/>
  <c r="G3101" s="1"/>
  <c r="F3101"/>
  <c r="E3099"/>
  <c r="G3099" s="1"/>
  <c r="F3099"/>
  <c r="E3097"/>
  <c r="G3097" s="1"/>
  <c r="F3097"/>
  <c r="E3095"/>
  <c r="G3095" s="1"/>
  <c r="F3095"/>
  <c r="E3093"/>
  <c r="G3093" s="1"/>
  <c r="F3093"/>
  <c r="E3091"/>
  <c r="G3091" s="1"/>
  <c r="F3091"/>
  <c r="E3089"/>
  <c r="G3089" s="1"/>
  <c r="F3089"/>
  <c r="E3087"/>
  <c r="G3087" s="1"/>
  <c r="F3087"/>
  <c r="E3085"/>
  <c r="G3085" s="1"/>
  <c r="F3085"/>
  <c r="E3083"/>
  <c r="G3083" s="1"/>
  <c r="F3083"/>
  <c r="E3081"/>
  <c r="G3081" s="1"/>
  <c r="F3081"/>
  <c r="E3079"/>
  <c r="G3079" s="1"/>
  <c r="F3079"/>
  <c r="E3077"/>
  <c r="G3077" s="1"/>
  <c r="F3077"/>
  <c r="E3075"/>
  <c r="G3075" s="1"/>
  <c r="F3075"/>
  <c r="E3073"/>
  <c r="G3073" s="1"/>
  <c r="F3073"/>
  <c r="E3071"/>
  <c r="G3071" s="1"/>
  <c r="F3071"/>
  <c r="E3069"/>
  <c r="G3069" s="1"/>
  <c r="F3069"/>
  <c r="E3067"/>
  <c r="G3067" s="1"/>
  <c r="F3067"/>
  <c r="E3065"/>
  <c r="G3065" s="1"/>
  <c r="F3065"/>
  <c r="E3063"/>
  <c r="G3063" s="1"/>
  <c r="F3063"/>
  <c r="E3061"/>
  <c r="G3061" s="1"/>
  <c r="F3061"/>
  <c r="E3059"/>
  <c r="G3059" s="1"/>
  <c r="F3059"/>
  <c r="E3057"/>
  <c r="G3057" s="1"/>
  <c r="F3057"/>
  <c r="E3055"/>
  <c r="G3055" s="1"/>
  <c r="F3055"/>
  <c r="E3053"/>
  <c r="G3053" s="1"/>
  <c r="F3053"/>
  <c r="E3051"/>
  <c r="G3051" s="1"/>
  <c r="F3051"/>
  <c r="E3049"/>
  <c r="G3049" s="1"/>
  <c r="F3049"/>
  <c r="E3047"/>
  <c r="G3047" s="1"/>
  <c r="F3047"/>
  <c r="E3045"/>
  <c r="G3045" s="1"/>
  <c r="F3045"/>
  <c r="E3043"/>
  <c r="G3043" s="1"/>
  <c r="F3043"/>
  <c r="E3041"/>
  <c r="G3041" s="1"/>
  <c r="F3041"/>
  <c r="E3039"/>
  <c r="G3039" s="1"/>
  <c r="F3039"/>
  <c r="E3037"/>
  <c r="G3037" s="1"/>
  <c r="F3037"/>
  <c r="E3035"/>
  <c r="G3035" s="1"/>
  <c r="F3035"/>
  <c r="E3033"/>
  <c r="G3033" s="1"/>
  <c r="F3033"/>
  <c r="E3031"/>
  <c r="G3031" s="1"/>
  <c r="F3031"/>
  <c r="E3029"/>
  <c r="G3029" s="1"/>
  <c r="F3029"/>
  <c r="E3027"/>
  <c r="G3027" s="1"/>
  <c r="F3027"/>
  <c r="E3025"/>
  <c r="G3025" s="1"/>
  <c r="F3025"/>
  <c r="E3023"/>
  <c r="G3023" s="1"/>
  <c r="F3023"/>
  <c r="E3021"/>
  <c r="G3021" s="1"/>
  <c r="F3021"/>
  <c r="E3019"/>
  <c r="G3019" s="1"/>
  <c r="F3019"/>
  <c r="E3017"/>
  <c r="G3017" s="1"/>
  <c r="F3017"/>
  <c r="E3015"/>
  <c r="G3015" s="1"/>
  <c r="F3015"/>
  <c r="E3013"/>
  <c r="G3013" s="1"/>
  <c r="F3013"/>
  <c r="E3011"/>
  <c r="G3011" s="1"/>
  <c r="F3011"/>
  <c r="E3009"/>
  <c r="G3009" s="1"/>
  <c r="F3009"/>
  <c r="E3007"/>
  <c r="G3007" s="1"/>
  <c r="F3007"/>
  <c r="E3005"/>
  <c r="G3005" s="1"/>
  <c r="F3005"/>
  <c r="E3003"/>
  <c r="G3003" s="1"/>
  <c r="F3003"/>
  <c r="E3001"/>
  <c r="G3001" s="1"/>
  <c r="F3001"/>
  <c r="E2999"/>
  <c r="G2999" s="1"/>
  <c r="F2999"/>
  <c r="E2997"/>
  <c r="G2997" s="1"/>
  <c r="F2997"/>
  <c r="E2995"/>
  <c r="G2995" s="1"/>
  <c r="F2995"/>
  <c r="E2993"/>
  <c r="G2993" s="1"/>
  <c r="F2993"/>
  <c r="E2991"/>
  <c r="G2991" s="1"/>
  <c r="F2991"/>
  <c r="E2989"/>
  <c r="G2989" s="1"/>
  <c r="F2989"/>
  <c r="E2987"/>
  <c r="G2987" s="1"/>
  <c r="F2987"/>
  <c r="E2985"/>
  <c r="G2985" s="1"/>
  <c r="F2985"/>
  <c r="E2983"/>
  <c r="G2983" s="1"/>
  <c r="F2983"/>
  <c r="E2981"/>
  <c r="G2981" s="1"/>
  <c r="F2981"/>
  <c r="E2979"/>
  <c r="G2979" s="1"/>
  <c r="F2979"/>
  <c r="E2977"/>
  <c r="G2977" s="1"/>
  <c r="F2977"/>
  <c r="E2975"/>
  <c r="G2975" s="1"/>
  <c r="F2975"/>
  <c r="E2973"/>
  <c r="G2973" s="1"/>
  <c r="F2973"/>
  <c r="E2971"/>
  <c r="G2971" s="1"/>
  <c r="F2971"/>
  <c r="E2969"/>
  <c r="G2969" s="1"/>
  <c r="F2969"/>
  <c r="E2967"/>
  <c r="G2967" s="1"/>
  <c r="F2967"/>
  <c r="E2965"/>
  <c r="G2965" s="1"/>
  <c r="F2965"/>
  <c r="E2963"/>
  <c r="G2963" s="1"/>
  <c r="F2963"/>
  <c r="E2961"/>
  <c r="G2961" s="1"/>
  <c r="F2961"/>
  <c r="E2959"/>
  <c r="G2959" s="1"/>
  <c r="F2959"/>
  <c r="E2957"/>
  <c r="G2957" s="1"/>
  <c r="F2957"/>
  <c r="E2955"/>
  <c r="G2955" s="1"/>
  <c r="F2955"/>
  <c r="E2953"/>
  <c r="G2953" s="1"/>
  <c r="F2953"/>
  <c r="E2951"/>
  <c r="G2951" s="1"/>
  <c r="F2951"/>
  <c r="E2949"/>
  <c r="G2949" s="1"/>
  <c r="F2949"/>
  <c r="E2947"/>
  <c r="G2947" s="1"/>
  <c r="F2947"/>
  <c r="E2945"/>
  <c r="G2945" s="1"/>
  <c r="F2945"/>
  <c r="E2943"/>
  <c r="G2943" s="1"/>
  <c r="F2943"/>
  <c r="E2941"/>
  <c r="G2941" s="1"/>
  <c r="F2941"/>
  <c r="E2939"/>
  <c r="G2939" s="1"/>
  <c r="F2939"/>
  <c r="E2937"/>
  <c r="G2937" s="1"/>
  <c r="F2937"/>
  <c r="E2935"/>
  <c r="G2935" s="1"/>
  <c r="F2935"/>
  <c r="E2933"/>
  <c r="G2933" s="1"/>
  <c r="F2933"/>
  <c r="E2931"/>
  <c r="G2931" s="1"/>
  <c r="F2931"/>
  <c r="E2929"/>
  <c r="G2929" s="1"/>
  <c r="F2929"/>
  <c r="E2927"/>
  <c r="G2927" s="1"/>
  <c r="F2927"/>
  <c r="E2925"/>
  <c r="G2925" s="1"/>
  <c r="F2925"/>
  <c r="E2923"/>
  <c r="G2923" s="1"/>
  <c r="F2923"/>
  <c r="E2921"/>
  <c r="G2921" s="1"/>
  <c r="F2921"/>
  <c r="E2919"/>
  <c r="G2919" s="1"/>
  <c r="F2919"/>
  <c r="E2917"/>
  <c r="G2917" s="1"/>
  <c r="F2917"/>
  <c r="E2915"/>
  <c r="G2915" s="1"/>
  <c r="F2915"/>
  <c r="E2913"/>
  <c r="G2913" s="1"/>
  <c r="F2913"/>
  <c r="E2911"/>
  <c r="G2911" s="1"/>
  <c r="F2911"/>
  <c r="E2909"/>
  <c r="G2909" s="1"/>
  <c r="F2909"/>
  <c r="E2907"/>
  <c r="G2907" s="1"/>
  <c r="F2907"/>
  <c r="E2905"/>
  <c r="G2905" s="1"/>
  <c r="F2905"/>
  <c r="E2903"/>
  <c r="G2903" s="1"/>
  <c r="F2903"/>
  <c r="E2901"/>
  <c r="G2901" s="1"/>
  <c r="F2901"/>
  <c r="E2899"/>
  <c r="G2899" s="1"/>
  <c r="F2899"/>
  <c r="E2897"/>
  <c r="G2897" s="1"/>
  <c r="F2897"/>
  <c r="E2895"/>
  <c r="G2895" s="1"/>
  <c r="F2895"/>
  <c r="E2893"/>
  <c r="G2893" s="1"/>
  <c r="F2893"/>
  <c r="E2891"/>
  <c r="G2891" s="1"/>
  <c r="F2891"/>
  <c r="E2889"/>
  <c r="G2889" s="1"/>
  <c r="F2889"/>
  <c r="E2887"/>
  <c r="G2887" s="1"/>
  <c r="F2887"/>
  <c r="E2885"/>
  <c r="G2885" s="1"/>
  <c r="F2885"/>
  <c r="E2883"/>
  <c r="G2883" s="1"/>
  <c r="F2883"/>
  <c r="E2881"/>
  <c r="G2881" s="1"/>
  <c r="F2881"/>
  <c r="E2879"/>
  <c r="G2879" s="1"/>
  <c r="F2879"/>
  <c r="E2877"/>
  <c r="G2877" s="1"/>
  <c r="F2877"/>
  <c r="E2875"/>
  <c r="G2875" s="1"/>
  <c r="F2875"/>
  <c r="E2873"/>
  <c r="G2873" s="1"/>
  <c r="F2873"/>
  <c r="E2871"/>
  <c r="G2871" s="1"/>
  <c r="F2871"/>
  <c r="E2869"/>
  <c r="G2869" s="1"/>
  <c r="F2869"/>
  <c r="E2867"/>
  <c r="G2867" s="1"/>
  <c r="F2867"/>
  <c r="E2865"/>
  <c r="G2865" s="1"/>
  <c r="F2865"/>
  <c r="E2863"/>
  <c r="G2863" s="1"/>
  <c r="F2863"/>
  <c r="E2861"/>
  <c r="G2861" s="1"/>
  <c r="F2861"/>
  <c r="E2859"/>
  <c r="G2859" s="1"/>
  <c r="F2859"/>
  <c r="E2857"/>
  <c r="G2857" s="1"/>
  <c r="F2857"/>
  <c r="E2855"/>
  <c r="G2855" s="1"/>
  <c r="F2855"/>
  <c r="E2853"/>
  <c r="G2853" s="1"/>
  <c r="F2853"/>
  <c r="E2851"/>
  <c r="G2851" s="1"/>
  <c r="F2851"/>
  <c r="E2849"/>
  <c r="G2849" s="1"/>
  <c r="F2849"/>
  <c r="E2847"/>
  <c r="G2847" s="1"/>
  <c r="F2847"/>
  <c r="E2845"/>
  <c r="G2845" s="1"/>
  <c r="F2845"/>
  <c r="E2843"/>
  <c r="G2843" s="1"/>
  <c r="F2843"/>
  <c r="E2841"/>
  <c r="G2841" s="1"/>
  <c r="F2841"/>
  <c r="E2839"/>
  <c r="G2839" s="1"/>
  <c r="F2839"/>
  <c r="E2837"/>
  <c r="G2837" s="1"/>
  <c r="F2837"/>
  <c r="E2835"/>
  <c r="G2835" s="1"/>
  <c r="F2835"/>
  <c r="E2833"/>
  <c r="G2833" s="1"/>
  <c r="F2833"/>
  <c r="E2831"/>
  <c r="G2831" s="1"/>
  <c r="F2831"/>
  <c r="E2829"/>
  <c r="G2829" s="1"/>
  <c r="F2829"/>
  <c r="E2827"/>
  <c r="G2827" s="1"/>
  <c r="F2827"/>
  <c r="E2825"/>
  <c r="G2825" s="1"/>
  <c r="F2825"/>
  <c r="E2823"/>
  <c r="G2823" s="1"/>
  <c r="F2823"/>
  <c r="E2821"/>
  <c r="G2821" s="1"/>
  <c r="F2821"/>
  <c r="E2819"/>
  <c r="G2819" s="1"/>
  <c r="F2819"/>
  <c r="E2817"/>
  <c r="G2817" s="1"/>
  <c r="F2817"/>
  <c r="E2815"/>
  <c r="G2815" s="1"/>
  <c r="F2815"/>
  <c r="E2813"/>
  <c r="G2813" s="1"/>
  <c r="F2813"/>
  <c r="E2811"/>
  <c r="G2811" s="1"/>
  <c r="F2811"/>
  <c r="E2809"/>
  <c r="G2809" s="1"/>
  <c r="F2809"/>
  <c r="E2807"/>
  <c r="G2807" s="1"/>
  <c r="F2807"/>
  <c r="E2805"/>
  <c r="G2805" s="1"/>
  <c r="F2805"/>
  <c r="E2803"/>
  <c r="G2803" s="1"/>
  <c r="F2803"/>
  <c r="E2801"/>
  <c r="G2801" s="1"/>
  <c r="F2801"/>
  <c r="E2799"/>
  <c r="G2799" s="1"/>
  <c r="F2799"/>
  <c r="E2797"/>
  <c r="G2797" s="1"/>
  <c r="F2797"/>
  <c r="E2795"/>
  <c r="G2795" s="1"/>
  <c r="F2795"/>
  <c r="E2793"/>
  <c r="G2793" s="1"/>
  <c r="F2793"/>
  <c r="E2791"/>
  <c r="G2791" s="1"/>
  <c r="F2791"/>
  <c r="E2789"/>
  <c r="G2789" s="1"/>
  <c r="F2789"/>
  <c r="E2787"/>
  <c r="G2787" s="1"/>
  <c r="F2787"/>
  <c r="E2785"/>
  <c r="G2785" s="1"/>
  <c r="F2785"/>
  <c r="E2783"/>
  <c r="G2783" s="1"/>
  <c r="F2783"/>
  <c r="E2781"/>
  <c r="G2781" s="1"/>
  <c r="F2781"/>
  <c r="E2779"/>
  <c r="G2779" s="1"/>
  <c r="F2779"/>
  <c r="E2777"/>
  <c r="G2777" s="1"/>
  <c r="F2777"/>
  <c r="E2775"/>
  <c r="G2775" s="1"/>
  <c r="F2775"/>
  <c r="E2773"/>
  <c r="G2773" s="1"/>
  <c r="F2773"/>
  <c r="E2771"/>
  <c r="G2771" s="1"/>
  <c r="F2771"/>
  <c r="E2769"/>
  <c r="G2769" s="1"/>
  <c r="F2769"/>
  <c r="E2767"/>
  <c r="G2767" s="1"/>
  <c r="F2767"/>
  <c r="E2765"/>
  <c r="G2765" s="1"/>
  <c r="F2765"/>
  <c r="E2763"/>
  <c r="G2763" s="1"/>
  <c r="F2763"/>
  <c r="E2761"/>
  <c r="G2761" s="1"/>
  <c r="F2761"/>
  <c r="E2759"/>
  <c r="G2759" s="1"/>
  <c r="F2759"/>
  <c r="E2757"/>
  <c r="G2757" s="1"/>
  <c r="F2757"/>
  <c r="E2755"/>
  <c r="G2755" s="1"/>
  <c r="F2755"/>
  <c r="E2753"/>
  <c r="G2753" s="1"/>
  <c r="F2753"/>
  <c r="E2751"/>
  <c r="G2751" s="1"/>
  <c r="F2751"/>
  <c r="F3257"/>
  <c r="E3256"/>
  <c r="G3256" s="1"/>
  <c r="F3255"/>
  <c r="E3254"/>
  <c r="G3254" s="1"/>
  <c r="F3253"/>
  <c r="E3252"/>
  <c r="G3252" s="1"/>
  <c r="F3251"/>
  <c r="E3250"/>
  <c r="G3250" s="1"/>
  <c r="F3249"/>
  <c r="E3248"/>
  <c r="G3248" s="1"/>
  <c r="F3247"/>
  <c r="E3246"/>
  <c r="G3246" s="1"/>
  <c r="F2806"/>
  <c r="E2806"/>
  <c r="G2806" s="1"/>
  <c r="F2804"/>
  <c r="E2804"/>
  <c r="G2804" s="1"/>
  <c r="F2802"/>
  <c r="E2802"/>
  <c r="G2802" s="1"/>
  <c r="F2800"/>
  <c r="E2800"/>
  <c r="G2800" s="1"/>
  <c r="F2798"/>
  <c r="E2798"/>
  <c r="G2798" s="1"/>
  <c r="F2796"/>
  <c r="E2796"/>
  <c r="G2796" s="1"/>
  <c r="F2794"/>
  <c r="E2794"/>
  <c r="G2794" s="1"/>
  <c r="F2792"/>
  <c r="E2792"/>
  <c r="G2792" s="1"/>
  <c r="F2790"/>
  <c r="E2790"/>
  <c r="G2790" s="1"/>
  <c r="F2788"/>
  <c r="E2788"/>
  <c r="G2788" s="1"/>
  <c r="F2786"/>
  <c r="E2786"/>
  <c r="G2786" s="1"/>
  <c r="F2784"/>
  <c r="E2784"/>
  <c r="G2784" s="1"/>
  <c r="F2782"/>
  <c r="E2782"/>
  <c r="G2782" s="1"/>
  <c r="F2780"/>
  <c r="E2780"/>
  <c r="G2780" s="1"/>
  <c r="F2778"/>
  <c r="E2778"/>
  <c r="G2778" s="1"/>
  <c r="F2776"/>
  <c r="E2776"/>
  <c r="G2776" s="1"/>
  <c r="F2774"/>
  <c r="E2774"/>
  <c r="G2774" s="1"/>
  <c r="F2772"/>
  <c r="E2772"/>
  <c r="G2772" s="1"/>
  <c r="F2770"/>
  <c r="E2770"/>
  <c r="G2770" s="1"/>
  <c r="F2768"/>
  <c r="E2768"/>
  <c r="G2768" s="1"/>
  <c r="F2766"/>
  <c r="E2766"/>
  <c r="G2766" s="1"/>
  <c r="F2764"/>
  <c r="E2764"/>
  <c r="G2764" s="1"/>
  <c r="F2762"/>
  <c r="E2762"/>
  <c r="G2762" s="1"/>
  <c r="F2760"/>
  <c r="E2760"/>
  <c r="G2760" s="1"/>
  <c r="F2758"/>
  <c r="E2758"/>
  <c r="G2758" s="1"/>
  <c r="F2756"/>
  <c r="E2756"/>
  <c r="G2756" s="1"/>
  <c r="F2754"/>
  <c r="E2754"/>
  <c r="G2754" s="1"/>
  <c r="F2752"/>
  <c r="E2752"/>
  <c r="G2752" s="1"/>
  <c r="F2750"/>
  <c r="E2750"/>
  <c r="G2750" s="1"/>
  <c r="F2748"/>
  <c r="E2748"/>
  <c r="G2748" s="1"/>
  <c r="F2746"/>
  <c r="E2746"/>
  <c r="G2746" s="1"/>
  <c r="F2744"/>
  <c r="E2744"/>
  <c r="G2744" s="1"/>
  <c r="F2742"/>
  <c r="E2742"/>
  <c r="G2742" s="1"/>
  <c r="F2740"/>
  <c r="E2740"/>
  <c r="G2740" s="1"/>
  <c r="F2738"/>
  <c r="E2738"/>
  <c r="G2738" s="1"/>
  <c r="F2736"/>
  <c r="E2736"/>
  <c r="G2736" s="1"/>
  <c r="F2734"/>
  <c r="E2734"/>
  <c r="G2734" s="1"/>
  <c r="F2732"/>
  <c r="E2732"/>
  <c r="G2732" s="1"/>
  <c r="F2730"/>
  <c r="E2730"/>
  <c r="G2730" s="1"/>
  <c r="F2728"/>
  <c r="E2728"/>
  <c r="G2728" s="1"/>
  <c r="F2726"/>
  <c r="E2726"/>
  <c r="G2726" s="1"/>
  <c r="F2724"/>
  <c r="E2724"/>
  <c r="G2724" s="1"/>
  <c r="F2722"/>
  <c r="E2722"/>
  <c r="G2722" s="1"/>
  <c r="F2720"/>
  <c r="E2720"/>
  <c r="G2720" s="1"/>
  <c r="F2718"/>
  <c r="E2718"/>
  <c r="G2718" s="1"/>
  <c r="F2716"/>
  <c r="E2716"/>
  <c r="G2716" s="1"/>
  <c r="F2714"/>
  <c r="E2714"/>
  <c r="G2714" s="1"/>
  <c r="F2712"/>
  <c r="E2712"/>
  <c r="G2712" s="1"/>
  <c r="F2710"/>
  <c r="E2710"/>
  <c r="G2710" s="1"/>
  <c r="F2708"/>
  <c r="E2708"/>
  <c r="G2708" s="1"/>
  <c r="F2706"/>
  <c r="E2706"/>
  <c r="G2706" s="1"/>
  <c r="F2704"/>
  <c r="E2704"/>
  <c r="G2704" s="1"/>
  <c r="F2702"/>
  <c r="E2702"/>
  <c r="G2702" s="1"/>
  <c r="F2700"/>
  <c r="E2700"/>
  <c r="G2700" s="1"/>
  <c r="F2698"/>
  <c r="E2698"/>
  <c r="G2698" s="1"/>
  <c r="F2696"/>
  <c r="E2696"/>
  <c r="G2696" s="1"/>
  <c r="F2694"/>
  <c r="E2694"/>
  <c r="G2694" s="1"/>
  <c r="F2692"/>
  <c r="E2692"/>
  <c r="G2692" s="1"/>
  <c r="F2690"/>
  <c r="E2690"/>
  <c r="G2690" s="1"/>
  <c r="F2688"/>
  <c r="E2688"/>
  <c r="G2688" s="1"/>
  <c r="F2686"/>
  <c r="E2686"/>
  <c r="G2686" s="1"/>
  <c r="F2684"/>
  <c r="E2684"/>
  <c r="G2684" s="1"/>
  <c r="F2682"/>
  <c r="E2682"/>
  <c r="G2682" s="1"/>
  <c r="F2680"/>
  <c r="E2680"/>
  <c r="G2680" s="1"/>
  <c r="F2678"/>
  <c r="E2678"/>
  <c r="G2678" s="1"/>
  <c r="F2676"/>
  <c r="E2676"/>
  <c r="G2676" s="1"/>
  <c r="F2674"/>
  <c r="E2674"/>
  <c r="G2674" s="1"/>
  <c r="F2672"/>
  <c r="E2672"/>
  <c r="G2672" s="1"/>
  <c r="F2670"/>
  <c r="E2670"/>
  <c r="G2670" s="1"/>
  <c r="F2668"/>
  <c r="E2668"/>
  <c r="G2668" s="1"/>
  <c r="F2666"/>
  <c r="E2666"/>
  <c r="G2666" s="1"/>
  <c r="F2664"/>
  <c r="E2664"/>
  <c r="G2664" s="1"/>
  <c r="F2662"/>
  <c r="E2662"/>
  <c r="G2662" s="1"/>
  <c r="F2660"/>
  <c r="E2660"/>
  <c r="G2660" s="1"/>
  <c r="F2658"/>
  <c r="E2658"/>
  <c r="G2658" s="1"/>
  <c r="F2656"/>
  <c r="E2656"/>
  <c r="G2656" s="1"/>
  <c r="F2654"/>
  <c r="E2654"/>
  <c r="G2654" s="1"/>
  <c r="F2652"/>
  <c r="E2652"/>
  <c r="G2652" s="1"/>
  <c r="F2650"/>
  <c r="E2650"/>
  <c r="G2650" s="1"/>
  <c r="F2648"/>
  <c r="E2648"/>
  <c r="G2648" s="1"/>
  <c r="F2646"/>
  <c r="E2646"/>
  <c r="G2646" s="1"/>
  <c r="F2644"/>
  <c r="E2644"/>
  <c r="G2644" s="1"/>
  <c r="F2642"/>
  <c r="E2642"/>
  <c r="G2642" s="1"/>
  <c r="F2640"/>
  <c r="E2640"/>
  <c r="G2640" s="1"/>
  <c r="F2638"/>
  <c r="E2638"/>
  <c r="G2638" s="1"/>
  <c r="F2636"/>
  <c r="E2636"/>
  <c r="G2636" s="1"/>
  <c r="F2634"/>
  <c r="E2634"/>
  <c r="G2634" s="1"/>
  <c r="F2632"/>
  <c r="E2632"/>
  <c r="G2632" s="1"/>
  <c r="F2630"/>
  <c r="E2630"/>
  <c r="G2630" s="1"/>
  <c r="F2628"/>
  <c r="E2628"/>
  <c r="G2628" s="1"/>
  <c r="F2626"/>
  <c r="E2626"/>
  <c r="G2626" s="1"/>
  <c r="F2624"/>
  <c r="E2624"/>
  <c r="G2624" s="1"/>
  <c r="F2622"/>
  <c r="E2622"/>
  <c r="G2622" s="1"/>
  <c r="F2620"/>
  <c r="E2620"/>
  <c r="G2620" s="1"/>
  <c r="F2618"/>
  <c r="E2618"/>
  <c r="G2618" s="1"/>
  <c r="F2616"/>
  <c r="E2616"/>
  <c r="G2616" s="1"/>
  <c r="F2614"/>
  <c r="E2614"/>
  <c r="G2614" s="1"/>
  <c r="F2612"/>
  <c r="E2612"/>
  <c r="G2612" s="1"/>
  <c r="F2610"/>
  <c r="E2610"/>
  <c r="G2610" s="1"/>
  <c r="F2608"/>
  <c r="E2608"/>
  <c r="G2608" s="1"/>
  <c r="F2606"/>
  <c r="E2606"/>
  <c r="G2606" s="1"/>
  <c r="F2604"/>
  <c r="E2604"/>
  <c r="G2604" s="1"/>
  <c r="F2602"/>
  <c r="E2602"/>
  <c r="G2602" s="1"/>
  <c r="F2600"/>
  <c r="E2600"/>
  <c r="G2600" s="1"/>
  <c r="F2598"/>
  <c r="E2598"/>
  <c r="G2598" s="1"/>
  <c r="F2596"/>
  <c r="E2596"/>
  <c r="G2596" s="1"/>
  <c r="F2594"/>
  <c r="E2594"/>
  <c r="G2594" s="1"/>
  <c r="F2592"/>
  <c r="E2592"/>
  <c r="G2592" s="1"/>
  <c r="F2590"/>
  <c r="E2590"/>
  <c r="G2590" s="1"/>
  <c r="F2588"/>
  <c r="E2588"/>
  <c r="G2588" s="1"/>
  <c r="F2586"/>
  <c r="E2586"/>
  <c r="G2586" s="1"/>
  <c r="F2584"/>
  <c r="E2584"/>
  <c r="G2584" s="1"/>
  <c r="F2582"/>
  <c r="E2582"/>
  <c r="G2582" s="1"/>
  <c r="F2580"/>
  <c r="E2580"/>
  <c r="G2580" s="1"/>
  <c r="F2578"/>
  <c r="E2578"/>
  <c r="G2578" s="1"/>
  <c r="F2576"/>
  <c r="E2576"/>
  <c r="G2576" s="1"/>
  <c r="F2574"/>
  <c r="E2574"/>
  <c r="G2574" s="1"/>
  <c r="F2572"/>
  <c r="E2572"/>
  <c r="G2572" s="1"/>
  <c r="F2570"/>
  <c r="E2570"/>
  <c r="G2570" s="1"/>
  <c r="F2568"/>
  <c r="E2568"/>
  <c r="G2568" s="1"/>
  <c r="F2566"/>
  <c r="E2566"/>
  <c r="G2566" s="1"/>
  <c r="F2564"/>
  <c r="E2564"/>
  <c r="G2564" s="1"/>
  <c r="F2562"/>
  <c r="E2562"/>
  <c r="G2562" s="1"/>
  <c r="F2560"/>
  <c r="E2560"/>
  <c r="G2560" s="1"/>
  <c r="F2558"/>
  <c r="E2558"/>
  <c r="G2558" s="1"/>
  <c r="F2556"/>
  <c r="E2556"/>
  <c r="G2556" s="1"/>
  <c r="F2554"/>
  <c r="E2554"/>
  <c r="G2554" s="1"/>
  <c r="F2552"/>
  <c r="E2552"/>
  <c r="G2552" s="1"/>
  <c r="F2550"/>
  <c r="E2550"/>
  <c r="G2550" s="1"/>
  <c r="F2548"/>
  <c r="E2548"/>
  <c r="G2548" s="1"/>
  <c r="F2546"/>
  <c r="E2546"/>
  <c r="G2546" s="1"/>
  <c r="F2544"/>
  <c r="E2544"/>
  <c r="G2544" s="1"/>
  <c r="F2542"/>
  <c r="E2542"/>
  <c r="G2542" s="1"/>
  <c r="F2540"/>
  <c r="E2540"/>
  <c r="G2540" s="1"/>
  <c r="F2538"/>
  <c r="E2538"/>
  <c r="G2538" s="1"/>
  <c r="F2536"/>
  <c r="E2536"/>
  <c r="G2536" s="1"/>
  <c r="F2534"/>
  <c r="E2534"/>
  <c r="G2534" s="1"/>
  <c r="F2532"/>
  <c r="E2532"/>
  <c r="G2532" s="1"/>
  <c r="F2530"/>
  <c r="E2530"/>
  <c r="G2530" s="1"/>
  <c r="F2528"/>
  <c r="E2528"/>
  <c r="G2528" s="1"/>
  <c r="F2526"/>
  <c r="E2526"/>
  <c r="G2526" s="1"/>
  <c r="F2524"/>
  <c r="E2524"/>
  <c r="G2524" s="1"/>
  <c r="F2522"/>
  <c r="E2522"/>
  <c r="G2522" s="1"/>
  <c r="F2520"/>
  <c r="E2520"/>
  <c r="G2520" s="1"/>
  <c r="F2518"/>
  <c r="E2518"/>
  <c r="G2518" s="1"/>
  <c r="F2516"/>
  <c r="E2516"/>
  <c r="G2516" s="1"/>
  <c r="F2514"/>
  <c r="E2514"/>
  <c r="G2514" s="1"/>
  <c r="F2512"/>
  <c r="E2512"/>
  <c r="G2512" s="1"/>
  <c r="F2510"/>
  <c r="E2510"/>
  <c r="G2510" s="1"/>
  <c r="F2508"/>
  <c r="E2508"/>
  <c r="G2508" s="1"/>
  <c r="F2506"/>
  <c r="E2506"/>
  <c r="G2506" s="1"/>
  <c r="F2504"/>
  <c r="E2504"/>
  <c r="G2504" s="1"/>
  <c r="F2502"/>
  <c r="E2502"/>
  <c r="G2502" s="1"/>
  <c r="F2500"/>
  <c r="E2500"/>
  <c r="G2500" s="1"/>
  <c r="F2498"/>
  <c r="E2498"/>
  <c r="G2498" s="1"/>
  <c r="F2496"/>
  <c r="E2496"/>
  <c r="G2496" s="1"/>
  <c r="F2494"/>
  <c r="E2494"/>
  <c r="G2494" s="1"/>
  <c r="F2492"/>
  <c r="E2492"/>
  <c r="G2492" s="1"/>
  <c r="F2490"/>
  <c r="E2490"/>
  <c r="G2490" s="1"/>
  <c r="F2488"/>
  <c r="E2488"/>
  <c r="G2488" s="1"/>
  <c r="F2486"/>
  <c r="E2486"/>
  <c r="G2486" s="1"/>
  <c r="F2484"/>
  <c r="E2484"/>
  <c r="G2484" s="1"/>
  <c r="F2482"/>
  <c r="E2482"/>
  <c r="G2482" s="1"/>
  <c r="F2480"/>
  <c r="E2480"/>
  <c r="G2480" s="1"/>
  <c r="F2478"/>
  <c r="E2478"/>
  <c r="G2478" s="1"/>
  <c r="F2476"/>
  <c r="E2476"/>
  <c r="G2476" s="1"/>
  <c r="F2474"/>
  <c r="E2474"/>
  <c r="G2474" s="1"/>
  <c r="F2472"/>
  <c r="E2472"/>
  <c r="G2472" s="1"/>
  <c r="F2470"/>
  <c r="E2470"/>
  <c r="G2470" s="1"/>
  <c r="F2468"/>
  <c r="E2468"/>
  <c r="G2468" s="1"/>
  <c r="F2466"/>
  <c r="E2466"/>
  <c r="G2466" s="1"/>
  <c r="F2464"/>
  <c r="E2464"/>
  <c r="G2464" s="1"/>
  <c r="F2462"/>
  <c r="E2462"/>
  <c r="G2462" s="1"/>
  <c r="F2460"/>
  <c r="E2460"/>
  <c r="G2460" s="1"/>
  <c r="F2458"/>
  <c r="E2458"/>
  <c r="G2458" s="1"/>
  <c r="F2456"/>
  <c r="E2456"/>
  <c r="G2456" s="1"/>
  <c r="F2454"/>
  <c r="E2454"/>
  <c r="G2454" s="1"/>
  <c r="F2452"/>
  <c r="E2452"/>
  <c r="G2452" s="1"/>
  <c r="F2450"/>
  <c r="E2450"/>
  <c r="G2450" s="1"/>
  <c r="F2448"/>
  <c r="E2448"/>
  <c r="G2448" s="1"/>
  <c r="F2446"/>
  <c r="E2446"/>
  <c r="G2446" s="1"/>
  <c r="F2444"/>
  <c r="E2444"/>
  <c r="G2444" s="1"/>
  <c r="F2442"/>
  <c r="E2442"/>
  <c r="G2442" s="1"/>
  <c r="F2440"/>
  <c r="E2440"/>
  <c r="G2440" s="1"/>
  <c r="F2438"/>
  <c r="E2438"/>
  <c r="G2438" s="1"/>
  <c r="F2436"/>
  <c r="E2436"/>
  <c r="G2436" s="1"/>
  <c r="F2434"/>
  <c r="E2434"/>
  <c r="G2434" s="1"/>
  <c r="F2432"/>
  <c r="E2432"/>
  <c r="G2432" s="1"/>
  <c r="F2430"/>
  <c r="E2430"/>
  <c r="G2430" s="1"/>
  <c r="F2428"/>
  <c r="E2428"/>
  <c r="G2428" s="1"/>
  <c r="F2426"/>
  <c r="E2426"/>
  <c r="G2426" s="1"/>
  <c r="F2424"/>
  <c r="E2424"/>
  <c r="G2424" s="1"/>
  <c r="F2422"/>
  <c r="E2422"/>
  <c r="G2422" s="1"/>
  <c r="F2420"/>
  <c r="E2420"/>
  <c r="G2420" s="1"/>
  <c r="F2418"/>
  <c r="E2418"/>
  <c r="G2418" s="1"/>
  <c r="F2416"/>
  <c r="E2416"/>
  <c r="G2416" s="1"/>
  <c r="F2414"/>
  <c r="E2414"/>
  <c r="G2414" s="1"/>
  <c r="F2412"/>
  <c r="E2412"/>
  <c r="G2412" s="1"/>
  <c r="F2410"/>
  <c r="E2410"/>
  <c r="G2410" s="1"/>
  <c r="F2408"/>
  <c r="E2408"/>
  <c r="G2408" s="1"/>
  <c r="F2406"/>
  <c r="E2406"/>
  <c r="G2406" s="1"/>
  <c r="F2404"/>
  <c r="E2404"/>
  <c r="G2404" s="1"/>
  <c r="F2402"/>
  <c r="E2402"/>
  <c r="G2402" s="1"/>
  <c r="F2400"/>
  <c r="E2400"/>
  <c r="G2400" s="1"/>
  <c r="F2398"/>
  <c r="E2398"/>
  <c r="G2398" s="1"/>
  <c r="F2396"/>
  <c r="E2396"/>
  <c r="G2396" s="1"/>
  <c r="F2394"/>
  <c r="E2394"/>
  <c r="G2394" s="1"/>
  <c r="F2392"/>
  <c r="E2392"/>
  <c r="G2392" s="1"/>
  <c r="F2390"/>
  <c r="E2390"/>
  <c r="G2390" s="1"/>
  <c r="F2388"/>
  <c r="E2388"/>
  <c r="G2388" s="1"/>
  <c r="F2386"/>
  <c r="E2386"/>
  <c r="G2386" s="1"/>
  <c r="F2384"/>
  <c r="E2384"/>
  <c r="G2384" s="1"/>
  <c r="F2382"/>
  <c r="E2382"/>
  <c r="G2382" s="1"/>
  <c r="F2380"/>
  <c r="E2380"/>
  <c r="G2380" s="1"/>
  <c r="F2378"/>
  <c r="E2378"/>
  <c r="G2378" s="1"/>
  <c r="F2376"/>
  <c r="E2376"/>
  <c r="G2376" s="1"/>
  <c r="F2374"/>
  <c r="E2374"/>
  <c r="G2374" s="1"/>
  <c r="F2372"/>
  <c r="E2372"/>
  <c r="G2372" s="1"/>
  <c r="F2370"/>
  <c r="E2370"/>
  <c r="G2370" s="1"/>
  <c r="F2368"/>
  <c r="E2368"/>
  <c r="G2368" s="1"/>
  <c r="F2366"/>
  <c r="E2366"/>
  <c r="G2366" s="1"/>
  <c r="F2364"/>
  <c r="E2364"/>
  <c r="G2364" s="1"/>
  <c r="F2362"/>
  <c r="E2362"/>
  <c r="G2362" s="1"/>
  <c r="F2360"/>
  <c r="E2360"/>
  <c r="G2360" s="1"/>
  <c r="F2358"/>
  <c r="E2358"/>
  <c r="G2358" s="1"/>
  <c r="F2356"/>
  <c r="E2356"/>
  <c r="G2356" s="1"/>
  <c r="F2354"/>
  <c r="E2354"/>
  <c r="G2354" s="1"/>
  <c r="F2352"/>
  <c r="E2352"/>
  <c r="G2352" s="1"/>
  <c r="F2350"/>
  <c r="E2350"/>
  <c r="G2350" s="1"/>
  <c r="F2348"/>
  <c r="E2348"/>
  <c r="G2348" s="1"/>
  <c r="F2346"/>
  <c r="E2346"/>
  <c r="G2346" s="1"/>
  <c r="F2344"/>
  <c r="E2344"/>
  <c r="G2344" s="1"/>
  <c r="F2342"/>
  <c r="E2342"/>
  <c r="G2342" s="1"/>
  <c r="F2340"/>
  <c r="E2340"/>
  <c r="G2340" s="1"/>
  <c r="F2338"/>
  <c r="E2338"/>
  <c r="G2338" s="1"/>
  <c r="F2336"/>
  <c r="E2336"/>
  <c r="G2336" s="1"/>
  <c r="F2334"/>
  <c r="E2334"/>
  <c r="G2334" s="1"/>
  <c r="F2332"/>
  <c r="E2332"/>
  <c r="G2332" s="1"/>
  <c r="F2330"/>
  <c r="E2330"/>
  <c r="G2330" s="1"/>
  <c r="F2328"/>
  <c r="E2328"/>
  <c r="G2328" s="1"/>
  <c r="F2326"/>
  <c r="E2326"/>
  <c r="G2326" s="1"/>
  <c r="F2324"/>
  <c r="E2324"/>
  <c r="G2324" s="1"/>
  <c r="F2322"/>
  <c r="E2322"/>
  <c r="G2322" s="1"/>
  <c r="F2320"/>
  <c r="E2320"/>
  <c r="G2320" s="1"/>
  <c r="F2318"/>
  <c r="E2318"/>
  <c r="G2318" s="1"/>
  <c r="F2316"/>
  <c r="E2316"/>
  <c r="G2316" s="1"/>
  <c r="F2314"/>
  <c r="E2314"/>
  <c r="G2314" s="1"/>
  <c r="F2312"/>
  <c r="E2312"/>
  <c r="G2312" s="1"/>
  <c r="F2310"/>
  <c r="E2310"/>
  <c r="G2310" s="1"/>
  <c r="F2308"/>
  <c r="E2308"/>
  <c r="G2308" s="1"/>
  <c r="F2306"/>
  <c r="E2306"/>
  <c r="G2306" s="1"/>
  <c r="F2304"/>
  <c r="E2304"/>
  <c r="G2304" s="1"/>
  <c r="F2302"/>
  <c r="E2302"/>
  <c r="G2302" s="1"/>
  <c r="F2300"/>
  <c r="E2300"/>
  <c r="G2300" s="1"/>
  <c r="F2298"/>
  <c r="E2298"/>
  <c r="G2298" s="1"/>
  <c r="F2296"/>
  <c r="E2296"/>
  <c r="G2296" s="1"/>
  <c r="F2294"/>
  <c r="E2294"/>
  <c r="G2294" s="1"/>
  <c r="F2292"/>
  <c r="E2292"/>
  <c r="G2292" s="1"/>
  <c r="F2290"/>
  <c r="E2290"/>
  <c r="G2290" s="1"/>
  <c r="F2288"/>
  <c r="E2288"/>
  <c r="G2288" s="1"/>
  <c r="F2286"/>
  <c r="E2286"/>
  <c r="G2286" s="1"/>
  <c r="F2284"/>
  <c r="E2284"/>
  <c r="G2284" s="1"/>
  <c r="F2282"/>
  <c r="E2282"/>
  <c r="G2282" s="1"/>
  <c r="F2280"/>
  <c r="E2280"/>
  <c r="G2280" s="1"/>
  <c r="F2278"/>
  <c r="E2278"/>
  <c r="G2278" s="1"/>
  <c r="F2276"/>
  <c r="E2276"/>
  <c r="G2276" s="1"/>
  <c r="F2274"/>
  <c r="E2274"/>
  <c r="G2274" s="1"/>
  <c r="F2272"/>
  <c r="E2272"/>
  <c r="G2272" s="1"/>
  <c r="F2270"/>
  <c r="E2270"/>
  <c r="G2270" s="1"/>
  <c r="F2268"/>
  <c r="E2268"/>
  <c r="G2268" s="1"/>
  <c r="F2266"/>
  <c r="E2266"/>
  <c r="G2266" s="1"/>
  <c r="F2264"/>
  <c r="E2264"/>
  <c r="G2264" s="1"/>
  <c r="F2262"/>
  <c r="E2262"/>
  <c r="G2262" s="1"/>
  <c r="F2260"/>
  <c r="E2260"/>
  <c r="G2260" s="1"/>
  <c r="F2258"/>
  <c r="E2258"/>
  <c r="G2258" s="1"/>
  <c r="F2256"/>
  <c r="E2256"/>
  <c r="G2256" s="1"/>
  <c r="F2254"/>
  <c r="E2254"/>
  <c r="G2254" s="1"/>
  <c r="F2252"/>
  <c r="E2252"/>
  <c r="G2252" s="1"/>
  <c r="F2250"/>
  <c r="E2250"/>
  <c r="G2250" s="1"/>
  <c r="F2248"/>
  <c r="E2248"/>
  <c r="G2248" s="1"/>
  <c r="F2246"/>
  <c r="E2246"/>
  <c r="G2246" s="1"/>
  <c r="F2244"/>
  <c r="E2244"/>
  <c r="G2244" s="1"/>
  <c r="F2242"/>
  <c r="E2242"/>
  <c r="G2242" s="1"/>
  <c r="F2240"/>
  <c r="E2240"/>
  <c r="G2240" s="1"/>
  <c r="E2749"/>
  <c r="G2749" s="1"/>
  <c r="F2749"/>
  <c r="E2747"/>
  <c r="G2747" s="1"/>
  <c r="F2747"/>
  <c r="E2745"/>
  <c r="G2745" s="1"/>
  <c r="F2745"/>
  <c r="E2743"/>
  <c r="G2743" s="1"/>
  <c r="F2743"/>
  <c r="E2741"/>
  <c r="G2741" s="1"/>
  <c r="F2741"/>
  <c r="E2739"/>
  <c r="G2739" s="1"/>
  <c r="F2739"/>
  <c r="E2737"/>
  <c r="G2737" s="1"/>
  <c r="F2737"/>
  <c r="E2735"/>
  <c r="G2735" s="1"/>
  <c r="F2735"/>
  <c r="E2733"/>
  <c r="G2733" s="1"/>
  <c r="F2733"/>
  <c r="E2731"/>
  <c r="G2731" s="1"/>
  <c r="F2731"/>
  <c r="E2729"/>
  <c r="G2729" s="1"/>
  <c r="F2729"/>
  <c r="E2727"/>
  <c r="G2727" s="1"/>
  <c r="F2727"/>
  <c r="E2725"/>
  <c r="G2725" s="1"/>
  <c r="F2725"/>
  <c r="E2723"/>
  <c r="G2723" s="1"/>
  <c r="F2723"/>
  <c r="E2721"/>
  <c r="G2721" s="1"/>
  <c r="F2721"/>
  <c r="E2719"/>
  <c r="G2719" s="1"/>
  <c r="F2719"/>
  <c r="E2717"/>
  <c r="G2717" s="1"/>
  <c r="F2717"/>
  <c r="E2715"/>
  <c r="G2715" s="1"/>
  <c r="F2715"/>
  <c r="E2713"/>
  <c r="G2713" s="1"/>
  <c r="F2713"/>
  <c r="E2711"/>
  <c r="G2711" s="1"/>
  <c r="F2711"/>
  <c r="E2709"/>
  <c r="G2709" s="1"/>
  <c r="F2709"/>
  <c r="E2707"/>
  <c r="G2707" s="1"/>
  <c r="F2707"/>
  <c r="E2705"/>
  <c r="G2705" s="1"/>
  <c r="F2705"/>
  <c r="E2703"/>
  <c r="G2703" s="1"/>
  <c r="F2703"/>
  <c r="E2701"/>
  <c r="G2701" s="1"/>
  <c r="F2701"/>
  <c r="E2699"/>
  <c r="G2699" s="1"/>
  <c r="F2699"/>
  <c r="E2697"/>
  <c r="G2697" s="1"/>
  <c r="F2697"/>
  <c r="E2695"/>
  <c r="G2695" s="1"/>
  <c r="F2695"/>
  <c r="E2693"/>
  <c r="G2693" s="1"/>
  <c r="F2693"/>
  <c r="E2691"/>
  <c r="G2691" s="1"/>
  <c r="F2691"/>
  <c r="E2689"/>
  <c r="G2689" s="1"/>
  <c r="F2689"/>
  <c r="E2687"/>
  <c r="G2687" s="1"/>
  <c r="F2687"/>
  <c r="E2685"/>
  <c r="G2685" s="1"/>
  <c r="F2685"/>
  <c r="E2683"/>
  <c r="G2683" s="1"/>
  <c r="F2683"/>
  <c r="E2681"/>
  <c r="G2681" s="1"/>
  <c r="F2681"/>
  <c r="E2679"/>
  <c r="G2679" s="1"/>
  <c r="F2679"/>
  <c r="E2677"/>
  <c r="G2677" s="1"/>
  <c r="F2677"/>
  <c r="E2675"/>
  <c r="G2675" s="1"/>
  <c r="F2675"/>
  <c r="E2673"/>
  <c r="G2673" s="1"/>
  <c r="F2673"/>
  <c r="E2671"/>
  <c r="G2671" s="1"/>
  <c r="F2671"/>
  <c r="E2669"/>
  <c r="G2669" s="1"/>
  <c r="F2669"/>
  <c r="E2667"/>
  <c r="G2667" s="1"/>
  <c r="F2667"/>
  <c r="E2665"/>
  <c r="G2665" s="1"/>
  <c r="F2665"/>
  <c r="E2663"/>
  <c r="G2663" s="1"/>
  <c r="F2663"/>
  <c r="E2661"/>
  <c r="G2661" s="1"/>
  <c r="F2661"/>
  <c r="E2659"/>
  <c r="G2659" s="1"/>
  <c r="F2659"/>
  <c r="E2657"/>
  <c r="G2657" s="1"/>
  <c r="F2657"/>
  <c r="E2655"/>
  <c r="G2655" s="1"/>
  <c r="F2655"/>
  <c r="E2653"/>
  <c r="G2653" s="1"/>
  <c r="F2653"/>
  <c r="E2651"/>
  <c r="G2651" s="1"/>
  <c r="F2651"/>
  <c r="E2649"/>
  <c r="G2649" s="1"/>
  <c r="F2649"/>
  <c r="E2647"/>
  <c r="G2647" s="1"/>
  <c r="F2647"/>
  <c r="E2645"/>
  <c r="G2645" s="1"/>
  <c r="F2645"/>
  <c r="E2643"/>
  <c r="G2643" s="1"/>
  <c r="F2643"/>
  <c r="E2641"/>
  <c r="G2641" s="1"/>
  <c r="F2641"/>
  <c r="E2639"/>
  <c r="G2639" s="1"/>
  <c r="F2639"/>
  <c r="E2637"/>
  <c r="G2637" s="1"/>
  <c r="F2637"/>
  <c r="E2635"/>
  <c r="G2635" s="1"/>
  <c r="F2635"/>
  <c r="E2633"/>
  <c r="G2633" s="1"/>
  <c r="F2633"/>
  <c r="E2631"/>
  <c r="G2631" s="1"/>
  <c r="F2631"/>
  <c r="E2629"/>
  <c r="G2629" s="1"/>
  <c r="F2629"/>
  <c r="E2627"/>
  <c r="G2627" s="1"/>
  <c r="F2627"/>
  <c r="E2625"/>
  <c r="G2625" s="1"/>
  <c r="F2625"/>
  <c r="E2623"/>
  <c r="G2623" s="1"/>
  <c r="F2623"/>
  <c r="E2621"/>
  <c r="G2621" s="1"/>
  <c r="F2621"/>
  <c r="E2619"/>
  <c r="G2619" s="1"/>
  <c r="F2619"/>
  <c r="E2617"/>
  <c r="G2617" s="1"/>
  <c r="F2617"/>
  <c r="E2615"/>
  <c r="G2615" s="1"/>
  <c r="F2615"/>
  <c r="E2613"/>
  <c r="G2613" s="1"/>
  <c r="F2613"/>
  <c r="E2611"/>
  <c r="G2611" s="1"/>
  <c r="F2611"/>
  <c r="E2609"/>
  <c r="G2609" s="1"/>
  <c r="F2609"/>
  <c r="E2607"/>
  <c r="G2607" s="1"/>
  <c r="F2607"/>
  <c r="E2605"/>
  <c r="G2605" s="1"/>
  <c r="F2605"/>
  <c r="E2603"/>
  <c r="G2603" s="1"/>
  <c r="F2603"/>
  <c r="E2601"/>
  <c r="G2601" s="1"/>
  <c r="F2601"/>
  <c r="E2599"/>
  <c r="G2599" s="1"/>
  <c r="F2599"/>
  <c r="E2597"/>
  <c r="G2597" s="1"/>
  <c r="F2597"/>
  <c r="E2595"/>
  <c r="G2595" s="1"/>
  <c r="F2595"/>
  <c r="E2593"/>
  <c r="G2593" s="1"/>
  <c r="F2593"/>
  <c r="E2591"/>
  <c r="G2591" s="1"/>
  <c r="F2591"/>
  <c r="E2589"/>
  <c r="G2589" s="1"/>
  <c r="F2589"/>
  <c r="E2587"/>
  <c r="G2587" s="1"/>
  <c r="F2587"/>
  <c r="E2585"/>
  <c r="G2585" s="1"/>
  <c r="F2585"/>
  <c r="E2583"/>
  <c r="G2583" s="1"/>
  <c r="F2583"/>
  <c r="E2581"/>
  <c r="G2581" s="1"/>
  <c r="F2581"/>
  <c r="E2579"/>
  <c r="G2579" s="1"/>
  <c r="F2579"/>
  <c r="E2577"/>
  <c r="G2577" s="1"/>
  <c r="F2577"/>
  <c r="E2575"/>
  <c r="G2575" s="1"/>
  <c r="F2575"/>
  <c r="E2573"/>
  <c r="G2573" s="1"/>
  <c r="F2573"/>
  <c r="E2571"/>
  <c r="G2571" s="1"/>
  <c r="F2571"/>
  <c r="E2569"/>
  <c r="G2569" s="1"/>
  <c r="F2569"/>
  <c r="E2567"/>
  <c r="G2567" s="1"/>
  <c r="F2567"/>
  <c r="E2565"/>
  <c r="G2565" s="1"/>
  <c r="F2565"/>
  <c r="E2563"/>
  <c r="G2563" s="1"/>
  <c r="F2563"/>
  <c r="E2561"/>
  <c r="G2561" s="1"/>
  <c r="F2561"/>
  <c r="E2559"/>
  <c r="G2559" s="1"/>
  <c r="F2559"/>
  <c r="E2557"/>
  <c r="G2557" s="1"/>
  <c r="F2557"/>
  <c r="E2555"/>
  <c r="G2555" s="1"/>
  <c r="F2555"/>
  <c r="E2553"/>
  <c r="G2553" s="1"/>
  <c r="F2553"/>
  <c r="E2551"/>
  <c r="G2551" s="1"/>
  <c r="F2551"/>
  <c r="E2549"/>
  <c r="G2549" s="1"/>
  <c r="F2549"/>
  <c r="E2547"/>
  <c r="G2547" s="1"/>
  <c r="F2547"/>
  <c r="E2545"/>
  <c r="G2545" s="1"/>
  <c r="F2545"/>
  <c r="E2543"/>
  <c r="G2543" s="1"/>
  <c r="F2543"/>
  <c r="E2541"/>
  <c r="G2541" s="1"/>
  <c r="F2541"/>
  <c r="E2539"/>
  <c r="G2539" s="1"/>
  <c r="F2539"/>
  <c r="E2537"/>
  <c r="G2537" s="1"/>
  <c r="F2537"/>
  <c r="E2535"/>
  <c r="G2535" s="1"/>
  <c r="F2535"/>
  <c r="E2533"/>
  <c r="G2533" s="1"/>
  <c r="F2533"/>
  <c r="E2531"/>
  <c r="G2531" s="1"/>
  <c r="F2531"/>
  <c r="E2529"/>
  <c r="G2529" s="1"/>
  <c r="F2529"/>
  <c r="E2527"/>
  <c r="G2527" s="1"/>
  <c r="F2527"/>
  <c r="E2525"/>
  <c r="G2525" s="1"/>
  <c r="F2525"/>
  <c r="E2523"/>
  <c r="G2523" s="1"/>
  <c r="F2523"/>
  <c r="E2521"/>
  <c r="G2521" s="1"/>
  <c r="F2521"/>
  <c r="E2519"/>
  <c r="G2519" s="1"/>
  <c r="F2519"/>
  <c r="E2517"/>
  <c r="G2517" s="1"/>
  <c r="F2517"/>
  <c r="E2515"/>
  <c r="G2515" s="1"/>
  <c r="F2515"/>
  <c r="E2513"/>
  <c r="G2513" s="1"/>
  <c r="F2513"/>
  <c r="E2511"/>
  <c r="G2511" s="1"/>
  <c r="F2511"/>
  <c r="E2509"/>
  <c r="G2509" s="1"/>
  <c r="F2509"/>
  <c r="E2507"/>
  <c r="G2507" s="1"/>
  <c r="F2507"/>
  <c r="E2505"/>
  <c r="G2505" s="1"/>
  <c r="F2505"/>
  <c r="E2503"/>
  <c r="G2503" s="1"/>
  <c r="F2503"/>
  <c r="E2501"/>
  <c r="G2501" s="1"/>
  <c r="F2501"/>
  <c r="E2499"/>
  <c r="G2499" s="1"/>
  <c r="F2499"/>
  <c r="E2497"/>
  <c r="G2497" s="1"/>
  <c r="F2497"/>
  <c r="E2495"/>
  <c r="G2495" s="1"/>
  <c r="F2495"/>
  <c r="E2493"/>
  <c r="G2493" s="1"/>
  <c r="F2493"/>
  <c r="E2491"/>
  <c r="G2491" s="1"/>
  <c r="F2491"/>
  <c r="E2489"/>
  <c r="G2489" s="1"/>
  <c r="F2489"/>
  <c r="E2487"/>
  <c r="G2487" s="1"/>
  <c r="F2487"/>
  <c r="E2485"/>
  <c r="G2485" s="1"/>
  <c r="F2485"/>
  <c r="E2483"/>
  <c r="G2483" s="1"/>
  <c r="F2483"/>
  <c r="E2481"/>
  <c r="G2481" s="1"/>
  <c r="F2481"/>
  <c r="E2479"/>
  <c r="G2479" s="1"/>
  <c r="F2479"/>
  <c r="E2477"/>
  <c r="G2477" s="1"/>
  <c r="F2477"/>
  <c r="E2475"/>
  <c r="G2475" s="1"/>
  <c r="F2475"/>
  <c r="E2473"/>
  <c r="G2473" s="1"/>
  <c r="F2473"/>
  <c r="E2471"/>
  <c r="G2471" s="1"/>
  <c r="F2471"/>
  <c r="E2469"/>
  <c r="G2469" s="1"/>
  <c r="F2469"/>
  <c r="E2467"/>
  <c r="G2467" s="1"/>
  <c r="F2467"/>
  <c r="E2465"/>
  <c r="G2465" s="1"/>
  <c r="F2465"/>
  <c r="E2463"/>
  <c r="G2463" s="1"/>
  <c r="F2463"/>
  <c r="E2461"/>
  <c r="G2461" s="1"/>
  <c r="F2461"/>
  <c r="E2459"/>
  <c r="G2459" s="1"/>
  <c r="F2459"/>
  <c r="E2457"/>
  <c r="G2457" s="1"/>
  <c r="F2457"/>
  <c r="E2455"/>
  <c r="G2455" s="1"/>
  <c r="F2455"/>
  <c r="E2453"/>
  <c r="G2453" s="1"/>
  <c r="F2453"/>
  <c r="E2451"/>
  <c r="G2451" s="1"/>
  <c r="F2451"/>
  <c r="E2449"/>
  <c r="G2449" s="1"/>
  <c r="F2449"/>
  <c r="E2447"/>
  <c r="G2447" s="1"/>
  <c r="F2447"/>
  <c r="E2445"/>
  <c r="G2445" s="1"/>
  <c r="F2445"/>
  <c r="E2443"/>
  <c r="G2443" s="1"/>
  <c r="F2443"/>
  <c r="E2441"/>
  <c r="G2441" s="1"/>
  <c r="F2441"/>
  <c r="E2439"/>
  <c r="G2439" s="1"/>
  <c r="F2439"/>
  <c r="E2437"/>
  <c r="G2437" s="1"/>
  <c r="F2437"/>
  <c r="E2435"/>
  <c r="G2435" s="1"/>
  <c r="F2435"/>
  <c r="E2433"/>
  <c r="G2433" s="1"/>
  <c r="F2433"/>
  <c r="E2431"/>
  <c r="G2431" s="1"/>
  <c r="F2431"/>
  <c r="E2429"/>
  <c r="G2429" s="1"/>
  <c r="F2429"/>
  <c r="E2427"/>
  <c r="G2427" s="1"/>
  <c r="F2427"/>
  <c r="E2425"/>
  <c r="G2425" s="1"/>
  <c r="F2425"/>
  <c r="E2423"/>
  <c r="G2423" s="1"/>
  <c r="F2423"/>
  <c r="E2421"/>
  <c r="G2421" s="1"/>
  <c r="F2421"/>
  <c r="E2419"/>
  <c r="G2419" s="1"/>
  <c r="F2419"/>
  <c r="E2417"/>
  <c r="G2417" s="1"/>
  <c r="F2417"/>
  <c r="E2415"/>
  <c r="G2415" s="1"/>
  <c r="F2415"/>
  <c r="E2413"/>
  <c r="G2413" s="1"/>
  <c r="F2413"/>
  <c r="E2411"/>
  <c r="G2411" s="1"/>
  <c r="F2411"/>
  <c r="E2409"/>
  <c r="G2409" s="1"/>
  <c r="F2409"/>
  <c r="E2407"/>
  <c r="G2407" s="1"/>
  <c r="F2407"/>
  <c r="E2405"/>
  <c r="G2405" s="1"/>
  <c r="F2405"/>
  <c r="E2403"/>
  <c r="G2403" s="1"/>
  <c r="F2403"/>
  <c r="E2401"/>
  <c r="G2401" s="1"/>
  <c r="F2401"/>
  <c r="E2399"/>
  <c r="G2399" s="1"/>
  <c r="F2399"/>
  <c r="E2397"/>
  <c r="G2397" s="1"/>
  <c r="F2397"/>
  <c r="E2395"/>
  <c r="G2395" s="1"/>
  <c r="F2395"/>
  <c r="E2393"/>
  <c r="G2393" s="1"/>
  <c r="F2393"/>
  <c r="E2391"/>
  <c r="G2391" s="1"/>
  <c r="F2391"/>
  <c r="E2389"/>
  <c r="G2389" s="1"/>
  <c r="F2389"/>
  <c r="E2387"/>
  <c r="G2387" s="1"/>
  <c r="F2387"/>
  <c r="E2385"/>
  <c r="G2385" s="1"/>
  <c r="F2385"/>
  <c r="E2383"/>
  <c r="G2383" s="1"/>
  <c r="F2383"/>
  <c r="E2381"/>
  <c r="G2381" s="1"/>
  <c r="F2381"/>
  <c r="E2379"/>
  <c r="G2379" s="1"/>
  <c r="F2379"/>
  <c r="E2377"/>
  <c r="G2377" s="1"/>
  <c r="F2377"/>
  <c r="E2375"/>
  <c r="G2375" s="1"/>
  <c r="F2375"/>
  <c r="E2373"/>
  <c r="G2373" s="1"/>
  <c r="F2373"/>
  <c r="E2371"/>
  <c r="G2371" s="1"/>
  <c r="F2371"/>
  <c r="E2369"/>
  <c r="G2369" s="1"/>
  <c r="F2369"/>
  <c r="E2367"/>
  <c r="G2367" s="1"/>
  <c r="F2367"/>
  <c r="E2365"/>
  <c r="G2365" s="1"/>
  <c r="F2365"/>
  <c r="E2363"/>
  <c r="G2363" s="1"/>
  <c r="F2363"/>
  <c r="E2361"/>
  <c r="G2361" s="1"/>
  <c r="F2361"/>
  <c r="E2359"/>
  <c r="G2359" s="1"/>
  <c r="F2359"/>
  <c r="E2357"/>
  <c r="G2357" s="1"/>
  <c r="F2357"/>
  <c r="E2355"/>
  <c r="G2355" s="1"/>
  <c r="F2355"/>
  <c r="E2353"/>
  <c r="G2353" s="1"/>
  <c r="F2353"/>
  <c r="E2351"/>
  <c r="G2351" s="1"/>
  <c r="F2351"/>
  <c r="E2349"/>
  <c r="G2349" s="1"/>
  <c r="F2349"/>
  <c r="E2347"/>
  <c r="G2347" s="1"/>
  <c r="F2347"/>
  <c r="E2345"/>
  <c r="G2345" s="1"/>
  <c r="F2345"/>
  <c r="E2343"/>
  <c r="G2343" s="1"/>
  <c r="F2343"/>
  <c r="E2341"/>
  <c r="G2341" s="1"/>
  <c r="F2341"/>
  <c r="E2339"/>
  <c r="G2339" s="1"/>
  <c r="F2339"/>
  <c r="E2337"/>
  <c r="G2337" s="1"/>
  <c r="F2337"/>
  <c r="E2335"/>
  <c r="G2335" s="1"/>
  <c r="F2335"/>
  <c r="E2333"/>
  <c r="G2333" s="1"/>
  <c r="F2333"/>
  <c r="E2331"/>
  <c r="G2331" s="1"/>
  <c r="F2331"/>
  <c r="E2329"/>
  <c r="G2329" s="1"/>
  <c r="F2329"/>
  <c r="E2327"/>
  <c r="G2327" s="1"/>
  <c r="F2327"/>
  <c r="E2325"/>
  <c r="G2325" s="1"/>
  <c r="F2325"/>
  <c r="E2323"/>
  <c r="G2323" s="1"/>
  <c r="F2323"/>
  <c r="E2321"/>
  <c r="G2321" s="1"/>
  <c r="F2321"/>
  <c r="E2319"/>
  <c r="G2319" s="1"/>
  <c r="F2319"/>
  <c r="E2317"/>
  <c r="G2317" s="1"/>
  <c r="F2317"/>
  <c r="E2315"/>
  <c r="G2315" s="1"/>
  <c r="F2315"/>
  <c r="E2313"/>
  <c r="G2313" s="1"/>
  <c r="F2313"/>
  <c r="E2311"/>
  <c r="G2311" s="1"/>
  <c r="F2311"/>
  <c r="E2309"/>
  <c r="G2309" s="1"/>
  <c r="F2309"/>
  <c r="E2307"/>
  <c r="G2307" s="1"/>
  <c r="F2307"/>
  <c r="E2305"/>
  <c r="G2305" s="1"/>
  <c r="F2305"/>
  <c r="E2303"/>
  <c r="G2303" s="1"/>
  <c r="F2303"/>
  <c r="E2301"/>
  <c r="G2301" s="1"/>
  <c r="F2301"/>
  <c r="E2299"/>
  <c r="G2299" s="1"/>
  <c r="F2299"/>
  <c r="E2297"/>
  <c r="G2297" s="1"/>
  <c r="F2297"/>
  <c r="E2295"/>
  <c r="G2295" s="1"/>
  <c r="F2295"/>
  <c r="E2293"/>
  <c r="G2293" s="1"/>
  <c r="F2293"/>
  <c r="E2291"/>
  <c r="G2291" s="1"/>
  <c r="F2291"/>
  <c r="E2289"/>
  <c r="G2289" s="1"/>
  <c r="F2289"/>
  <c r="E2287"/>
  <c r="G2287" s="1"/>
  <c r="F2287"/>
  <c r="E2285"/>
  <c r="G2285" s="1"/>
  <c r="F2285"/>
  <c r="E2283"/>
  <c r="G2283" s="1"/>
  <c r="F2283"/>
  <c r="E2281"/>
  <c r="G2281" s="1"/>
  <c r="F2281"/>
  <c r="E2279"/>
  <c r="G2279" s="1"/>
  <c r="F2279"/>
  <c r="E2277"/>
  <c r="G2277" s="1"/>
  <c r="F2277"/>
  <c r="E2275"/>
  <c r="G2275" s="1"/>
  <c r="F2275"/>
  <c r="E2273"/>
  <c r="G2273" s="1"/>
  <c r="F2273"/>
  <c r="E2271"/>
  <c r="G2271" s="1"/>
  <c r="F2271"/>
  <c r="E2269"/>
  <c r="G2269" s="1"/>
  <c r="F2269"/>
  <c r="E2267"/>
  <c r="G2267" s="1"/>
  <c r="F2267"/>
  <c r="E2265"/>
  <c r="G2265" s="1"/>
  <c r="F2265"/>
  <c r="E2263"/>
  <c r="G2263" s="1"/>
  <c r="F2263"/>
  <c r="E2261"/>
  <c r="G2261" s="1"/>
  <c r="F2261"/>
  <c r="E2259"/>
  <c r="G2259" s="1"/>
  <c r="F2259"/>
  <c r="E2257"/>
  <c r="G2257" s="1"/>
  <c r="F2257"/>
  <c r="E2255"/>
  <c r="G2255" s="1"/>
  <c r="F2255"/>
  <c r="E2253"/>
  <c r="G2253" s="1"/>
  <c r="F2253"/>
  <c r="E2251"/>
  <c r="G2251" s="1"/>
  <c r="F2251"/>
  <c r="E2249"/>
  <c r="G2249" s="1"/>
  <c r="F2249"/>
  <c r="E2247"/>
  <c r="G2247" s="1"/>
  <c r="F2247"/>
  <c r="E2245"/>
  <c r="G2245" s="1"/>
  <c r="F2245"/>
  <c r="E2243"/>
  <c r="G2243" s="1"/>
  <c r="F2243"/>
  <c r="E2241"/>
  <c r="G2241" s="1"/>
  <c r="F2241"/>
  <c r="E2239"/>
  <c r="G2239" s="1"/>
  <c r="F2239"/>
  <c r="F2212"/>
  <c r="E2212"/>
  <c r="G2212" s="1"/>
  <c r="F2210"/>
  <c r="E2210"/>
  <c r="G2210" s="1"/>
  <c r="F2208"/>
  <c r="E2208"/>
  <c r="G2208" s="1"/>
  <c r="F2206"/>
  <c r="E2206"/>
  <c r="G2206" s="1"/>
  <c r="F2204"/>
  <c r="E2204"/>
  <c r="G2204" s="1"/>
  <c r="F2202"/>
  <c r="E2202"/>
  <c r="G2202" s="1"/>
  <c r="F2200"/>
  <c r="E2200"/>
  <c r="G2200" s="1"/>
  <c r="F2198"/>
  <c r="E2198"/>
  <c r="G2198" s="1"/>
  <c r="F2196"/>
  <c r="E2196"/>
  <c r="G2196" s="1"/>
  <c r="F2194"/>
  <c r="E2194"/>
  <c r="G2194" s="1"/>
  <c r="F2192"/>
  <c r="E2192"/>
  <c r="G2192" s="1"/>
  <c r="F2190"/>
  <c r="E2190"/>
  <c r="G2190" s="1"/>
  <c r="F2188"/>
  <c r="E2188"/>
  <c r="G2188" s="1"/>
  <c r="F2186"/>
  <c r="E2186"/>
  <c r="G2186" s="1"/>
  <c r="F2184"/>
  <c r="E2184"/>
  <c r="G2184" s="1"/>
  <c r="F2182"/>
  <c r="E2182"/>
  <c r="G2182" s="1"/>
  <c r="F2180"/>
  <c r="E2180"/>
  <c r="G2180" s="1"/>
  <c r="F2178"/>
  <c r="E2178"/>
  <c r="G2178" s="1"/>
  <c r="F2176"/>
  <c r="E2176"/>
  <c r="G2176" s="1"/>
  <c r="F2174"/>
  <c r="E2174"/>
  <c r="G2174" s="1"/>
  <c r="F2172"/>
  <c r="E2172"/>
  <c r="G2172" s="1"/>
  <c r="F2170"/>
  <c r="E2170"/>
  <c r="G2170" s="1"/>
  <c r="F2168"/>
  <c r="E2168"/>
  <c r="G2168" s="1"/>
  <c r="F2166"/>
  <c r="E2166"/>
  <c r="G2166" s="1"/>
  <c r="F2164"/>
  <c r="E2164"/>
  <c r="G2164" s="1"/>
  <c r="F2162"/>
  <c r="E2162"/>
  <c r="G2162" s="1"/>
  <c r="F2160"/>
  <c r="E2160"/>
  <c r="G2160" s="1"/>
  <c r="F2158"/>
  <c r="E2158"/>
  <c r="G2158" s="1"/>
  <c r="F2156"/>
  <c r="E2156"/>
  <c r="G2156" s="1"/>
  <c r="F2154"/>
  <c r="E2154"/>
  <c r="G2154" s="1"/>
  <c r="F2152"/>
  <c r="E2152"/>
  <c r="G2152" s="1"/>
  <c r="F2150"/>
  <c r="E2150"/>
  <c r="G2150" s="1"/>
  <c r="F2148"/>
  <c r="E2148"/>
  <c r="G2148" s="1"/>
  <c r="F2146"/>
  <c r="E2146"/>
  <c r="G2146" s="1"/>
  <c r="F2144"/>
  <c r="E2144"/>
  <c r="G2144" s="1"/>
  <c r="F2142"/>
  <c r="E2142"/>
  <c r="G2142" s="1"/>
  <c r="F2140"/>
  <c r="E2140"/>
  <c r="G2140" s="1"/>
  <c r="F2138"/>
  <c r="E2138"/>
  <c r="G2138" s="1"/>
  <c r="F2136"/>
  <c r="E2136"/>
  <c r="G2136" s="1"/>
  <c r="F2134"/>
  <c r="E2134"/>
  <c r="G2134" s="1"/>
  <c r="F2132"/>
  <c r="E2132"/>
  <c r="G2132" s="1"/>
  <c r="F2130"/>
  <c r="E2130"/>
  <c r="G2130" s="1"/>
  <c r="F2126"/>
  <c r="E2126"/>
  <c r="G2126" s="1"/>
  <c r="F2122"/>
  <c r="E2122"/>
  <c r="G2122" s="1"/>
  <c r="F2118"/>
  <c r="E2118"/>
  <c r="G2118" s="1"/>
  <c r="F2114"/>
  <c r="E2114"/>
  <c r="G2114" s="1"/>
  <c r="F2110"/>
  <c r="E2110"/>
  <c r="G2110" s="1"/>
  <c r="F2106"/>
  <c r="E2106"/>
  <c r="G2106" s="1"/>
  <c r="F2102"/>
  <c r="E2102"/>
  <c r="G2102" s="1"/>
  <c r="F2098"/>
  <c r="E2098"/>
  <c r="G2098" s="1"/>
  <c r="F2094"/>
  <c r="E2094"/>
  <c r="G2094" s="1"/>
  <c r="E2213"/>
  <c r="G2213" s="1"/>
  <c r="F2213"/>
  <c r="E2211"/>
  <c r="G2211" s="1"/>
  <c r="F2211"/>
  <c r="E2209"/>
  <c r="G2209" s="1"/>
  <c r="F2209"/>
  <c r="E2207"/>
  <c r="G2207" s="1"/>
  <c r="F2207"/>
  <c r="E2205"/>
  <c r="G2205" s="1"/>
  <c r="F2205"/>
  <c r="E2203"/>
  <c r="G2203" s="1"/>
  <c r="F2203"/>
  <c r="E2201"/>
  <c r="G2201" s="1"/>
  <c r="F2201"/>
  <c r="E2199"/>
  <c r="G2199" s="1"/>
  <c r="F2199"/>
  <c r="E2197"/>
  <c r="G2197" s="1"/>
  <c r="F2197"/>
  <c r="E2195"/>
  <c r="G2195" s="1"/>
  <c r="F2195"/>
  <c r="E2193"/>
  <c r="G2193" s="1"/>
  <c r="F2193"/>
  <c r="E2191"/>
  <c r="G2191" s="1"/>
  <c r="F2191"/>
  <c r="E2189"/>
  <c r="G2189" s="1"/>
  <c r="F2189"/>
  <c r="E2187"/>
  <c r="G2187" s="1"/>
  <c r="F2187"/>
  <c r="E2185"/>
  <c r="G2185" s="1"/>
  <c r="F2185"/>
  <c r="E2183"/>
  <c r="G2183" s="1"/>
  <c r="F2183"/>
  <c r="E2181"/>
  <c r="G2181" s="1"/>
  <c r="F2181"/>
  <c r="E2179"/>
  <c r="G2179" s="1"/>
  <c r="F2179"/>
  <c r="E2177"/>
  <c r="G2177" s="1"/>
  <c r="F2177"/>
  <c r="E2175"/>
  <c r="G2175" s="1"/>
  <c r="F2175"/>
  <c r="E2173"/>
  <c r="G2173" s="1"/>
  <c r="F2173"/>
  <c r="E2171"/>
  <c r="G2171" s="1"/>
  <c r="F2171"/>
  <c r="E2169"/>
  <c r="G2169" s="1"/>
  <c r="F2169"/>
  <c r="E2167"/>
  <c r="G2167" s="1"/>
  <c r="F2167"/>
  <c r="E2165"/>
  <c r="G2165" s="1"/>
  <c r="F2165"/>
  <c r="E2163"/>
  <c r="G2163" s="1"/>
  <c r="F2163"/>
  <c r="E2161"/>
  <c r="G2161" s="1"/>
  <c r="F2161"/>
  <c r="E2159"/>
  <c r="G2159" s="1"/>
  <c r="F2159"/>
  <c r="E2157"/>
  <c r="G2157" s="1"/>
  <c r="F2157"/>
  <c r="E2155"/>
  <c r="G2155" s="1"/>
  <c r="F2155"/>
  <c r="E2153"/>
  <c r="G2153" s="1"/>
  <c r="F2153"/>
  <c r="E2151"/>
  <c r="G2151" s="1"/>
  <c r="F2151"/>
  <c r="E2149"/>
  <c r="G2149" s="1"/>
  <c r="F2149"/>
  <c r="E2147"/>
  <c r="G2147" s="1"/>
  <c r="F2147"/>
  <c r="E2145"/>
  <c r="G2145" s="1"/>
  <c r="F2145"/>
  <c r="E2143"/>
  <c r="G2143" s="1"/>
  <c r="F2143"/>
  <c r="E2141"/>
  <c r="G2141" s="1"/>
  <c r="F2141"/>
  <c r="E2139"/>
  <c r="G2139" s="1"/>
  <c r="F2139"/>
  <c r="E2137"/>
  <c r="G2137" s="1"/>
  <c r="F2137"/>
  <c r="E2135"/>
  <c r="G2135" s="1"/>
  <c r="F2135"/>
  <c r="E2133"/>
  <c r="G2133" s="1"/>
  <c r="F2133"/>
  <c r="E2131"/>
  <c r="G2131" s="1"/>
  <c r="F2131"/>
  <c r="E2129"/>
  <c r="G2129" s="1"/>
  <c r="F2129"/>
  <c r="F2128"/>
  <c r="E2128"/>
  <c r="G2128" s="1"/>
  <c r="F2124"/>
  <c r="E2124"/>
  <c r="G2124" s="1"/>
  <c r="F2120"/>
  <c r="E2120"/>
  <c r="G2120" s="1"/>
  <c r="F2116"/>
  <c r="E2116"/>
  <c r="G2116" s="1"/>
  <c r="F2112"/>
  <c r="E2112"/>
  <c r="G2112" s="1"/>
  <c r="F2108"/>
  <c r="E2108"/>
  <c r="G2108" s="1"/>
  <c r="F2104"/>
  <c r="E2104"/>
  <c r="G2104" s="1"/>
  <c r="F2100"/>
  <c r="E2100"/>
  <c r="G2100" s="1"/>
  <c r="F2096"/>
  <c r="E2096"/>
  <c r="G2096" s="1"/>
  <c r="F2092"/>
  <c r="E2092"/>
  <c r="G2092" s="1"/>
  <c r="E2238"/>
  <c r="G2238" s="1"/>
  <c r="F2237"/>
  <c r="E2236"/>
  <c r="G2236" s="1"/>
  <c r="F2235"/>
  <c r="E2234"/>
  <c r="G2234" s="1"/>
  <c r="F2233"/>
  <c r="E2232"/>
  <c r="G2232" s="1"/>
  <c r="F2231"/>
  <c r="E2230"/>
  <c r="G2230" s="1"/>
  <c r="F2229"/>
  <c r="E2228"/>
  <c r="G2228" s="1"/>
  <c r="F2227"/>
  <c r="E2226"/>
  <c r="G2226" s="1"/>
  <c r="F2225"/>
  <c r="E2224"/>
  <c r="G2224" s="1"/>
  <c r="F2223"/>
  <c r="E2222"/>
  <c r="G2222" s="1"/>
  <c r="F2221"/>
  <c r="E2220"/>
  <c r="G2220" s="1"/>
  <c r="F2090"/>
  <c r="E2090"/>
  <c r="G2090" s="1"/>
  <c r="F2088"/>
  <c r="E2088"/>
  <c r="G2088" s="1"/>
  <c r="F2086"/>
  <c r="E2086"/>
  <c r="G2086" s="1"/>
  <c r="F2084"/>
  <c r="E2084"/>
  <c r="G2084" s="1"/>
  <c r="F2082"/>
  <c r="E2082"/>
  <c r="G2082" s="1"/>
  <c r="F2080"/>
  <c r="E2080"/>
  <c r="G2080" s="1"/>
  <c r="F2078"/>
  <c r="E2078"/>
  <c r="G2078" s="1"/>
  <c r="F2076"/>
  <c r="E2076"/>
  <c r="G2076" s="1"/>
  <c r="F2074"/>
  <c r="E2074"/>
  <c r="G2074" s="1"/>
  <c r="F2072"/>
  <c r="E2072"/>
  <c r="G2072" s="1"/>
  <c r="F2070"/>
  <c r="E2070"/>
  <c r="G2070" s="1"/>
  <c r="F2068"/>
  <c r="E2068"/>
  <c r="G2068" s="1"/>
  <c r="F2066"/>
  <c r="E2066"/>
  <c r="G2066" s="1"/>
  <c r="F2064"/>
  <c r="E2064"/>
  <c r="G2064" s="1"/>
  <c r="F2062"/>
  <c r="E2062"/>
  <c r="G2062" s="1"/>
  <c r="F2060"/>
  <c r="E2060"/>
  <c r="G2060" s="1"/>
  <c r="F2058"/>
  <c r="E2058"/>
  <c r="G2058" s="1"/>
  <c r="F2056"/>
  <c r="E2056"/>
  <c r="G2056" s="1"/>
  <c r="F2054"/>
  <c r="E2054"/>
  <c r="G2054" s="1"/>
  <c r="F2052"/>
  <c r="E2052"/>
  <c r="G2052" s="1"/>
  <c r="F2050"/>
  <c r="E2050"/>
  <c r="G2050" s="1"/>
  <c r="F2048"/>
  <c r="E2048"/>
  <c r="G2048" s="1"/>
  <c r="F2046"/>
  <c r="E2046"/>
  <c r="G2046" s="1"/>
  <c r="F2044"/>
  <c r="E2044"/>
  <c r="G2044" s="1"/>
  <c r="F2042"/>
  <c r="E2042"/>
  <c r="G2042" s="1"/>
  <c r="F2040"/>
  <c r="E2040"/>
  <c r="G2040" s="1"/>
  <c r="F2038"/>
  <c r="E2038"/>
  <c r="G2038" s="1"/>
  <c r="F2036"/>
  <c r="E2036"/>
  <c r="G2036" s="1"/>
  <c r="F2034"/>
  <c r="E2034"/>
  <c r="G2034" s="1"/>
  <c r="F2032"/>
  <c r="E2032"/>
  <c r="G2032" s="1"/>
  <c r="F2030"/>
  <c r="E2030"/>
  <c r="G2030" s="1"/>
  <c r="F2028"/>
  <c r="E2028"/>
  <c r="G2028" s="1"/>
  <c r="F2026"/>
  <c r="E2026"/>
  <c r="G2026" s="1"/>
  <c r="F2024"/>
  <c r="E2024"/>
  <c r="G2024" s="1"/>
  <c r="F2022"/>
  <c r="E2022"/>
  <c r="G2022" s="1"/>
  <c r="F2020"/>
  <c r="E2020"/>
  <c r="G2020" s="1"/>
  <c r="F2018"/>
  <c r="E2018"/>
  <c r="G2018" s="1"/>
  <c r="F2016"/>
  <c r="E2016"/>
  <c r="G2016" s="1"/>
  <c r="F2014"/>
  <c r="E2014"/>
  <c r="G2014" s="1"/>
  <c r="F2012"/>
  <c r="E2012"/>
  <c r="G2012" s="1"/>
  <c r="F2010"/>
  <c r="E2010"/>
  <c r="G2010" s="1"/>
  <c r="F2008"/>
  <c r="E2008"/>
  <c r="G2008" s="1"/>
  <c r="F2006"/>
  <c r="E2006"/>
  <c r="G2006" s="1"/>
  <c r="F2004"/>
  <c r="E2004"/>
  <c r="G2004" s="1"/>
  <c r="F2002"/>
  <c r="E2002"/>
  <c r="G2002" s="1"/>
  <c r="F2000"/>
  <c r="E2000"/>
  <c r="G2000" s="1"/>
  <c r="F1998"/>
  <c r="E1998"/>
  <c r="G1998" s="1"/>
  <c r="F1996"/>
  <c r="E1996"/>
  <c r="G1996" s="1"/>
  <c r="F1994"/>
  <c r="E1994"/>
  <c r="G1994" s="1"/>
  <c r="F1992"/>
  <c r="E1992"/>
  <c r="G1992" s="1"/>
  <c r="F1990"/>
  <c r="E1990"/>
  <c r="G1990" s="1"/>
  <c r="F1988"/>
  <c r="E1988"/>
  <c r="G1988" s="1"/>
  <c r="F1986"/>
  <c r="E1986"/>
  <c r="G1986" s="1"/>
  <c r="F1984"/>
  <c r="E1984"/>
  <c r="G1984" s="1"/>
  <c r="F1982"/>
  <c r="E1982"/>
  <c r="G1982" s="1"/>
  <c r="F1980"/>
  <c r="E1980"/>
  <c r="G1980" s="1"/>
  <c r="F1978"/>
  <c r="E1978"/>
  <c r="G1978" s="1"/>
  <c r="F1976"/>
  <c r="E1976"/>
  <c r="G1976" s="1"/>
  <c r="F1974"/>
  <c r="E1974"/>
  <c r="G1974" s="1"/>
  <c r="F1972"/>
  <c r="E1972"/>
  <c r="G1972" s="1"/>
  <c r="F1970"/>
  <c r="E1970"/>
  <c r="G1970" s="1"/>
  <c r="F1968"/>
  <c r="E1968"/>
  <c r="G1968" s="1"/>
  <c r="F1966"/>
  <c r="E1966"/>
  <c r="G1966" s="1"/>
  <c r="F1964"/>
  <c r="E1964"/>
  <c r="G1964" s="1"/>
  <c r="F1962"/>
  <c r="E1962"/>
  <c r="G1962" s="1"/>
  <c r="F1960"/>
  <c r="E1960"/>
  <c r="G1960" s="1"/>
  <c r="F1958"/>
  <c r="E1958"/>
  <c r="G1958" s="1"/>
  <c r="F1956"/>
  <c r="E1956"/>
  <c r="G1956" s="1"/>
  <c r="F1954"/>
  <c r="E1954"/>
  <c r="G1954" s="1"/>
  <c r="F1952"/>
  <c r="E1952"/>
  <c r="G1952" s="1"/>
  <c r="F1950"/>
  <c r="E1950"/>
  <c r="G1950" s="1"/>
  <c r="F1948"/>
  <c r="E1948"/>
  <c r="G1948" s="1"/>
  <c r="F1946"/>
  <c r="E1946"/>
  <c r="G1946" s="1"/>
  <c r="F1944"/>
  <c r="E1944"/>
  <c r="G1944" s="1"/>
  <c r="F1942"/>
  <c r="E1942"/>
  <c r="G1942" s="1"/>
  <c r="F1940"/>
  <c r="E1940"/>
  <c r="G1940" s="1"/>
  <c r="F1938"/>
  <c r="E1938"/>
  <c r="G1938" s="1"/>
  <c r="F1936"/>
  <c r="E1936"/>
  <c r="G1936" s="1"/>
  <c r="F1934"/>
  <c r="E1934"/>
  <c r="G1934" s="1"/>
  <c r="F1932"/>
  <c r="E1932"/>
  <c r="G1932" s="1"/>
  <c r="F1930"/>
  <c r="E1930"/>
  <c r="G1930" s="1"/>
  <c r="F1928"/>
  <c r="E1928"/>
  <c r="G1928" s="1"/>
  <c r="F1926"/>
  <c r="E1926"/>
  <c r="G1926" s="1"/>
  <c r="F1924"/>
  <c r="E1924"/>
  <c r="G1924" s="1"/>
  <c r="F1922"/>
  <c r="E1922"/>
  <c r="G1922" s="1"/>
  <c r="F1920"/>
  <c r="E1920"/>
  <c r="G1920" s="1"/>
  <c r="F1918"/>
  <c r="E1918"/>
  <c r="G1918" s="1"/>
  <c r="F1916"/>
  <c r="E1916"/>
  <c r="G1916" s="1"/>
  <c r="F1914"/>
  <c r="E1914"/>
  <c r="G1914" s="1"/>
  <c r="F1912"/>
  <c r="E1912"/>
  <c r="G1912" s="1"/>
  <c r="F1910"/>
  <c r="E1910"/>
  <c r="G1910" s="1"/>
  <c r="F1908"/>
  <c r="E1908"/>
  <c r="G1908" s="1"/>
  <c r="F1906"/>
  <c r="E1906"/>
  <c r="G1906" s="1"/>
  <c r="F1904"/>
  <c r="E1904"/>
  <c r="G1904" s="1"/>
  <c r="F1902"/>
  <c r="E1902"/>
  <c r="G1902" s="1"/>
  <c r="F1900"/>
  <c r="E1900"/>
  <c r="G1900" s="1"/>
  <c r="F1898"/>
  <c r="E1898"/>
  <c r="G1898" s="1"/>
  <c r="F1896"/>
  <c r="E1896"/>
  <c r="G1896" s="1"/>
  <c r="F1894"/>
  <c r="E1894"/>
  <c r="G1894" s="1"/>
  <c r="F1892"/>
  <c r="E1892"/>
  <c r="G1892" s="1"/>
  <c r="F1890"/>
  <c r="E1890"/>
  <c r="G1890" s="1"/>
  <c r="F1888"/>
  <c r="E1888"/>
  <c r="G1888" s="1"/>
  <c r="F1886"/>
  <c r="E1886"/>
  <c r="G1886" s="1"/>
  <c r="F1884"/>
  <c r="E1884"/>
  <c r="G1884" s="1"/>
  <c r="F1882"/>
  <c r="E1882"/>
  <c r="G1882" s="1"/>
  <c r="F1880"/>
  <c r="E1880"/>
  <c r="G1880" s="1"/>
  <c r="F1878"/>
  <c r="E1878"/>
  <c r="G1878" s="1"/>
  <c r="F1876"/>
  <c r="E1876"/>
  <c r="G1876" s="1"/>
  <c r="F1874"/>
  <c r="E1874"/>
  <c r="G1874" s="1"/>
  <c r="F1872"/>
  <c r="E1872"/>
  <c r="G1872" s="1"/>
  <c r="F1870"/>
  <c r="E1870"/>
  <c r="G1870" s="1"/>
  <c r="F1868"/>
  <c r="E1868"/>
  <c r="G1868" s="1"/>
  <c r="F1866"/>
  <c r="E1866"/>
  <c r="G1866" s="1"/>
  <c r="F1864"/>
  <c r="E1864"/>
  <c r="G1864" s="1"/>
  <c r="F1862"/>
  <c r="E1862"/>
  <c r="G1862" s="1"/>
  <c r="F1860"/>
  <c r="E1860"/>
  <c r="G1860" s="1"/>
  <c r="F1858"/>
  <c r="E1858"/>
  <c r="G1858" s="1"/>
  <c r="F1856"/>
  <c r="E1856"/>
  <c r="G1856" s="1"/>
  <c r="F1854"/>
  <c r="E1854"/>
  <c r="G1854" s="1"/>
  <c r="F1852"/>
  <c r="E1852"/>
  <c r="G1852" s="1"/>
  <c r="F1850"/>
  <c r="E1850"/>
  <c r="G1850" s="1"/>
  <c r="F1848"/>
  <c r="E1848"/>
  <c r="G1848" s="1"/>
  <c r="F1846"/>
  <c r="E1846"/>
  <c r="G1846" s="1"/>
  <c r="F1844"/>
  <c r="E1844"/>
  <c r="G1844" s="1"/>
  <c r="F1842"/>
  <c r="E1842"/>
  <c r="G1842" s="1"/>
  <c r="F1840"/>
  <c r="E1840"/>
  <c r="G1840" s="1"/>
  <c r="F1838"/>
  <c r="E1838"/>
  <c r="G1838" s="1"/>
  <c r="F1836"/>
  <c r="E1836"/>
  <c r="G1836" s="1"/>
  <c r="F1834"/>
  <c r="E1834"/>
  <c r="G1834" s="1"/>
  <c r="F1832"/>
  <c r="E1832"/>
  <c r="G1832" s="1"/>
  <c r="F1830"/>
  <c r="E1830"/>
  <c r="G1830" s="1"/>
  <c r="F1828"/>
  <c r="E1828"/>
  <c r="G1828" s="1"/>
  <c r="F1826"/>
  <c r="E1826"/>
  <c r="G1826" s="1"/>
  <c r="F1824"/>
  <c r="E1824"/>
  <c r="G1824" s="1"/>
  <c r="F1822"/>
  <c r="E1822"/>
  <c r="G1822" s="1"/>
  <c r="F1820"/>
  <c r="E1820"/>
  <c r="G1820" s="1"/>
  <c r="F1818"/>
  <c r="E1818"/>
  <c r="G1818" s="1"/>
  <c r="F1816"/>
  <c r="E1816"/>
  <c r="G1816" s="1"/>
  <c r="F1814"/>
  <c r="E1814"/>
  <c r="G1814" s="1"/>
  <c r="F1812"/>
  <c r="E1812"/>
  <c r="G1812" s="1"/>
  <c r="F1810"/>
  <c r="E1810"/>
  <c r="G1810" s="1"/>
  <c r="F1808"/>
  <c r="E1808"/>
  <c r="G1808" s="1"/>
  <c r="F1806"/>
  <c r="E1806"/>
  <c r="G1806" s="1"/>
  <c r="F1804"/>
  <c r="E1804"/>
  <c r="G1804" s="1"/>
  <c r="F1802"/>
  <c r="E1802"/>
  <c r="G1802" s="1"/>
  <c r="F1800"/>
  <c r="E1800"/>
  <c r="G1800" s="1"/>
  <c r="F1798"/>
  <c r="E1798"/>
  <c r="G1798" s="1"/>
  <c r="F1796"/>
  <c r="E1796"/>
  <c r="G1796" s="1"/>
  <c r="F1794"/>
  <c r="E1794"/>
  <c r="G1794" s="1"/>
  <c r="F1792"/>
  <c r="E1792"/>
  <c r="G1792" s="1"/>
  <c r="F1790"/>
  <c r="E1790"/>
  <c r="G1790" s="1"/>
  <c r="F1788"/>
  <c r="E1788"/>
  <c r="G1788" s="1"/>
  <c r="F1786"/>
  <c r="E1786"/>
  <c r="G1786" s="1"/>
  <c r="F1784"/>
  <c r="E1784"/>
  <c r="G1784" s="1"/>
  <c r="F1782"/>
  <c r="E1782"/>
  <c r="G1782" s="1"/>
  <c r="F1780"/>
  <c r="E1780"/>
  <c r="G1780" s="1"/>
  <c r="F1778"/>
  <c r="E1778"/>
  <c r="G1778" s="1"/>
  <c r="F1776"/>
  <c r="E1776"/>
  <c r="G1776" s="1"/>
  <c r="F1774"/>
  <c r="E1774"/>
  <c r="G1774" s="1"/>
  <c r="F1772"/>
  <c r="E1772"/>
  <c r="G1772" s="1"/>
  <c r="F1770"/>
  <c r="E1770"/>
  <c r="G1770" s="1"/>
  <c r="F1768"/>
  <c r="E1768"/>
  <c r="G1768" s="1"/>
  <c r="F1766"/>
  <c r="E1766"/>
  <c r="G1766" s="1"/>
  <c r="F1764"/>
  <c r="E1764"/>
  <c r="G1764" s="1"/>
  <c r="F1762"/>
  <c r="E1762"/>
  <c r="G1762" s="1"/>
  <c r="F1760"/>
  <c r="E1760"/>
  <c r="G1760" s="1"/>
  <c r="F1758"/>
  <c r="E1758"/>
  <c r="G1758" s="1"/>
  <c r="F1756"/>
  <c r="E1756"/>
  <c r="G1756" s="1"/>
  <c r="F1754"/>
  <c r="E1754"/>
  <c r="G1754" s="1"/>
  <c r="F1752"/>
  <c r="E1752"/>
  <c r="G1752" s="1"/>
  <c r="F1750"/>
  <c r="E1750"/>
  <c r="G1750" s="1"/>
  <c r="F1748"/>
  <c r="E1748"/>
  <c r="G1748" s="1"/>
  <c r="F1746"/>
  <c r="E1746"/>
  <c r="G1746" s="1"/>
  <c r="F1744"/>
  <c r="E1744"/>
  <c r="G1744" s="1"/>
  <c r="F1742"/>
  <c r="E1742"/>
  <c r="G1742" s="1"/>
  <c r="F1740"/>
  <c r="E1740"/>
  <c r="G1740" s="1"/>
  <c r="F1738"/>
  <c r="E1738"/>
  <c r="G1738" s="1"/>
  <c r="F1736"/>
  <c r="E1736"/>
  <c r="G1736" s="1"/>
  <c r="F1734"/>
  <c r="E1734"/>
  <c r="G1734" s="1"/>
  <c r="F1732"/>
  <c r="E1732"/>
  <c r="G1732" s="1"/>
  <c r="F1730"/>
  <c r="E1730"/>
  <c r="G1730" s="1"/>
  <c r="F1728"/>
  <c r="E1728"/>
  <c r="G1728" s="1"/>
  <c r="F1726"/>
  <c r="E1726"/>
  <c r="G1726" s="1"/>
  <c r="F1724"/>
  <c r="E1724"/>
  <c r="G1724" s="1"/>
  <c r="F1722"/>
  <c r="E1722"/>
  <c r="G1722" s="1"/>
  <c r="F1720"/>
  <c r="E1720"/>
  <c r="G1720" s="1"/>
  <c r="F1718"/>
  <c r="E1718"/>
  <c r="G1718" s="1"/>
  <c r="F1716"/>
  <c r="E1716"/>
  <c r="G1716" s="1"/>
  <c r="F1714"/>
  <c r="E1714"/>
  <c r="G1714" s="1"/>
  <c r="F1712"/>
  <c r="E1712"/>
  <c r="G1712" s="1"/>
  <c r="F1710"/>
  <c r="E1710"/>
  <c r="G1710" s="1"/>
  <c r="F1708"/>
  <c r="E1708"/>
  <c r="G1708" s="1"/>
  <c r="F1706"/>
  <c r="E1706"/>
  <c r="G1706" s="1"/>
  <c r="F1704"/>
  <c r="E1704"/>
  <c r="G1704" s="1"/>
  <c r="F1702"/>
  <c r="E1702"/>
  <c r="G1702" s="1"/>
  <c r="E1700"/>
  <c r="G1700" s="1"/>
  <c r="F1700"/>
  <c r="E1698"/>
  <c r="G1698" s="1"/>
  <c r="F1698"/>
  <c r="E1696"/>
  <c r="G1696" s="1"/>
  <c r="F1696"/>
  <c r="E1694"/>
  <c r="G1694" s="1"/>
  <c r="F1694"/>
  <c r="E1692"/>
  <c r="G1692" s="1"/>
  <c r="F1692"/>
  <c r="E1690"/>
  <c r="G1690" s="1"/>
  <c r="F1690"/>
  <c r="E1688"/>
  <c r="G1688" s="1"/>
  <c r="F1688"/>
  <c r="E1686"/>
  <c r="G1686" s="1"/>
  <c r="F1686"/>
  <c r="E1684"/>
  <c r="G1684" s="1"/>
  <c r="F1684"/>
  <c r="E1682"/>
  <c r="G1682" s="1"/>
  <c r="F1682"/>
  <c r="E1680"/>
  <c r="G1680" s="1"/>
  <c r="F1680"/>
  <c r="E1678"/>
  <c r="G1678" s="1"/>
  <c r="F1678"/>
  <c r="E1676"/>
  <c r="G1676" s="1"/>
  <c r="F1676"/>
  <c r="E1674"/>
  <c r="G1674" s="1"/>
  <c r="F1674"/>
  <c r="E1672"/>
  <c r="G1672" s="1"/>
  <c r="F1672"/>
  <c r="E1670"/>
  <c r="G1670" s="1"/>
  <c r="F1670"/>
  <c r="E1668"/>
  <c r="G1668" s="1"/>
  <c r="F1668"/>
  <c r="E1666"/>
  <c r="G1666" s="1"/>
  <c r="F1666"/>
  <c r="E1664"/>
  <c r="G1664" s="1"/>
  <c r="F1664"/>
  <c r="E1662"/>
  <c r="G1662" s="1"/>
  <c r="F1662"/>
  <c r="E1660"/>
  <c r="G1660" s="1"/>
  <c r="F1660"/>
  <c r="E1658"/>
  <c r="G1658" s="1"/>
  <c r="F1658"/>
  <c r="E1656"/>
  <c r="G1656" s="1"/>
  <c r="F1656"/>
  <c r="E1654"/>
  <c r="G1654" s="1"/>
  <c r="F1654"/>
  <c r="E1652"/>
  <c r="G1652" s="1"/>
  <c r="F1652"/>
  <c r="E1650"/>
  <c r="G1650" s="1"/>
  <c r="F1650"/>
  <c r="E1648"/>
  <c r="G1648" s="1"/>
  <c r="F1648"/>
  <c r="E1646"/>
  <c r="G1646" s="1"/>
  <c r="F1646"/>
  <c r="E1644"/>
  <c r="G1644" s="1"/>
  <c r="F1644"/>
  <c r="E1642"/>
  <c r="G1642" s="1"/>
  <c r="F1642"/>
  <c r="E1640"/>
  <c r="G1640" s="1"/>
  <c r="F1640"/>
  <c r="E1638"/>
  <c r="G1638" s="1"/>
  <c r="F1638"/>
  <c r="E1636"/>
  <c r="G1636" s="1"/>
  <c r="F1636"/>
  <c r="E1634"/>
  <c r="G1634" s="1"/>
  <c r="F1634"/>
  <c r="E1632"/>
  <c r="G1632" s="1"/>
  <c r="F1632"/>
  <c r="E1630"/>
  <c r="G1630" s="1"/>
  <c r="F1630"/>
  <c r="E1628"/>
  <c r="G1628" s="1"/>
  <c r="F1628"/>
  <c r="E1626"/>
  <c r="G1626" s="1"/>
  <c r="F1626"/>
  <c r="E1624"/>
  <c r="G1624" s="1"/>
  <c r="F1624"/>
  <c r="E1622"/>
  <c r="G1622" s="1"/>
  <c r="F1622"/>
  <c r="E1620"/>
  <c r="G1620" s="1"/>
  <c r="F1620"/>
  <c r="E1618"/>
  <c r="G1618" s="1"/>
  <c r="F1618"/>
  <c r="E1616"/>
  <c r="G1616" s="1"/>
  <c r="F1616"/>
  <c r="E1614"/>
  <c r="G1614" s="1"/>
  <c r="F1614"/>
  <c r="E1612"/>
  <c r="G1612" s="1"/>
  <c r="F1612"/>
  <c r="E1610"/>
  <c r="G1610" s="1"/>
  <c r="F1610"/>
  <c r="E1608"/>
  <c r="G1608" s="1"/>
  <c r="F1608"/>
  <c r="E1606"/>
  <c r="G1606" s="1"/>
  <c r="F1606"/>
  <c r="E1604"/>
  <c r="G1604" s="1"/>
  <c r="F1604"/>
  <c r="E1602"/>
  <c r="G1602" s="1"/>
  <c r="F1602"/>
  <c r="E1600"/>
  <c r="G1600" s="1"/>
  <c r="F1600"/>
  <c r="E1598"/>
  <c r="G1598" s="1"/>
  <c r="F1598"/>
  <c r="E1596"/>
  <c r="G1596" s="1"/>
  <c r="F1596"/>
  <c r="E1594"/>
  <c r="G1594" s="1"/>
  <c r="F1594"/>
  <c r="E1592"/>
  <c r="G1592" s="1"/>
  <c r="F1592"/>
  <c r="E1590"/>
  <c r="G1590" s="1"/>
  <c r="F1590"/>
  <c r="E1588"/>
  <c r="G1588" s="1"/>
  <c r="F1588"/>
  <c r="E1586"/>
  <c r="G1586" s="1"/>
  <c r="F1586"/>
  <c r="E1584"/>
  <c r="G1584" s="1"/>
  <c r="F1584"/>
  <c r="E1582"/>
  <c r="G1582" s="1"/>
  <c r="F1582"/>
  <c r="E1580"/>
  <c r="G1580" s="1"/>
  <c r="F1580"/>
  <c r="E2127"/>
  <c r="G2127" s="1"/>
  <c r="F2127"/>
  <c r="E2125"/>
  <c r="G2125" s="1"/>
  <c r="F2125"/>
  <c r="E2123"/>
  <c r="G2123" s="1"/>
  <c r="F2123"/>
  <c r="E2121"/>
  <c r="G2121" s="1"/>
  <c r="F2121"/>
  <c r="E2119"/>
  <c r="G2119" s="1"/>
  <c r="F2119"/>
  <c r="E2117"/>
  <c r="G2117" s="1"/>
  <c r="F2117"/>
  <c r="E2115"/>
  <c r="G2115" s="1"/>
  <c r="F2115"/>
  <c r="E2113"/>
  <c r="G2113" s="1"/>
  <c r="F2113"/>
  <c r="E2111"/>
  <c r="G2111" s="1"/>
  <c r="F2111"/>
  <c r="E2109"/>
  <c r="G2109" s="1"/>
  <c r="F2109"/>
  <c r="E2107"/>
  <c r="G2107" s="1"/>
  <c r="F2107"/>
  <c r="E2105"/>
  <c r="G2105" s="1"/>
  <c r="F2105"/>
  <c r="E2103"/>
  <c r="G2103" s="1"/>
  <c r="F2103"/>
  <c r="E2101"/>
  <c r="G2101" s="1"/>
  <c r="F2101"/>
  <c r="E2099"/>
  <c r="G2099" s="1"/>
  <c r="F2099"/>
  <c r="E2097"/>
  <c r="G2097" s="1"/>
  <c r="F2097"/>
  <c r="E2095"/>
  <c r="G2095" s="1"/>
  <c r="F2095"/>
  <c r="E2093"/>
  <c r="G2093" s="1"/>
  <c r="F2093"/>
  <c r="E2091"/>
  <c r="G2091" s="1"/>
  <c r="F2091"/>
  <c r="E2089"/>
  <c r="G2089" s="1"/>
  <c r="F2089"/>
  <c r="E2087"/>
  <c r="G2087" s="1"/>
  <c r="F2087"/>
  <c r="E2085"/>
  <c r="G2085" s="1"/>
  <c r="F2085"/>
  <c r="E2083"/>
  <c r="G2083" s="1"/>
  <c r="F2083"/>
  <c r="E2081"/>
  <c r="G2081" s="1"/>
  <c r="F2081"/>
  <c r="E2079"/>
  <c r="G2079" s="1"/>
  <c r="F2079"/>
  <c r="E2077"/>
  <c r="G2077" s="1"/>
  <c r="F2077"/>
  <c r="E2075"/>
  <c r="G2075" s="1"/>
  <c r="F2075"/>
  <c r="E2073"/>
  <c r="G2073" s="1"/>
  <c r="F2073"/>
  <c r="E2071"/>
  <c r="G2071" s="1"/>
  <c r="F2071"/>
  <c r="E2069"/>
  <c r="G2069" s="1"/>
  <c r="F2069"/>
  <c r="E2067"/>
  <c r="G2067" s="1"/>
  <c r="F2067"/>
  <c r="E2065"/>
  <c r="G2065" s="1"/>
  <c r="F2065"/>
  <c r="E2063"/>
  <c r="G2063" s="1"/>
  <c r="F2063"/>
  <c r="E2061"/>
  <c r="G2061" s="1"/>
  <c r="F2061"/>
  <c r="E2059"/>
  <c r="G2059" s="1"/>
  <c r="F2059"/>
  <c r="E2057"/>
  <c r="G2057" s="1"/>
  <c r="F2057"/>
  <c r="E2055"/>
  <c r="G2055" s="1"/>
  <c r="F2055"/>
  <c r="E2053"/>
  <c r="G2053" s="1"/>
  <c r="F2053"/>
  <c r="E2051"/>
  <c r="G2051" s="1"/>
  <c r="F2051"/>
  <c r="E2049"/>
  <c r="G2049" s="1"/>
  <c r="F2049"/>
  <c r="E2047"/>
  <c r="G2047" s="1"/>
  <c r="F2047"/>
  <c r="E2045"/>
  <c r="G2045" s="1"/>
  <c r="F2045"/>
  <c r="E2043"/>
  <c r="G2043" s="1"/>
  <c r="F2043"/>
  <c r="E2041"/>
  <c r="G2041" s="1"/>
  <c r="F2041"/>
  <c r="E2039"/>
  <c r="G2039" s="1"/>
  <c r="F2039"/>
  <c r="E2037"/>
  <c r="G2037" s="1"/>
  <c r="F2037"/>
  <c r="E2035"/>
  <c r="G2035" s="1"/>
  <c r="F2035"/>
  <c r="E2033"/>
  <c r="G2033" s="1"/>
  <c r="F2033"/>
  <c r="E2031"/>
  <c r="G2031" s="1"/>
  <c r="F2031"/>
  <c r="E2029"/>
  <c r="G2029" s="1"/>
  <c r="F2029"/>
  <c r="E2027"/>
  <c r="G2027" s="1"/>
  <c r="F2027"/>
  <c r="E2025"/>
  <c r="G2025" s="1"/>
  <c r="F2025"/>
  <c r="E2023"/>
  <c r="G2023" s="1"/>
  <c r="F2023"/>
  <c r="E2021"/>
  <c r="G2021" s="1"/>
  <c r="F2021"/>
  <c r="E2019"/>
  <c r="G2019" s="1"/>
  <c r="F2019"/>
  <c r="E2017"/>
  <c r="G2017" s="1"/>
  <c r="F2017"/>
  <c r="E2015"/>
  <c r="G2015" s="1"/>
  <c r="F2015"/>
  <c r="E2013"/>
  <c r="G2013" s="1"/>
  <c r="F2013"/>
  <c r="E2011"/>
  <c r="G2011" s="1"/>
  <c r="F2011"/>
  <c r="E2009"/>
  <c r="G2009" s="1"/>
  <c r="F2009"/>
  <c r="E2007"/>
  <c r="G2007" s="1"/>
  <c r="F2007"/>
  <c r="E2005"/>
  <c r="G2005" s="1"/>
  <c r="F2005"/>
  <c r="E2003"/>
  <c r="G2003" s="1"/>
  <c r="F2003"/>
  <c r="E2001"/>
  <c r="G2001" s="1"/>
  <c r="F2001"/>
  <c r="E1999"/>
  <c r="G1999" s="1"/>
  <c r="F1999"/>
  <c r="E1997"/>
  <c r="G1997" s="1"/>
  <c r="F1997"/>
  <c r="E1995"/>
  <c r="G1995" s="1"/>
  <c r="F1995"/>
  <c r="E1993"/>
  <c r="G1993" s="1"/>
  <c r="F1993"/>
  <c r="E1991"/>
  <c r="G1991" s="1"/>
  <c r="F1991"/>
  <c r="E1989"/>
  <c r="G1989" s="1"/>
  <c r="F1989"/>
  <c r="E1987"/>
  <c r="G1987" s="1"/>
  <c r="F1987"/>
  <c r="E1985"/>
  <c r="G1985" s="1"/>
  <c r="F1985"/>
  <c r="E1983"/>
  <c r="G1983" s="1"/>
  <c r="F1983"/>
  <c r="E1981"/>
  <c r="G1981" s="1"/>
  <c r="F1981"/>
  <c r="E1979"/>
  <c r="G1979" s="1"/>
  <c r="F1979"/>
  <c r="E1977"/>
  <c r="G1977" s="1"/>
  <c r="F1977"/>
  <c r="E1975"/>
  <c r="G1975" s="1"/>
  <c r="F1975"/>
  <c r="E1973"/>
  <c r="G1973" s="1"/>
  <c r="F1973"/>
  <c r="E1971"/>
  <c r="G1971" s="1"/>
  <c r="F1971"/>
  <c r="E1969"/>
  <c r="G1969" s="1"/>
  <c r="F1969"/>
  <c r="E1967"/>
  <c r="G1967" s="1"/>
  <c r="F1967"/>
  <c r="E1965"/>
  <c r="G1965" s="1"/>
  <c r="F1965"/>
  <c r="E1963"/>
  <c r="G1963" s="1"/>
  <c r="F1963"/>
  <c r="E1961"/>
  <c r="G1961" s="1"/>
  <c r="F1961"/>
  <c r="E1959"/>
  <c r="G1959" s="1"/>
  <c r="F1959"/>
  <c r="E1957"/>
  <c r="G1957" s="1"/>
  <c r="F1957"/>
  <c r="E1955"/>
  <c r="G1955" s="1"/>
  <c r="F1955"/>
  <c r="E1953"/>
  <c r="G1953" s="1"/>
  <c r="F1953"/>
  <c r="E1951"/>
  <c r="G1951" s="1"/>
  <c r="F1951"/>
  <c r="E1949"/>
  <c r="G1949" s="1"/>
  <c r="F1949"/>
  <c r="E1947"/>
  <c r="G1947" s="1"/>
  <c r="F1947"/>
  <c r="E1945"/>
  <c r="G1945" s="1"/>
  <c r="F1945"/>
  <c r="E1943"/>
  <c r="G1943" s="1"/>
  <c r="F1943"/>
  <c r="E1941"/>
  <c r="G1941" s="1"/>
  <c r="F1941"/>
  <c r="E1939"/>
  <c r="G1939" s="1"/>
  <c r="F1939"/>
  <c r="E1937"/>
  <c r="G1937" s="1"/>
  <c r="F1937"/>
  <c r="E1935"/>
  <c r="G1935" s="1"/>
  <c r="F1935"/>
  <c r="E1933"/>
  <c r="G1933" s="1"/>
  <c r="F1933"/>
  <c r="E1931"/>
  <c r="G1931" s="1"/>
  <c r="F1931"/>
  <c r="E1929"/>
  <c r="G1929" s="1"/>
  <c r="F1929"/>
  <c r="E1927"/>
  <c r="G1927" s="1"/>
  <c r="F1927"/>
  <c r="E1925"/>
  <c r="G1925" s="1"/>
  <c r="F1925"/>
  <c r="E1923"/>
  <c r="G1923" s="1"/>
  <c r="F1923"/>
  <c r="E1921"/>
  <c r="G1921" s="1"/>
  <c r="F1921"/>
  <c r="E1919"/>
  <c r="G1919" s="1"/>
  <c r="F1919"/>
  <c r="E1917"/>
  <c r="G1917" s="1"/>
  <c r="F1917"/>
  <c r="E1915"/>
  <c r="G1915" s="1"/>
  <c r="F1915"/>
  <c r="E1913"/>
  <c r="G1913" s="1"/>
  <c r="F1913"/>
  <c r="E1911"/>
  <c r="G1911" s="1"/>
  <c r="F1911"/>
  <c r="E1909"/>
  <c r="G1909" s="1"/>
  <c r="F1909"/>
  <c r="E1907"/>
  <c r="G1907" s="1"/>
  <c r="F1907"/>
  <c r="E1905"/>
  <c r="G1905" s="1"/>
  <c r="F1905"/>
  <c r="E1903"/>
  <c r="G1903" s="1"/>
  <c r="F1903"/>
  <c r="E1901"/>
  <c r="G1901" s="1"/>
  <c r="F1901"/>
  <c r="E1899"/>
  <c r="G1899" s="1"/>
  <c r="F1899"/>
  <c r="E1897"/>
  <c r="G1897" s="1"/>
  <c r="F1897"/>
  <c r="E1895"/>
  <c r="G1895" s="1"/>
  <c r="F1895"/>
  <c r="E1893"/>
  <c r="G1893" s="1"/>
  <c r="F1893"/>
  <c r="E1891"/>
  <c r="G1891" s="1"/>
  <c r="F1891"/>
  <c r="E1889"/>
  <c r="G1889" s="1"/>
  <c r="F1889"/>
  <c r="E1887"/>
  <c r="G1887" s="1"/>
  <c r="F1887"/>
  <c r="E1885"/>
  <c r="G1885" s="1"/>
  <c r="F1885"/>
  <c r="E1883"/>
  <c r="G1883" s="1"/>
  <c r="F1883"/>
  <c r="E1881"/>
  <c r="G1881" s="1"/>
  <c r="F1881"/>
  <c r="E1879"/>
  <c r="G1879" s="1"/>
  <c r="F1879"/>
  <c r="E1877"/>
  <c r="G1877" s="1"/>
  <c r="F1877"/>
  <c r="E1875"/>
  <c r="G1875" s="1"/>
  <c r="F1875"/>
  <c r="E1873"/>
  <c r="G1873" s="1"/>
  <c r="F1873"/>
  <c r="E1871"/>
  <c r="G1871" s="1"/>
  <c r="F1871"/>
  <c r="E1869"/>
  <c r="G1869" s="1"/>
  <c r="F1869"/>
  <c r="E1867"/>
  <c r="G1867" s="1"/>
  <c r="F1867"/>
  <c r="E1865"/>
  <c r="G1865" s="1"/>
  <c r="F1865"/>
  <c r="E1863"/>
  <c r="G1863" s="1"/>
  <c r="F1863"/>
  <c r="E1861"/>
  <c r="G1861" s="1"/>
  <c r="F1861"/>
  <c r="E1859"/>
  <c r="G1859" s="1"/>
  <c r="F1859"/>
  <c r="E1857"/>
  <c r="G1857" s="1"/>
  <c r="F1857"/>
  <c r="E1855"/>
  <c r="G1855" s="1"/>
  <c r="F1855"/>
  <c r="E1853"/>
  <c r="G1853" s="1"/>
  <c r="F1853"/>
  <c r="E1851"/>
  <c r="G1851" s="1"/>
  <c r="F1851"/>
  <c r="E1849"/>
  <c r="G1849" s="1"/>
  <c r="F1849"/>
  <c r="E1847"/>
  <c r="G1847" s="1"/>
  <c r="F1847"/>
  <c r="E1845"/>
  <c r="G1845" s="1"/>
  <c r="F1845"/>
  <c r="E1843"/>
  <c r="G1843" s="1"/>
  <c r="F1843"/>
  <c r="E1841"/>
  <c r="G1841" s="1"/>
  <c r="F1841"/>
  <c r="E1839"/>
  <c r="G1839" s="1"/>
  <c r="F1839"/>
  <c r="E1837"/>
  <c r="G1837" s="1"/>
  <c r="F1837"/>
  <c r="E1835"/>
  <c r="G1835" s="1"/>
  <c r="F1835"/>
  <c r="E1833"/>
  <c r="G1833" s="1"/>
  <c r="F1833"/>
  <c r="E1831"/>
  <c r="G1831" s="1"/>
  <c r="F1831"/>
  <c r="E1829"/>
  <c r="G1829" s="1"/>
  <c r="F1829"/>
  <c r="E1827"/>
  <c r="G1827" s="1"/>
  <c r="F1827"/>
  <c r="E1825"/>
  <c r="G1825" s="1"/>
  <c r="F1825"/>
  <c r="E1823"/>
  <c r="G1823" s="1"/>
  <c r="F1823"/>
  <c r="E1821"/>
  <c r="G1821" s="1"/>
  <c r="F1821"/>
  <c r="E1819"/>
  <c r="G1819" s="1"/>
  <c r="F1819"/>
  <c r="E1817"/>
  <c r="G1817" s="1"/>
  <c r="F1817"/>
  <c r="E1815"/>
  <c r="G1815" s="1"/>
  <c r="F1815"/>
  <c r="E1813"/>
  <c r="G1813" s="1"/>
  <c r="F1813"/>
  <c r="E1811"/>
  <c r="G1811" s="1"/>
  <c r="F1811"/>
  <c r="E1809"/>
  <c r="G1809" s="1"/>
  <c r="F1809"/>
  <c r="E1807"/>
  <c r="G1807" s="1"/>
  <c r="F1807"/>
  <c r="E1805"/>
  <c r="G1805" s="1"/>
  <c r="F1805"/>
  <c r="E1803"/>
  <c r="G1803" s="1"/>
  <c r="F1803"/>
  <c r="E1801"/>
  <c r="G1801" s="1"/>
  <c r="F1801"/>
  <c r="E1799"/>
  <c r="G1799" s="1"/>
  <c r="F1799"/>
  <c r="E1797"/>
  <c r="G1797" s="1"/>
  <c r="F1797"/>
  <c r="E1795"/>
  <c r="G1795" s="1"/>
  <c r="F1795"/>
  <c r="E1793"/>
  <c r="G1793" s="1"/>
  <c r="F1793"/>
  <c r="E1791"/>
  <c r="G1791" s="1"/>
  <c r="F1791"/>
  <c r="E1789"/>
  <c r="G1789" s="1"/>
  <c r="F1789"/>
  <c r="E1787"/>
  <c r="G1787" s="1"/>
  <c r="F1787"/>
  <c r="E1785"/>
  <c r="G1785" s="1"/>
  <c r="F1785"/>
  <c r="E1783"/>
  <c r="G1783" s="1"/>
  <c r="F1783"/>
  <c r="E1781"/>
  <c r="G1781" s="1"/>
  <c r="F1781"/>
  <c r="E1779"/>
  <c r="G1779" s="1"/>
  <c r="F1779"/>
  <c r="E1777"/>
  <c r="G1777" s="1"/>
  <c r="F1777"/>
  <c r="E1775"/>
  <c r="G1775" s="1"/>
  <c r="F1775"/>
  <c r="E1773"/>
  <c r="G1773" s="1"/>
  <c r="F1773"/>
  <c r="E1771"/>
  <c r="G1771" s="1"/>
  <c r="F1771"/>
  <c r="E1769"/>
  <c r="G1769" s="1"/>
  <c r="F1769"/>
  <c r="E1767"/>
  <c r="G1767" s="1"/>
  <c r="F1767"/>
  <c r="E1765"/>
  <c r="G1765" s="1"/>
  <c r="F1765"/>
  <c r="E1763"/>
  <c r="G1763" s="1"/>
  <c r="F1763"/>
  <c r="E1761"/>
  <c r="G1761" s="1"/>
  <c r="F1761"/>
  <c r="E1759"/>
  <c r="G1759" s="1"/>
  <c r="F1759"/>
  <c r="E1757"/>
  <c r="G1757" s="1"/>
  <c r="F1757"/>
  <c r="E1755"/>
  <c r="G1755" s="1"/>
  <c r="F1755"/>
  <c r="E1753"/>
  <c r="G1753" s="1"/>
  <c r="F1753"/>
  <c r="E1751"/>
  <c r="G1751" s="1"/>
  <c r="F1751"/>
  <c r="E1749"/>
  <c r="G1749" s="1"/>
  <c r="F1749"/>
  <c r="E1747"/>
  <c r="G1747" s="1"/>
  <c r="F1747"/>
  <c r="E1745"/>
  <c r="G1745" s="1"/>
  <c r="F1745"/>
  <c r="E1743"/>
  <c r="G1743" s="1"/>
  <c r="F1743"/>
  <c r="E1741"/>
  <c r="G1741" s="1"/>
  <c r="F1741"/>
  <c r="E1739"/>
  <c r="G1739" s="1"/>
  <c r="F1739"/>
  <c r="E1737"/>
  <c r="G1737" s="1"/>
  <c r="F1737"/>
  <c r="E1735"/>
  <c r="G1735" s="1"/>
  <c r="F1735"/>
  <c r="E1733"/>
  <c r="G1733" s="1"/>
  <c r="F1733"/>
  <c r="E1731"/>
  <c r="G1731" s="1"/>
  <c r="F1731"/>
  <c r="E1729"/>
  <c r="G1729" s="1"/>
  <c r="F1729"/>
  <c r="E1727"/>
  <c r="G1727" s="1"/>
  <c r="F1727"/>
  <c r="E1725"/>
  <c r="G1725" s="1"/>
  <c r="F1725"/>
  <c r="E1723"/>
  <c r="G1723" s="1"/>
  <c r="F1723"/>
  <c r="E1721"/>
  <c r="G1721" s="1"/>
  <c r="F1721"/>
  <c r="E1719"/>
  <c r="G1719" s="1"/>
  <c r="F1719"/>
  <c r="E1717"/>
  <c r="G1717" s="1"/>
  <c r="F1717"/>
  <c r="E1715"/>
  <c r="G1715" s="1"/>
  <c r="F1715"/>
  <c r="E1713"/>
  <c r="G1713" s="1"/>
  <c r="F1713"/>
  <c r="E1711"/>
  <c r="G1711" s="1"/>
  <c r="F1711"/>
  <c r="E1709"/>
  <c r="G1709" s="1"/>
  <c r="F1709"/>
  <c r="E1707"/>
  <c r="G1707" s="1"/>
  <c r="F1707"/>
  <c r="E1705"/>
  <c r="G1705" s="1"/>
  <c r="F1705"/>
  <c r="E1703"/>
  <c r="G1703" s="1"/>
  <c r="F1703"/>
  <c r="E1578"/>
  <c r="G1578" s="1"/>
  <c r="F1578"/>
  <c r="E1576"/>
  <c r="G1576" s="1"/>
  <c r="F1576"/>
  <c r="E1574"/>
  <c r="G1574" s="1"/>
  <c r="F1574"/>
  <c r="E1572"/>
  <c r="G1572" s="1"/>
  <c r="F1572"/>
  <c r="E1570"/>
  <c r="G1570" s="1"/>
  <c r="F1570"/>
  <c r="E1568"/>
  <c r="G1568" s="1"/>
  <c r="F1568"/>
  <c r="E1566"/>
  <c r="G1566" s="1"/>
  <c r="F1566"/>
  <c r="E1564"/>
  <c r="G1564" s="1"/>
  <c r="F1564"/>
  <c r="E1562"/>
  <c r="G1562" s="1"/>
  <c r="F1562"/>
  <c r="E1560"/>
  <c r="G1560" s="1"/>
  <c r="F1560"/>
  <c r="E951"/>
  <c r="G951" s="1"/>
  <c r="F951"/>
  <c r="E949"/>
  <c r="G949" s="1"/>
  <c r="F949"/>
  <c r="E947"/>
  <c r="G947" s="1"/>
  <c r="F947"/>
  <c r="E945"/>
  <c r="G945" s="1"/>
  <c r="F945"/>
  <c r="E943"/>
  <c r="G943" s="1"/>
  <c r="F943"/>
  <c r="E941"/>
  <c r="G941" s="1"/>
  <c r="F941"/>
  <c r="E939"/>
  <c r="G939" s="1"/>
  <c r="F939"/>
  <c r="E937"/>
  <c r="G937" s="1"/>
  <c r="F937"/>
  <c r="E935"/>
  <c r="G935" s="1"/>
  <c r="F935"/>
  <c r="E933"/>
  <c r="G933" s="1"/>
  <c r="F933"/>
  <c r="E931"/>
  <c r="G931" s="1"/>
  <c r="F931"/>
  <c r="E929"/>
  <c r="G929" s="1"/>
  <c r="F929"/>
  <c r="E927"/>
  <c r="G927" s="1"/>
  <c r="F927"/>
  <c r="E925"/>
  <c r="G925" s="1"/>
  <c r="F925"/>
  <c r="E923"/>
  <c r="G923" s="1"/>
  <c r="F923"/>
  <c r="E921"/>
  <c r="G921" s="1"/>
  <c r="F921"/>
  <c r="E919"/>
  <c r="G919" s="1"/>
  <c r="F919"/>
  <c r="E917"/>
  <c r="G917" s="1"/>
  <c r="F917"/>
  <c r="E915"/>
  <c r="G915" s="1"/>
  <c r="F915"/>
  <c r="E913"/>
  <c r="G913" s="1"/>
  <c r="F913"/>
  <c r="E911"/>
  <c r="G911" s="1"/>
  <c r="F911"/>
  <c r="E909"/>
  <c r="G909" s="1"/>
  <c r="F909"/>
  <c r="E907"/>
  <c r="G907" s="1"/>
  <c r="F907"/>
  <c r="E905"/>
  <c r="G905" s="1"/>
  <c r="F905"/>
  <c r="E903"/>
  <c r="G903" s="1"/>
  <c r="F903"/>
  <c r="E901"/>
  <c r="G901" s="1"/>
  <c r="F901"/>
  <c r="E899"/>
  <c r="G899" s="1"/>
  <c r="F899"/>
  <c r="E897"/>
  <c r="G897" s="1"/>
  <c r="F897"/>
  <c r="E895"/>
  <c r="G895" s="1"/>
  <c r="F895"/>
  <c r="E893"/>
  <c r="G893" s="1"/>
  <c r="F893"/>
  <c r="E891"/>
  <c r="G891" s="1"/>
  <c r="F891"/>
  <c r="E889"/>
  <c r="G889" s="1"/>
  <c r="F889"/>
  <c r="E887"/>
  <c r="G887" s="1"/>
  <c r="F887"/>
  <c r="E885"/>
  <c r="G885" s="1"/>
  <c r="F885"/>
  <c r="E883"/>
  <c r="G883" s="1"/>
  <c r="F883"/>
  <c r="E881"/>
  <c r="G881" s="1"/>
  <c r="F881"/>
  <c r="E879"/>
  <c r="G879" s="1"/>
  <c r="F879"/>
  <c r="E877"/>
  <c r="G877" s="1"/>
  <c r="F877"/>
  <c r="E875"/>
  <c r="G875" s="1"/>
  <c r="F875"/>
  <c r="E873"/>
  <c r="G873" s="1"/>
  <c r="F873"/>
  <c r="E871"/>
  <c r="G871" s="1"/>
  <c r="F871"/>
  <c r="E869"/>
  <c r="G869" s="1"/>
  <c r="F869"/>
  <c r="E867"/>
  <c r="G867" s="1"/>
  <c r="F867"/>
  <c r="E865"/>
  <c r="G865" s="1"/>
  <c r="F865"/>
  <c r="E863"/>
  <c r="G863" s="1"/>
  <c r="F863"/>
  <c r="E861"/>
  <c r="G861" s="1"/>
  <c r="F861"/>
  <c r="E859"/>
  <c r="G859" s="1"/>
  <c r="F859"/>
  <c r="E857"/>
  <c r="G857" s="1"/>
  <c r="F857"/>
  <c r="E855"/>
  <c r="G855" s="1"/>
  <c r="F855"/>
  <c r="E853"/>
  <c r="G853" s="1"/>
  <c r="F853"/>
  <c r="E851"/>
  <c r="G851" s="1"/>
  <c r="F851"/>
  <c r="E849"/>
  <c r="G849" s="1"/>
  <c r="F849"/>
  <c r="E847"/>
  <c r="G847" s="1"/>
  <c r="F847"/>
  <c r="E845"/>
  <c r="G845" s="1"/>
  <c r="F845"/>
  <c r="E843"/>
  <c r="G843" s="1"/>
  <c r="F843"/>
  <c r="E841"/>
  <c r="G841" s="1"/>
  <c r="F841"/>
  <c r="E839"/>
  <c r="G839" s="1"/>
  <c r="F839"/>
  <c r="E837"/>
  <c r="G837" s="1"/>
  <c r="F837"/>
  <c r="E835"/>
  <c r="G835" s="1"/>
  <c r="F835"/>
  <c r="E833"/>
  <c r="G833" s="1"/>
  <c r="F833"/>
  <c r="E831"/>
  <c r="G831" s="1"/>
  <c r="F831"/>
  <c r="E829"/>
  <c r="G829" s="1"/>
  <c r="F829"/>
  <c r="E827"/>
  <c r="G827" s="1"/>
  <c r="F827"/>
  <c r="E825"/>
  <c r="G825" s="1"/>
  <c r="F825"/>
  <c r="E823"/>
  <c r="G823" s="1"/>
  <c r="F823"/>
  <c r="E821"/>
  <c r="G821" s="1"/>
  <c r="F821"/>
  <c r="E819"/>
  <c r="G819" s="1"/>
  <c r="F819"/>
  <c r="E817"/>
  <c r="G817" s="1"/>
  <c r="F817"/>
  <c r="E815"/>
  <c r="G815" s="1"/>
  <c r="F815"/>
  <c r="E813"/>
  <c r="G813" s="1"/>
  <c r="F813"/>
  <c r="E811"/>
  <c r="G811" s="1"/>
  <c r="F811"/>
  <c r="E809"/>
  <c r="G809" s="1"/>
  <c r="F809"/>
  <c r="E807"/>
  <c r="G807" s="1"/>
  <c r="F807"/>
  <c r="E805"/>
  <c r="G805" s="1"/>
  <c r="F805"/>
  <c r="E803"/>
  <c r="G803" s="1"/>
  <c r="F803"/>
  <c r="E801"/>
  <c r="G801" s="1"/>
  <c r="F801"/>
  <c r="E799"/>
  <c r="G799" s="1"/>
  <c r="F799"/>
  <c r="E797"/>
  <c r="G797" s="1"/>
  <c r="F797"/>
  <c r="E795"/>
  <c r="G795" s="1"/>
  <c r="F795"/>
  <c r="E793"/>
  <c r="G793" s="1"/>
  <c r="F793"/>
  <c r="E791"/>
  <c r="G791" s="1"/>
  <c r="F791"/>
  <c r="E789"/>
  <c r="G789" s="1"/>
  <c r="F789"/>
  <c r="E787"/>
  <c r="G787" s="1"/>
  <c r="F787"/>
  <c r="E785"/>
  <c r="G785" s="1"/>
  <c r="F785"/>
  <c r="E783"/>
  <c r="G783" s="1"/>
  <c r="F783"/>
  <c r="E781"/>
  <c r="G781" s="1"/>
  <c r="F781"/>
  <c r="E779"/>
  <c r="G779" s="1"/>
  <c r="F779"/>
  <c r="E777"/>
  <c r="G777" s="1"/>
  <c r="F777"/>
  <c r="E775"/>
  <c r="G775" s="1"/>
  <c r="F775"/>
  <c r="E773"/>
  <c r="G773" s="1"/>
  <c r="F773"/>
  <c r="E771"/>
  <c r="G771" s="1"/>
  <c r="F771"/>
  <c r="E769"/>
  <c r="G769" s="1"/>
  <c r="F769"/>
  <c r="E1558"/>
  <c r="G1558" s="1"/>
  <c r="F1557"/>
  <c r="E1556"/>
  <c r="G1556" s="1"/>
  <c r="F1555"/>
  <c r="E1554"/>
  <c r="G1554" s="1"/>
  <c r="F1553"/>
  <c r="E1552"/>
  <c r="G1552" s="1"/>
  <c r="F1551"/>
  <c r="E1550"/>
  <c r="G1550" s="1"/>
  <c r="F1549"/>
  <c r="E1548"/>
  <c r="G1548" s="1"/>
  <c r="F1547"/>
  <c r="E1546"/>
  <c r="G1546" s="1"/>
  <c r="F1545"/>
  <c r="E1544"/>
  <c r="G1544" s="1"/>
  <c r="F1543"/>
  <c r="E1542"/>
  <c r="G1542" s="1"/>
  <c r="F1541"/>
  <c r="E1540"/>
  <c r="G1540" s="1"/>
  <c r="F1539"/>
  <c r="E1538"/>
  <c r="G1538" s="1"/>
  <c r="F1537"/>
  <c r="E1536"/>
  <c r="G1536" s="1"/>
  <c r="F1535"/>
  <c r="E1534"/>
  <c r="G1534" s="1"/>
  <c r="F1533"/>
  <c r="E1532"/>
  <c r="G1532" s="1"/>
  <c r="F1531"/>
  <c r="E1530"/>
  <c r="G1530" s="1"/>
  <c r="F1529"/>
  <c r="E1528"/>
  <c r="G1528" s="1"/>
  <c r="F1527"/>
  <c r="E1526"/>
  <c r="G1526" s="1"/>
  <c r="F1525"/>
  <c r="E1524"/>
  <c r="G1524" s="1"/>
  <c r="F1523"/>
  <c r="E1522"/>
  <c r="G1522" s="1"/>
  <c r="F1521"/>
  <c r="E1520"/>
  <c r="G1520" s="1"/>
  <c r="F1519"/>
  <c r="E1518"/>
  <c r="G1518" s="1"/>
  <c r="F1517"/>
  <c r="E1516"/>
  <c r="G1516" s="1"/>
  <c r="F1515"/>
  <c r="E1514"/>
  <c r="G1514" s="1"/>
  <c r="F1513"/>
  <c r="E1512"/>
  <c r="G1512" s="1"/>
  <c r="F1511"/>
  <c r="E1510"/>
  <c r="G1510" s="1"/>
  <c r="F1509"/>
  <c r="E1508"/>
  <c r="G1508" s="1"/>
  <c r="F1507"/>
  <c r="E1506"/>
  <c r="G1506" s="1"/>
  <c r="F1505"/>
  <c r="E1504"/>
  <c r="G1504" s="1"/>
  <c r="F1503"/>
  <c r="E1502"/>
  <c r="G1502" s="1"/>
  <c r="F1501"/>
  <c r="E1500"/>
  <c r="G1500" s="1"/>
  <c r="F1499"/>
  <c r="E1498"/>
  <c r="G1498" s="1"/>
  <c r="F1497"/>
  <c r="E1496"/>
  <c r="G1496" s="1"/>
  <c r="F1495"/>
  <c r="E1494"/>
  <c r="G1494" s="1"/>
  <c r="F1493"/>
  <c r="E1492"/>
  <c r="G1492" s="1"/>
  <c r="F1491"/>
  <c r="E1490"/>
  <c r="G1490" s="1"/>
  <c r="F1489"/>
  <c r="E1488"/>
  <c r="G1488" s="1"/>
  <c r="F1487"/>
  <c r="E1486"/>
  <c r="G1486" s="1"/>
  <c r="F1485"/>
  <c r="E1484"/>
  <c r="G1484" s="1"/>
  <c r="F1483"/>
  <c r="E1482"/>
  <c r="G1482" s="1"/>
  <c r="F1481"/>
  <c r="E1480"/>
  <c r="G1480" s="1"/>
  <c r="F1479"/>
  <c r="E1478"/>
  <c r="G1478" s="1"/>
  <c r="F1477"/>
  <c r="E1476"/>
  <c r="G1476" s="1"/>
  <c r="F1475"/>
  <c r="E1474"/>
  <c r="G1474" s="1"/>
  <c r="F1473"/>
  <c r="E1472"/>
  <c r="G1472" s="1"/>
  <c r="F1471"/>
  <c r="E1470"/>
  <c r="G1470" s="1"/>
  <c r="F1469"/>
  <c r="E1468"/>
  <c r="G1468" s="1"/>
  <c r="F1467"/>
  <c r="E1466"/>
  <c r="G1466" s="1"/>
  <c r="F1465"/>
  <c r="E1464"/>
  <c r="G1464" s="1"/>
  <c r="F1463"/>
  <c r="E1462"/>
  <c r="G1462" s="1"/>
  <c r="F1461"/>
  <c r="E1460"/>
  <c r="G1460" s="1"/>
  <c r="F1459"/>
  <c r="E1458"/>
  <c r="G1458" s="1"/>
  <c r="F1457"/>
  <c r="E1456"/>
  <c r="G1456" s="1"/>
  <c r="F1455"/>
  <c r="E1454"/>
  <c r="G1454" s="1"/>
  <c r="F1453"/>
  <c r="E1452"/>
  <c r="G1452" s="1"/>
  <c r="F1451"/>
  <c r="E1450"/>
  <c r="G1450" s="1"/>
  <c r="F1449"/>
  <c r="E1448"/>
  <c r="G1448" s="1"/>
  <c r="F1447"/>
  <c r="E1446"/>
  <c r="G1446" s="1"/>
  <c r="F1445"/>
  <c r="E1444"/>
  <c r="G1444" s="1"/>
  <c r="F1443"/>
  <c r="E1442"/>
  <c r="G1442" s="1"/>
  <c r="F1441"/>
  <c r="E1440"/>
  <c r="G1440" s="1"/>
  <c r="F1439"/>
  <c r="E1438"/>
  <c r="G1438" s="1"/>
  <c r="F1437"/>
  <c r="E1436"/>
  <c r="G1436" s="1"/>
  <c r="F1435"/>
  <c r="E1434"/>
  <c r="G1434" s="1"/>
  <c r="F1433"/>
  <c r="E1432"/>
  <c r="G1432" s="1"/>
  <c r="F1431"/>
  <c r="E1430"/>
  <c r="G1430" s="1"/>
  <c r="F1429"/>
  <c r="E1428"/>
  <c r="G1428" s="1"/>
  <c r="F1427"/>
  <c r="E1426"/>
  <c r="G1426" s="1"/>
  <c r="F1425"/>
  <c r="E1424"/>
  <c r="G1424" s="1"/>
  <c r="F1423"/>
  <c r="E1422"/>
  <c r="G1422" s="1"/>
  <c r="F1421"/>
  <c r="E1420"/>
  <c r="G1420" s="1"/>
  <c r="F1419"/>
  <c r="E1418"/>
  <c r="G1418" s="1"/>
  <c r="F1417"/>
  <c r="E1416"/>
  <c r="G1416" s="1"/>
  <c r="F1415"/>
  <c r="E1414"/>
  <c r="G1414" s="1"/>
  <c r="F1413"/>
  <c r="E1412"/>
  <c r="G1412" s="1"/>
  <c r="F1411"/>
  <c r="E1410"/>
  <c r="G1410" s="1"/>
  <c r="F1409"/>
  <c r="E1408"/>
  <c r="G1408" s="1"/>
  <c r="F1407"/>
  <c r="E1406"/>
  <c r="G1406" s="1"/>
  <c r="F1405"/>
  <c r="E1404"/>
  <c r="G1404" s="1"/>
  <c r="F1403"/>
  <c r="E1402"/>
  <c r="G1402" s="1"/>
  <c r="F1401"/>
  <c r="E1400"/>
  <c r="G1400" s="1"/>
  <c r="F1399"/>
  <c r="E1398"/>
  <c r="G1398" s="1"/>
  <c r="F1397"/>
  <c r="E1396"/>
  <c r="G1396" s="1"/>
  <c r="F1395"/>
  <c r="E1394"/>
  <c r="G1394" s="1"/>
  <c r="F1393"/>
  <c r="E1392"/>
  <c r="G1392" s="1"/>
  <c r="F1391"/>
  <c r="E1390"/>
  <c r="G1390" s="1"/>
  <c r="F1389"/>
  <c r="E1388"/>
  <c r="G1388" s="1"/>
  <c r="F1387"/>
  <c r="E1386"/>
  <c r="G1386" s="1"/>
  <c r="F1385"/>
  <c r="E1384"/>
  <c r="G1384" s="1"/>
  <c r="F1383"/>
  <c r="E1382"/>
  <c r="G1382" s="1"/>
  <c r="F1381"/>
  <c r="E1380"/>
  <c r="G1380" s="1"/>
  <c r="F1379"/>
  <c r="E1378"/>
  <c r="G1378" s="1"/>
  <c r="F1377"/>
  <c r="E1376"/>
  <c r="G1376" s="1"/>
  <c r="F1375"/>
  <c r="E1374"/>
  <c r="G1374" s="1"/>
  <c r="F1373"/>
  <c r="E1372"/>
  <c r="G1372" s="1"/>
  <c r="F1371"/>
  <c r="E1370"/>
  <c r="G1370" s="1"/>
  <c r="F1369"/>
  <c r="E1368"/>
  <c r="G1368" s="1"/>
  <c r="F1367"/>
  <c r="E1366"/>
  <c r="G1366" s="1"/>
  <c r="F1365"/>
  <c r="E1364"/>
  <c r="G1364" s="1"/>
  <c r="F1363"/>
  <c r="E1362"/>
  <c r="G1362" s="1"/>
  <c r="F1361"/>
  <c r="E1360"/>
  <c r="G1360" s="1"/>
  <c r="F1359"/>
  <c r="E1358"/>
  <c r="G1358" s="1"/>
  <c r="F1357"/>
  <c r="E1356"/>
  <c r="G1356" s="1"/>
  <c r="F1355"/>
  <c r="E1354"/>
  <c r="G1354" s="1"/>
  <c r="F1353"/>
  <c r="E1352"/>
  <c r="G1352" s="1"/>
  <c r="F1351"/>
  <c r="E1350"/>
  <c r="G1350" s="1"/>
  <c r="F1349"/>
  <c r="E1348"/>
  <c r="G1348" s="1"/>
  <c r="F1347"/>
  <c r="E1346"/>
  <c r="G1346" s="1"/>
  <c r="F1345"/>
  <c r="E1344"/>
  <c r="G1344" s="1"/>
  <c r="F1343"/>
  <c r="E1342"/>
  <c r="G1342" s="1"/>
  <c r="F1341"/>
  <c r="E1340"/>
  <c r="G1340" s="1"/>
  <c r="F1339"/>
  <c r="E1338"/>
  <c r="G1338" s="1"/>
  <c r="F1337"/>
  <c r="E1336"/>
  <c r="G1336" s="1"/>
  <c r="F1335"/>
  <c r="E1334"/>
  <c r="G1334" s="1"/>
  <c r="F1333"/>
  <c r="E1332"/>
  <c r="G1332" s="1"/>
  <c r="F1331"/>
  <c r="E1330"/>
  <c r="G1330" s="1"/>
  <c r="F1329"/>
  <c r="E1328"/>
  <c r="G1328" s="1"/>
  <c r="F1327"/>
  <c r="E1326"/>
  <c r="G1326" s="1"/>
  <c r="F1325"/>
  <c r="E1324"/>
  <c r="G1324" s="1"/>
  <c r="F1323"/>
  <c r="E1322"/>
  <c r="G1322" s="1"/>
  <c r="F1321"/>
  <c r="E1320"/>
  <c r="G1320" s="1"/>
  <c r="F1319"/>
  <c r="E1318"/>
  <c r="G1318" s="1"/>
  <c r="F1317"/>
  <c r="E1316"/>
  <c r="G1316" s="1"/>
  <c r="F1315"/>
  <c r="E1314"/>
  <c r="G1314" s="1"/>
  <c r="F1313"/>
  <c r="E1312"/>
  <c r="G1312" s="1"/>
  <c r="F1311"/>
  <c r="E1310"/>
  <c r="G1310" s="1"/>
  <c r="F1309"/>
  <c r="E1308"/>
  <c r="G1308" s="1"/>
  <c r="F1307"/>
  <c r="E1306"/>
  <c r="G1306" s="1"/>
  <c r="F1305"/>
  <c r="E1304"/>
  <c r="G1304" s="1"/>
  <c r="F1303"/>
  <c r="E1302"/>
  <c r="G1302" s="1"/>
  <c r="F1301"/>
  <c r="E1300"/>
  <c r="G1300" s="1"/>
  <c r="F1299"/>
  <c r="E1298"/>
  <c r="G1298" s="1"/>
  <c r="F1297"/>
  <c r="E1296"/>
  <c r="G1296" s="1"/>
  <c r="F1295"/>
  <c r="E1294"/>
  <c r="G1294" s="1"/>
  <c r="F1293"/>
  <c r="E1292"/>
  <c r="G1292" s="1"/>
  <c r="F1291"/>
  <c r="E1290"/>
  <c r="G1290" s="1"/>
  <c r="F1289"/>
  <c r="E1288"/>
  <c r="G1288" s="1"/>
  <c r="F1287"/>
  <c r="E1286"/>
  <c r="G1286" s="1"/>
  <c r="F1285"/>
  <c r="E1284"/>
  <c r="G1284" s="1"/>
  <c r="F1283"/>
  <c r="E1282"/>
  <c r="G1282" s="1"/>
  <c r="F1281"/>
  <c r="E1280"/>
  <c r="G1280" s="1"/>
  <c r="F1279"/>
  <c r="E1278"/>
  <c r="G1278" s="1"/>
  <c r="F1277"/>
  <c r="E1276"/>
  <c r="G1276" s="1"/>
  <c r="F1275"/>
  <c r="E1274"/>
  <c r="G1274" s="1"/>
  <c r="F1273"/>
  <c r="E1272"/>
  <c r="G1272" s="1"/>
  <c r="F1271"/>
  <c r="E1270"/>
  <c r="G1270" s="1"/>
  <c r="F1269"/>
  <c r="E1268"/>
  <c r="G1268" s="1"/>
  <c r="F1267"/>
  <c r="E1266"/>
  <c r="G1266" s="1"/>
  <c r="F1265"/>
  <c r="E1264"/>
  <c r="G1264" s="1"/>
  <c r="F1263"/>
  <c r="E1262"/>
  <c r="G1262" s="1"/>
  <c r="F1261"/>
  <c r="E1260"/>
  <c r="G1260" s="1"/>
  <c r="F1259"/>
  <c r="E1258"/>
  <c r="G1258" s="1"/>
  <c r="F1257"/>
  <c r="E1256"/>
  <c r="G1256" s="1"/>
  <c r="F1255"/>
  <c r="E1254"/>
  <c r="G1254" s="1"/>
  <c r="F1253"/>
  <c r="E1252"/>
  <c r="G1252" s="1"/>
  <c r="F1251"/>
  <c r="E1250"/>
  <c r="G1250" s="1"/>
  <c r="F1249"/>
  <c r="E1248"/>
  <c r="G1248" s="1"/>
  <c r="F1247"/>
  <c r="E1246"/>
  <c r="G1246" s="1"/>
  <c r="F1245"/>
  <c r="E1244"/>
  <c r="G1244" s="1"/>
  <c r="F1243"/>
  <c r="E1242"/>
  <c r="G1242" s="1"/>
  <c r="F1241"/>
  <c r="E1240"/>
  <c r="G1240" s="1"/>
  <c r="F1239"/>
  <c r="E1238"/>
  <c r="G1238" s="1"/>
  <c r="F1237"/>
  <c r="E1236"/>
  <c r="G1236" s="1"/>
  <c r="F1235"/>
  <c r="E1234"/>
  <c r="G1234" s="1"/>
  <c r="F1233"/>
  <c r="E1232"/>
  <c r="G1232" s="1"/>
  <c r="F1231"/>
  <c r="E1230"/>
  <c r="G1230" s="1"/>
  <c r="F1229"/>
  <c r="E1228"/>
  <c r="G1228" s="1"/>
  <c r="F1227"/>
  <c r="E1226"/>
  <c r="G1226" s="1"/>
  <c r="F1225"/>
  <c r="E1224"/>
  <c r="G1224" s="1"/>
  <c r="F1223"/>
  <c r="E1222"/>
  <c r="G1222" s="1"/>
  <c r="F1221"/>
  <c r="E1220"/>
  <c r="G1220" s="1"/>
  <c r="F1219"/>
  <c r="E1218"/>
  <c r="G1218" s="1"/>
  <c r="F1217"/>
  <c r="E1216"/>
  <c r="G1216" s="1"/>
  <c r="F1215"/>
  <c r="E1214"/>
  <c r="G1214" s="1"/>
  <c r="F1213"/>
  <c r="E1212"/>
  <c r="G1212" s="1"/>
  <c r="F1211"/>
  <c r="E1210"/>
  <c r="G1210" s="1"/>
  <c r="F1209"/>
  <c r="E1208"/>
  <c r="G1208" s="1"/>
  <c r="F1207"/>
  <c r="E1206"/>
  <c r="G1206" s="1"/>
  <c r="F1205"/>
  <c r="E1204"/>
  <c r="G1204" s="1"/>
  <c r="F1203"/>
  <c r="E1202"/>
  <c r="G1202" s="1"/>
  <c r="F1201"/>
  <c r="E1200"/>
  <c r="G1200" s="1"/>
  <c r="F1199"/>
  <c r="E1198"/>
  <c r="G1198" s="1"/>
  <c r="F1197"/>
  <c r="E1196"/>
  <c r="G1196" s="1"/>
  <c r="F1195"/>
  <c r="E1194"/>
  <c r="G1194" s="1"/>
  <c r="F1193"/>
  <c r="E1192"/>
  <c r="G1192" s="1"/>
  <c r="F1191"/>
  <c r="E1190"/>
  <c r="G1190" s="1"/>
  <c r="F1189"/>
  <c r="E1188"/>
  <c r="G1188" s="1"/>
  <c r="F1187"/>
  <c r="E1186"/>
  <c r="G1186" s="1"/>
  <c r="F1185"/>
  <c r="E1184"/>
  <c r="G1184" s="1"/>
  <c r="F1183"/>
  <c r="E1182"/>
  <c r="G1182" s="1"/>
  <c r="F1181"/>
  <c r="E1180"/>
  <c r="G1180" s="1"/>
  <c r="F1179"/>
  <c r="E1178"/>
  <c r="G1178" s="1"/>
  <c r="F1177"/>
  <c r="E1176"/>
  <c r="G1176" s="1"/>
  <c r="F1175"/>
  <c r="E1174"/>
  <c r="G1174" s="1"/>
  <c r="F1173"/>
  <c r="E1172"/>
  <c r="G1172" s="1"/>
  <c r="F1171"/>
  <c r="E1170"/>
  <c r="G1170" s="1"/>
  <c r="F1169"/>
  <c r="E1168"/>
  <c r="G1168" s="1"/>
  <c r="F1167"/>
  <c r="E1166"/>
  <c r="G1166" s="1"/>
  <c r="F1165"/>
  <c r="E1164"/>
  <c r="G1164" s="1"/>
  <c r="F1163"/>
  <c r="E1162"/>
  <c r="G1162" s="1"/>
  <c r="F1161"/>
  <c r="E1160"/>
  <c r="G1160" s="1"/>
  <c r="F1159"/>
  <c r="E1158"/>
  <c r="G1158" s="1"/>
  <c r="F1157"/>
  <c r="E1156"/>
  <c r="G1156" s="1"/>
  <c r="F1155"/>
  <c r="E1154"/>
  <c r="G1154" s="1"/>
  <c r="F1153"/>
  <c r="E1152"/>
  <c r="G1152" s="1"/>
  <c r="F1151"/>
  <c r="E1150"/>
  <c r="G1150" s="1"/>
  <c r="F1149"/>
  <c r="E1148"/>
  <c r="G1148" s="1"/>
  <c r="F1147"/>
  <c r="E1146"/>
  <c r="G1146" s="1"/>
  <c r="F1145"/>
  <c r="E1144"/>
  <c r="G1144" s="1"/>
  <c r="F1143"/>
  <c r="E1142"/>
  <c r="G1142" s="1"/>
  <c r="F1141"/>
  <c r="E1140"/>
  <c r="G1140" s="1"/>
  <c r="F1139"/>
  <c r="E1138"/>
  <c r="G1138" s="1"/>
  <c r="F1137"/>
  <c r="E1136"/>
  <c r="G1136" s="1"/>
  <c r="F1135"/>
  <c r="E1134"/>
  <c r="G1134" s="1"/>
  <c r="F1133"/>
  <c r="E1132"/>
  <c r="G1132" s="1"/>
  <c r="F1131"/>
  <c r="E1130"/>
  <c r="G1130" s="1"/>
  <c r="F1129"/>
  <c r="E1128"/>
  <c r="G1128" s="1"/>
  <c r="F1127"/>
  <c r="E1126"/>
  <c r="G1126" s="1"/>
  <c r="F1125"/>
  <c r="E1124"/>
  <c r="G1124" s="1"/>
  <c r="F1123"/>
  <c r="E1122"/>
  <c r="G1122" s="1"/>
  <c r="F1121"/>
  <c r="E1120"/>
  <c r="G1120" s="1"/>
  <c r="F1119"/>
  <c r="E1118"/>
  <c r="G1118" s="1"/>
  <c r="F1117"/>
  <c r="E1116"/>
  <c r="G1116" s="1"/>
  <c r="F1115"/>
  <c r="E1114"/>
  <c r="G1114" s="1"/>
  <c r="F1113"/>
  <c r="E1112"/>
  <c r="G1112" s="1"/>
  <c r="F1111"/>
  <c r="E1110"/>
  <c r="G1110" s="1"/>
  <c r="F1109"/>
  <c r="E1108"/>
  <c r="G1108" s="1"/>
  <c r="F1107"/>
  <c r="E1106"/>
  <c r="G1106" s="1"/>
  <c r="F1105"/>
  <c r="E1104"/>
  <c r="G1104" s="1"/>
  <c r="F1103"/>
  <c r="E1102"/>
  <c r="G1102" s="1"/>
  <c r="F1101"/>
  <c r="E1100"/>
  <c r="G1100" s="1"/>
  <c r="F1099"/>
  <c r="E1098"/>
  <c r="G1098" s="1"/>
  <c r="F1097"/>
  <c r="E1096"/>
  <c r="G1096" s="1"/>
  <c r="F1095"/>
  <c r="E1094"/>
  <c r="G1094" s="1"/>
  <c r="F1093"/>
  <c r="E1092"/>
  <c r="G1092" s="1"/>
  <c r="F1091"/>
  <c r="E1090"/>
  <c r="G1090" s="1"/>
  <c r="F1089"/>
  <c r="E1088"/>
  <c r="G1088" s="1"/>
  <c r="F1087"/>
  <c r="E1086"/>
  <c r="G1086" s="1"/>
  <c r="F1085"/>
  <c r="E1084"/>
  <c r="G1084" s="1"/>
  <c r="F1083"/>
  <c r="E1082"/>
  <c r="G1082" s="1"/>
  <c r="F1081"/>
  <c r="E1080"/>
  <c r="G1080" s="1"/>
  <c r="F1079"/>
  <c r="E1078"/>
  <c r="G1078" s="1"/>
  <c r="F1077"/>
  <c r="E1076"/>
  <c r="G1076" s="1"/>
  <c r="F1075"/>
  <c r="E1074"/>
  <c r="G1074" s="1"/>
  <c r="F1073"/>
  <c r="E1072"/>
  <c r="G1072" s="1"/>
  <c r="F1071"/>
  <c r="E1070"/>
  <c r="G1070" s="1"/>
  <c r="F1069"/>
  <c r="E1068"/>
  <c r="G1068" s="1"/>
  <c r="F1067"/>
  <c r="E1066"/>
  <c r="G1066" s="1"/>
  <c r="F1065"/>
  <c r="E1064"/>
  <c r="G1064" s="1"/>
  <c r="F1063"/>
  <c r="E1062"/>
  <c r="G1062" s="1"/>
  <c r="F1061"/>
  <c r="E1060"/>
  <c r="G1060" s="1"/>
  <c r="F1059"/>
  <c r="E1058"/>
  <c r="G1058" s="1"/>
  <c r="F1057"/>
  <c r="E1056"/>
  <c r="G1056" s="1"/>
  <c r="F1055"/>
  <c r="E1054"/>
  <c r="G1054" s="1"/>
  <c r="F1053"/>
  <c r="E1052"/>
  <c r="G1052" s="1"/>
  <c r="F1051"/>
  <c r="E1050"/>
  <c r="G1050" s="1"/>
  <c r="F1049"/>
  <c r="E1048"/>
  <c r="G1048" s="1"/>
  <c r="F1047"/>
  <c r="E1046"/>
  <c r="G1046" s="1"/>
  <c r="F1045"/>
  <c r="E1044"/>
  <c r="G1044" s="1"/>
  <c r="F1043"/>
  <c r="E1042"/>
  <c r="G1042" s="1"/>
  <c r="F1041"/>
  <c r="E1040"/>
  <c r="G1040" s="1"/>
  <c r="F1039"/>
  <c r="E1038"/>
  <c r="G1038" s="1"/>
  <c r="F1037"/>
  <c r="E1036"/>
  <c r="G1036" s="1"/>
  <c r="F1035"/>
  <c r="E1034"/>
  <c r="G1034" s="1"/>
  <c r="F1033"/>
  <c r="E1032"/>
  <c r="G1032" s="1"/>
  <c r="F1031"/>
  <c r="E1030"/>
  <c r="G1030" s="1"/>
  <c r="F1029"/>
  <c r="E1028"/>
  <c r="G1028" s="1"/>
  <c r="F1027"/>
  <c r="E1026"/>
  <c r="G1026" s="1"/>
  <c r="F1025"/>
  <c r="E1024"/>
  <c r="G1024" s="1"/>
  <c r="F1023"/>
  <c r="E1022"/>
  <c r="G1022" s="1"/>
  <c r="F1021"/>
  <c r="E1020"/>
  <c r="G1020" s="1"/>
  <c r="F1019"/>
  <c r="E1018"/>
  <c r="G1018" s="1"/>
  <c r="F1017"/>
  <c r="E1016"/>
  <c r="G1016" s="1"/>
  <c r="F1015"/>
  <c r="E1014"/>
  <c r="G1014" s="1"/>
  <c r="F1013"/>
  <c r="E1012"/>
  <c r="G1012" s="1"/>
  <c r="F1011"/>
  <c r="E1010"/>
  <c r="G1010" s="1"/>
  <c r="F1009"/>
  <c r="E1008"/>
  <c r="G1008" s="1"/>
  <c r="F1007"/>
  <c r="E1006"/>
  <c r="G1006" s="1"/>
  <c r="F1005"/>
  <c r="E1004"/>
  <c r="G1004" s="1"/>
  <c r="F1003"/>
  <c r="E1002"/>
  <c r="G1002" s="1"/>
  <c r="F1001"/>
  <c r="E1000"/>
  <c r="G1000" s="1"/>
  <c r="F999"/>
  <c r="E998"/>
  <c r="G998" s="1"/>
  <c r="F997"/>
  <c r="E996"/>
  <c r="G996" s="1"/>
  <c r="F995"/>
  <c r="E994"/>
  <c r="G994" s="1"/>
  <c r="F993"/>
  <c r="E992"/>
  <c r="G992" s="1"/>
  <c r="F991"/>
  <c r="E990"/>
  <c r="G990" s="1"/>
  <c r="F989"/>
  <c r="E988"/>
  <c r="G988" s="1"/>
  <c r="F987"/>
  <c r="E986"/>
  <c r="G986" s="1"/>
  <c r="F985"/>
  <c r="E984"/>
  <c r="G984" s="1"/>
  <c r="F983"/>
  <c r="E982"/>
  <c r="G982" s="1"/>
  <c r="F981"/>
  <c r="E980"/>
  <c r="G980" s="1"/>
  <c r="F979"/>
  <c r="E978"/>
  <c r="G978" s="1"/>
  <c r="F977"/>
  <c r="E976"/>
  <c r="G976" s="1"/>
  <c r="F975"/>
  <c r="E974"/>
  <c r="G974" s="1"/>
  <c r="F973"/>
  <c r="E972"/>
  <c r="G972" s="1"/>
  <c r="F971"/>
  <c r="E970"/>
  <c r="G970" s="1"/>
  <c r="F969"/>
  <c r="E968"/>
  <c r="G968" s="1"/>
  <c r="F967"/>
  <c r="E966"/>
  <c r="G966" s="1"/>
  <c r="F965"/>
  <c r="E964"/>
  <c r="G964" s="1"/>
  <c r="F963"/>
  <c r="E962"/>
  <c r="G962" s="1"/>
  <c r="F961"/>
  <c r="E960"/>
  <c r="G960" s="1"/>
  <c r="F959"/>
  <c r="E958"/>
  <c r="G958" s="1"/>
  <c r="F957"/>
  <c r="E956"/>
  <c r="G956" s="1"/>
  <c r="F955"/>
  <c r="E954"/>
  <c r="G954" s="1"/>
  <c r="F953"/>
  <c r="E952"/>
  <c r="G952" s="1"/>
  <c r="F950"/>
  <c r="E950"/>
  <c r="G950" s="1"/>
  <c r="F948"/>
  <c r="E948"/>
  <c r="G948" s="1"/>
  <c r="F946"/>
  <c r="E946"/>
  <c r="G946" s="1"/>
  <c r="F944"/>
  <c r="E944"/>
  <c r="G944" s="1"/>
  <c r="F942"/>
  <c r="E942"/>
  <c r="G942" s="1"/>
  <c r="F940"/>
  <c r="E940"/>
  <c r="G940" s="1"/>
  <c r="F938"/>
  <c r="E938"/>
  <c r="G938" s="1"/>
  <c r="F936"/>
  <c r="E936"/>
  <c r="G936" s="1"/>
  <c r="F934"/>
  <c r="E934"/>
  <c r="G934" s="1"/>
  <c r="F932"/>
  <c r="E932"/>
  <c r="G932" s="1"/>
  <c r="F930"/>
  <c r="E930"/>
  <c r="G930" s="1"/>
  <c r="F928"/>
  <c r="E928"/>
  <c r="G928" s="1"/>
  <c r="F926"/>
  <c r="E926"/>
  <c r="G926" s="1"/>
  <c r="F924"/>
  <c r="E924"/>
  <c r="G924" s="1"/>
  <c r="F922"/>
  <c r="E922"/>
  <c r="G922" s="1"/>
  <c r="F920"/>
  <c r="E920"/>
  <c r="G920" s="1"/>
  <c r="F918"/>
  <c r="E918"/>
  <c r="G918" s="1"/>
  <c r="F916"/>
  <c r="E916"/>
  <c r="G916" s="1"/>
  <c r="F914"/>
  <c r="E914"/>
  <c r="G914" s="1"/>
  <c r="F912"/>
  <c r="E912"/>
  <c r="G912" s="1"/>
  <c r="F910"/>
  <c r="E910"/>
  <c r="G910" s="1"/>
  <c r="F908"/>
  <c r="E908"/>
  <c r="G908" s="1"/>
  <c r="F906"/>
  <c r="E906"/>
  <c r="G906" s="1"/>
  <c r="F904"/>
  <c r="E904"/>
  <c r="G904" s="1"/>
  <c r="F902"/>
  <c r="E902"/>
  <c r="G902" s="1"/>
  <c r="F900"/>
  <c r="E900"/>
  <c r="G900" s="1"/>
  <c r="F898"/>
  <c r="E898"/>
  <c r="G898" s="1"/>
  <c r="F896"/>
  <c r="E896"/>
  <c r="G896" s="1"/>
  <c r="F894"/>
  <c r="E894"/>
  <c r="G894" s="1"/>
  <c r="F892"/>
  <c r="E892"/>
  <c r="G892" s="1"/>
  <c r="F890"/>
  <c r="E890"/>
  <c r="G890" s="1"/>
  <c r="F888"/>
  <c r="E888"/>
  <c r="G888" s="1"/>
  <c r="F886"/>
  <c r="E886"/>
  <c r="G886" s="1"/>
  <c r="F884"/>
  <c r="E884"/>
  <c r="G884" s="1"/>
  <c r="F882"/>
  <c r="E882"/>
  <c r="G882" s="1"/>
  <c r="F880"/>
  <c r="E880"/>
  <c r="G880" s="1"/>
  <c r="F878"/>
  <c r="E878"/>
  <c r="G878" s="1"/>
  <c r="F876"/>
  <c r="E876"/>
  <c r="G876" s="1"/>
  <c r="F874"/>
  <c r="E874"/>
  <c r="G874" s="1"/>
  <c r="F872"/>
  <c r="E872"/>
  <c r="G872" s="1"/>
  <c r="F870"/>
  <c r="E870"/>
  <c r="G870" s="1"/>
  <c r="F868"/>
  <c r="E868"/>
  <c r="G868" s="1"/>
  <c r="F866"/>
  <c r="E866"/>
  <c r="G866" s="1"/>
  <c r="F864"/>
  <c r="E864"/>
  <c r="G864" s="1"/>
  <c r="F862"/>
  <c r="E862"/>
  <c r="G862" s="1"/>
  <c r="F860"/>
  <c r="E860"/>
  <c r="G860" s="1"/>
  <c r="F858"/>
  <c r="E858"/>
  <c r="G858" s="1"/>
  <c r="F856"/>
  <c r="E856"/>
  <c r="G856" s="1"/>
  <c r="F854"/>
  <c r="E854"/>
  <c r="G854" s="1"/>
  <c r="F852"/>
  <c r="E852"/>
  <c r="G852" s="1"/>
  <c r="F850"/>
  <c r="E850"/>
  <c r="G850" s="1"/>
  <c r="F848"/>
  <c r="E848"/>
  <c r="G848" s="1"/>
  <c r="F846"/>
  <c r="E846"/>
  <c r="G846" s="1"/>
  <c r="F844"/>
  <c r="E844"/>
  <c r="G844" s="1"/>
  <c r="F842"/>
  <c r="E842"/>
  <c r="G842" s="1"/>
  <c r="F840"/>
  <c r="E840"/>
  <c r="G840" s="1"/>
  <c r="F838"/>
  <c r="E838"/>
  <c r="G838" s="1"/>
  <c r="F836"/>
  <c r="E836"/>
  <c r="G836" s="1"/>
  <c r="F834"/>
  <c r="E834"/>
  <c r="G834" s="1"/>
  <c r="F832"/>
  <c r="E832"/>
  <c r="G832" s="1"/>
  <c r="F830"/>
  <c r="E830"/>
  <c r="G830" s="1"/>
  <c r="F828"/>
  <c r="E828"/>
  <c r="G828" s="1"/>
  <c r="F826"/>
  <c r="E826"/>
  <c r="G826" s="1"/>
  <c r="F824"/>
  <c r="E824"/>
  <c r="G824" s="1"/>
  <c r="F822"/>
  <c r="E822"/>
  <c r="G822" s="1"/>
  <c r="F820"/>
  <c r="E820"/>
  <c r="G820" s="1"/>
  <c r="F818"/>
  <c r="E818"/>
  <c r="G818" s="1"/>
  <c r="F816"/>
  <c r="E816"/>
  <c r="G816" s="1"/>
  <c r="F814"/>
  <c r="E814"/>
  <c r="G814" s="1"/>
  <c r="F812"/>
  <c r="E812"/>
  <c r="G812" s="1"/>
  <c r="F810"/>
  <c r="E810"/>
  <c r="G810" s="1"/>
  <c r="F808"/>
  <c r="E808"/>
  <c r="G808" s="1"/>
  <c r="F806"/>
  <c r="E806"/>
  <c r="G806" s="1"/>
  <c r="F804"/>
  <c r="E804"/>
  <c r="G804" s="1"/>
  <c r="F802"/>
  <c r="E802"/>
  <c r="G802" s="1"/>
  <c r="F800"/>
  <c r="E800"/>
  <c r="G800" s="1"/>
  <c r="F798"/>
  <c r="E798"/>
  <c r="G798" s="1"/>
  <c r="F796"/>
  <c r="E796"/>
  <c r="G796" s="1"/>
  <c r="F794"/>
  <c r="E794"/>
  <c r="G794" s="1"/>
  <c r="F792"/>
  <c r="E792"/>
  <c r="G792" s="1"/>
  <c r="F790"/>
  <c r="E790"/>
  <c r="G790" s="1"/>
  <c r="F788"/>
  <c r="E788"/>
  <c r="G788" s="1"/>
  <c r="F786"/>
  <c r="E786"/>
  <c r="G786" s="1"/>
  <c r="F784"/>
  <c r="E784"/>
  <c r="G784" s="1"/>
  <c r="F782"/>
  <c r="E782"/>
  <c r="G782" s="1"/>
  <c r="F780"/>
  <c r="E780"/>
  <c r="G780" s="1"/>
  <c r="F778"/>
  <c r="E778"/>
  <c r="G778" s="1"/>
  <c r="F776"/>
  <c r="E776"/>
  <c r="G776" s="1"/>
  <c r="F774"/>
  <c r="E774"/>
  <c r="G774" s="1"/>
  <c r="F772"/>
  <c r="E772"/>
  <c r="G772" s="1"/>
  <c r="F770"/>
  <c r="E770"/>
  <c r="G770" s="1"/>
  <c r="F757"/>
  <c r="E757"/>
  <c r="G757" s="1"/>
  <c r="F755"/>
  <c r="E755"/>
  <c r="G755" s="1"/>
  <c r="F753"/>
  <c r="E753"/>
  <c r="G753" s="1"/>
  <c r="F751"/>
  <c r="E751"/>
  <c r="G751" s="1"/>
  <c r="F749"/>
  <c r="E749"/>
  <c r="G749" s="1"/>
  <c r="F747"/>
  <c r="E747"/>
  <c r="G747" s="1"/>
  <c r="F745"/>
  <c r="E745"/>
  <c r="G745" s="1"/>
  <c r="F743"/>
  <c r="E743"/>
  <c r="G743" s="1"/>
  <c r="F741"/>
  <c r="E741"/>
  <c r="G741" s="1"/>
  <c r="F739"/>
  <c r="E739"/>
  <c r="G739" s="1"/>
  <c r="F737"/>
  <c r="E737"/>
  <c r="G737" s="1"/>
  <c r="F735"/>
  <c r="E735"/>
  <c r="G735" s="1"/>
  <c r="F733"/>
  <c r="E733"/>
  <c r="G733" s="1"/>
  <c r="F731"/>
  <c r="E731"/>
  <c r="G731" s="1"/>
  <c r="F729"/>
  <c r="E729"/>
  <c r="G729" s="1"/>
  <c r="F727"/>
  <c r="E727"/>
  <c r="G727" s="1"/>
  <c r="F725"/>
  <c r="E725"/>
  <c r="G725" s="1"/>
  <c r="F723"/>
  <c r="E723"/>
  <c r="G723" s="1"/>
  <c r="F721"/>
  <c r="E721"/>
  <c r="G721" s="1"/>
  <c r="F719"/>
  <c r="E719"/>
  <c r="G719" s="1"/>
  <c r="F717"/>
  <c r="E717"/>
  <c r="G717" s="1"/>
  <c r="F715"/>
  <c r="E715"/>
  <c r="G715" s="1"/>
  <c r="F713"/>
  <c r="E713"/>
  <c r="G713" s="1"/>
  <c r="F711"/>
  <c r="E711"/>
  <c r="G711" s="1"/>
  <c r="F709"/>
  <c r="E709"/>
  <c r="G709" s="1"/>
  <c r="F707"/>
  <c r="E707"/>
  <c r="G707" s="1"/>
  <c r="F705"/>
  <c r="E705"/>
  <c r="G705" s="1"/>
  <c r="F703"/>
  <c r="E703"/>
  <c r="G703" s="1"/>
  <c r="F701"/>
  <c r="E701"/>
  <c r="G701" s="1"/>
  <c r="F699"/>
  <c r="E699"/>
  <c r="G699" s="1"/>
  <c r="F697"/>
  <c r="E697"/>
  <c r="G697" s="1"/>
  <c r="F695"/>
  <c r="E695"/>
  <c r="G695" s="1"/>
  <c r="F693"/>
  <c r="E693"/>
  <c r="G693" s="1"/>
  <c r="F691"/>
  <c r="E691"/>
  <c r="G691" s="1"/>
  <c r="F689"/>
  <c r="E689"/>
  <c r="G689" s="1"/>
  <c r="F687"/>
  <c r="E687"/>
  <c r="G687" s="1"/>
  <c r="F685"/>
  <c r="E685"/>
  <c r="G685" s="1"/>
  <c r="F683"/>
  <c r="E683"/>
  <c r="G683" s="1"/>
  <c r="F681"/>
  <c r="E681"/>
  <c r="G681" s="1"/>
  <c r="F679"/>
  <c r="E679"/>
  <c r="G679" s="1"/>
  <c r="F677"/>
  <c r="E677"/>
  <c r="G677" s="1"/>
  <c r="F675"/>
  <c r="E675"/>
  <c r="G675" s="1"/>
  <c r="F673"/>
  <c r="E673"/>
  <c r="G673" s="1"/>
  <c r="F671"/>
  <c r="E671"/>
  <c r="G671" s="1"/>
  <c r="F669"/>
  <c r="E669"/>
  <c r="G669" s="1"/>
  <c r="F667"/>
  <c r="E667"/>
  <c r="G667" s="1"/>
  <c r="F665"/>
  <c r="E665"/>
  <c r="G665" s="1"/>
  <c r="F663"/>
  <c r="E663"/>
  <c r="G663" s="1"/>
  <c r="F661"/>
  <c r="E661"/>
  <c r="G661" s="1"/>
  <c r="F659"/>
  <c r="E659"/>
  <c r="G659" s="1"/>
  <c r="F657"/>
  <c r="E657"/>
  <c r="G657" s="1"/>
  <c r="F655"/>
  <c r="E655"/>
  <c r="G655" s="1"/>
  <c r="F653"/>
  <c r="E653"/>
  <c r="G653" s="1"/>
  <c r="F651"/>
  <c r="E651"/>
  <c r="G651" s="1"/>
  <c r="F649"/>
  <c r="E649"/>
  <c r="G649" s="1"/>
  <c r="F647"/>
  <c r="E647"/>
  <c r="G647" s="1"/>
  <c r="F645"/>
  <c r="E645"/>
  <c r="G645" s="1"/>
  <c r="F643"/>
  <c r="E643"/>
  <c r="G643" s="1"/>
  <c r="F641"/>
  <c r="E641"/>
  <c r="G641" s="1"/>
  <c r="F639"/>
  <c r="E639"/>
  <c r="G639" s="1"/>
  <c r="F637"/>
  <c r="E637"/>
  <c r="G637" s="1"/>
  <c r="F635"/>
  <c r="E635"/>
  <c r="G635" s="1"/>
  <c r="F633"/>
  <c r="E633"/>
  <c r="G633" s="1"/>
  <c r="F631"/>
  <c r="E631"/>
  <c r="G631" s="1"/>
  <c r="F629"/>
  <c r="E629"/>
  <c r="G629" s="1"/>
  <c r="F627"/>
  <c r="E627"/>
  <c r="G627" s="1"/>
  <c r="F625"/>
  <c r="E625"/>
  <c r="G625" s="1"/>
  <c r="E758"/>
  <c r="G758" s="1"/>
  <c r="F758"/>
  <c r="E756"/>
  <c r="G756" s="1"/>
  <c r="F756"/>
  <c r="E754"/>
  <c r="G754" s="1"/>
  <c r="F754"/>
  <c r="E752"/>
  <c r="G752" s="1"/>
  <c r="F752"/>
  <c r="E750"/>
  <c r="G750" s="1"/>
  <c r="F750"/>
  <c r="E748"/>
  <c r="G748" s="1"/>
  <c r="F748"/>
  <c r="E746"/>
  <c r="G746" s="1"/>
  <c r="F746"/>
  <c r="E744"/>
  <c r="G744" s="1"/>
  <c r="F744"/>
  <c r="E742"/>
  <c r="G742" s="1"/>
  <c r="F742"/>
  <c r="E740"/>
  <c r="G740" s="1"/>
  <c r="F740"/>
  <c r="E738"/>
  <c r="G738" s="1"/>
  <c r="F738"/>
  <c r="E736"/>
  <c r="G736" s="1"/>
  <c r="F736"/>
  <c r="E734"/>
  <c r="G734" s="1"/>
  <c r="F734"/>
  <c r="E732"/>
  <c r="G732" s="1"/>
  <c r="F732"/>
  <c r="E730"/>
  <c r="G730" s="1"/>
  <c r="F730"/>
  <c r="E728"/>
  <c r="G728" s="1"/>
  <c r="F728"/>
  <c r="E726"/>
  <c r="G726" s="1"/>
  <c r="F726"/>
  <c r="E724"/>
  <c r="G724" s="1"/>
  <c r="F724"/>
  <c r="E722"/>
  <c r="G722" s="1"/>
  <c r="F722"/>
  <c r="E720"/>
  <c r="G720" s="1"/>
  <c r="F720"/>
  <c r="E718"/>
  <c r="G718" s="1"/>
  <c r="F718"/>
  <c r="E716"/>
  <c r="G716" s="1"/>
  <c r="F716"/>
  <c r="E714"/>
  <c r="G714" s="1"/>
  <c r="F714"/>
  <c r="E712"/>
  <c r="G712" s="1"/>
  <c r="F712"/>
  <c r="E710"/>
  <c r="G710" s="1"/>
  <c r="F710"/>
  <c r="E708"/>
  <c r="G708" s="1"/>
  <c r="F708"/>
  <c r="E706"/>
  <c r="G706" s="1"/>
  <c r="F706"/>
  <c r="E704"/>
  <c r="G704" s="1"/>
  <c r="F704"/>
  <c r="E702"/>
  <c r="G702" s="1"/>
  <c r="F702"/>
  <c r="E700"/>
  <c r="G700" s="1"/>
  <c r="F700"/>
  <c r="E698"/>
  <c r="G698" s="1"/>
  <c r="F698"/>
  <c r="E696"/>
  <c r="G696" s="1"/>
  <c r="F696"/>
  <c r="E694"/>
  <c r="G694" s="1"/>
  <c r="F694"/>
  <c r="E692"/>
  <c r="G692" s="1"/>
  <c r="F692"/>
  <c r="E690"/>
  <c r="G690" s="1"/>
  <c r="F690"/>
  <c r="E688"/>
  <c r="G688" s="1"/>
  <c r="F688"/>
  <c r="E686"/>
  <c r="G686" s="1"/>
  <c r="F686"/>
  <c r="E684"/>
  <c r="G684" s="1"/>
  <c r="F684"/>
  <c r="E682"/>
  <c r="G682" s="1"/>
  <c r="F682"/>
  <c r="E680"/>
  <c r="G680" s="1"/>
  <c r="F680"/>
  <c r="E678"/>
  <c r="G678" s="1"/>
  <c r="F678"/>
  <c r="E676"/>
  <c r="G676" s="1"/>
  <c r="F676"/>
  <c r="E674"/>
  <c r="G674" s="1"/>
  <c r="F674"/>
  <c r="E672"/>
  <c r="G672" s="1"/>
  <c r="F672"/>
  <c r="E670"/>
  <c r="G670" s="1"/>
  <c r="F670"/>
  <c r="E668"/>
  <c r="G668" s="1"/>
  <c r="F668"/>
  <c r="E666"/>
  <c r="G666" s="1"/>
  <c r="F666"/>
  <c r="E664"/>
  <c r="G664" s="1"/>
  <c r="F664"/>
  <c r="E662"/>
  <c r="G662" s="1"/>
  <c r="F662"/>
  <c r="E660"/>
  <c r="G660" s="1"/>
  <c r="F660"/>
  <c r="E658"/>
  <c r="G658" s="1"/>
  <c r="F658"/>
  <c r="E656"/>
  <c r="G656" s="1"/>
  <c r="F656"/>
  <c r="E654"/>
  <c r="G654" s="1"/>
  <c r="F654"/>
  <c r="E652"/>
  <c r="G652" s="1"/>
  <c r="F652"/>
  <c r="E650"/>
  <c r="G650" s="1"/>
  <c r="F650"/>
  <c r="E648"/>
  <c r="G648" s="1"/>
  <c r="F648"/>
  <c r="E646"/>
  <c r="G646" s="1"/>
  <c r="F646"/>
  <c r="E644"/>
  <c r="G644" s="1"/>
  <c r="F644"/>
  <c r="E642"/>
  <c r="G642" s="1"/>
  <c r="F642"/>
  <c r="E640"/>
  <c r="G640" s="1"/>
  <c r="F640"/>
  <c r="E638"/>
  <c r="G638" s="1"/>
  <c r="F638"/>
  <c r="E636"/>
  <c r="G636" s="1"/>
  <c r="F636"/>
  <c r="E634"/>
  <c r="G634" s="1"/>
  <c r="F634"/>
  <c r="E632"/>
  <c r="G632" s="1"/>
  <c r="F632"/>
  <c r="E630"/>
  <c r="G630" s="1"/>
  <c r="F630"/>
  <c r="E628"/>
  <c r="G628" s="1"/>
  <c r="F628"/>
  <c r="E626"/>
  <c r="G626" s="1"/>
  <c r="F626"/>
  <c r="E624"/>
  <c r="G624" s="1"/>
  <c r="F624"/>
  <c r="E768"/>
  <c r="G768" s="1"/>
  <c r="F767"/>
  <c r="E766"/>
  <c r="G766" s="1"/>
  <c r="F765"/>
  <c r="E764"/>
  <c r="G764" s="1"/>
  <c r="E355"/>
  <c r="G355" s="1"/>
  <c r="F355"/>
  <c r="E353"/>
  <c r="G353" s="1"/>
  <c r="F353"/>
  <c r="E351"/>
  <c r="G351" s="1"/>
  <c r="F351"/>
  <c r="E349"/>
  <c r="G349" s="1"/>
  <c r="F349"/>
  <c r="E347"/>
  <c r="G347" s="1"/>
  <c r="F347"/>
  <c r="E345"/>
  <c r="G345" s="1"/>
  <c r="F345"/>
  <c r="E343"/>
  <c r="G343" s="1"/>
  <c r="F343"/>
  <c r="E341"/>
  <c r="G341" s="1"/>
  <c r="F341"/>
  <c r="E339"/>
  <c r="G339" s="1"/>
  <c r="F339"/>
  <c r="E337"/>
  <c r="G337" s="1"/>
  <c r="F337"/>
  <c r="E335"/>
  <c r="G335" s="1"/>
  <c r="F335"/>
  <c r="E333"/>
  <c r="G333" s="1"/>
  <c r="F333"/>
  <c r="E331"/>
  <c r="G331" s="1"/>
  <c r="F331"/>
  <c r="E329"/>
  <c r="G329" s="1"/>
  <c r="F329"/>
  <c r="E327"/>
  <c r="G327" s="1"/>
  <c r="F327"/>
  <c r="E325"/>
  <c r="G325" s="1"/>
  <c r="F325"/>
  <c r="E323"/>
  <c r="G323" s="1"/>
  <c r="F323"/>
  <c r="E321"/>
  <c r="G321" s="1"/>
  <c r="F321"/>
  <c r="E319"/>
  <c r="G319" s="1"/>
  <c r="F319"/>
  <c r="E317"/>
  <c r="G317" s="1"/>
  <c r="F317"/>
  <c r="E315"/>
  <c r="G315" s="1"/>
  <c r="F315"/>
  <c r="E313"/>
  <c r="G313" s="1"/>
  <c r="F313"/>
  <c r="E311"/>
  <c r="G311" s="1"/>
  <c r="F311"/>
  <c r="E309"/>
  <c r="G309" s="1"/>
  <c r="F309"/>
  <c r="E307"/>
  <c r="G307" s="1"/>
  <c r="F307"/>
  <c r="E305"/>
  <c r="G305" s="1"/>
  <c r="F305"/>
  <c r="E303"/>
  <c r="G303" s="1"/>
  <c r="F303"/>
  <c r="E301"/>
  <c r="G301" s="1"/>
  <c r="F301"/>
  <c r="E299"/>
  <c r="G299" s="1"/>
  <c r="F299"/>
  <c r="E297"/>
  <c r="G297" s="1"/>
  <c r="F297"/>
  <c r="E295"/>
  <c r="G295" s="1"/>
  <c r="F295"/>
  <c r="E293"/>
  <c r="G293" s="1"/>
  <c r="F293"/>
  <c r="E291"/>
  <c r="G291" s="1"/>
  <c r="F291"/>
  <c r="E289"/>
  <c r="G289" s="1"/>
  <c r="F289"/>
  <c r="E287"/>
  <c r="G287" s="1"/>
  <c r="F287"/>
  <c r="E285"/>
  <c r="G285" s="1"/>
  <c r="F285"/>
  <c r="E283"/>
  <c r="G283" s="1"/>
  <c r="F283"/>
  <c r="E281"/>
  <c r="G281" s="1"/>
  <c r="F281"/>
  <c r="E279"/>
  <c r="G279" s="1"/>
  <c r="F279"/>
  <c r="E277"/>
  <c r="G277" s="1"/>
  <c r="F277"/>
  <c r="E275"/>
  <c r="G275" s="1"/>
  <c r="F275"/>
  <c r="E273"/>
  <c r="G273" s="1"/>
  <c r="F273"/>
  <c r="E271"/>
  <c r="G271" s="1"/>
  <c r="F271"/>
  <c r="E269"/>
  <c r="G269" s="1"/>
  <c r="F269"/>
  <c r="E267"/>
  <c r="G267" s="1"/>
  <c r="F267"/>
  <c r="E265"/>
  <c r="G265" s="1"/>
  <c r="F265"/>
  <c r="E263"/>
  <c r="G263" s="1"/>
  <c r="F263"/>
  <c r="E261"/>
  <c r="G261" s="1"/>
  <c r="F261"/>
  <c r="E623"/>
  <c r="G623" s="1"/>
  <c r="F622"/>
  <c r="E621"/>
  <c r="G621" s="1"/>
  <c r="F620"/>
  <c r="E619"/>
  <c r="G619" s="1"/>
  <c r="F618"/>
  <c r="E617"/>
  <c r="G617" s="1"/>
  <c r="F616"/>
  <c r="E615"/>
  <c r="G615" s="1"/>
  <c r="F614"/>
  <c r="E613"/>
  <c r="G613" s="1"/>
  <c r="F612"/>
  <c r="E611"/>
  <c r="G611" s="1"/>
  <c r="F610"/>
  <c r="E609"/>
  <c r="G609" s="1"/>
  <c r="F608"/>
  <c r="E607"/>
  <c r="G607" s="1"/>
  <c r="F606"/>
  <c r="E605"/>
  <c r="G605" s="1"/>
  <c r="F604"/>
  <c r="E603"/>
  <c r="G603" s="1"/>
  <c r="F602"/>
  <c r="E601"/>
  <c r="G601" s="1"/>
  <c r="F600"/>
  <c r="E599"/>
  <c r="G599" s="1"/>
  <c r="F598"/>
  <c r="E597"/>
  <c r="G597" s="1"/>
  <c r="F596"/>
  <c r="E595"/>
  <c r="G595" s="1"/>
  <c r="F594"/>
  <c r="E593"/>
  <c r="G593" s="1"/>
  <c r="F592"/>
  <c r="E591"/>
  <c r="G591" s="1"/>
  <c r="F590"/>
  <c r="E589"/>
  <c r="G589" s="1"/>
  <c r="F588"/>
  <c r="E587"/>
  <c r="G587" s="1"/>
  <c r="F586"/>
  <c r="E585"/>
  <c r="G585" s="1"/>
  <c r="F584"/>
  <c r="E583"/>
  <c r="G583" s="1"/>
  <c r="F582"/>
  <c r="E581"/>
  <c r="G581" s="1"/>
  <c r="F580"/>
  <c r="E579"/>
  <c r="G579" s="1"/>
  <c r="F578"/>
  <c r="E577"/>
  <c r="G577" s="1"/>
  <c r="F576"/>
  <c r="E575"/>
  <c r="G575" s="1"/>
  <c r="F574"/>
  <c r="E573"/>
  <c r="G573" s="1"/>
  <c r="F572"/>
  <c r="E571"/>
  <c r="G571" s="1"/>
  <c r="F570"/>
  <c r="E569"/>
  <c r="G569" s="1"/>
  <c r="F568"/>
  <c r="E567"/>
  <c r="G567" s="1"/>
  <c r="F566"/>
  <c r="E565"/>
  <c r="G565" s="1"/>
  <c r="F564"/>
  <c r="E563"/>
  <c r="G563" s="1"/>
  <c r="F562"/>
  <c r="E561"/>
  <c r="G561" s="1"/>
  <c r="F560"/>
  <c r="E559"/>
  <c r="G559" s="1"/>
  <c r="F558"/>
  <c r="E557"/>
  <c r="G557" s="1"/>
  <c r="F556"/>
  <c r="E555"/>
  <c r="G555" s="1"/>
  <c r="F554"/>
  <c r="E553"/>
  <c r="G553" s="1"/>
  <c r="F552"/>
  <c r="E551"/>
  <c r="G551" s="1"/>
  <c r="F550"/>
  <c r="E549"/>
  <c r="G549" s="1"/>
  <c r="F548"/>
  <c r="E547"/>
  <c r="G547" s="1"/>
  <c r="F546"/>
  <c r="E545"/>
  <c r="G545" s="1"/>
  <c r="F544"/>
  <c r="E543"/>
  <c r="G543" s="1"/>
  <c r="F542"/>
  <c r="E541"/>
  <c r="G541" s="1"/>
  <c r="F540"/>
  <c r="E539"/>
  <c r="G539" s="1"/>
  <c r="F538"/>
  <c r="E537"/>
  <c r="G537" s="1"/>
  <c r="F536"/>
  <c r="E535"/>
  <c r="G535" s="1"/>
  <c r="F534"/>
  <c r="E533"/>
  <c r="G533" s="1"/>
  <c r="F532"/>
  <c r="E531"/>
  <c r="G531" s="1"/>
  <c r="F530"/>
  <c r="E529"/>
  <c r="G529" s="1"/>
  <c r="F528"/>
  <c r="E527"/>
  <c r="G527" s="1"/>
  <c r="F526"/>
  <c r="E525"/>
  <c r="G525" s="1"/>
  <c r="F524"/>
  <c r="E523"/>
  <c r="G523" s="1"/>
  <c r="F522"/>
  <c r="E521"/>
  <c r="G521" s="1"/>
  <c r="F520"/>
  <c r="E519"/>
  <c r="G519" s="1"/>
  <c r="F518"/>
  <c r="E517"/>
  <c r="G517" s="1"/>
  <c r="F516"/>
  <c r="E515"/>
  <c r="G515" s="1"/>
  <c r="F514"/>
  <c r="E513"/>
  <c r="G513" s="1"/>
  <c r="F512"/>
  <c r="E511"/>
  <c r="G511" s="1"/>
  <c r="F510"/>
  <c r="E509"/>
  <c r="G509" s="1"/>
  <c r="F508"/>
  <c r="E507"/>
  <c r="G507" s="1"/>
  <c r="F506"/>
  <c r="E505"/>
  <c r="G505" s="1"/>
  <c r="F504"/>
  <c r="E503"/>
  <c r="G503" s="1"/>
  <c r="F502"/>
  <c r="E501"/>
  <c r="G501" s="1"/>
  <c r="F500"/>
  <c r="E499"/>
  <c r="G499" s="1"/>
  <c r="F498"/>
  <c r="E497"/>
  <c r="G497" s="1"/>
  <c r="F496"/>
  <c r="E495"/>
  <c r="G495" s="1"/>
  <c r="F494"/>
  <c r="E493"/>
  <c r="G493" s="1"/>
  <c r="F492"/>
  <c r="E491"/>
  <c r="G491" s="1"/>
  <c r="F490"/>
  <c r="E489"/>
  <c r="G489" s="1"/>
  <c r="F488"/>
  <c r="E487"/>
  <c r="G487" s="1"/>
  <c r="F486"/>
  <c r="E485"/>
  <c r="G485" s="1"/>
  <c r="F484"/>
  <c r="E483"/>
  <c r="G483" s="1"/>
  <c r="F482"/>
  <c r="E481"/>
  <c r="G481" s="1"/>
  <c r="F480"/>
  <c r="E479"/>
  <c r="G479" s="1"/>
  <c r="F478"/>
  <c r="E477"/>
  <c r="G477" s="1"/>
  <c r="F476"/>
  <c r="E475"/>
  <c r="G475" s="1"/>
  <c r="F474"/>
  <c r="E473"/>
  <c r="G473" s="1"/>
  <c r="F472"/>
  <c r="E471"/>
  <c r="G471" s="1"/>
  <c r="F470"/>
  <c r="E469"/>
  <c r="G469" s="1"/>
  <c r="F468"/>
  <c r="E467"/>
  <c r="G467" s="1"/>
  <c r="F466"/>
  <c r="E465"/>
  <c r="G465" s="1"/>
  <c r="F464"/>
  <c r="E463"/>
  <c r="G463" s="1"/>
  <c r="F462"/>
  <c r="E461"/>
  <c r="G461" s="1"/>
  <c r="F460"/>
  <c r="E459"/>
  <c r="G459" s="1"/>
  <c r="F458"/>
  <c r="E457"/>
  <c r="G457" s="1"/>
  <c r="F456"/>
  <c r="E455"/>
  <c r="G455" s="1"/>
  <c r="F454"/>
  <c r="E453"/>
  <c r="G453" s="1"/>
  <c r="F452"/>
  <c r="E451"/>
  <c r="G451" s="1"/>
  <c r="F450"/>
  <c r="E449"/>
  <c r="G449" s="1"/>
  <c r="F448"/>
  <c r="E447"/>
  <c r="G447" s="1"/>
  <c r="F446"/>
  <c r="E445"/>
  <c r="G445" s="1"/>
  <c r="F444"/>
  <c r="E443"/>
  <c r="G443" s="1"/>
  <c r="F442"/>
  <c r="E441"/>
  <c r="G441" s="1"/>
  <c r="F440"/>
  <c r="E439"/>
  <c r="G439" s="1"/>
  <c r="F438"/>
  <c r="E437"/>
  <c r="G437" s="1"/>
  <c r="F436"/>
  <c r="E435"/>
  <c r="G435" s="1"/>
  <c r="F434"/>
  <c r="E433"/>
  <c r="G433" s="1"/>
  <c r="F432"/>
  <c r="E431"/>
  <c r="G431" s="1"/>
  <c r="F430"/>
  <c r="E429"/>
  <c r="G429" s="1"/>
  <c r="F428"/>
  <c r="E427"/>
  <c r="G427" s="1"/>
  <c r="F426"/>
  <c r="E425"/>
  <c r="G425" s="1"/>
  <c r="F424"/>
  <c r="E423"/>
  <c r="G423" s="1"/>
  <c r="F422"/>
  <c r="E421"/>
  <c r="G421" s="1"/>
  <c r="F420"/>
  <c r="E419"/>
  <c r="G419" s="1"/>
  <c r="F418"/>
  <c r="E417"/>
  <c r="G417" s="1"/>
  <c r="F416"/>
  <c r="E415"/>
  <c r="G415" s="1"/>
  <c r="F414"/>
  <c r="E413"/>
  <c r="G413" s="1"/>
  <c r="F412"/>
  <c r="E411"/>
  <c r="G411" s="1"/>
  <c r="F410"/>
  <c r="E409"/>
  <c r="G409" s="1"/>
  <c r="F408"/>
  <c r="E407"/>
  <c r="G407" s="1"/>
  <c r="F406"/>
  <c r="E405"/>
  <c r="G405" s="1"/>
  <c r="F404"/>
  <c r="E403"/>
  <c r="G403" s="1"/>
  <c r="F402"/>
  <c r="E401"/>
  <c r="G401" s="1"/>
  <c r="F400"/>
  <c r="E399"/>
  <c r="G399" s="1"/>
  <c r="F398"/>
  <c r="E397"/>
  <c r="G397" s="1"/>
  <c r="F396"/>
  <c r="E395"/>
  <c r="G395" s="1"/>
  <c r="F394"/>
  <c r="E393"/>
  <c r="G393" s="1"/>
  <c r="F392"/>
  <c r="E391"/>
  <c r="G391" s="1"/>
  <c r="F390"/>
  <c r="E389"/>
  <c r="G389" s="1"/>
  <c r="F388"/>
  <c r="E387"/>
  <c r="G387" s="1"/>
  <c r="F386"/>
  <c r="E385"/>
  <c r="G385" s="1"/>
  <c r="F384"/>
  <c r="E383"/>
  <c r="G383" s="1"/>
  <c r="F382"/>
  <c r="E381"/>
  <c r="G381" s="1"/>
  <c r="F380"/>
  <c r="E379"/>
  <c r="G379" s="1"/>
  <c r="F378"/>
  <c r="E377"/>
  <c r="G377" s="1"/>
  <c r="F376"/>
  <c r="E375"/>
  <c r="G375" s="1"/>
  <c r="F374"/>
  <c r="E373"/>
  <c r="G373" s="1"/>
  <c r="F372"/>
  <c r="E371"/>
  <c r="G371" s="1"/>
  <c r="F370"/>
  <c r="E369"/>
  <c r="G369" s="1"/>
  <c r="F368"/>
  <c r="E367"/>
  <c r="G367" s="1"/>
  <c r="F366"/>
  <c r="E365"/>
  <c r="G365" s="1"/>
  <c r="F364"/>
  <c r="E363"/>
  <c r="G363" s="1"/>
  <c r="F362"/>
  <c r="E361"/>
  <c r="G361" s="1"/>
  <c r="F360"/>
  <c r="E359"/>
  <c r="G359" s="1"/>
  <c r="F354"/>
  <c r="E354"/>
  <c r="G354" s="1"/>
  <c r="F352"/>
  <c r="E352"/>
  <c r="G352" s="1"/>
  <c r="F350"/>
  <c r="E350"/>
  <c r="G350" s="1"/>
  <c r="F348"/>
  <c r="E348"/>
  <c r="G348" s="1"/>
  <c r="F346"/>
  <c r="E346"/>
  <c r="G346" s="1"/>
  <c r="F344"/>
  <c r="E344"/>
  <c r="G344" s="1"/>
  <c r="F342"/>
  <c r="E342"/>
  <c r="G342" s="1"/>
  <c r="F340"/>
  <c r="E340"/>
  <c r="G340" s="1"/>
  <c r="F338"/>
  <c r="E338"/>
  <c r="G338" s="1"/>
  <c r="F336"/>
  <c r="E336"/>
  <c r="G336" s="1"/>
  <c r="F334"/>
  <c r="E334"/>
  <c r="G334" s="1"/>
  <c r="F332"/>
  <c r="E332"/>
  <c r="G332" s="1"/>
  <c r="F330"/>
  <c r="E330"/>
  <c r="G330" s="1"/>
  <c r="F328"/>
  <c r="E328"/>
  <c r="G328" s="1"/>
  <c r="F326"/>
  <c r="E326"/>
  <c r="G326" s="1"/>
  <c r="F324"/>
  <c r="E324"/>
  <c r="G324" s="1"/>
  <c r="F322"/>
  <c r="E322"/>
  <c r="G322" s="1"/>
  <c r="F320"/>
  <c r="E320"/>
  <c r="G320" s="1"/>
  <c r="F318"/>
  <c r="E318"/>
  <c r="G318" s="1"/>
  <c r="F316"/>
  <c r="E316"/>
  <c r="G316" s="1"/>
  <c r="F314"/>
  <c r="E314"/>
  <c r="G314" s="1"/>
  <c r="F312"/>
  <c r="E312"/>
  <c r="G312" s="1"/>
  <c r="F310"/>
  <c r="E310"/>
  <c r="G310" s="1"/>
  <c r="F308"/>
  <c r="E308"/>
  <c r="G308" s="1"/>
  <c r="F306"/>
  <c r="E306"/>
  <c r="G306" s="1"/>
  <c r="F304"/>
  <c r="E304"/>
  <c r="G304" s="1"/>
  <c r="F302"/>
  <c r="E302"/>
  <c r="G302" s="1"/>
  <c r="F300"/>
  <c r="E300"/>
  <c r="G300" s="1"/>
  <c r="F298"/>
  <c r="E298"/>
  <c r="G298" s="1"/>
  <c r="F296"/>
  <c r="E296"/>
  <c r="G296" s="1"/>
  <c r="F294"/>
  <c r="E294"/>
  <c r="G294" s="1"/>
  <c r="F292"/>
  <c r="E292"/>
  <c r="G292" s="1"/>
  <c r="F290"/>
  <c r="E290"/>
  <c r="G290" s="1"/>
  <c r="F288"/>
  <c r="E288"/>
  <c r="G288" s="1"/>
  <c r="F286"/>
  <c r="E286"/>
  <c r="G286" s="1"/>
  <c r="F284"/>
  <c r="E284"/>
  <c r="G284" s="1"/>
  <c r="F282"/>
  <c r="E282"/>
  <c r="G282" s="1"/>
  <c r="F280"/>
  <c r="E280"/>
  <c r="G280" s="1"/>
  <c r="F278"/>
  <c r="E278"/>
  <c r="G278" s="1"/>
  <c r="F276"/>
  <c r="E276"/>
  <c r="G276" s="1"/>
  <c r="F274"/>
  <c r="E274"/>
  <c r="G274" s="1"/>
  <c r="F272"/>
  <c r="E272"/>
  <c r="G272" s="1"/>
  <c r="F270"/>
  <c r="E270"/>
  <c r="G270" s="1"/>
  <c r="F268"/>
  <c r="E268"/>
  <c r="G268" s="1"/>
  <c r="F266"/>
  <c r="E266"/>
  <c r="G266" s="1"/>
  <c r="F264"/>
  <c r="E264"/>
  <c r="G264" s="1"/>
  <c r="F262"/>
  <c r="E262"/>
  <c r="G262" s="1"/>
  <c r="F260"/>
  <c r="E260"/>
  <c r="G260" s="1"/>
  <c r="F136"/>
  <c r="E136"/>
  <c r="G136" s="1"/>
  <c r="F134"/>
  <c r="E134"/>
  <c r="G134" s="1"/>
  <c r="F132"/>
  <c r="E132"/>
  <c r="G132" s="1"/>
  <c r="F130"/>
  <c r="E130"/>
  <c r="G130" s="1"/>
  <c r="F128"/>
  <c r="E128"/>
  <c r="G128" s="1"/>
  <c r="F126"/>
  <c r="E126"/>
  <c r="G126" s="1"/>
  <c r="F124"/>
  <c r="E124"/>
  <c r="G124" s="1"/>
  <c r="F122"/>
  <c r="E122"/>
  <c r="G122" s="1"/>
  <c r="F120"/>
  <c r="E120"/>
  <c r="G120" s="1"/>
  <c r="F118"/>
  <c r="E118"/>
  <c r="G118" s="1"/>
  <c r="F116"/>
  <c r="E116"/>
  <c r="G116" s="1"/>
  <c r="F114"/>
  <c r="E114"/>
  <c r="G114" s="1"/>
  <c r="F259"/>
  <c r="E258"/>
  <c r="G258" s="1"/>
  <c r="F257"/>
  <c r="E256"/>
  <c r="G256" s="1"/>
  <c r="F255"/>
  <c r="E254"/>
  <c r="G254" s="1"/>
  <c r="F253"/>
  <c r="E252"/>
  <c r="G252" s="1"/>
  <c r="F251"/>
  <c r="E250"/>
  <c r="G250" s="1"/>
  <c r="F249"/>
  <c r="E248"/>
  <c r="G248" s="1"/>
  <c r="F247"/>
  <c r="E246"/>
  <c r="G246" s="1"/>
  <c r="F245"/>
  <c r="E244"/>
  <c r="G244" s="1"/>
  <c r="F243"/>
  <c r="E242"/>
  <c r="G242" s="1"/>
  <c r="F241"/>
  <c r="E240"/>
  <c r="G240" s="1"/>
  <c r="F239"/>
  <c r="E238"/>
  <c r="G238" s="1"/>
  <c r="F237"/>
  <c r="E236"/>
  <c r="G236" s="1"/>
  <c r="F235"/>
  <c r="E234"/>
  <c r="G234" s="1"/>
  <c r="F233"/>
  <c r="E232"/>
  <c r="G232" s="1"/>
  <c r="F231"/>
  <c r="E230"/>
  <c r="G230" s="1"/>
  <c r="F229"/>
  <c r="E228"/>
  <c r="G228" s="1"/>
  <c r="F227"/>
  <c r="E226"/>
  <c r="G226" s="1"/>
  <c r="F225"/>
  <c r="E224"/>
  <c r="G224" s="1"/>
  <c r="F223"/>
  <c r="E222"/>
  <c r="G222" s="1"/>
  <c r="F221"/>
  <c r="E220"/>
  <c r="G220" s="1"/>
  <c r="F219"/>
  <c r="E218"/>
  <c r="G218" s="1"/>
  <c r="F217"/>
  <c r="E216"/>
  <c r="G216" s="1"/>
  <c r="F215"/>
  <c r="E214"/>
  <c r="G214" s="1"/>
  <c r="F213"/>
  <c r="E212"/>
  <c r="G212" s="1"/>
  <c r="F211"/>
  <c r="E210"/>
  <c r="G210" s="1"/>
  <c r="F209"/>
  <c r="E208"/>
  <c r="G208" s="1"/>
  <c r="F207"/>
  <c r="E206"/>
  <c r="G206" s="1"/>
  <c r="F205"/>
  <c r="E204"/>
  <c r="G204" s="1"/>
  <c r="F203"/>
  <c r="E202"/>
  <c r="G202" s="1"/>
  <c r="F201"/>
  <c r="E200"/>
  <c r="G200" s="1"/>
  <c r="F199"/>
  <c r="E198"/>
  <c r="G198" s="1"/>
  <c r="F197"/>
  <c r="E196"/>
  <c r="G196" s="1"/>
  <c r="F195"/>
  <c r="E194"/>
  <c r="G194" s="1"/>
  <c r="F193"/>
  <c r="E192"/>
  <c r="G192" s="1"/>
  <c r="F191"/>
  <c r="E190"/>
  <c r="G190" s="1"/>
  <c r="F189"/>
  <c r="E188"/>
  <c r="G188" s="1"/>
  <c r="F187"/>
  <c r="E186"/>
  <c r="G186" s="1"/>
  <c r="F185"/>
  <c r="E184"/>
  <c r="G184" s="1"/>
  <c r="F183"/>
  <c r="E182"/>
  <c r="G182" s="1"/>
  <c r="F181"/>
  <c r="E180"/>
  <c r="G180" s="1"/>
  <c r="F179"/>
  <c r="E178"/>
  <c r="G178" s="1"/>
  <c r="F177"/>
  <c r="E176"/>
  <c r="G176" s="1"/>
  <c r="F175"/>
  <c r="E174"/>
  <c r="G174" s="1"/>
  <c r="F173"/>
  <c r="E172"/>
  <c r="G172" s="1"/>
  <c r="F171"/>
  <c r="E170"/>
  <c r="G170" s="1"/>
  <c r="F169"/>
  <c r="E168"/>
  <c r="G168" s="1"/>
  <c r="F167"/>
  <c r="E166"/>
  <c r="G166" s="1"/>
  <c r="F165"/>
  <c r="E164"/>
  <c r="G164" s="1"/>
  <c r="F163"/>
  <c r="E162"/>
  <c r="G162" s="1"/>
  <c r="F161"/>
  <c r="E160"/>
  <c r="G160" s="1"/>
  <c r="F159"/>
  <c r="E158"/>
  <c r="G158" s="1"/>
  <c r="F157"/>
  <c r="E156"/>
  <c r="G156" s="1"/>
  <c r="F155"/>
  <c r="E154"/>
  <c r="G154" s="1"/>
  <c r="F153"/>
  <c r="E152"/>
  <c r="G152" s="1"/>
  <c r="F151"/>
  <c r="E150"/>
  <c r="G150" s="1"/>
  <c r="F149"/>
  <c r="E148"/>
  <c r="G148" s="1"/>
  <c r="F147"/>
  <c r="E146"/>
  <c r="G146" s="1"/>
  <c r="F145"/>
  <c r="E144"/>
  <c r="G144" s="1"/>
  <c r="F143"/>
  <c r="E142"/>
  <c r="G142" s="1"/>
  <c r="F141"/>
  <c r="E140"/>
  <c r="G140" s="1"/>
  <c r="F139"/>
  <c r="E138"/>
  <c r="G138" s="1"/>
  <c r="F137"/>
  <c r="E135"/>
  <c r="G135" s="1"/>
  <c r="F135"/>
  <c r="E133"/>
  <c r="G133" s="1"/>
  <c r="F133"/>
  <c r="E131"/>
  <c r="G131" s="1"/>
  <c r="F131"/>
  <c r="E129"/>
  <c r="G129" s="1"/>
  <c r="F129"/>
  <c r="E127"/>
  <c r="G127" s="1"/>
  <c r="F127"/>
  <c r="E125"/>
  <c r="G125" s="1"/>
  <c r="F125"/>
  <c r="E123"/>
  <c r="G123" s="1"/>
  <c r="F123"/>
  <c r="E121"/>
  <c r="G121" s="1"/>
  <c r="F121"/>
  <c r="E119"/>
  <c r="G119" s="1"/>
  <c r="F119"/>
  <c r="E117"/>
  <c r="G117" s="1"/>
  <c r="F117"/>
  <c r="E115"/>
  <c r="G115" s="1"/>
  <c r="F115"/>
  <c r="F113"/>
  <c r="E112"/>
  <c r="G112" s="1"/>
  <c r="F111"/>
  <c r="E110"/>
  <c r="G110" s="1"/>
  <c r="F109"/>
  <c r="E108"/>
  <c r="G108" s="1"/>
  <c r="F107"/>
  <c r="E106"/>
  <c r="G106" s="1"/>
  <c r="F105"/>
  <c r="E104"/>
  <c r="G104" s="1"/>
  <c r="F103"/>
  <c r="E102"/>
  <c r="G102" s="1"/>
  <c r="F101"/>
  <c r="E100"/>
  <c r="G100" s="1"/>
  <c r="F99"/>
  <c r="E98"/>
  <c r="G98" s="1"/>
  <c r="F97"/>
  <c r="E96"/>
  <c r="G96" s="1"/>
  <c r="F95"/>
  <c r="E94"/>
  <c r="G94" s="1"/>
  <c r="F93"/>
  <c r="E92"/>
  <c r="G92" s="1"/>
  <c r="F91"/>
  <c r="E90"/>
  <c r="G90" s="1"/>
  <c r="F89"/>
  <c r="E88"/>
  <c r="G88" s="1"/>
  <c r="F87"/>
  <c r="E86"/>
  <c r="G86" s="1"/>
  <c r="F85"/>
  <c r="E84"/>
  <c r="G84" s="1"/>
  <c r="F83"/>
  <c r="E82"/>
  <c r="G82" s="1"/>
  <c r="F81"/>
  <c r="E80"/>
  <c r="G80" s="1"/>
  <c r="F79"/>
  <c r="E78"/>
  <c r="G78" s="1"/>
  <c r="F77"/>
  <c r="E76"/>
  <c r="G76" s="1"/>
  <c r="F75"/>
  <c r="E74"/>
  <c r="G74" s="1"/>
  <c r="F73"/>
  <c r="E72"/>
  <c r="G72" s="1"/>
  <c r="F71"/>
  <c r="E70"/>
  <c r="G70" s="1"/>
  <c r="F69"/>
  <c r="E68"/>
  <c r="G68" s="1"/>
  <c r="F67"/>
  <c r="E66"/>
  <c r="G66" s="1"/>
  <c r="F65"/>
  <c r="E64"/>
  <c r="G64" s="1"/>
  <c r="E62"/>
  <c r="G62" s="1"/>
  <c r="F62"/>
  <c r="E60"/>
  <c r="G60" s="1"/>
  <c r="F60"/>
  <c r="E58"/>
  <c r="G58" s="1"/>
  <c r="F58"/>
  <c r="E56"/>
  <c r="G56" s="1"/>
  <c r="F56"/>
  <c r="E54"/>
  <c r="G54" s="1"/>
  <c r="F54"/>
  <c r="E52"/>
  <c r="G52" s="1"/>
  <c r="F52"/>
  <c r="E50"/>
  <c r="G50" s="1"/>
  <c r="F50"/>
  <c r="E48"/>
  <c r="G48" s="1"/>
  <c r="F48"/>
  <c r="E46"/>
  <c r="G46" s="1"/>
  <c r="F46"/>
  <c r="E44"/>
  <c r="G44" s="1"/>
  <c r="F44"/>
  <c r="E42"/>
  <c r="G42" s="1"/>
  <c r="F42"/>
  <c r="E40"/>
  <c r="G40" s="1"/>
  <c r="F40"/>
  <c r="E38"/>
  <c r="G38" s="1"/>
  <c r="F38"/>
  <c r="E36"/>
  <c r="G36" s="1"/>
  <c r="F36"/>
  <c r="E34"/>
  <c r="G34" s="1"/>
  <c r="F34"/>
  <c r="E32"/>
  <c r="G32" s="1"/>
  <c r="F32"/>
  <c r="E30"/>
  <c r="G30" s="1"/>
  <c r="F30"/>
  <c r="E28"/>
  <c r="G28" s="1"/>
  <c r="F28"/>
  <c r="E26"/>
  <c r="G26" s="1"/>
  <c r="F26"/>
  <c r="E24"/>
  <c r="G24" s="1"/>
  <c r="F24"/>
  <c r="E22"/>
  <c r="G22" s="1"/>
  <c r="F22"/>
  <c r="E20"/>
  <c r="G20" s="1"/>
  <c r="F20"/>
  <c r="E18"/>
  <c r="G18" s="1"/>
  <c r="F18"/>
  <c r="E16"/>
  <c r="G16" s="1"/>
  <c r="F16"/>
  <c r="E14"/>
  <c r="G14" s="1"/>
  <c r="F14"/>
  <c r="E12"/>
  <c r="G12" s="1"/>
  <c r="F12"/>
  <c r="E10"/>
  <c r="G10" s="1"/>
  <c r="F10"/>
  <c r="L11" i="32917"/>
  <c r="M11"/>
  <c r="G1" i="5"/>
  <c r="F1"/>
  <c r="E1"/>
  <c r="D20" s="1"/>
  <c r="D1"/>
  <c r="C1"/>
  <c r="C2" s="1"/>
  <c r="AE35" s="1"/>
  <c r="AE31" s="1"/>
  <c r="B1"/>
  <c r="A1"/>
  <c r="C4" i="32915"/>
  <c r="AY11" i="5"/>
  <c r="AY12" s="1"/>
  <c r="AY13" s="1"/>
  <c r="AY14" s="1"/>
  <c r="AY15" s="1"/>
  <c r="AY16" s="1"/>
  <c r="AY17" s="1"/>
  <c r="AY18" s="1"/>
  <c r="AY19" s="1"/>
  <c r="AY20" s="1"/>
  <c r="AY21" s="1"/>
  <c r="AY22" s="1"/>
  <c r="AY23" s="1"/>
  <c r="AY24" s="1"/>
  <c r="AY25" s="1"/>
  <c r="AY26" s="1"/>
  <c r="AY27" s="1"/>
  <c r="AY28" s="1"/>
  <c r="AY29" s="1"/>
  <c r="AY30" s="1"/>
  <c r="AY31" s="1"/>
  <c r="AY32" s="1"/>
  <c r="AY33" s="1"/>
  <c r="AY34" s="1"/>
  <c r="AY35" s="1"/>
  <c r="AY36" s="1"/>
  <c r="AY37" s="1"/>
  <c r="AY38" s="1"/>
  <c r="AY39" s="1"/>
  <c r="AY40" s="1"/>
  <c r="AY41" s="1"/>
  <c r="AY42" s="1"/>
  <c r="AY43" s="1"/>
  <c r="AY44" s="1"/>
  <c r="AY45" s="1"/>
  <c r="AY46" s="1"/>
  <c r="AY47" s="1"/>
  <c r="AY48" s="1"/>
  <c r="AY49" s="1"/>
  <c r="B27" i="32915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26"/>
  <c r="C22" s="1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C5"/>
  <c r="C3"/>
  <c r="C12"/>
  <c r="C13"/>
  <c r="C14"/>
  <c r="C15"/>
  <c r="C16"/>
  <c r="C17"/>
  <c r="C11"/>
  <c r="D11" i="5"/>
  <c r="A2"/>
  <c r="G31" s="1"/>
  <c r="A3"/>
  <c r="F35" s="1"/>
  <c r="B2"/>
  <c r="AW34"/>
  <c r="G35" s="1"/>
  <c r="AD31"/>
  <c r="AD35"/>
  <c r="D28"/>
  <c r="F31"/>
  <c r="AV34"/>
  <c r="A72" i="32915" l="1"/>
  <c r="C21" s="1"/>
  <c r="D21" i="5"/>
  <c r="D22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<sst xmlns="http://schemas.openxmlformats.org/spreadsheetml/2006/main" count="17224" uniqueCount="1404">
  <si>
    <t>Motivo</t>
  </si>
  <si>
    <t>Fecha</t>
  </si>
  <si>
    <t>N°</t>
  </si>
  <si>
    <t>A</t>
  </si>
  <si>
    <t>C</t>
  </si>
  <si>
    <t>Datos para importar a S.A.P. por Co11</t>
  </si>
  <si>
    <t>Orden Imperfecta - Bajada de linea</t>
  </si>
  <si>
    <t>Orden Imperfecta - Diferencia de cantidad</t>
  </si>
  <si>
    <t>Orden Imperfecta - Inserto de Linea</t>
  </si>
  <si>
    <t>Orden Imperfecta - Oportunidad</t>
  </si>
  <si>
    <t>Orden Imperfecta - Orden No Lanzada</t>
  </si>
  <si>
    <t>Orden Imperfecta - Orden No realizada</t>
  </si>
  <si>
    <t>Orden Imperfecta - Orden Retenida</t>
  </si>
  <si>
    <t>Inspector de Tiempo</t>
  </si>
  <si>
    <t>Turno</t>
  </si>
  <si>
    <t>Total de Ordenes Fabricadas.</t>
  </si>
  <si>
    <t>OF</t>
  </si>
  <si>
    <t>Cajas x hoja lote</t>
  </si>
  <si>
    <t>Cajas x Sap</t>
  </si>
  <si>
    <t>Turno cargado</t>
  </si>
  <si>
    <t>Final</t>
  </si>
  <si>
    <t>Parcial</t>
  </si>
  <si>
    <t>Status ordenes</t>
  </si>
  <si>
    <t>Hoja de lote</t>
  </si>
  <si>
    <t>Notificaciones</t>
  </si>
  <si>
    <t>Linea</t>
  </si>
  <si>
    <t>Linea 2</t>
  </si>
  <si>
    <t>Orden</t>
  </si>
  <si>
    <t>Observacion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</si>
  <si>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</si>
  <si>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</si>
  <si>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</si>
  <si>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</si>
  <si>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</si>
  <si>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</si>
  <si>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</si>
  <si>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</si>
  <si>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</si>
  <si>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</si>
  <si>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</si>
  <si>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Turnos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</si>
  <si>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</si>
  <si>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</si>
  <si>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</si>
  <si>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</si>
  <si>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</si>
  <si>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</si>
  <si>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</si>
  <si>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</si>
  <si>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</si>
  <si>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</si>
  <si>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</si>
  <si>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</si>
  <si>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</si>
  <si>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</si>
  <si>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</si>
  <si>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</si>
  <si>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B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</si>
  <si>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</si>
  <si>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</si>
  <si>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</si>
  <si>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</si>
  <si>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</si>
  <si>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</si>
  <si>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</si>
  <si>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</si>
  <si>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</si>
  <si>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</si>
  <si>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</si>
  <si>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</si>
  <si>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</si>
  <si>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</si>
  <si>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</si>
  <si>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</si>
  <si>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</si>
  <si>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</si>
  <si>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</si>
  <si>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</si>
  <si>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</si>
  <si>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</si>
  <si>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</si>
  <si>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</si>
  <si>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</si>
  <si>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</si>
  <si>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</si>
  <si>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</si>
  <si>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</si>
  <si>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</si>
  <si>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</si>
  <si>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</si>
  <si>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</si>
  <si>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</si>
  <si>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</si>
  <si>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</si>
  <si>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</si>
  <si>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</si>
  <si>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</si>
  <si>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</si>
  <si>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</si>
  <si>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</si>
  <si>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</si>
  <si>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</si>
  <si>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</si>
  <si>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</si>
  <si>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</si>
  <si>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</si>
  <si>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</si>
  <si>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</si>
  <si>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</si>
  <si>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</si>
  <si>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</si>
  <si>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</si>
  <si>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</si>
  <si>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</si>
  <si>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</si>
  <si>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</si>
  <si>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</si>
  <si>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</si>
  <si>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</si>
  <si>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</si>
  <si>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</si>
  <si>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</si>
  <si>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</si>
  <si>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</si>
  <si>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</si>
  <si>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</si>
  <si>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</si>
  <si>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</si>
  <si>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</si>
  <si>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</si>
  <si>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</si>
  <si>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</si>
  <si>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</si>
  <si>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</si>
  <si>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</si>
  <si>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</si>
  <si>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</si>
  <si>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</si>
  <si>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</si>
  <si>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</si>
  <si>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</si>
  <si>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</si>
  <si>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</si>
  <si>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</si>
  <si>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</si>
  <si>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</si>
  <si>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</si>
  <si>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</si>
  <si>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</si>
  <si>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</si>
  <si>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</si>
  <si>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</si>
  <si>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</si>
  <si>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</si>
  <si>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</si>
  <si>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</si>
  <si>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</si>
  <si>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</si>
  <si>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</si>
  <si>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</si>
  <si>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</si>
  <si>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</si>
  <si>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</si>
  <si>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</si>
  <si>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</si>
  <si>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</si>
  <si>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</si>
  <si>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</si>
  <si>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</si>
  <si>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</si>
  <si>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</si>
  <si>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</si>
  <si>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</si>
  <si>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</si>
  <si>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</si>
  <si>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</si>
  <si>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</si>
  <si>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</si>
  <si>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</si>
  <si>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</si>
  <si>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</si>
  <si>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</si>
  <si>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</si>
  <si>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</si>
  <si>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</si>
  <si>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</si>
  <si>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</si>
  <si>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</si>
  <si>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</si>
  <si>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</si>
  <si>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</si>
  <si>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</si>
  <si>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</si>
  <si>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</si>
  <si>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</si>
  <si>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</si>
  <si>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</si>
  <si>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</si>
  <si>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</si>
  <si>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</si>
  <si>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</si>
  <si>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</si>
  <si>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</si>
  <si>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</si>
  <si>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</si>
  <si>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</si>
  <si>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</si>
  <si>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</si>
  <si>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</si>
  <si>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</si>
  <si>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</si>
  <si>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</si>
  <si>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</si>
  <si>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</si>
  <si>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</si>
  <si>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</si>
  <si>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</si>
  <si>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</si>
  <si>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</si>
  <si>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</si>
  <si>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</si>
  <si>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</si>
  <si>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</si>
  <si>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</si>
  <si>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</si>
  <si>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</si>
  <si>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</si>
  <si>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</si>
  <si>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</si>
  <si>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</si>
  <si>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</si>
  <si>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</si>
  <si>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</si>
  <si>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</si>
  <si>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</si>
  <si>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</si>
  <si>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</si>
  <si>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</si>
  <si>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</si>
  <si>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</si>
  <si>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</si>
  <si>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</si>
  <si>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</si>
  <si>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</si>
  <si>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</si>
  <si>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</si>
  <si>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</si>
  <si>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</si>
  <si>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</si>
  <si>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</si>
  <si>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</si>
  <si>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</si>
  <si>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</si>
  <si>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</si>
  <si>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</si>
  <si>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</si>
  <si>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</si>
  <si>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</si>
  <si>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</si>
  <si>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</si>
  <si>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</si>
  <si>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</si>
  <si>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</si>
  <si>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</si>
  <si>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</si>
  <si>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</si>
  <si>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</si>
  <si>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</si>
  <si>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</si>
  <si>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</si>
  <si>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Wilson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</si>
  <si>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</si>
  <si>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</si>
  <si>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</si>
  <si>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</si>
  <si>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</si>
  <si>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</si>
  <si>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</si>
  <si>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</si>
  <si>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</si>
  <si>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</si>
  <si>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</si>
  <si>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</si>
  <si>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</si>
  <si>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</si>
  <si>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</si>
  <si>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</si>
  <si>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</si>
  <si>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</si>
  <si>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</si>
  <si>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</si>
  <si>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</si>
  <si>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</si>
  <si>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</si>
  <si>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</si>
  <si>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</si>
  <si>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</si>
  <si>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</si>
  <si>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</si>
  <si>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</si>
  <si>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</si>
  <si>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</si>
  <si>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</si>
  <si>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</si>
  <si>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</si>
  <si>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</si>
  <si>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</si>
  <si>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</si>
  <si>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</si>
  <si>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</si>
  <si>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</si>
  <si>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</si>
  <si>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</si>
  <si>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</si>
  <si>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</si>
  <si>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</si>
  <si>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</si>
  <si>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</si>
  <si>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</si>
  <si>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</si>
  <si>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</si>
  <si>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</si>
  <si>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</si>
  <si>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</si>
  <si>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</si>
  <si>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</si>
  <si>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</si>
  <si>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</si>
  <si>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</si>
  <si>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</si>
  <si>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</si>
  <si>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</si>
  <si>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</si>
  <si>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</si>
  <si>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</si>
  <si>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</si>
  <si>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</si>
  <si>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</si>
  <si>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</si>
  <si>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</si>
  <si>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</si>
  <si>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</si>
  <si>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</si>
  <si>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</si>
  <si>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</si>
  <si>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</si>
  <si>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</si>
  <si>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</si>
  <si>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</si>
  <si>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</si>
  <si>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</si>
  <si>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</si>
  <si>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</si>
  <si>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</si>
  <si>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</si>
  <si>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</si>
  <si>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</si>
  <si>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</si>
  <si>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</si>
  <si>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</si>
  <si>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</si>
  <si>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</si>
  <si>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</si>
  <si>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</si>
  <si>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</si>
  <si>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Americo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</si>
  <si>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</si>
  <si>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</si>
  <si>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</si>
  <si>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</si>
  <si>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</si>
  <si>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</si>
  <si>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</si>
  <si>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</si>
  <si>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</si>
  <si>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</si>
  <si>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</si>
  <si>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</si>
  <si>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</si>
  <si>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</si>
  <si>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</si>
  <si>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</si>
  <si>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</si>
  <si>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</si>
  <si>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</si>
  <si>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</si>
  <si>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</si>
  <si>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</si>
  <si>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</si>
  <si>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</si>
  <si>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</si>
  <si>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</si>
  <si>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</si>
  <si>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</si>
  <si>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</si>
  <si>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</si>
  <si>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</si>
  <si>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</si>
  <si>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</si>
  <si>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</si>
  <si>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</si>
  <si>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</si>
  <si>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</si>
  <si>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</si>
  <si>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</si>
  <si>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</si>
  <si>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</si>
  <si>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</si>
  <si>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</si>
  <si>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</si>
  <si>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</si>
  <si>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</si>
  <si>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</si>
  <si>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</si>
  <si>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</si>
  <si>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</si>
  <si>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</si>
  <si>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</si>
  <si>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</si>
  <si>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</si>
  <si>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</si>
  <si>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</si>
  <si>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</si>
  <si>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</si>
  <si>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</si>
  <si>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</si>
  <si>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</si>
  <si>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</si>
  <si>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</si>
  <si>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</si>
  <si>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</si>
  <si>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</si>
  <si>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</si>
  <si>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</si>
  <si>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</si>
  <si>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</si>
  <si>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</si>
  <si>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</si>
  <si>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</si>
  <si>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</si>
  <si>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</si>
  <si>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</si>
  <si>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16.380.095-0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</si>
  <si>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</si>
  <si>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</si>
  <si>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</si>
  <si>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</si>
  <si>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</si>
  <si>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</si>
  <si>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</si>
  <si>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</si>
  <si>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</si>
  <si>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</si>
  <si>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</si>
  <si>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</si>
  <si>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</si>
  <si>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</si>
  <si>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</si>
  <si>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</si>
  <si>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</si>
  <si>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</si>
  <si>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</si>
  <si>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</si>
  <si>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</si>
  <si>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</si>
  <si>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</si>
  <si>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</si>
  <si>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</si>
  <si>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</si>
  <si>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</si>
  <si>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</si>
  <si>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</si>
  <si>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</si>
  <si>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</si>
  <si>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</si>
  <si>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</si>
  <si>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</si>
  <si>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</si>
  <si>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</si>
  <si>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</si>
  <si>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</si>
  <si>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</si>
  <si>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</si>
  <si>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</si>
  <si>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</si>
  <si>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</si>
  <si>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</si>
  <si>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</si>
  <si>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</si>
  <si>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</si>
  <si>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</si>
  <si>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</si>
  <si>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</si>
  <si>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</si>
  <si>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</si>
  <si>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</si>
  <si>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</si>
  <si>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</si>
  <si>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</si>
  <si>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</si>
  <si>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</si>
  <si>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</si>
  <si>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</si>
  <si>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</si>
  <si>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</si>
  <si>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</si>
  <si>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</si>
  <si>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</si>
  <si>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</si>
  <si>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</si>
  <si>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</si>
  <si>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</si>
  <si>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</si>
  <si>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</si>
  <si>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</si>
  <si>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</si>
  <si>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</si>
  <si>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</si>
  <si>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</si>
  <si>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</si>
  <si>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</si>
  <si>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</si>
  <si>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</si>
  <si>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</si>
  <si>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</si>
  <si>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</si>
  <si>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</si>
  <si>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</si>
  <si>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</si>
  <si>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</si>
  <si>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</si>
  <si>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</si>
  <si>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</si>
  <si>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</si>
  <si>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</si>
  <si>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</si>
  <si>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</si>
  <si>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</si>
  <si>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</si>
  <si>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</si>
  <si>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</si>
  <si>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</si>
  <si>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</si>
  <si>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</si>
  <si>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</si>
  <si>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</si>
  <si>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</si>
  <si>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</si>
  <si>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</si>
  <si>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</si>
  <si>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</si>
  <si>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</si>
  <si>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</si>
  <si>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</si>
  <si>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</si>
  <si>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</si>
  <si>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</si>
  <si>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</si>
  <si>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</si>
  <si>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</si>
  <si>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</si>
  <si>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</si>
  <si>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</si>
  <si>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</si>
  <si>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</si>
  <si>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</si>
  <si>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</si>
  <si>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</si>
  <si>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</si>
  <si>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</si>
  <si>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</si>
  <si>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</si>
  <si>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</si>
  <si>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</si>
  <si>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</si>
  <si>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</si>
  <si>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</si>
  <si>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</si>
  <si>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</si>
  <si>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</si>
  <si>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</si>
  <si>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</si>
  <si>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</si>
  <si>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</si>
  <si>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</si>
  <si>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</si>
  <si>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</si>
  <si>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</si>
  <si>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</si>
  <si>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</si>
  <si>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</si>
  <si>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</si>
  <si>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</si>
  <si>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</si>
  <si>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</si>
  <si>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</si>
  <si>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</si>
  <si>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</si>
  <si>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</si>
  <si>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</si>
  <si>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</si>
  <si>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</si>
  <si>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</si>
  <si>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</si>
  <si>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</si>
  <si>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</si>
  <si>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</si>
  <si>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</si>
  <si>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</si>
  <si>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</si>
  <si>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</si>
  <si>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</si>
  <si>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</si>
  <si>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</si>
  <si>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</si>
  <si>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</si>
  <si>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</si>
  <si>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</si>
  <si>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</si>
  <si>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</si>
  <si>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</si>
  <si>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</si>
  <si>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</si>
  <si>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</si>
  <si>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</si>
  <si>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</si>
  <si>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</si>
  <si>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</si>
  <si>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</si>
  <si>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</si>
  <si>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</si>
  <si>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</si>
  <si>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</si>
  <si>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</si>
  <si>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</si>
  <si>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</si>
  <si>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</si>
  <si>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</si>
  <si>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</si>
  <si>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</si>
  <si>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</si>
  <si>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</si>
  <si>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</si>
  <si>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</si>
  <si>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</si>
  <si>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</si>
  <si>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</si>
  <si>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</si>
  <si>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</si>
  <si>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</si>
  <si>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</si>
  <si>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</si>
  <si>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</si>
  <si>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</si>
  <si>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</si>
  <si>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</si>
  <si>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</si>
  <si>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</si>
  <si>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</si>
  <si>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</si>
  <si>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</si>
  <si>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</si>
  <si>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</si>
  <si>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</si>
  <si>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</si>
  <si>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</si>
  <si>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</si>
  <si>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</si>
  <si>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</si>
  <si>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</si>
  <si>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</si>
  <si>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</si>
  <si>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</si>
  <si>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</si>
  <si>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</si>
  <si>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</si>
  <si>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</si>
  <si>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</si>
  <si>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</si>
  <si>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</si>
  <si>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</si>
  <si>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</si>
  <si>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</si>
  <si>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</si>
  <si>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</si>
  <si>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</si>
  <si>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</si>
  <si>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</si>
  <si>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</si>
  <si>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</si>
  <si>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</si>
  <si>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</si>
  <si>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</si>
  <si>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</si>
  <si>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</si>
  <si>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</si>
  <si>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</si>
  <si>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</si>
  <si>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</si>
  <si>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</si>
  <si>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</si>
  <si>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</si>
  <si>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</si>
  <si>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</si>
  <si>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</si>
  <si>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</si>
  <si>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</si>
  <si>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</si>
  <si>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</si>
  <si>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</si>
  <si>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</si>
  <si>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</si>
  <si>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</si>
  <si>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</si>
  <si>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</si>
  <si>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</si>
  <si>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</si>
  <si>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</si>
  <si>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</si>
  <si>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</si>
  <si>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</si>
  <si>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</si>
  <si>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</si>
  <si>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</si>
  <si>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</si>
  <si>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</si>
  <si>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</si>
  <si>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</si>
  <si>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</si>
  <si>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</si>
  <si>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</si>
  <si>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</si>
  <si>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</si>
  <si>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</si>
  <si>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</si>
  <si>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</si>
  <si>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</si>
  <si>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</si>
  <si>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</si>
  <si>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</si>
  <si>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</si>
  <si>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</si>
  <si>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</si>
  <si>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</si>
  <si>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</si>
  <si>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</si>
  <si>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</si>
  <si>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</si>
  <si>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</si>
  <si>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</si>
  <si>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</si>
  <si>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</si>
  <si>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</si>
  <si>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</si>
  <si>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</si>
  <si>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</si>
  <si>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</si>
  <si>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</si>
  <si>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</si>
  <si>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</si>
  <si>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</si>
  <si>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</si>
  <si>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</si>
  <si>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</si>
  <si>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</si>
  <si>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</si>
  <si>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</si>
  <si>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</si>
  <si>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</si>
  <si>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</si>
  <si>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</si>
  <si>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</si>
  <si>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</si>
  <si>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</si>
  <si>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</si>
  <si>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</si>
  <si>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</si>
  <si>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</si>
  <si>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</si>
  <si>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</si>
  <si>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</si>
  <si>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</si>
  <si>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</si>
  <si>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</si>
  <si>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</si>
  <si>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</si>
  <si>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</si>
  <si>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</si>
  <si>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</si>
  <si>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</si>
  <si>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</si>
  <si>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</si>
  <si>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</si>
  <si>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</si>
  <si>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</si>
  <si>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</si>
  <si>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</si>
  <si>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</si>
  <si>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</si>
  <si>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</si>
  <si>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</si>
  <si>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</si>
  <si>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</si>
  <si>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</si>
  <si>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</si>
  <si>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</si>
  <si>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</si>
  <si>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</si>
  <si>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</si>
  <si>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</si>
  <si>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</si>
  <si>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</si>
  <si>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</si>
  <si>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</si>
  <si>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</si>
  <si>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</si>
  <si>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</si>
  <si>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</si>
  <si>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</si>
  <si>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</si>
  <si>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</si>
  <si>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</si>
  <si>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</si>
  <si>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</si>
  <si>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</si>
  <si>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</si>
  <si>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</si>
  <si>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</si>
  <si>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</si>
  <si>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</si>
  <si>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</si>
  <si>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</si>
  <si>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</si>
  <si>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</si>
  <si>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</si>
  <si>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</si>
  <si>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</si>
  <si>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</si>
  <si>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</si>
  <si>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</si>
  <si>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</si>
  <si>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</si>
  <si>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</si>
  <si>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</si>
  <si>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</si>
  <si>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</si>
  <si>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</si>
  <si>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</si>
  <si>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</si>
  <si>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</si>
  <si>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</si>
  <si>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</si>
  <si>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</si>
  <si>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</si>
  <si>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</si>
  <si>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</si>
  <si>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</si>
  <si>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</si>
  <si>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</si>
  <si>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</si>
  <si>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</si>
  <si>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</si>
  <si>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</si>
  <si>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</si>
  <si>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</si>
  <si>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</si>
  <si>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</si>
  <si>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</si>
  <si>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</si>
  <si>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</si>
  <si>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</si>
  <si>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</si>
  <si>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</si>
  <si>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</si>
  <si>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</si>
  <si>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</si>
  <si>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</si>
  <si>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</si>
  <si>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</si>
  <si>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</si>
  <si>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</si>
  <si>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</si>
  <si>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</si>
  <si>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</si>
  <si>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</si>
  <si>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</si>
  <si>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</si>
  <si>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</si>
  <si>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</si>
  <si>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</si>
  <si>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</si>
  <si>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</si>
  <si>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</si>
  <si>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</si>
  <si>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</si>
  <si>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</si>
  <si>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</si>
  <si>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</si>
  <si>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</si>
  <si>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</si>
  <si>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</si>
  <si>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</si>
  <si>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</si>
  <si>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</si>
  <si>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</si>
  <si>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</si>
  <si>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</si>
  <si>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</si>
  <si>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</si>
  <si>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</si>
  <si>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</si>
  <si>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</si>
  <si>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</si>
  <si>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</si>
  <si>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</si>
  <si>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</si>
  <si>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</si>
  <si>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</si>
  <si>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</si>
  <si>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</si>
  <si>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</si>
  <si>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</si>
  <si>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</si>
  <si>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</si>
  <si>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</si>
  <si>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</si>
  <si>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</si>
  <si>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</si>
  <si>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</si>
  <si>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</si>
  <si>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</si>
  <si>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</si>
  <si>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</si>
  <si>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</si>
  <si>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</si>
  <si>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</si>
  <si>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</si>
  <si>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</si>
  <si>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</si>
  <si>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</si>
  <si>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</si>
  <si>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</si>
  <si>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</si>
  <si>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</si>
  <si>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</si>
  <si>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</si>
  <si>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</si>
  <si>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</si>
  <si>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</si>
  <si>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</si>
  <si>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</si>
  <si>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</si>
  <si>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</si>
  <si>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</si>
  <si>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</si>
  <si>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</si>
  <si>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</si>
  <si>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</si>
  <si>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</si>
  <si>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</si>
  <si>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</si>
  <si>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</si>
  <si>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</si>
  <si>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</si>
  <si>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</si>
  <si>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</si>
  <si>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</si>
  <si>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</si>
  <si>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</si>
  <si>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</si>
  <si>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</si>
  <si>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</si>
  <si>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</si>
  <si>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</si>
  <si>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</si>
  <si>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</si>
  <si>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</si>
  <si>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</si>
  <si>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</si>
  <si>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</si>
  <si>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</si>
  <si>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</si>
  <si>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</si>
  <si>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</si>
  <si>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</si>
  <si>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</si>
  <si>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</si>
  <si>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</si>
  <si>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</si>
  <si>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</si>
  <si>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</si>
  <si>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</si>
  <si>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</si>
  <si>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</si>
  <si>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</si>
  <si>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</si>
  <si>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</si>
  <si>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</si>
  <si>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</si>
  <si>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</si>
  <si>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</si>
  <si>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</si>
  <si>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</si>
  <si>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</si>
  <si>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</si>
  <si>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</si>
  <si>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</si>
  <si>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</si>
  <si>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</si>
  <si>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</si>
  <si>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</si>
  <si>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</si>
  <si>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</si>
  <si>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</si>
  <si>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</si>
  <si>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</si>
  <si>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</si>
  <si>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</si>
  <si>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</si>
  <si>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</si>
  <si>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</si>
  <si>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</si>
  <si>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</si>
  <si>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</si>
  <si>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</si>
  <si>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</si>
  <si>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</si>
  <si>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</si>
  <si>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</si>
  <si>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</si>
  <si>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</si>
  <si>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</si>
  <si>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</si>
  <si>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</si>
  <si>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</si>
  <si>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</si>
  <si>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</si>
  <si>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</si>
  <si>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</si>
  <si>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</si>
  <si>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</si>
  <si>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</si>
  <si>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</si>
  <si>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</si>
  <si>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</si>
  <si>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</si>
  <si>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</si>
  <si>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</si>
  <si>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</si>
  <si>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</si>
  <si>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</si>
  <si>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</si>
  <si>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</si>
  <si>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</si>
  <si>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</si>
  <si>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</si>
  <si>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</si>
  <si>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</si>
  <si>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</si>
  <si>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</si>
  <si>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</si>
  <si>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</si>
  <si>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</si>
  <si>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</si>
  <si>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</si>
  <si>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</si>
  <si>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</si>
  <si>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</si>
  <si>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</si>
  <si>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</si>
  <si>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</si>
  <si>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</si>
  <si>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</si>
  <si>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</si>
  <si>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</si>
  <si>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</si>
  <si>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</si>
  <si>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</si>
  <si>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</si>
  <si>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</si>
  <si>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</si>
  <si>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</si>
  <si>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</si>
  <si>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</si>
  <si>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</si>
  <si>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</si>
  <si>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</si>
  <si>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</si>
  <si>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</si>
  <si>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</si>
  <si>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</si>
  <si>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</si>
  <si>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</si>
  <si>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</si>
  <si>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</si>
  <si>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</si>
  <si>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</si>
  <si>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</si>
  <si>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</si>
  <si>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</si>
  <si>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</si>
  <si>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</si>
  <si>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</si>
  <si>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</si>
  <si>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</si>
  <si>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</si>
  <si>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</si>
  <si>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</si>
  <si>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</si>
  <si>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</si>
  <si>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</si>
  <si>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</si>
  <si>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</si>
  <si>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</si>
  <si>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</si>
  <si>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</si>
  <si>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</si>
  <si>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</si>
  <si>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</si>
  <si>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</si>
  <si>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</si>
  <si>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</si>
  <si>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</si>
  <si>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</si>
  <si>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</si>
  <si>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</si>
  <si>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</si>
  <si>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</si>
  <si>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</si>
  <si>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</si>
  <si>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</si>
  <si>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</si>
  <si>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</si>
  <si>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</si>
  <si>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</si>
  <si>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</si>
  <si>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</si>
  <si>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</si>
  <si>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</si>
  <si>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</si>
  <si>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</si>
  <si>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</si>
  <si>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</si>
  <si>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</si>
  <si>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</si>
  <si>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</si>
  <si>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Roberto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</si>
  <si>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</si>
  <si>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</si>
  <si>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</si>
  <si>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</si>
  <si>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</si>
  <si>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</si>
  <si>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</si>
  <si>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</si>
  <si>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</si>
  <si>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</si>
  <si>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</si>
  <si>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</si>
  <si>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</si>
  <si>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</si>
  <si>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</si>
  <si>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</si>
  <si>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</si>
  <si>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</si>
  <si>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</si>
  <si>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</si>
  <si>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</si>
  <si>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</si>
  <si>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</si>
  <si>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</si>
  <si>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</si>
  <si>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</si>
  <si>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</si>
  <si>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</si>
  <si>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</si>
  <si>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</si>
  <si>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</si>
  <si>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</si>
  <si>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</si>
  <si>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</si>
  <si>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</si>
  <si>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</si>
  <si>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</si>
  <si>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</si>
  <si>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</si>
  <si>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</si>
  <si>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</si>
  <si>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</si>
  <si>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</si>
  <si>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</si>
  <si>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</si>
  <si>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</si>
  <si>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</si>
  <si>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</si>
  <si>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</si>
  <si>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</si>
  <si>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</si>
  <si>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</si>
  <si>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</si>
  <si>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</si>
  <si>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</si>
  <si>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</si>
  <si>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</si>
  <si>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</si>
  <si>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</si>
  <si>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</si>
  <si>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</si>
  <si>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</si>
  <si>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</si>
  <si>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</si>
  <si>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</si>
  <si>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</si>
  <si>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</si>
  <si>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</si>
  <si>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</si>
  <si>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</si>
  <si>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</si>
  <si>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</si>
  <si>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</si>
  <si>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</si>
  <si>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</si>
  <si>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</si>
  <si>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</si>
  <si>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</si>
  <si>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</si>
  <si>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</si>
  <si>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</si>
  <si>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</si>
  <si>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</si>
  <si>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</si>
  <si>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</si>
  <si>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</si>
  <si>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</si>
  <si>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</si>
  <si>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</si>
  <si>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</si>
  <si>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</si>
  <si>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</si>
  <si>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</si>
  <si>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</si>
  <si>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</si>
  <si>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</si>
  <si>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</si>
  <si>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</si>
  <si>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</si>
  <si>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</si>
  <si>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</si>
  <si>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</si>
  <si>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</si>
  <si>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</si>
  <si>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</si>
  <si>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</si>
  <si>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</si>
  <si>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</si>
  <si>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</si>
  <si>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</si>
  <si>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</si>
  <si>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</si>
  <si>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</si>
  <si>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</si>
  <si>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</si>
  <si>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</si>
  <si>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</si>
  <si>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</si>
  <si>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</si>
  <si>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</si>
  <si>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</si>
  <si>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</si>
  <si>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</si>
  <si>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</si>
  <si>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</si>
  <si>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</si>
  <si>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</si>
  <si>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</si>
  <si>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</si>
  <si>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</si>
  <si>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</si>
  <si>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</si>
  <si>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</si>
  <si>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</si>
  <si>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</si>
  <si>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</si>
  <si>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</si>
  <si>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</si>
  <si>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</si>
  <si>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</si>
  <si>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</si>
  <si>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</si>
  <si>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</si>
  <si>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</si>
  <si>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</si>
  <si>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</si>
  <si>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</si>
  <si>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</si>
  <si>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</si>
  <si>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</si>
  <si>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</si>
  <si>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</si>
  <si>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</si>
  <si>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</si>
  <si>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</si>
  <si>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</si>
  <si>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</si>
  <si>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</si>
  <si>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</si>
  <si>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</si>
  <si>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</si>
  <si>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</si>
  <si>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</si>
  <si>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</si>
  <si>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</si>
  <si>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</si>
  <si>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</si>
  <si>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</si>
  <si>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</si>
  <si>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</si>
  <si>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</si>
  <si>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</si>
  <si>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</si>
  <si>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</si>
  <si>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</si>
  <si>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</si>
  <si>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</si>
  <si>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</si>
  <si>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</si>
  <si>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</si>
  <si>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</si>
  <si>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</si>
  <si>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</si>
  <si>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</si>
  <si>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</si>
  <si>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</si>
  <si>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</si>
  <si>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</si>
  <si>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</si>
  <si>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</si>
  <si>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</si>
  <si>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</si>
  <si>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</si>
  <si>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</si>
  <si>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</si>
  <si>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14005685-7</t>
  </si>
  <si>
    <t>ZUBICUETA</t>
  </si>
  <si>
    <t xml:space="preserve">NICOLAS </t>
  </si>
  <si>
    <t>NICOLAS NARVAI ZUBICUETA</t>
  </si>
  <si>
    <t>NARVAI ZUBICUETA NICOLAS</t>
  </si>
  <si>
    <t>23.040.236-1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</si>
  <si>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</si>
  <si>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</si>
  <si>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</si>
  <si>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</si>
  <si>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</si>
  <si>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</si>
  <si>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</si>
  <si>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</si>
  <si>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</si>
  <si>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</si>
  <si>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</si>
  <si>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Totales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</si>
  <si>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</si>
  <si>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</si>
  <si>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</si>
  <si>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</si>
  <si>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</si>
  <si>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</si>
  <si>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</si>
  <si>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</si>
  <si>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</si>
  <si>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</si>
  <si>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04.04.2011</t>
  </si>
  <si>
    <t>P10</t>
  </si>
  <si>
    <t>Llegada</t>
  </si>
  <si>
    <t>P20</t>
  </si>
  <si>
    <t>Salida</t>
  </si>
  <si>
    <t>05.04.2011</t>
  </si>
  <si>
    <t>06.04.2011</t>
  </si>
  <si>
    <t>07.04.2011</t>
  </si>
  <si>
    <t>08.04.2011</t>
  </si>
  <si>
    <t>09.04.2011</t>
  </si>
  <si>
    <t>EDUARDO A</t>
  </si>
  <si>
    <t>00.00.0000</t>
  </si>
  <si>
    <t>10.04.2011</t>
  </si>
  <si>
    <t>MAURICIO ESTEBAN</t>
  </si>
  <si>
    <t>GABRIEL ANTONIO</t>
  </si>
  <si>
    <t>CANDIA</t>
  </si>
  <si>
    <t>MARCELO ANDRES</t>
  </si>
  <si>
    <t>ALEJANDRO PATRICIO</t>
  </si>
  <si>
    <t>JUAN HUMBERTO</t>
  </si>
  <si>
    <t>MANUEL ROBERTO</t>
  </si>
  <si>
    <t>MAULEN</t>
  </si>
  <si>
    <t>JONATHAN JESUS</t>
  </si>
  <si>
    <t>ALBERTO AGUSTIN</t>
  </si>
  <si>
    <t>-</t>
  </si>
  <si>
    <t>Hora ingreso</t>
  </si>
  <si>
    <t>Hora salida</t>
  </si>
  <si>
    <t>fecha</t>
  </si>
  <si>
    <t>Entrada</t>
  </si>
  <si>
    <t>Total horas</t>
  </si>
  <si>
    <t>Rótulos de fila</t>
  </si>
  <si>
    <t>Suma de Total horas</t>
  </si>
  <si>
    <t>Busqueda</t>
  </si>
  <si>
    <t xml:space="preserve"> </t>
  </si>
  <si>
    <t>#N/A</t>
  </si>
</sst>
</file>

<file path=xl/styles.xml><?xml version="1.0" encoding="utf-8"?>
<styleSheet xmlns="http://schemas.openxmlformats.org/spreadsheetml/2006/main">
  <numFmts count="9">
    <numFmt numFmtId="168" formatCode="dd\.mm\.yyyy"/>
    <numFmt numFmtId="169" formatCode="hh:mm:ss"/>
    <numFmt numFmtId="170" formatCode="[$-F400]h:mm:ss\ AM/PM"/>
    <numFmt numFmtId="171" formatCode="[hh]:mm:ss"/>
    <numFmt numFmtId="172" formatCode="_-[$€-2]* #,##0.00_-;\-[$€-2]* #,##0.00_-;_-[$€-2]* &quot;-&quot;??_-"/>
    <numFmt numFmtId="173" formatCode="yyyy"/>
    <numFmt numFmtId="174" formatCode="dd/mmmm/yyyy"/>
    <numFmt numFmtId="175" formatCode="########\-#"/>
    <numFmt numFmtId="176" formatCode="[h]:mm"/>
  </numFmts>
  <fonts count="37">
    <font>
      <sz val="10"/>
      <name val="Arial"/>
    </font>
    <font>
      <sz val="10"/>
      <name val="Arial"/>
      <family val="2"/>
    </font>
    <font>
      <sz val="16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sz val="8"/>
      <name val="Arial"/>
      <family val="2"/>
    </font>
    <font>
      <b/>
      <sz val="10"/>
      <color indexed="52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3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4">
    <xf numFmtId="0" fontId="0" fillId="0" borderId="0"/>
    <xf numFmtId="0" fontId="7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10" fillId="4" borderId="0" applyNumberFormat="0" applyBorder="0" applyAlignment="0" applyProtection="0"/>
    <xf numFmtId="0" fontId="11" fillId="16" borderId="1" applyNumberFormat="0" applyAlignment="0" applyProtection="0"/>
    <xf numFmtId="0" fontId="12" fillId="17" borderId="2" applyNumberFormat="0" applyAlignment="0" applyProtection="0"/>
    <xf numFmtId="0" fontId="13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21" borderId="0" applyNumberFormat="0" applyBorder="0" applyAlignment="0" applyProtection="0"/>
    <xf numFmtId="0" fontId="15" fillId="7" borderId="1" applyNumberFormat="0" applyAlignment="0" applyProtection="0"/>
    <xf numFmtId="172" fontId="1" fillId="0" borderId="0" applyFont="0" applyFill="0" applyBorder="0" applyAlignment="0" applyProtection="0"/>
    <xf numFmtId="0" fontId="16" fillId="3" borderId="0" applyNumberFormat="0" applyBorder="0" applyAlignment="0" applyProtection="0"/>
    <xf numFmtId="0" fontId="17" fillId="22" borderId="0" applyNumberFormat="0" applyBorder="0" applyAlignment="0" applyProtection="0"/>
    <xf numFmtId="0" fontId="4" fillId="23" borderId="4" applyNumberFormat="0" applyFont="0" applyAlignment="0" applyProtection="0"/>
    <xf numFmtId="0" fontId="18" fillId="16" borderId="5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14" fillId="0" borderId="8" applyNumberFormat="0" applyFill="0" applyAlignment="0" applyProtection="0"/>
    <xf numFmtId="0" fontId="24" fillId="0" borderId="9" applyNumberFormat="0" applyFill="0" applyAlignment="0" applyProtection="0"/>
  </cellStyleXfs>
  <cellXfs count="151">
    <xf numFmtId="0" fontId="0" fillId="0" borderId="0" xfId="0"/>
    <xf numFmtId="0" fontId="0" fillId="24" borderId="0" xfId="0" applyFill="1"/>
    <xf numFmtId="0" fontId="0" fillId="24" borderId="0" xfId="0" applyNumberFormat="1" applyFill="1"/>
    <xf numFmtId="0" fontId="2" fillId="24" borderId="0" xfId="0" applyFont="1" applyFill="1"/>
    <xf numFmtId="0" fontId="3" fillId="24" borderId="0" xfId="0" applyFont="1" applyFill="1"/>
    <xf numFmtId="49" fontId="2" fillId="24" borderId="0" xfId="0" applyNumberFormat="1" applyFont="1" applyFill="1"/>
    <xf numFmtId="0" fontId="0" fillId="24" borderId="0" xfId="0" applyFill="1" applyBorder="1"/>
    <xf numFmtId="3" fontId="4" fillId="25" borderId="0" xfId="0" applyNumberFormat="1" applyFont="1" applyFill="1"/>
    <xf numFmtId="0" fontId="4" fillId="25" borderId="0" xfId="0" applyFont="1" applyFill="1"/>
    <xf numFmtId="0" fontId="4" fillId="25" borderId="0" xfId="0" applyNumberFormat="1" applyFont="1" applyFill="1"/>
    <xf numFmtId="0" fontId="6" fillId="26" borderId="18" xfId="0" applyFont="1" applyFill="1" applyBorder="1" applyAlignment="1">
      <alignment horizontal="center"/>
    </xf>
    <xf numFmtId="0" fontId="6" fillId="26" borderId="19" xfId="0" applyFont="1" applyFill="1" applyBorder="1" applyAlignment="1">
      <alignment horizontal="center"/>
    </xf>
    <xf numFmtId="0" fontId="6" fillId="26" borderId="20" xfId="0" applyFont="1" applyFill="1" applyBorder="1" applyAlignment="1">
      <alignment horizontal="center"/>
    </xf>
    <xf numFmtId="0" fontId="6" fillId="26" borderId="21" xfId="0" applyFont="1" applyFill="1" applyBorder="1" applyAlignment="1">
      <alignment horizontal="center"/>
    </xf>
    <xf numFmtId="0" fontId="6" fillId="26" borderId="22" xfId="0" applyFont="1" applyFill="1" applyBorder="1" applyAlignment="1">
      <alignment horizontal="center"/>
    </xf>
    <xf numFmtId="0" fontId="6" fillId="26" borderId="23" xfId="0" applyFont="1" applyFill="1" applyBorder="1" applyAlignment="1">
      <alignment horizontal="center"/>
    </xf>
    <xf numFmtId="0" fontId="4" fillId="24" borderId="0" xfId="0" applyFont="1" applyFill="1"/>
    <xf numFmtId="171" fontId="4" fillId="25" borderId="0" xfId="0" applyNumberFormat="1" applyFont="1" applyFill="1"/>
    <xf numFmtId="171" fontId="0" fillId="24" borderId="0" xfId="0" applyNumberFormat="1" applyFill="1"/>
    <xf numFmtId="168" fontId="0" fillId="24" borderId="0" xfId="0" applyNumberFormat="1" applyFill="1"/>
    <xf numFmtId="1" fontId="4" fillId="25" borderId="0" xfId="0" applyNumberFormat="1" applyFont="1" applyFill="1"/>
    <xf numFmtId="0" fontId="4" fillId="27" borderId="22" xfId="0" applyNumberFormat="1" applyFont="1" applyFill="1" applyBorder="1" applyAlignment="1">
      <alignment horizontal="center"/>
    </xf>
    <xf numFmtId="0" fontId="4" fillId="27" borderId="15" xfId="0" applyNumberFormat="1" applyFont="1" applyFill="1" applyBorder="1" applyAlignment="1">
      <alignment horizontal="center"/>
    </xf>
    <xf numFmtId="0" fontId="0" fillId="26" borderId="0" xfId="0" applyFill="1" applyBorder="1"/>
    <xf numFmtId="3" fontId="6" fillId="26" borderId="24" xfId="0" applyNumberFormat="1" applyFont="1" applyFill="1" applyBorder="1" applyAlignment="1">
      <alignment horizontal="left"/>
    </xf>
    <xf numFmtId="0" fontId="6" fillId="26" borderId="25" xfId="0" applyFont="1" applyFill="1" applyBorder="1"/>
    <xf numFmtId="0" fontId="6" fillId="26" borderId="25" xfId="0" applyNumberFormat="1" applyFont="1" applyFill="1" applyBorder="1"/>
    <xf numFmtId="0" fontId="6" fillId="26" borderId="18" xfId="0" applyFont="1" applyFill="1" applyBorder="1"/>
    <xf numFmtId="0" fontId="6" fillId="26" borderId="26" xfId="0" applyFont="1" applyFill="1" applyBorder="1"/>
    <xf numFmtId="0" fontId="6" fillId="26" borderId="0" xfId="0" applyFont="1" applyFill="1" applyBorder="1"/>
    <xf numFmtId="0" fontId="6" fillId="26" borderId="0" xfId="0" applyNumberFormat="1" applyFont="1" applyFill="1" applyBorder="1"/>
    <xf numFmtId="0" fontId="6" fillId="26" borderId="19" xfId="0" applyFont="1" applyFill="1" applyBorder="1"/>
    <xf numFmtId="3" fontId="6" fillId="26" borderId="26" xfId="0" applyNumberFormat="1" applyFont="1" applyFill="1" applyBorder="1" applyAlignment="1">
      <alignment horizontal="left"/>
    </xf>
    <xf numFmtId="168" fontId="6" fillId="26" borderId="26" xfId="0" applyNumberFormat="1" applyFont="1" applyFill="1" applyBorder="1"/>
    <xf numFmtId="168" fontId="6" fillId="26" borderId="0" xfId="0" applyNumberFormat="1" applyFont="1" applyFill="1" applyBorder="1"/>
    <xf numFmtId="169" fontId="6" fillId="26" borderId="0" xfId="0" applyNumberFormat="1" applyFont="1" applyFill="1" applyBorder="1" applyAlignment="1">
      <alignment horizontal="right"/>
    </xf>
    <xf numFmtId="169" fontId="6" fillId="26" borderId="0" xfId="0" applyNumberFormat="1" applyFont="1" applyFill="1" applyBorder="1"/>
    <xf numFmtId="49" fontId="6" fillId="26" borderId="0" xfId="0" applyNumberFormat="1" applyFont="1" applyFill="1" applyBorder="1"/>
    <xf numFmtId="169" fontId="6" fillId="26" borderId="19" xfId="0" applyNumberFormat="1" applyFont="1" applyFill="1" applyBorder="1" applyAlignment="1">
      <alignment horizontal="right"/>
    </xf>
    <xf numFmtId="0" fontId="6" fillId="26" borderId="27" xfId="0" applyFont="1" applyFill="1" applyBorder="1"/>
    <xf numFmtId="0" fontId="6" fillId="26" borderId="16" xfId="0" applyFont="1" applyFill="1" applyBorder="1"/>
    <xf numFmtId="168" fontId="6" fillId="26" borderId="16" xfId="0" applyNumberFormat="1" applyFont="1" applyFill="1" applyBorder="1"/>
    <xf numFmtId="169" fontId="6" fillId="26" borderId="16" xfId="0" applyNumberFormat="1" applyFont="1" applyFill="1" applyBorder="1"/>
    <xf numFmtId="0" fontId="6" fillId="26" borderId="16" xfId="0" applyNumberFormat="1" applyFont="1" applyFill="1" applyBorder="1"/>
    <xf numFmtId="0" fontId="6" fillId="26" borderId="20" xfId="0" applyFont="1" applyFill="1" applyBorder="1"/>
    <xf numFmtId="0" fontId="0" fillId="28" borderId="0" xfId="0" applyFill="1"/>
    <xf numFmtId="0" fontId="25" fillId="24" borderId="0" xfId="0" applyFont="1" applyFill="1" applyBorder="1" applyAlignment="1">
      <alignment horizontal="left"/>
    </xf>
    <xf numFmtId="0" fontId="1" fillId="24" borderId="0" xfId="0" applyFont="1" applyFill="1" applyBorder="1" applyAlignment="1">
      <alignment horizontal="center"/>
    </xf>
    <xf numFmtId="0" fontId="11" fillId="26" borderId="17" xfId="0" applyFont="1" applyFill="1" applyBorder="1" applyAlignment="1">
      <alignment horizontal="left"/>
    </xf>
    <xf numFmtId="0" fontId="6" fillId="26" borderId="17" xfId="0" applyFont="1" applyFill="1" applyBorder="1" applyAlignment="1" applyProtection="1">
      <alignment horizontal="left"/>
    </xf>
    <xf numFmtId="0" fontId="6" fillId="26" borderId="17" xfId="0" applyFont="1" applyFill="1" applyBorder="1" applyAlignment="1">
      <alignment horizontal="left"/>
    </xf>
    <xf numFmtId="0" fontId="6" fillId="26" borderId="17" xfId="0" applyFont="1" applyFill="1" applyBorder="1" applyAlignment="1">
      <alignment horizontal="left" wrapText="1"/>
    </xf>
    <xf numFmtId="0" fontId="11" fillId="26" borderId="10" xfId="0" applyFont="1" applyFill="1" applyBorder="1" applyAlignment="1">
      <alignment horizontal="left"/>
    </xf>
    <xf numFmtId="0" fontId="11" fillId="26" borderId="11" xfId="0" applyFont="1" applyFill="1" applyBorder="1" applyAlignment="1">
      <alignment horizontal="left"/>
    </xf>
    <xf numFmtId="0" fontId="11" fillId="26" borderId="13" xfId="0" applyFont="1" applyFill="1" applyBorder="1" applyAlignment="1">
      <alignment horizontal="left"/>
    </xf>
    <xf numFmtId="0" fontId="0" fillId="26" borderId="0" xfId="0" applyFill="1"/>
    <xf numFmtId="0" fontId="11" fillId="26" borderId="0" xfId="0" applyFont="1" applyFill="1" applyBorder="1" applyAlignment="1">
      <alignment horizontal="left"/>
    </xf>
    <xf numFmtId="0" fontId="6" fillId="26" borderId="17" xfId="0" applyFont="1" applyFill="1" applyBorder="1" applyAlignment="1">
      <alignment horizontal="center"/>
    </xf>
    <xf numFmtId="0" fontId="6" fillId="26" borderId="17" xfId="0" applyFont="1" applyFill="1" applyBorder="1"/>
    <xf numFmtId="49" fontId="0" fillId="28" borderId="14" xfId="0" applyNumberFormat="1" applyFill="1" applyBorder="1"/>
    <xf numFmtId="0" fontId="0" fillId="28" borderId="28" xfId="0" applyFill="1" applyBorder="1"/>
    <xf numFmtId="14" fontId="0" fillId="28" borderId="14" xfId="0" applyNumberFormat="1" applyFill="1" applyBorder="1"/>
    <xf numFmtId="0" fontId="0" fillId="28" borderId="14" xfId="0" applyFill="1" applyBorder="1"/>
    <xf numFmtId="0" fontId="0" fillId="24" borderId="17" xfId="0" applyFill="1" applyBorder="1" applyAlignment="1">
      <alignment horizontal="center"/>
    </xf>
    <xf numFmtId="0" fontId="0" fillId="28" borderId="17" xfId="0" applyFill="1" applyBorder="1" applyAlignment="1">
      <alignment horizontal="center"/>
    </xf>
    <xf numFmtId="0" fontId="0" fillId="24" borderId="0" xfId="0" applyFill="1" applyBorder="1" applyAlignment="1">
      <alignment horizontal="center"/>
    </xf>
    <xf numFmtId="9" fontId="0" fillId="28" borderId="17" xfId="0" applyNumberFormat="1" applyFill="1" applyBorder="1" applyAlignment="1">
      <alignment horizontal="center"/>
    </xf>
    <xf numFmtId="0" fontId="0" fillId="28" borderId="17" xfId="0" applyFill="1" applyBorder="1" applyAlignment="1">
      <alignment horizontal="left"/>
    </xf>
    <xf numFmtId="0" fontId="27" fillId="29" borderId="17" xfId="0" applyFont="1" applyFill="1" applyBorder="1" applyAlignment="1">
      <alignment horizontal="left"/>
    </xf>
    <xf numFmtId="0" fontId="27" fillId="29" borderId="17" xfId="0" applyFont="1" applyFill="1" applyBorder="1" applyAlignment="1">
      <alignment horizontal="center"/>
    </xf>
    <xf numFmtId="0" fontId="27" fillId="29" borderId="29" xfId="0" applyFont="1" applyFill="1" applyBorder="1" applyAlignment="1">
      <alignment horizontal="center"/>
    </xf>
    <xf numFmtId="0" fontId="27" fillId="0" borderId="0" xfId="0" applyFont="1"/>
    <xf numFmtId="0" fontId="27" fillId="0" borderId="17" xfId="0" applyFont="1" applyBorder="1" applyAlignment="1">
      <alignment horizontal="left"/>
    </xf>
    <xf numFmtId="0" fontId="27" fillId="0" borderId="17" xfId="0" applyFont="1" applyBorder="1"/>
    <xf numFmtId="0" fontId="27" fillId="0" borderId="30" xfId="0" applyFont="1" applyBorder="1"/>
    <xf numFmtId="0" fontId="28" fillId="0" borderId="17" xfId="0" applyFont="1" applyBorder="1"/>
    <xf numFmtId="0" fontId="27" fillId="0" borderId="17" xfId="0" applyFont="1" applyBorder="1" applyAlignment="1">
      <alignment horizontal="center"/>
    </xf>
    <xf numFmtId="0" fontId="27" fillId="30" borderId="0" xfId="0" applyFont="1" applyFill="1"/>
    <xf numFmtId="0" fontId="27" fillId="30" borderId="29" xfId="0" applyFont="1" applyFill="1" applyBorder="1"/>
    <xf numFmtId="0" fontId="27" fillId="0" borderId="31" xfId="0" applyFont="1" applyBorder="1"/>
    <xf numFmtId="0" fontId="27" fillId="0" borderId="17" xfId="0" applyFont="1" applyFill="1" applyBorder="1" applyAlignment="1">
      <alignment horizontal="center"/>
    </xf>
    <xf numFmtId="0" fontId="27" fillId="30" borderId="30" xfId="0" applyFont="1" applyFill="1" applyBorder="1"/>
    <xf numFmtId="0" fontId="27" fillId="0" borderId="32" xfId="0" applyFont="1" applyBorder="1"/>
    <xf numFmtId="0" fontId="28" fillId="0" borderId="32" xfId="0" applyFont="1" applyBorder="1"/>
    <xf numFmtId="0" fontId="27" fillId="30" borderId="17" xfId="0" applyFont="1" applyFill="1" applyBorder="1"/>
    <xf numFmtId="0" fontId="27" fillId="30" borderId="0" xfId="0" applyFont="1" applyFill="1" applyBorder="1"/>
    <xf numFmtId="0" fontId="28" fillId="0" borderId="17" xfId="0" applyFont="1" applyBorder="1" applyAlignment="1">
      <alignment horizontal="center"/>
    </xf>
    <xf numFmtId="0" fontId="28" fillId="30" borderId="17" xfId="0" applyFont="1" applyFill="1" applyBorder="1"/>
    <xf numFmtId="0" fontId="27" fillId="29" borderId="17" xfId="0" applyFont="1" applyFill="1" applyBorder="1"/>
    <xf numFmtId="0" fontId="27" fillId="0" borderId="17" xfId="0" applyFont="1" applyFill="1" applyBorder="1" applyAlignment="1"/>
    <xf numFmtId="0" fontId="27" fillId="30" borderId="33" xfId="0" applyFont="1" applyFill="1" applyBorder="1" applyAlignment="1">
      <alignment horizontal="center"/>
    </xf>
    <xf numFmtId="0" fontId="27" fillId="30" borderId="30" xfId="0" applyFont="1" applyFill="1" applyBorder="1" applyAlignment="1">
      <alignment horizontal="center"/>
    </xf>
    <xf numFmtId="0" fontId="27" fillId="0" borderId="29" xfId="0" applyFont="1" applyFill="1" applyBorder="1" applyAlignment="1">
      <alignment horizontal="center"/>
    </xf>
    <xf numFmtId="0" fontId="27" fillId="30" borderId="17" xfId="0" applyFont="1" applyFill="1" applyBorder="1" applyAlignment="1">
      <alignment horizontal="center"/>
    </xf>
    <xf numFmtId="0" fontId="27" fillId="0" borderId="34" xfId="0" applyFont="1" applyBorder="1"/>
    <xf numFmtId="0" fontId="27" fillId="30" borderId="17" xfId="0" applyFont="1" applyFill="1" applyBorder="1" applyAlignment="1">
      <alignment horizontal="left"/>
    </xf>
    <xf numFmtId="0" fontId="27" fillId="31" borderId="30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left"/>
    </xf>
    <xf numFmtId="0" fontId="27" fillId="0" borderId="29" xfId="0" applyFont="1" applyFill="1" applyBorder="1" applyAlignment="1">
      <alignment horizontal="left"/>
    </xf>
    <xf numFmtId="0" fontId="27" fillId="0" borderId="29" xfId="0" applyFont="1" applyFill="1" applyBorder="1"/>
    <xf numFmtId="0" fontId="27" fillId="0" borderId="0" xfId="0" applyFont="1" applyAlignment="1">
      <alignment horizontal="center"/>
    </xf>
    <xf numFmtId="0" fontId="27" fillId="0" borderId="35" xfId="0" applyFont="1" applyBorder="1" applyAlignment="1">
      <alignment horizontal="left"/>
    </xf>
    <xf numFmtId="0" fontId="27" fillId="0" borderId="35" xfId="0" applyFont="1" applyBorder="1"/>
    <xf numFmtId="0" fontId="27" fillId="0" borderId="35" xfId="0" applyFont="1" applyFill="1" applyBorder="1" applyAlignment="1">
      <alignment horizontal="center"/>
    </xf>
    <xf numFmtId="0" fontId="27" fillId="0" borderId="17" xfId="0" applyFont="1" applyFill="1" applyBorder="1"/>
    <xf numFmtId="0" fontId="27" fillId="0" borderId="33" xfId="0" applyFont="1" applyBorder="1" applyAlignment="1">
      <alignment horizontal="left"/>
    </xf>
    <xf numFmtId="0" fontId="27" fillId="0" borderId="12" xfId="0" applyFont="1" applyBorder="1"/>
    <xf numFmtId="0" fontId="27" fillId="0" borderId="32" xfId="0" applyFont="1" applyBorder="1" applyAlignment="1">
      <alignment horizontal="left"/>
    </xf>
    <xf numFmtId="0" fontId="27" fillId="0" borderId="12" xfId="0" applyFont="1" applyBorder="1" applyAlignment="1">
      <alignment horizontal="center"/>
    </xf>
    <xf numFmtId="0" fontId="27" fillId="0" borderId="0" xfId="0" applyFont="1" applyAlignment="1">
      <alignment horizontal="left"/>
    </xf>
    <xf numFmtId="0" fontId="31" fillId="32" borderId="17" xfId="0" applyFont="1" applyFill="1" applyBorder="1"/>
    <xf numFmtId="0" fontId="31" fillId="32" borderId="0" xfId="0" applyFont="1" applyFill="1" applyBorder="1"/>
    <xf numFmtId="0" fontId="0" fillId="0" borderId="17" xfId="0" applyBorder="1"/>
    <xf numFmtId="0" fontId="0" fillId="0" borderId="33" xfId="0" applyBorder="1"/>
    <xf numFmtId="0" fontId="32" fillId="32" borderId="17" xfId="0" applyFont="1" applyFill="1" applyBorder="1"/>
    <xf numFmtId="0" fontId="33" fillId="0" borderId="17" xfId="0" applyFont="1" applyBorder="1"/>
    <xf numFmtId="173" fontId="33" fillId="0" borderId="17" xfId="0" applyNumberFormat="1" applyFont="1" applyBorder="1"/>
    <xf numFmtId="0" fontId="34" fillId="26" borderId="35" xfId="0" applyFont="1" applyFill="1" applyBorder="1"/>
    <xf numFmtId="0" fontId="34" fillId="26" borderId="31" xfId="0" applyFont="1" applyFill="1" applyBorder="1"/>
    <xf numFmtId="0" fontId="34" fillId="26" borderId="34" xfId="0" applyFont="1" applyFill="1" applyBorder="1" applyAlignment="1">
      <alignment horizontal="center"/>
    </xf>
    <xf numFmtId="0" fontId="34" fillId="26" borderId="30" xfId="0" applyFont="1" applyFill="1" applyBorder="1" applyAlignment="1">
      <alignment horizontal="center"/>
    </xf>
    <xf numFmtId="9" fontId="34" fillId="26" borderId="17" xfId="0" applyNumberFormat="1" applyFont="1" applyFill="1" applyBorder="1" applyAlignment="1">
      <alignment horizontal="center"/>
    </xf>
    <xf numFmtId="0" fontId="36" fillId="0" borderId="17" xfId="0" applyFont="1" applyBorder="1" applyAlignment="1">
      <alignment horizontal="center"/>
    </xf>
    <xf numFmtId="175" fontId="4" fillId="0" borderId="17" xfId="0" applyNumberFormat="1" applyFont="1" applyBorder="1" applyAlignment="1">
      <alignment horizontal="center"/>
    </xf>
    <xf numFmtId="0" fontId="36" fillId="33" borderId="17" xfId="0" applyFont="1" applyFill="1" applyBorder="1" applyAlignment="1">
      <alignment horizontal="center"/>
    </xf>
    <xf numFmtId="0" fontId="36" fillId="33" borderId="36" xfId="0" applyFont="1" applyFill="1" applyBorder="1" applyAlignment="1">
      <alignment horizontal="center"/>
    </xf>
    <xf numFmtId="0" fontId="36" fillId="0" borderId="36" xfId="0" applyFont="1" applyFill="1" applyBorder="1" applyAlignment="1">
      <alignment horizontal="center"/>
    </xf>
    <xf numFmtId="0" fontId="36" fillId="0" borderId="34" xfId="0" applyFont="1" applyFill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27" borderId="17" xfId="0" applyFont="1" applyFill="1" applyBorder="1" applyAlignment="1">
      <alignment horizontal="center"/>
    </xf>
    <xf numFmtId="0" fontId="36" fillId="24" borderId="17" xfId="0" applyFont="1" applyFill="1" applyBorder="1"/>
    <xf numFmtId="0" fontId="0" fillId="0" borderId="17" xfId="0" applyBorder="1" applyAlignment="1">
      <alignment horizontal="center"/>
    </xf>
    <xf numFmtId="0" fontId="36" fillId="0" borderId="17" xfId="0" applyFont="1" applyFill="1" applyBorder="1" applyAlignment="1">
      <alignment horizontal="center"/>
    </xf>
    <xf numFmtId="0" fontId="31" fillId="32" borderId="0" xfId="0" applyFont="1" applyFill="1"/>
    <xf numFmtId="21" fontId="0" fillId="0" borderId="0" xfId="0" applyNumberFormat="1"/>
    <xf numFmtId="0" fontId="0" fillId="29" borderId="0" xfId="0" applyFill="1"/>
    <xf numFmtId="21" fontId="0" fillId="29" borderId="0" xfId="0" applyNumberFormat="1" applyFill="1"/>
    <xf numFmtId="170" fontId="0" fillId="0" borderId="17" xfId="0" applyNumberFormat="1" applyBorder="1"/>
    <xf numFmtId="170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pivotButton="1"/>
    <xf numFmtId="170" fontId="0" fillId="0" borderId="17" xfId="0" applyNumberFormat="1" applyBorder="1" applyAlignment="1">
      <alignment horizontal="center"/>
    </xf>
    <xf numFmtId="14" fontId="0" fillId="0" borderId="0" xfId="0" applyNumberFormat="1"/>
    <xf numFmtId="174" fontId="35" fillId="24" borderId="33" xfId="0" applyNumberFormat="1" applyFont="1" applyFill="1" applyBorder="1" applyAlignment="1">
      <alignment horizontal="left"/>
    </xf>
    <xf numFmtId="0" fontId="0" fillId="0" borderId="12" xfId="0" applyBorder="1" applyAlignment="1"/>
    <xf numFmtId="0" fontId="34" fillId="26" borderId="12" xfId="0" applyFont="1" applyFill="1" applyBorder="1" applyAlignment="1">
      <alignment horizontal="center"/>
    </xf>
    <xf numFmtId="0" fontId="34" fillId="26" borderId="32" xfId="0" applyFont="1" applyFill="1" applyBorder="1" applyAlignment="1">
      <alignment horizontal="center"/>
    </xf>
    <xf numFmtId="0" fontId="34" fillId="26" borderId="35" xfId="0" applyFont="1" applyFill="1" applyBorder="1" applyAlignment="1">
      <alignment horizontal="center" vertical="center"/>
    </xf>
    <xf numFmtId="0" fontId="34" fillId="26" borderId="34" xfId="0" applyFont="1" applyFill="1" applyBorder="1" applyAlignment="1">
      <alignment horizontal="center" vertical="center"/>
    </xf>
    <xf numFmtId="0" fontId="0" fillId="0" borderId="32" xfId="0" applyBorder="1" applyAlignment="1"/>
  </cellXfs>
  <cellStyles count="44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Neutral" xfId="34" builtinId="28" customBuiltin="1"/>
    <cellStyle name="Normal" xfId="0" builtinId="0"/>
    <cellStyle name="Notas" xfId="35" builtinId="10" customBuiltin="1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1" xfId="40" builtinId="16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4">
    <dxf>
      <numFmt numFmtId="177" formatCode="&quot;&quot;"/>
    </dxf>
    <dxf>
      <numFmt numFmtId="177" formatCode="&quot;&quot;"/>
    </dxf>
    <dxf>
      <fill>
        <patternFill>
          <bgColor rgb="FFFFC7CE"/>
        </patternFill>
      </fill>
    </dxf>
    <dxf>
      <numFmt numFmtId="177" formatCode="&quot;&quot;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garcia" refreshedDate="40653.430833333332" createdVersion="1" refreshedVersion="3" recordCount="4059" upgradeOnRefresh="1">
  <cacheSource type="worksheet">
    <worksheetSource ref="A7:G4066" sheet="Control"/>
  </cacheSource>
  <cacheFields count="7">
    <cacheField name="Rut" numFmtId="0">
      <sharedItems count="227">
        <s v="04.776.546-3"/>
        <s v="05.080.993-5"/>
        <s v="05.267.317-8"/>
        <s v="05.281.950-4"/>
        <s v="05.428.350-4"/>
        <s v="5.738.427-1"/>
        <s v="05.921.603-1"/>
        <s v="05.989.878-7"/>
        <s v="06.010.169-8"/>
        <s v="06.143.912-9"/>
        <s v="06.187.914-5"/>
        <s v="06.326.657-4"/>
        <s v="06.434.911-2"/>
        <s v="06.467.952-K"/>
        <s v="06.528.911-3"/>
        <s v="06.646.724-4"/>
        <s v="06.933.508-K"/>
        <s v="06.940.813-3"/>
        <s v="07.009.784-2"/>
        <s v="07.023.216-2"/>
        <s v="07.481.602-9"/>
        <s v="07.717.451-6"/>
        <s v="07.721.223-K"/>
        <s v="07.760.886-9"/>
        <s v="07.807.741-7"/>
        <s v="07.815.068-8"/>
        <s v="07.815.083-1"/>
        <s v="07.815.607-4"/>
        <s v="07.816.535-9"/>
        <s v="07.816.805-6"/>
        <s v="07.832.770-7"/>
        <s v="07.913.597-6"/>
        <s v="07.916.907-2"/>
        <s v="07.944.613-0"/>
        <s v="07.974.375-5"/>
        <s v="08.025.043-6"/>
        <s v="08.085.825-6"/>
        <s v="08.110.698-3"/>
        <s v="08.224.093-4"/>
        <s v="08.245.727-5"/>
        <s v="08.247.677-6"/>
        <s v="08.272.509-1"/>
        <s v="08.283.277-7"/>
        <s v="08.332.629-8"/>
        <s v="08.360.971-0"/>
        <s v="08.406.841-1"/>
        <s v="08.454.836-7"/>
        <s v="08.465.592-9"/>
        <s v="08.618.882-1"/>
        <s v="08.634.737-7"/>
        <s v="08.733.235-7"/>
        <s v="08.771.787-9"/>
        <s v="08.809.784-K"/>
        <s v="08.881.760-5"/>
        <s v="08.962.599-8"/>
        <s v="09.048.185-1"/>
        <s v="09.068.490-6"/>
        <s v="09.081.025-1"/>
        <s v="09.148.214-2"/>
        <s v="09.253.701-3"/>
        <s v="09.471.557-1"/>
        <s v="09.485.526-8"/>
        <s v="09.488.801-8"/>
        <s v="09.488.820-4"/>
        <s v="09.503.712-7"/>
        <s v="09.571.017-4"/>
        <s v="09.613.720-6"/>
        <s v="09.741.880-2"/>
        <s v="09.748.915-7"/>
        <s v="09.774.031-3"/>
        <s v="09.806.171-1"/>
        <s v="09.832.710-K"/>
        <s v="09.878.189-7"/>
        <s v="09.957.527-1"/>
        <s v="09.989.723-6"/>
        <s v="10.033.627-8"/>
        <s v="10.042.860-1"/>
        <s v="10.042.994-2"/>
        <s v="10.116.815-8"/>
        <s v="10.157.067-3"/>
        <s v="10.168.958-1"/>
        <s v="10.173.910-4"/>
        <s v="10.199.755-3"/>
        <s v="10.309.203-5"/>
        <s v="10.311.290-7"/>
        <s v="10.407.614-9"/>
        <s v="10.572.816-6"/>
        <s v="10.746.078-0"/>
        <s v="10.835.391-0"/>
        <s v="10.846.598-0"/>
        <s v="10.849.076-4"/>
        <s v="10.849.486-7"/>
        <s v="10.869.222-7"/>
        <s v="10.874.066-3"/>
        <s v="10.876.404-K"/>
        <s v="10.933.716-1"/>
        <s v="10.970.380-K"/>
        <s v="11.123.851-0"/>
        <s v="11.124.307-7"/>
        <s v="11.267.594-9"/>
        <s v="11.306.351-3"/>
        <s v="11.325.204-9"/>
        <s v="11.347.053-4"/>
        <s v="11.370.436-5"/>
        <s v="11.523.492-7"/>
        <s v="11.523.497-8"/>
        <s v="11.656.057-7"/>
        <s v="11.657.838-7"/>
        <s v="11.659.510-9"/>
        <s v="11.660.411-6"/>
        <s v="11.754.811-2"/>
        <s v="11.840.491-2"/>
        <s v="11.873.201-4"/>
        <s v="11.914.799-9"/>
        <s v="12.020.450-5"/>
        <s v="12.051.254-4"/>
        <s v="12.093.149-0"/>
        <s v="12.093.228-4"/>
        <s v="12.210.109-0"/>
        <s v="12.392.999-3"/>
        <s v="12.410.690-7"/>
        <s v="12.500.119-K"/>
        <s v="12.501.307-4"/>
        <s v="12.647.009-6"/>
        <s v="12.674.806-K"/>
        <s v="12.677.439-7"/>
        <s v="12.688.280-7"/>
        <s v="12.690.098-8"/>
        <s v="12.740.284-1"/>
        <s v="12.828.475-3"/>
        <s v="12.896.000-7"/>
        <s v="12.896.236-0"/>
        <s v="12.896.866-0"/>
        <s v="12.898.844-0"/>
        <s v="13.045.231-0"/>
        <s v="13.077.995-6"/>
        <s v="13.079.999-K"/>
        <s v="13.100.464-8"/>
        <e v="#N/A"/>
        <s v="13.236.100-2"/>
        <s v="13.284.475-5"/>
        <s v="13.295.279-5"/>
        <s v="13.297.988-K"/>
        <s v="13.486.775-2"/>
        <s v="13.486.907-0"/>
        <s v="13.552.988-5"/>
        <s v="13.553.033-6"/>
        <s v="13.557.248-9"/>
        <s v="13.638.571-2"/>
        <s v="13.681.026-K"/>
        <s v="13.688.839-0"/>
        <s v="13.700.526-3"/>
        <s v="13.701.209-K"/>
        <s v="13.769.935-4"/>
        <s v="13.834.251-4"/>
        <s v="13.835.073-8"/>
        <s v="13.835.848-8"/>
        <s v="13.835.927-1"/>
        <s v="13.836.182-9"/>
        <s v="13.838.747-K"/>
        <s v="13.839.512-K"/>
        <s v="13.897.327-1"/>
        <s v="13.899.407-4"/>
        <s v="14.005.554-9"/>
        <s v="14.005.587-5"/>
        <s v="14.017.495-5"/>
        <s v="14.095.347-4"/>
        <s v="14.181.387-0"/>
        <s v="14.182.371-K"/>
        <s v="14.185.109-8"/>
        <s v="14.193.049-4"/>
        <s v="14.277.186-1"/>
        <s v="14.307.619-9"/>
        <s v="14.336.328-7"/>
        <s v="14.336.364-3"/>
        <s v="14.383.969-9"/>
        <s v="15.102.640-0"/>
        <s v="15.327.501-7"/>
        <s v="15.391.242-4"/>
        <s v="15.436.097-2"/>
        <s v="15.437.429-9"/>
        <s v="15.439.409-5"/>
        <s v="15.441.831-8"/>
        <s v="15444116-6"/>
        <s v="15.444.698-2"/>
        <s v="15.444.951-5"/>
        <s v="15.445.100-5"/>
        <s v="15.449.281-K"/>
        <s v="15.533.689-7"/>
        <s v="15.702.200-8"/>
        <s v="15.786.314-2"/>
        <s v="15.823.421-1"/>
        <s v="15.891.790-4"/>
        <s v="15.899.732-0"/>
        <s v="16.029.464-7"/>
        <s v="16.031.949-6"/>
        <s v="16.132.065-K"/>
        <s v="16149604-"/>
        <s v="16.169.301-4"/>
        <s v="16.191.666-8"/>
        <s v="16.266.817-K"/>
        <s v="16.266.873-0"/>
        <s v="16.267.560-5"/>
        <s v="16.268.829-4"/>
        <s v="16.296.340-6"/>
        <s v="16.408.490-6"/>
        <s v="16.413.939-5"/>
        <s v="16.441.340-3"/>
        <s v="16.441.596-1"/>
        <s v="16.649.200-9"/>
        <s v="16.691.386-1"/>
        <s v="16.695.463-0"/>
        <s v="16.697.450-K"/>
        <s v="16.907.382-1"/>
        <s v="17.002.272-6"/>
        <s v="17.065.312-2"/>
        <s v="17.245.009-1"/>
        <s v="17.542.884-4"/>
        <s v="17.543.156-K"/>
        <s v="17.609.782-5"/>
        <s v="17.755.770-6"/>
        <s v="17.929.108-8"/>
        <s v="18.074.081-3"/>
        <s v="20.342.651-8"/>
        <s v="21.318.186-6"/>
        <s v="21.516.766-6"/>
        <s v="22.637.242-3"/>
      </sharedItems>
    </cacheField>
    <cacheField name="Nombre" numFmtId="0">
      <sharedItems/>
    </cacheField>
    <cacheField name="fecha" numFmtId="0">
      <sharedItems containsMixedTypes="1" containsNumber="1" containsInteger="1" minValue="0" maxValue="0"/>
    </cacheField>
    <cacheField name="Turno" numFmtId="0">
      <sharedItems/>
    </cacheField>
    <cacheField name="Entrada" numFmtId="170">
      <sharedItems containsDate="1" containsMixedTypes="1" minDate="1899-12-30T00:00:00" maxDate="1899-12-30T00:28:26"/>
    </cacheField>
    <cacheField name="Salida" numFmtId="170">
      <sharedItems containsDate="1" containsMixedTypes="1" minDate="1899-12-30T00:00:00" maxDate="1899-12-31T00:00:00"/>
    </cacheField>
    <cacheField name="Total horas" numFmtId="170">
      <sharedItems containsDate="1" containsMixedTypes="1" minDate="1899-12-30T00:00:00" maxDate="1899-12-31T00:00:00" count="2">
        <d v="1899-12-30T00:00:00"/>
        <e v="#N/A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59">
  <r>
    <x v="0"/>
    <s v="OLEKSIUK SEKOWSKA EUGENIO"/>
    <s v="04.04.2011"/>
    <s v="Turno B"/>
    <d v="1899-12-30T00:28:26"/>
    <d v="1899-12-30T00:00:00"/>
    <x v="0"/>
  </r>
  <r>
    <x v="0"/>
    <s v="OLEKSIUK SEKOWSKA EUGENIO"/>
    <s v="04.04.2011"/>
    <s v="Turno B"/>
    <d v="1899-12-30T00:00:00"/>
    <d v="1899-12-30T00:12:19"/>
    <x v="0"/>
  </r>
  <r>
    <x v="0"/>
    <s v="OLEKSIUK SEKOWSKA EUGENIO"/>
    <s v="05.04.2011"/>
    <s v="Turno B"/>
    <d v="1899-12-30T00:27:01"/>
    <d v="1899-12-30T00:00:00"/>
    <x v="0"/>
  </r>
  <r>
    <x v="0"/>
    <s v="OLEKSIUK SEKOWSKA EUGENIO"/>
    <s v="05.04.2011"/>
    <s v="Turno B"/>
    <d v="1899-12-30T00:00:00"/>
    <d v="1899-12-30T00:16:29"/>
    <x v="0"/>
  </r>
  <r>
    <x v="0"/>
    <s v="OLEKSIUK SEKOWSKA EUGENIO"/>
    <s v="06.04.2011"/>
    <s v="Turno B"/>
    <d v="1899-12-30T00:00:00"/>
    <d v="1899-12-30T00:13:39"/>
    <x v="0"/>
  </r>
  <r>
    <x v="0"/>
    <s v="OLEKSIUK SEKOWSKA EUGENIO"/>
    <s v="06.04.2011"/>
    <s v="Turno B"/>
    <d v="1899-12-30T00:26:28"/>
    <d v="1899-12-30T00:00:00"/>
    <x v="0"/>
  </r>
  <r>
    <x v="0"/>
    <s v="OLEKSIUK SEKOWSKA EUGENIO"/>
    <s v="07.04.2011"/>
    <s v="Turno B"/>
    <d v="1899-12-30T00:28:07"/>
    <d v="1899-12-30T00:00:00"/>
    <x v="0"/>
  </r>
  <r>
    <x v="0"/>
    <s v="OLEKSIUK SEKOWSKA EUGENIO"/>
    <s v="07.04.2011"/>
    <s v="Turno B"/>
    <d v="1899-12-30T00:00:00"/>
    <d v="1899-12-30T00:15:44"/>
    <x v="0"/>
  </r>
  <r>
    <x v="0"/>
    <s v="OLEKSIUK SEKOWSKA EUGENIO"/>
    <s v="08.04.2011"/>
    <s v="Turno B"/>
    <d v="1899-12-30T00:26:22"/>
    <d v="1899-12-30T00:00:00"/>
    <x v="0"/>
  </r>
  <r>
    <x v="0"/>
    <s v="OLEKSIUK SEKOWSKA EUGENIO"/>
    <s v="08.04.2011"/>
    <s v="Turno B"/>
    <d v="1899-12-30T00:00:00"/>
    <d v="1899-12-30T00:14:09"/>
    <x v="0"/>
  </r>
  <r>
    <x v="0"/>
    <s v="OLEKSIUK SEKOWSKA EUGENIO"/>
    <s v="09.04.2011"/>
    <s v="Turno B"/>
    <d v="1899-12-30T00:16:04"/>
    <d v="1899-12-30T00:00:00"/>
    <x v="0"/>
  </r>
  <r>
    <x v="0"/>
    <s v="OLEKSIUK SEKOWSKA EUGENIO"/>
    <s v="09.04.2011"/>
    <s v="Turno B"/>
    <d v="1899-12-30T00:00:00"/>
    <d v="1899-12-30T00:04:43"/>
    <x v="0"/>
  </r>
  <r>
    <x v="1"/>
    <s v="FIGUEROA NILO CARLOS"/>
    <s v="04.04.2011"/>
    <e v="#N/A"/>
    <e v="#N/A"/>
    <e v="#N/A"/>
    <x v="1"/>
  </r>
  <r>
    <x v="1"/>
    <s v="FIGUEROA NILO CARLOS"/>
    <s v="04.04.2011"/>
    <e v="#N/A"/>
    <e v="#N/A"/>
    <e v="#N/A"/>
    <x v="1"/>
  </r>
  <r>
    <x v="1"/>
    <s v="FIGUEROA NILO CARLOS"/>
    <s v="05.04.2011"/>
    <e v="#N/A"/>
    <e v="#N/A"/>
    <e v="#N/A"/>
    <x v="1"/>
  </r>
  <r>
    <x v="1"/>
    <s v="FIGUEROA NILO CARLOS"/>
    <s v="05.04.2011"/>
    <e v="#N/A"/>
    <e v="#N/A"/>
    <e v="#N/A"/>
    <x v="1"/>
  </r>
  <r>
    <x v="1"/>
    <s v="FIGUEROA NILO CARLOS"/>
    <s v="06.04.2011"/>
    <e v="#N/A"/>
    <e v="#N/A"/>
    <e v="#N/A"/>
    <x v="1"/>
  </r>
  <r>
    <x v="1"/>
    <s v="FIGUEROA NILO CARLOS"/>
    <s v="06.04.2011"/>
    <e v="#N/A"/>
    <e v="#N/A"/>
    <e v="#N/A"/>
    <x v="1"/>
  </r>
  <r>
    <x v="1"/>
    <s v="FIGUEROA NILO CARLOS"/>
    <s v="07.04.2011"/>
    <e v="#N/A"/>
    <e v="#N/A"/>
    <e v="#N/A"/>
    <x v="1"/>
  </r>
  <r>
    <x v="1"/>
    <s v="FIGUEROA NILO CARLOS"/>
    <s v="07.04.2011"/>
    <e v="#N/A"/>
    <e v="#N/A"/>
    <e v="#N/A"/>
    <x v="1"/>
  </r>
  <r>
    <x v="1"/>
    <s v="FIGUEROA NILO CARLOS"/>
    <s v="08.04.2011"/>
    <e v="#N/A"/>
    <e v="#N/A"/>
    <e v="#N/A"/>
    <x v="1"/>
  </r>
  <r>
    <x v="1"/>
    <s v="FIGUEROA NILO CARLOS"/>
    <s v="08.04.2011"/>
    <e v="#N/A"/>
    <e v="#N/A"/>
    <e v="#N/A"/>
    <x v="1"/>
  </r>
  <r>
    <x v="1"/>
    <s v="FIGUEROA NILO CARLOS"/>
    <s v="09.04.2011"/>
    <e v="#N/A"/>
    <e v="#N/A"/>
    <e v="#N/A"/>
    <x v="1"/>
  </r>
  <r>
    <x v="1"/>
    <s v="FIGUEROA NILO CARLOS"/>
    <s v="09.04.2011"/>
    <e v="#N/A"/>
    <e v="#N/A"/>
    <e v="#N/A"/>
    <x v="1"/>
  </r>
  <r>
    <x v="2"/>
    <s v="DUARTE BECERRA LUIS "/>
    <s v="04.04.2011"/>
    <e v="#N/A"/>
    <e v="#N/A"/>
    <e v="#N/A"/>
    <x v="1"/>
  </r>
  <r>
    <x v="2"/>
    <s v="DUARTE BECERRA LUIS "/>
    <s v="04.04.2011"/>
    <e v="#N/A"/>
    <e v="#N/A"/>
    <e v="#N/A"/>
    <x v="1"/>
  </r>
  <r>
    <x v="2"/>
    <s v="DUARTE BECERRA LUIS "/>
    <s v="05.04.2011"/>
    <e v="#N/A"/>
    <e v="#N/A"/>
    <e v="#N/A"/>
    <x v="1"/>
  </r>
  <r>
    <x v="2"/>
    <s v="DUARTE BECERRA LUIS "/>
    <s v="05.04.2011"/>
    <e v="#N/A"/>
    <e v="#N/A"/>
    <e v="#N/A"/>
    <x v="1"/>
  </r>
  <r>
    <x v="2"/>
    <s v="DUARTE BECERRA LUIS "/>
    <s v="06.04.2011"/>
    <e v="#N/A"/>
    <e v="#N/A"/>
    <e v="#N/A"/>
    <x v="1"/>
  </r>
  <r>
    <x v="2"/>
    <s v="DUARTE BECERRA LUIS "/>
    <s v="06.04.2011"/>
    <e v="#N/A"/>
    <e v="#N/A"/>
    <e v="#N/A"/>
    <x v="1"/>
  </r>
  <r>
    <x v="2"/>
    <s v="DUARTE BECERRA LUIS "/>
    <s v="07.04.2011"/>
    <e v="#N/A"/>
    <e v="#N/A"/>
    <e v="#N/A"/>
    <x v="1"/>
  </r>
  <r>
    <x v="2"/>
    <s v="DUARTE BECERRA LUIS "/>
    <s v="07.04.2011"/>
    <e v="#N/A"/>
    <e v="#N/A"/>
    <e v="#N/A"/>
    <x v="1"/>
  </r>
  <r>
    <x v="2"/>
    <s v="DUARTE BECERRA LUIS "/>
    <s v="08.04.2011"/>
    <e v="#N/A"/>
    <e v="#N/A"/>
    <e v="#N/A"/>
    <x v="1"/>
  </r>
  <r>
    <x v="2"/>
    <s v="DUARTE BECERRA LUIS "/>
    <s v="08.04.2011"/>
    <e v="#N/A"/>
    <e v="#N/A"/>
    <e v="#N/A"/>
    <x v="1"/>
  </r>
  <r>
    <x v="2"/>
    <s v="DUARTE BECERRA LUIS "/>
    <s v="09.04.2011"/>
    <e v="#N/A"/>
    <e v="#N/A"/>
    <e v="#N/A"/>
    <x v="1"/>
  </r>
  <r>
    <x v="2"/>
    <s v="DUARTE BECERRA LUIS "/>
    <s v="09.04.2011"/>
    <e v="#N/A"/>
    <e v="#N/A"/>
    <e v="#N/A"/>
    <x v="1"/>
  </r>
  <r>
    <x v="3"/>
    <s v="FUENTES  YAÑEZ,BLANCA"/>
    <s v="04.04.2011"/>
    <e v="#N/A"/>
    <e v="#N/A"/>
    <e v="#N/A"/>
    <x v="1"/>
  </r>
  <r>
    <x v="3"/>
    <s v="FUENTES  YAÑEZ,BLANCA"/>
    <s v="04.04.2011"/>
    <e v="#N/A"/>
    <e v="#N/A"/>
    <e v="#N/A"/>
    <x v="1"/>
  </r>
  <r>
    <x v="3"/>
    <s v="FUENTES  YAÑEZ,BLANCA"/>
    <s v="05.04.2011"/>
    <e v="#N/A"/>
    <e v="#N/A"/>
    <e v="#N/A"/>
    <x v="1"/>
  </r>
  <r>
    <x v="3"/>
    <s v="FUENTES  YAÑEZ,BLANCA"/>
    <s v="05.04.2011"/>
    <e v="#N/A"/>
    <e v="#N/A"/>
    <e v="#N/A"/>
    <x v="1"/>
  </r>
  <r>
    <x v="3"/>
    <s v="FUENTES  YAÑEZ,BLANCA"/>
    <s v="06.04.2011"/>
    <e v="#N/A"/>
    <e v="#N/A"/>
    <e v="#N/A"/>
    <x v="1"/>
  </r>
  <r>
    <x v="3"/>
    <s v="FUENTES  YAÑEZ,BLANCA"/>
    <s v="06.04.2011"/>
    <e v="#N/A"/>
    <e v="#N/A"/>
    <e v="#N/A"/>
    <x v="1"/>
  </r>
  <r>
    <x v="3"/>
    <s v="FUENTES  YAÑEZ,BLANCA"/>
    <s v="07.04.2011"/>
    <e v="#N/A"/>
    <e v="#N/A"/>
    <e v="#N/A"/>
    <x v="1"/>
  </r>
  <r>
    <x v="3"/>
    <s v="FUENTES  YAÑEZ,BLANCA"/>
    <s v="07.04.2011"/>
    <e v="#N/A"/>
    <e v="#N/A"/>
    <e v="#N/A"/>
    <x v="1"/>
  </r>
  <r>
    <x v="3"/>
    <s v="FUENTES  YAÑEZ,BLANCA"/>
    <s v="08.04.2011"/>
    <e v="#N/A"/>
    <e v="#N/A"/>
    <e v="#N/A"/>
    <x v="1"/>
  </r>
  <r>
    <x v="3"/>
    <s v="FUENTES  YAÑEZ,BLANCA"/>
    <s v="08.04.2011"/>
    <e v="#N/A"/>
    <e v="#N/A"/>
    <e v="#N/A"/>
    <x v="1"/>
  </r>
  <r>
    <x v="3"/>
    <s v="FUENTES  YAÑEZ,BLANCA"/>
    <s v="09.04.2011"/>
    <e v="#N/A"/>
    <e v="#N/A"/>
    <e v="#N/A"/>
    <x v="1"/>
  </r>
  <r>
    <x v="3"/>
    <s v="FUENTES  YAÑEZ,BLANCA"/>
    <s v="09.04.2011"/>
    <e v="#N/A"/>
    <e v="#N/A"/>
    <e v="#N/A"/>
    <x v="1"/>
  </r>
  <r>
    <x v="4"/>
    <s v="GALAZ  DEL,PINO NELSON"/>
    <s v="07.04.2011"/>
    <e v="#N/A"/>
    <e v="#N/A"/>
    <e v="#N/A"/>
    <x v="1"/>
  </r>
  <r>
    <x v="4"/>
    <s v="GALAZ  DEL,PINO NELSON"/>
    <s v="07.04.2011"/>
    <e v="#N/A"/>
    <e v="#N/A"/>
    <e v="#N/A"/>
    <x v="1"/>
  </r>
  <r>
    <x v="4"/>
    <s v="GALAZ  DEL,PINO NELSON"/>
    <s v="08.04.2011"/>
    <e v="#N/A"/>
    <e v="#N/A"/>
    <e v="#N/A"/>
    <x v="1"/>
  </r>
  <r>
    <x v="4"/>
    <s v="GALAZ  DEL,PINO NELSON"/>
    <s v="08.04.2011"/>
    <e v="#N/A"/>
    <e v="#N/A"/>
    <e v="#N/A"/>
    <x v="1"/>
  </r>
  <r>
    <x v="4"/>
    <s v="GALAZ  DEL,PINO NELSON"/>
    <s v="09.04.2011"/>
    <e v="#N/A"/>
    <e v="#N/A"/>
    <e v="#N/A"/>
    <x v="1"/>
  </r>
  <r>
    <x v="4"/>
    <s v="GALAZ  DEL,PINO NELSON"/>
    <s v="09.04.2011"/>
    <e v="#N/A"/>
    <e v="#N/A"/>
    <e v="#N/A"/>
    <x v="1"/>
  </r>
  <r>
    <x v="5"/>
    <s v="MARTINEZ VASQUEZ RAÚL"/>
    <s v="04.04.2011"/>
    <e v="#N/A"/>
    <e v="#N/A"/>
    <e v="#N/A"/>
    <x v="1"/>
  </r>
  <r>
    <x v="5"/>
    <s v="MARTINEZ VASQUEZ RAÚL"/>
    <s v="04.04.2011"/>
    <e v="#N/A"/>
    <e v="#N/A"/>
    <e v="#N/A"/>
    <x v="1"/>
  </r>
  <r>
    <x v="5"/>
    <s v="MARTINEZ VASQUEZ RAÚL"/>
    <s v="05.04.2011"/>
    <e v="#N/A"/>
    <e v="#N/A"/>
    <e v="#N/A"/>
    <x v="1"/>
  </r>
  <r>
    <x v="5"/>
    <s v="MARTINEZ VASQUEZ RAÚL"/>
    <s v="05.04.2011"/>
    <e v="#N/A"/>
    <e v="#N/A"/>
    <e v="#N/A"/>
    <x v="1"/>
  </r>
  <r>
    <x v="5"/>
    <s v="MARTINEZ VASQUEZ RAÚL"/>
    <s v="06.04.2011"/>
    <e v="#N/A"/>
    <e v="#N/A"/>
    <e v="#N/A"/>
    <x v="1"/>
  </r>
  <r>
    <x v="5"/>
    <s v="MARTINEZ VASQUEZ RAÚL"/>
    <s v="06.04.2011"/>
    <e v="#N/A"/>
    <e v="#N/A"/>
    <e v="#N/A"/>
    <x v="1"/>
  </r>
  <r>
    <x v="5"/>
    <s v="MARTINEZ VASQUEZ RAÚL"/>
    <s v="07.04.2011"/>
    <e v="#N/A"/>
    <e v="#N/A"/>
    <e v="#N/A"/>
    <x v="1"/>
  </r>
  <r>
    <x v="5"/>
    <s v="MARTINEZ VASQUEZ RAÚL"/>
    <s v="07.04.2011"/>
    <e v="#N/A"/>
    <e v="#N/A"/>
    <e v="#N/A"/>
    <x v="1"/>
  </r>
  <r>
    <x v="5"/>
    <s v="MARTINEZ VASQUEZ RAÚL"/>
    <s v="08.04.2011"/>
    <e v="#N/A"/>
    <e v="#N/A"/>
    <e v="#N/A"/>
    <x v="1"/>
  </r>
  <r>
    <x v="5"/>
    <s v="MARTINEZ VASQUEZ RAÚL"/>
    <s v="08.04.2011"/>
    <e v="#N/A"/>
    <e v="#N/A"/>
    <e v="#N/A"/>
    <x v="1"/>
  </r>
  <r>
    <x v="5"/>
    <s v="MARTINEZ VASQUEZ RAÚL"/>
    <s v="09.04.2011"/>
    <e v="#N/A"/>
    <e v="#N/A"/>
    <e v="#N/A"/>
    <x v="1"/>
  </r>
  <r>
    <x v="5"/>
    <s v="MARTINEZ VASQUEZ RAÚL"/>
    <s v="09.04.2011"/>
    <e v="#N/A"/>
    <e v="#N/A"/>
    <e v="#N/A"/>
    <x v="1"/>
  </r>
  <r>
    <x v="6"/>
    <s v="GUERRERO  MONTANO,JUAN MANUEL"/>
    <s v="04.04.2011"/>
    <e v="#N/A"/>
    <e v="#N/A"/>
    <e v="#N/A"/>
    <x v="1"/>
  </r>
  <r>
    <x v="6"/>
    <s v="GUERRERO  MONTANO,JUAN MANUEL"/>
    <s v="04.04.2011"/>
    <e v="#N/A"/>
    <e v="#N/A"/>
    <e v="#N/A"/>
    <x v="1"/>
  </r>
  <r>
    <x v="6"/>
    <s v="GUERRERO  MONTANO,JUAN MANUEL"/>
    <s v="06.04.2011"/>
    <e v="#N/A"/>
    <e v="#N/A"/>
    <e v="#N/A"/>
    <x v="1"/>
  </r>
  <r>
    <x v="6"/>
    <s v="GUERRERO  MONTANO,JUAN MANUEL"/>
    <s v="06.04.2011"/>
    <e v="#N/A"/>
    <e v="#N/A"/>
    <e v="#N/A"/>
    <x v="1"/>
  </r>
  <r>
    <x v="6"/>
    <s v="GUERRERO  MONTANO,JUAN MANUEL"/>
    <s v="07.04.2011"/>
    <e v="#N/A"/>
    <e v="#N/A"/>
    <e v="#N/A"/>
    <x v="1"/>
  </r>
  <r>
    <x v="6"/>
    <s v="GUERRERO  MONTANO,JUAN MANUEL"/>
    <s v="07.04.2011"/>
    <e v="#N/A"/>
    <e v="#N/A"/>
    <e v="#N/A"/>
    <x v="1"/>
  </r>
  <r>
    <x v="6"/>
    <s v="GUERRERO  MONTANO,JUAN MANUEL"/>
    <s v="08.04.2011"/>
    <e v="#N/A"/>
    <e v="#N/A"/>
    <e v="#N/A"/>
    <x v="1"/>
  </r>
  <r>
    <x v="6"/>
    <s v="GUERRERO  MONTANO,JUAN MANUEL"/>
    <s v="08.04.2011"/>
    <e v="#N/A"/>
    <e v="#N/A"/>
    <e v="#N/A"/>
    <x v="1"/>
  </r>
  <r>
    <x v="7"/>
    <s v="FIGUEROA PAVEZ NELLY E."/>
    <s v="04.04.2011"/>
    <e v="#N/A"/>
    <e v="#N/A"/>
    <e v="#N/A"/>
    <x v="1"/>
  </r>
  <r>
    <x v="7"/>
    <s v="FIGUEROA PAVEZ NELLY E."/>
    <s v="04.04.2011"/>
    <e v="#N/A"/>
    <e v="#N/A"/>
    <e v="#N/A"/>
    <x v="1"/>
  </r>
  <r>
    <x v="7"/>
    <s v="FIGUEROA PAVEZ NELLY E."/>
    <s v="05.04.2011"/>
    <e v="#N/A"/>
    <e v="#N/A"/>
    <e v="#N/A"/>
    <x v="1"/>
  </r>
  <r>
    <x v="7"/>
    <s v="FIGUEROA PAVEZ NELLY E."/>
    <s v="05.04.2011"/>
    <e v="#N/A"/>
    <e v="#N/A"/>
    <e v="#N/A"/>
    <x v="1"/>
  </r>
  <r>
    <x v="7"/>
    <s v="FIGUEROA PAVEZ NELLY E."/>
    <s v="06.04.2011"/>
    <e v="#N/A"/>
    <e v="#N/A"/>
    <e v="#N/A"/>
    <x v="1"/>
  </r>
  <r>
    <x v="7"/>
    <s v="FIGUEROA PAVEZ NELLY E."/>
    <s v="06.04.2011"/>
    <e v="#N/A"/>
    <e v="#N/A"/>
    <e v="#N/A"/>
    <x v="1"/>
  </r>
  <r>
    <x v="7"/>
    <s v="FIGUEROA PAVEZ NELLY E."/>
    <s v="07.04.2011"/>
    <e v="#N/A"/>
    <e v="#N/A"/>
    <e v="#N/A"/>
    <x v="1"/>
  </r>
  <r>
    <x v="7"/>
    <s v="FIGUEROA PAVEZ NELLY E."/>
    <s v="07.04.2011"/>
    <e v="#N/A"/>
    <e v="#N/A"/>
    <e v="#N/A"/>
    <x v="1"/>
  </r>
  <r>
    <x v="7"/>
    <s v="FIGUEROA PAVEZ NELLY E."/>
    <s v="08.04.2011"/>
    <e v="#N/A"/>
    <e v="#N/A"/>
    <e v="#N/A"/>
    <x v="1"/>
  </r>
  <r>
    <x v="7"/>
    <s v="FIGUEROA PAVEZ NELLY E."/>
    <s v="08.04.2011"/>
    <e v="#N/A"/>
    <e v="#N/A"/>
    <e v="#N/A"/>
    <x v="1"/>
  </r>
  <r>
    <x v="7"/>
    <s v="FIGUEROA PAVEZ NELLY E."/>
    <s v="09.04.2011"/>
    <e v="#N/A"/>
    <e v="#N/A"/>
    <e v="#N/A"/>
    <x v="1"/>
  </r>
  <r>
    <x v="7"/>
    <s v="FIGUEROA PAVEZ NELLY E."/>
    <s v="09.04.2011"/>
    <e v="#N/A"/>
    <e v="#N/A"/>
    <e v="#N/A"/>
    <x v="1"/>
  </r>
  <r>
    <x v="8"/>
    <s v="PINO QUINTANILLA GUILLERMO"/>
    <s v="04.04.2011"/>
    <e v="#N/A"/>
    <e v="#N/A"/>
    <e v="#N/A"/>
    <x v="1"/>
  </r>
  <r>
    <x v="8"/>
    <s v="PINO QUINTANILLA GUILLERMO"/>
    <s v="04.04.2011"/>
    <e v="#N/A"/>
    <e v="#N/A"/>
    <e v="#N/A"/>
    <x v="1"/>
  </r>
  <r>
    <x v="8"/>
    <s v="PINO QUINTANILLA GUILLERMO"/>
    <s v="05.04.2011"/>
    <e v="#N/A"/>
    <e v="#N/A"/>
    <e v="#N/A"/>
    <x v="1"/>
  </r>
  <r>
    <x v="8"/>
    <s v="PINO QUINTANILLA GUILLERMO"/>
    <s v="05.04.2011"/>
    <e v="#N/A"/>
    <e v="#N/A"/>
    <e v="#N/A"/>
    <x v="1"/>
  </r>
  <r>
    <x v="8"/>
    <s v="PINO QUINTANILLA GUILLERMO"/>
    <s v="06.04.2011"/>
    <e v="#N/A"/>
    <e v="#N/A"/>
    <e v="#N/A"/>
    <x v="1"/>
  </r>
  <r>
    <x v="8"/>
    <s v="PINO QUINTANILLA GUILLERMO"/>
    <s v="06.04.2011"/>
    <e v="#N/A"/>
    <e v="#N/A"/>
    <e v="#N/A"/>
    <x v="1"/>
  </r>
  <r>
    <x v="8"/>
    <s v="PINO QUINTANILLA GUILLERMO"/>
    <s v="07.04.2011"/>
    <e v="#N/A"/>
    <e v="#N/A"/>
    <e v="#N/A"/>
    <x v="1"/>
  </r>
  <r>
    <x v="8"/>
    <s v="PINO QUINTANILLA GUILLERMO"/>
    <s v="07.04.2011"/>
    <e v="#N/A"/>
    <e v="#N/A"/>
    <e v="#N/A"/>
    <x v="1"/>
  </r>
  <r>
    <x v="8"/>
    <s v="PINO QUINTANILLA GUILLERMO"/>
    <s v="08.04.2011"/>
    <e v="#N/A"/>
    <e v="#N/A"/>
    <e v="#N/A"/>
    <x v="1"/>
  </r>
  <r>
    <x v="8"/>
    <s v="PINO QUINTANILLA GUILLERMO"/>
    <s v="08.04.2011"/>
    <e v="#N/A"/>
    <e v="#N/A"/>
    <e v="#N/A"/>
    <x v="1"/>
  </r>
  <r>
    <x v="8"/>
    <s v="PINO QUINTANILLA GUILLERMO"/>
    <s v="09.04.2011"/>
    <e v="#N/A"/>
    <e v="#N/A"/>
    <e v="#N/A"/>
    <x v="1"/>
  </r>
  <r>
    <x v="8"/>
    <s v="PINO QUINTANILLA GUILLERMO"/>
    <s v="09.04.2011"/>
    <e v="#N/A"/>
    <e v="#N/A"/>
    <e v="#N/A"/>
    <x v="1"/>
  </r>
  <r>
    <x v="9"/>
    <s v="CURIN  MILLAN,ARTURO BERNABE"/>
    <s v="04.04.2011"/>
    <e v="#N/A"/>
    <e v="#N/A"/>
    <e v="#N/A"/>
    <x v="1"/>
  </r>
  <r>
    <x v="9"/>
    <s v="CURIN  MILLAN,ARTURO BERNABE"/>
    <s v="04.04.2011"/>
    <e v="#N/A"/>
    <e v="#N/A"/>
    <e v="#N/A"/>
    <x v="1"/>
  </r>
  <r>
    <x v="9"/>
    <s v="CURIN  MILLAN,ARTURO BERNABE"/>
    <s v="05.04.2011"/>
    <e v="#N/A"/>
    <e v="#N/A"/>
    <e v="#N/A"/>
    <x v="1"/>
  </r>
  <r>
    <x v="9"/>
    <s v="CURIN  MILLAN,ARTURO BERNABE"/>
    <s v="05.04.2011"/>
    <e v="#N/A"/>
    <e v="#N/A"/>
    <e v="#N/A"/>
    <x v="1"/>
  </r>
  <r>
    <x v="9"/>
    <s v="CURIN  MILLAN,ARTURO BERNABE"/>
    <s v="06.04.2011"/>
    <e v="#N/A"/>
    <e v="#N/A"/>
    <e v="#N/A"/>
    <x v="1"/>
  </r>
  <r>
    <x v="9"/>
    <s v="CURIN  MILLAN,ARTURO BERNABE"/>
    <s v="06.04.2011"/>
    <e v="#N/A"/>
    <e v="#N/A"/>
    <e v="#N/A"/>
    <x v="1"/>
  </r>
  <r>
    <x v="9"/>
    <s v="CURIN  MILLAN,ARTURO BERNABE"/>
    <s v="07.04.2011"/>
    <e v="#N/A"/>
    <e v="#N/A"/>
    <e v="#N/A"/>
    <x v="1"/>
  </r>
  <r>
    <x v="9"/>
    <s v="CURIN  MILLAN,ARTURO BERNABE"/>
    <s v="07.04.2011"/>
    <e v="#N/A"/>
    <e v="#N/A"/>
    <e v="#N/A"/>
    <x v="1"/>
  </r>
  <r>
    <x v="9"/>
    <s v="CURIN  MILLAN,ARTURO BERNABE"/>
    <s v="08.04.2011"/>
    <e v="#N/A"/>
    <e v="#N/A"/>
    <e v="#N/A"/>
    <x v="1"/>
  </r>
  <r>
    <x v="9"/>
    <s v="CURIN  MILLAN,ARTURO BERNABE"/>
    <s v="08.04.2011"/>
    <e v="#N/A"/>
    <e v="#N/A"/>
    <e v="#N/A"/>
    <x v="1"/>
  </r>
  <r>
    <x v="10"/>
    <s v="FUENTES  YAÑEZ,PATRICIA"/>
    <s v="04.04.2011"/>
    <e v="#N/A"/>
    <e v="#N/A"/>
    <e v="#N/A"/>
    <x v="1"/>
  </r>
  <r>
    <x v="10"/>
    <s v="FUENTES  YAÑEZ,PATRICIA"/>
    <s v="05.04.2011"/>
    <e v="#N/A"/>
    <e v="#N/A"/>
    <e v="#N/A"/>
    <x v="1"/>
  </r>
  <r>
    <x v="10"/>
    <s v="FUENTES  YAÑEZ,PATRICIA"/>
    <s v="05.04.2011"/>
    <e v="#N/A"/>
    <e v="#N/A"/>
    <e v="#N/A"/>
    <x v="1"/>
  </r>
  <r>
    <x v="10"/>
    <s v="FUENTES  YAÑEZ,PATRICIA"/>
    <s v="06.04.2011"/>
    <e v="#N/A"/>
    <e v="#N/A"/>
    <e v="#N/A"/>
    <x v="1"/>
  </r>
  <r>
    <x v="10"/>
    <s v="FUENTES  YAÑEZ,PATRICIA"/>
    <s v="06.04.2011"/>
    <e v="#N/A"/>
    <e v="#N/A"/>
    <e v="#N/A"/>
    <x v="1"/>
  </r>
  <r>
    <x v="10"/>
    <s v="FUENTES  YAÑEZ,PATRICIA"/>
    <s v="07.04.2011"/>
    <e v="#N/A"/>
    <e v="#N/A"/>
    <e v="#N/A"/>
    <x v="1"/>
  </r>
  <r>
    <x v="10"/>
    <s v="FUENTES  YAÑEZ,PATRICIA"/>
    <s v="07.04.2011"/>
    <e v="#N/A"/>
    <e v="#N/A"/>
    <e v="#N/A"/>
    <x v="1"/>
  </r>
  <r>
    <x v="10"/>
    <s v="FUENTES  YAÑEZ,PATRICIA"/>
    <s v="08.04.2011"/>
    <e v="#N/A"/>
    <e v="#N/A"/>
    <e v="#N/A"/>
    <x v="1"/>
  </r>
  <r>
    <x v="10"/>
    <s v="FUENTES  YAÑEZ,PATRICIA"/>
    <s v="08.04.2011"/>
    <e v="#N/A"/>
    <e v="#N/A"/>
    <e v="#N/A"/>
    <x v="1"/>
  </r>
  <r>
    <x v="10"/>
    <s v="FUENTES  YAÑEZ,PATRICIA"/>
    <s v="09.04.2011"/>
    <e v="#N/A"/>
    <e v="#N/A"/>
    <e v="#N/A"/>
    <x v="1"/>
  </r>
  <r>
    <x v="11"/>
    <s v="DURAN SOTO FERNANDO"/>
    <s v="04.04.2011"/>
    <e v="#N/A"/>
    <e v="#N/A"/>
    <e v="#N/A"/>
    <x v="1"/>
  </r>
  <r>
    <x v="11"/>
    <s v="DURAN SOTO FERNANDO"/>
    <s v="04.04.2011"/>
    <e v="#N/A"/>
    <e v="#N/A"/>
    <e v="#N/A"/>
    <x v="1"/>
  </r>
  <r>
    <x v="11"/>
    <s v="DURAN SOTO FERNANDO"/>
    <s v="05.04.2011"/>
    <e v="#N/A"/>
    <e v="#N/A"/>
    <e v="#N/A"/>
    <x v="1"/>
  </r>
  <r>
    <x v="11"/>
    <s v="DURAN SOTO FERNANDO"/>
    <s v="05.04.2011"/>
    <e v="#N/A"/>
    <e v="#N/A"/>
    <e v="#N/A"/>
    <x v="1"/>
  </r>
  <r>
    <x v="11"/>
    <s v="DURAN SOTO FERNANDO"/>
    <s v="06.04.2011"/>
    <e v="#N/A"/>
    <e v="#N/A"/>
    <e v="#N/A"/>
    <x v="1"/>
  </r>
  <r>
    <x v="11"/>
    <s v="DURAN SOTO FERNANDO"/>
    <s v="06.04.2011"/>
    <e v="#N/A"/>
    <e v="#N/A"/>
    <e v="#N/A"/>
    <x v="1"/>
  </r>
  <r>
    <x v="11"/>
    <s v="DURAN SOTO FERNANDO"/>
    <s v="07.04.2011"/>
    <e v="#N/A"/>
    <e v="#N/A"/>
    <e v="#N/A"/>
    <x v="1"/>
  </r>
  <r>
    <x v="11"/>
    <s v="DURAN SOTO FERNANDO"/>
    <s v="07.04.2011"/>
    <e v="#N/A"/>
    <e v="#N/A"/>
    <e v="#N/A"/>
    <x v="1"/>
  </r>
  <r>
    <x v="11"/>
    <s v="DURAN SOTO FERNANDO"/>
    <s v="08.04.2011"/>
    <e v="#N/A"/>
    <e v="#N/A"/>
    <e v="#N/A"/>
    <x v="1"/>
  </r>
  <r>
    <x v="11"/>
    <s v="DURAN SOTO FERNANDO"/>
    <s v="08.04.2011"/>
    <e v="#N/A"/>
    <e v="#N/A"/>
    <e v="#N/A"/>
    <x v="1"/>
  </r>
  <r>
    <x v="11"/>
    <s v="DURAN SOTO FERNANDO"/>
    <s v="09.04.2011"/>
    <e v="#N/A"/>
    <e v="#N/A"/>
    <e v="#N/A"/>
    <x v="1"/>
  </r>
  <r>
    <x v="11"/>
    <s v="DURAN SOTO FERNANDO"/>
    <s v="09.04.2011"/>
    <e v="#N/A"/>
    <e v="#N/A"/>
    <e v="#N/A"/>
    <x v="1"/>
  </r>
  <r>
    <x v="12"/>
    <s v="ABARCA  JARA,EDUARDO A"/>
    <s v="04.04.2011"/>
    <e v="#N/A"/>
    <e v="#N/A"/>
    <e v="#N/A"/>
    <x v="1"/>
  </r>
  <r>
    <x v="12"/>
    <s v="ABARCA  JARA,EDUARDO A"/>
    <s v="04.04.2011"/>
    <e v="#N/A"/>
    <e v="#N/A"/>
    <e v="#N/A"/>
    <x v="1"/>
  </r>
  <r>
    <x v="12"/>
    <s v="ABARCA  JARA,EDUARDO A"/>
    <s v="05.04.2011"/>
    <e v="#N/A"/>
    <e v="#N/A"/>
    <e v="#N/A"/>
    <x v="1"/>
  </r>
  <r>
    <x v="12"/>
    <s v="ABARCA  JARA,EDUARDO A"/>
    <s v="05.04.2011"/>
    <e v="#N/A"/>
    <e v="#N/A"/>
    <e v="#N/A"/>
    <x v="1"/>
  </r>
  <r>
    <x v="12"/>
    <s v="ABARCA  JARA,EDUARDO A"/>
    <s v="06.04.2011"/>
    <e v="#N/A"/>
    <e v="#N/A"/>
    <e v="#N/A"/>
    <x v="1"/>
  </r>
  <r>
    <x v="12"/>
    <s v="ABARCA  JARA,EDUARDO A"/>
    <s v="06.04.2011"/>
    <e v="#N/A"/>
    <e v="#N/A"/>
    <e v="#N/A"/>
    <x v="1"/>
  </r>
  <r>
    <x v="12"/>
    <s v="ABARCA  JARA,EDUARDO A"/>
    <s v="07.04.2011"/>
    <e v="#N/A"/>
    <e v="#N/A"/>
    <e v="#N/A"/>
    <x v="1"/>
  </r>
  <r>
    <x v="12"/>
    <s v="ABARCA  JARA,EDUARDO A"/>
    <s v="07.04.2011"/>
    <e v="#N/A"/>
    <e v="#N/A"/>
    <e v="#N/A"/>
    <x v="1"/>
  </r>
  <r>
    <x v="12"/>
    <s v="ABARCA  JARA,EDUARDO A"/>
    <s v="08.04.2011"/>
    <e v="#N/A"/>
    <e v="#N/A"/>
    <e v="#N/A"/>
    <x v="1"/>
  </r>
  <r>
    <x v="12"/>
    <s v="ABARCA  JARA,EDUARDO A"/>
    <s v="08.04.2011"/>
    <e v="#N/A"/>
    <e v="#N/A"/>
    <e v="#N/A"/>
    <x v="1"/>
  </r>
  <r>
    <x v="12"/>
    <s v="ABARCA  JARA,EDUARDO A"/>
    <s v="09.04.2011"/>
    <e v="#N/A"/>
    <e v="#N/A"/>
    <e v="#N/A"/>
    <x v="1"/>
  </r>
  <r>
    <x v="12"/>
    <s v="ABARCA  JARA,EDUARDO A"/>
    <s v="09.04.2011"/>
    <e v="#N/A"/>
    <e v="#N/A"/>
    <e v="#N/A"/>
    <x v="1"/>
  </r>
  <r>
    <x v="13"/>
    <s v="TAPIA OLIVARES ORLANDINO GUMERCINDO"/>
    <s v="04.04.2011"/>
    <e v="#N/A"/>
    <e v="#N/A"/>
    <e v="#N/A"/>
    <x v="1"/>
  </r>
  <r>
    <x v="13"/>
    <s v="TAPIA OLIVARES ORLANDINO GUMERCINDO"/>
    <s v="04.04.2011"/>
    <e v="#N/A"/>
    <e v="#N/A"/>
    <e v="#N/A"/>
    <x v="1"/>
  </r>
  <r>
    <x v="13"/>
    <s v="TAPIA OLIVARES ORLANDINO GUMERCINDO"/>
    <s v="05.04.2011"/>
    <e v="#N/A"/>
    <e v="#N/A"/>
    <e v="#N/A"/>
    <x v="1"/>
  </r>
  <r>
    <x v="13"/>
    <s v="TAPIA OLIVARES ORLANDINO GUMERCINDO"/>
    <s v="05.04.2011"/>
    <e v="#N/A"/>
    <e v="#N/A"/>
    <e v="#N/A"/>
    <x v="1"/>
  </r>
  <r>
    <x v="13"/>
    <s v="TAPIA OLIVARES ORLANDINO GUMERCINDO"/>
    <s v="06.04.2011"/>
    <e v="#N/A"/>
    <e v="#N/A"/>
    <e v="#N/A"/>
    <x v="1"/>
  </r>
  <r>
    <x v="13"/>
    <s v="TAPIA OLIVARES ORLANDINO GUMERCINDO"/>
    <s v="06.04.2011"/>
    <e v="#N/A"/>
    <e v="#N/A"/>
    <e v="#N/A"/>
    <x v="1"/>
  </r>
  <r>
    <x v="13"/>
    <s v="TAPIA OLIVARES ORLANDINO GUMERCINDO"/>
    <s v="07.04.2011"/>
    <e v="#N/A"/>
    <e v="#N/A"/>
    <e v="#N/A"/>
    <x v="1"/>
  </r>
  <r>
    <x v="13"/>
    <s v="TAPIA OLIVARES ORLANDINO GUMERCINDO"/>
    <s v="07.04.2011"/>
    <e v="#N/A"/>
    <e v="#N/A"/>
    <e v="#N/A"/>
    <x v="1"/>
  </r>
  <r>
    <x v="13"/>
    <s v="TAPIA OLIVARES ORLANDINO GUMERCINDO"/>
    <s v="08.04.2011"/>
    <e v="#N/A"/>
    <e v="#N/A"/>
    <e v="#N/A"/>
    <x v="1"/>
  </r>
  <r>
    <x v="13"/>
    <s v="TAPIA OLIVARES ORLANDINO GUMERCINDO"/>
    <s v="08.04.2011"/>
    <e v="#N/A"/>
    <e v="#N/A"/>
    <e v="#N/A"/>
    <x v="1"/>
  </r>
  <r>
    <x v="13"/>
    <s v="TAPIA OLIVARES ORLANDINO GUMERCINDO"/>
    <s v="09.04.2011"/>
    <e v="#N/A"/>
    <e v="#N/A"/>
    <e v="#N/A"/>
    <x v="1"/>
  </r>
  <r>
    <x v="13"/>
    <s v="TAPIA OLIVARES ORLANDINO GUMERCINDO"/>
    <s v="09.04.2011"/>
    <e v="#N/A"/>
    <e v="#N/A"/>
    <e v="#N/A"/>
    <x v="1"/>
  </r>
  <r>
    <x v="14"/>
    <s v="PINO MARTINEZ CARLOS"/>
    <s v="04.04.2011"/>
    <e v="#N/A"/>
    <e v="#N/A"/>
    <e v="#N/A"/>
    <x v="1"/>
  </r>
  <r>
    <x v="14"/>
    <s v="PINO MARTINEZ CARLOS"/>
    <s v="04.04.2011"/>
    <e v="#N/A"/>
    <e v="#N/A"/>
    <e v="#N/A"/>
    <x v="1"/>
  </r>
  <r>
    <x v="14"/>
    <s v="PINO MARTINEZ CARLOS"/>
    <s v="05.04.2011"/>
    <e v="#N/A"/>
    <e v="#N/A"/>
    <e v="#N/A"/>
    <x v="1"/>
  </r>
  <r>
    <x v="14"/>
    <s v="PINO MARTINEZ CARLOS"/>
    <s v="05.04.2011"/>
    <e v="#N/A"/>
    <e v="#N/A"/>
    <e v="#N/A"/>
    <x v="1"/>
  </r>
  <r>
    <x v="14"/>
    <s v="PINO MARTINEZ CARLOS"/>
    <s v="06.04.2011"/>
    <e v="#N/A"/>
    <e v="#N/A"/>
    <e v="#N/A"/>
    <x v="1"/>
  </r>
  <r>
    <x v="14"/>
    <s v="PINO MARTINEZ CARLOS"/>
    <s v="06.04.2011"/>
    <e v="#N/A"/>
    <e v="#N/A"/>
    <e v="#N/A"/>
    <x v="1"/>
  </r>
  <r>
    <x v="14"/>
    <s v="PINO MARTINEZ CARLOS"/>
    <s v="07.04.2011"/>
    <e v="#N/A"/>
    <e v="#N/A"/>
    <e v="#N/A"/>
    <x v="1"/>
  </r>
  <r>
    <x v="14"/>
    <s v="PINO MARTINEZ CARLOS"/>
    <s v="07.04.2011"/>
    <e v="#N/A"/>
    <e v="#N/A"/>
    <e v="#N/A"/>
    <x v="1"/>
  </r>
  <r>
    <x v="14"/>
    <s v="PINO MARTINEZ CARLOS"/>
    <s v="08.04.2011"/>
    <e v="#N/A"/>
    <e v="#N/A"/>
    <e v="#N/A"/>
    <x v="1"/>
  </r>
  <r>
    <x v="14"/>
    <s v="PINO MARTINEZ CARLOS"/>
    <s v="08.04.2011"/>
    <e v="#N/A"/>
    <e v="#N/A"/>
    <e v="#N/A"/>
    <x v="1"/>
  </r>
  <r>
    <x v="14"/>
    <s v="PINO MARTINEZ CARLOS"/>
    <s v="09.04.2011"/>
    <e v="#N/A"/>
    <e v="#N/A"/>
    <e v="#N/A"/>
    <x v="1"/>
  </r>
  <r>
    <x v="14"/>
    <s v="PINO MARTINEZ CARLOS"/>
    <s v="09.04.2011"/>
    <e v="#N/A"/>
    <e v="#N/A"/>
    <e v="#N/A"/>
    <x v="1"/>
  </r>
  <r>
    <x v="15"/>
    <s v="PALMA  SEREÑO,JUAN RAMON"/>
    <s v="04.04.2011"/>
    <e v="#N/A"/>
    <e v="#N/A"/>
    <e v="#N/A"/>
    <x v="1"/>
  </r>
  <r>
    <x v="15"/>
    <s v="PALMA  SEREÑO,JUAN RAMON"/>
    <s v="04.04.2011"/>
    <e v="#N/A"/>
    <e v="#N/A"/>
    <e v="#N/A"/>
    <x v="1"/>
  </r>
  <r>
    <x v="15"/>
    <s v="PALMA  SEREÑO,JUAN RAMON"/>
    <s v="05.04.2011"/>
    <e v="#N/A"/>
    <e v="#N/A"/>
    <e v="#N/A"/>
    <x v="1"/>
  </r>
  <r>
    <x v="15"/>
    <s v="PALMA  SEREÑO,JUAN RAMON"/>
    <s v="05.04.2011"/>
    <e v="#N/A"/>
    <e v="#N/A"/>
    <e v="#N/A"/>
    <x v="1"/>
  </r>
  <r>
    <x v="15"/>
    <s v="PALMA  SEREÑO,JUAN RAMON"/>
    <s v="06.04.2011"/>
    <e v="#N/A"/>
    <e v="#N/A"/>
    <e v="#N/A"/>
    <x v="1"/>
  </r>
  <r>
    <x v="15"/>
    <s v="PALMA  SEREÑO,JUAN RAMON"/>
    <s v="06.04.2011"/>
    <e v="#N/A"/>
    <e v="#N/A"/>
    <e v="#N/A"/>
    <x v="1"/>
  </r>
  <r>
    <x v="15"/>
    <s v="PALMA  SEREÑO,JUAN RAMON"/>
    <s v="07.04.2011"/>
    <e v="#N/A"/>
    <e v="#N/A"/>
    <e v="#N/A"/>
    <x v="1"/>
  </r>
  <r>
    <x v="15"/>
    <s v="PALMA  SEREÑO,JUAN RAMON"/>
    <s v="07.04.2011"/>
    <e v="#N/A"/>
    <e v="#N/A"/>
    <e v="#N/A"/>
    <x v="1"/>
  </r>
  <r>
    <x v="15"/>
    <s v="PALMA  SEREÑO,JUAN RAMON"/>
    <s v="08.04.2011"/>
    <e v="#N/A"/>
    <e v="#N/A"/>
    <e v="#N/A"/>
    <x v="1"/>
  </r>
  <r>
    <x v="15"/>
    <s v="PALMA  SEREÑO,JUAN RAMON"/>
    <s v="08.04.2011"/>
    <e v="#N/A"/>
    <e v="#N/A"/>
    <e v="#N/A"/>
    <x v="1"/>
  </r>
  <r>
    <x v="15"/>
    <s v="PALMA  SEREÑO,JUAN RAMON"/>
    <s v="09.04.2011"/>
    <e v="#N/A"/>
    <e v="#N/A"/>
    <e v="#N/A"/>
    <x v="1"/>
  </r>
  <r>
    <x v="15"/>
    <s v="PALMA  SEREÑO,JUAN RAMON"/>
    <s v="09.04.2011"/>
    <e v="#N/A"/>
    <e v="#N/A"/>
    <e v="#N/A"/>
    <x v="1"/>
  </r>
  <r>
    <x v="16"/>
    <s v="CABELLO DIAZ JUAN RAMON"/>
    <s v="04.04.2011"/>
    <e v="#N/A"/>
    <e v="#N/A"/>
    <e v="#N/A"/>
    <x v="1"/>
  </r>
  <r>
    <x v="16"/>
    <s v="CABELLO DIAZ JUAN RAMON"/>
    <s v="04.04.2011"/>
    <e v="#N/A"/>
    <e v="#N/A"/>
    <e v="#N/A"/>
    <x v="1"/>
  </r>
  <r>
    <x v="16"/>
    <s v="CABELLO DIAZ JUAN RAMON"/>
    <s v="05.04.2011"/>
    <e v="#N/A"/>
    <e v="#N/A"/>
    <e v="#N/A"/>
    <x v="1"/>
  </r>
  <r>
    <x v="16"/>
    <s v="CABELLO DIAZ JUAN RAMON"/>
    <s v="05.04.2011"/>
    <e v="#N/A"/>
    <e v="#N/A"/>
    <e v="#N/A"/>
    <x v="1"/>
  </r>
  <r>
    <x v="16"/>
    <s v="CABELLO DIAZ JUAN RAMON"/>
    <s v="06.04.2011"/>
    <e v="#N/A"/>
    <e v="#N/A"/>
    <e v="#N/A"/>
    <x v="1"/>
  </r>
  <r>
    <x v="16"/>
    <s v="CABELLO DIAZ JUAN RAMON"/>
    <s v="06.04.2011"/>
    <e v="#N/A"/>
    <e v="#N/A"/>
    <e v="#N/A"/>
    <x v="1"/>
  </r>
  <r>
    <x v="16"/>
    <s v="CABELLO DIAZ JUAN RAMON"/>
    <s v="07.04.2011"/>
    <e v="#N/A"/>
    <e v="#N/A"/>
    <e v="#N/A"/>
    <x v="1"/>
  </r>
  <r>
    <x v="16"/>
    <s v="CABELLO DIAZ JUAN RAMON"/>
    <s v="07.04.2011"/>
    <e v="#N/A"/>
    <e v="#N/A"/>
    <e v="#N/A"/>
    <x v="1"/>
  </r>
  <r>
    <x v="16"/>
    <s v="CABELLO DIAZ JUAN RAMON"/>
    <s v="08.04.2011"/>
    <e v="#N/A"/>
    <e v="#N/A"/>
    <e v="#N/A"/>
    <x v="1"/>
  </r>
  <r>
    <x v="16"/>
    <s v="CABELLO DIAZ JUAN RAMON"/>
    <s v="08.04.2011"/>
    <e v="#N/A"/>
    <e v="#N/A"/>
    <e v="#N/A"/>
    <x v="1"/>
  </r>
  <r>
    <x v="16"/>
    <s v="CABELLO DIAZ JUAN RAMON"/>
    <s v="09.04.2011"/>
    <e v="#N/A"/>
    <e v="#N/A"/>
    <e v="#N/A"/>
    <x v="1"/>
  </r>
  <r>
    <x v="16"/>
    <s v="CABELLO DIAZ JUAN RAMON"/>
    <s v="09.04.2011"/>
    <e v="#N/A"/>
    <e v="#N/A"/>
    <e v="#N/A"/>
    <x v="1"/>
  </r>
  <r>
    <x v="17"/>
    <s v="PLAZA ALFARO ISAIAS"/>
    <s v="04.04.2011"/>
    <e v="#N/A"/>
    <e v="#N/A"/>
    <e v="#N/A"/>
    <x v="1"/>
  </r>
  <r>
    <x v="17"/>
    <s v="PLAZA ALFARO ISAIAS"/>
    <s v="04.04.2011"/>
    <e v="#N/A"/>
    <e v="#N/A"/>
    <e v="#N/A"/>
    <x v="1"/>
  </r>
  <r>
    <x v="17"/>
    <s v="PLAZA ALFARO ISAIAS"/>
    <s v="05.04.2011"/>
    <e v="#N/A"/>
    <e v="#N/A"/>
    <e v="#N/A"/>
    <x v="1"/>
  </r>
  <r>
    <x v="17"/>
    <s v="PLAZA ALFARO ISAIAS"/>
    <s v="05.04.2011"/>
    <e v="#N/A"/>
    <e v="#N/A"/>
    <e v="#N/A"/>
    <x v="1"/>
  </r>
  <r>
    <x v="17"/>
    <s v="PLAZA ALFARO ISAIAS"/>
    <s v="06.04.2011"/>
    <e v="#N/A"/>
    <e v="#N/A"/>
    <e v="#N/A"/>
    <x v="1"/>
  </r>
  <r>
    <x v="17"/>
    <s v="PLAZA ALFARO ISAIAS"/>
    <s v="06.04.2011"/>
    <e v="#N/A"/>
    <e v="#N/A"/>
    <e v="#N/A"/>
    <x v="1"/>
  </r>
  <r>
    <x v="17"/>
    <s v="PLAZA ALFARO ISAIAS"/>
    <s v="07.04.2011"/>
    <e v="#N/A"/>
    <e v="#N/A"/>
    <e v="#N/A"/>
    <x v="1"/>
  </r>
  <r>
    <x v="17"/>
    <s v="PLAZA ALFARO ISAIAS"/>
    <s v="07.04.2011"/>
    <e v="#N/A"/>
    <e v="#N/A"/>
    <e v="#N/A"/>
    <x v="1"/>
  </r>
  <r>
    <x v="17"/>
    <s v="PLAZA ALFARO ISAIAS"/>
    <s v="08.04.2011"/>
    <e v="#N/A"/>
    <e v="#N/A"/>
    <e v="#N/A"/>
    <x v="1"/>
  </r>
  <r>
    <x v="17"/>
    <s v="PLAZA ALFARO ISAIAS"/>
    <s v="08.04.2011"/>
    <e v="#N/A"/>
    <e v="#N/A"/>
    <e v="#N/A"/>
    <x v="1"/>
  </r>
  <r>
    <x v="17"/>
    <s v="PLAZA ALFARO ISAIAS"/>
    <s v="09.04.2011"/>
    <e v="#N/A"/>
    <e v="#N/A"/>
    <e v="#N/A"/>
    <x v="1"/>
  </r>
  <r>
    <x v="17"/>
    <s v="PLAZA ALFARO ISAIAS"/>
    <s v="09.04.2011"/>
    <e v="#N/A"/>
    <e v="#N/A"/>
    <e v="#N/A"/>
    <x v="1"/>
  </r>
  <r>
    <x v="18"/>
    <s v="SALAZAR VIDELA HECTOR ENRIQUE"/>
    <s v="04.04.2011"/>
    <e v="#N/A"/>
    <e v="#N/A"/>
    <e v="#N/A"/>
    <x v="1"/>
  </r>
  <r>
    <x v="18"/>
    <s v="SALAZAR VIDELA HECTOR ENRIQUE"/>
    <s v="05.04.2011"/>
    <e v="#N/A"/>
    <e v="#N/A"/>
    <e v="#N/A"/>
    <x v="1"/>
  </r>
  <r>
    <x v="18"/>
    <s v="SALAZAR VIDELA HECTOR ENRIQUE"/>
    <s v="05.04.2011"/>
    <e v="#N/A"/>
    <e v="#N/A"/>
    <e v="#N/A"/>
    <x v="1"/>
  </r>
  <r>
    <x v="18"/>
    <s v="SALAZAR VIDELA HECTOR ENRIQUE"/>
    <s v="06.04.2011"/>
    <e v="#N/A"/>
    <e v="#N/A"/>
    <e v="#N/A"/>
    <x v="1"/>
  </r>
  <r>
    <x v="18"/>
    <s v="SALAZAR VIDELA HECTOR ENRIQUE"/>
    <s v="06.04.2011"/>
    <e v="#N/A"/>
    <e v="#N/A"/>
    <e v="#N/A"/>
    <x v="1"/>
  </r>
  <r>
    <x v="18"/>
    <s v="SALAZAR VIDELA HECTOR ENRIQUE"/>
    <s v="07.04.2011"/>
    <e v="#N/A"/>
    <e v="#N/A"/>
    <e v="#N/A"/>
    <x v="1"/>
  </r>
  <r>
    <x v="18"/>
    <s v="SALAZAR VIDELA HECTOR ENRIQUE"/>
    <s v="07.04.2011"/>
    <e v="#N/A"/>
    <e v="#N/A"/>
    <e v="#N/A"/>
    <x v="1"/>
  </r>
  <r>
    <x v="18"/>
    <s v="SALAZAR VIDELA HECTOR ENRIQUE"/>
    <s v="08.04.2011"/>
    <e v="#N/A"/>
    <e v="#N/A"/>
    <e v="#N/A"/>
    <x v="1"/>
  </r>
  <r>
    <x v="18"/>
    <s v="SALAZAR VIDELA HECTOR ENRIQUE"/>
    <s v="08.04.2011"/>
    <e v="#N/A"/>
    <e v="#N/A"/>
    <e v="#N/A"/>
    <x v="1"/>
  </r>
  <r>
    <x v="18"/>
    <s v="SALAZAR VIDELA HECTOR ENRIQUE"/>
    <s v="09.04.2011"/>
    <e v="#N/A"/>
    <e v="#N/A"/>
    <e v="#N/A"/>
    <x v="1"/>
  </r>
  <r>
    <x v="19"/>
    <s v="FUENZALIDA ADASME FIDEL"/>
    <s v="00.00.0000"/>
    <e v="#N/A"/>
    <e v="#N/A"/>
    <e v="#N/A"/>
    <x v="1"/>
  </r>
  <r>
    <x v="20"/>
    <s v="NARVAI RIVERA JORGE PATRICIO"/>
    <s v="04.04.2011"/>
    <e v="#N/A"/>
    <e v="#N/A"/>
    <e v="#N/A"/>
    <x v="1"/>
  </r>
  <r>
    <x v="20"/>
    <s v="NARVAI RIVERA JORGE PATRICIO"/>
    <s v="04.04.2011"/>
    <e v="#N/A"/>
    <e v="#N/A"/>
    <e v="#N/A"/>
    <x v="1"/>
  </r>
  <r>
    <x v="20"/>
    <s v="NARVAI RIVERA JORGE PATRICIO"/>
    <s v="05.04.2011"/>
    <e v="#N/A"/>
    <e v="#N/A"/>
    <e v="#N/A"/>
    <x v="1"/>
  </r>
  <r>
    <x v="20"/>
    <s v="NARVAI RIVERA JORGE PATRICIO"/>
    <s v="05.04.2011"/>
    <e v="#N/A"/>
    <e v="#N/A"/>
    <e v="#N/A"/>
    <x v="1"/>
  </r>
  <r>
    <x v="20"/>
    <s v="NARVAI RIVERA JORGE PATRICIO"/>
    <s v="06.04.2011"/>
    <e v="#N/A"/>
    <e v="#N/A"/>
    <e v="#N/A"/>
    <x v="1"/>
  </r>
  <r>
    <x v="20"/>
    <s v="NARVAI RIVERA JORGE PATRICIO"/>
    <s v="06.04.2011"/>
    <e v="#N/A"/>
    <e v="#N/A"/>
    <e v="#N/A"/>
    <x v="1"/>
  </r>
  <r>
    <x v="20"/>
    <s v="NARVAI RIVERA JORGE PATRICIO"/>
    <s v="07.04.2011"/>
    <e v="#N/A"/>
    <e v="#N/A"/>
    <e v="#N/A"/>
    <x v="1"/>
  </r>
  <r>
    <x v="20"/>
    <s v="NARVAI RIVERA JORGE PATRICIO"/>
    <s v="07.04.2011"/>
    <e v="#N/A"/>
    <e v="#N/A"/>
    <e v="#N/A"/>
    <x v="1"/>
  </r>
  <r>
    <x v="20"/>
    <s v="NARVAI RIVERA JORGE PATRICIO"/>
    <s v="08.04.2011"/>
    <e v="#N/A"/>
    <e v="#N/A"/>
    <e v="#N/A"/>
    <x v="1"/>
  </r>
  <r>
    <x v="20"/>
    <s v="NARVAI RIVERA JORGE PATRICIO"/>
    <s v="08.04.2011"/>
    <e v="#N/A"/>
    <e v="#N/A"/>
    <e v="#N/A"/>
    <x v="1"/>
  </r>
  <r>
    <x v="20"/>
    <s v="NARVAI RIVERA JORGE PATRICIO"/>
    <s v="09.04.2011"/>
    <e v="#N/A"/>
    <e v="#N/A"/>
    <e v="#N/A"/>
    <x v="1"/>
  </r>
  <r>
    <x v="20"/>
    <s v="NARVAI RIVERA JORGE PATRICIO"/>
    <s v="09.04.2011"/>
    <e v="#N/A"/>
    <e v="#N/A"/>
    <e v="#N/A"/>
    <x v="1"/>
  </r>
  <r>
    <x v="21"/>
    <s v="CERNA  CONTRERAS,JUAN FCO."/>
    <s v="04.04.2011"/>
    <e v="#N/A"/>
    <e v="#N/A"/>
    <e v="#N/A"/>
    <x v="1"/>
  </r>
  <r>
    <x v="21"/>
    <s v="CERNA  CONTRERAS,JUAN FCO."/>
    <s v="04.04.2011"/>
    <e v="#N/A"/>
    <e v="#N/A"/>
    <e v="#N/A"/>
    <x v="1"/>
  </r>
  <r>
    <x v="21"/>
    <s v="CERNA  CONTRERAS,JUAN FCO."/>
    <s v="05.04.2011"/>
    <e v="#N/A"/>
    <e v="#N/A"/>
    <e v="#N/A"/>
    <x v="1"/>
  </r>
  <r>
    <x v="21"/>
    <s v="CERNA  CONTRERAS,JUAN FCO."/>
    <s v="05.04.2011"/>
    <e v="#N/A"/>
    <e v="#N/A"/>
    <e v="#N/A"/>
    <x v="1"/>
  </r>
  <r>
    <x v="21"/>
    <s v="CERNA  CONTRERAS,JUAN FCO."/>
    <s v="06.04.2011"/>
    <e v="#N/A"/>
    <e v="#N/A"/>
    <e v="#N/A"/>
    <x v="1"/>
  </r>
  <r>
    <x v="21"/>
    <s v="CERNA  CONTRERAS,JUAN FCO."/>
    <s v="06.04.2011"/>
    <e v="#N/A"/>
    <e v="#N/A"/>
    <e v="#N/A"/>
    <x v="1"/>
  </r>
  <r>
    <x v="21"/>
    <s v="CERNA  CONTRERAS,JUAN FCO."/>
    <s v="07.04.2011"/>
    <e v="#N/A"/>
    <e v="#N/A"/>
    <e v="#N/A"/>
    <x v="1"/>
  </r>
  <r>
    <x v="21"/>
    <s v="CERNA  CONTRERAS,JUAN FCO."/>
    <s v="07.04.2011"/>
    <e v="#N/A"/>
    <e v="#N/A"/>
    <e v="#N/A"/>
    <x v="1"/>
  </r>
  <r>
    <x v="21"/>
    <s v="CERNA  CONTRERAS,JUAN FCO."/>
    <s v="08.04.2011"/>
    <e v="#N/A"/>
    <e v="#N/A"/>
    <e v="#N/A"/>
    <x v="1"/>
  </r>
  <r>
    <x v="21"/>
    <s v="CERNA  CONTRERAS,JUAN FCO."/>
    <s v="08.04.2011"/>
    <e v="#N/A"/>
    <e v="#N/A"/>
    <e v="#N/A"/>
    <x v="1"/>
  </r>
  <r>
    <x v="22"/>
    <s v="QUIROZ VENEGAS JOSE MANUEL "/>
    <s v="04.04.2011"/>
    <e v="#N/A"/>
    <e v="#N/A"/>
    <e v="#N/A"/>
    <x v="1"/>
  </r>
  <r>
    <x v="22"/>
    <s v="QUIROZ VENEGAS JOSE MANUEL "/>
    <s v="04.04.2011"/>
    <e v="#N/A"/>
    <e v="#N/A"/>
    <e v="#N/A"/>
    <x v="1"/>
  </r>
  <r>
    <x v="22"/>
    <s v="QUIROZ VENEGAS JOSE MANUEL "/>
    <s v="05.04.2011"/>
    <e v="#N/A"/>
    <e v="#N/A"/>
    <e v="#N/A"/>
    <x v="1"/>
  </r>
  <r>
    <x v="22"/>
    <s v="QUIROZ VENEGAS JOSE MANUEL "/>
    <s v="05.04.2011"/>
    <e v="#N/A"/>
    <e v="#N/A"/>
    <e v="#N/A"/>
    <x v="1"/>
  </r>
  <r>
    <x v="22"/>
    <s v="QUIROZ VENEGAS JOSE MANUEL "/>
    <s v="06.04.2011"/>
    <e v="#N/A"/>
    <e v="#N/A"/>
    <e v="#N/A"/>
    <x v="1"/>
  </r>
  <r>
    <x v="22"/>
    <s v="QUIROZ VENEGAS JOSE MANUEL "/>
    <s v="06.04.2011"/>
    <e v="#N/A"/>
    <e v="#N/A"/>
    <e v="#N/A"/>
    <x v="1"/>
  </r>
  <r>
    <x v="22"/>
    <s v="QUIROZ VENEGAS JOSE MANUEL "/>
    <s v="07.04.2011"/>
    <e v="#N/A"/>
    <e v="#N/A"/>
    <e v="#N/A"/>
    <x v="1"/>
  </r>
  <r>
    <x v="22"/>
    <s v="QUIROZ VENEGAS JOSE MANUEL "/>
    <s v="07.04.2011"/>
    <e v="#N/A"/>
    <e v="#N/A"/>
    <e v="#N/A"/>
    <x v="1"/>
  </r>
  <r>
    <x v="22"/>
    <s v="QUIROZ VENEGAS JOSE MANUEL "/>
    <s v="08.04.2011"/>
    <e v="#N/A"/>
    <e v="#N/A"/>
    <e v="#N/A"/>
    <x v="1"/>
  </r>
  <r>
    <x v="22"/>
    <s v="QUIROZ VENEGAS JOSE MANUEL "/>
    <s v="08.04.2011"/>
    <e v="#N/A"/>
    <e v="#N/A"/>
    <e v="#N/A"/>
    <x v="1"/>
  </r>
  <r>
    <x v="22"/>
    <s v="QUIROZ VENEGAS JOSE MANUEL "/>
    <s v="09.04.2011"/>
    <e v="#N/A"/>
    <e v="#N/A"/>
    <e v="#N/A"/>
    <x v="1"/>
  </r>
  <r>
    <x v="22"/>
    <s v="QUIROZ VENEGAS JOSE MANUEL "/>
    <s v="09.04.2011"/>
    <e v="#N/A"/>
    <e v="#N/A"/>
    <e v="#N/A"/>
    <x v="1"/>
  </r>
  <r>
    <x v="23"/>
    <s v="ALBORNOZ ROA OSCAR ALFREDO"/>
    <s v="04.04.2011"/>
    <e v="#N/A"/>
    <e v="#N/A"/>
    <e v="#N/A"/>
    <x v="1"/>
  </r>
  <r>
    <x v="23"/>
    <s v="ALBORNOZ ROA OSCAR ALFREDO"/>
    <s v="04.04.2011"/>
    <e v="#N/A"/>
    <e v="#N/A"/>
    <e v="#N/A"/>
    <x v="1"/>
  </r>
  <r>
    <x v="23"/>
    <s v="ALBORNOZ ROA OSCAR ALFREDO"/>
    <s v="05.04.2011"/>
    <e v="#N/A"/>
    <e v="#N/A"/>
    <e v="#N/A"/>
    <x v="1"/>
  </r>
  <r>
    <x v="23"/>
    <s v="ALBORNOZ ROA OSCAR ALFREDO"/>
    <s v="05.04.2011"/>
    <e v="#N/A"/>
    <e v="#N/A"/>
    <e v="#N/A"/>
    <x v="1"/>
  </r>
  <r>
    <x v="23"/>
    <s v="ALBORNOZ ROA OSCAR ALFREDO"/>
    <s v="06.04.2011"/>
    <e v="#N/A"/>
    <e v="#N/A"/>
    <e v="#N/A"/>
    <x v="1"/>
  </r>
  <r>
    <x v="23"/>
    <s v="ALBORNOZ ROA OSCAR ALFREDO"/>
    <s v="06.04.2011"/>
    <e v="#N/A"/>
    <e v="#N/A"/>
    <e v="#N/A"/>
    <x v="1"/>
  </r>
  <r>
    <x v="23"/>
    <s v="ALBORNOZ ROA OSCAR ALFREDO"/>
    <s v="07.04.2011"/>
    <e v="#N/A"/>
    <e v="#N/A"/>
    <e v="#N/A"/>
    <x v="1"/>
  </r>
  <r>
    <x v="23"/>
    <s v="ALBORNOZ ROA OSCAR ALFREDO"/>
    <s v="07.04.2011"/>
    <e v="#N/A"/>
    <e v="#N/A"/>
    <e v="#N/A"/>
    <x v="1"/>
  </r>
  <r>
    <x v="23"/>
    <s v="ALBORNOZ ROA OSCAR ALFREDO"/>
    <s v="08.04.2011"/>
    <e v="#N/A"/>
    <e v="#N/A"/>
    <e v="#N/A"/>
    <x v="1"/>
  </r>
  <r>
    <x v="23"/>
    <s v="ALBORNOZ ROA OSCAR ALFREDO"/>
    <s v="08.04.2011"/>
    <e v="#N/A"/>
    <e v="#N/A"/>
    <e v="#N/A"/>
    <x v="1"/>
  </r>
  <r>
    <x v="24"/>
    <s v="VIDAL  ORMAZABAL,RUBEN A"/>
    <s v="04.04.2011"/>
    <e v="#N/A"/>
    <e v="#N/A"/>
    <e v="#N/A"/>
    <x v="1"/>
  </r>
  <r>
    <x v="24"/>
    <s v="VIDAL  ORMAZABAL,RUBEN A"/>
    <s v="04.04.2011"/>
    <e v="#N/A"/>
    <e v="#N/A"/>
    <e v="#N/A"/>
    <x v="1"/>
  </r>
  <r>
    <x v="24"/>
    <s v="VIDAL  ORMAZABAL,RUBEN A"/>
    <s v="05.04.2011"/>
    <e v="#N/A"/>
    <e v="#N/A"/>
    <e v="#N/A"/>
    <x v="1"/>
  </r>
  <r>
    <x v="24"/>
    <s v="VIDAL  ORMAZABAL,RUBEN A"/>
    <s v="05.04.2011"/>
    <e v="#N/A"/>
    <e v="#N/A"/>
    <e v="#N/A"/>
    <x v="1"/>
  </r>
  <r>
    <x v="24"/>
    <s v="VIDAL  ORMAZABAL,RUBEN A"/>
    <s v="06.04.2011"/>
    <e v="#N/A"/>
    <e v="#N/A"/>
    <e v="#N/A"/>
    <x v="1"/>
  </r>
  <r>
    <x v="24"/>
    <s v="VIDAL  ORMAZABAL,RUBEN A"/>
    <s v="06.04.2011"/>
    <e v="#N/A"/>
    <e v="#N/A"/>
    <e v="#N/A"/>
    <x v="1"/>
  </r>
  <r>
    <x v="24"/>
    <s v="VIDAL  ORMAZABAL,RUBEN A"/>
    <s v="07.04.2011"/>
    <e v="#N/A"/>
    <e v="#N/A"/>
    <e v="#N/A"/>
    <x v="1"/>
  </r>
  <r>
    <x v="24"/>
    <s v="VIDAL  ORMAZABAL,RUBEN A"/>
    <s v="07.04.2011"/>
    <e v="#N/A"/>
    <e v="#N/A"/>
    <e v="#N/A"/>
    <x v="1"/>
  </r>
  <r>
    <x v="24"/>
    <s v="VIDAL  ORMAZABAL,RUBEN A"/>
    <s v="08.04.2011"/>
    <e v="#N/A"/>
    <e v="#N/A"/>
    <e v="#N/A"/>
    <x v="1"/>
  </r>
  <r>
    <x v="24"/>
    <s v="VIDAL  ORMAZABAL,RUBEN A"/>
    <s v="08.04.2011"/>
    <e v="#N/A"/>
    <e v="#N/A"/>
    <e v="#N/A"/>
    <x v="1"/>
  </r>
  <r>
    <x v="24"/>
    <s v="VIDAL  ORMAZABAL,RUBEN A"/>
    <s v="09.04.2011"/>
    <e v="#N/A"/>
    <e v="#N/A"/>
    <e v="#N/A"/>
    <x v="1"/>
  </r>
  <r>
    <x v="24"/>
    <s v="VIDAL  ORMAZABAL,RUBEN A"/>
    <s v="09.04.2011"/>
    <e v="#N/A"/>
    <e v="#N/A"/>
    <e v="#N/A"/>
    <x v="1"/>
  </r>
  <r>
    <x v="25"/>
    <s v="JORQUERA  DURAN,ANA MARITZA"/>
    <s v="04.04.2011"/>
    <e v="#N/A"/>
    <e v="#N/A"/>
    <e v="#N/A"/>
    <x v="1"/>
  </r>
  <r>
    <x v="25"/>
    <s v="JORQUERA  DURAN,ANA MARITZA"/>
    <s v="05.04.2011"/>
    <e v="#N/A"/>
    <e v="#N/A"/>
    <e v="#N/A"/>
    <x v="1"/>
  </r>
  <r>
    <x v="25"/>
    <s v="JORQUERA  DURAN,ANA MARITZA"/>
    <s v="05.04.2011"/>
    <e v="#N/A"/>
    <e v="#N/A"/>
    <e v="#N/A"/>
    <x v="1"/>
  </r>
  <r>
    <x v="25"/>
    <s v="JORQUERA  DURAN,ANA MARITZA"/>
    <s v="06.04.2011"/>
    <e v="#N/A"/>
    <e v="#N/A"/>
    <e v="#N/A"/>
    <x v="1"/>
  </r>
  <r>
    <x v="25"/>
    <s v="JORQUERA  DURAN,ANA MARITZA"/>
    <s v="06.04.2011"/>
    <e v="#N/A"/>
    <e v="#N/A"/>
    <e v="#N/A"/>
    <x v="1"/>
  </r>
  <r>
    <x v="25"/>
    <s v="JORQUERA  DURAN,ANA MARITZA"/>
    <s v="07.04.2011"/>
    <e v="#N/A"/>
    <e v="#N/A"/>
    <e v="#N/A"/>
    <x v="1"/>
  </r>
  <r>
    <x v="25"/>
    <s v="JORQUERA  DURAN,ANA MARITZA"/>
    <s v="07.04.2011"/>
    <e v="#N/A"/>
    <e v="#N/A"/>
    <e v="#N/A"/>
    <x v="1"/>
  </r>
  <r>
    <x v="25"/>
    <s v="JORQUERA  DURAN,ANA MARITZA"/>
    <s v="08.04.2011"/>
    <e v="#N/A"/>
    <e v="#N/A"/>
    <e v="#N/A"/>
    <x v="1"/>
  </r>
  <r>
    <x v="25"/>
    <s v="JORQUERA  DURAN,ANA MARITZA"/>
    <s v="08.04.2011"/>
    <e v="#N/A"/>
    <e v="#N/A"/>
    <e v="#N/A"/>
    <x v="1"/>
  </r>
  <r>
    <x v="25"/>
    <s v="JORQUERA  DURAN,ANA MARITZA"/>
    <s v="09.04.2011"/>
    <e v="#N/A"/>
    <e v="#N/A"/>
    <e v="#N/A"/>
    <x v="1"/>
  </r>
  <r>
    <x v="26"/>
    <s v="PALMA  SEREÑO,ELOY ENRIQUE"/>
    <s v="04.04.2011"/>
    <e v="#N/A"/>
    <e v="#N/A"/>
    <e v="#N/A"/>
    <x v="1"/>
  </r>
  <r>
    <x v="26"/>
    <s v="PALMA  SEREÑO,ELOY ENRIQUE"/>
    <s v="05.04.2011"/>
    <e v="#N/A"/>
    <e v="#N/A"/>
    <e v="#N/A"/>
    <x v="1"/>
  </r>
  <r>
    <x v="26"/>
    <s v="PALMA  SEREÑO,ELOY ENRIQUE"/>
    <s v="05.04.2011"/>
    <e v="#N/A"/>
    <e v="#N/A"/>
    <e v="#N/A"/>
    <x v="1"/>
  </r>
  <r>
    <x v="26"/>
    <s v="PALMA  SEREÑO,ELOY ENRIQUE"/>
    <s v="06.04.2011"/>
    <e v="#N/A"/>
    <e v="#N/A"/>
    <e v="#N/A"/>
    <x v="1"/>
  </r>
  <r>
    <x v="26"/>
    <s v="PALMA  SEREÑO,ELOY ENRIQUE"/>
    <s v="06.04.2011"/>
    <e v="#N/A"/>
    <e v="#N/A"/>
    <e v="#N/A"/>
    <x v="1"/>
  </r>
  <r>
    <x v="26"/>
    <s v="PALMA  SEREÑO,ELOY ENRIQUE"/>
    <s v="07.04.2011"/>
    <e v="#N/A"/>
    <e v="#N/A"/>
    <e v="#N/A"/>
    <x v="1"/>
  </r>
  <r>
    <x v="26"/>
    <s v="PALMA  SEREÑO,ELOY ENRIQUE"/>
    <s v="07.04.2011"/>
    <e v="#N/A"/>
    <e v="#N/A"/>
    <e v="#N/A"/>
    <x v="1"/>
  </r>
  <r>
    <x v="26"/>
    <s v="PALMA  SEREÑO,ELOY ENRIQUE"/>
    <s v="08.04.2011"/>
    <e v="#N/A"/>
    <e v="#N/A"/>
    <e v="#N/A"/>
    <x v="1"/>
  </r>
  <r>
    <x v="26"/>
    <s v="PALMA  SEREÑO,ELOY ENRIQUE"/>
    <s v="08.04.2011"/>
    <e v="#N/A"/>
    <e v="#N/A"/>
    <e v="#N/A"/>
    <x v="1"/>
  </r>
  <r>
    <x v="26"/>
    <s v="PALMA  SEREÑO,ELOY ENRIQUE"/>
    <s v="09.04.2011"/>
    <e v="#N/A"/>
    <e v="#N/A"/>
    <e v="#N/A"/>
    <x v="1"/>
  </r>
  <r>
    <x v="27"/>
    <s v="CUEVAS ORDENES PATRICIO HERNAN"/>
    <s v="04.04.2011"/>
    <e v="#N/A"/>
    <e v="#N/A"/>
    <e v="#N/A"/>
    <x v="1"/>
  </r>
  <r>
    <x v="27"/>
    <s v="CUEVAS ORDENES PATRICIO HERNAN"/>
    <s v="04.04.2011"/>
    <e v="#N/A"/>
    <e v="#N/A"/>
    <e v="#N/A"/>
    <x v="1"/>
  </r>
  <r>
    <x v="27"/>
    <s v="CUEVAS ORDENES PATRICIO HERNAN"/>
    <s v="05.04.2011"/>
    <e v="#N/A"/>
    <e v="#N/A"/>
    <e v="#N/A"/>
    <x v="1"/>
  </r>
  <r>
    <x v="27"/>
    <s v="CUEVAS ORDENES PATRICIO HERNAN"/>
    <s v="05.04.2011"/>
    <e v="#N/A"/>
    <e v="#N/A"/>
    <e v="#N/A"/>
    <x v="1"/>
  </r>
  <r>
    <x v="27"/>
    <s v="CUEVAS ORDENES PATRICIO HERNAN"/>
    <s v="06.04.2011"/>
    <e v="#N/A"/>
    <e v="#N/A"/>
    <e v="#N/A"/>
    <x v="1"/>
  </r>
  <r>
    <x v="27"/>
    <s v="CUEVAS ORDENES PATRICIO HERNAN"/>
    <s v="06.04.2011"/>
    <e v="#N/A"/>
    <e v="#N/A"/>
    <e v="#N/A"/>
    <x v="1"/>
  </r>
  <r>
    <x v="27"/>
    <s v="CUEVAS ORDENES PATRICIO HERNAN"/>
    <s v="07.04.2011"/>
    <e v="#N/A"/>
    <e v="#N/A"/>
    <e v="#N/A"/>
    <x v="1"/>
  </r>
  <r>
    <x v="27"/>
    <s v="CUEVAS ORDENES PATRICIO HERNAN"/>
    <s v="07.04.2011"/>
    <e v="#N/A"/>
    <e v="#N/A"/>
    <e v="#N/A"/>
    <x v="1"/>
  </r>
  <r>
    <x v="27"/>
    <s v="CUEVAS ORDENES PATRICIO HERNAN"/>
    <s v="08.04.2011"/>
    <e v="#N/A"/>
    <e v="#N/A"/>
    <e v="#N/A"/>
    <x v="1"/>
  </r>
  <r>
    <x v="27"/>
    <s v="CUEVAS ORDENES PATRICIO HERNAN"/>
    <s v="08.04.2011"/>
    <e v="#N/A"/>
    <e v="#N/A"/>
    <e v="#N/A"/>
    <x v="1"/>
  </r>
  <r>
    <x v="27"/>
    <s v="CUEVAS ORDENES PATRICIO HERNAN"/>
    <s v="09.04.2011"/>
    <e v="#N/A"/>
    <e v="#N/A"/>
    <e v="#N/A"/>
    <x v="1"/>
  </r>
  <r>
    <x v="27"/>
    <s v="CUEVAS ORDENES PATRICIO HERNAN"/>
    <s v="09.04.2011"/>
    <e v="#N/A"/>
    <e v="#N/A"/>
    <e v="#N/A"/>
    <x v="1"/>
  </r>
  <r>
    <x v="28"/>
    <s v="CERONI  PIZARRO,CARLOS"/>
    <s v="04.04.2011"/>
    <e v="#N/A"/>
    <e v="#N/A"/>
    <e v="#N/A"/>
    <x v="1"/>
  </r>
  <r>
    <x v="28"/>
    <s v="CERONI  PIZARRO,CARLOS"/>
    <s v="04.04.2011"/>
    <e v="#N/A"/>
    <e v="#N/A"/>
    <e v="#N/A"/>
    <x v="1"/>
  </r>
  <r>
    <x v="28"/>
    <s v="CERONI  PIZARRO,CARLOS"/>
    <s v="05.04.2011"/>
    <e v="#N/A"/>
    <e v="#N/A"/>
    <e v="#N/A"/>
    <x v="1"/>
  </r>
  <r>
    <x v="28"/>
    <s v="CERONI  PIZARRO,CARLOS"/>
    <s v="05.04.2011"/>
    <e v="#N/A"/>
    <e v="#N/A"/>
    <e v="#N/A"/>
    <x v="1"/>
  </r>
  <r>
    <x v="28"/>
    <s v="CERONI  PIZARRO,CARLOS"/>
    <s v="06.04.2011"/>
    <e v="#N/A"/>
    <e v="#N/A"/>
    <e v="#N/A"/>
    <x v="1"/>
  </r>
  <r>
    <x v="28"/>
    <s v="CERONI  PIZARRO,CARLOS"/>
    <s v="06.04.2011"/>
    <e v="#N/A"/>
    <e v="#N/A"/>
    <e v="#N/A"/>
    <x v="1"/>
  </r>
  <r>
    <x v="28"/>
    <s v="CERONI  PIZARRO,CARLOS"/>
    <s v="07.04.2011"/>
    <e v="#N/A"/>
    <e v="#N/A"/>
    <e v="#N/A"/>
    <x v="1"/>
  </r>
  <r>
    <x v="28"/>
    <s v="CERONI  PIZARRO,CARLOS"/>
    <s v="07.04.2011"/>
    <e v="#N/A"/>
    <e v="#N/A"/>
    <e v="#N/A"/>
    <x v="1"/>
  </r>
  <r>
    <x v="28"/>
    <s v="CERONI  PIZARRO,CARLOS"/>
    <s v="08.04.2011"/>
    <e v="#N/A"/>
    <e v="#N/A"/>
    <e v="#N/A"/>
    <x v="1"/>
  </r>
  <r>
    <x v="28"/>
    <s v="CERONI  PIZARRO,CARLOS"/>
    <s v="08.04.2011"/>
    <e v="#N/A"/>
    <e v="#N/A"/>
    <e v="#N/A"/>
    <x v="1"/>
  </r>
  <r>
    <x v="28"/>
    <s v="CERONI  PIZARRO,CARLOS"/>
    <s v="09.04.2011"/>
    <e v="#N/A"/>
    <e v="#N/A"/>
    <e v="#N/A"/>
    <x v="1"/>
  </r>
  <r>
    <x v="28"/>
    <s v="CERONI  PIZARRO,CARLOS"/>
    <s v="09.04.2011"/>
    <e v="#N/A"/>
    <e v="#N/A"/>
    <e v="#N/A"/>
    <x v="1"/>
  </r>
  <r>
    <x v="29"/>
    <s v="PINTO  FLORES,JULIO CESAR"/>
    <s v="04.04.2011"/>
    <e v="#N/A"/>
    <e v="#N/A"/>
    <e v="#N/A"/>
    <x v="1"/>
  </r>
  <r>
    <x v="29"/>
    <s v="PINTO  FLORES,JULIO CESAR"/>
    <s v="04.04.2011"/>
    <e v="#N/A"/>
    <e v="#N/A"/>
    <e v="#N/A"/>
    <x v="1"/>
  </r>
  <r>
    <x v="29"/>
    <s v="PINTO  FLORES,JULIO CESAR"/>
    <s v="05.04.2011"/>
    <e v="#N/A"/>
    <e v="#N/A"/>
    <e v="#N/A"/>
    <x v="1"/>
  </r>
  <r>
    <x v="29"/>
    <s v="PINTO  FLORES,JULIO CESAR"/>
    <s v="05.04.2011"/>
    <e v="#N/A"/>
    <e v="#N/A"/>
    <e v="#N/A"/>
    <x v="1"/>
  </r>
  <r>
    <x v="29"/>
    <s v="PINTO  FLORES,JULIO CESAR"/>
    <s v="06.04.2011"/>
    <e v="#N/A"/>
    <e v="#N/A"/>
    <e v="#N/A"/>
    <x v="1"/>
  </r>
  <r>
    <x v="29"/>
    <s v="PINTO  FLORES,JULIO CESAR"/>
    <s v="06.04.2011"/>
    <e v="#N/A"/>
    <e v="#N/A"/>
    <e v="#N/A"/>
    <x v="1"/>
  </r>
  <r>
    <x v="29"/>
    <s v="PINTO  FLORES,JULIO CESAR"/>
    <s v="07.04.2011"/>
    <e v="#N/A"/>
    <e v="#N/A"/>
    <e v="#N/A"/>
    <x v="1"/>
  </r>
  <r>
    <x v="29"/>
    <s v="PINTO  FLORES,JULIO CESAR"/>
    <s v="07.04.2011"/>
    <e v="#N/A"/>
    <e v="#N/A"/>
    <e v="#N/A"/>
    <x v="1"/>
  </r>
  <r>
    <x v="29"/>
    <s v="PINTO  FLORES,JULIO CESAR"/>
    <s v="08.04.2011"/>
    <e v="#N/A"/>
    <e v="#N/A"/>
    <e v="#N/A"/>
    <x v="1"/>
  </r>
  <r>
    <x v="29"/>
    <s v="PINTO  FLORES,JULIO CESAR"/>
    <s v="08.04.2011"/>
    <e v="#N/A"/>
    <e v="#N/A"/>
    <e v="#N/A"/>
    <x v="1"/>
  </r>
  <r>
    <x v="29"/>
    <s v="PINTO  FLORES,JULIO CESAR"/>
    <s v="09.04.2011"/>
    <e v="#N/A"/>
    <e v="#N/A"/>
    <e v="#N/A"/>
    <x v="1"/>
  </r>
  <r>
    <x v="29"/>
    <s v="PINTO  FLORES,JULIO CESAR"/>
    <s v="09.04.2011"/>
    <e v="#N/A"/>
    <e v="#N/A"/>
    <e v="#N/A"/>
    <x v="1"/>
  </r>
  <r>
    <x v="30"/>
    <s v="SALAS  VALENZUELA,MIGUEL"/>
    <s v="04.04.2011"/>
    <e v="#N/A"/>
    <e v="#N/A"/>
    <e v="#N/A"/>
    <x v="1"/>
  </r>
  <r>
    <x v="30"/>
    <s v="SALAS  VALENZUELA,MIGUEL"/>
    <s v="05.04.2011"/>
    <e v="#N/A"/>
    <e v="#N/A"/>
    <e v="#N/A"/>
    <x v="1"/>
  </r>
  <r>
    <x v="30"/>
    <s v="SALAS  VALENZUELA,MIGUEL"/>
    <s v="05.04.2011"/>
    <e v="#N/A"/>
    <e v="#N/A"/>
    <e v="#N/A"/>
    <x v="1"/>
  </r>
  <r>
    <x v="30"/>
    <s v="SALAS  VALENZUELA,MIGUEL"/>
    <s v="06.04.2011"/>
    <e v="#N/A"/>
    <e v="#N/A"/>
    <e v="#N/A"/>
    <x v="1"/>
  </r>
  <r>
    <x v="30"/>
    <s v="SALAS  VALENZUELA,MIGUEL"/>
    <s v="06.04.2011"/>
    <e v="#N/A"/>
    <e v="#N/A"/>
    <e v="#N/A"/>
    <x v="1"/>
  </r>
  <r>
    <x v="30"/>
    <s v="SALAS  VALENZUELA,MIGUEL"/>
    <s v="07.04.2011"/>
    <e v="#N/A"/>
    <e v="#N/A"/>
    <e v="#N/A"/>
    <x v="1"/>
  </r>
  <r>
    <x v="30"/>
    <s v="SALAS  VALENZUELA,MIGUEL"/>
    <s v="07.04.2011"/>
    <e v="#N/A"/>
    <e v="#N/A"/>
    <e v="#N/A"/>
    <x v="1"/>
  </r>
  <r>
    <x v="30"/>
    <s v="SALAS  VALENZUELA,MIGUEL"/>
    <s v="08.04.2011"/>
    <e v="#N/A"/>
    <e v="#N/A"/>
    <e v="#N/A"/>
    <x v="1"/>
  </r>
  <r>
    <x v="30"/>
    <s v="SALAS  VALENZUELA,MIGUEL"/>
    <s v="08.04.2011"/>
    <e v="#N/A"/>
    <e v="#N/A"/>
    <e v="#N/A"/>
    <x v="1"/>
  </r>
  <r>
    <x v="30"/>
    <s v="SALAS  VALENZUELA,MIGUEL"/>
    <s v="09.04.2011"/>
    <e v="#N/A"/>
    <e v="#N/A"/>
    <e v="#N/A"/>
    <x v="1"/>
  </r>
  <r>
    <x v="31"/>
    <s v="RAMIREZ ROJAS JOSE"/>
    <s v="04.04.2011"/>
    <e v="#N/A"/>
    <e v="#N/A"/>
    <e v="#N/A"/>
    <x v="1"/>
  </r>
  <r>
    <x v="31"/>
    <s v="RAMIREZ ROJAS JOSE"/>
    <s v="04.04.2011"/>
    <e v="#N/A"/>
    <e v="#N/A"/>
    <e v="#N/A"/>
    <x v="1"/>
  </r>
  <r>
    <x v="31"/>
    <s v="RAMIREZ ROJAS JOSE"/>
    <s v="05.04.2011"/>
    <e v="#N/A"/>
    <e v="#N/A"/>
    <e v="#N/A"/>
    <x v="1"/>
  </r>
  <r>
    <x v="31"/>
    <s v="RAMIREZ ROJAS JOSE"/>
    <s v="05.04.2011"/>
    <e v="#N/A"/>
    <e v="#N/A"/>
    <e v="#N/A"/>
    <x v="1"/>
  </r>
  <r>
    <x v="31"/>
    <s v="RAMIREZ ROJAS JOSE"/>
    <s v="06.04.2011"/>
    <e v="#N/A"/>
    <e v="#N/A"/>
    <e v="#N/A"/>
    <x v="1"/>
  </r>
  <r>
    <x v="31"/>
    <s v="RAMIREZ ROJAS JOSE"/>
    <s v="06.04.2011"/>
    <e v="#N/A"/>
    <e v="#N/A"/>
    <e v="#N/A"/>
    <x v="1"/>
  </r>
  <r>
    <x v="31"/>
    <s v="RAMIREZ ROJAS JOSE"/>
    <s v="07.04.2011"/>
    <e v="#N/A"/>
    <e v="#N/A"/>
    <e v="#N/A"/>
    <x v="1"/>
  </r>
  <r>
    <x v="31"/>
    <s v="RAMIREZ ROJAS JOSE"/>
    <s v="07.04.2011"/>
    <e v="#N/A"/>
    <e v="#N/A"/>
    <e v="#N/A"/>
    <x v="1"/>
  </r>
  <r>
    <x v="31"/>
    <s v="RAMIREZ ROJAS JOSE"/>
    <s v="08.04.2011"/>
    <e v="#N/A"/>
    <e v="#N/A"/>
    <e v="#N/A"/>
    <x v="1"/>
  </r>
  <r>
    <x v="31"/>
    <s v="RAMIREZ ROJAS JOSE"/>
    <s v="08.04.2011"/>
    <e v="#N/A"/>
    <e v="#N/A"/>
    <e v="#N/A"/>
    <x v="1"/>
  </r>
  <r>
    <x v="31"/>
    <s v="RAMIREZ ROJAS JOSE"/>
    <s v="09.04.2011"/>
    <e v="#N/A"/>
    <e v="#N/A"/>
    <e v="#N/A"/>
    <x v="1"/>
  </r>
  <r>
    <x v="31"/>
    <s v="RAMIREZ ROJAS JOSE"/>
    <s v="09.04.2011"/>
    <e v="#N/A"/>
    <e v="#N/A"/>
    <e v="#N/A"/>
    <x v="1"/>
  </r>
  <r>
    <x v="32"/>
    <s v="RUBIO CASTRO MARCOS"/>
    <s v="04.04.2011"/>
    <e v="#N/A"/>
    <e v="#N/A"/>
    <e v="#N/A"/>
    <x v="1"/>
  </r>
  <r>
    <x v="32"/>
    <s v="RUBIO CASTRO MARCOS"/>
    <s v="05.04.2011"/>
    <e v="#N/A"/>
    <e v="#N/A"/>
    <e v="#N/A"/>
    <x v="1"/>
  </r>
  <r>
    <x v="32"/>
    <s v="RUBIO CASTRO MARCOS"/>
    <s v="05.04.2011"/>
    <e v="#N/A"/>
    <e v="#N/A"/>
    <e v="#N/A"/>
    <x v="1"/>
  </r>
  <r>
    <x v="32"/>
    <s v="RUBIO CASTRO MARCOS"/>
    <s v="06.04.2011"/>
    <e v="#N/A"/>
    <e v="#N/A"/>
    <e v="#N/A"/>
    <x v="1"/>
  </r>
  <r>
    <x v="32"/>
    <s v="RUBIO CASTRO MARCOS"/>
    <s v="06.04.2011"/>
    <e v="#N/A"/>
    <e v="#N/A"/>
    <e v="#N/A"/>
    <x v="1"/>
  </r>
  <r>
    <x v="32"/>
    <s v="RUBIO CASTRO MARCOS"/>
    <s v="07.04.2011"/>
    <e v="#N/A"/>
    <e v="#N/A"/>
    <e v="#N/A"/>
    <x v="1"/>
  </r>
  <r>
    <x v="32"/>
    <s v="RUBIO CASTRO MARCOS"/>
    <s v="07.04.2011"/>
    <e v="#N/A"/>
    <e v="#N/A"/>
    <e v="#N/A"/>
    <x v="1"/>
  </r>
  <r>
    <x v="32"/>
    <s v="RUBIO CASTRO MARCOS"/>
    <s v="10.04.2011"/>
    <e v="#N/A"/>
    <e v="#N/A"/>
    <e v="#N/A"/>
    <x v="1"/>
  </r>
  <r>
    <x v="33"/>
    <s v="DIAZ CASTRO MIGUEL ANGEL"/>
    <s v="04.04.2011"/>
    <e v="#N/A"/>
    <e v="#N/A"/>
    <e v="#N/A"/>
    <x v="1"/>
  </r>
  <r>
    <x v="33"/>
    <s v="DIAZ CASTRO MIGUEL ANGEL"/>
    <s v="04.04.2011"/>
    <e v="#N/A"/>
    <e v="#N/A"/>
    <e v="#N/A"/>
    <x v="1"/>
  </r>
  <r>
    <x v="33"/>
    <s v="DIAZ CASTRO MIGUEL ANGEL"/>
    <s v="05.04.2011"/>
    <e v="#N/A"/>
    <e v="#N/A"/>
    <e v="#N/A"/>
    <x v="1"/>
  </r>
  <r>
    <x v="33"/>
    <s v="DIAZ CASTRO MIGUEL ANGEL"/>
    <s v="05.04.2011"/>
    <e v="#N/A"/>
    <e v="#N/A"/>
    <e v="#N/A"/>
    <x v="1"/>
  </r>
  <r>
    <x v="33"/>
    <s v="DIAZ CASTRO MIGUEL ANGEL"/>
    <s v="06.04.2011"/>
    <e v="#N/A"/>
    <e v="#N/A"/>
    <e v="#N/A"/>
    <x v="1"/>
  </r>
  <r>
    <x v="33"/>
    <s v="DIAZ CASTRO MIGUEL ANGEL"/>
    <s v="06.04.2011"/>
    <e v="#N/A"/>
    <e v="#N/A"/>
    <e v="#N/A"/>
    <x v="1"/>
  </r>
  <r>
    <x v="33"/>
    <s v="DIAZ CASTRO MIGUEL ANGEL"/>
    <s v="07.04.2011"/>
    <e v="#N/A"/>
    <e v="#N/A"/>
    <e v="#N/A"/>
    <x v="1"/>
  </r>
  <r>
    <x v="33"/>
    <s v="DIAZ CASTRO MIGUEL ANGEL"/>
    <s v="07.04.2011"/>
    <e v="#N/A"/>
    <e v="#N/A"/>
    <e v="#N/A"/>
    <x v="1"/>
  </r>
  <r>
    <x v="33"/>
    <s v="DIAZ CASTRO MIGUEL ANGEL"/>
    <s v="08.04.2011"/>
    <e v="#N/A"/>
    <e v="#N/A"/>
    <e v="#N/A"/>
    <x v="1"/>
  </r>
  <r>
    <x v="33"/>
    <s v="DIAZ CASTRO MIGUEL ANGEL"/>
    <s v="08.04.2011"/>
    <e v="#N/A"/>
    <e v="#N/A"/>
    <e v="#N/A"/>
    <x v="1"/>
  </r>
  <r>
    <x v="34"/>
    <s v="GARRIDO  ACEVEDO,WILSON"/>
    <s v="04.04.2011"/>
    <e v="#N/A"/>
    <e v="#N/A"/>
    <e v="#N/A"/>
    <x v="1"/>
  </r>
  <r>
    <x v="34"/>
    <s v="GARRIDO  ACEVEDO,WILSON"/>
    <s v="04.04.2011"/>
    <e v="#N/A"/>
    <e v="#N/A"/>
    <e v="#N/A"/>
    <x v="1"/>
  </r>
  <r>
    <x v="34"/>
    <s v="GARRIDO  ACEVEDO,WILSON"/>
    <s v="05.04.2011"/>
    <e v="#N/A"/>
    <e v="#N/A"/>
    <e v="#N/A"/>
    <x v="1"/>
  </r>
  <r>
    <x v="34"/>
    <s v="GARRIDO  ACEVEDO,WILSON"/>
    <s v="05.04.2011"/>
    <e v="#N/A"/>
    <e v="#N/A"/>
    <e v="#N/A"/>
    <x v="1"/>
  </r>
  <r>
    <x v="34"/>
    <s v="GARRIDO  ACEVEDO,WILSON"/>
    <s v="06.04.2011"/>
    <e v="#N/A"/>
    <e v="#N/A"/>
    <e v="#N/A"/>
    <x v="1"/>
  </r>
  <r>
    <x v="34"/>
    <s v="GARRIDO  ACEVEDO,WILSON"/>
    <s v="06.04.2011"/>
    <e v="#N/A"/>
    <e v="#N/A"/>
    <e v="#N/A"/>
    <x v="1"/>
  </r>
  <r>
    <x v="34"/>
    <s v="GARRIDO  ACEVEDO,WILSON"/>
    <s v="07.04.2011"/>
    <e v="#N/A"/>
    <e v="#N/A"/>
    <e v="#N/A"/>
    <x v="1"/>
  </r>
  <r>
    <x v="34"/>
    <s v="GARRIDO  ACEVEDO,WILSON"/>
    <s v="07.04.2011"/>
    <e v="#N/A"/>
    <e v="#N/A"/>
    <e v="#N/A"/>
    <x v="1"/>
  </r>
  <r>
    <x v="34"/>
    <s v="GARRIDO  ACEVEDO,WILSON"/>
    <s v="08.04.2011"/>
    <e v="#N/A"/>
    <e v="#N/A"/>
    <e v="#N/A"/>
    <x v="1"/>
  </r>
  <r>
    <x v="34"/>
    <s v="GARRIDO  ACEVEDO,WILSON"/>
    <s v="08.04.2011"/>
    <e v="#N/A"/>
    <e v="#N/A"/>
    <e v="#N/A"/>
    <x v="1"/>
  </r>
  <r>
    <x v="35"/>
    <s v="LEIVA  CASTILLO, RAUL"/>
    <s v="04.04.2011"/>
    <e v="#N/A"/>
    <e v="#N/A"/>
    <e v="#N/A"/>
    <x v="1"/>
  </r>
  <r>
    <x v="35"/>
    <s v="LEIVA  CASTILLO, RAUL"/>
    <s v="05.04.2011"/>
    <e v="#N/A"/>
    <e v="#N/A"/>
    <e v="#N/A"/>
    <x v="1"/>
  </r>
  <r>
    <x v="35"/>
    <s v="LEIVA  CASTILLO, RAUL"/>
    <s v="05.04.2011"/>
    <e v="#N/A"/>
    <e v="#N/A"/>
    <e v="#N/A"/>
    <x v="1"/>
  </r>
  <r>
    <x v="35"/>
    <s v="LEIVA  CASTILLO, RAUL"/>
    <s v="06.04.2011"/>
    <e v="#N/A"/>
    <e v="#N/A"/>
    <e v="#N/A"/>
    <x v="1"/>
  </r>
  <r>
    <x v="35"/>
    <s v="LEIVA  CASTILLO, RAUL"/>
    <s v="06.04.2011"/>
    <e v="#N/A"/>
    <e v="#N/A"/>
    <e v="#N/A"/>
    <x v="1"/>
  </r>
  <r>
    <x v="35"/>
    <s v="LEIVA  CASTILLO, RAUL"/>
    <s v="07.04.2011"/>
    <e v="#N/A"/>
    <e v="#N/A"/>
    <e v="#N/A"/>
    <x v="1"/>
  </r>
  <r>
    <x v="35"/>
    <s v="LEIVA  CASTILLO, RAUL"/>
    <s v="07.04.2011"/>
    <e v="#N/A"/>
    <e v="#N/A"/>
    <e v="#N/A"/>
    <x v="1"/>
  </r>
  <r>
    <x v="35"/>
    <s v="LEIVA  CASTILLO, RAUL"/>
    <s v="08.04.2011"/>
    <e v="#N/A"/>
    <e v="#N/A"/>
    <e v="#N/A"/>
    <x v="1"/>
  </r>
  <r>
    <x v="35"/>
    <s v="LEIVA  CASTILLO, RAUL"/>
    <s v="08.04.2011"/>
    <e v="#N/A"/>
    <e v="#N/A"/>
    <e v="#N/A"/>
    <x v="1"/>
  </r>
  <r>
    <x v="35"/>
    <s v="LEIVA  CASTILLO, RAUL"/>
    <s v="09.04.2011"/>
    <e v="#N/A"/>
    <e v="#N/A"/>
    <e v="#N/A"/>
    <x v="1"/>
  </r>
  <r>
    <x v="36"/>
    <s v="SANHUEZA CUBILLOS ANTONIO ACISCLO"/>
    <s v="04.04.2011"/>
    <e v="#N/A"/>
    <e v="#N/A"/>
    <e v="#N/A"/>
    <x v="1"/>
  </r>
  <r>
    <x v="36"/>
    <s v="SANHUEZA CUBILLOS ANTONIO ACISCLO"/>
    <s v="04.04.2011"/>
    <e v="#N/A"/>
    <e v="#N/A"/>
    <e v="#N/A"/>
    <x v="1"/>
  </r>
  <r>
    <x v="36"/>
    <s v="SANHUEZA CUBILLOS ANTONIO ACISCLO"/>
    <s v="05.04.2011"/>
    <e v="#N/A"/>
    <e v="#N/A"/>
    <e v="#N/A"/>
    <x v="1"/>
  </r>
  <r>
    <x v="36"/>
    <s v="SANHUEZA CUBILLOS ANTONIO ACISCLO"/>
    <s v="05.04.2011"/>
    <e v="#N/A"/>
    <e v="#N/A"/>
    <e v="#N/A"/>
    <x v="1"/>
  </r>
  <r>
    <x v="36"/>
    <s v="SANHUEZA CUBILLOS ANTONIO ACISCLO"/>
    <s v="06.04.2011"/>
    <e v="#N/A"/>
    <e v="#N/A"/>
    <e v="#N/A"/>
    <x v="1"/>
  </r>
  <r>
    <x v="36"/>
    <s v="SANHUEZA CUBILLOS ANTONIO ACISCLO"/>
    <s v="06.04.2011"/>
    <e v="#N/A"/>
    <e v="#N/A"/>
    <e v="#N/A"/>
    <x v="1"/>
  </r>
  <r>
    <x v="36"/>
    <s v="SANHUEZA CUBILLOS ANTONIO ACISCLO"/>
    <s v="07.04.2011"/>
    <e v="#N/A"/>
    <e v="#N/A"/>
    <e v="#N/A"/>
    <x v="1"/>
  </r>
  <r>
    <x v="36"/>
    <s v="SANHUEZA CUBILLOS ANTONIO ACISCLO"/>
    <s v="07.04.2011"/>
    <e v="#N/A"/>
    <e v="#N/A"/>
    <e v="#N/A"/>
    <x v="1"/>
  </r>
  <r>
    <x v="36"/>
    <s v="SANHUEZA CUBILLOS ANTONIO ACISCLO"/>
    <s v="08.04.2011"/>
    <e v="#N/A"/>
    <e v="#N/A"/>
    <e v="#N/A"/>
    <x v="1"/>
  </r>
  <r>
    <x v="36"/>
    <s v="SANHUEZA CUBILLOS ANTONIO ACISCLO"/>
    <s v="08.04.2011"/>
    <e v="#N/A"/>
    <e v="#N/A"/>
    <e v="#N/A"/>
    <x v="1"/>
  </r>
  <r>
    <x v="36"/>
    <s v="SANHUEZA CUBILLOS ANTONIO ACISCLO"/>
    <s v="09.04.2011"/>
    <e v="#N/A"/>
    <e v="#N/A"/>
    <e v="#N/A"/>
    <x v="1"/>
  </r>
  <r>
    <x v="36"/>
    <s v="SANHUEZA CUBILLOS ANTONIO ACISCLO"/>
    <s v="09.04.2011"/>
    <e v="#N/A"/>
    <e v="#N/A"/>
    <e v="#N/A"/>
    <x v="1"/>
  </r>
  <r>
    <x v="37"/>
    <s v="GUZMAN CASTAÑEDA XIMENA DEL ROSARIO"/>
    <s v="04.04.2011"/>
    <e v="#N/A"/>
    <e v="#N/A"/>
    <e v="#N/A"/>
    <x v="1"/>
  </r>
  <r>
    <x v="37"/>
    <s v="GUZMAN CASTAÑEDA XIMENA DEL ROSARIO"/>
    <s v="04.04.2011"/>
    <e v="#N/A"/>
    <e v="#N/A"/>
    <e v="#N/A"/>
    <x v="1"/>
  </r>
  <r>
    <x v="37"/>
    <s v="GUZMAN CASTAÑEDA XIMENA DEL ROSARIO"/>
    <s v="05.04.2011"/>
    <e v="#N/A"/>
    <e v="#N/A"/>
    <e v="#N/A"/>
    <x v="1"/>
  </r>
  <r>
    <x v="37"/>
    <s v="GUZMAN CASTAÑEDA XIMENA DEL ROSARIO"/>
    <s v="05.04.2011"/>
    <e v="#N/A"/>
    <e v="#N/A"/>
    <e v="#N/A"/>
    <x v="1"/>
  </r>
  <r>
    <x v="37"/>
    <s v="GUZMAN CASTAÑEDA XIMENA DEL ROSARIO"/>
    <s v="06.04.2011"/>
    <e v="#N/A"/>
    <e v="#N/A"/>
    <e v="#N/A"/>
    <x v="1"/>
  </r>
  <r>
    <x v="37"/>
    <s v="GUZMAN CASTAÑEDA XIMENA DEL ROSARIO"/>
    <s v="06.04.2011"/>
    <e v="#N/A"/>
    <e v="#N/A"/>
    <e v="#N/A"/>
    <x v="1"/>
  </r>
  <r>
    <x v="37"/>
    <s v="GUZMAN CASTAÑEDA XIMENA DEL ROSARIO"/>
    <s v="07.04.2011"/>
    <e v="#N/A"/>
    <e v="#N/A"/>
    <e v="#N/A"/>
    <x v="1"/>
  </r>
  <r>
    <x v="37"/>
    <s v="GUZMAN CASTAÑEDA XIMENA DEL ROSARIO"/>
    <s v="07.04.2011"/>
    <e v="#N/A"/>
    <e v="#N/A"/>
    <e v="#N/A"/>
    <x v="1"/>
  </r>
  <r>
    <x v="37"/>
    <s v="GUZMAN CASTAÑEDA XIMENA DEL ROSARIO"/>
    <s v="08.04.2011"/>
    <e v="#N/A"/>
    <e v="#N/A"/>
    <e v="#N/A"/>
    <x v="1"/>
  </r>
  <r>
    <x v="37"/>
    <s v="GUZMAN CASTAÑEDA XIMENA DEL ROSARIO"/>
    <s v="08.04.2011"/>
    <e v="#N/A"/>
    <e v="#N/A"/>
    <e v="#N/A"/>
    <x v="1"/>
  </r>
  <r>
    <x v="37"/>
    <s v="GUZMAN CASTAÑEDA XIMENA DEL ROSARIO"/>
    <s v="09.04.2011"/>
    <e v="#N/A"/>
    <e v="#N/A"/>
    <e v="#N/A"/>
    <x v="1"/>
  </r>
  <r>
    <x v="37"/>
    <s v="GUZMAN CASTAÑEDA XIMENA DEL ROSARIO"/>
    <s v="09.04.2011"/>
    <e v="#N/A"/>
    <e v="#N/A"/>
    <e v="#N/A"/>
    <x v="1"/>
  </r>
  <r>
    <x v="38"/>
    <s v="ACEVEEDO MARTINEZ MARIO DEL TRANSITO"/>
    <s v="04.04.2011"/>
    <e v="#N/A"/>
    <e v="#N/A"/>
    <e v="#N/A"/>
    <x v="1"/>
  </r>
  <r>
    <x v="38"/>
    <s v="ACEVEEDO MARTINEZ MARIO DEL TRANSITO"/>
    <s v="04.04.2011"/>
    <e v="#N/A"/>
    <e v="#N/A"/>
    <e v="#N/A"/>
    <x v="1"/>
  </r>
  <r>
    <x v="38"/>
    <s v="ACEVEEDO MARTINEZ MARIO DEL TRANSITO"/>
    <s v="05.04.2011"/>
    <e v="#N/A"/>
    <e v="#N/A"/>
    <e v="#N/A"/>
    <x v="1"/>
  </r>
  <r>
    <x v="38"/>
    <s v="ACEVEEDO MARTINEZ MARIO DEL TRANSITO"/>
    <s v="05.04.2011"/>
    <e v="#N/A"/>
    <e v="#N/A"/>
    <e v="#N/A"/>
    <x v="1"/>
  </r>
  <r>
    <x v="38"/>
    <s v="ACEVEEDO MARTINEZ MARIO DEL TRANSITO"/>
    <s v="06.04.2011"/>
    <e v="#N/A"/>
    <e v="#N/A"/>
    <e v="#N/A"/>
    <x v="1"/>
  </r>
  <r>
    <x v="38"/>
    <s v="ACEVEEDO MARTINEZ MARIO DEL TRANSITO"/>
    <s v="06.04.2011"/>
    <e v="#N/A"/>
    <e v="#N/A"/>
    <e v="#N/A"/>
    <x v="1"/>
  </r>
  <r>
    <x v="38"/>
    <s v="ACEVEEDO MARTINEZ MARIO DEL TRANSITO"/>
    <s v="07.04.2011"/>
    <e v="#N/A"/>
    <e v="#N/A"/>
    <e v="#N/A"/>
    <x v="1"/>
  </r>
  <r>
    <x v="38"/>
    <s v="ACEVEEDO MARTINEZ MARIO DEL TRANSITO"/>
    <s v="07.04.2011"/>
    <e v="#N/A"/>
    <e v="#N/A"/>
    <e v="#N/A"/>
    <x v="1"/>
  </r>
  <r>
    <x v="38"/>
    <s v="ACEVEEDO MARTINEZ MARIO DEL TRANSITO"/>
    <s v="08.04.2011"/>
    <e v="#N/A"/>
    <e v="#N/A"/>
    <e v="#N/A"/>
    <x v="1"/>
  </r>
  <r>
    <x v="38"/>
    <s v="ACEVEEDO MARTINEZ MARIO DEL TRANSITO"/>
    <s v="08.04.2011"/>
    <e v="#N/A"/>
    <e v="#N/A"/>
    <e v="#N/A"/>
    <x v="1"/>
  </r>
  <r>
    <x v="38"/>
    <s v="ACEVEEDO MARTINEZ MARIO DEL TRANSITO"/>
    <s v="09.04.2011"/>
    <e v="#N/A"/>
    <e v="#N/A"/>
    <e v="#N/A"/>
    <x v="1"/>
  </r>
  <r>
    <x v="38"/>
    <s v="ACEVEEDO MARTINEZ MARIO DEL TRANSITO"/>
    <s v="09.04.2011"/>
    <e v="#N/A"/>
    <e v="#N/A"/>
    <e v="#N/A"/>
    <x v="1"/>
  </r>
  <r>
    <x v="39"/>
    <s v="SALINAS CUEVAS JUAN"/>
    <s v="04.04.2011"/>
    <e v="#N/A"/>
    <e v="#N/A"/>
    <e v="#N/A"/>
    <x v="1"/>
  </r>
  <r>
    <x v="39"/>
    <s v="SALINAS CUEVAS JUAN"/>
    <s v="04.04.2011"/>
    <e v="#N/A"/>
    <e v="#N/A"/>
    <e v="#N/A"/>
    <x v="1"/>
  </r>
  <r>
    <x v="39"/>
    <s v="SALINAS CUEVAS JUAN"/>
    <s v="05.04.2011"/>
    <e v="#N/A"/>
    <e v="#N/A"/>
    <e v="#N/A"/>
    <x v="1"/>
  </r>
  <r>
    <x v="39"/>
    <s v="SALINAS CUEVAS JUAN"/>
    <s v="05.04.2011"/>
    <e v="#N/A"/>
    <e v="#N/A"/>
    <e v="#N/A"/>
    <x v="1"/>
  </r>
  <r>
    <x v="39"/>
    <s v="SALINAS CUEVAS JUAN"/>
    <s v="06.04.2011"/>
    <e v="#N/A"/>
    <e v="#N/A"/>
    <e v="#N/A"/>
    <x v="1"/>
  </r>
  <r>
    <x v="39"/>
    <s v="SALINAS CUEVAS JUAN"/>
    <s v="06.04.2011"/>
    <e v="#N/A"/>
    <e v="#N/A"/>
    <e v="#N/A"/>
    <x v="1"/>
  </r>
  <r>
    <x v="39"/>
    <s v="SALINAS CUEVAS JUAN"/>
    <s v="07.04.2011"/>
    <e v="#N/A"/>
    <e v="#N/A"/>
    <e v="#N/A"/>
    <x v="1"/>
  </r>
  <r>
    <x v="39"/>
    <s v="SALINAS CUEVAS JUAN"/>
    <s v="07.04.2011"/>
    <e v="#N/A"/>
    <e v="#N/A"/>
    <e v="#N/A"/>
    <x v="1"/>
  </r>
  <r>
    <x v="39"/>
    <s v="SALINAS CUEVAS JUAN"/>
    <s v="08.04.2011"/>
    <e v="#N/A"/>
    <e v="#N/A"/>
    <e v="#N/A"/>
    <x v="1"/>
  </r>
  <r>
    <x v="39"/>
    <s v="SALINAS CUEVAS JUAN"/>
    <s v="08.04.2011"/>
    <e v="#N/A"/>
    <e v="#N/A"/>
    <e v="#N/A"/>
    <x v="1"/>
  </r>
  <r>
    <x v="39"/>
    <s v="SALINAS CUEVAS JUAN"/>
    <s v="09.04.2011"/>
    <e v="#N/A"/>
    <e v="#N/A"/>
    <e v="#N/A"/>
    <x v="1"/>
  </r>
  <r>
    <x v="39"/>
    <s v="SALINAS CUEVAS JUAN"/>
    <s v="09.04.2011"/>
    <e v="#N/A"/>
    <e v="#N/A"/>
    <e v="#N/A"/>
    <x v="1"/>
  </r>
  <r>
    <x v="40"/>
    <s v="ESCOBAR GUTIERREZ HUMBERTO GERMAN"/>
    <s v="04.04.2011"/>
    <e v="#N/A"/>
    <e v="#N/A"/>
    <e v="#N/A"/>
    <x v="1"/>
  </r>
  <r>
    <x v="40"/>
    <s v="ESCOBAR GUTIERREZ HUMBERTO GERMAN"/>
    <s v="04.04.2011"/>
    <e v="#N/A"/>
    <e v="#N/A"/>
    <e v="#N/A"/>
    <x v="1"/>
  </r>
  <r>
    <x v="40"/>
    <s v="ESCOBAR GUTIERREZ HUMBERTO GERMAN"/>
    <s v="05.04.2011"/>
    <e v="#N/A"/>
    <e v="#N/A"/>
    <e v="#N/A"/>
    <x v="1"/>
  </r>
  <r>
    <x v="40"/>
    <s v="ESCOBAR GUTIERREZ HUMBERTO GERMAN"/>
    <s v="05.04.2011"/>
    <e v="#N/A"/>
    <e v="#N/A"/>
    <e v="#N/A"/>
    <x v="1"/>
  </r>
  <r>
    <x v="40"/>
    <s v="ESCOBAR GUTIERREZ HUMBERTO GERMAN"/>
    <s v="06.04.2011"/>
    <e v="#N/A"/>
    <e v="#N/A"/>
    <e v="#N/A"/>
    <x v="1"/>
  </r>
  <r>
    <x v="40"/>
    <s v="ESCOBAR GUTIERREZ HUMBERTO GERMAN"/>
    <s v="06.04.2011"/>
    <e v="#N/A"/>
    <e v="#N/A"/>
    <e v="#N/A"/>
    <x v="1"/>
  </r>
  <r>
    <x v="40"/>
    <s v="ESCOBAR GUTIERREZ HUMBERTO GERMAN"/>
    <s v="07.04.2011"/>
    <e v="#N/A"/>
    <e v="#N/A"/>
    <e v="#N/A"/>
    <x v="1"/>
  </r>
  <r>
    <x v="40"/>
    <s v="ESCOBAR GUTIERREZ HUMBERTO GERMAN"/>
    <s v="07.04.2011"/>
    <e v="#N/A"/>
    <e v="#N/A"/>
    <e v="#N/A"/>
    <x v="1"/>
  </r>
  <r>
    <x v="40"/>
    <s v="ESCOBAR GUTIERREZ HUMBERTO GERMAN"/>
    <s v="08.04.2011"/>
    <e v="#N/A"/>
    <e v="#N/A"/>
    <e v="#N/A"/>
    <x v="1"/>
  </r>
  <r>
    <x v="40"/>
    <s v="ESCOBAR GUTIERREZ HUMBERTO GERMAN"/>
    <s v="08.04.2011"/>
    <e v="#N/A"/>
    <e v="#N/A"/>
    <e v="#N/A"/>
    <x v="1"/>
  </r>
  <r>
    <x v="40"/>
    <s v="ESCOBAR GUTIERREZ HUMBERTO GERMAN"/>
    <s v="09.04.2011"/>
    <e v="#N/A"/>
    <e v="#N/A"/>
    <e v="#N/A"/>
    <x v="1"/>
  </r>
  <r>
    <x v="40"/>
    <s v="ESCOBAR GUTIERREZ HUMBERTO GERMAN"/>
    <s v="09.04.2011"/>
    <e v="#N/A"/>
    <e v="#N/A"/>
    <e v="#N/A"/>
    <x v="1"/>
  </r>
  <r>
    <x v="41"/>
    <s v="OSORIO OSORIO JORGE MANUEL"/>
    <s v="04.04.2011"/>
    <e v="#N/A"/>
    <e v="#N/A"/>
    <e v="#N/A"/>
    <x v="1"/>
  </r>
  <r>
    <x v="41"/>
    <s v="OSORIO OSORIO JORGE MANUEL"/>
    <s v="04.04.2011"/>
    <e v="#N/A"/>
    <e v="#N/A"/>
    <e v="#N/A"/>
    <x v="1"/>
  </r>
  <r>
    <x v="41"/>
    <s v="OSORIO OSORIO JORGE MANUEL"/>
    <s v="05.04.2011"/>
    <e v="#N/A"/>
    <e v="#N/A"/>
    <e v="#N/A"/>
    <x v="1"/>
  </r>
  <r>
    <x v="41"/>
    <s v="OSORIO OSORIO JORGE MANUEL"/>
    <s v="05.04.2011"/>
    <e v="#N/A"/>
    <e v="#N/A"/>
    <e v="#N/A"/>
    <x v="1"/>
  </r>
  <r>
    <x v="41"/>
    <s v="OSORIO OSORIO JORGE MANUEL"/>
    <s v="06.04.2011"/>
    <e v="#N/A"/>
    <e v="#N/A"/>
    <e v="#N/A"/>
    <x v="1"/>
  </r>
  <r>
    <x v="41"/>
    <s v="OSORIO OSORIO JORGE MANUEL"/>
    <s v="06.04.2011"/>
    <e v="#N/A"/>
    <e v="#N/A"/>
    <e v="#N/A"/>
    <x v="1"/>
  </r>
  <r>
    <x v="41"/>
    <s v="OSORIO OSORIO JORGE MANUEL"/>
    <s v="07.04.2011"/>
    <e v="#N/A"/>
    <e v="#N/A"/>
    <e v="#N/A"/>
    <x v="1"/>
  </r>
  <r>
    <x v="41"/>
    <s v="OSORIO OSORIO JORGE MANUEL"/>
    <s v="07.04.2011"/>
    <e v="#N/A"/>
    <e v="#N/A"/>
    <e v="#N/A"/>
    <x v="1"/>
  </r>
  <r>
    <x v="41"/>
    <s v="OSORIO OSORIO JORGE MANUEL"/>
    <s v="08.04.2011"/>
    <e v="#N/A"/>
    <e v="#N/A"/>
    <e v="#N/A"/>
    <x v="1"/>
  </r>
  <r>
    <x v="41"/>
    <s v="OSORIO OSORIO JORGE MANUEL"/>
    <s v="08.04.2011"/>
    <e v="#N/A"/>
    <e v="#N/A"/>
    <e v="#N/A"/>
    <x v="1"/>
  </r>
  <r>
    <x v="41"/>
    <s v="OSORIO OSORIO JORGE MANUEL"/>
    <s v="09.04.2011"/>
    <e v="#N/A"/>
    <e v="#N/A"/>
    <e v="#N/A"/>
    <x v="1"/>
  </r>
  <r>
    <x v="41"/>
    <s v="OSORIO OSORIO JORGE MANUEL"/>
    <s v="09.04.2011"/>
    <e v="#N/A"/>
    <e v="#N/A"/>
    <e v="#N/A"/>
    <x v="1"/>
  </r>
  <r>
    <x v="42"/>
    <s v="ARANCIBIA VILLAROEL LEONALDO ALFREDO"/>
    <s v="04.04.2011"/>
    <e v="#N/A"/>
    <e v="#N/A"/>
    <e v="#N/A"/>
    <x v="1"/>
  </r>
  <r>
    <x v="42"/>
    <s v="ARANCIBIA VILLAROEL LEONALDO ALFREDO"/>
    <s v="04.04.2011"/>
    <e v="#N/A"/>
    <e v="#N/A"/>
    <e v="#N/A"/>
    <x v="1"/>
  </r>
  <r>
    <x v="42"/>
    <s v="ARANCIBIA VILLAROEL LEONALDO ALFREDO"/>
    <s v="05.04.2011"/>
    <e v="#N/A"/>
    <e v="#N/A"/>
    <e v="#N/A"/>
    <x v="1"/>
  </r>
  <r>
    <x v="42"/>
    <s v="ARANCIBIA VILLAROEL LEONALDO ALFREDO"/>
    <s v="05.04.2011"/>
    <e v="#N/A"/>
    <e v="#N/A"/>
    <e v="#N/A"/>
    <x v="1"/>
  </r>
  <r>
    <x v="42"/>
    <s v="ARANCIBIA VILLAROEL LEONALDO ALFREDO"/>
    <s v="06.04.2011"/>
    <e v="#N/A"/>
    <e v="#N/A"/>
    <e v="#N/A"/>
    <x v="1"/>
  </r>
  <r>
    <x v="42"/>
    <s v="ARANCIBIA VILLAROEL LEONALDO ALFREDO"/>
    <s v="06.04.2011"/>
    <e v="#N/A"/>
    <e v="#N/A"/>
    <e v="#N/A"/>
    <x v="1"/>
  </r>
  <r>
    <x v="42"/>
    <s v="ARANCIBIA VILLAROEL LEONALDO ALFREDO"/>
    <s v="07.04.2011"/>
    <e v="#N/A"/>
    <e v="#N/A"/>
    <e v="#N/A"/>
    <x v="1"/>
  </r>
  <r>
    <x v="42"/>
    <s v="ARANCIBIA VILLAROEL LEONALDO ALFREDO"/>
    <s v="07.04.2011"/>
    <e v="#N/A"/>
    <e v="#N/A"/>
    <e v="#N/A"/>
    <x v="1"/>
  </r>
  <r>
    <x v="42"/>
    <s v="ARANCIBIA VILLAROEL LEONALDO ALFREDO"/>
    <s v="08.04.2011"/>
    <e v="#N/A"/>
    <e v="#N/A"/>
    <e v="#N/A"/>
    <x v="1"/>
  </r>
  <r>
    <x v="42"/>
    <s v="ARANCIBIA VILLAROEL LEONALDO ALFREDO"/>
    <s v="08.04.2011"/>
    <e v="#N/A"/>
    <e v="#N/A"/>
    <e v="#N/A"/>
    <x v="1"/>
  </r>
  <r>
    <x v="42"/>
    <s v="ARANCIBIA VILLAROEL LEONALDO ALFREDO"/>
    <s v="09.04.2011"/>
    <e v="#N/A"/>
    <e v="#N/A"/>
    <e v="#N/A"/>
    <x v="1"/>
  </r>
  <r>
    <x v="42"/>
    <s v="ARANCIBIA VILLAROEL LEONALDO ALFREDO"/>
    <s v="09.04.2011"/>
    <e v="#N/A"/>
    <e v="#N/A"/>
    <e v="#N/A"/>
    <x v="1"/>
  </r>
  <r>
    <x v="43"/>
    <s v="ARRIAGADA JARA JUAN"/>
    <s v="04.04.2011"/>
    <e v="#N/A"/>
    <e v="#N/A"/>
    <e v="#N/A"/>
    <x v="1"/>
  </r>
  <r>
    <x v="43"/>
    <s v="ARRIAGADA JARA JUAN"/>
    <s v="05.04.2011"/>
    <e v="#N/A"/>
    <e v="#N/A"/>
    <e v="#N/A"/>
    <x v="1"/>
  </r>
  <r>
    <x v="43"/>
    <s v="ARRIAGADA JARA JUAN"/>
    <s v="05.04.2011"/>
    <e v="#N/A"/>
    <e v="#N/A"/>
    <e v="#N/A"/>
    <x v="1"/>
  </r>
  <r>
    <x v="43"/>
    <s v="ARRIAGADA JARA JUAN"/>
    <s v="06.04.2011"/>
    <e v="#N/A"/>
    <e v="#N/A"/>
    <e v="#N/A"/>
    <x v="1"/>
  </r>
  <r>
    <x v="43"/>
    <s v="ARRIAGADA JARA JUAN"/>
    <s v="06.04.2011"/>
    <e v="#N/A"/>
    <e v="#N/A"/>
    <e v="#N/A"/>
    <x v="1"/>
  </r>
  <r>
    <x v="43"/>
    <s v="ARRIAGADA JARA JUAN"/>
    <s v="07.04.2011"/>
    <e v="#N/A"/>
    <e v="#N/A"/>
    <e v="#N/A"/>
    <x v="1"/>
  </r>
  <r>
    <x v="43"/>
    <s v="ARRIAGADA JARA JUAN"/>
    <s v="07.04.2011"/>
    <e v="#N/A"/>
    <e v="#N/A"/>
    <e v="#N/A"/>
    <x v="1"/>
  </r>
  <r>
    <x v="43"/>
    <s v="ARRIAGADA JARA JUAN"/>
    <s v="08.04.2011"/>
    <e v="#N/A"/>
    <e v="#N/A"/>
    <e v="#N/A"/>
    <x v="1"/>
  </r>
  <r>
    <x v="43"/>
    <s v="ARRIAGADA JARA JUAN"/>
    <s v="08.04.2011"/>
    <e v="#N/A"/>
    <e v="#N/A"/>
    <e v="#N/A"/>
    <x v="1"/>
  </r>
  <r>
    <x v="43"/>
    <s v="ARRIAGADA JARA JUAN"/>
    <s v="09.04.2011"/>
    <e v="#N/A"/>
    <e v="#N/A"/>
    <e v="#N/A"/>
    <x v="1"/>
  </r>
  <r>
    <x v="44"/>
    <s v="CARRERA  MAUREIRA,PACIFICO"/>
    <s v="04.04.2011"/>
    <e v="#N/A"/>
    <e v="#N/A"/>
    <e v="#N/A"/>
    <x v="1"/>
  </r>
  <r>
    <x v="44"/>
    <s v="CARRERA  MAUREIRA,PACIFICO"/>
    <s v="04.04.2011"/>
    <e v="#N/A"/>
    <e v="#N/A"/>
    <e v="#N/A"/>
    <x v="1"/>
  </r>
  <r>
    <x v="44"/>
    <s v="CARRERA  MAUREIRA,PACIFICO"/>
    <s v="05.04.2011"/>
    <e v="#N/A"/>
    <e v="#N/A"/>
    <e v="#N/A"/>
    <x v="1"/>
  </r>
  <r>
    <x v="44"/>
    <s v="CARRERA  MAUREIRA,PACIFICO"/>
    <s v="05.04.2011"/>
    <e v="#N/A"/>
    <e v="#N/A"/>
    <e v="#N/A"/>
    <x v="1"/>
  </r>
  <r>
    <x v="44"/>
    <s v="CARRERA  MAUREIRA,PACIFICO"/>
    <s v="06.04.2011"/>
    <e v="#N/A"/>
    <e v="#N/A"/>
    <e v="#N/A"/>
    <x v="1"/>
  </r>
  <r>
    <x v="44"/>
    <s v="CARRERA  MAUREIRA,PACIFICO"/>
    <s v="06.04.2011"/>
    <e v="#N/A"/>
    <e v="#N/A"/>
    <e v="#N/A"/>
    <x v="1"/>
  </r>
  <r>
    <x v="44"/>
    <s v="CARRERA  MAUREIRA,PACIFICO"/>
    <s v="07.04.2011"/>
    <e v="#N/A"/>
    <e v="#N/A"/>
    <e v="#N/A"/>
    <x v="1"/>
  </r>
  <r>
    <x v="44"/>
    <s v="CARRERA  MAUREIRA,PACIFICO"/>
    <s v="07.04.2011"/>
    <e v="#N/A"/>
    <e v="#N/A"/>
    <e v="#N/A"/>
    <x v="1"/>
  </r>
  <r>
    <x v="44"/>
    <s v="CARRERA  MAUREIRA,PACIFICO"/>
    <s v="08.04.2011"/>
    <e v="#N/A"/>
    <e v="#N/A"/>
    <e v="#N/A"/>
    <x v="1"/>
  </r>
  <r>
    <x v="44"/>
    <s v="CARRERA  MAUREIRA,PACIFICO"/>
    <s v="08.04.2011"/>
    <e v="#N/A"/>
    <e v="#N/A"/>
    <e v="#N/A"/>
    <x v="1"/>
  </r>
  <r>
    <x v="44"/>
    <s v="CARRERA  MAUREIRA,PACIFICO"/>
    <s v="09.04.2011"/>
    <e v="#N/A"/>
    <e v="#N/A"/>
    <e v="#N/A"/>
    <x v="1"/>
  </r>
  <r>
    <x v="44"/>
    <s v="CARRERA  MAUREIRA,PACIFICO"/>
    <s v="09.04.2011"/>
    <e v="#N/A"/>
    <e v="#N/A"/>
    <e v="#N/A"/>
    <x v="1"/>
  </r>
  <r>
    <x v="45"/>
    <s v="CASANOVA SALINAS BRAULIO GUILLERMO"/>
    <s v="08.04.2011"/>
    <e v="#N/A"/>
    <e v="#N/A"/>
    <e v="#N/A"/>
    <x v="1"/>
  </r>
  <r>
    <x v="45"/>
    <s v="CASANOVA SALINAS BRAULIO GUILLERMO"/>
    <s v="08.04.2011"/>
    <e v="#N/A"/>
    <e v="#N/A"/>
    <e v="#N/A"/>
    <x v="1"/>
  </r>
  <r>
    <x v="45"/>
    <s v="CASANOVA SALINAS BRAULIO GUILLERMO"/>
    <s v="09.04.2011"/>
    <e v="#N/A"/>
    <e v="#N/A"/>
    <e v="#N/A"/>
    <x v="1"/>
  </r>
  <r>
    <x v="45"/>
    <s v="CASANOVA SALINAS BRAULIO GUILLERMO"/>
    <s v="09.04.2011"/>
    <e v="#N/A"/>
    <e v="#N/A"/>
    <e v="#N/A"/>
    <x v="1"/>
  </r>
  <r>
    <x v="46"/>
    <s v="CARES LOPEZ BRIGIDA DEL CARMEN"/>
    <s v="04.04.2011"/>
    <e v="#N/A"/>
    <e v="#N/A"/>
    <e v="#N/A"/>
    <x v="1"/>
  </r>
  <r>
    <x v="46"/>
    <s v="CARES LOPEZ BRIGIDA DEL CARMEN"/>
    <s v="05.04.2011"/>
    <e v="#N/A"/>
    <e v="#N/A"/>
    <e v="#N/A"/>
    <x v="1"/>
  </r>
  <r>
    <x v="46"/>
    <s v="CARES LOPEZ BRIGIDA DEL CARMEN"/>
    <s v="05.04.2011"/>
    <e v="#N/A"/>
    <e v="#N/A"/>
    <e v="#N/A"/>
    <x v="1"/>
  </r>
  <r>
    <x v="46"/>
    <s v="CARES LOPEZ BRIGIDA DEL CARMEN"/>
    <s v="06.04.2011"/>
    <e v="#N/A"/>
    <e v="#N/A"/>
    <e v="#N/A"/>
    <x v="1"/>
  </r>
  <r>
    <x v="46"/>
    <s v="CARES LOPEZ BRIGIDA DEL CARMEN"/>
    <s v="06.04.2011"/>
    <e v="#N/A"/>
    <e v="#N/A"/>
    <e v="#N/A"/>
    <x v="1"/>
  </r>
  <r>
    <x v="46"/>
    <s v="CARES LOPEZ BRIGIDA DEL CARMEN"/>
    <s v="07.04.2011"/>
    <e v="#N/A"/>
    <e v="#N/A"/>
    <e v="#N/A"/>
    <x v="1"/>
  </r>
  <r>
    <x v="46"/>
    <s v="CARES LOPEZ BRIGIDA DEL CARMEN"/>
    <s v="07.04.2011"/>
    <e v="#N/A"/>
    <e v="#N/A"/>
    <e v="#N/A"/>
    <x v="1"/>
  </r>
  <r>
    <x v="46"/>
    <s v="CARES LOPEZ BRIGIDA DEL CARMEN"/>
    <s v="08.04.2011"/>
    <e v="#N/A"/>
    <e v="#N/A"/>
    <e v="#N/A"/>
    <x v="1"/>
  </r>
  <r>
    <x v="46"/>
    <s v="CARES LOPEZ BRIGIDA DEL CARMEN"/>
    <s v="08.04.2011"/>
    <e v="#N/A"/>
    <e v="#N/A"/>
    <e v="#N/A"/>
    <x v="1"/>
  </r>
  <r>
    <x v="46"/>
    <s v="CARES LOPEZ BRIGIDA DEL CARMEN"/>
    <s v="09.04.2011"/>
    <e v="#N/A"/>
    <e v="#N/A"/>
    <e v="#N/A"/>
    <x v="1"/>
  </r>
  <r>
    <x v="47"/>
    <s v="CASTAÑEDA  SANHUEZA,JUAN A"/>
    <s v="04.04.2011"/>
    <e v="#N/A"/>
    <e v="#N/A"/>
    <e v="#N/A"/>
    <x v="1"/>
  </r>
  <r>
    <x v="47"/>
    <s v="CASTAÑEDA  SANHUEZA,JUAN A"/>
    <s v="04.04.2011"/>
    <e v="#N/A"/>
    <e v="#N/A"/>
    <e v="#N/A"/>
    <x v="1"/>
  </r>
  <r>
    <x v="47"/>
    <s v="CASTAÑEDA  SANHUEZA,JUAN A"/>
    <s v="05.04.2011"/>
    <e v="#N/A"/>
    <e v="#N/A"/>
    <e v="#N/A"/>
    <x v="1"/>
  </r>
  <r>
    <x v="47"/>
    <s v="CASTAÑEDA  SANHUEZA,JUAN A"/>
    <s v="05.04.2011"/>
    <e v="#N/A"/>
    <e v="#N/A"/>
    <e v="#N/A"/>
    <x v="1"/>
  </r>
  <r>
    <x v="47"/>
    <s v="CASTAÑEDA  SANHUEZA,JUAN A"/>
    <s v="06.04.2011"/>
    <e v="#N/A"/>
    <e v="#N/A"/>
    <e v="#N/A"/>
    <x v="1"/>
  </r>
  <r>
    <x v="47"/>
    <s v="CASTAÑEDA  SANHUEZA,JUAN A"/>
    <s v="06.04.2011"/>
    <e v="#N/A"/>
    <e v="#N/A"/>
    <e v="#N/A"/>
    <x v="1"/>
  </r>
  <r>
    <x v="47"/>
    <s v="CASTAÑEDA  SANHUEZA,JUAN A"/>
    <s v="07.04.2011"/>
    <e v="#N/A"/>
    <e v="#N/A"/>
    <e v="#N/A"/>
    <x v="1"/>
  </r>
  <r>
    <x v="47"/>
    <s v="CASTAÑEDA  SANHUEZA,JUAN A"/>
    <s v="07.04.2011"/>
    <e v="#N/A"/>
    <e v="#N/A"/>
    <e v="#N/A"/>
    <x v="1"/>
  </r>
  <r>
    <x v="47"/>
    <s v="CASTAÑEDA  SANHUEZA,JUAN A"/>
    <s v="08.04.2011"/>
    <e v="#N/A"/>
    <e v="#N/A"/>
    <e v="#N/A"/>
    <x v="1"/>
  </r>
  <r>
    <x v="47"/>
    <s v="CASTAÑEDA  SANHUEZA,JUAN A"/>
    <s v="08.04.2011"/>
    <e v="#N/A"/>
    <e v="#N/A"/>
    <e v="#N/A"/>
    <x v="1"/>
  </r>
  <r>
    <x v="47"/>
    <s v="CASTAÑEDA  SANHUEZA,JUAN A"/>
    <s v="09.04.2011"/>
    <e v="#N/A"/>
    <e v="#N/A"/>
    <e v="#N/A"/>
    <x v="1"/>
  </r>
  <r>
    <x v="47"/>
    <s v="CASTAÑEDA  SANHUEZA,JUAN A"/>
    <s v="09.04.2011"/>
    <e v="#N/A"/>
    <e v="#N/A"/>
    <e v="#N/A"/>
    <x v="1"/>
  </r>
  <r>
    <x v="47"/>
    <s v="CASTAÑEDA  SANHUEZA,JUAN A"/>
    <s v="10.04.2011"/>
    <e v="#N/A"/>
    <e v="#N/A"/>
    <e v="#N/A"/>
    <x v="1"/>
  </r>
  <r>
    <x v="48"/>
    <s v="SANDOVAL ACUÑA VICTOR H."/>
    <s v="04.04.2011"/>
    <e v="#N/A"/>
    <e v="#N/A"/>
    <e v="#N/A"/>
    <x v="1"/>
  </r>
  <r>
    <x v="48"/>
    <s v="SANDOVAL ACUÑA VICTOR H."/>
    <s v="05.04.2011"/>
    <e v="#N/A"/>
    <e v="#N/A"/>
    <e v="#N/A"/>
    <x v="1"/>
  </r>
  <r>
    <x v="48"/>
    <s v="SANDOVAL ACUÑA VICTOR H."/>
    <s v="05.04.2011"/>
    <e v="#N/A"/>
    <e v="#N/A"/>
    <e v="#N/A"/>
    <x v="1"/>
  </r>
  <r>
    <x v="48"/>
    <s v="SANDOVAL ACUÑA VICTOR H."/>
    <s v="06.04.2011"/>
    <e v="#N/A"/>
    <e v="#N/A"/>
    <e v="#N/A"/>
    <x v="1"/>
  </r>
  <r>
    <x v="48"/>
    <s v="SANDOVAL ACUÑA VICTOR H."/>
    <s v="06.04.2011"/>
    <e v="#N/A"/>
    <e v="#N/A"/>
    <e v="#N/A"/>
    <x v="1"/>
  </r>
  <r>
    <x v="48"/>
    <s v="SANDOVAL ACUÑA VICTOR H."/>
    <s v="07.04.2011"/>
    <e v="#N/A"/>
    <e v="#N/A"/>
    <e v="#N/A"/>
    <x v="1"/>
  </r>
  <r>
    <x v="48"/>
    <s v="SANDOVAL ACUÑA VICTOR H."/>
    <s v="07.04.2011"/>
    <e v="#N/A"/>
    <e v="#N/A"/>
    <e v="#N/A"/>
    <x v="1"/>
  </r>
  <r>
    <x v="48"/>
    <s v="SANDOVAL ACUÑA VICTOR H."/>
    <s v="08.04.2011"/>
    <e v="#N/A"/>
    <e v="#N/A"/>
    <e v="#N/A"/>
    <x v="1"/>
  </r>
  <r>
    <x v="48"/>
    <s v="SANDOVAL ACUÑA VICTOR H."/>
    <s v="08.04.2011"/>
    <e v="#N/A"/>
    <e v="#N/A"/>
    <e v="#N/A"/>
    <x v="1"/>
  </r>
  <r>
    <x v="48"/>
    <s v="SANDOVAL ACUÑA VICTOR H."/>
    <s v="09.04.2011"/>
    <e v="#N/A"/>
    <e v="#N/A"/>
    <e v="#N/A"/>
    <x v="1"/>
  </r>
  <r>
    <x v="49"/>
    <s v="RODRIGUEZ CISTERNA RAFAEL"/>
    <s v="04.04.2011"/>
    <e v="#N/A"/>
    <e v="#N/A"/>
    <e v="#N/A"/>
    <x v="1"/>
  </r>
  <r>
    <x v="49"/>
    <s v="RODRIGUEZ CISTERNA RAFAEL"/>
    <s v="04.04.2011"/>
    <e v="#N/A"/>
    <e v="#N/A"/>
    <e v="#N/A"/>
    <x v="1"/>
  </r>
  <r>
    <x v="49"/>
    <s v="RODRIGUEZ CISTERNA RAFAEL"/>
    <s v="05.04.2011"/>
    <e v="#N/A"/>
    <e v="#N/A"/>
    <e v="#N/A"/>
    <x v="1"/>
  </r>
  <r>
    <x v="49"/>
    <s v="RODRIGUEZ CISTERNA RAFAEL"/>
    <s v="05.04.2011"/>
    <e v="#N/A"/>
    <e v="#N/A"/>
    <e v="#N/A"/>
    <x v="1"/>
  </r>
  <r>
    <x v="49"/>
    <s v="RODRIGUEZ CISTERNA RAFAEL"/>
    <s v="06.04.2011"/>
    <e v="#N/A"/>
    <e v="#N/A"/>
    <e v="#N/A"/>
    <x v="1"/>
  </r>
  <r>
    <x v="49"/>
    <s v="RODRIGUEZ CISTERNA RAFAEL"/>
    <s v="06.04.2011"/>
    <e v="#N/A"/>
    <e v="#N/A"/>
    <e v="#N/A"/>
    <x v="1"/>
  </r>
  <r>
    <x v="49"/>
    <s v="RODRIGUEZ CISTERNA RAFAEL"/>
    <s v="07.04.2011"/>
    <e v="#N/A"/>
    <e v="#N/A"/>
    <e v="#N/A"/>
    <x v="1"/>
  </r>
  <r>
    <x v="49"/>
    <s v="RODRIGUEZ CISTERNA RAFAEL"/>
    <s v="07.04.2011"/>
    <e v="#N/A"/>
    <e v="#N/A"/>
    <e v="#N/A"/>
    <x v="1"/>
  </r>
  <r>
    <x v="49"/>
    <s v="RODRIGUEZ CISTERNA RAFAEL"/>
    <s v="08.04.2011"/>
    <e v="#N/A"/>
    <e v="#N/A"/>
    <e v="#N/A"/>
    <x v="1"/>
  </r>
  <r>
    <x v="49"/>
    <s v="RODRIGUEZ CISTERNA RAFAEL"/>
    <s v="08.04.2011"/>
    <e v="#N/A"/>
    <e v="#N/A"/>
    <e v="#N/A"/>
    <x v="1"/>
  </r>
  <r>
    <x v="49"/>
    <s v="RODRIGUEZ CISTERNA RAFAEL"/>
    <s v="09.04.2011"/>
    <e v="#N/A"/>
    <e v="#N/A"/>
    <e v="#N/A"/>
    <x v="1"/>
  </r>
  <r>
    <x v="49"/>
    <s v="RODRIGUEZ CISTERNA RAFAEL"/>
    <s v="09.04.2011"/>
    <e v="#N/A"/>
    <e v="#N/A"/>
    <e v="#N/A"/>
    <x v="1"/>
  </r>
  <r>
    <x v="50"/>
    <s v="FUENZALIDA  VALENZUELA,EXEQUIEL"/>
    <s v="04.04.2011"/>
    <e v="#N/A"/>
    <e v="#N/A"/>
    <e v="#N/A"/>
    <x v="1"/>
  </r>
  <r>
    <x v="50"/>
    <s v="FUENZALIDA  VALENZUELA,EXEQUIEL"/>
    <s v="04.04.2011"/>
    <e v="#N/A"/>
    <e v="#N/A"/>
    <e v="#N/A"/>
    <x v="1"/>
  </r>
  <r>
    <x v="50"/>
    <s v="FUENZALIDA  VALENZUELA,EXEQUIEL"/>
    <s v="05.04.2011"/>
    <e v="#N/A"/>
    <e v="#N/A"/>
    <e v="#N/A"/>
    <x v="1"/>
  </r>
  <r>
    <x v="50"/>
    <s v="FUENZALIDA  VALENZUELA,EXEQUIEL"/>
    <s v="05.04.2011"/>
    <e v="#N/A"/>
    <e v="#N/A"/>
    <e v="#N/A"/>
    <x v="1"/>
  </r>
  <r>
    <x v="50"/>
    <s v="FUENZALIDA  VALENZUELA,EXEQUIEL"/>
    <s v="06.04.2011"/>
    <e v="#N/A"/>
    <e v="#N/A"/>
    <e v="#N/A"/>
    <x v="1"/>
  </r>
  <r>
    <x v="50"/>
    <s v="FUENZALIDA  VALENZUELA,EXEQUIEL"/>
    <s v="06.04.2011"/>
    <e v="#N/A"/>
    <e v="#N/A"/>
    <e v="#N/A"/>
    <x v="1"/>
  </r>
  <r>
    <x v="50"/>
    <s v="FUENZALIDA  VALENZUELA,EXEQUIEL"/>
    <s v="07.04.2011"/>
    <e v="#N/A"/>
    <e v="#N/A"/>
    <e v="#N/A"/>
    <x v="1"/>
  </r>
  <r>
    <x v="50"/>
    <s v="FUENZALIDA  VALENZUELA,EXEQUIEL"/>
    <s v="07.04.2011"/>
    <e v="#N/A"/>
    <e v="#N/A"/>
    <e v="#N/A"/>
    <x v="1"/>
  </r>
  <r>
    <x v="50"/>
    <s v="FUENZALIDA  VALENZUELA,EXEQUIEL"/>
    <s v="08.04.2011"/>
    <e v="#N/A"/>
    <e v="#N/A"/>
    <e v="#N/A"/>
    <x v="1"/>
  </r>
  <r>
    <x v="50"/>
    <s v="FUENZALIDA  VALENZUELA,EXEQUIEL"/>
    <s v="08.04.2011"/>
    <e v="#N/A"/>
    <e v="#N/A"/>
    <e v="#N/A"/>
    <x v="1"/>
  </r>
  <r>
    <x v="50"/>
    <s v="FUENZALIDA  VALENZUELA,EXEQUIEL"/>
    <s v="09.04.2011"/>
    <e v="#N/A"/>
    <e v="#N/A"/>
    <e v="#N/A"/>
    <x v="1"/>
  </r>
  <r>
    <x v="50"/>
    <s v="FUENZALIDA  VALENZUELA,EXEQUIEL"/>
    <s v="09.04.2011"/>
    <e v="#N/A"/>
    <e v="#N/A"/>
    <e v="#N/A"/>
    <x v="1"/>
  </r>
  <r>
    <x v="51"/>
    <s v="JIMENEZ PAINECURA PABLO"/>
    <s v="04.04.2011"/>
    <e v="#N/A"/>
    <e v="#N/A"/>
    <e v="#N/A"/>
    <x v="1"/>
  </r>
  <r>
    <x v="51"/>
    <s v="JIMENEZ PAINECURA PABLO"/>
    <s v="05.04.2011"/>
    <e v="#N/A"/>
    <e v="#N/A"/>
    <e v="#N/A"/>
    <x v="1"/>
  </r>
  <r>
    <x v="51"/>
    <s v="JIMENEZ PAINECURA PABLO"/>
    <s v="05.04.2011"/>
    <e v="#N/A"/>
    <e v="#N/A"/>
    <e v="#N/A"/>
    <x v="1"/>
  </r>
  <r>
    <x v="51"/>
    <s v="JIMENEZ PAINECURA PABLO"/>
    <s v="06.04.2011"/>
    <e v="#N/A"/>
    <e v="#N/A"/>
    <e v="#N/A"/>
    <x v="1"/>
  </r>
  <r>
    <x v="51"/>
    <s v="JIMENEZ PAINECURA PABLO"/>
    <s v="06.04.2011"/>
    <e v="#N/A"/>
    <e v="#N/A"/>
    <e v="#N/A"/>
    <x v="1"/>
  </r>
  <r>
    <x v="51"/>
    <s v="JIMENEZ PAINECURA PABLO"/>
    <s v="07.04.2011"/>
    <e v="#N/A"/>
    <e v="#N/A"/>
    <e v="#N/A"/>
    <x v="1"/>
  </r>
  <r>
    <x v="51"/>
    <s v="JIMENEZ PAINECURA PABLO"/>
    <s v="07.04.2011"/>
    <e v="#N/A"/>
    <e v="#N/A"/>
    <e v="#N/A"/>
    <x v="1"/>
  </r>
  <r>
    <x v="51"/>
    <s v="JIMENEZ PAINECURA PABLO"/>
    <s v="08.04.2011"/>
    <e v="#N/A"/>
    <e v="#N/A"/>
    <e v="#N/A"/>
    <x v="1"/>
  </r>
  <r>
    <x v="51"/>
    <s v="JIMENEZ PAINECURA PABLO"/>
    <s v="08.04.2011"/>
    <e v="#N/A"/>
    <e v="#N/A"/>
    <e v="#N/A"/>
    <x v="1"/>
  </r>
  <r>
    <x v="51"/>
    <s v="JIMENEZ PAINECURA PABLO"/>
    <s v="09.04.2011"/>
    <e v="#N/A"/>
    <e v="#N/A"/>
    <e v="#N/A"/>
    <x v="1"/>
  </r>
  <r>
    <x v="52"/>
    <s v="AGUILERA  LABRIN,CARLOS ANTONIO"/>
    <s v="04.04.2011"/>
    <e v="#N/A"/>
    <e v="#N/A"/>
    <e v="#N/A"/>
    <x v="1"/>
  </r>
  <r>
    <x v="52"/>
    <s v="AGUILERA  LABRIN,CARLOS ANTONIO"/>
    <s v="04.04.2011"/>
    <e v="#N/A"/>
    <e v="#N/A"/>
    <e v="#N/A"/>
    <x v="1"/>
  </r>
  <r>
    <x v="52"/>
    <s v="AGUILERA  LABRIN,CARLOS ANTONIO"/>
    <s v="05.04.2011"/>
    <e v="#N/A"/>
    <e v="#N/A"/>
    <e v="#N/A"/>
    <x v="1"/>
  </r>
  <r>
    <x v="52"/>
    <s v="AGUILERA  LABRIN,CARLOS ANTONIO"/>
    <s v="05.04.2011"/>
    <e v="#N/A"/>
    <e v="#N/A"/>
    <e v="#N/A"/>
    <x v="1"/>
  </r>
  <r>
    <x v="52"/>
    <s v="AGUILERA  LABRIN,CARLOS ANTONIO"/>
    <s v="06.04.2011"/>
    <e v="#N/A"/>
    <e v="#N/A"/>
    <e v="#N/A"/>
    <x v="1"/>
  </r>
  <r>
    <x v="52"/>
    <s v="AGUILERA  LABRIN,CARLOS ANTONIO"/>
    <s v="06.04.2011"/>
    <e v="#N/A"/>
    <e v="#N/A"/>
    <e v="#N/A"/>
    <x v="1"/>
  </r>
  <r>
    <x v="52"/>
    <s v="AGUILERA  LABRIN,CARLOS ANTONIO"/>
    <s v="07.04.2011"/>
    <e v="#N/A"/>
    <e v="#N/A"/>
    <e v="#N/A"/>
    <x v="1"/>
  </r>
  <r>
    <x v="52"/>
    <s v="AGUILERA  LABRIN,CARLOS ANTONIO"/>
    <s v="07.04.2011"/>
    <e v="#N/A"/>
    <e v="#N/A"/>
    <e v="#N/A"/>
    <x v="1"/>
  </r>
  <r>
    <x v="52"/>
    <s v="AGUILERA  LABRIN,CARLOS ANTONIO"/>
    <s v="08.04.2011"/>
    <e v="#N/A"/>
    <e v="#N/A"/>
    <e v="#N/A"/>
    <x v="1"/>
  </r>
  <r>
    <x v="52"/>
    <s v="AGUILERA  LABRIN,CARLOS ANTONIO"/>
    <s v="08.04.2011"/>
    <e v="#N/A"/>
    <e v="#N/A"/>
    <e v="#N/A"/>
    <x v="1"/>
  </r>
  <r>
    <x v="52"/>
    <s v="AGUILERA  LABRIN,CARLOS ANTONIO"/>
    <s v="09.04.2011"/>
    <e v="#N/A"/>
    <e v="#N/A"/>
    <e v="#N/A"/>
    <x v="1"/>
  </r>
  <r>
    <x v="53"/>
    <s v="VEGA LEYTON MANUEL"/>
    <s v="04.04.2011"/>
    <e v="#N/A"/>
    <e v="#N/A"/>
    <e v="#N/A"/>
    <x v="1"/>
  </r>
  <r>
    <x v="53"/>
    <s v="VEGA LEYTON MANUEL"/>
    <s v="04.04.2011"/>
    <e v="#N/A"/>
    <e v="#N/A"/>
    <e v="#N/A"/>
    <x v="1"/>
  </r>
  <r>
    <x v="53"/>
    <s v="VEGA LEYTON MANUEL"/>
    <s v="05.04.2011"/>
    <e v="#N/A"/>
    <e v="#N/A"/>
    <e v="#N/A"/>
    <x v="1"/>
  </r>
  <r>
    <x v="53"/>
    <s v="VEGA LEYTON MANUEL"/>
    <s v="05.04.2011"/>
    <e v="#N/A"/>
    <e v="#N/A"/>
    <e v="#N/A"/>
    <x v="1"/>
  </r>
  <r>
    <x v="53"/>
    <s v="VEGA LEYTON MANUEL"/>
    <s v="06.04.2011"/>
    <e v="#N/A"/>
    <e v="#N/A"/>
    <e v="#N/A"/>
    <x v="1"/>
  </r>
  <r>
    <x v="53"/>
    <s v="VEGA LEYTON MANUEL"/>
    <s v="06.04.2011"/>
    <e v="#N/A"/>
    <e v="#N/A"/>
    <e v="#N/A"/>
    <x v="1"/>
  </r>
  <r>
    <x v="53"/>
    <s v="VEGA LEYTON MANUEL"/>
    <s v="07.04.2011"/>
    <e v="#N/A"/>
    <e v="#N/A"/>
    <e v="#N/A"/>
    <x v="1"/>
  </r>
  <r>
    <x v="53"/>
    <s v="VEGA LEYTON MANUEL"/>
    <s v="07.04.2011"/>
    <e v="#N/A"/>
    <e v="#N/A"/>
    <e v="#N/A"/>
    <x v="1"/>
  </r>
  <r>
    <x v="53"/>
    <s v="VEGA LEYTON MANUEL"/>
    <s v="08.04.2011"/>
    <e v="#N/A"/>
    <e v="#N/A"/>
    <e v="#N/A"/>
    <x v="1"/>
  </r>
  <r>
    <x v="53"/>
    <s v="VEGA LEYTON MANUEL"/>
    <s v="08.04.2011"/>
    <e v="#N/A"/>
    <e v="#N/A"/>
    <e v="#N/A"/>
    <x v="1"/>
  </r>
  <r>
    <x v="53"/>
    <s v="VEGA LEYTON MANUEL"/>
    <s v="09.04.2011"/>
    <e v="#N/A"/>
    <e v="#N/A"/>
    <e v="#N/A"/>
    <x v="1"/>
  </r>
  <r>
    <x v="53"/>
    <s v="VEGA LEYTON MANUEL"/>
    <s v="09.04.2011"/>
    <e v="#N/A"/>
    <e v="#N/A"/>
    <e v="#N/A"/>
    <x v="1"/>
  </r>
  <r>
    <x v="54"/>
    <s v="GONZALEZ MUÑOZ HUGO"/>
    <s v="04.04.2011"/>
    <e v="#N/A"/>
    <e v="#N/A"/>
    <e v="#N/A"/>
    <x v="1"/>
  </r>
  <r>
    <x v="54"/>
    <s v="GONZALEZ MUÑOZ HUGO"/>
    <s v="04.04.2011"/>
    <e v="#N/A"/>
    <e v="#N/A"/>
    <e v="#N/A"/>
    <x v="1"/>
  </r>
  <r>
    <x v="54"/>
    <s v="GONZALEZ MUÑOZ HUGO"/>
    <s v="05.04.2011"/>
    <e v="#N/A"/>
    <e v="#N/A"/>
    <e v="#N/A"/>
    <x v="1"/>
  </r>
  <r>
    <x v="54"/>
    <s v="GONZALEZ MUÑOZ HUGO"/>
    <s v="05.04.2011"/>
    <e v="#N/A"/>
    <e v="#N/A"/>
    <e v="#N/A"/>
    <x v="1"/>
  </r>
  <r>
    <x v="54"/>
    <s v="GONZALEZ MUÑOZ HUGO"/>
    <s v="06.04.2011"/>
    <e v="#N/A"/>
    <e v="#N/A"/>
    <e v="#N/A"/>
    <x v="1"/>
  </r>
  <r>
    <x v="54"/>
    <s v="GONZALEZ MUÑOZ HUGO"/>
    <s v="06.04.2011"/>
    <e v="#N/A"/>
    <e v="#N/A"/>
    <e v="#N/A"/>
    <x v="1"/>
  </r>
  <r>
    <x v="54"/>
    <s v="GONZALEZ MUÑOZ HUGO"/>
    <s v="07.04.2011"/>
    <e v="#N/A"/>
    <e v="#N/A"/>
    <e v="#N/A"/>
    <x v="1"/>
  </r>
  <r>
    <x v="54"/>
    <s v="GONZALEZ MUÑOZ HUGO"/>
    <s v="07.04.2011"/>
    <e v="#N/A"/>
    <e v="#N/A"/>
    <e v="#N/A"/>
    <x v="1"/>
  </r>
  <r>
    <x v="54"/>
    <s v="GONZALEZ MUÑOZ HUGO"/>
    <s v="08.04.2011"/>
    <e v="#N/A"/>
    <e v="#N/A"/>
    <e v="#N/A"/>
    <x v="1"/>
  </r>
  <r>
    <x v="54"/>
    <s v="GONZALEZ MUÑOZ HUGO"/>
    <s v="08.04.2011"/>
    <e v="#N/A"/>
    <e v="#N/A"/>
    <e v="#N/A"/>
    <x v="1"/>
  </r>
  <r>
    <x v="54"/>
    <s v="GONZALEZ MUÑOZ HUGO"/>
    <s v="09.04.2011"/>
    <e v="#N/A"/>
    <e v="#N/A"/>
    <e v="#N/A"/>
    <x v="1"/>
  </r>
  <r>
    <x v="54"/>
    <s v="GONZALEZ MUÑOZ HUGO"/>
    <s v="09.04.2011"/>
    <e v="#N/A"/>
    <e v="#N/A"/>
    <e v="#N/A"/>
    <x v="1"/>
  </r>
  <r>
    <x v="55"/>
    <s v="GARCIA DIAZ PABLO HORACIO"/>
    <s v="00.00.0000"/>
    <e v="#N/A"/>
    <e v="#N/A"/>
    <e v="#N/A"/>
    <x v="1"/>
  </r>
  <r>
    <x v="56"/>
    <s v="GONZALEZ DEL VALLE DARIO RODOLFO"/>
    <s v="04.04.2011"/>
    <e v="#N/A"/>
    <e v="#N/A"/>
    <e v="#N/A"/>
    <x v="1"/>
  </r>
  <r>
    <x v="56"/>
    <s v="GONZALEZ DEL VALLE DARIO RODOLFO"/>
    <s v="04.04.2011"/>
    <e v="#N/A"/>
    <e v="#N/A"/>
    <e v="#N/A"/>
    <x v="1"/>
  </r>
  <r>
    <x v="56"/>
    <s v="GONZALEZ DEL VALLE DARIO RODOLFO"/>
    <s v="05.04.2011"/>
    <e v="#N/A"/>
    <e v="#N/A"/>
    <e v="#N/A"/>
    <x v="1"/>
  </r>
  <r>
    <x v="56"/>
    <s v="GONZALEZ DEL VALLE DARIO RODOLFO"/>
    <s v="05.04.2011"/>
    <e v="#N/A"/>
    <e v="#N/A"/>
    <e v="#N/A"/>
    <x v="1"/>
  </r>
  <r>
    <x v="56"/>
    <s v="GONZALEZ DEL VALLE DARIO RODOLFO"/>
    <s v="06.04.2011"/>
    <e v="#N/A"/>
    <e v="#N/A"/>
    <e v="#N/A"/>
    <x v="1"/>
  </r>
  <r>
    <x v="56"/>
    <s v="GONZALEZ DEL VALLE DARIO RODOLFO"/>
    <s v="06.04.2011"/>
    <e v="#N/A"/>
    <e v="#N/A"/>
    <e v="#N/A"/>
    <x v="1"/>
  </r>
  <r>
    <x v="56"/>
    <s v="GONZALEZ DEL VALLE DARIO RODOLFO"/>
    <s v="07.04.2011"/>
    <e v="#N/A"/>
    <e v="#N/A"/>
    <e v="#N/A"/>
    <x v="1"/>
  </r>
  <r>
    <x v="56"/>
    <s v="GONZALEZ DEL VALLE DARIO RODOLFO"/>
    <s v="07.04.2011"/>
    <e v="#N/A"/>
    <e v="#N/A"/>
    <e v="#N/A"/>
    <x v="1"/>
  </r>
  <r>
    <x v="56"/>
    <s v="GONZALEZ DEL VALLE DARIO RODOLFO"/>
    <s v="08.04.2011"/>
    <e v="#N/A"/>
    <e v="#N/A"/>
    <e v="#N/A"/>
    <x v="1"/>
  </r>
  <r>
    <x v="56"/>
    <s v="GONZALEZ DEL VALLE DARIO RODOLFO"/>
    <s v="08.04.2011"/>
    <e v="#N/A"/>
    <e v="#N/A"/>
    <e v="#N/A"/>
    <x v="1"/>
  </r>
  <r>
    <x v="56"/>
    <s v="GONZALEZ DEL VALLE DARIO RODOLFO"/>
    <s v="09.04.2011"/>
    <e v="#N/A"/>
    <e v="#N/A"/>
    <e v="#N/A"/>
    <x v="1"/>
  </r>
  <r>
    <x v="56"/>
    <s v="GONZALEZ DEL VALLE DARIO RODOLFO"/>
    <s v="09.04.2011"/>
    <e v="#N/A"/>
    <e v="#N/A"/>
    <e v="#N/A"/>
    <x v="1"/>
  </r>
  <r>
    <x v="57"/>
    <s v="MARDONES ALVARADO SERGIO SEGUNDO"/>
    <s v="04.04.2011"/>
    <e v="#N/A"/>
    <e v="#N/A"/>
    <e v="#N/A"/>
    <x v="1"/>
  </r>
  <r>
    <x v="57"/>
    <s v="MARDONES ALVARADO SERGIO SEGUNDO"/>
    <s v="04.04.2011"/>
    <e v="#N/A"/>
    <e v="#N/A"/>
    <e v="#N/A"/>
    <x v="1"/>
  </r>
  <r>
    <x v="57"/>
    <s v="MARDONES ALVARADO SERGIO SEGUNDO"/>
    <s v="05.04.2011"/>
    <e v="#N/A"/>
    <e v="#N/A"/>
    <e v="#N/A"/>
    <x v="1"/>
  </r>
  <r>
    <x v="57"/>
    <s v="MARDONES ALVARADO SERGIO SEGUNDO"/>
    <s v="05.04.2011"/>
    <e v="#N/A"/>
    <e v="#N/A"/>
    <e v="#N/A"/>
    <x v="1"/>
  </r>
  <r>
    <x v="57"/>
    <s v="MARDONES ALVARADO SERGIO SEGUNDO"/>
    <s v="06.04.2011"/>
    <e v="#N/A"/>
    <e v="#N/A"/>
    <e v="#N/A"/>
    <x v="1"/>
  </r>
  <r>
    <x v="57"/>
    <s v="MARDONES ALVARADO SERGIO SEGUNDO"/>
    <s v="06.04.2011"/>
    <e v="#N/A"/>
    <e v="#N/A"/>
    <e v="#N/A"/>
    <x v="1"/>
  </r>
  <r>
    <x v="57"/>
    <s v="MARDONES ALVARADO SERGIO SEGUNDO"/>
    <s v="07.04.2011"/>
    <e v="#N/A"/>
    <e v="#N/A"/>
    <e v="#N/A"/>
    <x v="1"/>
  </r>
  <r>
    <x v="57"/>
    <s v="MARDONES ALVARADO SERGIO SEGUNDO"/>
    <s v="07.04.2011"/>
    <e v="#N/A"/>
    <e v="#N/A"/>
    <e v="#N/A"/>
    <x v="1"/>
  </r>
  <r>
    <x v="57"/>
    <s v="MARDONES ALVARADO SERGIO SEGUNDO"/>
    <s v="08.04.2011"/>
    <e v="#N/A"/>
    <e v="#N/A"/>
    <e v="#N/A"/>
    <x v="1"/>
  </r>
  <r>
    <x v="57"/>
    <s v="MARDONES ALVARADO SERGIO SEGUNDO"/>
    <s v="08.04.2011"/>
    <e v="#N/A"/>
    <e v="#N/A"/>
    <e v="#N/A"/>
    <x v="1"/>
  </r>
  <r>
    <x v="57"/>
    <s v="MARDONES ALVARADO SERGIO SEGUNDO"/>
    <s v="09.04.2011"/>
    <e v="#N/A"/>
    <e v="#N/A"/>
    <e v="#N/A"/>
    <x v="1"/>
  </r>
  <r>
    <x v="57"/>
    <s v="MARDONES ALVARADO SERGIO SEGUNDO"/>
    <s v="09.04.2011"/>
    <e v="#N/A"/>
    <e v="#N/A"/>
    <e v="#N/A"/>
    <x v="1"/>
  </r>
  <r>
    <x v="58"/>
    <s v="BAEZA REYES JORGE"/>
    <s v="04.04.2011"/>
    <e v="#N/A"/>
    <e v="#N/A"/>
    <e v="#N/A"/>
    <x v="1"/>
  </r>
  <r>
    <x v="58"/>
    <s v="BAEZA REYES JORGE"/>
    <s v="05.04.2011"/>
    <e v="#N/A"/>
    <e v="#N/A"/>
    <e v="#N/A"/>
    <x v="1"/>
  </r>
  <r>
    <x v="58"/>
    <s v="BAEZA REYES JORGE"/>
    <s v="05.04.2011"/>
    <e v="#N/A"/>
    <e v="#N/A"/>
    <e v="#N/A"/>
    <x v="1"/>
  </r>
  <r>
    <x v="58"/>
    <s v="BAEZA REYES JORGE"/>
    <s v="06.04.2011"/>
    <e v="#N/A"/>
    <e v="#N/A"/>
    <e v="#N/A"/>
    <x v="1"/>
  </r>
  <r>
    <x v="58"/>
    <s v="BAEZA REYES JORGE"/>
    <s v="06.04.2011"/>
    <e v="#N/A"/>
    <e v="#N/A"/>
    <e v="#N/A"/>
    <x v="1"/>
  </r>
  <r>
    <x v="58"/>
    <s v="BAEZA REYES JORGE"/>
    <s v="07.04.2011"/>
    <e v="#N/A"/>
    <e v="#N/A"/>
    <e v="#N/A"/>
    <x v="1"/>
  </r>
  <r>
    <x v="58"/>
    <s v="BAEZA REYES JORGE"/>
    <s v="07.04.2011"/>
    <e v="#N/A"/>
    <e v="#N/A"/>
    <e v="#N/A"/>
    <x v="1"/>
  </r>
  <r>
    <x v="58"/>
    <s v="BAEZA REYES JORGE"/>
    <s v="08.04.2011"/>
    <e v="#N/A"/>
    <e v="#N/A"/>
    <e v="#N/A"/>
    <x v="1"/>
  </r>
  <r>
    <x v="58"/>
    <s v="BAEZA REYES JORGE"/>
    <s v="08.04.2011"/>
    <e v="#N/A"/>
    <e v="#N/A"/>
    <e v="#N/A"/>
    <x v="1"/>
  </r>
  <r>
    <x v="58"/>
    <s v="BAEZA REYES JORGE"/>
    <s v="09.04.2011"/>
    <e v="#N/A"/>
    <e v="#N/A"/>
    <e v="#N/A"/>
    <x v="1"/>
  </r>
  <r>
    <x v="59"/>
    <s v="LEON  NUÑEZ,JOSE FRANCISCO"/>
    <s v="04.04.2011"/>
    <e v="#N/A"/>
    <e v="#N/A"/>
    <e v="#N/A"/>
    <x v="1"/>
  </r>
  <r>
    <x v="59"/>
    <s v="LEON  NUÑEZ,JOSE FRANCISCO"/>
    <s v="04.04.2011"/>
    <e v="#N/A"/>
    <e v="#N/A"/>
    <e v="#N/A"/>
    <x v="1"/>
  </r>
  <r>
    <x v="59"/>
    <s v="LEON  NUÑEZ,JOSE FRANCISCO"/>
    <s v="05.04.2011"/>
    <e v="#N/A"/>
    <e v="#N/A"/>
    <e v="#N/A"/>
    <x v="1"/>
  </r>
  <r>
    <x v="59"/>
    <s v="LEON  NUÑEZ,JOSE FRANCISCO"/>
    <s v="05.04.2011"/>
    <e v="#N/A"/>
    <e v="#N/A"/>
    <e v="#N/A"/>
    <x v="1"/>
  </r>
  <r>
    <x v="59"/>
    <s v="LEON  NUÑEZ,JOSE FRANCISCO"/>
    <s v="06.04.2011"/>
    <e v="#N/A"/>
    <e v="#N/A"/>
    <e v="#N/A"/>
    <x v="1"/>
  </r>
  <r>
    <x v="59"/>
    <s v="LEON  NUÑEZ,JOSE FRANCISCO"/>
    <s v="06.04.2011"/>
    <e v="#N/A"/>
    <e v="#N/A"/>
    <e v="#N/A"/>
    <x v="1"/>
  </r>
  <r>
    <x v="59"/>
    <s v="LEON  NUÑEZ,JOSE FRANCISCO"/>
    <s v="07.04.2011"/>
    <e v="#N/A"/>
    <e v="#N/A"/>
    <e v="#N/A"/>
    <x v="1"/>
  </r>
  <r>
    <x v="59"/>
    <s v="LEON  NUÑEZ,JOSE FRANCISCO"/>
    <s v="07.04.2011"/>
    <e v="#N/A"/>
    <e v="#N/A"/>
    <e v="#N/A"/>
    <x v="1"/>
  </r>
  <r>
    <x v="60"/>
    <s v="ARANGUIZ ALIAGA SANDRA"/>
    <s v="04.04.2011"/>
    <e v="#N/A"/>
    <e v="#N/A"/>
    <e v="#N/A"/>
    <x v="1"/>
  </r>
  <r>
    <x v="60"/>
    <s v="ARANGUIZ ALIAGA SANDRA"/>
    <s v="04.04.2011"/>
    <e v="#N/A"/>
    <e v="#N/A"/>
    <e v="#N/A"/>
    <x v="1"/>
  </r>
  <r>
    <x v="60"/>
    <s v="ARANGUIZ ALIAGA SANDRA"/>
    <s v="05.04.2011"/>
    <e v="#N/A"/>
    <e v="#N/A"/>
    <e v="#N/A"/>
    <x v="1"/>
  </r>
  <r>
    <x v="60"/>
    <s v="ARANGUIZ ALIAGA SANDRA"/>
    <s v="05.04.2011"/>
    <e v="#N/A"/>
    <e v="#N/A"/>
    <e v="#N/A"/>
    <x v="1"/>
  </r>
  <r>
    <x v="60"/>
    <s v="ARANGUIZ ALIAGA SANDRA"/>
    <s v="06.04.2011"/>
    <e v="#N/A"/>
    <e v="#N/A"/>
    <e v="#N/A"/>
    <x v="1"/>
  </r>
  <r>
    <x v="60"/>
    <s v="ARANGUIZ ALIAGA SANDRA"/>
    <s v="06.04.2011"/>
    <e v="#N/A"/>
    <e v="#N/A"/>
    <e v="#N/A"/>
    <x v="1"/>
  </r>
  <r>
    <x v="60"/>
    <s v="ARANGUIZ ALIAGA SANDRA"/>
    <s v="07.04.2011"/>
    <e v="#N/A"/>
    <e v="#N/A"/>
    <e v="#N/A"/>
    <x v="1"/>
  </r>
  <r>
    <x v="60"/>
    <s v="ARANGUIZ ALIAGA SANDRA"/>
    <s v="07.04.2011"/>
    <e v="#N/A"/>
    <e v="#N/A"/>
    <e v="#N/A"/>
    <x v="1"/>
  </r>
  <r>
    <x v="60"/>
    <s v="ARANGUIZ ALIAGA SANDRA"/>
    <s v="08.04.2011"/>
    <e v="#N/A"/>
    <e v="#N/A"/>
    <e v="#N/A"/>
    <x v="1"/>
  </r>
  <r>
    <x v="60"/>
    <s v="ARANGUIZ ALIAGA SANDRA"/>
    <s v="08.04.2011"/>
    <e v="#N/A"/>
    <e v="#N/A"/>
    <e v="#N/A"/>
    <x v="1"/>
  </r>
  <r>
    <x v="60"/>
    <s v="ARANGUIZ ALIAGA SANDRA"/>
    <s v="09.04.2011"/>
    <e v="#N/A"/>
    <e v="#N/A"/>
    <e v="#N/A"/>
    <x v="1"/>
  </r>
  <r>
    <x v="60"/>
    <s v="ARANGUIZ ALIAGA SANDRA"/>
    <s v="09.04.2011"/>
    <e v="#N/A"/>
    <e v="#N/A"/>
    <e v="#N/A"/>
    <x v="1"/>
  </r>
  <r>
    <x v="61"/>
    <s v="ROJAS GONZALEZ LUIS ALBERTO"/>
    <s v="04.04.2011"/>
    <e v="#N/A"/>
    <e v="#N/A"/>
    <e v="#N/A"/>
    <x v="1"/>
  </r>
  <r>
    <x v="61"/>
    <s v="ROJAS GONZALEZ LUIS ALBERTO"/>
    <s v="04.04.2011"/>
    <e v="#N/A"/>
    <e v="#N/A"/>
    <e v="#N/A"/>
    <x v="1"/>
  </r>
  <r>
    <x v="61"/>
    <s v="ROJAS GONZALEZ LUIS ALBERTO"/>
    <s v="05.04.2011"/>
    <e v="#N/A"/>
    <e v="#N/A"/>
    <e v="#N/A"/>
    <x v="1"/>
  </r>
  <r>
    <x v="61"/>
    <s v="ROJAS GONZALEZ LUIS ALBERTO"/>
    <s v="05.04.2011"/>
    <e v="#N/A"/>
    <e v="#N/A"/>
    <e v="#N/A"/>
    <x v="1"/>
  </r>
  <r>
    <x v="61"/>
    <s v="ROJAS GONZALEZ LUIS ALBERTO"/>
    <s v="06.04.2011"/>
    <e v="#N/A"/>
    <e v="#N/A"/>
    <e v="#N/A"/>
    <x v="1"/>
  </r>
  <r>
    <x v="61"/>
    <s v="ROJAS GONZALEZ LUIS ALBERTO"/>
    <s v="06.04.2011"/>
    <e v="#N/A"/>
    <e v="#N/A"/>
    <e v="#N/A"/>
    <x v="1"/>
  </r>
  <r>
    <x v="61"/>
    <s v="ROJAS GONZALEZ LUIS ALBERTO"/>
    <s v="07.04.2011"/>
    <e v="#N/A"/>
    <e v="#N/A"/>
    <e v="#N/A"/>
    <x v="1"/>
  </r>
  <r>
    <x v="61"/>
    <s v="ROJAS GONZALEZ LUIS ALBERTO"/>
    <s v="07.04.2011"/>
    <e v="#N/A"/>
    <e v="#N/A"/>
    <e v="#N/A"/>
    <x v="1"/>
  </r>
  <r>
    <x v="61"/>
    <s v="ROJAS GONZALEZ LUIS ALBERTO"/>
    <s v="08.04.2011"/>
    <e v="#N/A"/>
    <e v="#N/A"/>
    <e v="#N/A"/>
    <x v="1"/>
  </r>
  <r>
    <x v="61"/>
    <s v="ROJAS GONZALEZ LUIS ALBERTO"/>
    <s v="08.04.2011"/>
    <e v="#N/A"/>
    <e v="#N/A"/>
    <e v="#N/A"/>
    <x v="1"/>
  </r>
  <r>
    <x v="61"/>
    <s v="ROJAS GONZALEZ LUIS ALBERTO"/>
    <s v="09.04.2011"/>
    <e v="#N/A"/>
    <e v="#N/A"/>
    <e v="#N/A"/>
    <x v="1"/>
  </r>
  <r>
    <x v="62"/>
    <s v="PALMA  SEREÑO,LUIS RICARDO"/>
    <s v="04.04.2011"/>
    <e v="#N/A"/>
    <e v="#N/A"/>
    <e v="#N/A"/>
    <x v="1"/>
  </r>
  <r>
    <x v="62"/>
    <s v="PALMA  SEREÑO,LUIS RICARDO"/>
    <s v="05.04.2011"/>
    <e v="#N/A"/>
    <e v="#N/A"/>
    <e v="#N/A"/>
    <x v="1"/>
  </r>
  <r>
    <x v="62"/>
    <s v="PALMA  SEREÑO,LUIS RICARDO"/>
    <s v="05.04.2011"/>
    <e v="#N/A"/>
    <e v="#N/A"/>
    <e v="#N/A"/>
    <x v="1"/>
  </r>
  <r>
    <x v="62"/>
    <s v="PALMA  SEREÑO,LUIS RICARDO"/>
    <s v="06.04.2011"/>
    <e v="#N/A"/>
    <e v="#N/A"/>
    <e v="#N/A"/>
    <x v="1"/>
  </r>
  <r>
    <x v="62"/>
    <s v="PALMA  SEREÑO,LUIS RICARDO"/>
    <s v="06.04.2011"/>
    <e v="#N/A"/>
    <e v="#N/A"/>
    <e v="#N/A"/>
    <x v="1"/>
  </r>
  <r>
    <x v="62"/>
    <s v="PALMA  SEREÑO,LUIS RICARDO"/>
    <s v="07.04.2011"/>
    <e v="#N/A"/>
    <e v="#N/A"/>
    <e v="#N/A"/>
    <x v="1"/>
  </r>
  <r>
    <x v="62"/>
    <s v="PALMA  SEREÑO,LUIS RICARDO"/>
    <s v="07.04.2011"/>
    <e v="#N/A"/>
    <e v="#N/A"/>
    <e v="#N/A"/>
    <x v="1"/>
  </r>
  <r>
    <x v="62"/>
    <s v="PALMA  SEREÑO,LUIS RICARDO"/>
    <s v="08.04.2011"/>
    <e v="#N/A"/>
    <e v="#N/A"/>
    <e v="#N/A"/>
    <x v="1"/>
  </r>
  <r>
    <x v="62"/>
    <s v="PALMA  SEREÑO,LUIS RICARDO"/>
    <s v="08.04.2011"/>
    <e v="#N/A"/>
    <e v="#N/A"/>
    <e v="#N/A"/>
    <x v="1"/>
  </r>
  <r>
    <x v="62"/>
    <s v="PALMA  SEREÑO,LUIS RICARDO"/>
    <s v="09.04.2011"/>
    <e v="#N/A"/>
    <e v="#N/A"/>
    <e v="#N/A"/>
    <x v="1"/>
  </r>
  <r>
    <x v="63"/>
    <s v="MUÑOZ BUGUEÑO MARCO"/>
    <s v="04.04.2011"/>
    <e v="#N/A"/>
    <e v="#N/A"/>
    <e v="#N/A"/>
    <x v="1"/>
  </r>
  <r>
    <x v="63"/>
    <s v="MUÑOZ BUGUEÑO MARCO"/>
    <s v="05.04.2011"/>
    <e v="#N/A"/>
    <e v="#N/A"/>
    <e v="#N/A"/>
    <x v="1"/>
  </r>
  <r>
    <x v="63"/>
    <s v="MUÑOZ BUGUEÑO MARCO"/>
    <s v="05.04.2011"/>
    <e v="#N/A"/>
    <e v="#N/A"/>
    <e v="#N/A"/>
    <x v="1"/>
  </r>
  <r>
    <x v="63"/>
    <s v="MUÑOZ BUGUEÑO MARCO"/>
    <s v="06.04.2011"/>
    <e v="#N/A"/>
    <e v="#N/A"/>
    <e v="#N/A"/>
    <x v="1"/>
  </r>
  <r>
    <x v="63"/>
    <s v="MUÑOZ BUGUEÑO MARCO"/>
    <s v="06.04.2011"/>
    <e v="#N/A"/>
    <e v="#N/A"/>
    <e v="#N/A"/>
    <x v="1"/>
  </r>
  <r>
    <x v="63"/>
    <s v="MUÑOZ BUGUEÑO MARCO"/>
    <s v="07.04.2011"/>
    <e v="#N/A"/>
    <e v="#N/A"/>
    <e v="#N/A"/>
    <x v="1"/>
  </r>
  <r>
    <x v="63"/>
    <s v="MUÑOZ BUGUEÑO MARCO"/>
    <s v="07.04.2011"/>
    <e v="#N/A"/>
    <e v="#N/A"/>
    <e v="#N/A"/>
    <x v="1"/>
  </r>
  <r>
    <x v="63"/>
    <s v="MUÑOZ BUGUEÑO MARCO"/>
    <s v="08.04.2011"/>
    <e v="#N/A"/>
    <e v="#N/A"/>
    <e v="#N/A"/>
    <x v="1"/>
  </r>
  <r>
    <x v="63"/>
    <s v="MUÑOZ BUGUEÑO MARCO"/>
    <s v="08.04.2011"/>
    <e v="#N/A"/>
    <e v="#N/A"/>
    <e v="#N/A"/>
    <x v="1"/>
  </r>
  <r>
    <x v="63"/>
    <s v="MUÑOZ BUGUEÑO MARCO"/>
    <s v="09.04.2011"/>
    <e v="#N/A"/>
    <e v="#N/A"/>
    <e v="#N/A"/>
    <x v="1"/>
  </r>
  <r>
    <x v="64"/>
    <s v="ORTIZ  CONTRERAS,MANUEL"/>
    <s v="04.04.2011"/>
    <e v="#N/A"/>
    <e v="#N/A"/>
    <e v="#N/A"/>
    <x v="1"/>
  </r>
  <r>
    <x v="64"/>
    <s v="ORTIZ  CONTRERAS,MANUEL"/>
    <s v="04.04.2011"/>
    <e v="#N/A"/>
    <e v="#N/A"/>
    <e v="#N/A"/>
    <x v="1"/>
  </r>
  <r>
    <x v="64"/>
    <s v="ORTIZ  CONTRERAS,MANUEL"/>
    <s v="05.04.2011"/>
    <e v="#N/A"/>
    <e v="#N/A"/>
    <e v="#N/A"/>
    <x v="1"/>
  </r>
  <r>
    <x v="64"/>
    <s v="ORTIZ  CONTRERAS,MANUEL"/>
    <s v="05.04.2011"/>
    <e v="#N/A"/>
    <e v="#N/A"/>
    <e v="#N/A"/>
    <x v="1"/>
  </r>
  <r>
    <x v="64"/>
    <s v="ORTIZ  CONTRERAS,MANUEL"/>
    <s v="06.04.2011"/>
    <e v="#N/A"/>
    <e v="#N/A"/>
    <e v="#N/A"/>
    <x v="1"/>
  </r>
  <r>
    <x v="64"/>
    <s v="ORTIZ  CONTRERAS,MANUEL"/>
    <s v="06.04.2011"/>
    <e v="#N/A"/>
    <e v="#N/A"/>
    <e v="#N/A"/>
    <x v="1"/>
  </r>
  <r>
    <x v="64"/>
    <s v="ORTIZ  CONTRERAS,MANUEL"/>
    <s v="07.04.2011"/>
    <e v="#N/A"/>
    <e v="#N/A"/>
    <e v="#N/A"/>
    <x v="1"/>
  </r>
  <r>
    <x v="64"/>
    <s v="ORTIZ  CONTRERAS,MANUEL"/>
    <s v="07.04.2011"/>
    <e v="#N/A"/>
    <e v="#N/A"/>
    <e v="#N/A"/>
    <x v="1"/>
  </r>
  <r>
    <x v="64"/>
    <s v="ORTIZ  CONTRERAS,MANUEL"/>
    <s v="08.04.2011"/>
    <e v="#N/A"/>
    <e v="#N/A"/>
    <e v="#N/A"/>
    <x v="1"/>
  </r>
  <r>
    <x v="64"/>
    <s v="ORTIZ  CONTRERAS,MANUEL"/>
    <s v="08.04.2011"/>
    <e v="#N/A"/>
    <e v="#N/A"/>
    <e v="#N/A"/>
    <x v="1"/>
  </r>
  <r>
    <x v="64"/>
    <s v="ORTIZ  CONTRERAS,MANUEL"/>
    <s v="09.04.2011"/>
    <e v="#N/A"/>
    <e v="#N/A"/>
    <e v="#N/A"/>
    <x v="1"/>
  </r>
  <r>
    <x v="64"/>
    <s v="ORTIZ  CONTRERAS,MANUEL"/>
    <s v="09.04.2011"/>
    <e v="#N/A"/>
    <e v="#N/A"/>
    <e v="#N/A"/>
    <x v="1"/>
  </r>
  <r>
    <x v="65"/>
    <s v="GALLARDO CASTRO MIGUEL FRANCISCO"/>
    <s v="04.04.2011"/>
    <e v="#N/A"/>
    <e v="#N/A"/>
    <e v="#N/A"/>
    <x v="1"/>
  </r>
  <r>
    <x v="65"/>
    <s v="GALLARDO CASTRO MIGUEL FRANCISCO"/>
    <s v="04.04.2011"/>
    <e v="#N/A"/>
    <e v="#N/A"/>
    <e v="#N/A"/>
    <x v="1"/>
  </r>
  <r>
    <x v="65"/>
    <s v="GALLARDO CASTRO MIGUEL FRANCISCO"/>
    <s v="05.04.2011"/>
    <e v="#N/A"/>
    <e v="#N/A"/>
    <e v="#N/A"/>
    <x v="1"/>
  </r>
  <r>
    <x v="65"/>
    <s v="GALLARDO CASTRO MIGUEL FRANCISCO"/>
    <s v="05.04.2011"/>
    <e v="#N/A"/>
    <e v="#N/A"/>
    <e v="#N/A"/>
    <x v="1"/>
  </r>
  <r>
    <x v="65"/>
    <s v="GALLARDO CASTRO MIGUEL FRANCISCO"/>
    <s v="06.04.2011"/>
    <e v="#N/A"/>
    <e v="#N/A"/>
    <e v="#N/A"/>
    <x v="1"/>
  </r>
  <r>
    <x v="65"/>
    <s v="GALLARDO CASTRO MIGUEL FRANCISCO"/>
    <s v="06.04.2011"/>
    <e v="#N/A"/>
    <e v="#N/A"/>
    <e v="#N/A"/>
    <x v="1"/>
  </r>
  <r>
    <x v="65"/>
    <s v="GALLARDO CASTRO MIGUEL FRANCISCO"/>
    <s v="07.04.2011"/>
    <e v="#N/A"/>
    <e v="#N/A"/>
    <e v="#N/A"/>
    <x v="1"/>
  </r>
  <r>
    <x v="65"/>
    <s v="GALLARDO CASTRO MIGUEL FRANCISCO"/>
    <s v="07.04.2011"/>
    <e v="#N/A"/>
    <e v="#N/A"/>
    <e v="#N/A"/>
    <x v="1"/>
  </r>
  <r>
    <x v="65"/>
    <s v="GALLARDO CASTRO MIGUEL FRANCISCO"/>
    <s v="08.04.2011"/>
    <e v="#N/A"/>
    <e v="#N/A"/>
    <e v="#N/A"/>
    <x v="1"/>
  </r>
  <r>
    <x v="65"/>
    <s v="GALLARDO CASTRO MIGUEL FRANCISCO"/>
    <s v="08.04.2011"/>
    <e v="#N/A"/>
    <e v="#N/A"/>
    <e v="#N/A"/>
    <x v="1"/>
  </r>
  <r>
    <x v="65"/>
    <s v="GALLARDO CASTRO MIGUEL FRANCISCO"/>
    <s v="09.04.2011"/>
    <e v="#N/A"/>
    <e v="#N/A"/>
    <e v="#N/A"/>
    <x v="1"/>
  </r>
  <r>
    <x v="65"/>
    <s v="GALLARDO CASTRO MIGUEL FRANCISCO"/>
    <s v="09.04.2011"/>
    <e v="#N/A"/>
    <e v="#N/A"/>
    <e v="#N/A"/>
    <x v="1"/>
  </r>
  <r>
    <x v="66"/>
    <s v="MUÑOZ GONZALEZ ANGELA "/>
    <s v="04.04.2011"/>
    <e v="#N/A"/>
    <e v="#N/A"/>
    <e v="#N/A"/>
    <x v="1"/>
  </r>
  <r>
    <x v="66"/>
    <s v="MUÑOZ GONZALEZ ANGELA "/>
    <s v="04.04.2011"/>
    <e v="#N/A"/>
    <e v="#N/A"/>
    <e v="#N/A"/>
    <x v="1"/>
  </r>
  <r>
    <x v="66"/>
    <s v="MUÑOZ GONZALEZ ANGELA "/>
    <s v="05.04.2011"/>
    <e v="#N/A"/>
    <e v="#N/A"/>
    <e v="#N/A"/>
    <x v="1"/>
  </r>
  <r>
    <x v="66"/>
    <s v="MUÑOZ GONZALEZ ANGELA "/>
    <s v="05.04.2011"/>
    <e v="#N/A"/>
    <e v="#N/A"/>
    <e v="#N/A"/>
    <x v="1"/>
  </r>
  <r>
    <x v="66"/>
    <s v="MUÑOZ GONZALEZ ANGELA "/>
    <s v="06.04.2011"/>
    <e v="#N/A"/>
    <e v="#N/A"/>
    <e v="#N/A"/>
    <x v="1"/>
  </r>
  <r>
    <x v="66"/>
    <s v="MUÑOZ GONZALEZ ANGELA "/>
    <s v="06.04.2011"/>
    <e v="#N/A"/>
    <e v="#N/A"/>
    <e v="#N/A"/>
    <x v="1"/>
  </r>
  <r>
    <x v="66"/>
    <s v="MUÑOZ GONZALEZ ANGELA "/>
    <s v="07.04.2011"/>
    <e v="#N/A"/>
    <e v="#N/A"/>
    <e v="#N/A"/>
    <x v="1"/>
  </r>
  <r>
    <x v="66"/>
    <s v="MUÑOZ GONZALEZ ANGELA "/>
    <s v="07.04.2011"/>
    <e v="#N/A"/>
    <e v="#N/A"/>
    <e v="#N/A"/>
    <x v="1"/>
  </r>
  <r>
    <x v="66"/>
    <s v="MUÑOZ GONZALEZ ANGELA "/>
    <s v="08.04.2011"/>
    <e v="#N/A"/>
    <e v="#N/A"/>
    <e v="#N/A"/>
    <x v="1"/>
  </r>
  <r>
    <x v="66"/>
    <s v="MUÑOZ GONZALEZ ANGELA "/>
    <s v="08.04.2011"/>
    <e v="#N/A"/>
    <e v="#N/A"/>
    <e v="#N/A"/>
    <x v="1"/>
  </r>
  <r>
    <x v="66"/>
    <s v="MUÑOZ GONZALEZ ANGELA "/>
    <s v="09.04.2011"/>
    <e v="#N/A"/>
    <e v="#N/A"/>
    <e v="#N/A"/>
    <x v="1"/>
  </r>
  <r>
    <x v="66"/>
    <s v="MUÑOZ GONZALEZ ANGELA "/>
    <s v="09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4.04.2011"/>
    <e v="#N/A"/>
    <e v="#N/A"/>
    <e v="#N/A"/>
    <x v="1"/>
  </r>
  <r>
    <x v="67"/>
    <s v="REINOSO SALAS LAURA CECILIA"/>
    <s v="05.04.2011"/>
    <e v="#N/A"/>
    <e v="#N/A"/>
    <e v="#N/A"/>
    <x v="1"/>
  </r>
  <r>
    <x v="67"/>
    <s v="REINOSO SALAS LAURA CECILIA"/>
    <s v="05.04.2011"/>
    <e v="#N/A"/>
    <e v="#N/A"/>
    <e v="#N/A"/>
    <x v="1"/>
  </r>
  <r>
    <x v="67"/>
    <s v="REINOSO SALAS LAURA CECILIA"/>
    <s v="06.04.2011"/>
    <e v="#N/A"/>
    <e v="#N/A"/>
    <e v="#N/A"/>
    <x v="1"/>
  </r>
  <r>
    <x v="67"/>
    <s v="REINOSO SALAS LAURA CECILIA"/>
    <s v="06.04.2011"/>
    <e v="#N/A"/>
    <e v="#N/A"/>
    <e v="#N/A"/>
    <x v="1"/>
  </r>
  <r>
    <x v="67"/>
    <s v="REINOSO SALAS LAURA CECILIA"/>
    <s v="07.04.2011"/>
    <e v="#N/A"/>
    <e v="#N/A"/>
    <e v="#N/A"/>
    <x v="1"/>
  </r>
  <r>
    <x v="67"/>
    <s v="REINOSO SALAS LAURA CECILIA"/>
    <s v="07.04.2011"/>
    <e v="#N/A"/>
    <e v="#N/A"/>
    <e v="#N/A"/>
    <x v="1"/>
  </r>
  <r>
    <x v="67"/>
    <s v="REINOSO SALAS LAURA CECILIA"/>
    <s v="08.04.2011"/>
    <e v="#N/A"/>
    <e v="#N/A"/>
    <e v="#N/A"/>
    <x v="1"/>
  </r>
  <r>
    <x v="67"/>
    <s v="REINOSO SALAS LAURA CECILIA"/>
    <s v="08.04.2011"/>
    <e v="#N/A"/>
    <e v="#N/A"/>
    <e v="#N/A"/>
    <x v="1"/>
  </r>
  <r>
    <x v="67"/>
    <s v="REINOSO SALAS LAURA CECILIA"/>
    <s v="09.04.2011"/>
    <e v="#N/A"/>
    <e v="#N/A"/>
    <e v="#N/A"/>
    <x v="1"/>
  </r>
  <r>
    <x v="67"/>
    <s v="REINOSO SALAS LAURA CECILIA"/>
    <s v="09.04.2011"/>
    <e v="#N/A"/>
    <e v="#N/A"/>
    <e v="#N/A"/>
    <x v="1"/>
  </r>
  <r>
    <x v="68"/>
    <s v="HERNANDEZ FLORES VICTOR MANUEL"/>
    <s v="04.04.2011"/>
    <e v="#N/A"/>
    <e v="#N/A"/>
    <e v="#N/A"/>
    <x v="1"/>
  </r>
  <r>
    <x v="68"/>
    <s v="HERNANDEZ FLORES VICTOR MANUEL"/>
    <s v="04.04.2011"/>
    <e v="#N/A"/>
    <e v="#N/A"/>
    <e v="#N/A"/>
    <x v="1"/>
  </r>
  <r>
    <x v="68"/>
    <s v="HERNANDEZ FLORES VICTOR MANUEL"/>
    <s v="05.04.2011"/>
    <e v="#N/A"/>
    <e v="#N/A"/>
    <e v="#N/A"/>
    <x v="1"/>
  </r>
  <r>
    <x v="68"/>
    <s v="HERNANDEZ FLORES VICTOR MANUEL"/>
    <s v="05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6.04.2011"/>
    <e v="#N/A"/>
    <e v="#N/A"/>
    <e v="#N/A"/>
    <x v="1"/>
  </r>
  <r>
    <x v="68"/>
    <s v="HERNANDEZ FLORES VICTOR MANUEL"/>
    <s v="07.04.2011"/>
    <e v="#N/A"/>
    <e v="#N/A"/>
    <e v="#N/A"/>
    <x v="1"/>
  </r>
  <r>
    <x v="68"/>
    <s v="HERNANDEZ FLORES VICTOR MANUEL"/>
    <s v="07.04.2011"/>
    <e v="#N/A"/>
    <e v="#N/A"/>
    <e v="#N/A"/>
    <x v="1"/>
  </r>
  <r>
    <x v="68"/>
    <s v="HERNANDEZ FLORES VICTOR MANUEL"/>
    <s v="08.04.2011"/>
    <e v="#N/A"/>
    <e v="#N/A"/>
    <e v="#N/A"/>
    <x v="1"/>
  </r>
  <r>
    <x v="68"/>
    <s v="HERNANDEZ FLORES VICTOR MANUEL"/>
    <s v="08.04.2011"/>
    <e v="#N/A"/>
    <e v="#N/A"/>
    <e v="#N/A"/>
    <x v="1"/>
  </r>
  <r>
    <x v="68"/>
    <s v="HERNANDEZ FLORES VICTOR MANUEL"/>
    <s v="09.04.2011"/>
    <e v="#N/A"/>
    <e v="#N/A"/>
    <e v="#N/A"/>
    <x v="1"/>
  </r>
  <r>
    <x v="68"/>
    <s v="HERNANDEZ FLORES VICTOR MANUEL"/>
    <s v="09.04.2011"/>
    <e v="#N/A"/>
    <e v="#N/A"/>
    <e v="#N/A"/>
    <x v="1"/>
  </r>
  <r>
    <x v="69"/>
    <s v="CACERES VASQUEZ VICTOR"/>
    <s v="04.04.2011"/>
    <e v="#N/A"/>
    <e v="#N/A"/>
    <e v="#N/A"/>
    <x v="1"/>
  </r>
  <r>
    <x v="69"/>
    <s v="CACERES VASQUEZ VICTOR"/>
    <s v="04.04.2011"/>
    <e v="#N/A"/>
    <e v="#N/A"/>
    <e v="#N/A"/>
    <x v="1"/>
  </r>
  <r>
    <x v="69"/>
    <s v="CACERES VASQUEZ VICTOR"/>
    <s v="05.04.2011"/>
    <e v="#N/A"/>
    <e v="#N/A"/>
    <e v="#N/A"/>
    <x v="1"/>
  </r>
  <r>
    <x v="69"/>
    <s v="CACERES VASQUEZ VICTOR"/>
    <s v="06.04.2011"/>
    <e v="#N/A"/>
    <e v="#N/A"/>
    <e v="#N/A"/>
    <x v="1"/>
  </r>
  <r>
    <x v="69"/>
    <s v="CACERES VASQUEZ VICTOR"/>
    <s v="07.04.2011"/>
    <e v="#N/A"/>
    <e v="#N/A"/>
    <e v="#N/A"/>
    <x v="1"/>
  </r>
  <r>
    <x v="69"/>
    <s v="CACERES VASQUEZ VICTOR"/>
    <s v="07.04.2011"/>
    <e v="#N/A"/>
    <e v="#N/A"/>
    <e v="#N/A"/>
    <x v="1"/>
  </r>
  <r>
    <x v="69"/>
    <s v="CACERES VASQUEZ VICTOR"/>
    <s v="08.04.2011"/>
    <e v="#N/A"/>
    <e v="#N/A"/>
    <e v="#N/A"/>
    <x v="1"/>
  </r>
  <r>
    <x v="69"/>
    <s v="CACERES VASQUEZ VICTOR"/>
    <s v="08.04.2011"/>
    <e v="#N/A"/>
    <e v="#N/A"/>
    <e v="#N/A"/>
    <x v="1"/>
  </r>
  <r>
    <x v="69"/>
    <s v="CACERES VASQUEZ VICTOR"/>
    <s v="09.04.2011"/>
    <e v="#N/A"/>
    <e v="#N/A"/>
    <e v="#N/A"/>
    <x v="1"/>
  </r>
  <r>
    <x v="70"/>
    <s v="RIOS MIRANDA VICTOR MANUEL"/>
    <s v="04.04.2011"/>
    <e v="#N/A"/>
    <e v="#N/A"/>
    <e v="#N/A"/>
    <x v="1"/>
  </r>
  <r>
    <x v="70"/>
    <s v="RIOS MIRANDA VICTOR MANUEL"/>
    <s v="05.04.2011"/>
    <e v="#N/A"/>
    <e v="#N/A"/>
    <e v="#N/A"/>
    <x v="1"/>
  </r>
  <r>
    <x v="70"/>
    <s v="RIOS MIRANDA VICTOR MANUEL"/>
    <s v="05.04.2011"/>
    <e v="#N/A"/>
    <e v="#N/A"/>
    <e v="#N/A"/>
    <x v="1"/>
  </r>
  <r>
    <x v="70"/>
    <s v="RIOS MIRANDA VICTOR MANUEL"/>
    <s v="06.04.2011"/>
    <e v="#N/A"/>
    <e v="#N/A"/>
    <e v="#N/A"/>
    <x v="1"/>
  </r>
  <r>
    <x v="70"/>
    <s v="RIOS MIRANDA VICTOR MANUEL"/>
    <s v="06.04.2011"/>
    <e v="#N/A"/>
    <e v="#N/A"/>
    <e v="#N/A"/>
    <x v="1"/>
  </r>
  <r>
    <x v="70"/>
    <s v="RIOS MIRANDA VICTOR MANUEL"/>
    <s v="07.04.2011"/>
    <e v="#N/A"/>
    <e v="#N/A"/>
    <e v="#N/A"/>
    <x v="1"/>
  </r>
  <r>
    <x v="70"/>
    <s v="RIOS MIRANDA VICTOR MANUEL"/>
    <s v="07.04.2011"/>
    <e v="#N/A"/>
    <e v="#N/A"/>
    <e v="#N/A"/>
    <x v="1"/>
  </r>
  <r>
    <x v="70"/>
    <s v="RIOS MIRANDA VICTOR MANUEL"/>
    <s v="08.04.2011"/>
    <e v="#N/A"/>
    <e v="#N/A"/>
    <e v="#N/A"/>
    <x v="1"/>
  </r>
  <r>
    <x v="70"/>
    <s v="RIOS MIRANDA VICTOR MANUEL"/>
    <s v="08.04.2011"/>
    <e v="#N/A"/>
    <e v="#N/A"/>
    <e v="#N/A"/>
    <x v="1"/>
  </r>
  <r>
    <x v="70"/>
    <s v="RIOS MIRANDA VICTOR MANUEL"/>
    <s v="09.04.2011"/>
    <e v="#N/A"/>
    <e v="#N/A"/>
    <e v="#N/A"/>
    <x v="1"/>
  </r>
  <r>
    <x v="71"/>
    <s v="CARO RODRIGUEZ OMAR FCO"/>
    <s v="04.04.2011"/>
    <e v="#N/A"/>
    <e v="#N/A"/>
    <e v="#N/A"/>
    <x v="1"/>
  </r>
  <r>
    <x v="71"/>
    <s v="CARO RODRIGUEZ OMAR FCO"/>
    <s v="04.04.2011"/>
    <e v="#N/A"/>
    <e v="#N/A"/>
    <e v="#N/A"/>
    <x v="1"/>
  </r>
  <r>
    <x v="71"/>
    <s v="CARO RODRIGUEZ OMAR FCO"/>
    <s v="05.04.2011"/>
    <e v="#N/A"/>
    <e v="#N/A"/>
    <e v="#N/A"/>
    <x v="1"/>
  </r>
  <r>
    <x v="71"/>
    <s v="CARO RODRIGUEZ OMAR FCO"/>
    <s v="05.04.2011"/>
    <e v="#N/A"/>
    <e v="#N/A"/>
    <e v="#N/A"/>
    <x v="1"/>
  </r>
  <r>
    <x v="71"/>
    <s v="CARO RODRIGUEZ OMAR FCO"/>
    <s v="06.04.2011"/>
    <e v="#N/A"/>
    <e v="#N/A"/>
    <e v="#N/A"/>
    <x v="1"/>
  </r>
  <r>
    <x v="71"/>
    <s v="CARO RODRIGUEZ OMAR FCO"/>
    <s v="06.04.2011"/>
    <e v="#N/A"/>
    <e v="#N/A"/>
    <e v="#N/A"/>
    <x v="1"/>
  </r>
  <r>
    <x v="71"/>
    <s v="CARO RODRIGUEZ OMAR FCO"/>
    <s v="07.04.2011"/>
    <e v="#N/A"/>
    <e v="#N/A"/>
    <e v="#N/A"/>
    <x v="1"/>
  </r>
  <r>
    <x v="71"/>
    <s v="CARO RODRIGUEZ OMAR FCO"/>
    <s v="07.04.2011"/>
    <e v="#N/A"/>
    <e v="#N/A"/>
    <e v="#N/A"/>
    <x v="1"/>
  </r>
  <r>
    <x v="71"/>
    <s v="CARO RODRIGUEZ OMAR FCO"/>
    <s v="08.04.2011"/>
    <e v="#N/A"/>
    <e v="#N/A"/>
    <e v="#N/A"/>
    <x v="1"/>
  </r>
  <r>
    <x v="71"/>
    <s v="CARO RODRIGUEZ OMAR FCO"/>
    <s v="08.04.2011"/>
    <e v="#N/A"/>
    <e v="#N/A"/>
    <e v="#N/A"/>
    <x v="1"/>
  </r>
  <r>
    <x v="72"/>
    <s v="LEON GALVEZ GUILLERMO"/>
    <s v="04.04.2011"/>
    <e v="#N/A"/>
    <e v="#N/A"/>
    <e v="#N/A"/>
    <x v="1"/>
  </r>
  <r>
    <x v="72"/>
    <s v="LEON GALVEZ GUILLERMO"/>
    <s v="04.04.2011"/>
    <e v="#N/A"/>
    <e v="#N/A"/>
    <e v="#N/A"/>
    <x v="1"/>
  </r>
  <r>
    <x v="72"/>
    <s v="LEON GALVEZ GUILLERMO"/>
    <s v="05.04.2011"/>
    <e v="#N/A"/>
    <e v="#N/A"/>
    <e v="#N/A"/>
    <x v="1"/>
  </r>
  <r>
    <x v="72"/>
    <s v="LEON GALVEZ GUILLERMO"/>
    <s v="05.04.2011"/>
    <e v="#N/A"/>
    <e v="#N/A"/>
    <e v="#N/A"/>
    <x v="1"/>
  </r>
  <r>
    <x v="72"/>
    <s v="LEON GALVEZ GUILLERMO"/>
    <s v="06.04.2011"/>
    <e v="#N/A"/>
    <e v="#N/A"/>
    <e v="#N/A"/>
    <x v="1"/>
  </r>
  <r>
    <x v="72"/>
    <s v="LEON GALVEZ GUILLERMO"/>
    <s v="06.04.2011"/>
    <e v="#N/A"/>
    <e v="#N/A"/>
    <e v="#N/A"/>
    <x v="1"/>
  </r>
  <r>
    <x v="72"/>
    <s v="LEON GALVEZ GUILLERMO"/>
    <s v="07.04.2011"/>
    <e v="#N/A"/>
    <e v="#N/A"/>
    <e v="#N/A"/>
    <x v="1"/>
  </r>
  <r>
    <x v="72"/>
    <s v="LEON GALVEZ GUILLERMO"/>
    <s v="07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8.04.2011"/>
    <e v="#N/A"/>
    <e v="#N/A"/>
    <e v="#N/A"/>
    <x v="1"/>
  </r>
  <r>
    <x v="72"/>
    <s v="LEON GALVEZ GUILLERMO"/>
    <s v="09.04.2011"/>
    <e v="#N/A"/>
    <e v="#N/A"/>
    <e v="#N/A"/>
    <x v="1"/>
  </r>
  <r>
    <x v="72"/>
    <s v="LEON GALVEZ GUILLERMO"/>
    <s v="09.04.2011"/>
    <e v="#N/A"/>
    <e v="#N/A"/>
    <e v="#N/A"/>
    <x v="1"/>
  </r>
  <r>
    <x v="73"/>
    <s v="DURAN  MUÑOZ,JUAN LISANDRO"/>
    <s v="04.04.2011"/>
    <e v="#N/A"/>
    <e v="#N/A"/>
    <e v="#N/A"/>
    <x v="1"/>
  </r>
  <r>
    <x v="73"/>
    <s v="DURAN  MUÑOZ,JUAN LISANDRO"/>
    <s v="05.04.2011"/>
    <e v="#N/A"/>
    <e v="#N/A"/>
    <e v="#N/A"/>
    <x v="1"/>
  </r>
  <r>
    <x v="73"/>
    <s v="DURAN  MUÑOZ,JUAN LISANDRO"/>
    <s v="05.04.2011"/>
    <e v="#N/A"/>
    <e v="#N/A"/>
    <e v="#N/A"/>
    <x v="1"/>
  </r>
  <r>
    <x v="73"/>
    <s v="DURAN  MUÑOZ,JUAN LISANDRO"/>
    <s v="06.04.2011"/>
    <e v="#N/A"/>
    <e v="#N/A"/>
    <e v="#N/A"/>
    <x v="1"/>
  </r>
  <r>
    <x v="73"/>
    <s v="DURAN  MUÑOZ,JUAN LISANDRO"/>
    <s v="06.04.2011"/>
    <e v="#N/A"/>
    <e v="#N/A"/>
    <e v="#N/A"/>
    <x v="1"/>
  </r>
  <r>
    <x v="73"/>
    <s v="DURAN  MUÑOZ,JUAN LISANDRO"/>
    <s v="07.04.2011"/>
    <e v="#N/A"/>
    <e v="#N/A"/>
    <e v="#N/A"/>
    <x v="1"/>
  </r>
  <r>
    <x v="73"/>
    <s v="DURAN  MUÑOZ,JUAN LISANDRO"/>
    <s v="07.04.2011"/>
    <e v="#N/A"/>
    <e v="#N/A"/>
    <e v="#N/A"/>
    <x v="1"/>
  </r>
  <r>
    <x v="73"/>
    <s v="DURAN  MUÑOZ,JUAN LISANDRO"/>
    <s v="08.04.2011"/>
    <e v="#N/A"/>
    <e v="#N/A"/>
    <e v="#N/A"/>
    <x v="1"/>
  </r>
  <r>
    <x v="73"/>
    <s v="DURAN  MUÑOZ,JUAN LISANDRO"/>
    <s v="08.04.2011"/>
    <e v="#N/A"/>
    <e v="#N/A"/>
    <e v="#N/A"/>
    <x v="1"/>
  </r>
  <r>
    <x v="73"/>
    <s v="DURAN  MUÑOZ,JUAN LISANDRO"/>
    <s v="09.04.2011"/>
    <e v="#N/A"/>
    <e v="#N/A"/>
    <e v="#N/A"/>
    <x v="1"/>
  </r>
  <r>
    <x v="74"/>
    <s v="HERNANDEZ CESPEDES FRANKLIN LEONEL"/>
    <s v="04.04.2011"/>
    <e v="#N/A"/>
    <e v="#N/A"/>
    <e v="#N/A"/>
    <x v="1"/>
  </r>
  <r>
    <x v="74"/>
    <s v="HERNANDEZ CESPEDES FRANKLIN LEONEL"/>
    <s v="04.04.2011"/>
    <e v="#N/A"/>
    <e v="#N/A"/>
    <e v="#N/A"/>
    <x v="1"/>
  </r>
  <r>
    <x v="74"/>
    <s v="HERNANDEZ CESPEDES FRANKLIN LEONEL"/>
    <s v="05.04.2011"/>
    <e v="#N/A"/>
    <e v="#N/A"/>
    <e v="#N/A"/>
    <x v="1"/>
  </r>
  <r>
    <x v="74"/>
    <s v="HERNANDEZ CESPEDES FRANKLIN LEONEL"/>
    <s v="05.04.2011"/>
    <e v="#N/A"/>
    <e v="#N/A"/>
    <e v="#N/A"/>
    <x v="1"/>
  </r>
  <r>
    <x v="74"/>
    <s v="HERNANDEZ CESPEDES FRANKLIN LEONEL"/>
    <s v="06.04.2011"/>
    <e v="#N/A"/>
    <e v="#N/A"/>
    <e v="#N/A"/>
    <x v="1"/>
  </r>
  <r>
    <x v="74"/>
    <s v="HERNANDEZ CESPEDES FRANKLIN LEONEL"/>
    <s v="06.04.2011"/>
    <e v="#N/A"/>
    <e v="#N/A"/>
    <e v="#N/A"/>
    <x v="1"/>
  </r>
  <r>
    <x v="74"/>
    <s v="HERNANDEZ CESPEDES FRANKLIN LEONEL"/>
    <s v="07.04.2011"/>
    <e v="#N/A"/>
    <e v="#N/A"/>
    <e v="#N/A"/>
    <x v="1"/>
  </r>
  <r>
    <x v="74"/>
    <s v="HERNANDEZ CESPEDES FRANKLIN LEONEL"/>
    <s v="07.04.2011"/>
    <e v="#N/A"/>
    <e v="#N/A"/>
    <e v="#N/A"/>
    <x v="1"/>
  </r>
  <r>
    <x v="74"/>
    <s v="HERNANDEZ CESPEDES FRANKLIN LEONEL"/>
    <s v="08.04.2011"/>
    <e v="#N/A"/>
    <e v="#N/A"/>
    <e v="#N/A"/>
    <x v="1"/>
  </r>
  <r>
    <x v="74"/>
    <s v="HERNANDEZ CESPEDES FRANKLIN LEONEL"/>
    <s v="08.04.2011"/>
    <e v="#N/A"/>
    <e v="#N/A"/>
    <e v="#N/A"/>
    <x v="1"/>
  </r>
  <r>
    <x v="74"/>
    <s v="HERNANDEZ CESPEDES FRANKLIN LEONEL"/>
    <s v="09.04.2011"/>
    <e v="#N/A"/>
    <e v="#N/A"/>
    <e v="#N/A"/>
    <x v="1"/>
  </r>
  <r>
    <x v="74"/>
    <s v="HERNANDEZ CESPEDES FRANKLIN LEONEL"/>
    <s v="09.04.2011"/>
    <e v="#N/A"/>
    <e v="#N/A"/>
    <e v="#N/A"/>
    <x v="1"/>
  </r>
  <r>
    <x v="75"/>
    <s v="MOLINA FERNANDEZ ANTONIO MARCO"/>
    <s v="04.04.2011"/>
    <e v="#N/A"/>
    <e v="#N/A"/>
    <e v="#N/A"/>
    <x v="1"/>
  </r>
  <r>
    <x v="75"/>
    <s v="MOLINA FERNANDEZ ANTONIO MARCO"/>
    <s v="05.04.2011"/>
    <e v="#N/A"/>
    <e v="#N/A"/>
    <e v="#N/A"/>
    <x v="1"/>
  </r>
  <r>
    <x v="75"/>
    <s v="MOLINA FERNANDEZ ANTONIO MARCO"/>
    <s v="05.04.2011"/>
    <e v="#N/A"/>
    <e v="#N/A"/>
    <e v="#N/A"/>
    <x v="1"/>
  </r>
  <r>
    <x v="75"/>
    <s v="MOLINA FERNANDEZ ANTONIO MARCO"/>
    <s v="06.04.2011"/>
    <e v="#N/A"/>
    <e v="#N/A"/>
    <e v="#N/A"/>
    <x v="1"/>
  </r>
  <r>
    <x v="75"/>
    <s v="MOLINA FERNANDEZ ANTONIO MARCO"/>
    <s v="06.04.2011"/>
    <e v="#N/A"/>
    <e v="#N/A"/>
    <e v="#N/A"/>
    <x v="1"/>
  </r>
  <r>
    <x v="75"/>
    <s v="MOLINA FERNANDEZ ANTONIO MARCO"/>
    <s v="07.04.2011"/>
    <e v="#N/A"/>
    <e v="#N/A"/>
    <e v="#N/A"/>
    <x v="1"/>
  </r>
  <r>
    <x v="75"/>
    <s v="MOLINA FERNANDEZ ANTONIO MARCO"/>
    <s v="07.04.2011"/>
    <e v="#N/A"/>
    <e v="#N/A"/>
    <e v="#N/A"/>
    <x v="1"/>
  </r>
  <r>
    <x v="75"/>
    <s v="MOLINA FERNANDEZ ANTONIO MARCO"/>
    <s v="08.04.2011"/>
    <e v="#N/A"/>
    <e v="#N/A"/>
    <e v="#N/A"/>
    <x v="1"/>
  </r>
  <r>
    <x v="75"/>
    <s v="MOLINA FERNANDEZ ANTONIO MARCO"/>
    <s v="08.04.2011"/>
    <e v="#N/A"/>
    <e v="#N/A"/>
    <e v="#N/A"/>
    <x v="1"/>
  </r>
  <r>
    <x v="75"/>
    <s v="MOLINA FERNANDEZ ANTONIO MARCO"/>
    <s v="09.04.2011"/>
    <e v="#N/A"/>
    <e v="#N/A"/>
    <e v="#N/A"/>
    <x v="1"/>
  </r>
  <r>
    <x v="76"/>
    <s v="QUIROGA GARCIA LUIS ABRAHAM"/>
    <s v="04.04.2011"/>
    <e v="#N/A"/>
    <e v="#N/A"/>
    <e v="#N/A"/>
    <x v="1"/>
  </r>
  <r>
    <x v="76"/>
    <s v="QUIROGA GARCIA LUIS ABRAHAM"/>
    <s v="04.04.2011"/>
    <e v="#N/A"/>
    <e v="#N/A"/>
    <e v="#N/A"/>
    <x v="1"/>
  </r>
  <r>
    <x v="76"/>
    <s v="QUIROGA GARCIA LUIS ABRAHAM"/>
    <s v="05.04.2011"/>
    <e v="#N/A"/>
    <e v="#N/A"/>
    <e v="#N/A"/>
    <x v="1"/>
  </r>
  <r>
    <x v="76"/>
    <s v="QUIROGA GARCIA LUIS ABRAHAM"/>
    <s v="05.04.2011"/>
    <e v="#N/A"/>
    <e v="#N/A"/>
    <e v="#N/A"/>
    <x v="1"/>
  </r>
  <r>
    <x v="76"/>
    <s v="QUIROGA GARCIA LUIS ABRAHAM"/>
    <s v="06.04.2011"/>
    <e v="#N/A"/>
    <e v="#N/A"/>
    <e v="#N/A"/>
    <x v="1"/>
  </r>
  <r>
    <x v="76"/>
    <s v="QUIROGA GARCIA LUIS ABRAHAM"/>
    <s v="06.04.2011"/>
    <e v="#N/A"/>
    <e v="#N/A"/>
    <e v="#N/A"/>
    <x v="1"/>
  </r>
  <r>
    <x v="76"/>
    <s v="QUIROGA GARCIA LUIS ABRAHAM"/>
    <s v="07.04.2011"/>
    <e v="#N/A"/>
    <e v="#N/A"/>
    <e v="#N/A"/>
    <x v="1"/>
  </r>
  <r>
    <x v="76"/>
    <s v="QUIROGA GARCIA LUIS ABRAHAM"/>
    <s v="07.04.2011"/>
    <e v="#N/A"/>
    <e v="#N/A"/>
    <e v="#N/A"/>
    <x v="1"/>
  </r>
  <r>
    <x v="76"/>
    <s v="QUIROGA GARCIA LUIS ABRAHAM"/>
    <s v="08.04.2011"/>
    <e v="#N/A"/>
    <e v="#N/A"/>
    <e v="#N/A"/>
    <x v="1"/>
  </r>
  <r>
    <x v="76"/>
    <s v="QUIROGA GARCIA LUIS ABRAHAM"/>
    <s v="08.04.2011"/>
    <e v="#N/A"/>
    <e v="#N/A"/>
    <e v="#N/A"/>
    <x v="1"/>
  </r>
  <r>
    <x v="76"/>
    <s v="QUIROGA GARCIA LUIS ABRAHAM"/>
    <s v="09.04.2011"/>
    <e v="#N/A"/>
    <e v="#N/A"/>
    <e v="#N/A"/>
    <x v="1"/>
  </r>
  <r>
    <x v="76"/>
    <s v="QUIROGA GARCIA LUIS ABRAHAM"/>
    <s v="09.04.2011"/>
    <e v="#N/A"/>
    <e v="#N/A"/>
    <e v="#N/A"/>
    <x v="1"/>
  </r>
  <r>
    <x v="77"/>
    <s v="CONCHA VALDEBENITO ELIZABETH"/>
    <s v="04.04.2011"/>
    <e v="#N/A"/>
    <e v="#N/A"/>
    <e v="#N/A"/>
    <x v="1"/>
  </r>
  <r>
    <x v="77"/>
    <s v="CONCHA VALDEBENITO ELIZABETH"/>
    <s v="04.04.2011"/>
    <e v="#N/A"/>
    <e v="#N/A"/>
    <e v="#N/A"/>
    <x v="1"/>
  </r>
  <r>
    <x v="77"/>
    <s v="CONCHA VALDEBENITO ELIZABETH"/>
    <s v="05.04.2011"/>
    <e v="#N/A"/>
    <e v="#N/A"/>
    <e v="#N/A"/>
    <x v="1"/>
  </r>
  <r>
    <x v="77"/>
    <s v="CONCHA VALDEBENITO ELIZABETH"/>
    <s v="05.04.2011"/>
    <e v="#N/A"/>
    <e v="#N/A"/>
    <e v="#N/A"/>
    <x v="1"/>
  </r>
  <r>
    <x v="77"/>
    <s v="CONCHA VALDEBENITO ELIZABETH"/>
    <s v="06.04.2011"/>
    <e v="#N/A"/>
    <e v="#N/A"/>
    <e v="#N/A"/>
    <x v="1"/>
  </r>
  <r>
    <x v="77"/>
    <s v="CONCHA VALDEBENITO ELIZABETH"/>
    <s v="06.04.2011"/>
    <e v="#N/A"/>
    <e v="#N/A"/>
    <e v="#N/A"/>
    <x v="1"/>
  </r>
  <r>
    <x v="77"/>
    <s v="CONCHA VALDEBENITO ELIZABETH"/>
    <s v="07.04.2011"/>
    <e v="#N/A"/>
    <e v="#N/A"/>
    <e v="#N/A"/>
    <x v="1"/>
  </r>
  <r>
    <x v="77"/>
    <s v="CONCHA VALDEBENITO ELIZABETH"/>
    <s v="07.04.2011"/>
    <e v="#N/A"/>
    <e v="#N/A"/>
    <e v="#N/A"/>
    <x v="1"/>
  </r>
  <r>
    <x v="77"/>
    <s v="CONCHA VALDEBENITO ELIZABETH"/>
    <s v="08.04.2011"/>
    <e v="#N/A"/>
    <e v="#N/A"/>
    <e v="#N/A"/>
    <x v="1"/>
  </r>
  <r>
    <x v="77"/>
    <s v="CONCHA VALDEBENITO ELIZABETH"/>
    <s v="08.04.2011"/>
    <e v="#N/A"/>
    <e v="#N/A"/>
    <e v="#N/A"/>
    <x v="1"/>
  </r>
  <r>
    <x v="77"/>
    <s v="CONCHA VALDEBENITO ELIZABETH"/>
    <s v="09.04.2011"/>
    <e v="#N/A"/>
    <e v="#N/A"/>
    <e v="#N/A"/>
    <x v="1"/>
  </r>
  <r>
    <x v="77"/>
    <s v="CONCHA VALDEBENITO ELIZABETH"/>
    <s v="09.04.2011"/>
    <e v="#N/A"/>
    <e v="#N/A"/>
    <e v="#N/A"/>
    <x v="1"/>
  </r>
  <r>
    <x v="78"/>
    <s v="BUSTOS JARA TERESA DE LAS NIEVES"/>
    <s v="04.04.2011"/>
    <e v="#N/A"/>
    <e v="#N/A"/>
    <e v="#N/A"/>
    <x v="1"/>
  </r>
  <r>
    <x v="78"/>
    <s v="BUSTOS JARA TERESA DE LAS NIEVES"/>
    <s v="04.04.2011"/>
    <e v="#N/A"/>
    <e v="#N/A"/>
    <e v="#N/A"/>
    <x v="1"/>
  </r>
  <r>
    <x v="78"/>
    <s v="BUSTOS JARA TERESA DE LAS NIEVES"/>
    <s v="05.04.2011"/>
    <e v="#N/A"/>
    <e v="#N/A"/>
    <e v="#N/A"/>
    <x v="1"/>
  </r>
  <r>
    <x v="78"/>
    <s v="BUSTOS JARA TERESA DE LAS NIEVES"/>
    <s v="05.04.2011"/>
    <e v="#N/A"/>
    <e v="#N/A"/>
    <e v="#N/A"/>
    <x v="1"/>
  </r>
  <r>
    <x v="78"/>
    <s v="BUSTOS JARA TERESA DE LAS NIEVES"/>
    <s v="06.04.2011"/>
    <e v="#N/A"/>
    <e v="#N/A"/>
    <e v="#N/A"/>
    <x v="1"/>
  </r>
  <r>
    <x v="78"/>
    <s v="BUSTOS JARA TERESA DE LAS NIEVES"/>
    <s v="06.04.2011"/>
    <e v="#N/A"/>
    <e v="#N/A"/>
    <e v="#N/A"/>
    <x v="1"/>
  </r>
  <r>
    <x v="78"/>
    <s v="BUSTOS JARA TERESA DE LAS NIEVES"/>
    <s v="07.04.2011"/>
    <e v="#N/A"/>
    <e v="#N/A"/>
    <e v="#N/A"/>
    <x v="1"/>
  </r>
  <r>
    <x v="78"/>
    <s v="BUSTOS JARA TERESA DE LAS NIEVES"/>
    <s v="07.04.2011"/>
    <e v="#N/A"/>
    <e v="#N/A"/>
    <e v="#N/A"/>
    <x v="1"/>
  </r>
  <r>
    <x v="78"/>
    <s v="BUSTOS JARA TERESA DE LAS NIEVES"/>
    <s v="08.04.2011"/>
    <e v="#N/A"/>
    <e v="#N/A"/>
    <e v="#N/A"/>
    <x v="1"/>
  </r>
  <r>
    <x v="78"/>
    <s v="BUSTOS JARA TERESA DE LAS NIEVES"/>
    <s v="08.04.2011"/>
    <e v="#N/A"/>
    <e v="#N/A"/>
    <e v="#N/A"/>
    <x v="1"/>
  </r>
  <r>
    <x v="78"/>
    <s v="BUSTOS JARA TERESA DE LAS NIEVES"/>
    <s v="09.04.2011"/>
    <e v="#N/A"/>
    <e v="#N/A"/>
    <e v="#N/A"/>
    <x v="1"/>
  </r>
  <r>
    <x v="78"/>
    <s v="BUSTOS JARA TERESA DE LAS NIEVES"/>
    <s v="09.04.2011"/>
    <e v="#N/A"/>
    <e v="#N/A"/>
    <e v="#N/A"/>
    <x v="1"/>
  </r>
  <r>
    <x v="79"/>
    <s v="MELLA FRIAS MIGUEL ALBERTO"/>
    <s v="04.04.2011"/>
    <e v="#N/A"/>
    <e v="#N/A"/>
    <e v="#N/A"/>
    <x v="1"/>
  </r>
  <r>
    <x v="79"/>
    <s v="MELLA FRIAS MIGUEL ALBERTO"/>
    <s v="04.04.2011"/>
    <e v="#N/A"/>
    <e v="#N/A"/>
    <e v="#N/A"/>
    <x v="1"/>
  </r>
  <r>
    <x v="79"/>
    <s v="MELLA FRIAS MIGUEL ALBERTO"/>
    <s v="05.04.2011"/>
    <e v="#N/A"/>
    <e v="#N/A"/>
    <e v="#N/A"/>
    <x v="1"/>
  </r>
  <r>
    <x v="79"/>
    <s v="MELLA FRIAS MIGUEL ALBERTO"/>
    <s v="05.04.2011"/>
    <e v="#N/A"/>
    <e v="#N/A"/>
    <e v="#N/A"/>
    <x v="1"/>
  </r>
  <r>
    <x v="79"/>
    <s v="MELLA FRIAS MIGUEL ALBERTO"/>
    <s v="06.04.2011"/>
    <e v="#N/A"/>
    <e v="#N/A"/>
    <e v="#N/A"/>
    <x v="1"/>
  </r>
  <r>
    <x v="79"/>
    <s v="MELLA FRIAS MIGUEL ALBERTO"/>
    <s v="06.04.2011"/>
    <e v="#N/A"/>
    <e v="#N/A"/>
    <e v="#N/A"/>
    <x v="1"/>
  </r>
  <r>
    <x v="79"/>
    <s v="MELLA FRIAS MIGUEL ALBERTO"/>
    <s v="07.04.2011"/>
    <e v="#N/A"/>
    <e v="#N/A"/>
    <e v="#N/A"/>
    <x v="1"/>
  </r>
  <r>
    <x v="79"/>
    <s v="MELLA FRIAS MIGUEL ALBERTO"/>
    <s v="07.04.2011"/>
    <e v="#N/A"/>
    <e v="#N/A"/>
    <e v="#N/A"/>
    <x v="1"/>
  </r>
  <r>
    <x v="79"/>
    <s v="MELLA FRIAS MIGUEL ALBERTO"/>
    <s v="08.04.2011"/>
    <e v="#N/A"/>
    <e v="#N/A"/>
    <e v="#N/A"/>
    <x v="1"/>
  </r>
  <r>
    <x v="79"/>
    <s v="MELLA FRIAS MIGUEL ALBERTO"/>
    <s v="08.04.2011"/>
    <e v="#N/A"/>
    <e v="#N/A"/>
    <e v="#N/A"/>
    <x v="1"/>
  </r>
  <r>
    <x v="79"/>
    <s v="MELLA FRIAS MIGUEL ALBERTO"/>
    <s v="09.04.2011"/>
    <e v="#N/A"/>
    <e v="#N/A"/>
    <e v="#N/A"/>
    <x v="1"/>
  </r>
  <r>
    <x v="79"/>
    <s v="MELLA FRIAS MIGUEL ALBERTO"/>
    <s v="09.04.2011"/>
    <e v="#N/A"/>
    <e v="#N/A"/>
    <e v="#N/A"/>
    <x v="1"/>
  </r>
  <r>
    <x v="80"/>
    <s v="RAMIREZ VASQUEZ RAUL"/>
    <s v="04.04.2011"/>
    <e v="#N/A"/>
    <e v="#N/A"/>
    <e v="#N/A"/>
    <x v="1"/>
  </r>
  <r>
    <x v="80"/>
    <s v="RAMIREZ VASQUEZ RAUL"/>
    <s v="05.04.2011"/>
    <e v="#N/A"/>
    <e v="#N/A"/>
    <e v="#N/A"/>
    <x v="1"/>
  </r>
  <r>
    <x v="80"/>
    <s v="RAMIREZ VASQUEZ RAUL"/>
    <s v="05.04.2011"/>
    <e v="#N/A"/>
    <e v="#N/A"/>
    <e v="#N/A"/>
    <x v="1"/>
  </r>
  <r>
    <x v="80"/>
    <s v="RAMIREZ VASQUEZ RAUL"/>
    <s v="06.04.2011"/>
    <e v="#N/A"/>
    <e v="#N/A"/>
    <e v="#N/A"/>
    <x v="1"/>
  </r>
  <r>
    <x v="80"/>
    <s v="RAMIREZ VASQUEZ RAUL"/>
    <s v="06.04.2011"/>
    <e v="#N/A"/>
    <e v="#N/A"/>
    <e v="#N/A"/>
    <x v="1"/>
  </r>
  <r>
    <x v="80"/>
    <s v="RAMIREZ VASQUEZ RAUL"/>
    <s v="07.04.2011"/>
    <e v="#N/A"/>
    <e v="#N/A"/>
    <e v="#N/A"/>
    <x v="1"/>
  </r>
  <r>
    <x v="80"/>
    <s v="RAMIREZ VASQUEZ RAUL"/>
    <s v="07.04.2011"/>
    <e v="#N/A"/>
    <e v="#N/A"/>
    <e v="#N/A"/>
    <x v="1"/>
  </r>
  <r>
    <x v="80"/>
    <s v="RAMIREZ VASQUEZ RAUL"/>
    <s v="08.04.2011"/>
    <e v="#N/A"/>
    <e v="#N/A"/>
    <e v="#N/A"/>
    <x v="1"/>
  </r>
  <r>
    <x v="80"/>
    <s v="RAMIREZ VASQUEZ RAUL"/>
    <s v="08.04.2011"/>
    <e v="#N/A"/>
    <e v="#N/A"/>
    <e v="#N/A"/>
    <x v="1"/>
  </r>
  <r>
    <x v="80"/>
    <s v="RAMIREZ VASQUEZ RAUL"/>
    <s v="09.04.2011"/>
    <e v="#N/A"/>
    <e v="#N/A"/>
    <e v="#N/A"/>
    <x v="1"/>
  </r>
  <r>
    <x v="81"/>
    <s v="ARSENDIGA PALMA FELIX EXEQUIEL"/>
    <s v="04.04.2011"/>
    <e v="#N/A"/>
    <e v="#N/A"/>
    <e v="#N/A"/>
    <x v="1"/>
  </r>
  <r>
    <x v="81"/>
    <s v="ARSENDIGA PALMA FELIX EXEQUIEL"/>
    <s v="04.04.2011"/>
    <e v="#N/A"/>
    <e v="#N/A"/>
    <e v="#N/A"/>
    <x v="1"/>
  </r>
  <r>
    <x v="81"/>
    <s v="ARSENDIGA PALMA FELIX EXEQUIEL"/>
    <s v="05.04.2011"/>
    <e v="#N/A"/>
    <e v="#N/A"/>
    <e v="#N/A"/>
    <x v="1"/>
  </r>
  <r>
    <x v="81"/>
    <s v="ARSENDIGA PALMA FELIX EXEQUIEL"/>
    <s v="05.04.2011"/>
    <e v="#N/A"/>
    <e v="#N/A"/>
    <e v="#N/A"/>
    <x v="1"/>
  </r>
  <r>
    <x v="81"/>
    <s v="ARSENDIGA PALMA FELIX EXEQUIEL"/>
    <s v="06.04.2011"/>
    <e v="#N/A"/>
    <e v="#N/A"/>
    <e v="#N/A"/>
    <x v="1"/>
  </r>
  <r>
    <x v="81"/>
    <s v="ARSENDIGA PALMA FELIX EXEQUIEL"/>
    <s v="07.04.2011"/>
    <e v="#N/A"/>
    <e v="#N/A"/>
    <e v="#N/A"/>
    <x v="1"/>
  </r>
  <r>
    <x v="81"/>
    <s v="ARSENDIGA PALMA FELIX EXEQUIEL"/>
    <s v="07.04.2011"/>
    <e v="#N/A"/>
    <e v="#N/A"/>
    <e v="#N/A"/>
    <x v="1"/>
  </r>
  <r>
    <x v="81"/>
    <s v="ARSENDIGA PALMA FELIX EXEQUIEL"/>
    <s v="08.04.2011"/>
    <e v="#N/A"/>
    <e v="#N/A"/>
    <e v="#N/A"/>
    <x v="1"/>
  </r>
  <r>
    <x v="81"/>
    <s v="ARSENDIGA PALMA FELIX EXEQUIEL"/>
    <s v="08.04.2011"/>
    <e v="#N/A"/>
    <e v="#N/A"/>
    <e v="#N/A"/>
    <x v="1"/>
  </r>
  <r>
    <x v="81"/>
    <s v="ARSENDIGA PALMA FELIX EXEQUIEL"/>
    <s v="09.04.2011"/>
    <e v="#N/A"/>
    <e v="#N/A"/>
    <e v="#N/A"/>
    <x v="1"/>
  </r>
  <r>
    <x v="82"/>
    <s v="HERNANDEZ GONZALEZ QUINTIN ROBERTO"/>
    <s v="04.04.2011"/>
    <e v="#N/A"/>
    <e v="#N/A"/>
    <e v="#N/A"/>
    <x v="1"/>
  </r>
  <r>
    <x v="82"/>
    <s v="HERNANDEZ GONZALEZ QUINTIN ROBERTO"/>
    <s v="04.04.2011"/>
    <e v="#N/A"/>
    <e v="#N/A"/>
    <e v="#N/A"/>
    <x v="1"/>
  </r>
  <r>
    <x v="82"/>
    <s v="HERNANDEZ GONZALEZ QUINTIN ROBERTO"/>
    <s v="05.04.2011"/>
    <e v="#N/A"/>
    <e v="#N/A"/>
    <e v="#N/A"/>
    <x v="1"/>
  </r>
  <r>
    <x v="82"/>
    <s v="HERNANDEZ GONZALEZ QUINTIN ROBERTO"/>
    <s v="05.04.2011"/>
    <e v="#N/A"/>
    <e v="#N/A"/>
    <e v="#N/A"/>
    <x v="1"/>
  </r>
  <r>
    <x v="82"/>
    <s v="HERNANDEZ GONZALEZ QUINTIN ROBERTO"/>
    <s v="06.04.2011"/>
    <e v="#N/A"/>
    <e v="#N/A"/>
    <e v="#N/A"/>
    <x v="1"/>
  </r>
  <r>
    <x v="82"/>
    <s v="HERNANDEZ GONZALEZ QUINTIN ROBERTO"/>
    <s v="06.04.2011"/>
    <e v="#N/A"/>
    <e v="#N/A"/>
    <e v="#N/A"/>
    <x v="1"/>
  </r>
  <r>
    <x v="82"/>
    <s v="HERNANDEZ GONZALEZ QUINTIN ROBERTO"/>
    <s v="07.04.2011"/>
    <e v="#N/A"/>
    <e v="#N/A"/>
    <e v="#N/A"/>
    <x v="1"/>
  </r>
  <r>
    <x v="82"/>
    <s v="HERNANDEZ GONZALEZ QUINTIN ROBERTO"/>
    <s v="07.04.2011"/>
    <e v="#N/A"/>
    <e v="#N/A"/>
    <e v="#N/A"/>
    <x v="1"/>
  </r>
  <r>
    <x v="82"/>
    <s v="HERNANDEZ GONZALEZ QUINTIN ROBERTO"/>
    <s v="08.04.2011"/>
    <e v="#N/A"/>
    <e v="#N/A"/>
    <e v="#N/A"/>
    <x v="1"/>
  </r>
  <r>
    <x v="82"/>
    <s v="HERNANDEZ GONZALEZ QUINTIN ROBERTO"/>
    <s v="08.04.2011"/>
    <e v="#N/A"/>
    <e v="#N/A"/>
    <e v="#N/A"/>
    <x v="1"/>
  </r>
  <r>
    <x v="82"/>
    <s v="HERNANDEZ GONZALEZ QUINTIN ROBERTO"/>
    <s v="09.04.2011"/>
    <e v="#N/A"/>
    <e v="#N/A"/>
    <e v="#N/A"/>
    <x v="1"/>
  </r>
  <r>
    <x v="82"/>
    <s v="HERNANDEZ GONZALEZ QUINTIN ROBERTO"/>
    <s v="09.04.2011"/>
    <e v="#N/A"/>
    <e v="#N/A"/>
    <e v="#N/A"/>
    <x v="1"/>
  </r>
  <r>
    <x v="83"/>
    <s v="REYES LARA ANGELA ADELA"/>
    <s v="04.04.2011"/>
    <e v="#N/A"/>
    <e v="#N/A"/>
    <e v="#N/A"/>
    <x v="1"/>
  </r>
  <r>
    <x v="83"/>
    <s v="REYES LARA ANGELA ADELA"/>
    <s v="04.04.2011"/>
    <e v="#N/A"/>
    <e v="#N/A"/>
    <e v="#N/A"/>
    <x v="1"/>
  </r>
  <r>
    <x v="83"/>
    <s v="REYES LARA ANGELA ADELA"/>
    <s v="05.04.2011"/>
    <e v="#N/A"/>
    <e v="#N/A"/>
    <e v="#N/A"/>
    <x v="1"/>
  </r>
  <r>
    <x v="83"/>
    <s v="REYES LARA ANGELA ADELA"/>
    <s v="05.04.2011"/>
    <e v="#N/A"/>
    <e v="#N/A"/>
    <e v="#N/A"/>
    <x v="1"/>
  </r>
  <r>
    <x v="83"/>
    <s v="REYES LARA ANGELA ADELA"/>
    <s v="06.04.2011"/>
    <e v="#N/A"/>
    <e v="#N/A"/>
    <e v="#N/A"/>
    <x v="1"/>
  </r>
  <r>
    <x v="83"/>
    <s v="REYES LARA ANGELA ADELA"/>
    <s v="06.04.2011"/>
    <e v="#N/A"/>
    <e v="#N/A"/>
    <e v="#N/A"/>
    <x v="1"/>
  </r>
  <r>
    <x v="83"/>
    <s v="REYES LARA ANGELA ADELA"/>
    <s v="07.04.2011"/>
    <e v="#N/A"/>
    <e v="#N/A"/>
    <e v="#N/A"/>
    <x v="1"/>
  </r>
  <r>
    <x v="83"/>
    <s v="REYES LARA ANGELA ADELA"/>
    <s v="07.04.2011"/>
    <e v="#N/A"/>
    <e v="#N/A"/>
    <e v="#N/A"/>
    <x v="1"/>
  </r>
  <r>
    <x v="83"/>
    <s v="REYES LARA ANGELA ADELA"/>
    <s v="08.04.2011"/>
    <e v="#N/A"/>
    <e v="#N/A"/>
    <e v="#N/A"/>
    <x v="1"/>
  </r>
  <r>
    <x v="83"/>
    <s v="REYES LARA ANGELA ADELA"/>
    <s v="08.04.2011"/>
    <e v="#N/A"/>
    <e v="#N/A"/>
    <e v="#N/A"/>
    <x v="1"/>
  </r>
  <r>
    <x v="84"/>
    <s v="VIDAL  ATENAS,RICARDO V."/>
    <s v="04.04.2011"/>
    <e v="#N/A"/>
    <e v="#N/A"/>
    <e v="#N/A"/>
    <x v="1"/>
  </r>
  <r>
    <x v="84"/>
    <s v="VIDAL  ATENAS,RICARDO V."/>
    <s v="04.04.2011"/>
    <e v="#N/A"/>
    <e v="#N/A"/>
    <e v="#N/A"/>
    <x v="1"/>
  </r>
  <r>
    <x v="84"/>
    <s v="VIDAL  ATENAS,RICARDO V."/>
    <s v="05.04.2011"/>
    <e v="#N/A"/>
    <e v="#N/A"/>
    <e v="#N/A"/>
    <x v="1"/>
  </r>
  <r>
    <x v="84"/>
    <s v="VIDAL  ATENAS,RICARDO V."/>
    <s v="05.04.2011"/>
    <e v="#N/A"/>
    <e v="#N/A"/>
    <e v="#N/A"/>
    <x v="1"/>
  </r>
  <r>
    <x v="84"/>
    <s v="VIDAL  ATENAS,RICARDO V."/>
    <s v="06.04.2011"/>
    <e v="#N/A"/>
    <e v="#N/A"/>
    <e v="#N/A"/>
    <x v="1"/>
  </r>
  <r>
    <x v="84"/>
    <s v="VIDAL  ATENAS,RICARDO V."/>
    <s v="06.04.2011"/>
    <e v="#N/A"/>
    <e v="#N/A"/>
    <e v="#N/A"/>
    <x v="1"/>
  </r>
  <r>
    <x v="84"/>
    <s v="VIDAL  ATENAS,RICARDO V."/>
    <s v="07.04.2011"/>
    <e v="#N/A"/>
    <e v="#N/A"/>
    <e v="#N/A"/>
    <x v="1"/>
  </r>
  <r>
    <x v="84"/>
    <s v="VIDAL  ATENAS,RICARDO V."/>
    <s v="07.04.2011"/>
    <e v="#N/A"/>
    <e v="#N/A"/>
    <e v="#N/A"/>
    <x v="1"/>
  </r>
  <r>
    <x v="84"/>
    <s v="VIDAL  ATENAS,RICARDO V."/>
    <s v="08.04.2011"/>
    <e v="#N/A"/>
    <e v="#N/A"/>
    <e v="#N/A"/>
    <x v="1"/>
  </r>
  <r>
    <x v="84"/>
    <s v="VIDAL  ATENAS,RICARDO V."/>
    <s v="08.04.2011"/>
    <e v="#N/A"/>
    <e v="#N/A"/>
    <e v="#N/A"/>
    <x v="1"/>
  </r>
  <r>
    <x v="84"/>
    <s v="VIDAL  ATENAS,RICARDO V."/>
    <s v="09.04.2011"/>
    <e v="#N/A"/>
    <e v="#N/A"/>
    <e v="#N/A"/>
    <x v="1"/>
  </r>
  <r>
    <x v="85"/>
    <s v="MORA MORA CARLOS ALEJANDRO"/>
    <s v="04.04.2011"/>
    <e v="#N/A"/>
    <e v="#N/A"/>
    <e v="#N/A"/>
    <x v="1"/>
  </r>
  <r>
    <x v="85"/>
    <s v="MORA MORA CARLOS ALEJANDRO"/>
    <s v="04.04.2011"/>
    <e v="#N/A"/>
    <e v="#N/A"/>
    <e v="#N/A"/>
    <x v="1"/>
  </r>
  <r>
    <x v="85"/>
    <s v="MORA MORA CARLOS ALEJANDRO"/>
    <s v="05.04.2011"/>
    <e v="#N/A"/>
    <e v="#N/A"/>
    <e v="#N/A"/>
    <x v="1"/>
  </r>
  <r>
    <x v="85"/>
    <s v="MORA MORA CARLOS ALEJANDRO"/>
    <s v="05.04.2011"/>
    <e v="#N/A"/>
    <e v="#N/A"/>
    <e v="#N/A"/>
    <x v="1"/>
  </r>
  <r>
    <x v="85"/>
    <s v="MORA MORA CARLOS ALEJANDRO"/>
    <s v="06.04.2011"/>
    <e v="#N/A"/>
    <e v="#N/A"/>
    <e v="#N/A"/>
    <x v="1"/>
  </r>
  <r>
    <x v="85"/>
    <s v="MORA MORA CARLOS ALEJANDRO"/>
    <s v="06.04.2011"/>
    <e v="#N/A"/>
    <e v="#N/A"/>
    <e v="#N/A"/>
    <x v="1"/>
  </r>
  <r>
    <x v="85"/>
    <s v="MORA MORA CARLOS ALEJANDRO"/>
    <s v="07.04.2011"/>
    <e v="#N/A"/>
    <e v="#N/A"/>
    <e v="#N/A"/>
    <x v="1"/>
  </r>
  <r>
    <x v="85"/>
    <s v="MORA MORA CARLOS ALEJANDRO"/>
    <s v="07.04.2011"/>
    <e v="#N/A"/>
    <e v="#N/A"/>
    <e v="#N/A"/>
    <x v="1"/>
  </r>
  <r>
    <x v="85"/>
    <s v="MORA MORA CARLOS ALEJANDRO"/>
    <s v="08.04.2011"/>
    <e v="#N/A"/>
    <e v="#N/A"/>
    <e v="#N/A"/>
    <x v="1"/>
  </r>
  <r>
    <x v="85"/>
    <s v="MORA MORA CARLOS ALEJANDRO"/>
    <s v="08.04.2011"/>
    <e v="#N/A"/>
    <e v="#N/A"/>
    <e v="#N/A"/>
    <x v="1"/>
  </r>
  <r>
    <x v="85"/>
    <s v="MORA MORA CARLOS ALEJANDRO"/>
    <s v="09.04.2011"/>
    <e v="#N/A"/>
    <e v="#N/A"/>
    <e v="#N/A"/>
    <x v="1"/>
  </r>
  <r>
    <x v="85"/>
    <s v="MORA MORA CARLOS ALEJANDRO"/>
    <s v="09.04.2011"/>
    <e v="#N/A"/>
    <e v="#N/A"/>
    <e v="#N/A"/>
    <x v="1"/>
  </r>
  <r>
    <x v="86"/>
    <s v="VARGAS MORENO MARCO ANTONIO"/>
    <s v="04.04.2011"/>
    <e v="#N/A"/>
    <e v="#N/A"/>
    <e v="#N/A"/>
    <x v="1"/>
  </r>
  <r>
    <x v="86"/>
    <s v="VARGAS MORENO MARCO ANTONIO"/>
    <s v="05.04.2011"/>
    <e v="#N/A"/>
    <e v="#N/A"/>
    <e v="#N/A"/>
    <x v="1"/>
  </r>
  <r>
    <x v="86"/>
    <s v="VARGAS MORENO MARCO ANTONIO"/>
    <s v="05.04.2011"/>
    <e v="#N/A"/>
    <e v="#N/A"/>
    <e v="#N/A"/>
    <x v="1"/>
  </r>
  <r>
    <x v="86"/>
    <s v="VARGAS MORENO MARCO ANTONIO"/>
    <s v="06.04.2011"/>
    <e v="#N/A"/>
    <e v="#N/A"/>
    <e v="#N/A"/>
    <x v="1"/>
  </r>
  <r>
    <x v="86"/>
    <s v="VARGAS MORENO MARCO ANTONIO"/>
    <s v="06.04.2011"/>
    <e v="#N/A"/>
    <e v="#N/A"/>
    <e v="#N/A"/>
    <x v="1"/>
  </r>
  <r>
    <x v="86"/>
    <s v="VARGAS MORENO MARCO ANTONIO"/>
    <s v="07.04.2011"/>
    <e v="#N/A"/>
    <e v="#N/A"/>
    <e v="#N/A"/>
    <x v="1"/>
  </r>
  <r>
    <x v="86"/>
    <s v="VARGAS MORENO MARCO ANTONIO"/>
    <s v="07.04.2011"/>
    <e v="#N/A"/>
    <e v="#N/A"/>
    <e v="#N/A"/>
    <x v="1"/>
  </r>
  <r>
    <x v="86"/>
    <s v="VARGAS MORENO MARCO ANTONIO"/>
    <s v="08.04.2011"/>
    <e v="#N/A"/>
    <e v="#N/A"/>
    <e v="#N/A"/>
    <x v="1"/>
  </r>
  <r>
    <x v="86"/>
    <s v="VARGAS MORENO MARCO ANTONIO"/>
    <s v="08.04.2011"/>
    <e v="#N/A"/>
    <e v="#N/A"/>
    <e v="#N/A"/>
    <x v="1"/>
  </r>
  <r>
    <x v="86"/>
    <s v="VARGAS MORENO MARCO ANTONIO"/>
    <s v="09.04.2011"/>
    <e v="#N/A"/>
    <e v="#N/A"/>
    <e v="#N/A"/>
    <x v="1"/>
  </r>
  <r>
    <x v="87"/>
    <s v="ORELLANA  OLIVARES,ARMANDO"/>
    <s v="04.04.2011"/>
    <e v="#N/A"/>
    <e v="#N/A"/>
    <e v="#N/A"/>
    <x v="1"/>
  </r>
  <r>
    <x v="87"/>
    <s v="ORELLANA  OLIVARES,ARMANDO"/>
    <s v="04.04.2011"/>
    <e v="#N/A"/>
    <e v="#N/A"/>
    <e v="#N/A"/>
    <x v="1"/>
  </r>
  <r>
    <x v="87"/>
    <s v="ORELLANA  OLIVARES,ARMANDO"/>
    <s v="05.04.2011"/>
    <e v="#N/A"/>
    <e v="#N/A"/>
    <e v="#N/A"/>
    <x v="1"/>
  </r>
  <r>
    <x v="87"/>
    <s v="ORELLANA  OLIVARES,ARMANDO"/>
    <s v="05.04.2011"/>
    <e v="#N/A"/>
    <e v="#N/A"/>
    <e v="#N/A"/>
    <x v="1"/>
  </r>
  <r>
    <x v="87"/>
    <s v="ORELLANA  OLIVARES,ARMANDO"/>
    <s v="06.04.2011"/>
    <e v="#N/A"/>
    <e v="#N/A"/>
    <e v="#N/A"/>
    <x v="1"/>
  </r>
  <r>
    <x v="87"/>
    <s v="ORELLANA  OLIVARES,ARMANDO"/>
    <s v="06.04.2011"/>
    <e v="#N/A"/>
    <e v="#N/A"/>
    <e v="#N/A"/>
    <x v="1"/>
  </r>
  <r>
    <x v="87"/>
    <s v="ORELLANA  OLIVARES,ARMANDO"/>
    <s v="07.04.2011"/>
    <e v="#N/A"/>
    <e v="#N/A"/>
    <e v="#N/A"/>
    <x v="1"/>
  </r>
  <r>
    <x v="87"/>
    <s v="ORELLANA  OLIVARES,ARMANDO"/>
    <s v="07.04.2011"/>
    <e v="#N/A"/>
    <e v="#N/A"/>
    <e v="#N/A"/>
    <x v="1"/>
  </r>
  <r>
    <x v="87"/>
    <s v="ORELLANA  OLIVARES,ARMANDO"/>
    <s v="08.04.2011"/>
    <e v="#N/A"/>
    <e v="#N/A"/>
    <e v="#N/A"/>
    <x v="1"/>
  </r>
  <r>
    <x v="87"/>
    <s v="ORELLANA  OLIVARES,ARMANDO"/>
    <s v="08.04.2011"/>
    <e v="#N/A"/>
    <e v="#N/A"/>
    <e v="#N/A"/>
    <x v="1"/>
  </r>
  <r>
    <x v="87"/>
    <s v="ORELLANA  OLIVARES,ARMANDO"/>
    <s v="09.04.2011"/>
    <e v="#N/A"/>
    <e v="#N/A"/>
    <e v="#N/A"/>
    <x v="1"/>
  </r>
  <r>
    <x v="87"/>
    <s v="ORELLANA  OLIVARES,ARMANDO"/>
    <s v="09.04.2011"/>
    <e v="#N/A"/>
    <e v="#N/A"/>
    <e v="#N/A"/>
    <x v="1"/>
  </r>
  <r>
    <x v="88"/>
    <s v="SANCHEZ VASQUEZ DANIEL PATRICIO"/>
    <s v="04.04.2011"/>
    <e v="#N/A"/>
    <e v="#N/A"/>
    <e v="#N/A"/>
    <x v="1"/>
  </r>
  <r>
    <x v="88"/>
    <s v="SANCHEZ VASQUEZ DANIEL PATRICIO"/>
    <s v="05.04.2011"/>
    <e v="#N/A"/>
    <e v="#N/A"/>
    <e v="#N/A"/>
    <x v="1"/>
  </r>
  <r>
    <x v="88"/>
    <s v="SANCHEZ VASQUEZ DANIEL PATRICIO"/>
    <s v="05.04.2011"/>
    <e v="#N/A"/>
    <e v="#N/A"/>
    <e v="#N/A"/>
    <x v="1"/>
  </r>
  <r>
    <x v="88"/>
    <s v="SANCHEZ VASQUEZ DANIEL PATRICIO"/>
    <s v="06.04.2011"/>
    <e v="#N/A"/>
    <e v="#N/A"/>
    <e v="#N/A"/>
    <x v="1"/>
  </r>
  <r>
    <x v="88"/>
    <s v="SANCHEZ VASQUEZ DANIEL PATRICIO"/>
    <s v="06.04.2011"/>
    <e v="#N/A"/>
    <e v="#N/A"/>
    <e v="#N/A"/>
    <x v="1"/>
  </r>
  <r>
    <x v="88"/>
    <s v="SANCHEZ VASQUEZ DANIEL PATRICIO"/>
    <s v="07.04.2011"/>
    <e v="#N/A"/>
    <e v="#N/A"/>
    <e v="#N/A"/>
    <x v="1"/>
  </r>
  <r>
    <x v="88"/>
    <s v="SANCHEZ VASQUEZ DANIEL PATRICIO"/>
    <s v="07.04.2011"/>
    <e v="#N/A"/>
    <e v="#N/A"/>
    <e v="#N/A"/>
    <x v="1"/>
  </r>
  <r>
    <x v="88"/>
    <s v="SANCHEZ VASQUEZ DANIEL PATRICIO"/>
    <s v="08.04.2011"/>
    <e v="#N/A"/>
    <e v="#N/A"/>
    <e v="#N/A"/>
    <x v="1"/>
  </r>
  <r>
    <x v="88"/>
    <s v="SANCHEZ VASQUEZ DANIEL PATRICIO"/>
    <s v="08.04.2011"/>
    <e v="#N/A"/>
    <e v="#N/A"/>
    <e v="#N/A"/>
    <x v="1"/>
  </r>
  <r>
    <x v="88"/>
    <s v="SANCHEZ VASQUEZ DANIEL PATRICIO"/>
    <s v="09.04.2011"/>
    <e v="#N/A"/>
    <e v="#N/A"/>
    <e v="#N/A"/>
    <x v="1"/>
  </r>
  <r>
    <x v="89"/>
    <s v="ALVEAR GONZALEZ RODOLFO ALBERTO"/>
    <s v="04.04.2011"/>
    <e v="#N/A"/>
    <e v="#N/A"/>
    <e v="#N/A"/>
    <x v="1"/>
  </r>
  <r>
    <x v="89"/>
    <s v="ALVEAR GONZALEZ RODOLFO ALBERTO"/>
    <s v="05.04.2011"/>
    <e v="#N/A"/>
    <e v="#N/A"/>
    <e v="#N/A"/>
    <x v="1"/>
  </r>
  <r>
    <x v="89"/>
    <s v="ALVEAR GONZALEZ RODOLFO ALBERTO"/>
    <s v="05.04.2011"/>
    <e v="#N/A"/>
    <e v="#N/A"/>
    <e v="#N/A"/>
    <x v="1"/>
  </r>
  <r>
    <x v="89"/>
    <s v="ALVEAR GONZALEZ RODOLFO ALBERTO"/>
    <s v="06.04.2011"/>
    <e v="#N/A"/>
    <e v="#N/A"/>
    <e v="#N/A"/>
    <x v="1"/>
  </r>
  <r>
    <x v="89"/>
    <s v="ALVEAR GONZALEZ RODOLFO ALBERTO"/>
    <s v="06.04.2011"/>
    <e v="#N/A"/>
    <e v="#N/A"/>
    <e v="#N/A"/>
    <x v="1"/>
  </r>
  <r>
    <x v="89"/>
    <s v="ALVEAR GONZALEZ RODOLFO ALBERTO"/>
    <s v="07.04.2011"/>
    <e v="#N/A"/>
    <e v="#N/A"/>
    <e v="#N/A"/>
    <x v="1"/>
  </r>
  <r>
    <x v="89"/>
    <s v="ALVEAR GONZALEZ RODOLFO ALBERTO"/>
    <s v="07.04.2011"/>
    <e v="#N/A"/>
    <e v="#N/A"/>
    <e v="#N/A"/>
    <x v="1"/>
  </r>
  <r>
    <x v="89"/>
    <s v="ALVEAR GONZALEZ RODOLFO ALBERTO"/>
    <s v="08.04.2011"/>
    <e v="#N/A"/>
    <e v="#N/A"/>
    <e v="#N/A"/>
    <x v="1"/>
  </r>
  <r>
    <x v="89"/>
    <s v="ALVEAR GONZALEZ RODOLFO ALBERTO"/>
    <s v="08.04.2011"/>
    <e v="#N/A"/>
    <e v="#N/A"/>
    <e v="#N/A"/>
    <x v="1"/>
  </r>
  <r>
    <x v="89"/>
    <s v="ALVEAR GONZALEZ RODOLFO ALBERTO"/>
    <s v="09.04.2011"/>
    <e v="#N/A"/>
    <e v="#N/A"/>
    <e v="#N/A"/>
    <x v="1"/>
  </r>
  <r>
    <x v="90"/>
    <s v="SANTANA PEREZ RICARDO"/>
    <s v="04.04.2011"/>
    <e v="#N/A"/>
    <e v="#N/A"/>
    <e v="#N/A"/>
    <x v="1"/>
  </r>
  <r>
    <x v="90"/>
    <s v="SANTANA PEREZ RICARDO"/>
    <s v="04.04.2011"/>
    <e v="#N/A"/>
    <e v="#N/A"/>
    <e v="#N/A"/>
    <x v="1"/>
  </r>
  <r>
    <x v="90"/>
    <s v="SANTANA PEREZ RICARDO"/>
    <s v="06.04.2011"/>
    <e v="#N/A"/>
    <e v="#N/A"/>
    <e v="#N/A"/>
    <x v="1"/>
  </r>
  <r>
    <x v="90"/>
    <s v="SANTANA PEREZ RICARDO"/>
    <s v="06.04.2011"/>
    <e v="#N/A"/>
    <e v="#N/A"/>
    <e v="#N/A"/>
    <x v="1"/>
  </r>
  <r>
    <x v="90"/>
    <s v="SANTANA PEREZ RICARDO"/>
    <s v="07.04.2011"/>
    <e v="#N/A"/>
    <e v="#N/A"/>
    <e v="#N/A"/>
    <x v="1"/>
  </r>
  <r>
    <x v="90"/>
    <s v="SANTANA PEREZ RICARDO"/>
    <s v="07.04.2011"/>
    <e v="#N/A"/>
    <e v="#N/A"/>
    <e v="#N/A"/>
    <x v="1"/>
  </r>
  <r>
    <x v="90"/>
    <s v="SANTANA PEREZ RICARDO"/>
    <s v="08.04.2011"/>
    <e v="#N/A"/>
    <e v="#N/A"/>
    <e v="#N/A"/>
    <x v="1"/>
  </r>
  <r>
    <x v="90"/>
    <s v="SANTANA PEREZ RICARDO"/>
    <s v="08.04.2011"/>
    <e v="#N/A"/>
    <e v="#N/A"/>
    <e v="#N/A"/>
    <x v="1"/>
  </r>
  <r>
    <x v="90"/>
    <s v="SANTANA PEREZ RICARDO"/>
    <s v="09.04.2011"/>
    <e v="#N/A"/>
    <e v="#N/A"/>
    <e v="#N/A"/>
    <x v="1"/>
  </r>
  <r>
    <x v="90"/>
    <s v="SANTANA PEREZ RICARDO"/>
    <s v="09.04.2011"/>
    <e v="#N/A"/>
    <e v="#N/A"/>
    <e v="#N/A"/>
    <x v="1"/>
  </r>
  <r>
    <x v="91"/>
    <s v="VALDENEGRO  GARRIDO, ELVIO"/>
    <s v="04.04.2011"/>
    <e v="#N/A"/>
    <e v="#N/A"/>
    <e v="#N/A"/>
    <x v="1"/>
  </r>
  <r>
    <x v="91"/>
    <s v="VALDENEGRO  GARRIDO, ELVIO"/>
    <s v="05.04.2011"/>
    <e v="#N/A"/>
    <e v="#N/A"/>
    <e v="#N/A"/>
    <x v="1"/>
  </r>
  <r>
    <x v="91"/>
    <s v="VALDENEGRO  GARRIDO, ELVIO"/>
    <s v="05.04.2011"/>
    <e v="#N/A"/>
    <e v="#N/A"/>
    <e v="#N/A"/>
    <x v="1"/>
  </r>
  <r>
    <x v="91"/>
    <s v="VALDENEGRO  GARRIDO, ELVIO"/>
    <s v="06.04.2011"/>
    <e v="#N/A"/>
    <e v="#N/A"/>
    <e v="#N/A"/>
    <x v="1"/>
  </r>
  <r>
    <x v="91"/>
    <s v="VALDENEGRO  GARRIDO, ELVIO"/>
    <s v="06.04.2011"/>
    <e v="#N/A"/>
    <e v="#N/A"/>
    <e v="#N/A"/>
    <x v="1"/>
  </r>
  <r>
    <x v="91"/>
    <s v="VALDENEGRO  GARRIDO, ELVIO"/>
    <s v="07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8.04.2011"/>
    <e v="#N/A"/>
    <e v="#N/A"/>
    <e v="#N/A"/>
    <x v="1"/>
  </r>
  <r>
    <x v="91"/>
    <s v="VALDENEGRO  GARRIDO, ELVIO"/>
    <s v="09.04.2011"/>
    <e v="#N/A"/>
    <e v="#N/A"/>
    <e v="#N/A"/>
    <x v="1"/>
  </r>
  <r>
    <x v="92"/>
    <s v="MADRID PINTO MARCO ANTONIO"/>
    <s v="04.04.2011"/>
    <e v="#N/A"/>
    <e v="#N/A"/>
    <e v="#N/A"/>
    <x v="1"/>
  </r>
  <r>
    <x v="92"/>
    <s v="MADRID PINTO MARCO ANTONIO"/>
    <s v="05.04.2011"/>
    <e v="#N/A"/>
    <e v="#N/A"/>
    <e v="#N/A"/>
    <x v="1"/>
  </r>
  <r>
    <x v="92"/>
    <s v="MADRID PINTO MARCO ANTONIO"/>
    <s v="05.04.2011"/>
    <e v="#N/A"/>
    <e v="#N/A"/>
    <e v="#N/A"/>
    <x v="1"/>
  </r>
  <r>
    <x v="92"/>
    <s v="MADRID PINTO MARCO ANTONIO"/>
    <s v="06.04.2011"/>
    <e v="#N/A"/>
    <e v="#N/A"/>
    <e v="#N/A"/>
    <x v="1"/>
  </r>
  <r>
    <x v="92"/>
    <s v="MADRID PINTO MARCO ANTONIO"/>
    <s v="06.04.2011"/>
    <e v="#N/A"/>
    <e v="#N/A"/>
    <e v="#N/A"/>
    <x v="1"/>
  </r>
  <r>
    <x v="92"/>
    <s v="MADRID PINTO MARCO ANTONIO"/>
    <s v="07.04.2011"/>
    <e v="#N/A"/>
    <e v="#N/A"/>
    <e v="#N/A"/>
    <x v="1"/>
  </r>
  <r>
    <x v="92"/>
    <s v="MADRID PINTO MARCO ANTONIO"/>
    <s v="07.04.2011"/>
    <e v="#N/A"/>
    <e v="#N/A"/>
    <e v="#N/A"/>
    <x v="1"/>
  </r>
  <r>
    <x v="92"/>
    <s v="MADRID PINTO MARCO ANTONIO"/>
    <s v="08.04.2011"/>
    <e v="#N/A"/>
    <e v="#N/A"/>
    <e v="#N/A"/>
    <x v="1"/>
  </r>
  <r>
    <x v="92"/>
    <s v="MADRID PINTO MARCO ANTONIO"/>
    <s v="08.04.2011"/>
    <e v="#N/A"/>
    <e v="#N/A"/>
    <e v="#N/A"/>
    <x v="1"/>
  </r>
  <r>
    <x v="92"/>
    <s v="MADRID PINTO MARCO ANTONIO"/>
    <s v="09.04.2011"/>
    <e v="#N/A"/>
    <e v="#N/A"/>
    <e v="#N/A"/>
    <x v="1"/>
  </r>
  <r>
    <x v="93"/>
    <s v="DIAZ  HENRIQUEZ,CRISTIAN"/>
    <s v="04.04.2011"/>
    <e v="#N/A"/>
    <e v="#N/A"/>
    <e v="#N/A"/>
    <x v="1"/>
  </r>
  <r>
    <x v="93"/>
    <s v="DIAZ  HENRIQUEZ,CRISTIAN"/>
    <s v="04.04.2011"/>
    <e v="#N/A"/>
    <e v="#N/A"/>
    <e v="#N/A"/>
    <x v="1"/>
  </r>
  <r>
    <x v="93"/>
    <s v="DIAZ  HENRIQUEZ,CRISTIAN"/>
    <s v="05.04.2011"/>
    <e v="#N/A"/>
    <e v="#N/A"/>
    <e v="#N/A"/>
    <x v="1"/>
  </r>
  <r>
    <x v="93"/>
    <s v="DIAZ  HENRIQUEZ,CRISTIAN"/>
    <s v="05.04.2011"/>
    <e v="#N/A"/>
    <e v="#N/A"/>
    <e v="#N/A"/>
    <x v="1"/>
  </r>
  <r>
    <x v="93"/>
    <s v="DIAZ  HENRIQUEZ,CRISTIAN"/>
    <s v="06.04.2011"/>
    <e v="#N/A"/>
    <e v="#N/A"/>
    <e v="#N/A"/>
    <x v="1"/>
  </r>
  <r>
    <x v="93"/>
    <s v="DIAZ  HENRIQUEZ,CRISTIAN"/>
    <s v="06.04.2011"/>
    <e v="#N/A"/>
    <e v="#N/A"/>
    <e v="#N/A"/>
    <x v="1"/>
  </r>
  <r>
    <x v="93"/>
    <s v="DIAZ  HENRIQUEZ,CRISTIAN"/>
    <s v="07.04.2011"/>
    <e v="#N/A"/>
    <e v="#N/A"/>
    <e v="#N/A"/>
    <x v="1"/>
  </r>
  <r>
    <x v="93"/>
    <s v="DIAZ  HENRIQUEZ,CRISTIAN"/>
    <s v="07.04.2011"/>
    <e v="#N/A"/>
    <e v="#N/A"/>
    <e v="#N/A"/>
    <x v="1"/>
  </r>
  <r>
    <x v="93"/>
    <s v="DIAZ  HENRIQUEZ,CRISTIAN"/>
    <s v="08.04.2011"/>
    <e v="#N/A"/>
    <e v="#N/A"/>
    <e v="#N/A"/>
    <x v="1"/>
  </r>
  <r>
    <x v="93"/>
    <s v="DIAZ  HENRIQUEZ,CRISTIAN"/>
    <s v="08.04.2011"/>
    <e v="#N/A"/>
    <e v="#N/A"/>
    <e v="#N/A"/>
    <x v="1"/>
  </r>
  <r>
    <x v="93"/>
    <s v="DIAZ  HENRIQUEZ,CRISTIAN"/>
    <s v="09.04.2011"/>
    <e v="#N/A"/>
    <e v="#N/A"/>
    <e v="#N/A"/>
    <x v="1"/>
  </r>
  <r>
    <x v="93"/>
    <s v="DIAZ  HENRIQUEZ,CRISTIAN"/>
    <s v="09.04.2011"/>
    <e v="#N/A"/>
    <e v="#N/A"/>
    <e v="#N/A"/>
    <x v="1"/>
  </r>
  <r>
    <x v="94"/>
    <s v="PALMA  MIRANDA,LUIS RAFAEL"/>
    <s v="04.04.2011"/>
    <e v="#N/A"/>
    <e v="#N/A"/>
    <e v="#N/A"/>
    <x v="1"/>
  </r>
  <r>
    <x v="94"/>
    <s v="PALMA  MIRANDA,LUIS RAFAEL"/>
    <s v="04.04.2011"/>
    <e v="#N/A"/>
    <e v="#N/A"/>
    <e v="#N/A"/>
    <x v="1"/>
  </r>
  <r>
    <x v="94"/>
    <s v="PALMA  MIRANDA,LUIS RAFAEL"/>
    <s v="05.04.2011"/>
    <e v="#N/A"/>
    <e v="#N/A"/>
    <e v="#N/A"/>
    <x v="1"/>
  </r>
  <r>
    <x v="94"/>
    <s v="PALMA  MIRANDA,LUIS RAFAEL"/>
    <s v="05.04.2011"/>
    <e v="#N/A"/>
    <e v="#N/A"/>
    <e v="#N/A"/>
    <x v="1"/>
  </r>
  <r>
    <x v="94"/>
    <s v="PALMA  MIRANDA,LUIS RAFAEL"/>
    <s v="06.04.2011"/>
    <e v="#N/A"/>
    <e v="#N/A"/>
    <e v="#N/A"/>
    <x v="1"/>
  </r>
  <r>
    <x v="94"/>
    <s v="PALMA  MIRANDA,LUIS RAFAEL"/>
    <s v="06.04.2011"/>
    <e v="#N/A"/>
    <e v="#N/A"/>
    <e v="#N/A"/>
    <x v="1"/>
  </r>
  <r>
    <x v="94"/>
    <s v="PALMA  MIRANDA,LUIS RAFAEL"/>
    <s v="07.04.2011"/>
    <e v="#N/A"/>
    <e v="#N/A"/>
    <e v="#N/A"/>
    <x v="1"/>
  </r>
  <r>
    <x v="94"/>
    <s v="PALMA  MIRANDA,LUIS RAFAEL"/>
    <s v="07.04.2011"/>
    <e v="#N/A"/>
    <e v="#N/A"/>
    <e v="#N/A"/>
    <x v="1"/>
  </r>
  <r>
    <x v="94"/>
    <s v="PALMA  MIRANDA,LUIS RAFAEL"/>
    <s v="08.04.2011"/>
    <e v="#N/A"/>
    <e v="#N/A"/>
    <e v="#N/A"/>
    <x v="1"/>
  </r>
  <r>
    <x v="94"/>
    <s v="PALMA  MIRANDA,LUIS RAFAEL"/>
    <s v="08.04.2011"/>
    <e v="#N/A"/>
    <e v="#N/A"/>
    <e v="#N/A"/>
    <x v="1"/>
  </r>
  <r>
    <x v="94"/>
    <s v="PALMA  MIRANDA,LUIS RAFAEL"/>
    <s v="09.04.2011"/>
    <e v="#N/A"/>
    <e v="#N/A"/>
    <e v="#N/A"/>
    <x v="1"/>
  </r>
  <r>
    <x v="94"/>
    <s v="PALMA  MIRANDA,LUIS RAFAEL"/>
    <s v="09.04.2011"/>
    <e v="#N/A"/>
    <e v="#N/A"/>
    <e v="#N/A"/>
    <x v="1"/>
  </r>
  <r>
    <x v="95"/>
    <s v="RIVEROS  RIFFO, HERNANDO"/>
    <s v="00.00.0000"/>
    <e v="#N/A"/>
    <e v="#N/A"/>
    <e v="#N/A"/>
    <x v="1"/>
  </r>
  <r>
    <x v="96"/>
    <s v="LEIVA MUÑOZ JUAN ENRIQUE"/>
    <s v="04.04.2011"/>
    <e v="#N/A"/>
    <e v="#N/A"/>
    <e v="#N/A"/>
    <x v="1"/>
  </r>
  <r>
    <x v="96"/>
    <s v="LEIVA MUÑOZ JUAN ENRIQUE"/>
    <s v="04.04.2011"/>
    <e v="#N/A"/>
    <e v="#N/A"/>
    <e v="#N/A"/>
    <x v="1"/>
  </r>
  <r>
    <x v="96"/>
    <s v="LEIVA MUÑOZ JUAN ENRIQUE"/>
    <s v="05.04.2011"/>
    <e v="#N/A"/>
    <e v="#N/A"/>
    <e v="#N/A"/>
    <x v="1"/>
  </r>
  <r>
    <x v="96"/>
    <s v="LEIVA MUÑOZ JUAN ENRIQUE"/>
    <s v="05.04.2011"/>
    <e v="#N/A"/>
    <e v="#N/A"/>
    <e v="#N/A"/>
    <x v="1"/>
  </r>
  <r>
    <x v="96"/>
    <s v="LEIVA MUÑOZ JUAN ENRIQUE"/>
    <s v="06.04.2011"/>
    <e v="#N/A"/>
    <e v="#N/A"/>
    <e v="#N/A"/>
    <x v="1"/>
  </r>
  <r>
    <x v="96"/>
    <s v="LEIVA MUÑOZ JUAN ENRIQUE"/>
    <s v="06.04.2011"/>
    <e v="#N/A"/>
    <e v="#N/A"/>
    <e v="#N/A"/>
    <x v="1"/>
  </r>
  <r>
    <x v="96"/>
    <s v="LEIVA MUÑOZ JUAN ENRIQUE"/>
    <s v="07.04.2011"/>
    <e v="#N/A"/>
    <e v="#N/A"/>
    <e v="#N/A"/>
    <x v="1"/>
  </r>
  <r>
    <x v="96"/>
    <s v="LEIVA MUÑOZ JUAN ENRIQUE"/>
    <s v="07.04.2011"/>
    <e v="#N/A"/>
    <e v="#N/A"/>
    <e v="#N/A"/>
    <x v="1"/>
  </r>
  <r>
    <x v="96"/>
    <s v="LEIVA MUÑOZ JUAN ENRIQUE"/>
    <s v="08.04.2011"/>
    <e v="#N/A"/>
    <e v="#N/A"/>
    <e v="#N/A"/>
    <x v="1"/>
  </r>
  <r>
    <x v="96"/>
    <s v="LEIVA MUÑOZ JUAN ENRIQUE"/>
    <s v="08.04.2011"/>
    <e v="#N/A"/>
    <e v="#N/A"/>
    <e v="#N/A"/>
    <x v="1"/>
  </r>
  <r>
    <x v="96"/>
    <s v="LEIVA MUÑOZ JUAN ENRIQUE"/>
    <s v="09.04.2011"/>
    <e v="#N/A"/>
    <e v="#N/A"/>
    <e v="#N/A"/>
    <x v="1"/>
  </r>
  <r>
    <x v="96"/>
    <s v="LEIVA MUÑOZ JUAN ENRIQUE"/>
    <s v="09.04.2011"/>
    <e v="#N/A"/>
    <e v="#N/A"/>
    <e v="#N/A"/>
    <x v="1"/>
  </r>
  <r>
    <x v="97"/>
    <s v="VALLE GONZALEZ MAURICIO"/>
    <s v="04.04.2011"/>
    <e v="#N/A"/>
    <e v="#N/A"/>
    <e v="#N/A"/>
    <x v="1"/>
  </r>
  <r>
    <x v="97"/>
    <s v="VALLE GONZALEZ MAURICIO"/>
    <s v="04.04.2011"/>
    <e v="#N/A"/>
    <e v="#N/A"/>
    <e v="#N/A"/>
    <x v="1"/>
  </r>
  <r>
    <x v="97"/>
    <s v="VALLE GONZALEZ MAURICIO"/>
    <s v="05.04.2011"/>
    <e v="#N/A"/>
    <e v="#N/A"/>
    <e v="#N/A"/>
    <x v="1"/>
  </r>
  <r>
    <x v="97"/>
    <s v="VALLE GONZALEZ MAURICIO"/>
    <s v="05.04.2011"/>
    <e v="#N/A"/>
    <e v="#N/A"/>
    <e v="#N/A"/>
    <x v="1"/>
  </r>
  <r>
    <x v="97"/>
    <s v="VALLE GONZALEZ MAURICIO"/>
    <s v="06.04.2011"/>
    <e v="#N/A"/>
    <e v="#N/A"/>
    <e v="#N/A"/>
    <x v="1"/>
  </r>
  <r>
    <x v="97"/>
    <s v="VALLE GONZALEZ MAURICIO"/>
    <s v="06.04.2011"/>
    <e v="#N/A"/>
    <e v="#N/A"/>
    <e v="#N/A"/>
    <x v="1"/>
  </r>
  <r>
    <x v="97"/>
    <s v="VALLE GONZALEZ MAURICIO"/>
    <s v="07.04.2011"/>
    <e v="#N/A"/>
    <e v="#N/A"/>
    <e v="#N/A"/>
    <x v="1"/>
  </r>
  <r>
    <x v="97"/>
    <s v="VALLE GONZALEZ MAURICIO"/>
    <s v="07.04.2011"/>
    <e v="#N/A"/>
    <e v="#N/A"/>
    <e v="#N/A"/>
    <x v="1"/>
  </r>
  <r>
    <x v="97"/>
    <s v="VALLE GONZALEZ MAURICIO"/>
    <s v="08.04.2011"/>
    <e v="#N/A"/>
    <e v="#N/A"/>
    <e v="#N/A"/>
    <x v="1"/>
  </r>
  <r>
    <x v="97"/>
    <s v="VALLE GONZALEZ MAURICIO"/>
    <s v="08.04.2011"/>
    <e v="#N/A"/>
    <e v="#N/A"/>
    <e v="#N/A"/>
    <x v="1"/>
  </r>
  <r>
    <x v="97"/>
    <s v="VALLE GONZALEZ MAURICIO"/>
    <s v="09.04.2011"/>
    <e v="#N/A"/>
    <e v="#N/A"/>
    <e v="#N/A"/>
    <x v="1"/>
  </r>
  <r>
    <x v="97"/>
    <s v="VALLE GONZALEZ MAURICIO"/>
    <s v="09.04.2011"/>
    <e v="#N/A"/>
    <e v="#N/A"/>
    <e v="#N/A"/>
    <x v="1"/>
  </r>
  <r>
    <x v="98"/>
    <s v="MUÑOZ QUENPUL JOSE ENRIQUE"/>
    <s v="04.04.2011"/>
    <e v="#N/A"/>
    <e v="#N/A"/>
    <e v="#N/A"/>
    <x v="1"/>
  </r>
  <r>
    <x v="98"/>
    <s v="MUÑOZ QUENPUL JOSE ENRIQUE"/>
    <s v="04.04.2011"/>
    <e v="#N/A"/>
    <e v="#N/A"/>
    <e v="#N/A"/>
    <x v="1"/>
  </r>
  <r>
    <x v="98"/>
    <s v="MUÑOZ QUENPUL JOSE ENRIQUE"/>
    <s v="05.04.2011"/>
    <e v="#N/A"/>
    <e v="#N/A"/>
    <e v="#N/A"/>
    <x v="1"/>
  </r>
  <r>
    <x v="98"/>
    <s v="MUÑOZ QUENPUL JOSE ENRIQUE"/>
    <s v="05.04.2011"/>
    <e v="#N/A"/>
    <e v="#N/A"/>
    <e v="#N/A"/>
    <x v="1"/>
  </r>
  <r>
    <x v="98"/>
    <s v="MUÑOZ QUENPUL JOSE ENRIQUE"/>
    <s v="06.04.2011"/>
    <e v="#N/A"/>
    <e v="#N/A"/>
    <e v="#N/A"/>
    <x v="1"/>
  </r>
  <r>
    <x v="98"/>
    <s v="MUÑOZ QUENPUL JOSE ENRIQUE"/>
    <s v="06.04.2011"/>
    <e v="#N/A"/>
    <e v="#N/A"/>
    <e v="#N/A"/>
    <x v="1"/>
  </r>
  <r>
    <x v="98"/>
    <s v="MUÑOZ QUENPUL JOSE ENRIQUE"/>
    <s v="07.04.2011"/>
    <e v="#N/A"/>
    <e v="#N/A"/>
    <e v="#N/A"/>
    <x v="1"/>
  </r>
  <r>
    <x v="98"/>
    <s v="MUÑOZ QUENPUL JOSE ENRIQUE"/>
    <s v="07.04.2011"/>
    <e v="#N/A"/>
    <e v="#N/A"/>
    <e v="#N/A"/>
    <x v="1"/>
  </r>
  <r>
    <x v="98"/>
    <s v="MUÑOZ QUENPUL JOSE ENRIQUE"/>
    <s v="08.04.2011"/>
    <e v="#N/A"/>
    <e v="#N/A"/>
    <e v="#N/A"/>
    <x v="1"/>
  </r>
  <r>
    <x v="98"/>
    <s v="MUÑOZ QUENPUL JOSE ENRIQUE"/>
    <s v="08.04.2011"/>
    <e v="#N/A"/>
    <e v="#N/A"/>
    <e v="#N/A"/>
    <x v="1"/>
  </r>
  <r>
    <x v="98"/>
    <s v="MUÑOZ QUENPUL JOSE ENRIQUE"/>
    <s v="09.04.2011"/>
    <e v="#N/A"/>
    <e v="#N/A"/>
    <e v="#N/A"/>
    <x v="1"/>
  </r>
  <r>
    <x v="98"/>
    <s v="MUÑOZ QUENPUL JOSE ENRIQUE"/>
    <s v="09.04.2011"/>
    <e v="#N/A"/>
    <e v="#N/A"/>
    <e v="#N/A"/>
    <x v="1"/>
  </r>
  <r>
    <x v="99"/>
    <s v="ESPINOZA MORENO JOAQUIN"/>
    <s v="04.04.2011"/>
    <e v="#N/A"/>
    <e v="#N/A"/>
    <e v="#N/A"/>
    <x v="1"/>
  </r>
  <r>
    <x v="99"/>
    <s v="ESPINOZA MORENO JOAQUIN"/>
    <s v="04.04.2011"/>
    <e v="#N/A"/>
    <e v="#N/A"/>
    <e v="#N/A"/>
    <x v="1"/>
  </r>
  <r>
    <x v="99"/>
    <s v="ESPINOZA MORENO JOAQUIN"/>
    <s v="05.04.2011"/>
    <e v="#N/A"/>
    <e v="#N/A"/>
    <e v="#N/A"/>
    <x v="1"/>
  </r>
  <r>
    <x v="99"/>
    <s v="ESPINOZA MORENO JOAQUIN"/>
    <s v="05.04.2011"/>
    <e v="#N/A"/>
    <e v="#N/A"/>
    <e v="#N/A"/>
    <x v="1"/>
  </r>
  <r>
    <x v="99"/>
    <s v="ESPINOZA MORENO JOAQUIN"/>
    <s v="06.04.2011"/>
    <e v="#N/A"/>
    <e v="#N/A"/>
    <e v="#N/A"/>
    <x v="1"/>
  </r>
  <r>
    <x v="99"/>
    <s v="ESPINOZA MORENO JOAQUIN"/>
    <s v="06.04.2011"/>
    <e v="#N/A"/>
    <e v="#N/A"/>
    <e v="#N/A"/>
    <x v="1"/>
  </r>
  <r>
    <x v="99"/>
    <s v="ESPINOZA MORENO JOAQUIN"/>
    <s v="07.04.2011"/>
    <e v="#N/A"/>
    <e v="#N/A"/>
    <e v="#N/A"/>
    <x v="1"/>
  </r>
  <r>
    <x v="99"/>
    <s v="ESPINOZA MORENO JOAQUIN"/>
    <s v="07.04.2011"/>
    <e v="#N/A"/>
    <e v="#N/A"/>
    <e v="#N/A"/>
    <x v="1"/>
  </r>
  <r>
    <x v="99"/>
    <s v="ESPINOZA MORENO JOAQUIN"/>
    <s v="08.04.2011"/>
    <e v="#N/A"/>
    <e v="#N/A"/>
    <e v="#N/A"/>
    <x v="1"/>
  </r>
  <r>
    <x v="99"/>
    <s v="ESPINOZA MORENO JOAQUIN"/>
    <s v="08.04.2011"/>
    <e v="#N/A"/>
    <e v="#N/A"/>
    <e v="#N/A"/>
    <x v="1"/>
  </r>
  <r>
    <x v="100"/>
    <s v="MANQUIAN NORIEGA RUBEN MARCO"/>
    <s v="04.04.2011"/>
    <e v="#N/A"/>
    <e v="#N/A"/>
    <e v="#N/A"/>
    <x v="1"/>
  </r>
  <r>
    <x v="100"/>
    <s v="MANQUIAN NORIEGA RUBEN MARCO"/>
    <s v="04.04.2011"/>
    <e v="#N/A"/>
    <e v="#N/A"/>
    <e v="#N/A"/>
    <x v="1"/>
  </r>
  <r>
    <x v="100"/>
    <s v="MANQUIAN NORIEGA RUBEN MARCO"/>
    <s v="05.04.2011"/>
    <e v="#N/A"/>
    <e v="#N/A"/>
    <e v="#N/A"/>
    <x v="1"/>
  </r>
  <r>
    <x v="100"/>
    <s v="MANQUIAN NORIEGA RUBEN MARCO"/>
    <s v="05.04.2011"/>
    <e v="#N/A"/>
    <e v="#N/A"/>
    <e v="#N/A"/>
    <x v="1"/>
  </r>
  <r>
    <x v="100"/>
    <s v="MANQUIAN NORIEGA RUBEN MARCO"/>
    <s v="06.04.2011"/>
    <e v="#N/A"/>
    <e v="#N/A"/>
    <e v="#N/A"/>
    <x v="1"/>
  </r>
  <r>
    <x v="100"/>
    <s v="MANQUIAN NORIEGA RUBEN MARCO"/>
    <s v="06.04.2011"/>
    <e v="#N/A"/>
    <e v="#N/A"/>
    <e v="#N/A"/>
    <x v="1"/>
  </r>
  <r>
    <x v="100"/>
    <s v="MANQUIAN NORIEGA RUBEN MARCO"/>
    <s v="07.04.2011"/>
    <e v="#N/A"/>
    <e v="#N/A"/>
    <e v="#N/A"/>
    <x v="1"/>
  </r>
  <r>
    <x v="100"/>
    <s v="MANQUIAN NORIEGA RUBEN MARCO"/>
    <s v="07.04.2011"/>
    <e v="#N/A"/>
    <e v="#N/A"/>
    <e v="#N/A"/>
    <x v="1"/>
  </r>
  <r>
    <x v="100"/>
    <s v="MANQUIAN NORIEGA RUBEN MARCO"/>
    <s v="08.04.2011"/>
    <e v="#N/A"/>
    <e v="#N/A"/>
    <e v="#N/A"/>
    <x v="1"/>
  </r>
  <r>
    <x v="100"/>
    <s v="MANQUIAN NORIEGA RUBEN MARCO"/>
    <s v="08.04.2011"/>
    <e v="#N/A"/>
    <e v="#N/A"/>
    <e v="#N/A"/>
    <x v="1"/>
  </r>
  <r>
    <x v="100"/>
    <s v="MANQUIAN NORIEGA RUBEN MARCO"/>
    <s v="09.04.2011"/>
    <e v="#N/A"/>
    <e v="#N/A"/>
    <e v="#N/A"/>
    <x v="1"/>
  </r>
  <r>
    <x v="100"/>
    <s v="MANQUIAN NORIEGA RUBEN MARCO"/>
    <s v="09.04.2011"/>
    <e v="#N/A"/>
    <e v="#N/A"/>
    <e v="#N/A"/>
    <x v="1"/>
  </r>
  <r>
    <x v="101"/>
    <s v="ALVARADO MARTINEZ LUIS ALBERTO"/>
    <s v="04.04.2011"/>
    <e v="#N/A"/>
    <e v="#N/A"/>
    <e v="#N/A"/>
    <x v="1"/>
  </r>
  <r>
    <x v="101"/>
    <s v="ALVARADO MARTINEZ LUIS ALBERTO"/>
    <s v="04.04.2011"/>
    <e v="#N/A"/>
    <e v="#N/A"/>
    <e v="#N/A"/>
    <x v="1"/>
  </r>
  <r>
    <x v="101"/>
    <s v="ALVARADO MARTINEZ LUIS ALBERTO"/>
    <s v="05.04.2011"/>
    <e v="#N/A"/>
    <e v="#N/A"/>
    <e v="#N/A"/>
    <x v="1"/>
  </r>
  <r>
    <x v="101"/>
    <s v="ALVARADO MARTINEZ LUIS ALBERTO"/>
    <s v="05.04.2011"/>
    <e v="#N/A"/>
    <e v="#N/A"/>
    <e v="#N/A"/>
    <x v="1"/>
  </r>
  <r>
    <x v="101"/>
    <s v="ALVARADO MARTINEZ LUIS ALBERTO"/>
    <s v="06.04.2011"/>
    <e v="#N/A"/>
    <e v="#N/A"/>
    <e v="#N/A"/>
    <x v="1"/>
  </r>
  <r>
    <x v="101"/>
    <s v="ALVARADO MARTINEZ LUIS ALBERTO"/>
    <s v="06.04.2011"/>
    <e v="#N/A"/>
    <e v="#N/A"/>
    <e v="#N/A"/>
    <x v="1"/>
  </r>
  <r>
    <x v="101"/>
    <s v="ALVARADO MARTINEZ LUIS ALBERTO"/>
    <s v="07.04.2011"/>
    <e v="#N/A"/>
    <e v="#N/A"/>
    <e v="#N/A"/>
    <x v="1"/>
  </r>
  <r>
    <x v="101"/>
    <s v="ALVARADO MARTINEZ LUIS ALBERTO"/>
    <s v="07.04.2011"/>
    <e v="#N/A"/>
    <e v="#N/A"/>
    <e v="#N/A"/>
    <x v="1"/>
  </r>
  <r>
    <x v="101"/>
    <s v="ALVARADO MARTINEZ LUIS ALBERTO"/>
    <s v="08.04.2011"/>
    <e v="#N/A"/>
    <e v="#N/A"/>
    <e v="#N/A"/>
    <x v="1"/>
  </r>
  <r>
    <x v="101"/>
    <s v="ALVARADO MARTINEZ LUIS ALBERTO"/>
    <s v="08.04.2011"/>
    <e v="#N/A"/>
    <e v="#N/A"/>
    <e v="#N/A"/>
    <x v="1"/>
  </r>
  <r>
    <x v="101"/>
    <s v="ALVARADO MARTINEZ LUIS ALBERTO"/>
    <s v="09.04.2011"/>
    <e v="#N/A"/>
    <e v="#N/A"/>
    <e v="#N/A"/>
    <x v="1"/>
  </r>
  <r>
    <x v="101"/>
    <s v="ALVARADO MARTINEZ LUIS ALBERTO"/>
    <s v="09.04.2011"/>
    <e v="#N/A"/>
    <e v="#N/A"/>
    <e v="#N/A"/>
    <x v="1"/>
  </r>
  <r>
    <x v="102"/>
    <s v="CRUZ ROMERO LUISA ISABEL"/>
    <s v="04.04.2011"/>
    <e v="#N/A"/>
    <e v="#N/A"/>
    <e v="#N/A"/>
    <x v="1"/>
  </r>
  <r>
    <x v="102"/>
    <s v="CRUZ ROMERO LUISA ISABEL"/>
    <s v="04.04.2011"/>
    <e v="#N/A"/>
    <e v="#N/A"/>
    <e v="#N/A"/>
    <x v="1"/>
  </r>
  <r>
    <x v="102"/>
    <s v="CRUZ ROMERO LUISA ISABEL"/>
    <s v="05.04.2011"/>
    <e v="#N/A"/>
    <e v="#N/A"/>
    <e v="#N/A"/>
    <x v="1"/>
  </r>
  <r>
    <x v="102"/>
    <s v="CRUZ ROMERO LUISA ISABEL"/>
    <s v="05.04.2011"/>
    <e v="#N/A"/>
    <e v="#N/A"/>
    <e v="#N/A"/>
    <x v="1"/>
  </r>
  <r>
    <x v="102"/>
    <s v="CRUZ ROMERO LUISA ISABEL"/>
    <s v="06.04.2011"/>
    <e v="#N/A"/>
    <e v="#N/A"/>
    <e v="#N/A"/>
    <x v="1"/>
  </r>
  <r>
    <x v="102"/>
    <s v="CRUZ ROMERO LUISA ISABEL"/>
    <s v="06.04.2011"/>
    <e v="#N/A"/>
    <e v="#N/A"/>
    <e v="#N/A"/>
    <x v="1"/>
  </r>
  <r>
    <x v="102"/>
    <s v="CRUZ ROMERO LUISA ISABEL"/>
    <s v="07.04.2011"/>
    <e v="#N/A"/>
    <e v="#N/A"/>
    <e v="#N/A"/>
    <x v="1"/>
  </r>
  <r>
    <x v="102"/>
    <s v="CRUZ ROMERO LUISA ISABEL"/>
    <s v="07.04.2011"/>
    <e v="#N/A"/>
    <e v="#N/A"/>
    <e v="#N/A"/>
    <x v="1"/>
  </r>
  <r>
    <x v="102"/>
    <s v="CRUZ ROMERO LUISA ISABEL"/>
    <s v="08.04.2011"/>
    <e v="#N/A"/>
    <e v="#N/A"/>
    <e v="#N/A"/>
    <x v="1"/>
  </r>
  <r>
    <x v="102"/>
    <s v="CRUZ ROMERO LUISA ISABEL"/>
    <s v="08.04.2011"/>
    <e v="#N/A"/>
    <e v="#N/A"/>
    <e v="#N/A"/>
    <x v="1"/>
  </r>
  <r>
    <x v="102"/>
    <s v="CRUZ ROMERO LUISA ISABEL"/>
    <s v="09.04.2011"/>
    <e v="#N/A"/>
    <e v="#N/A"/>
    <e v="#N/A"/>
    <x v="1"/>
  </r>
  <r>
    <x v="102"/>
    <s v="CRUZ ROMERO LUISA ISABEL"/>
    <s v="09.04.2011"/>
    <e v="#N/A"/>
    <e v="#N/A"/>
    <e v="#N/A"/>
    <x v="1"/>
  </r>
  <r>
    <x v="103"/>
    <s v="MARDONES ALVARADO LUIS HUMBERTO"/>
    <s v="04.04.2011"/>
    <e v="#N/A"/>
    <e v="#N/A"/>
    <e v="#N/A"/>
    <x v="1"/>
  </r>
  <r>
    <x v="103"/>
    <s v="MARDONES ALVARADO LUIS HUMBERTO"/>
    <s v="04.04.2011"/>
    <e v="#N/A"/>
    <e v="#N/A"/>
    <e v="#N/A"/>
    <x v="1"/>
  </r>
  <r>
    <x v="103"/>
    <s v="MARDONES ALVARADO LUIS HUMBERTO"/>
    <s v="05.04.2011"/>
    <e v="#N/A"/>
    <e v="#N/A"/>
    <e v="#N/A"/>
    <x v="1"/>
  </r>
  <r>
    <x v="103"/>
    <s v="MARDONES ALVARADO LUIS HUMBERTO"/>
    <s v="05.04.2011"/>
    <e v="#N/A"/>
    <e v="#N/A"/>
    <e v="#N/A"/>
    <x v="1"/>
  </r>
  <r>
    <x v="103"/>
    <s v="MARDONES ALVARADO LUIS HUMBERTO"/>
    <s v="06.04.2011"/>
    <e v="#N/A"/>
    <e v="#N/A"/>
    <e v="#N/A"/>
    <x v="1"/>
  </r>
  <r>
    <x v="103"/>
    <s v="MARDONES ALVARADO LUIS HUMBERTO"/>
    <s v="06.04.2011"/>
    <e v="#N/A"/>
    <e v="#N/A"/>
    <e v="#N/A"/>
    <x v="1"/>
  </r>
  <r>
    <x v="103"/>
    <s v="MARDONES ALVARADO LUIS HUMBERTO"/>
    <s v="07.04.2011"/>
    <e v="#N/A"/>
    <e v="#N/A"/>
    <e v="#N/A"/>
    <x v="1"/>
  </r>
  <r>
    <x v="103"/>
    <s v="MARDONES ALVARADO LUIS HUMBERTO"/>
    <s v="07.04.2011"/>
    <e v="#N/A"/>
    <e v="#N/A"/>
    <e v="#N/A"/>
    <x v="1"/>
  </r>
  <r>
    <x v="103"/>
    <s v="MARDONES ALVARADO LUIS HUMBERTO"/>
    <s v="08.04.2011"/>
    <e v="#N/A"/>
    <e v="#N/A"/>
    <e v="#N/A"/>
    <x v="1"/>
  </r>
  <r>
    <x v="103"/>
    <s v="MARDONES ALVARADO LUIS HUMBERTO"/>
    <s v="08.04.2011"/>
    <e v="#N/A"/>
    <e v="#N/A"/>
    <e v="#N/A"/>
    <x v="1"/>
  </r>
  <r>
    <x v="103"/>
    <s v="MARDONES ALVARADO LUIS HUMBERTO"/>
    <s v="09.04.2011"/>
    <e v="#N/A"/>
    <e v="#N/A"/>
    <e v="#N/A"/>
    <x v="1"/>
  </r>
  <r>
    <x v="103"/>
    <s v="MARDONES ALVARADO LUIS HUMBERTO"/>
    <s v="09.04.2011"/>
    <e v="#N/A"/>
    <e v="#N/A"/>
    <e v="#N/A"/>
    <x v="1"/>
  </r>
  <r>
    <x v="104"/>
    <s v="CORTES  ULLOA, CLAUDIO"/>
    <s v="04.04.2011"/>
    <e v="#N/A"/>
    <e v="#N/A"/>
    <e v="#N/A"/>
    <x v="1"/>
  </r>
  <r>
    <x v="104"/>
    <s v="CORTES  ULLOA, CLAUDIO"/>
    <s v="04.04.2011"/>
    <e v="#N/A"/>
    <e v="#N/A"/>
    <e v="#N/A"/>
    <x v="1"/>
  </r>
  <r>
    <x v="104"/>
    <s v="CORTES  ULLOA, CLAUDIO"/>
    <s v="05.04.2011"/>
    <e v="#N/A"/>
    <e v="#N/A"/>
    <e v="#N/A"/>
    <x v="1"/>
  </r>
  <r>
    <x v="104"/>
    <s v="CORTES  ULLOA, CLAUDIO"/>
    <s v="05.04.2011"/>
    <e v="#N/A"/>
    <e v="#N/A"/>
    <e v="#N/A"/>
    <x v="1"/>
  </r>
  <r>
    <x v="104"/>
    <s v="CORTES  ULLOA, CLAUDIO"/>
    <s v="06.04.2011"/>
    <e v="#N/A"/>
    <e v="#N/A"/>
    <e v="#N/A"/>
    <x v="1"/>
  </r>
  <r>
    <x v="104"/>
    <s v="CORTES  ULLOA, CLAUDIO"/>
    <s v="06.04.2011"/>
    <e v="#N/A"/>
    <e v="#N/A"/>
    <e v="#N/A"/>
    <x v="1"/>
  </r>
  <r>
    <x v="104"/>
    <s v="CORTES  ULLOA, CLAUDIO"/>
    <s v="07.04.2011"/>
    <e v="#N/A"/>
    <e v="#N/A"/>
    <e v="#N/A"/>
    <x v="1"/>
  </r>
  <r>
    <x v="104"/>
    <s v="CORTES  ULLOA, CLAUDIO"/>
    <s v="07.04.2011"/>
    <e v="#N/A"/>
    <e v="#N/A"/>
    <e v="#N/A"/>
    <x v="1"/>
  </r>
  <r>
    <x v="104"/>
    <s v="CORTES  ULLOA, CLAUDIO"/>
    <s v="08.04.2011"/>
    <e v="#N/A"/>
    <e v="#N/A"/>
    <e v="#N/A"/>
    <x v="1"/>
  </r>
  <r>
    <x v="104"/>
    <s v="CORTES  ULLOA, CLAUDIO"/>
    <s v="08.04.2011"/>
    <e v="#N/A"/>
    <e v="#N/A"/>
    <e v="#N/A"/>
    <x v="1"/>
  </r>
  <r>
    <x v="104"/>
    <s v="CORTES  ULLOA, CLAUDIO"/>
    <s v="09.04.2011"/>
    <e v="#N/A"/>
    <e v="#N/A"/>
    <e v="#N/A"/>
    <x v="1"/>
  </r>
  <r>
    <x v="104"/>
    <s v="CORTES  ULLOA, CLAUDIO"/>
    <s v="09.04.2011"/>
    <e v="#N/A"/>
    <e v="#N/A"/>
    <e v="#N/A"/>
    <x v="1"/>
  </r>
  <r>
    <x v="105"/>
    <s v="NARVAI DIAZ LUIS"/>
    <s v="04.04.2011"/>
    <e v="#N/A"/>
    <e v="#N/A"/>
    <e v="#N/A"/>
    <x v="1"/>
  </r>
  <r>
    <x v="105"/>
    <s v="NARVAI DIAZ LUIS"/>
    <s v="04.04.2011"/>
    <e v="#N/A"/>
    <e v="#N/A"/>
    <e v="#N/A"/>
    <x v="1"/>
  </r>
  <r>
    <x v="105"/>
    <s v="NARVAI DIAZ LUIS"/>
    <s v="05.04.2011"/>
    <e v="#N/A"/>
    <e v="#N/A"/>
    <e v="#N/A"/>
    <x v="1"/>
  </r>
  <r>
    <x v="105"/>
    <s v="NARVAI DIAZ LUIS"/>
    <s v="05.04.2011"/>
    <e v="#N/A"/>
    <e v="#N/A"/>
    <e v="#N/A"/>
    <x v="1"/>
  </r>
  <r>
    <x v="105"/>
    <s v="NARVAI DIAZ LUIS"/>
    <s v="06.04.2011"/>
    <e v="#N/A"/>
    <e v="#N/A"/>
    <e v="#N/A"/>
    <x v="1"/>
  </r>
  <r>
    <x v="105"/>
    <s v="NARVAI DIAZ LUIS"/>
    <s v="06.04.2011"/>
    <e v="#N/A"/>
    <e v="#N/A"/>
    <e v="#N/A"/>
    <x v="1"/>
  </r>
  <r>
    <x v="105"/>
    <s v="NARVAI DIAZ LUIS"/>
    <s v="07.04.2011"/>
    <e v="#N/A"/>
    <e v="#N/A"/>
    <e v="#N/A"/>
    <x v="1"/>
  </r>
  <r>
    <x v="105"/>
    <s v="NARVAI DIAZ LUIS"/>
    <s v="07.04.2011"/>
    <e v="#N/A"/>
    <e v="#N/A"/>
    <e v="#N/A"/>
    <x v="1"/>
  </r>
  <r>
    <x v="105"/>
    <s v="NARVAI DIAZ LUIS"/>
    <s v="08.04.2011"/>
    <e v="#N/A"/>
    <e v="#N/A"/>
    <e v="#N/A"/>
    <x v="1"/>
  </r>
  <r>
    <x v="105"/>
    <s v="NARVAI DIAZ LUIS"/>
    <s v="08.04.2011"/>
    <e v="#N/A"/>
    <e v="#N/A"/>
    <e v="#N/A"/>
    <x v="1"/>
  </r>
  <r>
    <x v="106"/>
    <s v="IBAÑEZ GRANIFO PAOLO CESAR"/>
    <s v="04.04.2011"/>
    <e v="#N/A"/>
    <e v="#N/A"/>
    <e v="#N/A"/>
    <x v="1"/>
  </r>
  <r>
    <x v="106"/>
    <s v="IBAÑEZ GRANIFO PAOLO CESAR"/>
    <s v="04.04.2011"/>
    <e v="#N/A"/>
    <e v="#N/A"/>
    <e v="#N/A"/>
    <x v="1"/>
  </r>
  <r>
    <x v="106"/>
    <s v="IBAÑEZ GRANIFO PAOLO CESAR"/>
    <s v="05.04.2011"/>
    <e v="#N/A"/>
    <e v="#N/A"/>
    <e v="#N/A"/>
    <x v="1"/>
  </r>
  <r>
    <x v="106"/>
    <s v="IBAÑEZ GRANIFO PAOLO CESAR"/>
    <s v="05.04.2011"/>
    <e v="#N/A"/>
    <e v="#N/A"/>
    <e v="#N/A"/>
    <x v="1"/>
  </r>
  <r>
    <x v="106"/>
    <s v="IBAÑEZ GRANIFO PAOLO CESAR"/>
    <s v="06.04.2011"/>
    <e v="#N/A"/>
    <e v="#N/A"/>
    <e v="#N/A"/>
    <x v="1"/>
  </r>
  <r>
    <x v="106"/>
    <s v="IBAÑEZ GRANIFO PAOLO CESAR"/>
    <s v="06.04.2011"/>
    <e v="#N/A"/>
    <e v="#N/A"/>
    <e v="#N/A"/>
    <x v="1"/>
  </r>
  <r>
    <x v="106"/>
    <s v="IBAÑEZ GRANIFO PAOLO CESAR"/>
    <s v="07.04.2011"/>
    <e v="#N/A"/>
    <e v="#N/A"/>
    <e v="#N/A"/>
    <x v="1"/>
  </r>
  <r>
    <x v="106"/>
    <s v="IBAÑEZ GRANIFO PAOLO CESAR"/>
    <s v="07.04.2011"/>
    <e v="#N/A"/>
    <e v="#N/A"/>
    <e v="#N/A"/>
    <x v="1"/>
  </r>
  <r>
    <x v="106"/>
    <s v="IBAÑEZ GRANIFO PAOLO CESAR"/>
    <s v="08.04.2011"/>
    <e v="#N/A"/>
    <e v="#N/A"/>
    <e v="#N/A"/>
    <x v="1"/>
  </r>
  <r>
    <x v="106"/>
    <s v="IBAÑEZ GRANIFO PAOLO CESAR"/>
    <s v="08.04.2011"/>
    <e v="#N/A"/>
    <e v="#N/A"/>
    <e v="#N/A"/>
    <x v="1"/>
  </r>
  <r>
    <x v="106"/>
    <s v="IBAÑEZ GRANIFO PAOLO CESAR"/>
    <s v="09.04.2011"/>
    <e v="#N/A"/>
    <e v="#N/A"/>
    <e v="#N/A"/>
    <x v="1"/>
  </r>
  <r>
    <x v="106"/>
    <s v="IBAÑEZ GRANIFO PAOLO CESAR"/>
    <s v="09.04.2011"/>
    <e v="#N/A"/>
    <e v="#N/A"/>
    <e v="#N/A"/>
    <x v="1"/>
  </r>
  <r>
    <x v="107"/>
    <s v="SALAMANCA VIDAL JUAN RAMON"/>
    <s v="04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5.04.2011"/>
    <e v="#N/A"/>
    <e v="#N/A"/>
    <e v="#N/A"/>
    <x v="1"/>
  </r>
  <r>
    <x v="107"/>
    <s v="SALAMANCA VIDAL JUAN RAMON"/>
    <s v="06.04.2011"/>
    <e v="#N/A"/>
    <e v="#N/A"/>
    <e v="#N/A"/>
    <x v="1"/>
  </r>
  <r>
    <x v="107"/>
    <s v="SALAMANCA VIDAL JUAN RAMON"/>
    <s v="06.04.2011"/>
    <e v="#N/A"/>
    <e v="#N/A"/>
    <e v="#N/A"/>
    <x v="1"/>
  </r>
  <r>
    <x v="107"/>
    <s v="SALAMANCA VIDAL JUAN RAMON"/>
    <s v="07.04.2011"/>
    <e v="#N/A"/>
    <e v="#N/A"/>
    <e v="#N/A"/>
    <x v="1"/>
  </r>
  <r>
    <x v="107"/>
    <s v="SALAMANCA VIDAL JUAN RAMON"/>
    <s v="07.04.2011"/>
    <e v="#N/A"/>
    <e v="#N/A"/>
    <e v="#N/A"/>
    <x v="1"/>
  </r>
  <r>
    <x v="107"/>
    <s v="SALAMANCA VIDAL JUAN RAMON"/>
    <s v="08.04.2011"/>
    <e v="#N/A"/>
    <e v="#N/A"/>
    <e v="#N/A"/>
    <x v="1"/>
  </r>
  <r>
    <x v="107"/>
    <s v="SALAMANCA VIDAL JUAN RAMON"/>
    <s v="08.04.2011"/>
    <e v="#N/A"/>
    <e v="#N/A"/>
    <e v="#N/A"/>
    <x v="1"/>
  </r>
  <r>
    <x v="107"/>
    <s v="SALAMANCA VIDAL JUAN RAMON"/>
    <s v="09.04.2011"/>
    <e v="#N/A"/>
    <e v="#N/A"/>
    <e v="#N/A"/>
    <x v="1"/>
  </r>
  <r>
    <x v="108"/>
    <s v="MUÑOZ MUÑOZ CLAUDIO ARTURO"/>
    <s v="04.04.2011"/>
    <e v="#N/A"/>
    <e v="#N/A"/>
    <e v="#N/A"/>
    <x v="1"/>
  </r>
  <r>
    <x v="108"/>
    <s v="MUÑOZ MUÑOZ CLAUDIO ARTURO"/>
    <s v="04.04.2011"/>
    <e v="#N/A"/>
    <e v="#N/A"/>
    <e v="#N/A"/>
    <x v="1"/>
  </r>
  <r>
    <x v="108"/>
    <s v="MUÑOZ MUÑOZ CLAUDIO ARTURO"/>
    <s v="05.04.2011"/>
    <e v="#N/A"/>
    <e v="#N/A"/>
    <e v="#N/A"/>
    <x v="1"/>
  </r>
  <r>
    <x v="108"/>
    <s v="MUÑOZ MUÑOZ CLAUDIO ARTURO"/>
    <s v="05.04.2011"/>
    <e v="#N/A"/>
    <e v="#N/A"/>
    <e v="#N/A"/>
    <x v="1"/>
  </r>
  <r>
    <x v="108"/>
    <s v="MUÑOZ MUÑOZ CLAUDIO ARTURO"/>
    <s v="06.04.2011"/>
    <e v="#N/A"/>
    <e v="#N/A"/>
    <e v="#N/A"/>
    <x v="1"/>
  </r>
  <r>
    <x v="108"/>
    <s v="MUÑOZ MUÑOZ CLAUDIO ARTURO"/>
    <s v="06.04.2011"/>
    <e v="#N/A"/>
    <e v="#N/A"/>
    <e v="#N/A"/>
    <x v="1"/>
  </r>
  <r>
    <x v="108"/>
    <s v="MUÑOZ MUÑOZ CLAUDIO ARTURO"/>
    <s v="07.04.2011"/>
    <e v="#N/A"/>
    <e v="#N/A"/>
    <e v="#N/A"/>
    <x v="1"/>
  </r>
  <r>
    <x v="108"/>
    <s v="MUÑOZ MUÑOZ CLAUDIO ARTURO"/>
    <s v="07.04.2011"/>
    <e v="#N/A"/>
    <e v="#N/A"/>
    <e v="#N/A"/>
    <x v="1"/>
  </r>
  <r>
    <x v="108"/>
    <s v="MUÑOZ MUÑOZ CLAUDIO ARTURO"/>
    <s v="08.04.2011"/>
    <e v="#N/A"/>
    <e v="#N/A"/>
    <e v="#N/A"/>
    <x v="1"/>
  </r>
  <r>
    <x v="108"/>
    <s v="MUÑOZ MUÑOZ CLAUDIO ARTURO"/>
    <s v="08.04.2011"/>
    <e v="#N/A"/>
    <e v="#N/A"/>
    <e v="#N/A"/>
    <x v="1"/>
  </r>
  <r>
    <x v="108"/>
    <s v="MUÑOZ MUÑOZ CLAUDIO ARTURO"/>
    <s v="09.04.2011"/>
    <e v="#N/A"/>
    <e v="#N/A"/>
    <e v="#N/A"/>
    <x v="1"/>
  </r>
  <r>
    <x v="108"/>
    <s v="MUÑOZ MUÑOZ CLAUDIO ARTURO"/>
    <s v="09.04.2011"/>
    <e v="#N/A"/>
    <e v="#N/A"/>
    <e v="#N/A"/>
    <x v="1"/>
  </r>
  <r>
    <x v="108"/>
    <s v="MUÑOZ MUÑOZ CLAUDIO ARTURO"/>
    <s v="09.04.2011"/>
    <e v="#N/A"/>
    <e v="#N/A"/>
    <e v="#N/A"/>
    <x v="1"/>
  </r>
  <r>
    <x v="109"/>
    <s v="CORTES HERRERA SIXTO PATRICIO"/>
    <s v="04.04.2011"/>
    <e v="#N/A"/>
    <e v="#N/A"/>
    <e v="#N/A"/>
    <x v="1"/>
  </r>
  <r>
    <x v="109"/>
    <s v="CORTES HERRERA SIXTO PATRICIO"/>
    <s v="05.04.2011"/>
    <e v="#N/A"/>
    <e v="#N/A"/>
    <e v="#N/A"/>
    <x v="1"/>
  </r>
  <r>
    <x v="109"/>
    <s v="CORTES HERRERA SIXTO PATRICIO"/>
    <s v="05.04.2011"/>
    <e v="#N/A"/>
    <e v="#N/A"/>
    <e v="#N/A"/>
    <x v="1"/>
  </r>
  <r>
    <x v="109"/>
    <s v="CORTES HERRERA SIXTO PATRICIO"/>
    <s v="06.04.2011"/>
    <e v="#N/A"/>
    <e v="#N/A"/>
    <e v="#N/A"/>
    <x v="1"/>
  </r>
  <r>
    <x v="109"/>
    <s v="CORTES HERRERA SIXTO PATRICIO"/>
    <s v="06.04.2011"/>
    <e v="#N/A"/>
    <e v="#N/A"/>
    <e v="#N/A"/>
    <x v="1"/>
  </r>
  <r>
    <x v="109"/>
    <s v="CORTES HERRERA SIXTO PATRICIO"/>
    <s v="07.04.2011"/>
    <e v="#N/A"/>
    <e v="#N/A"/>
    <e v="#N/A"/>
    <x v="1"/>
  </r>
  <r>
    <x v="109"/>
    <s v="CORTES HERRERA SIXTO PATRICIO"/>
    <s v="07.04.2011"/>
    <e v="#N/A"/>
    <e v="#N/A"/>
    <e v="#N/A"/>
    <x v="1"/>
  </r>
  <r>
    <x v="109"/>
    <s v="CORTES HERRERA SIXTO PATRICIO"/>
    <s v="08.04.2011"/>
    <e v="#N/A"/>
    <e v="#N/A"/>
    <e v="#N/A"/>
    <x v="1"/>
  </r>
  <r>
    <x v="109"/>
    <s v="CORTES HERRERA SIXTO PATRICIO"/>
    <s v="08.04.2011"/>
    <e v="#N/A"/>
    <e v="#N/A"/>
    <e v="#N/A"/>
    <x v="1"/>
  </r>
  <r>
    <x v="109"/>
    <s v="CORTES HERRERA SIXTO PATRICIO"/>
    <s v="09.04.2011"/>
    <e v="#N/A"/>
    <e v="#N/A"/>
    <e v="#N/A"/>
    <x v="1"/>
  </r>
  <r>
    <x v="110"/>
    <s v="NARVAI DIAZ ALEXIS ANTONIO"/>
    <s v="04.04.2011"/>
    <e v="#N/A"/>
    <e v="#N/A"/>
    <e v="#N/A"/>
    <x v="1"/>
  </r>
  <r>
    <x v="110"/>
    <s v="NARVAI DIAZ ALEXIS ANTONIO"/>
    <s v="05.04.2011"/>
    <e v="#N/A"/>
    <e v="#N/A"/>
    <e v="#N/A"/>
    <x v="1"/>
  </r>
  <r>
    <x v="110"/>
    <s v="NARVAI DIAZ ALEXIS ANTONIO"/>
    <s v="06.04.2011"/>
    <e v="#N/A"/>
    <e v="#N/A"/>
    <e v="#N/A"/>
    <x v="1"/>
  </r>
  <r>
    <x v="110"/>
    <s v="NARVAI DIAZ ALEXIS ANTONIO"/>
    <s v="07.04.2011"/>
    <e v="#N/A"/>
    <e v="#N/A"/>
    <e v="#N/A"/>
    <x v="1"/>
  </r>
  <r>
    <x v="110"/>
    <s v="NARVAI DIAZ ALEXIS ANTONIO"/>
    <s v="08.04.2011"/>
    <e v="#N/A"/>
    <e v="#N/A"/>
    <e v="#N/A"/>
    <x v="1"/>
  </r>
  <r>
    <x v="111"/>
    <s v="TORRES FARIAS CESAR OMAR"/>
    <s v="04.04.2011"/>
    <e v="#N/A"/>
    <e v="#N/A"/>
    <e v="#N/A"/>
    <x v="1"/>
  </r>
  <r>
    <x v="111"/>
    <s v="TORRES FARIAS CESAR OMAR"/>
    <s v="04.04.2011"/>
    <e v="#N/A"/>
    <e v="#N/A"/>
    <e v="#N/A"/>
    <x v="1"/>
  </r>
  <r>
    <x v="111"/>
    <s v="TORRES FARIAS CESAR OMAR"/>
    <s v="05.04.2011"/>
    <e v="#N/A"/>
    <e v="#N/A"/>
    <e v="#N/A"/>
    <x v="1"/>
  </r>
  <r>
    <x v="111"/>
    <s v="TORRES FARIAS CESAR OMAR"/>
    <s v="05.04.2011"/>
    <e v="#N/A"/>
    <e v="#N/A"/>
    <e v="#N/A"/>
    <x v="1"/>
  </r>
  <r>
    <x v="111"/>
    <s v="TORRES FARIAS CESAR OMAR"/>
    <s v="06.04.2011"/>
    <e v="#N/A"/>
    <e v="#N/A"/>
    <e v="#N/A"/>
    <x v="1"/>
  </r>
  <r>
    <x v="111"/>
    <s v="TORRES FARIAS CESAR OMAR"/>
    <s v="06.04.2011"/>
    <e v="#N/A"/>
    <e v="#N/A"/>
    <e v="#N/A"/>
    <x v="1"/>
  </r>
  <r>
    <x v="111"/>
    <s v="TORRES FARIAS CESAR OMAR"/>
    <s v="07.04.2011"/>
    <e v="#N/A"/>
    <e v="#N/A"/>
    <e v="#N/A"/>
    <x v="1"/>
  </r>
  <r>
    <x v="111"/>
    <s v="TORRES FARIAS CESAR OMAR"/>
    <s v="07.04.2011"/>
    <e v="#N/A"/>
    <e v="#N/A"/>
    <e v="#N/A"/>
    <x v="1"/>
  </r>
  <r>
    <x v="111"/>
    <s v="TORRES FARIAS CESAR OMAR"/>
    <s v="08.04.2011"/>
    <e v="#N/A"/>
    <e v="#N/A"/>
    <e v="#N/A"/>
    <x v="1"/>
  </r>
  <r>
    <x v="111"/>
    <s v="TORRES FARIAS CESAR OMAR"/>
    <s v="08.04.2011"/>
    <e v="#N/A"/>
    <e v="#N/A"/>
    <e v="#N/A"/>
    <x v="1"/>
  </r>
  <r>
    <x v="111"/>
    <s v="TORRES FARIAS CESAR OMAR"/>
    <s v="09.04.2011"/>
    <e v="#N/A"/>
    <e v="#N/A"/>
    <e v="#N/A"/>
    <x v="1"/>
  </r>
  <r>
    <x v="111"/>
    <s v="TORRES FARIAS CESAR OMAR"/>
    <s v="09.04.2011"/>
    <e v="#N/A"/>
    <e v="#N/A"/>
    <e v="#N/A"/>
    <x v="1"/>
  </r>
  <r>
    <x v="112"/>
    <s v="LEMUS VELIZ CARLOS"/>
    <s v="00.00.0000"/>
    <e v="#N/A"/>
    <e v="#N/A"/>
    <e v="#N/A"/>
    <x v="1"/>
  </r>
  <r>
    <x v="113"/>
    <s v="FERNANDEZ MELLA LUIS"/>
    <s v="04.04.2011"/>
    <e v="#N/A"/>
    <e v="#N/A"/>
    <e v="#N/A"/>
    <x v="1"/>
  </r>
  <r>
    <x v="113"/>
    <s v="FERNANDEZ MELLA LUIS"/>
    <s v="04.04.2011"/>
    <e v="#N/A"/>
    <e v="#N/A"/>
    <e v="#N/A"/>
    <x v="1"/>
  </r>
  <r>
    <x v="113"/>
    <s v="FERNANDEZ MELLA LUIS"/>
    <s v="05.04.2011"/>
    <e v="#N/A"/>
    <e v="#N/A"/>
    <e v="#N/A"/>
    <x v="1"/>
  </r>
  <r>
    <x v="113"/>
    <s v="FERNANDEZ MELLA LUIS"/>
    <s v="05.04.2011"/>
    <e v="#N/A"/>
    <e v="#N/A"/>
    <e v="#N/A"/>
    <x v="1"/>
  </r>
  <r>
    <x v="113"/>
    <s v="FERNANDEZ MELLA LUIS"/>
    <s v="06.04.2011"/>
    <e v="#N/A"/>
    <e v="#N/A"/>
    <e v="#N/A"/>
    <x v="1"/>
  </r>
  <r>
    <x v="113"/>
    <s v="FERNANDEZ MELLA LUIS"/>
    <s v="06.04.2011"/>
    <e v="#N/A"/>
    <e v="#N/A"/>
    <e v="#N/A"/>
    <x v="1"/>
  </r>
  <r>
    <x v="113"/>
    <s v="FERNANDEZ MELLA LUIS"/>
    <s v="07.04.2011"/>
    <e v="#N/A"/>
    <e v="#N/A"/>
    <e v="#N/A"/>
    <x v="1"/>
  </r>
  <r>
    <x v="113"/>
    <s v="FERNANDEZ MELLA LUIS"/>
    <s v="07.04.2011"/>
    <e v="#N/A"/>
    <e v="#N/A"/>
    <e v="#N/A"/>
    <x v="1"/>
  </r>
  <r>
    <x v="113"/>
    <s v="FERNANDEZ MELLA LUIS"/>
    <s v="08.04.2011"/>
    <e v="#N/A"/>
    <e v="#N/A"/>
    <e v="#N/A"/>
    <x v="1"/>
  </r>
  <r>
    <x v="113"/>
    <s v="FERNANDEZ MELLA LUIS"/>
    <s v="08.04.2011"/>
    <e v="#N/A"/>
    <e v="#N/A"/>
    <e v="#N/A"/>
    <x v="1"/>
  </r>
  <r>
    <x v="113"/>
    <s v="FERNANDEZ MELLA LUIS"/>
    <s v="09.04.2011"/>
    <e v="#N/A"/>
    <e v="#N/A"/>
    <e v="#N/A"/>
    <x v="1"/>
  </r>
  <r>
    <x v="113"/>
    <s v="FERNANDEZ MELLA LUIS"/>
    <s v="09.04.2011"/>
    <e v="#N/A"/>
    <e v="#N/A"/>
    <e v="#N/A"/>
    <x v="1"/>
  </r>
  <r>
    <x v="114"/>
    <s v="PINEDA PEREZ ROBERTO"/>
    <s v="04.04.2011"/>
    <e v="#N/A"/>
    <e v="#N/A"/>
    <e v="#N/A"/>
    <x v="1"/>
  </r>
  <r>
    <x v="114"/>
    <s v="PINEDA PEREZ ROBERTO"/>
    <s v="04.04.2011"/>
    <e v="#N/A"/>
    <e v="#N/A"/>
    <e v="#N/A"/>
    <x v="1"/>
  </r>
  <r>
    <x v="114"/>
    <s v="PINEDA PEREZ ROBERTO"/>
    <s v="05.04.2011"/>
    <e v="#N/A"/>
    <e v="#N/A"/>
    <e v="#N/A"/>
    <x v="1"/>
  </r>
  <r>
    <x v="114"/>
    <s v="PINEDA PEREZ ROBERTO"/>
    <s v="05.04.2011"/>
    <e v="#N/A"/>
    <e v="#N/A"/>
    <e v="#N/A"/>
    <x v="1"/>
  </r>
  <r>
    <x v="114"/>
    <s v="PINEDA PEREZ ROBERTO"/>
    <s v="06.04.2011"/>
    <e v="#N/A"/>
    <e v="#N/A"/>
    <e v="#N/A"/>
    <x v="1"/>
  </r>
  <r>
    <x v="114"/>
    <s v="PINEDA PEREZ ROBERTO"/>
    <s v="07.04.2011"/>
    <e v="#N/A"/>
    <e v="#N/A"/>
    <e v="#N/A"/>
    <x v="1"/>
  </r>
  <r>
    <x v="114"/>
    <s v="PINEDA PEREZ ROBERTO"/>
    <s v="08.04.2011"/>
    <e v="#N/A"/>
    <e v="#N/A"/>
    <e v="#N/A"/>
    <x v="1"/>
  </r>
  <r>
    <x v="114"/>
    <s v="PINEDA PEREZ ROBERTO"/>
    <s v="08.04.2011"/>
    <e v="#N/A"/>
    <e v="#N/A"/>
    <e v="#N/A"/>
    <x v="1"/>
  </r>
  <r>
    <x v="115"/>
    <s v="NOVA FIGUEROA MAURICIO "/>
    <s v="04.04.2011"/>
    <e v="#N/A"/>
    <e v="#N/A"/>
    <e v="#N/A"/>
    <x v="1"/>
  </r>
  <r>
    <x v="115"/>
    <s v="NOVA FIGUEROA MAURICIO "/>
    <s v="04.04.2011"/>
    <e v="#N/A"/>
    <e v="#N/A"/>
    <e v="#N/A"/>
    <x v="1"/>
  </r>
  <r>
    <x v="115"/>
    <s v="NOVA FIGUEROA MAURICIO "/>
    <s v="05.04.2011"/>
    <e v="#N/A"/>
    <e v="#N/A"/>
    <e v="#N/A"/>
    <x v="1"/>
  </r>
  <r>
    <x v="115"/>
    <s v="NOVA FIGUEROA MAURICIO "/>
    <s v="05.04.2011"/>
    <e v="#N/A"/>
    <e v="#N/A"/>
    <e v="#N/A"/>
    <x v="1"/>
  </r>
  <r>
    <x v="115"/>
    <s v="NOVA FIGUEROA MAURICIO "/>
    <s v="07.04.2011"/>
    <e v="#N/A"/>
    <e v="#N/A"/>
    <e v="#N/A"/>
    <x v="1"/>
  </r>
  <r>
    <x v="115"/>
    <s v="NOVA FIGUEROA MAURICIO "/>
    <s v="07.04.2011"/>
    <e v="#N/A"/>
    <e v="#N/A"/>
    <e v="#N/A"/>
    <x v="1"/>
  </r>
  <r>
    <x v="115"/>
    <s v="NOVA FIGUEROA MAURICIO "/>
    <s v="08.04.2011"/>
    <e v="#N/A"/>
    <e v="#N/A"/>
    <e v="#N/A"/>
    <x v="1"/>
  </r>
  <r>
    <x v="115"/>
    <s v="NOVA FIGUEROA MAURICIO "/>
    <s v="08.04.2011"/>
    <e v="#N/A"/>
    <e v="#N/A"/>
    <e v="#N/A"/>
    <x v="1"/>
  </r>
  <r>
    <x v="116"/>
    <s v="CONTRERAS CORTES ANGEL GUILLERMO"/>
    <s v="04.04.2011"/>
    <e v="#N/A"/>
    <e v="#N/A"/>
    <e v="#N/A"/>
    <x v="1"/>
  </r>
  <r>
    <x v="116"/>
    <s v="CONTRERAS CORTES ANGEL GUILLERMO"/>
    <s v="04.04.2011"/>
    <e v="#N/A"/>
    <e v="#N/A"/>
    <e v="#N/A"/>
    <x v="1"/>
  </r>
  <r>
    <x v="116"/>
    <s v="CONTRERAS CORTES ANGEL GUILLERMO"/>
    <s v="05.04.2011"/>
    <e v="#N/A"/>
    <e v="#N/A"/>
    <e v="#N/A"/>
    <x v="1"/>
  </r>
  <r>
    <x v="116"/>
    <s v="CONTRERAS CORTES ANGEL GUILLERMO"/>
    <s v="05.04.2011"/>
    <e v="#N/A"/>
    <e v="#N/A"/>
    <e v="#N/A"/>
    <x v="1"/>
  </r>
  <r>
    <x v="116"/>
    <s v="CONTRERAS CORTES ANGEL GUILLERMO"/>
    <s v="06.04.2011"/>
    <e v="#N/A"/>
    <e v="#N/A"/>
    <e v="#N/A"/>
    <x v="1"/>
  </r>
  <r>
    <x v="116"/>
    <s v="CONTRERAS CORTES ANGEL GUILLERMO"/>
    <s v="06.04.2011"/>
    <e v="#N/A"/>
    <e v="#N/A"/>
    <e v="#N/A"/>
    <x v="1"/>
  </r>
  <r>
    <x v="116"/>
    <s v="CONTRERAS CORTES ANGEL GUILLERMO"/>
    <s v="07.04.2011"/>
    <e v="#N/A"/>
    <e v="#N/A"/>
    <e v="#N/A"/>
    <x v="1"/>
  </r>
  <r>
    <x v="116"/>
    <s v="CONTRERAS CORTES ANGEL GUILLERMO"/>
    <s v="07.04.2011"/>
    <e v="#N/A"/>
    <e v="#N/A"/>
    <e v="#N/A"/>
    <x v="1"/>
  </r>
  <r>
    <x v="116"/>
    <s v="CONTRERAS CORTES ANGEL GUILLERMO"/>
    <s v="08.04.2011"/>
    <e v="#N/A"/>
    <e v="#N/A"/>
    <e v="#N/A"/>
    <x v="1"/>
  </r>
  <r>
    <x v="116"/>
    <s v="CONTRERAS CORTES ANGEL GUILLERMO"/>
    <s v="08.04.2011"/>
    <e v="#N/A"/>
    <e v="#N/A"/>
    <e v="#N/A"/>
    <x v="1"/>
  </r>
  <r>
    <x v="116"/>
    <s v="CONTRERAS CORTES ANGEL GUILLERMO"/>
    <s v="09.04.2011"/>
    <e v="#N/A"/>
    <e v="#N/A"/>
    <e v="#N/A"/>
    <x v="1"/>
  </r>
  <r>
    <x v="116"/>
    <s v="CONTRERAS CORTES ANGEL GUILLERMO"/>
    <s v="09.04.2011"/>
    <e v="#N/A"/>
    <e v="#N/A"/>
    <e v="#N/A"/>
    <x v="1"/>
  </r>
  <r>
    <x v="117"/>
    <s v="ARANCIBIA NIETO CRISTIAN"/>
    <s v="04.04.2011"/>
    <e v="#N/A"/>
    <e v="#N/A"/>
    <e v="#N/A"/>
    <x v="1"/>
  </r>
  <r>
    <x v="117"/>
    <s v="ARANCIBIA NIETO CRISTIAN"/>
    <s v="04.04.2011"/>
    <e v="#N/A"/>
    <e v="#N/A"/>
    <e v="#N/A"/>
    <x v="1"/>
  </r>
  <r>
    <x v="117"/>
    <s v="ARANCIBIA NIETO CRISTIAN"/>
    <s v="05.04.2011"/>
    <e v="#N/A"/>
    <e v="#N/A"/>
    <e v="#N/A"/>
    <x v="1"/>
  </r>
  <r>
    <x v="117"/>
    <s v="ARANCIBIA NIETO CRISTIAN"/>
    <s v="05.04.2011"/>
    <e v="#N/A"/>
    <e v="#N/A"/>
    <e v="#N/A"/>
    <x v="1"/>
  </r>
  <r>
    <x v="117"/>
    <s v="ARANCIBIA NIETO CRISTIAN"/>
    <s v="06.04.2011"/>
    <e v="#N/A"/>
    <e v="#N/A"/>
    <e v="#N/A"/>
    <x v="1"/>
  </r>
  <r>
    <x v="117"/>
    <s v="ARANCIBIA NIETO CRISTIAN"/>
    <s v="06.04.2011"/>
    <e v="#N/A"/>
    <e v="#N/A"/>
    <e v="#N/A"/>
    <x v="1"/>
  </r>
  <r>
    <x v="117"/>
    <s v="ARANCIBIA NIETO CRISTIAN"/>
    <s v="07.04.2011"/>
    <e v="#N/A"/>
    <e v="#N/A"/>
    <e v="#N/A"/>
    <x v="1"/>
  </r>
  <r>
    <x v="117"/>
    <s v="ARANCIBIA NIETO CRISTIAN"/>
    <s v="07.04.2011"/>
    <e v="#N/A"/>
    <e v="#N/A"/>
    <e v="#N/A"/>
    <x v="1"/>
  </r>
  <r>
    <x v="117"/>
    <s v="ARANCIBIA NIETO CRISTIAN"/>
    <s v="08.04.2011"/>
    <e v="#N/A"/>
    <e v="#N/A"/>
    <e v="#N/A"/>
    <x v="1"/>
  </r>
  <r>
    <x v="117"/>
    <s v="ARANCIBIA NIETO CRISTIAN"/>
    <s v="08.04.2011"/>
    <e v="#N/A"/>
    <e v="#N/A"/>
    <e v="#N/A"/>
    <x v="1"/>
  </r>
  <r>
    <x v="118"/>
    <s v="ESCOBAR RIVERA ROBERTO FERNANDO"/>
    <s v="04.04.2011"/>
    <e v="#N/A"/>
    <e v="#N/A"/>
    <e v="#N/A"/>
    <x v="1"/>
  </r>
  <r>
    <x v="118"/>
    <s v="ESCOBAR RIVERA ROBERTO FERNANDO"/>
    <s v="04.04.2011"/>
    <e v="#N/A"/>
    <e v="#N/A"/>
    <e v="#N/A"/>
    <x v="1"/>
  </r>
  <r>
    <x v="118"/>
    <s v="ESCOBAR RIVERA ROBERTO FERNANDO"/>
    <s v="05.04.2011"/>
    <e v="#N/A"/>
    <e v="#N/A"/>
    <e v="#N/A"/>
    <x v="1"/>
  </r>
  <r>
    <x v="118"/>
    <s v="ESCOBAR RIVERA ROBERTO FERNANDO"/>
    <s v="05.04.2011"/>
    <e v="#N/A"/>
    <e v="#N/A"/>
    <e v="#N/A"/>
    <x v="1"/>
  </r>
  <r>
    <x v="118"/>
    <s v="ESCOBAR RIVERA ROBERTO FERNANDO"/>
    <s v="06.04.2011"/>
    <e v="#N/A"/>
    <e v="#N/A"/>
    <e v="#N/A"/>
    <x v="1"/>
  </r>
  <r>
    <x v="118"/>
    <s v="ESCOBAR RIVERA ROBERTO FERNANDO"/>
    <s v="06.04.2011"/>
    <e v="#N/A"/>
    <e v="#N/A"/>
    <e v="#N/A"/>
    <x v="1"/>
  </r>
  <r>
    <x v="118"/>
    <s v="ESCOBAR RIVERA ROBERTO FERNANDO"/>
    <s v="07.04.2011"/>
    <e v="#N/A"/>
    <e v="#N/A"/>
    <e v="#N/A"/>
    <x v="1"/>
  </r>
  <r>
    <x v="118"/>
    <s v="ESCOBAR RIVERA ROBERTO FERNANDO"/>
    <s v="07.04.2011"/>
    <e v="#N/A"/>
    <e v="#N/A"/>
    <e v="#N/A"/>
    <x v="1"/>
  </r>
  <r>
    <x v="118"/>
    <s v="ESCOBAR RIVERA ROBERTO FERNANDO"/>
    <s v="08.04.2011"/>
    <e v="#N/A"/>
    <e v="#N/A"/>
    <e v="#N/A"/>
    <x v="1"/>
  </r>
  <r>
    <x v="118"/>
    <s v="ESCOBAR RIVERA ROBERTO FERNANDO"/>
    <s v="08.04.2011"/>
    <e v="#N/A"/>
    <e v="#N/A"/>
    <e v="#N/A"/>
    <x v="1"/>
  </r>
  <r>
    <x v="118"/>
    <s v="ESCOBAR RIVERA ROBERTO FERNANDO"/>
    <s v="09.04.2011"/>
    <e v="#N/A"/>
    <e v="#N/A"/>
    <e v="#N/A"/>
    <x v="1"/>
  </r>
  <r>
    <x v="118"/>
    <s v="ESCOBAR RIVERA ROBERTO FERNANDO"/>
    <s v="09.04.2011"/>
    <e v="#N/A"/>
    <e v="#N/A"/>
    <e v="#N/A"/>
    <x v="1"/>
  </r>
  <r>
    <x v="119"/>
    <s v="TAPIA  CANTILLANA,CARLOS"/>
    <s v="04.04.2011"/>
    <e v="#N/A"/>
    <e v="#N/A"/>
    <e v="#N/A"/>
    <x v="1"/>
  </r>
  <r>
    <x v="119"/>
    <s v="TAPIA  CANTILLANA,CARLOS"/>
    <s v="04.04.2011"/>
    <e v="#N/A"/>
    <e v="#N/A"/>
    <e v="#N/A"/>
    <x v="1"/>
  </r>
  <r>
    <x v="119"/>
    <s v="TAPIA  CANTILLANA,CARLOS"/>
    <s v="05.04.2011"/>
    <e v="#N/A"/>
    <e v="#N/A"/>
    <e v="#N/A"/>
    <x v="1"/>
  </r>
  <r>
    <x v="119"/>
    <s v="TAPIA  CANTILLANA,CARLOS"/>
    <s v="05.04.2011"/>
    <e v="#N/A"/>
    <e v="#N/A"/>
    <e v="#N/A"/>
    <x v="1"/>
  </r>
  <r>
    <x v="119"/>
    <s v="TAPIA  CANTILLANA,CARLOS"/>
    <s v="06.04.2011"/>
    <e v="#N/A"/>
    <e v="#N/A"/>
    <e v="#N/A"/>
    <x v="1"/>
  </r>
  <r>
    <x v="119"/>
    <s v="TAPIA  CANTILLANA,CARLOS"/>
    <s v="06.04.2011"/>
    <e v="#N/A"/>
    <e v="#N/A"/>
    <e v="#N/A"/>
    <x v="1"/>
  </r>
  <r>
    <x v="119"/>
    <s v="TAPIA  CANTILLANA,CARLOS"/>
    <s v="07.04.2011"/>
    <e v="#N/A"/>
    <e v="#N/A"/>
    <e v="#N/A"/>
    <x v="1"/>
  </r>
  <r>
    <x v="119"/>
    <s v="TAPIA  CANTILLANA,CARLOS"/>
    <s v="07.04.2011"/>
    <e v="#N/A"/>
    <e v="#N/A"/>
    <e v="#N/A"/>
    <x v="1"/>
  </r>
  <r>
    <x v="120"/>
    <s v="CARRASCO CID ANDRES SIMON"/>
    <s v="04.04.2011"/>
    <e v="#N/A"/>
    <e v="#N/A"/>
    <e v="#N/A"/>
    <x v="1"/>
  </r>
  <r>
    <x v="120"/>
    <s v="CARRASCO CID ANDRES SIMON"/>
    <s v="05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6.04.2011"/>
    <e v="#N/A"/>
    <e v="#N/A"/>
    <e v="#N/A"/>
    <x v="1"/>
  </r>
  <r>
    <x v="120"/>
    <s v="CARRASCO CID ANDRES SIMON"/>
    <s v="07.04.2011"/>
    <e v="#N/A"/>
    <e v="#N/A"/>
    <e v="#N/A"/>
    <x v="1"/>
  </r>
  <r>
    <x v="120"/>
    <s v="CARRASCO CID ANDRES SIMON"/>
    <s v="07.04.2011"/>
    <e v="#N/A"/>
    <e v="#N/A"/>
    <e v="#N/A"/>
    <x v="1"/>
  </r>
  <r>
    <x v="120"/>
    <s v="CARRASCO CID ANDRES SIMON"/>
    <s v="08.04.2011"/>
    <e v="#N/A"/>
    <e v="#N/A"/>
    <e v="#N/A"/>
    <x v="1"/>
  </r>
  <r>
    <x v="120"/>
    <s v="CARRASCO CID ANDRES SIMON"/>
    <s v="08.04.2011"/>
    <e v="#N/A"/>
    <e v="#N/A"/>
    <e v="#N/A"/>
    <x v="1"/>
  </r>
  <r>
    <x v="120"/>
    <s v="CARRASCO CID ANDRES SIMON"/>
    <s v="09.04.2011"/>
    <e v="#N/A"/>
    <e v="#N/A"/>
    <e v="#N/A"/>
    <x v="1"/>
  </r>
  <r>
    <x v="121"/>
    <s v="SANCHEZ TORRES FREDDY"/>
    <s v="04.04.2011"/>
    <e v="#N/A"/>
    <e v="#N/A"/>
    <e v="#N/A"/>
    <x v="1"/>
  </r>
  <r>
    <x v="121"/>
    <s v="SANCHEZ TORRES FREDDY"/>
    <s v="04.04.2011"/>
    <e v="#N/A"/>
    <e v="#N/A"/>
    <e v="#N/A"/>
    <x v="1"/>
  </r>
  <r>
    <x v="121"/>
    <s v="SANCHEZ TORRES FREDDY"/>
    <s v="05.04.2011"/>
    <e v="#N/A"/>
    <e v="#N/A"/>
    <e v="#N/A"/>
    <x v="1"/>
  </r>
  <r>
    <x v="121"/>
    <s v="SANCHEZ TORRES FREDDY"/>
    <s v="05.04.2011"/>
    <e v="#N/A"/>
    <e v="#N/A"/>
    <e v="#N/A"/>
    <x v="1"/>
  </r>
  <r>
    <x v="121"/>
    <s v="SANCHEZ TORRES FREDDY"/>
    <s v="06.04.2011"/>
    <e v="#N/A"/>
    <e v="#N/A"/>
    <e v="#N/A"/>
    <x v="1"/>
  </r>
  <r>
    <x v="121"/>
    <s v="SANCHEZ TORRES FREDDY"/>
    <s v="06.04.2011"/>
    <e v="#N/A"/>
    <e v="#N/A"/>
    <e v="#N/A"/>
    <x v="1"/>
  </r>
  <r>
    <x v="121"/>
    <s v="SANCHEZ TORRES FREDDY"/>
    <s v="07.04.2011"/>
    <e v="#N/A"/>
    <e v="#N/A"/>
    <e v="#N/A"/>
    <x v="1"/>
  </r>
  <r>
    <x v="121"/>
    <s v="SANCHEZ TORRES FREDDY"/>
    <s v="07.04.2011"/>
    <e v="#N/A"/>
    <e v="#N/A"/>
    <e v="#N/A"/>
    <x v="1"/>
  </r>
  <r>
    <x v="121"/>
    <s v="SANCHEZ TORRES FREDDY"/>
    <s v="08.04.2011"/>
    <e v="#N/A"/>
    <e v="#N/A"/>
    <e v="#N/A"/>
    <x v="1"/>
  </r>
  <r>
    <x v="121"/>
    <s v="SANCHEZ TORRES FREDDY"/>
    <s v="08.04.2011"/>
    <e v="#N/A"/>
    <e v="#N/A"/>
    <e v="#N/A"/>
    <x v="1"/>
  </r>
  <r>
    <x v="122"/>
    <s v="ARAYA FUENTES MARCELO ANTONIO"/>
    <s v="04.04.2011"/>
    <e v="#N/A"/>
    <e v="#N/A"/>
    <e v="#N/A"/>
    <x v="1"/>
  </r>
  <r>
    <x v="122"/>
    <s v="ARAYA FUENTES MARCELO ANTONIO"/>
    <s v="04.04.2011"/>
    <e v="#N/A"/>
    <e v="#N/A"/>
    <e v="#N/A"/>
    <x v="1"/>
  </r>
  <r>
    <x v="122"/>
    <s v="ARAYA FUENTES MARCELO ANTONIO"/>
    <s v="05.04.2011"/>
    <e v="#N/A"/>
    <e v="#N/A"/>
    <e v="#N/A"/>
    <x v="1"/>
  </r>
  <r>
    <x v="122"/>
    <s v="ARAYA FUENTES MARCELO ANTONIO"/>
    <s v="05.04.2011"/>
    <e v="#N/A"/>
    <e v="#N/A"/>
    <e v="#N/A"/>
    <x v="1"/>
  </r>
  <r>
    <x v="122"/>
    <s v="ARAYA FUENTES MARCELO ANTONIO"/>
    <s v="06.04.2011"/>
    <e v="#N/A"/>
    <e v="#N/A"/>
    <e v="#N/A"/>
    <x v="1"/>
  </r>
  <r>
    <x v="122"/>
    <s v="ARAYA FUENTES MARCELO ANTONIO"/>
    <s v="06.04.2011"/>
    <e v="#N/A"/>
    <e v="#N/A"/>
    <e v="#N/A"/>
    <x v="1"/>
  </r>
  <r>
    <x v="122"/>
    <s v="ARAYA FUENTES MARCELO ANTONIO"/>
    <s v="07.04.2011"/>
    <e v="#N/A"/>
    <e v="#N/A"/>
    <e v="#N/A"/>
    <x v="1"/>
  </r>
  <r>
    <x v="122"/>
    <s v="ARAYA FUENTES MARCELO ANTONIO"/>
    <s v="07.04.2011"/>
    <e v="#N/A"/>
    <e v="#N/A"/>
    <e v="#N/A"/>
    <x v="1"/>
  </r>
  <r>
    <x v="122"/>
    <s v="ARAYA FUENTES MARCELO ANTONIO"/>
    <s v="08.04.2011"/>
    <e v="#N/A"/>
    <e v="#N/A"/>
    <e v="#N/A"/>
    <x v="1"/>
  </r>
  <r>
    <x v="122"/>
    <s v="ARAYA FUENTES MARCELO ANTONIO"/>
    <s v="08.04.2011"/>
    <e v="#N/A"/>
    <e v="#N/A"/>
    <e v="#N/A"/>
    <x v="1"/>
  </r>
  <r>
    <x v="122"/>
    <s v="ARAYA FUENTES MARCELO ANTONIO"/>
    <s v="09.04.2011"/>
    <e v="#N/A"/>
    <e v="#N/A"/>
    <e v="#N/A"/>
    <x v="1"/>
  </r>
  <r>
    <x v="122"/>
    <s v="ARAYA FUENTES MARCELO ANTONIO"/>
    <s v="09.04.2011"/>
    <e v="#N/A"/>
    <e v="#N/A"/>
    <e v="#N/A"/>
    <x v="1"/>
  </r>
  <r>
    <x v="123"/>
    <s v="SALAZAR FREYHOFER PAULO "/>
    <s v="00.00.0000"/>
    <e v="#N/A"/>
    <e v="#N/A"/>
    <e v="#N/A"/>
    <x v="1"/>
  </r>
  <r>
    <x v="124"/>
    <s v="CARDENAS  ULLOA,MARCO"/>
    <s v="04.04.2011"/>
    <e v="#N/A"/>
    <e v="#N/A"/>
    <e v="#N/A"/>
    <x v="1"/>
  </r>
  <r>
    <x v="124"/>
    <s v="CARDENAS  ULLOA,MARCO"/>
    <s v="04.04.2011"/>
    <e v="#N/A"/>
    <e v="#N/A"/>
    <e v="#N/A"/>
    <x v="1"/>
  </r>
  <r>
    <x v="124"/>
    <s v="CARDENAS  ULLOA,MARCO"/>
    <s v="05.04.2011"/>
    <e v="#N/A"/>
    <e v="#N/A"/>
    <e v="#N/A"/>
    <x v="1"/>
  </r>
  <r>
    <x v="124"/>
    <s v="CARDENAS  ULLOA,MARCO"/>
    <s v="05.04.2011"/>
    <e v="#N/A"/>
    <e v="#N/A"/>
    <e v="#N/A"/>
    <x v="1"/>
  </r>
  <r>
    <x v="124"/>
    <s v="CARDENAS  ULLOA,MARCO"/>
    <s v="06.04.2011"/>
    <e v="#N/A"/>
    <e v="#N/A"/>
    <e v="#N/A"/>
    <x v="1"/>
  </r>
  <r>
    <x v="124"/>
    <s v="CARDENAS  ULLOA,MARCO"/>
    <s v="06.04.2011"/>
    <e v="#N/A"/>
    <e v="#N/A"/>
    <e v="#N/A"/>
    <x v="1"/>
  </r>
  <r>
    <x v="124"/>
    <s v="CARDENAS  ULLOA,MARCO"/>
    <s v="07.04.2011"/>
    <e v="#N/A"/>
    <e v="#N/A"/>
    <e v="#N/A"/>
    <x v="1"/>
  </r>
  <r>
    <x v="124"/>
    <s v="CARDENAS  ULLOA,MARCO"/>
    <s v="07.04.2011"/>
    <e v="#N/A"/>
    <e v="#N/A"/>
    <e v="#N/A"/>
    <x v="1"/>
  </r>
  <r>
    <x v="124"/>
    <s v="CARDENAS  ULLOA,MARCO"/>
    <s v="08.04.2011"/>
    <e v="#N/A"/>
    <e v="#N/A"/>
    <e v="#N/A"/>
    <x v="1"/>
  </r>
  <r>
    <x v="124"/>
    <s v="CARDENAS  ULLOA,MARCO"/>
    <s v="08.04.2011"/>
    <e v="#N/A"/>
    <e v="#N/A"/>
    <e v="#N/A"/>
    <x v="1"/>
  </r>
  <r>
    <x v="124"/>
    <s v="CARDENAS  ULLOA,MARCO"/>
    <s v="09.04.2011"/>
    <e v="#N/A"/>
    <e v="#N/A"/>
    <e v="#N/A"/>
    <x v="1"/>
  </r>
  <r>
    <x v="124"/>
    <s v="CARDENAS  ULLOA,MARCO"/>
    <s v="09.04.2011"/>
    <e v="#N/A"/>
    <e v="#N/A"/>
    <e v="#N/A"/>
    <x v="1"/>
  </r>
  <r>
    <x v="125"/>
    <s v="AEDO MUÑOZ ANDRES RAUL"/>
    <s v="04.04.2011"/>
    <e v="#N/A"/>
    <e v="#N/A"/>
    <e v="#N/A"/>
    <x v="1"/>
  </r>
  <r>
    <x v="125"/>
    <s v="AEDO MUÑOZ ANDRES RAUL"/>
    <s v="04.04.2011"/>
    <e v="#N/A"/>
    <e v="#N/A"/>
    <e v="#N/A"/>
    <x v="1"/>
  </r>
  <r>
    <x v="125"/>
    <s v="AEDO MUÑOZ ANDRES RAUL"/>
    <s v="05.04.2011"/>
    <e v="#N/A"/>
    <e v="#N/A"/>
    <e v="#N/A"/>
    <x v="1"/>
  </r>
  <r>
    <x v="125"/>
    <s v="AEDO MUÑOZ ANDRES RAUL"/>
    <s v="05.04.2011"/>
    <e v="#N/A"/>
    <e v="#N/A"/>
    <e v="#N/A"/>
    <x v="1"/>
  </r>
  <r>
    <x v="125"/>
    <s v="AEDO MUÑOZ ANDRES RAUL"/>
    <s v="06.04.2011"/>
    <e v="#N/A"/>
    <e v="#N/A"/>
    <e v="#N/A"/>
    <x v="1"/>
  </r>
  <r>
    <x v="125"/>
    <s v="AEDO MUÑOZ ANDRES RAUL"/>
    <s v="06.04.2011"/>
    <e v="#N/A"/>
    <e v="#N/A"/>
    <e v="#N/A"/>
    <x v="1"/>
  </r>
  <r>
    <x v="125"/>
    <s v="AEDO MUÑOZ ANDRES RAUL"/>
    <s v="07.04.2011"/>
    <e v="#N/A"/>
    <e v="#N/A"/>
    <e v="#N/A"/>
    <x v="1"/>
  </r>
  <r>
    <x v="125"/>
    <s v="AEDO MUÑOZ ANDRES RAUL"/>
    <s v="07.04.2011"/>
    <e v="#N/A"/>
    <e v="#N/A"/>
    <e v="#N/A"/>
    <x v="1"/>
  </r>
  <r>
    <x v="125"/>
    <s v="AEDO MUÑOZ ANDRES RAUL"/>
    <s v="08.04.2011"/>
    <e v="#N/A"/>
    <e v="#N/A"/>
    <e v="#N/A"/>
    <x v="1"/>
  </r>
  <r>
    <x v="125"/>
    <s v="AEDO MUÑOZ ANDRES RAUL"/>
    <s v="08.04.2011"/>
    <e v="#N/A"/>
    <e v="#N/A"/>
    <e v="#N/A"/>
    <x v="1"/>
  </r>
  <r>
    <x v="125"/>
    <s v="AEDO MUÑOZ ANDRES RAUL"/>
    <s v="09.04.2011"/>
    <e v="#N/A"/>
    <e v="#N/A"/>
    <e v="#N/A"/>
    <x v="1"/>
  </r>
  <r>
    <x v="125"/>
    <s v="AEDO MUÑOZ ANDRES RAUL"/>
    <s v="09.04.2011"/>
    <e v="#N/A"/>
    <e v="#N/A"/>
    <e v="#N/A"/>
    <x v="1"/>
  </r>
  <r>
    <x v="126"/>
    <s v="RIVERA VARGAS VERONICA ANDREA"/>
    <s v="04.04.2011"/>
    <e v="#N/A"/>
    <e v="#N/A"/>
    <e v="#N/A"/>
    <x v="1"/>
  </r>
  <r>
    <x v="126"/>
    <s v="RIVERA VARGAS VERONICA ANDREA"/>
    <s v="04.04.2011"/>
    <e v="#N/A"/>
    <e v="#N/A"/>
    <e v="#N/A"/>
    <x v="1"/>
  </r>
  <r>
    <x v="126"/>
    <s v="RIVERA VARGAS VERONICA ANDREA"/>
    <s v="05.04.2011"/>
    <e v="#N/A"/>
    <e v="#N/A"/>
    <e v="#N/A"/>
    <x v="1"/>
  </r>
  <r>
    <x v="126"/>
    <s v="RIVERA VARGAS VERONICA ANDREA"/>
    <s v="05.04.2011"/>
    <e v="#N/A"/>
    <e v="#N/A"/>
    <e v="#N/A"/>
    <x v="1"/>
  </r>
  <r>
    <x v="126"/>
    <s v="RIVERA VARGAS VERONICA ANDREA"/>
    <s v="06.04.2011"/>
    <e v="#N/A"/>
    <e v="#N/A"/>
    <e v="#N/A"/>
    <x v="1"/>
  </r>
  <r>
    <x v="126"/>
    <s v="RIVERA VARGAS VERONICA ANDREA"/>
    <s v="06.04.2011"/>
    <e v="#N/A"/>
    <e v="#N/A"/>
    <e v="#N/A"/>
    <x v="1"/>
  </r>
  <r>
    <x v="126"/>
    <s v="RIVERA VARGAS VERONICA ANDREA"/>
    <s v="07.04.2011"/>
    <e v="#N/A"/>
    <e v="#N/A"/>
    <e v="#N/A"/>
    <x v="1"/>
  </r>
  <r>
    <x v="126"/>
    <s v="RIVERA VARGAS VERONICA ANDREA"/>
    <s v="07.04.2011"/>
    <e v="#N/A"/>
    <e v="#N/A"/>
    <e v="#N/A"/>
    <x v="1"/>
  </r>
  <r>
    <x v="126"/>
    <s v="RIVERA VARGAS VERONICA ANDREA"/>
    <s v="08.04.2011"/>
    <e v="#N/A"/>
    <e v="#N/A"/>
    <e v="#N/A"/>
    <x v="1"/>
  </r>
  <r>
    <x v="126"/>
    <s v="RIVERA VARGAS VERONICA ANDREA"/>
    <s v="08.04.2011"/>
    <e v="#N/A"/>
    <e v="#N/A"/>
    <e v="#N/A"/>
    <x v="1"/>
  </r>
  <r>
    <x v="126"/>
    <s v="RIVERA VARGAS VERONICA ANDREA"/>
    <s v="09.04.2011"/>
    <e v="#N/A"/>
    <e v="#N/A"/>
    <e v="#N/A"/>
    <x v="1"/>
  </r>
  <r>
    <x v="126"/>
    <s v="RIVERA VARGAS VERONICA ANDREA"/>
    <s v="09.04.2011"/>
    <e v="#N/A"/>
    <e v="#N/A"/>
    <e v="#N/A"/>
    <x v="1"/>
  </r>
  <r>
    <x v="127"/>
    <s v="MORALES OLGUIN RODRIGO"/>
    <s v="04.04.2011"/>
    <e v="#N/A"/>
    <e v="#N/A"/>
    <e v="#N/A"/>
    <x v="1"/>
  </r>
  <r>
    <x v="127"/>
    <s v="MORALES OLGUIN RODRIGO"/>
    <s v="04.04.2011"/>
    <e v="#N/A"/>
    <e v="#N/A"/>
    <e v="#N/A"/>
    <x v="1"/>
  </r>
  <r>
    <x v="127"/>
    <s v="MORALES OLGUIN RODRIGO"/>
    <s v="05.04.2011"/>
    <e v="#N/A"/>
    <e v="#N/A"/>
    <e v="#N/A"/>
    <x v="1"/>
  </r>
  <r>
    <x v="127"/>
    <s v="MORALES OLGUIN RODRIGO"/>
    <s v="05.04.2011"/>
    <e v="#N/A"/>
    <e v="#N/A"/>
    <e v="#N/A"/>
    <x v="1"/>
  </r>
  <r>
    <x v="127"/>
    <s v="MORALES OLGUIN RODRIGO"/>
    <s v="06.04.2011"/>
    <e v="#N/A"/>
    <e v="#N/A"/>
    <e v="#N/A"/>
    <x v="1"/>
  </r>
  <r>
    <x v="127"/>
    <s v="MORALES OLGUIN RODRIGO"/>
    <s v="06.04.2011"/>
    <e v="#N/A"/>
    <e v="#N/A"/>
    <e v="#N/A"/>
    <x v="1"/>
  </r>
  <r>
    <x v="127"/>
    <s v="MORALES OLGUIN RODRIGO"/>
    <s v="07.04.2011"/>
    <e v="#N/A"/>
    <e v="#N/A"/>
    <e v="#N/A"/>
    <x v="1"/>
  </r>
  <r>
    <x v="127"/>
    <s v="MORALES OLGUIN RODRIGO"/>
    <s v="07.04.2011"/>
    <e v="#N/A"/>
    <e v="#N/A"/>
    <e v="#N/A"/>
    <x v="1"/>
  </r>
  <r>
    <x v="127"/>
    <s v="MORALES OLGUIN RODRIGO"/>
    <s v="08.04.2011"/>
    <e v="#N/A"/>
    <e v="#N/A"/>
    <e v="#N/A"/>
    <x v="1"/>
  </r>
  <r>
    <x v="127"/>
    <s v="MORALES OLGUIN RODRIGO"/>
    <s v="08.04.2011"/>
    <e v="#N/A"/>
    <e v="#N/A"/>
    <e v="#N/A"/>
    <x v="1"/>
  </r>
  <r>
    <x v="127"/>
    <s v="MORALES OLGUIN RODRIGO"/>
    <s v="09.04.2011"/>
    <e v="#N/A"/>
    <e v="#N/A"/>
    <e v="#N/A"/>
    <x v="1"/>
  </r>
  <r>
    <x v="127"/>
    <s v="MORALES OLGUIN RODRIGO"/>
    <s v="09.04.2011"/>
    <e v="#N/A"/>
    <e v="#N/A"/>
    <e v="#N/A"/>
    <x v="1"/>
  </r>
  <r>
    <x v="128"/>
    <s v="MARCHANT RAMIREZ CARLOS"/>
    <s v="04.04.2011"/>
    <e v="#N/A"/>
    <e v="#N/A"/>
    <e v="#N/A"/>
    <x v="1"/>
  </r>
  <r>
    <x v="128"/>
    <s v="MARCHANT RAMIREZ CARLOS"/>
    <s v="05.04.2011"/>
    <e v="#N/A"/>
    <e v="#N/A"/>
    <e v="#N/A"/>
    <x v="1"/>
  </r>
  <r>
    <x v="128"/>
    <s v="MARCHANT RAMIREZ CARLOS"/>
    <s v="05.04.2011"/>
    <e v="#N/A"/>
    <e v="#N/A"/>
    <e v="#N/A"/>
    <x v="1"/>
  </r>
  <r>
    <x v="128"/>
    <s v="MARCHANT RAMIREZ CARLOS"/>
    <s v="06.04.2011"/>
    <e v="#N/A"/>
    <e v="#N/A"/>
    <e v="#N/A"/>
    <x v="1"/>
  </r>
  <r>
    <x v="128"/>
    <s v="MARCHANT RAMIREZ CARLOS"/>
    <s v="06.04.2011"/>
    <e v="#N/A"/>
    <e v="#N/A"/>
    <e v="#N/A"/>
    <x v="1"/>
  </r>
  <r>
    <x v="128"/>
    <s v="MARCHANT RAMIREZ CARLOS"/>
    <s v="07.04.2011"/>
    <e v="#N/A"/>
    <e v="#N/A"/>
    <e v="#N/A"/>
    <x v="1"/>
  </r>
  <r>
    <x v="128"/>
    <s v="MARCHANT RAMIREZ CARLOS"/>
    <s v="07.04.2011"/>
    <e v="#N/A"/>
    <e v="#N/A"/>
    <e v="#N/A"/>
    <x v="1"/>
  </r>
  <r>
    <x v="128"/>
    <s v="MARCHANT RAMIREZ CARLOS"/>
    <s v="08.04.2011"/>
    <e v="#N/A"/>
    <e v="#N/A"/>
    <e v="#N/A"/>
    <x v="1"/>
  </r>
  <r>
    <x v="128"/>
    <s v="MARCHANT RAMIREZ CARLOS"/>
    <s v="08.04.2011"/>
    <e v="#N/A"/>
    <e v="#N/A"/>
    <e v="#N/A"/>
    <x v="1"/>
  </r>
  <r>
    <x v="128"/>
    <s v="MARCHANT RAMIREZ CARLOS"/>
    <s v="09.04.2011"/>
    <e v="#N/A"/>
    <e v="#N/A"/>
    <e v="#N/A"/>
    <x v="1"/>
  </r>
  <r>
    <x v="129"/>
    <s v="NARVAI DIAZ ELSON GONZALO"/>
    <s v="04.04.2011"/>
    <e v="#N/A"/>
    <e v="#N/A"/>
    <e v="#N/A"/>
    <x v="1"/>
  </r>
  <r>
    <x v="129"/>
    <s v="NARVAI DIAZ ELSON GONZALO"/>
    <s v="04.04.2011"/>
    <e v="#N/A"/>
    <e v="#N/A"/>
    <e v="#N/A"/>
    <x v="1"/>
  </r>
  <r>
    <x v="129"/>
    <s v="NARVAI DIAZ ELSON GONZALO"/>
    <s v="05.04.2011"/>
    <e v="#N/A"/>
    <e v="#N/A"/>
    <e v="#N/A"/>
    <x v="1"/>
  </r>
  <r>
    <x v="129"/>
    <s v="NARVAI DIAZ ELSON GONZALO"/>
    <s v="05.04.2011"/>
    <e v="#N/A"/>
    <e v="#N/A"/>
    <e v="#N/A"/>
    <x v="1"/>
  </r>
  <r>
    <x v="129"/>
    <s v="NARVAI DIAZ ELSON GONZALO"/>
    <s v="06.04.2011"/>
    <e v="#N/A"/>
    <e v="#N/A"/>
    <e v="#N/A"/>
    <x v="1"/>
  </r>
  <r>
    <x v="129"/>
    <s v="NARVAI DIAZ ELSON GONZALO"/>
    <s v="06.04.2011"/>
    <e v="#N/A"/>
    <e v="#N/A"/>
    <e v="#N/A"/>
    <x v="1"/>
  </r>
  <r>
    <x v="129"/>
    <s v="NARVAI DIAZ ELSON GONZALO"/>
    <s v="07.04.2011"/>
    <e v="#N/A"/>
    <e v="#N/A"/>
    <e v="#N/A"/>
    <x v="1"/>
  </r>
  <r>
    <x v="129"/>
    <s v="NARVAI DIAZ ELSON GONZALO"/>
    <s v="07.04.2011"/>
    <e v="#N/A"/>
    <e v="#N/A"/>
    <e v="#N/A"/>
    <x v="1"/>
  </r>
  <r>
    <x v="129"/>
    <s v="NARVAI DIAZ ELSON GONZALO"/>
    <s v="08.04.2011"/>
    <e v="#N/A"/>
    <e v="#N/A"/>
    <e v="#N/A"/>
    <x v="1"/>
  </r>
  <r>
    <x v="129"/>
    <s v="NARVAI DIAZ ELSON GONZALO"/>
    <s v="08.04.2011"/>
    <e v="#N/A"/>
    <e v="#N/A"/>
    <e v="#N/A"/>
    <x v="1"/>
  </r>
  <r>
    <x v="130"/>
    <s v="SERRANO  VEGA,IGNACIO ANDRES"/>
    <s v="04.04.2011"/>
    <e v="#N/A"/>
    <e v="#N/A"/>
    <e v="#N/A"/>
    <x v="1"/>
  </r>
  <r>
    <x v="130"/>
    <s v="SERRANO  VEGA,IGNACIO ANDRES"/>
    <s v="05.04.2011"/>
    <e v="#N/A"/>
    <e v="#N/A"/>
    <e v="#N/A"/>
    <x v="1"/>
  </r>
  <r>
    <x v="130"/>
    <s v="SERRANO  VEGA,IGNACIO ANDRES"/>
    <s v="05.04.2011"/>
    <e v="#N/A"/>
    <e v="#N/A"/>
    <e v="#N/A"/>
    <x v="1"/>
  </r>
  <r>
    <x v="130"/>
    <s v="SERRANO  VEGA,IGNACIO ANDRES"/>
    <s v="06.04.2011"/>
    <e v="#N/A"/>
    <e v="#N/A"/>
    <e v="#N/A"/>
    <x v="1"/>
  </r>
  <r>
    <x v="130"/>
    <s v="SERRANO  VEGA,IGNACIO ANDRES"/>
    <s v="06.04.2011"/>
    <e v="#N/A"/>
    <e v="#N/A"/>
    <e v="#N/A"/>
    <x v="1"/>
  </r>
  <r>
    <x v="130"/>
    <s v="SERRANO  VEGA,IGNACIO ANDRES"/>
    <s v="07.04.2011"/>
    <e v="#N/A"/>
    <e v="#N/A"/>
    <e v="#N/A"/>
    <x v="1"/>
  </r>
  <r>
    <x v="130"/>
    <s v="SERRANO  VEGA,IGNACIO ANDRES"/>
    <s v="07.04.2011"/>
    <e v="#N/A"/>
    <e v="#N/A"/>
    <e v="#N/A"/>
    <x v="1"/>
  </r>
  <r>
    <x v="130"/>
    <s v="SERRANO  VEGA,IGNACIO ANDRES"/>
    <s v="08.04.2011"/>
    <e v="#N/A"/>
    <e v="#N/A"/>
    <e v="#N/A"/>
    <x v="1"/>
  </r>
  <r>
    <x v="130"/>
    <s v="SERRANO  VEGA,IGNACIO ANDRES"/>
    <s v="08.04.2011"/>
    <e v="#N/A"/>
    <e v="#N/A"/>
    <e v="#N/A"/>
    <x v="1"/>
  </r>
  <r>
    <x v="130"/>
    <s v="SERRANO  VEGA,IGNACIO ANDRES"/>
    <s v="09.04.2011"/>
    <e v="#N/A"/>
    <e v="#N/A"/>
    <e v="#N/A"/>
    <x v="1"/>
  </r>
  <r>
    <x v="131"/>
    <s v="CANDIA MUÑOZ GABRIEL"/>
    <s v="04.04.2011"/>
    <e v="#N/A"/>
    <e v="#N/A"/>
    <e v="#N/A"/>
    <x v="1"/>
  </r>
  <r>
    <x v="131"/>
    <s v="CANDIA MUÑOZ GABRIEL"/>
    <s v="04.04.2011"/>
    <e v="#N/A"/>
    <e v="#N/A"/>
    <e v="#N/A"/>
    <x v="1"/>
  </r>
  <r>
    <x v="131"/>
    <s v="CANDIA MUÑOZ GABRIEL"/>
    <s v="05.04.2011"/>
    <e v="#N/A"/>
    <e v="#N/A"/>
    <e v="#N/A"/>
    <x v="1"/>
  </r>
  <r>
    <x v="131"/>
    <s v="CANDIA MUÑOZ GABRIEL"/>
    <s v="05.04.2011"/>
    <e v="#N/A"/>
    <e v="#N/A"/>
    <e v="#N/A"/>
    <x v="1"/>
  </r>
  <r>
    <x v="131"/>
    <s v="CANDIA MUÑOZ GABRIEL"/>
    <s v="06.04.2011"/>
    <e v="#N/A"/>
    <e v="#N/A"/>
    <e v="#N/A"/>
    <x v="1"/>
  </r>
  <r>
    <x v="131"/>
    <s v="CANDIA MUÑOZ GABRIEL"/>
    <s v="06.04.2011"/>
    <e v="#N/A"/>
    <e v="#N/A"/>
    <e v="#N/A"/>
    <x v="1"/>
  </r>
  <r>
    <x v="131"/>
    <s v="CANDIA MUÑOZ GABRIEL"/>
    <s v="07.04.2011"/>
    <e v="#N/A"/>
    <e v="#N/A"/>
    <e v="#N/A"/>
    <x v="1"/>
  </r>
  <r>
    <x v="131"/>
    <s v="CANDIA MUÑOZ GABRIEL"/>
    <s v="07.04.2011"/>
    <e v="#N/A"/>
    <e v="#N/A"/>
    <e v="#N/A"/>
    <x v="1"/>
  </r>
  <r>
    <x v="131"/>
    <s v="CANDIA MUÑOZ GABRIEL"/>
    <s v="08.04.2011"/>
    <e v="#N/A"/>
    <e v="#N/A"/>
    <e v="#N/A"/>
    <x v="1"/>
  </r>
  <r>
    <x v="131"/>
    <s v="CANDIA MUÑOZ GABRIEL"/>
    <s v="08.04.2011"/>
    <e v="#N/A"/>
    <e v="#N/A"/>
    <e v="#N/A"/>
    <x v="1"/>
  </r>
  <r>
    <x v="131"/>
    <s v="CANDIA MUÑOZ GABRIEL"/>
    <s v="09.04.2011"/>
    <e v="#N/A"/>
    <e v="#N/A"/>
    <e v="#N/A"/>
    <x v="1"/>
  </r>
  <r>
    <x v="131"/>
    <s v="CANDIA MUÑOZ GABRIEL"/>
    <s v="09.04.2011"/>
    <e v="#N/A"/>
    <e v="#N/A"/>
    <e v="#N/A"/>
    <x v="1"/>
  </r>
  <r>
    <x v="132"/>
    <s v="SOTO SOTO EDDIE LUIS"/>
    <s v="04.04.2011"/>
    <e v="#N/A"/>
    <e v="#N/A"/>
    <e v="#N/A"/>
    <x v="1"/>
  </r>
  <r>
    <x v="132"/>
    <s v="SOTO SOTO EDDIE LUIS"/>
    <s v="04.04.2011"/>
    <e v="#N/A"/>
    <e v="#N/A"/>
    <e v="#N/A"/>
    <x v="1"/>
  </r>
  <r>
    <x v="132"/>
    <s v="SOTO SOTO EDDIE LUIS"/>
    <s v="05.04.2011"/>
    <e v="#N/A"/>
    <e v="#N/A"/>
    <e v="#N/A"/>
    <x v="1"/>
  </r>
  <r>
    <x v="132"/>
    <s v="SOTO SOTO EDDIE LUIS"/>
    <s v="05.04.2011"/>
    <e v="#N/A"/>
    <e v="#N/A"/>
    <e v="#N/A"/>
    <x v="1"/>
  </r>
  <r>
    <x v="132"/>
    <s v="SOTO SOTO EDDIE LUIS"/>
    <s v="06.04.2011"/>
    <e v="#N/A"/>
    <e v="#N/A"/>
    <e v="#N/A"/>
    <x v="1"/>
  </r>
  <r>
    <x v="132"/>
    <s v="SOTO SOTO EDDIE LUIS"/>
    <s v="06.04.2011"/>
    <e v="#N/A"/>
    <e v="#N/A"/>
    <e v="#N/A"/>
    <x v="1"/>
  </r>
  <r>
    <x v="132"/>
    <s v="SOTO SOTO EDDIE LUIS"/>
    <s v="07.04.2011"/>
    <e v="#N/A"/>
    <e v="#N/A"/>
    <e v="#N/A"/>
    <x v="1"/>
  </r>
  <r>
    <x v="132"/>
    <s v="SOTO SOTO EDDIE LUIS"/>
    <s v="07.04.2011"/>
    <e v="#N/A"/>
    <e v="#N/A"/>
    <e v="#N/A"/>
    <x v="1"/>
  </r>
  <r>
    <x v="132"/>
    <s v="SOTO SOTO EDDIE LUIS"/>
    <s v="08.04.2011"/>
    <e v="#N/A"/>
    <e v="#N/A"/>
    <e v="#N/A"/>
    <x v="1"/>
  </r>
  <r>
    <x v="132"/>
    <s v="SOTO SOTO EDDIE LUIS"/>
    <s v="08.04.2011"/>
    <e v="#N/A"/>
    <e v="#N/A"/>
    <e v="#N/A"/>
    <x v="1"/>
  </r>
  <r>
    <x v="132"/>
    <s v="SOTO SOTO EDDIE LUIS"/>
    <s v="09.04.2011"/>
    <e v="#N/A"/>
    <e v="#N/A"/>
    <e v="#N/A"/>
    <x v="1"/>
  </r>
  <r>
    <x v="132"/>
    <s v="SOTO SOTO EDDIE LUIS"/>
    <s v="09.04.2011"/>
    <e v="#N/A"/>
    <e v="#N/A"/>
    <e v="#N/A"/>
    <x v="1"/>
  </r>
  <r>
    <x v="133"/>
    <s v="PALMA CLARO DANIEL H."/>
    <s v="00.00.0000"/>
    <e v="#N/A"/>
    <e v="#N/A"/>
    <e v="#N/A"/>
    <x v="1"/>
  </r>
  <r>
    <x v="134"/>
    <s v="ARANCIBIA SILVA FELIPE"/>
    <s v="06.04.2011"/>
    <e v="#N/A"/>
    <e v="#N/A"/>
    <e v="#N/A"/>
    <x v="1"/>
  </r>
  <r>
    <x v="134"/>
    <s v="ARANCIBIA SILVA FELIPE"/>
    <s v="06.04.2011"/>
    <e v="#N/A"/>
    <e v="#N/A"/>
    <e v="#N/A"/>
    <x v="1"/>
  </r>
  <r>
    <x v="134"/>
    <s v="ARANCIBIA SILVA FELIPE"/>
    <s v="07.04.2011"/>
    <e v="#N/A"/>
    <e v="#N/A"/>
    <e v="#N/A"/>
    <x v="1"/>
  </r>
  <r>
    <x v="134"/>
    <s v="ARANCIBIA SILVA FELIPE"/>
    <s v="07.04.2011"/>
    <e v="#N/A"/>
    <e v="#N/A"/>
    <e v="#N/A"/>
    <x v="1"/>
  </r>
  <r>
    <x v="134"/>
    <s v="ARANCIBIA SILVA FELIPE"/>
    <s v="08.04.2011"/>
    <e v="#N/A"/>
    <e v="#N/A"/>
    <e v="#N/A"/>
    <x v="1"/>
  </r>
  <r>
    <x v="134"/>
    <s v="ARANCIBIA SILVA FELIPE"/>
    <s v="08.04.2011"/>
    <e v="#N/A"/>
    <e v="#N/A"/>
    <e v="#N/A"/>
    <x v="1"/>
  </r>
  <r>
    <x v="134"/>
    <s v="ARANCIBIA SILVA FELIPE"/>
    <s v="09.04.2011"/>
    <e v="#N/A"/>
    <e v="#N/A"/>
    <e v="#N/A"/>
    <x v="1"/>
  </r>
  <r>
    <x v="134"/>
    <s v="ARANCIBIA SILVA FELIPE"/>
    <s v="09.04.2011"/>
    <e v="#N/A"/>
    <e v="#N/A"/>
    <e v="#N/A"/>
    <x v="1"/>
  </r>
  <r>
    <x v="135"/>
    <s v="MARTINEZ OSSES FRANCISCO ANTONIO"/>
    <s v="04.04.2011"/>
    <e v="#N/A"/>
    <e v="#N/A"/>
    <e v="#N/A"/>
    <x v="1"/>
  </r>
  <r>
    <x v="135"/>
    <s v="MARTINEZ OSSES FRANCISCO ANTONIO"/>
    <s v="05.04.2011"/>
    <e v="#N/A"/>
    <e v="#N/A"/>
    <e v="#N/A"/>
    <x v="1"/>
  </r>
  <r>
    <x v="135"/>
    <s v="MARTINEZ OSSES FRANCISCO ANTONIO"/>
    <s v="05.04.2011"/>
    <e v="#N/A"/>
    <e v="#N/A"/>
    <e v="#N/A"/>
    <x v="1"/>
  </r>
  <r>
    <x v="135"/>
    <s v="MARTINEZ OSSES FRANCISCO ANTONIO"/>
    <s v="06.04.2011"/>
    <e v="#N/A"/>
    <e v="#N/A"/>
    <e v="#N/A"/>
    <x v="1"/>
  </r>
  <r>
    <x v="135"/>
    <s v="MARTINEZ OSSES FRANCISCO ANTONIO"/>
    <s v="06.04.2011"/>
    <e v="#N/A"/>
    <e v="#N/A"/>
    <e v="#N/A"/>
    <x v="1"/>
  </r>
  <r>
    <x v="135"/>
    <s v="MARTINEZ OSSES FRANCISCO ANTONIO"/>
    <s v="07.04.2011"/>
    <e v="#N/A"/>
    <e v="#N/A"/>
    <e v="#N/A"/>
    <x v="1"/>
  </r>
  <r>
    <x v="135"/>
    <s v="MARTINEZ OSSES FRANCISCO ANTONIO"/>
    <s v="07.04.2011"/>
    <e v="#N/A"/>
    <e v="#N/A"/>
    <e v="#N/A"/>
    <x v="1"/>
  </r>
  <r>
    <x v="135"/>
    <s v="MARTINEZ OSSES FRANCISCO ANTONIO"/>
    <s v="08.04.2011"/>
    <e v="#N/A"/>
    <e v="#N/A"/>
    <e v="#N/A"/>
    <x v="1"/>
  </r>
  <r>
    <x v="135"/>
    <s v="MARTINEZ OSSES FRANCISCO ANTONIO"/>
    <s v="08.04.2011"/>
    <e v="#N/A"/>
    <e v="#N/A"/>
    <e v="#N/A"/>
    <x v="1"/>
  </r>
  <r>
    <x v="135"/>
    <s v="MARTINEZ OSSES FRANCISCO ANTONIO"/>
    <s v="09.04.2011"/>
    <e v="#N/A"/>
    <e v="#N/A"/>
    <e v="#N/A"/>
    <x v="1"/>
  </r>
  <r>
    <x v="136"/>
    <s v="SEPULVEDA ARAVENA MAGALY ANDREA"/>
    <s v="04.04.2011"/>
    <e v="#N/A"/>
    <e v="#N/A"/>
    <e v="#N/A"/>
    <x v="1"/>
  </r>
  <r>
    <x v="136"/>
    <s v="SEPULVEDA ARAVENA MAGALY ANDREA"/>
    <s v="04.04.2011"/>
    <e v="#N/A"/>
    <e v="#N/A"/>
    <e v="#N/A"/>
    <x v="1"/>
  </r>
  <r>
    <x v="136"/>
    <s v="SEPULVEDA ARAVENA MAGALY ANDREA"/>
    <s v="05.04.2011"/>
    <e v="#N/A"/>
    <e v="#N/A"/>
    <e v="#N/A"/>
    <x v="1"/>
  </r>
  <r>
    <x v="136"/>
    <s v="SEPULVEDA ARAVENA MAGALY ANDREA"/>
    <s v="05.04.2011"/>
    <e v="#N/A"/>
    <e v="#N/A"/>
    <e v="#N/A"/>
    <x v="1"/>
  </r>
  <r>
    <x v="136"/>
    <s v="SEPULVEDA ARAVENA MAGALY ANDREA"/>
    <s v="06.04.2011"/>
    <e v="#N/A"/>
    <e v="#N/A"/>
    <e v="#N/A"/>
    <x v="1"/>
  </r>
  <r>
    <x v="136"/>
    <s v="SEPULVEDA ARAVENA MAGALY ANDREA"/>
    <s v="06.04.2011"/>
    <e v="#N/A"/>
    <e v="#N/A"/>
    <e v="#N/A"/>
    <x v="1"/>
  </r>
  <r>
    <x v="136"/>
    <s v="SEPULVEDA ARAVENA MAGALY ANDREA"/>
    <s v="07.04.2011"/>
    <e v="#N/A"/>
    <e v="#N/A"/>
    <e v="#N/A"/>
    <x v="1"/>
  </r>
  <r>
    <x v="136"/>
    <s v="SEPULVEDA ARAVENA MAGALY ANDREA"/>
    <s v="07.04.2011"/>
    <e v="#N/A"/>
    <e v="#N/A"/>
    <e v="#N/A"/>
    <x v="1"/>
  </r>
  <r>
    <x v="136"/>
    <s v="SEPULVEDA ARAVENA MAGALY ANDREA"/>
    <s v="08.04.2011"/>
    <e v="#N/A"/>
    <e v="#N/A"/>
    <e v="#N/A"/>
    <x v="1"/>
  </r>
  <r>
    <x v="136"/>
    <s v="SEPULVEDA ARAVENA MAGALY ANDREA"/>
    <s v="08.04.2011"/>
    <e v="#N/A"/>
    <e v="#N/A"/>
    <e v="#N/A"/>
    <x v="1"/>
  </r>
  <r>
    <x v="136"/>
    <s v="SEPULVEDA ARAVENA MAGALY ANDREA"/>
    <s v="09.04.2011"/>
    <e v="#N/A"/>
    <e v="#N/A"/>
    <e v="#N/A"/>
    <x v="1"/>
  </r>
  <r>
    <x v="136"/>
    <s v="SEPULVEDA ARAVENA MAGALY ANDREA"/>
    <s v="09.04.2011"/>
    <e v="#N/A"/>
    <e v="#N/A"/>
    <e v="#N/A"/>
    <x v="1"/>
  </r>
  <r>
    <x v="137"/>
    <s v="GALLARDO  OYARCE,JOSE A."/>
    <s v="04.04.2011"/>
    <e v="#N/A"/>
    <e v="#N/A"/>
    <e v="#N/A"/>
    <x v="1"/>
  </r>
  <r>
    <x v="137"/>
    <s v="GALLARDO  OYARCE,JOSE A."/>
    <s v="04.04.2011"/>
    <e v="#N/A"/>
    <e v="#N/A"/>
    <e v="#N/A"/>
    <x v="1"/>
  </r>
  <r>
    <x v="137"/>
    <s v="GALLARDO  OYARCE,JOSE A."/>
    <s v="05.04.2011"/>
    <e v="#N/A"/>
    <e v="#N/A"/>
    <e v="#N/A"/>
    <x v="1"/>
  </r>
  <r>
    <x v="137"/>
    <s v="GALLARDO  OYARCE,JOSE A."/>
    <s v="05.04.2011"/>
    <e v="#N/A"/>
    <e v="#N/A"/>
    <e v="#N/A"/>
    <x v="1"/>
  </r>
  <r>
    <x v="137"/>
    <s v="GALLARDO  OYARCE,JOSE A."/>
    <s v="06.04.2011"/>
    <e v="#N/A"/>
    <e v="#N/A"/>
    <e v="#N/A"/>
    <x v="1"/>
  </r>
  <r>
    <x v="137"/>
    <s v="GALLARDO  OYARCE,JOSE A."/>
    <s v="06.04.2011"/>
    <e v="#N/A"/>
    <e v="#N/A"/>
    <e v="#N/A"/>
    <x v="1"/>
  </r>
  <r>
    <x v="137"/>
    <s v="GALLARDO  OYARCE,JOSE A."/>
    <s v="07.04.2011"/>
    <e v="#N/A"/>
    <e v="#N/A"/>
    <e v="#N/A"/>
    <x v="1"/>
  </r>
  <r>
    <x v="137"/>
    <s v="GALLARDO  OYARCE,JOSE A."/>
    <s v="07.04.2011"/>
    <e v="#N/A"/>
    <e v="#N/A"/>
    <e v="#N/A"/>
    <x v="1"/>
  </r>
  <r>
    <x v="137"/>
    <s v="GALLARDO  OYARCE,JOSE A."/>
    <s v="08.04.2011"/>
    <e v="#N/A"/>
    <e v="#N/A"/>
    <e v="#N/A"/>
    <x v="1"/>
  </r>
  <r>
    <x v="137"/>
    <s v="GALLARDO  OYARCE,JOSE A."/>
    <s v="08.04.2011"/>
    <e v="#N/A"/>
    <e v="#N/A"/>
    <e v="#N/A"/>
    <x v="1"/>
  </r>
  <r>
    <x v="137"/>
    <s v="GALLARDO  OYARCE,JOSE A."/>
    <s v="09.04.2011"/>
    <e v="#N/A"/>
    <e v="#N/A"/>
    <e v="#N/A"/>
    <x v="1"/>
  </r>
  <r>
    <x v="137"/>
    <s v="GALLARDO  OYARCE,JOSE A."/>
    <s v="09.04.2011"/>
    <e v="#N/A"/>
    <e v="#N/A"/>
    <e v="#N/A"/>
    <x v="1"/>
  </r>
  <r>
    <x v="138"/>
    <e v="#N/A"/>
    <s v="00.00.0000"/>
    <e v="#N/A"/>
    <e v="#N/A"/>
    <e v="#N/A"/>
    <x v="1"/>
  </r>
  <r>
    <x v="139"/>
    <s v="BUSTAMANTE GONZALEZ MARCO ANTONIO"/>
    <s v="04.04.2011"/>
    <e v="#N/A"/>
    <e v="#N/A"/>
    <e v="#N/A"/>
    <x v="1"/>
  </r>
  <r>
    <x v="139"/>
    <s v="BUSTAMANTE GONZALEZ MARCO ANTONIO"/>
    <s v="04.04.2011"/>
    <e v="#N/A"/>
    <e v="#N/A"/>
    <e v="#N/A"/>
    <x v="1"/>
  </r>
  <r>
    <x v="139"/>
    <s v="BUSTAMANTE GONZALEZ MARCO ANTONIO"/>
    <s v="05.04.2011"/>
    <e v="#N/A"/>
    <e v="#N/A"/>
    <e v="#N/A"/>
    <x v="1"/>
  </r>
  <r>
    <x v="139"/>
    <s v="BUSTAMANTE GONZALEZ MARCO ANTONIO"/>
    <s v="05.04.2011"/>
    <e v="#N/A"/>
    <e v="#N/A"/>
    <e v="#N/A"/>
    <x v="1"/>
  </r>
  <r>
    <x v="139"/>
    <s v="BUSTAMANTE GONZALEZ MARCO ANTONIO"/>
    <s v="06.04.2011"/>
    <e v="#N/A"/>
    <e v="#N/A"/>
    <e v="#N/A"/>
    <x v="1"/>
  </r>
  <r>
    <x v="139"/>
    <s v="BUSTAMANTE GONZALEZ MARCO ANTONIO"/>
    <s v="06.04.2011"/>
    <e v="#N/A"/>
    <e v="#N/A"/>
    <e v="#N/A"/>
    <x v="1"/>
  </r>
  <r>
    <x v="139"/>
    <s v="BUSTAMANTE GONZALEZ MARCO ANTONIO"/>
    <s v="07.04.2011"/>
    <e v="#N/A"/>
    <e v="#N/A"/>
    <e v="#N/A"/>
    <x v="1"/>
  </r>
  <r>
    <x v="139"/>
    <s v="BUSTAMANTE GONZALEZ MARCO ANTONIO"/>
    <s v="07.04.2011"/>
    <e v="#N/A"/>
    <e v="#N/A"/>
    <e v="#N/A"/>
    <x v="1"/>
  </r>
  <r>
    <x v="139"/>
    <s v="BUSTAMANTE GONZALEZ MARCO ANTONIO"/>
    <s v="08.04.2011"/>
    <e v="#N/A"/>
    <e v="#N/A"/>
    <e v="#N/A"/>
    <x v="1"/>
  </r>
  <r>
    <x v="139"/>
    <s v="BUSTAMANTE GONZALEZ MARCO ANTONIO"/>
    <s v="08.04.2011"/>
    <e v="#N/A"/>
    <e v="#N/A"/>
    <e v="#N/A"/>
    <x v="1"/>
  </r>
  <r>
    <x v="140"/>
    <s v="OSORIO LUCERO ESTEBAN ARIEL"/>
    <s v="04.04.2011"/>
    <e v="#N/A"/>
    <e v="#N/A"/>
    <e v="#N/A"/>
    <x v="1"/>
  </r>
  <r>
    <x v="140"/>
    <s v="OSORIO LUCERO ESTEBAN ARIEL"/>
    <s v="04.04.2011"/>
    <e v="#N/A"/>
    <e v="#N/A"/>
    <e v="#N/A"/>
    <x v="1"/>
  </r>
  <r>
    <x v="140"/>
    <s v="OSORIO LUCERO ESTEBAN ARIEL"/>
    <s v="06.04.2011"/>
    <e v="#N/A"/>
    <e v="#N/A"/>
    <e v="#N/A"/>
    <x v="1"/>
  </r>
  <r>
    <x v="140"/>
    <s v="OSORIO LUCERO ESTEBAN ARIEL"/>
    <s v="06.04.2011"/>
    <e v="#N/A"/>
    <e v="#N/A"/>
    <e v="#N/A"/>
    <x v="1"/>
  </r>
  <r>
    <x v="140"/>
    <s v="OSORIO LUCERO ESTEBAN ARIEL"/>
    <s v="07.04.2011"/>
    <e v="#N/A"/>
    <e v="#N/A"/>
    <e v="#N/A"/>
    <x v="1"/>
  </r>
  <r>
    <x v="140"/>
    <s v="OSORIO LUCERO ESTEBAN ARIEL"/>
    <s v="07.04.2011"/>
    <e v="#N/A"/>
    <e v="#N/A"/>
    <e v="#N/A"/>
    <x v="1"/>
  </r>
  <r>
    <x v="140"/>
    <s v="OSORIO LUCERO ESTEBAN ARIEL"/>
    <s v="08.04.2011"/>
    <e v="#N/A"/>
    <e v="#N/A"/>
    <e v="#N/A"/>
    <x v="1"/>
  </r>
  <r>
    <x v="140"/>
    <s v="OSORIO LUCERO ESTEBAN ARIEL"/>
    <s v="08.04.2011"/>
    <e v="#N/A"/>
    <e v="#N/A"/>
    <e v="#N/A"/>
    <x v="1"/>
  </r>
  <r>
    <x v="140"/>
    <s v="OSORIO LUCERO ESTEBAN ARIEL"/>
    <s v="09.04.2011"/>
    <e v="#N/A"/>
    <e v="#N/A"/>
    <e v="#N/A"/>
    <x v="1"/>
  </r>
  <r>
    <x v="140"/>
    <s v="OSORIO LUCERO ESTEBAN ARIEL"/>
    <s v="09.04.2011"/>
    <e v="#N/A"/>
    <e v="#N/A"/>
    <e v="#N/A"/>
    <x v="1"/>
  </r>
  <r>
    <x v="141"/>
    <s v="TOLEDO YENEVES JUAN OSVALDO"/>
    <s v="04.04.2011"/>
    <e v="#N/A"/>
    <e v="#N/A"/>
    <e v="#N/A"/>
    <x v="1"/>
  </r>
  <r>
    <x v="141"/>
    <s v="TOLEDO YENEVES JUAN OSVALDO"/>
    <s v="04.04.2011"/>
    <e v="#N/A"/>
    <e v="#N/A"/>
    <e v="#N/A"/>
    <x v="1"/>
  </r>
  <r>
    <x v="141"/>
    <s v="TOLEDO YENEVES JUAN OSVALDO"/>
    <s v="05.04.2011"/>
    <e v="#N/A"/>
    <e v="#N/A"/>
    <e v="#N/A"/>
    <x v="1"/>
  </r>
  <r>
    <x v="141"/>
    <s v="TOLEDO YENEVES JUAN OSVALDO"/>
    <s v="05.04.2011"/>
    <e v="#N/A"/>
    <e v="#N/A"/>
    <e v="#N/A"/>
    <x v="1"/>
  </r>
  <r>
    <x v="141"/>
    <s v="TOLEDO YENEVES JUAN OSVALDO"/>
    <s v="06.04.2011"/>
    <e v="#N/A"/>
    <e v="#N/A"/>
    <e v="#N/A"/>
    <x v="1"/>
  </r>
  <r>
    <x v="141"/>
    <s v="TOLEDO YENEVES JUAN OSVALDO"/>
    <s v="06.04.2011"/>
    <e v="#N/A"/>
    <e v="#N/A"/>
    <e v="#N/A"/>
    <x v="1"/>
  </r>
  <r>
    <x v="141"/>
    <s v="TOLEDO YENEVES JUAN OSVALDO"/>
    <s v="07.04.2011"/>
    <e v="#N/A"/>
    <e v="#N/A"/>
    <e v="#N/A"/>
    <x v="1"/>
  </r>
  <r>
    <x v="141"/>
    <s v="TOLEDO YENEVES JUAN OSVALDO"/>
    <s v="07.04.2011"/>
    <e v="#N/A"/>
    <e v="#N/A"/>
    <e v="#N/A"/>
    <x v="1"/>
  </r>
  <r>
    <x v="141"/>
    <s v="TOLEDO YENEVES JUAN OSVALDO"/>
    <s v="08.04.2011"/>
    <e v="#N/A"/>
    <e v="#N/A"/>
    <e v="#N/A"/>
    <x v="1"/>
  </r>
  <r>
    <x v="141"/>
    <s v="TOLEDO YENEVES JUAN OSVALDO"/>
    <s v="08.04.2011"/>
    <e v="#N/A"/>
    <e v="#N/A"/>
    <e v="#N/A"/>
    <x v="1"/>
  </r>
  <r>
    <x v="141"/>
    <s v="TOLEDO YENEVES JUAN OSVALDO"/>
    <s v="09.04.2011"/>
    <e v="#N/A"/>
    <e v="#N/A"/>
    <e v="#N/A"/>
    <x v="1"/>
  </r>
  <r>
    <x v="141"/>
    <s v="TOLEDO YENEVES JUAN OSVALDO"/>
    <s v="09.04.2011"/>
    <e v="#N/A"/>
    <e v="#N/A"/>
    <e v="#N/A"/>
    <x v="1"/>
  </r>
  <r>
    <x v="142"/>
    <s v="POBLETE RIVEROS JORGE"/>
    <s v="04.04.2011"/>
    <e v="#N/A"/>
    <e v="#N/A"/>
    <e v="#N/A"/>
    <x v="1"/>
  </r>
  <r>
    <x v="142"/>
    <s v="POBLETE RIVEROS JORGE"/>
    <s v="05.04.2011"/>
    <e v="#N/A"/>
    <e v="#N/A"/>
    <e v="#N/A"/>
    <x v="1"/>
  </r>
  <r>
    <x v="142"/>
    <s v="POBLETE RIVEROS JORGE"/>
    <s v="05.04.2011"/>
    <e v="#N/A"/>
    <e v="#N/A"/>
    <e v="#N/A"/>
    <x v="1"/>
  </r>
  <r>
    <x v="142"/>
    <s v="POBLETE RIVEROS JORGE"/>
    <s v="06.04.2011"/>
    <e v="#N/A"/>
    <e v="#N/A"/>
    <e v="#N/A"/>
    <x v="1"/>
  </r>
  <r>
    <x v="142"/>
    <s v="POBLETE RIVEROS JORGE"/>
    <s v="06.04.2011"/>
    <e v="#N/A"/>
    <e v="#N/A"/>
    <e v="#N/A"/>
    <x v="1"/>
  </r>
  <r>
    <x v="142"/>
    <s v="POBLETE RIVEROS JORGE"/>
    <s v="07.04.2011"/>
    <e v="#N/A"/>
    <e v="#N/A"/>
    <e v="#N/A"/>
    <x v="1"/>
  </r>
  <r>
    <x v="142"/>
    <s v="POBLETE RIVEROS JORGE"/>
    <s v="07.04.2011"/>
    <e v="#N/A"/>
    <e v="#N/A"/>
    <e v="#N/A"/>
    <x v="1"/>
  </r>
  <r>
    <x v="142"/>
    <s v="POBLETE RIVEROS JORGE"/>
    <s v="08.04.2011"/>
    <e v="#N/A"/>
    <e v="#N/A"/>
    <e v="#N/A"/>
    <x v="1"/>
  </r>
  <r>
    <x v="142"/>
    <s v="POBLETE RIVEROS JORGE"/>
    <s v="08.04.2011"/>
    <e v="#N/A"/>
    <e v="#N/A"/>
    <e v="#N/A"/>
    <x v="1"/>
  </r>
  <r>
    <x v="142"/>
    <s v="POBLETE RIVEROS JORGE"/>
    <s v="09.04.2011"/>
    <e v="#N/A"/>
    <e v="#N/A"/>
    <e v="#N/A"/>
    <x v="1"/>
  </r>
  <r>
    <x v="143"/>
    <s v="CHAVEZ FARIÑA RICARDO"/>
    <s v="00.00.0000"/>
    <e v="#N/A"/>
    <e v="#N/A"/>
    <e v="#N/A"/>
    <x v="1"/>
  </r>
  <r>
    <x v="144"/>
    <s v="MALDONADO DIAZ MIGUEL"/>
    <s v="04.04.2011"/>
    <e v="#N/A"/>
    <e v="#N/A"/>
    <e v="#N/A"/>
    <x v="1"/>
  </r>
  <r>
    <x v="144"/>
    <s v="MALDONADO DIAZ MIGUEL"/>
    <s v="04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5.04.2011"/>
    <e v="#N/A"/>
    <e v="#N/A"/>
    <e v="#N/A"/>
    <x v="1"/>
  </r>
  <r>
    <x v="144"/>
    <s v="MALDONADO DIAZ MIGUEL"/>
    <s v="06.04.2011"/>
    <e v="#N/A"/>
    <e v="#N/A"/>
    <e v="#N/A"/>
    <x v="1"/>
  </r>
  <r>
    <x v="144"/>
    <s v="MALDONADO DIAZ MIGUEL"/>
    <s v="06.04.2011"/>
    <e v="#N/A"/>
    <e v="#N/A"/>
    <e v="#N/A"/>
    <x v="1"/>
  </r>
  <r>
    <x v="144"/>
    <s v="MALDONADO DIAZ MIGUEL"/>
    <s v="07.04.2011"/>
    <e v="#N/A"/>
    <e v="#N/A"/>
    <e v="#N/A"/>
    <x v="1"/>
  </r>
  <r>
    <x v="144"/>
    <s v="MALDONADO DIAZ MIGUEL"/>
    <s v="07.04.2011"/>
    <e v="#N/A"/>
    <e v="#N/A"/>
    <e v="#N/A"/>
    <x v="1"/>
  </r>
  <r>
    <x v="144"/>
    <s v="MALDONADO DIAZ MIGUEL"/>
    <s v="08.04.2011"/>
    <e v="#N/A"/>
    <e v="#N/A"/>
    <e v="#N/A"/>
    <x v="1"/>
  </r>
  <r>
    <x v="144"/>
    <s v="MALDONADO DIAZ MIGUEL"/>
    <s v="08.04.2011"/>
    <e v="#N/A"/>
    <e v="#N/A"/>
    <e v="#N/A"/>
    <x v="1"/>
  </r>
  <r>
    <x v="144"/>
    <s v="MALDONADO DIAZ MIGUEL"/>
    <s v="09.04.2011"/>
    <e v="#N/A"/>
    <e v="#N/A"/>
    <e v="#N/A"/>
    <x v="1"/>
  </r>
  <r>
    <x v="144"/>
    <s v="MALDONADO DIAZ MIGUEL"/>
    <s v="09.04.2011"/>
    <e v="#N/A"/>
    <e v="#N/A"/>
    <e v="#N/A"/>
    <x v="1"/>
  </r>
  <r>
    <x v="145"/>
    <s v="MOYA BEROIZA DAVID"/>
    <s v="04.04.2011"/>
    <e v="#N/A"/>
    <e v="#N/A"/>
    <e v="#N/A"/>
    <x v="1"/>
  </r>
  <r>
    <x v="145"/>
    <s v="MOYA BEROIZA DAVID"/>
    <s v="04.04.2011"/>
    <e v="#N/A"/>
    <e v="#N/A"/>
    <e v="#N/A"/>
    <x v="1"/>
  </r>
  <r>
    <x v="145"/>
    <s v="MOYA BEROIZA DAVID"/>
    <s v="05.04.2011"/>
    <e v="#N/A"/>
    <e v="#N/A"/>
    <e v="#N/A"/>
    <x v="1"/>
  </r>
  <r>
    <x v="145"/>
    <s v="MOYA BEROIZA DAVID"/>
    <s v="05.04.2011"/>
    <e v="#N/A"/>
    <e v="#N/A"/>
    <e v="#N/A"/>
    <x v="1"/>
  </r>
  <r>
    <x v="145"/>
    <s v="MOYA BEROIZA DAVID"/>
    <s v="06.04.2011"/>
    <e v="#N/A"/>
    <e v="#N/A"/>
    <e v="#N/A"/>
    <x v="1"/>
  </r>
  <r>
    <x v="145"/>
    <s v="MOYA BEROIZA DAVID"/>
    <s v="06.04.2011"/>
    <e v="#N/A"/>
    <e v="#N/A"/>
    <e v="#N/A"/>
    <x v="1"/>
  </r>
  <r>
    <x v="145"/>
    <s v="MOYA BEROIZA DAVID"/>
    <s v="07.04.2011"/>
    <e v="#N/A"/>
    <e v="#N/A"/>
    <e v="#N/A"/>
    <x v="1"/>
  </r>
  <r>
    <x v="145"/>
    <s v="MOYA BEROIZA DAVID"/>
    <s v="07.04.2011"/>
    <e v="#N/A"/>
    <e v="#N/A"/>
    <e v="#N/A"/>
    <x v="1"/>
  </r>
  <r>
    <x v="145"/>
    <s v="MOYA BEROIZA DAVID"/>
    <s v="08.04.2011"/>
    <e v="#N/A"/>
    <e v="#N/A"/>
    <e v="#N/A"/>
    <x v="1"/>
  </r>
  <r>
    <x v="145"/>
    <s v="MOYA BEROIZA DAVID"/>
    <s v="08.04.2011"/>
    <e v="#N/A"/>
    <e v="#N/A"/>
    <e v="#N/A"/>
    <x v="1"/>
  </r>
  <r>
    <x v="145"/>
    <s v="MOYA BEROIZA DAVID"/>
    <s v="09.04.2011"/>
    <e v="#N/A"/>
    <e v="#N/A"/>
    <e v="#N/A"/>
    <x v="1"/>
  </r>
  <r>
    <x v="145"/>
    <s v="MOYA BEROIZA DAVID"/>
    <s v="09.04.2011"/>
    <e v="#N/A"/>
    <e v="#N/A"/>
    <e v="#N/A"/>
    <x v="1"/>
  </r>
  <r>
    <x v="146"/>
    <s v="RETAMALES SEPULVEDA CLAUDIO"/>
    <s v="04.04.2011"/>
    <e v="#N/A"/>
    <e v="#N/A"/>
    <e v="#N/A"/>
    <x v="1"/>
  </r>
  <r>
    <x v="146"/>
    <s v="RETAMALES SEPULVEDA CLAUDIO"/>
    <s v="04.04.2011"/>
    <e v="#N/A"/>
    <e v="#N/A"/>
    <e v="#N/A"/>
    <x v="1"/>
  </r>
  <r>
    <x v="146"/>
    <s v="RETAMALES SEPULVEDA CLAUDIO"/>
    <s v="05.04.2011"/>
    <e v="#N/A"/>
    <e v="#N/A"/>
    <e v="#N/A"/>
    <x v="1"/>
  </r>
  <r>
    <x v="146"/>
    <s v="RETAMALES SEPULVEDA CLAUDIO"/>
    <s v="05.04.2011"/>
    <e v="#N/A"/>
    <e v="#N/A"/>
    <e v="#N/A"/>
    <x v="1"/>
  </r>
  <r>
    <x v="146"/>
    <s v="RETAMALES SEPULVEDA CLAUDIO"/>
    <s v="06.04.2011"/>
    <e v="#N/A"/>
    <e v="#N/A"/>
    <e v="#N/A"/>
    <x v="1"/>
  </r>
  <r>
    <x v="146"/>
    <s v="RETAMALES SEPULVEDA CLAUDIO"/>
    <s v="06.04.2011"/>
    <e v="#N/A"/>
    <e v="#N/A"/>
    <e v="#N/A"/>
    <x v="1"/>
  </r>
  <r>
    <x v="146"/>
    <s v="RETAMALES SEPULVEDA CLAUDIO"/>
    <s v="07.04.2011"/>
    <e v="#N/A"/>
    <e v="#N/A"/>
    <e v="#N/A"/>
    <x v="1"/>
  </r>
  <r>
    <x v="146"/>
    <s v="RETAMALES SEPULVEDA CLAUDIO"/>
    <s v="07.04.2011"/>
    <e v="#N/A"/>
    <e v="#N/A"/>
    <e v="#N/A"/>
    <x v="1"/>
  </r>
  <r>
    <x v="146"/>
    <s v="RETAMALES SEPULVEDA CLAUDIO"/>
    <s v="08.04.2011"/>
    <e v="#N/A"/>
    <e v="#N/A"/>
    <e v="#N/A"/>
    <x v="1"/>
  </r>
  <r>
    <x v="146"/>
    <s v="RETAMALES SEPULVEDA CLAUDIO"/>
    <s v="08.04.2011"/>
    <e v="#N/A"/>
    <e v="#N/A"/>
    <e v="#N/A"/>
    <x v="1"/>
  </r>
  <r>
    <x v="146"/>
    <s v="RETAMALES SEPULVEDA CLAUDIO"/>
    <s v="09.04.2011"/>
    <e v="#N/A"/>
    <e v="#N/A"/>
    <e v="#N/A"/>
    <x v="1"/>
  </r>
  <r>
    <x v="146"/>
    <s v="RETAMALES SEPULVEDA CLAUDIO"/>
    <s v="09.04.2011"/>
    <e v="#N/A"/>
    <e v="#N/A"/>
    <e v="#N/A"/>
    <x v="1"/>
  </r>
  <r>
    <x v="147"/>
    <s v="BERRIOS LOPEZ OSCAR MAURICIO"/>
    <s v="04.04.2011"/>
    <e v="#N/A"/>
    <e v="#N/A"/>
    <e v="#N/A"/>
    <x v="1"/>
  </r>
  <r>
    <x v="147"/>
    <s v="BERRIOS LOPEZ OSCAR MAURICIO"/>
    <s v="04.04.2011"/>
    <e v="#N/A"/>
    <e v="#N/A"/>
    <e v="#N/A"/>
    <x v="1"/>
  </r>
  <r>
    <x v="147"/>
    <s v="BERRIOS LOPEZ OSCAR MAURICIO"/>
    <s v="05.04.2011"/>
    <e v="#N/A"/>
    <e v="#N/A"/>
    <e v="#N/A"/>
    <x v="1"/>
  </r>
  <r>
    <x v="147"/>
    <s v="BERRIOS LOPEZ OSCAR MAURICIO"/>
    <s v="05.04.2011"/>
    <e v="#N/A"/>
    <e v="#N/A"/>
    <e v="#N/A"/>
    <x v="1"/>
  </r>
  <r>
    <x v="147"/>
    <s v="BERRIOS LOPEZ OSCAR MAURICIO"/>
    <s v="06.04.2011"/>
    <e v="#N/A"/>
    <e v="#N/A"/>
    <e v="#N/A"/>
    <x v="1"/>
  </r>
  <r>
    <x v="147"/>
    <s v="BERRIOS LOPEZ OSCAR MAURICIO"/>
    <s v="06.04.2011"/>
    <e v="#N/A"/>
    <e v="#N/A"/>
    <e v="#N/A"/>
    <x v="1"/>
  </r>
  <r>
    <x v="147"/>
    <s v="BERRIOS LOPEZ OSCAR MAURICIO"/>
    <s v="07.04.2011"/>
    <e v="#N/A"/>
    <e v="#N/A"/>
    <e v="#N/A"/>
    <x v="1"/>
  </r>
  <r>
    <x v="147"/>
    <s v="BERRIOS LOPEZ OSCAR MAURICIO"/>
    <s v="07.04.2011"/>
    <e v="#N/A"/>
    <e v="#N/A"/>
    <e v="#N/A"/>
    <x v="1"/>
  </r>
  <r>
    <x v="147"/>
    <s v="BERRIOS LOPEZ OSCAR MAURICIO"/>
    <s v="08.04.2011"/>
    <e v="#N/A"/>
    <e v="#N/A"/>
    <e v="#N/A"/>
    <x v="1"/>
  </r>
  <r>
    <x v="147"/>
    <s v="BERRIOS LOPEZ OSCAR MAURICIO"/>
    <s v="08.04.2011"/>
    <e v="#N/A"/>
    <e v="#N/A"/>
    <e v="#N/A"/>
    <x v="1"/>
  </r>
  <r>
    <x v="148"/>
    <s v="SALINAS MARIN EDUARDO"/>
    <s v="04.04.2011"/>
    <e v="#N/A"/>
    <e v="#N/A"/>
    <e v="#N/A"/>
    <x v="1"/>
  </r>
  <r>
    <x v="148"/>
    <s v="SALINAS MARIN EDUARDO"/>
    <s v="04.04.2011"/>
    <e v="#N/A"/>
    <e v="#N/A"/>
    <e v="#N/A"/>
    <x v="1"/>
  </r>
  <r>
    <x v="148"/>
    <s v="SALINAS MARIN EDUARDO"/>
    <s v="05.04.2011"/>
    <e v="#N/A"/>
    <e v="#N/A"/>
    <e v="#N/A"/>
    <x v="1"/>
  </r>
  <r>
    <x v="148"/>
    <s v="SALINAS MARIN EDUARDO"/>
    <s v="05.04.2011"/>
    <e v="#N/A"/>
    <e v="#N/A"/>
    <e v="#N/A"/>
    <x v="1"/>
  </r>
  <r>
    <x v="148"/>
    <s v="SALINAS MARIN EDUARDO"/>
    <s v="07.04.2011"/>
    <e v="#N/A"/>
    <e v="#N/A"/>
    <e v="#N/A"/>
    <x v="1"/>
  </r>
  <r>
    <x v="148"/>
    <s v="SALINAS MARIN EDUARDO"/>
    <s v="07.04.2011"/>
    <e v="#N/A"/>
    <e v="#N/A"/>
    <e v="#N/A"/>
    <x v="1"/>
  </r>
  <r>
    <x v="148"/>
    <s v="SALINAS MARIN EDUARDO"/>
    <s v="08.04.2011"/>
    <e v="#N/A"/>
    <e v="#N/A"/>
    <e v="#N/A"/>
    <x v="1"/>
  </r>
  <r>
    <x v="148"/>
    <s v="SALINAS MARIN EDUARDO"/>
    <s v="08.04.2011"/>
    <e v="#N/A"/>
    <e v="#N/A"/>
    <e v="#N/A"/>
    <x v="1"/>
  </r>
  <r>
    <x v="148"/>
    <s v="SALINAS MARIN EDUARDO"/>
    <s v="09.04.2011"/>
    <e v="#N/A"/>
    <e v="#N/A"/>
    <e v="#N/A"/>
    <x v="1"/>
  </r>
  <r>
    <x v="148"/>
    <s v="SALINAS MARIN EDUARDO"/>
    <s v="09.04.2011"/>
    <e v="#N/A"/>
    <e v="#N/A"/>
    <e v="#N/A"/>
    <x v="1"/>
  </r>
  <r>
    <x v="149"/>
    <s v="OYANEDEL COFRE JULIO HERNAN"/>
    <s v="04.04.2011"/>
    <e v="#N/A"/>
    <e v="#N/A"/>
    <e v="#N/A"/>
    <x v="1"/>
  </r>
  <r>
    <x v="149"/>
    <s v="OYANEDEL COFRE JULIO HERNAN"/>
    <s v="04.04.2011"/>
    <e v="#N/A"/>
    <e v="#N/A"/>
    <e v="#N/A"/>
    <x v="1"/>
  </r>
  <r>
    <x v="149"/>
    <s v="OYANEDEL COFRE JULIO HERNAN"/>
    <s v="05.04.2011"/>
    <e v="#N/A"/>
    <e v="#N/A"/>
    <e v="#N/A"/>
    <x v="1"/>
  </r>
  <r>
    <x v="149"/>
    <s v="OYANEDEL COFRE JULIO HERNAN"/>
    <s v="05.04.2011"/>
    <e v="#N/A"/>
    <e v="#N/A"/>
    <e v="#N/A"/>
    <x v="1"/>
  </r>
  <r>
    <x v="149"/>
    <s v="OYANEDEL COFRE JULIO HERNAN"/>
    <s v="06.04.2011"/>
    <e v="#N/A"/>
    <e v="#N/A"/>
    <e v="#N/A"/>
    <x v="1"/>
  </r>
  <r>
    <x v="149"/>
    <s v="OYANEDEL COFRE JULIO HERNAN"/>
    <s v="06.04.2011"/>
    <e v="#N/A"/>
    <e v="#N/A"/>
    <e v="#N/A"/>
    <x v="1"/>
  </r>
  <r>
    <x v="149"/>
    <s v="OYANEDEL COFRE JULIO HERNAN"/>
    <s v="07.04.2011"/>
    <e v="#N/A"/>
    <e v="#N/A"/>
    <e v="#N/A"/>
    <x v="1"/>
  </r>
  <r>
    <x v="149"/>
    <s v="OYANEDEL COFRE JULIO HERNAN"/>
    <s v="07.04.2011"/>
    <e v="#N/A"/>
    <e v="#N/A"/>
    <e v="#N/A"/>
    <x v="1"/>
  </r>
  <r>
    <x v="149"/>
    <s v="OYANEDEL COFRE JULIO HERNAN"/>
    <s v="08.04.2011"/>
    <e v="#N/A"/>
    <e v="#N/A"/>
    <e v="#N/A"/>
    <x v="1"/>
  </r>
  <r>
    <x v="149"/>
    <s v="OYANEDEL COFRE JULIO HERNAN"/>
    <s v="08.04.2011"/>
    <e v="#N/A"/>
    <e v="#N/A"/>
    <e v="#N/A"/>
    <x v="1"/>
  </r>
  <r>
    <x v="149"/>
    <s v="OYANEDEL COFRE JULIO HERNAN"/>
    <s v="09.04.2011"/>
    <e v="#N/A"/>
    <e v="#N/A"/>
    <e v="#N/A"/>
    <x v="1"/>
  </r>
  <r>
    <x v="149"/>
    <s v="OYANEDEL COFRE JULIO HERNAN"/>
    <s v="09.04.2011"/>
    <e v="#N/A"/>
    <e v="#N/A"/>
    <e v="#N/A"/>
    <x v="1"/>
  </r>
  <r>
    <x v="150"/>
    <s v="NOLBERTO  VILLAFAÑA  IBAÑEZ"/>
    <s v="04.04.2011"/>
    <e v="#N/A"/>
    <e v="#N/A"/>
    <e v="#N/A"/>
    <x v="1"/>
  </r>
  <r>
    <x v="150"/>
    <s v="NOLBERTO  VILLAFAÑA  IBAÑEZ"/>
    <s v="04.04.2011"/>
    <e v="#N/A"/>
    <e v="#N/A"/>
    <e v="#N/A"/>
    <x v="1"/>
  </r>
  <r>
    <x v="150"/>
    <s v="NOLBERTO  VILLAFAÑA  IBAÑEZ"/>
    <s v="05.04.2011"/>
    <e v="#N/A"/>
    <e v="#N/A"/>
    <e v="#N/A"/>
    <x v="1"/>
  </r>
  <r>
    <x v="150"/>
    <s v="NOLBERTO  VILLAFAÑA  IBAÑEZ"/>
    <s v="05.04.2011"/>
    <e v="#N/A"/>
    <e v="#N/A"/>
    <e v="#N/A"/>
    <x v="1"/>
  </r>
  <r>
    <x v="150"/>
    <s v="NOLBERTO  VILLAFAÑA  IBAÑEZ"/>
    <s v="06.04.2011"/>
    <e v="#N/A"/>
    <e v="#N/A"/>
    <e v="#N/A"/>
    <x v="1"/>
  </r>
  <r>
    <x v="150"/>
    <s v="NOLBERTO  VILLAFAÑA  IBAÑEZ"/>
    <s v="06.04.2011"/>
    <e v="#N/A"/>
    <e v="#N/A"/>
    <e v="#N/A"/>
    <x v="1"/>
  </r>
  <r>
    <x v="150"/>
    <s v="NOLBERTO  VILLAFAÑA  IBAÑEZ"/>
    <s v="07.04.2011"/>
    <e v="#N/A"/>
    <e v="#N/A"/>
    <e v="#N/A"/>
    <x v="1"/>
  </r>
  <r>
    <x v="150"/>
    <s v="NOLBERTO  VILLAFAÑA  IBAÑEZ"/>
    <s v="07.04.2011"/>
    <e v="#N/A"/>
    <e v="#N/A"/>
    <e v="#N/A"/>
    <x v="1"/>
  </r>
  <r>
    <x v="150"/>
    <s v="NOLBERTO  VILLAFAÑA  IBAÑEZ"/>
    <s v="08.04.2011"/>
    <e v="#N/A"/>
    <e v="#N/A"/>
    <e v="#N/A"/>
    <x v="1"/>
  </r>
  <r>
    <x v="150"/>
    <s v="NOLBERTO  VILLAFAÑA  IBAÑEZ"/>
    <s v="08.04.2011"/>
    <e v="#N/A"/>
    <e v="#N/A"/>
    <e v="#N/A"/>
    <x v="1"/>
  </r>
  <r>
    <x v="150"/>
    <s v="NOLBERTO  VILLAFAÑA  IBAÑEZ"/>
    <s v="09.04.2011"/>
    <e v="#N/A"/>
    <e v="#N/A"/>
    <e v="#N/A"/>
    <x v="1"/>
  </r>
  <r>
    <x v="150"/>
    <s v="NOLBERTO  VILLAFAÑA  IBAÑEZ"/>
    <s v="09.04.2011"/>
    <e v="#N/A"/>
    <e v="#N/A"/>
    <e v="#N/A"/>
    <x v="1"/>
  </r>
  <r>
    <x v="151"/>
    <s v="MORALES  NUÑEZ, PATRICIO"/>
    <s v="04.04.2011"/>
    <e v="#N/A"/>
    <e v="#N/A"/>
    <e v="#N/A"/>
    <x v="1"/>
  </r>
  <r>
    <x v="151"/>
    <s v="MORALES  NUÑEZ, PATRICIO"/>
    <s v="05.04.2011"/>
    <e v="#N/A"/>
    <e v="#N/A"/>
    <e v="#N/A"/>
    <x v="1"/>
  </r>
  <r>
    <x v="151"/>
    <s v="MORALES  NUÑEZ, PATRICIO"/>
    <s v="05.04.2011"/>
    <e v="#N/A"/>
    <e v="#N/A"/>
    <e v="#N/A"/>
    <x v="1"/>
  </r>
  <r>
    <x v="151"/>
    <s v="MORALES  NUÑEZ, PATRICIO"/>
    <s v="06.04.2011"/>
    <e v="#N/A"/>
    <e v="#N/A"/>
    <e v="#N/A"/>
    <x v="1"/>
  </r>
  <r>
    <x v="151"/>
    <s v="MORALES  NUÑEZ, PATRICIO"/>
    <s v="06.04.2011"/>
    <e v="#N/A"/>
    <e v="#N/A"/>
    <e v="#N/A"/>
    <x v="1"/>
  </r>
  <r>
    <x v="151"/>
    <s v="MORALES  NUÑEZ, PATRICIO"/>
    <s v="07.04.2011"/>
    <e v="#N/A"/>
    <e v="#N/A"/>
    <e v="#N/A"/>
    <x v="1"/>
  </r>
  <r>
    <x v="151"/>
    <s v="MORALES  NUÑEZ, PATRICIO"/>
    <s v="07.04.2011"/>
    <e v="#N/A"/>
    <e v="#N/A"/>
    <e v="#N/A"/>
    <x v="1"/>
  </r>
  <r>
    <x v="151"/>
    <s v="MORALES  NUÑEZ, PATRICIO"/>
    <s v="08.04.2011"/>
    <e v="#N/A"/>
    <e v="#N/A"/>
    <e v="#N/A"/>
    <x v="1"/>
  </r>
  <r>
    <x v="151"/>
    <s v="MORALES  NUÑEZ, PATRICIO"/>
    <s v="08.04.2011"/>
    <e v="#N/A"/>
    <e v="#N/A"/>
    <e v="#N/A"/>
    <x v="1"/>
  </r>
  <r>
    <x v="151"/>
    <s v="MORALES  NUÑEZ, PATRICIO"/>
    <s v="09.04.2011"/>
    <e v="#N/A"/>
    <e v="#N/A"/>
    <e v="#N/A"/>
    <x v="1"/>
  </r>
  <r>
    <x v="152"/>
    <s v="SANCHEZ TORRES MARCELINO JHONATTAN"/>
    <s v="04.04.2011"/>
    <e v="#N/A"/>
    <e v="#N/A"/>
    <e v="#N/A"/>
    <x v="1"/>
  </r>
  <r>
    <x v="152"/>
    <s v="SANCHEZ TORRES MARCELINO JHONATTAN"/>
    <s v="04.04.2011"/>
    <e v="#N/A"/>
    <e v="#N/A"/>
    <e v="#N/A"/>
    <x v="1"/>
  </r>
  <r>
    <x v="152"/>
    <s v="SANCHEZ TORRES MARCELINO JHONATTAN"/>
    <s v="05.04.2011"/>
    <e v="#N/A"/>
    <e v="#N/A"/>
    <e v="#N/A"/>
    <x v="1"/>
  </r>
  <r>
    <x v="152"/>
    <s v="SANCHEZ TORRES MARCELINO JHONATTAN"/>
    <s v="05.04.2011"/>
    <e v="#N/A"/>
    <e v="#N/A"/>
    <e v="#N/A"/>
    <x v="1"/>
  </r>
  <r>
    <x v="152"/>
    <s v="SANCHEZ TORRES MARCELINO JHONATTAN"/>
    <s v="06.04.2011"/>
    <e v="#N/A"/>
    <e v="#N/A"/>
    <e v="#N/A"/>
    <x v="1"/>
  </r>
  <r>
    <x v="152"/>
    <s v="SANCHEZ TORRES MARCELINO JHONATTAN"/>
    <s v="06.04.2011"/>
    <e v="#N/A"/>
    <e v="#N/A"/>
    <e v="#N/A"/>
    <x v="1"/>
  </r>
  <r>
    <x v="152"/>
    <s v="SANCHEZ TORRES MARCELINO JHONATTAN"/>
    <s v="07.04.2011"/>
    <e v="#N/A"/>
    <e v="#N/A"/>
    <e v="#N/A"/>
    <x v="1"/>
  </r>
  <r>
    <x v="152"/>
    <s v="SANCHEZ TORRES MARCELINO JHONATTAN"/>
    <s v="07.04.2011"/>
    <e v="#N/A"/>
    <e v="#N/A"/>
    <e v="#N/A"/>
    <x v="1"/>
  </r>
  <r>
    <x v="152"/>
    <s v="SANCHEZ TORRES MARCELINO JHONATTAN"/>
    <s v="08.04.2011"/>
    <e v="#N/A"/>
    <e v="#N/A"/>
    <e v="#N/A"/>
    <x v="1"/>
  </r>
  <r>
    <x v="152"/>
    <s v="SANCHEZ TORRES MARCELINO JHONATTAN"/>
    <s v="08.04.2011"/>
    <e v="#N/A"/>
    <e v="#N/A"/>
    <e v="#N/A"/>
    <x v="1"/>
  </r>
  <r>
    <x v="152"/>
    <s v="SANCHEZ TORRES MARCELINO JHONATTAN"/>
    <s v="09.04.2011"/>
    <e v="#N/A"/>
    <e v="#N/A"/>
    <e v="#N/A"/>
    <x v="1"/>
  </r>
  <r>
    <x v="152"/>
    <s v="SANCHEZ TORRES MARCELINO JHONATTAN"/>
    <s v="09.04.2011"/>
    <e v="#N/A"/>
    <e v="#N/A"/>
    <e v="#N/A"/>
    <x v="1"/>
  </r>
  <r>
    <x v="153"/>
    <s v="LEDESMA ARRIAGADA GONZALO"/>
    <s v="04.04.2011"/>
    <e v="#N/A"/>
    <e v="#N/A"/>
    <e v="#N/A"/>
    <x v="1"/>
  </r>
  <r>
    <x v="153"/>
    <s v="LEDESMA ARRIAGADA GONZALO"/>
    <s v="04.04.2011"/>
    <e v="#N/A"/>
    <e v="#N/A"/>
    <e v="#N/A"/>
    <x v="1"/>
  </r>
  <r>
    <x v="153"/>
    <s v="LEDESMA ARRIAGADA GONZALO"/>
    <s v="05.04.2011"/>
    <e v="#N/A"/>
    <e v="#N/A"/>
    <e v="#N/A"/>
    <x v="1"/>
  </r>
  <r>
    <x v="153"/>
    <s v="LEDESMA ARRIAGADA GONZALO"/>
    <s v="05.04.2011"/>
    <e v="#N/A"/>
    <e v="#N/A"/>
    <e v="#N/A"/>
    <x v="1"/>
  </r>
  <r>
    <x v="153"/>
    <s v="LEDESMA ARRIAGADA GONZALO"/>
    <s v="06.04.2011"/>
    <e v="#N/A"/>
    <e v="#N/A"/>
    <e v="#N/A"/>
    <x v="1"/>
  </r>
  <r>
    <x v="153"/>
    <s v="LEDESMA ARRIAGADA GONZALO"/>
    <s v="06.04.2011"/>
    <e v="#N/A"/>
    <e v="#N/A"/>
    <e v="#N/A"/>
    <x v="1"/>
  </r>
  <r>
    <x v="153"/>
    <s v="LEDESMA ARRIAGADA GONZALO"/>
    <s v="07.04.2011"/>
    <e v="#N/A"/>
    <e v="#N/A"/>
    <e v="#N/A"/>
    <x v="1"/>
  </r>
  <r>
    <x v="153"/>
    <s v="LEDESMA ARRIAGADA GONZALO"/>
    <s v="07.04.2011"/>
    <e v="#N/A"/>
    <e v="#N/A"/>
    <e v="#N/A"/>
    <x v="1"/>
  </r>
  <r>
    <x v="154"/>
    <s v="MILLAN HERRERA MARIA ELIANA"/>
    <s v="04.04.2011"/>
    <e v="#N/A"/>
    <e v="#N/A"/>
    <e v="#N/A"/>
    <x v="1"/>
  </r>
  <r>
    <x v="154"/>
    <s v="MILLAN HERRERA MARIA ELIANA"/>
    <s v="04.04.2011"/>
    <e v="#N/A"/>
    <e v="#N/A"/>
    <e v="#N/A"/>
    <x v="1"/>
  </r>
  <r>
    <x v="154"/>
    <s v="MILLAN HERRERA MARIA ELIANA"/>
    <s v="05.04.2011"/>
    <e v="#N/A"/>
    <e v="#N/A"/>
    <e v="#N/A"/>
    <x v="1"/>
  </r>
  <r>
    <x v="154"/>
    <s v="MILLAN HERRERA MARIA ELIANA"/>
    <s v="05.04.2011"/>
    <e v="#N/A"/>
    <e v="#N/A"/>
    <e v="#N/A"/>
    <x v="1"/>
  </r>
  <r>
    <x v="154"/>
    <s v="MILLAN HERRERA MARIA ELIANA"/>
    <s v="06.04.2011"/>
    <e v="#N/A"/>
    <e v="#N/A"/>
    <e v="#N/A"/>
    <x v="1"/>
  </r>
  <r>
    <x v="154"/>
    <s v="MILLAN HERRERA MARIA ELIANA"/>
    <s v="06.04.2011"/>
    <e v="#N/A"/>
    <e v="#N/A"/>
    <e v="#N/A"/>
    <x v="1"/>
  </r>
  <r>
    <x v="154"/>
    <s v="MILLAN HERRERA MARIA ELIANA"/>
    <s v="07.04.2011"/>
    <e v="#N/A"/>
    <e v="#N/A"/>
    <e v="#N/A"/>
    <x v="1"/>
  </r>
  <r>
    <x v="154"/>
    <s v="MILLAN HERRERA MARIA ELIANA"/>
    <s v="07.04.2011"/>
    <e v="#N/A"/>
    <e v="#N/A"/>
    <e v="#N/A"/>
    <x v="1"/>
  </r>
  <r>
    <x v="154"/>
    <s v="MILLAN HERRERA MARIA ELIANA"/>
    <s v="08.04.2011"/>
    <e v="#N/A"/>
    <e v="#N/A"/>
    <e v="#N/A"/>
    <x v="1"/>
  </r>
  <r>
    <x v="154"/>
    <s v="MILLAN HERRERA MARIA ELIANA"/>
    <s v="08.04.2011"/>
    <e v="#N/A"/>
    <e v="#N/A"/>
    <e v="#N/A"/>
    <x v="1"/>
  </r>
  <r>
    <x v="154"/>
    <s v="MILLAN HERRERA MARIA ELIANA"/>
    <s v="09.04.2011"/>
    <e v="#N/A"/>
    <e v="#N/A"/>
    <e v="#N/A"/>
    <x v="1"/>
  </r>
  <r>
    <x v="154"/>
    <s v="MILLAN HERRERA MARIA ELIANA"/>
    <s v="09.04.2011"/>
    <e v="#N/A"/>
    <e v="#N/A"/>
    <e v="#N/A"/>
    <x v="1"/>
  </r>
  <r>
    <x v="155"/>
    <s v="NORESE GUAJARDO AMERICO "/>
    <s v="04.04.2011"/>
    <e v="#N/A"/>
    <e v="#N/A"/>
    <e v="#N/A"/>
    <x v="1"/>
  </r>
  <r>
    <x v="155"/>
    <s v="NORESE GUAJARDO AMERICO "/>
    <s v="04.04.2011"/>
    <e v="#N/A"/>
    <e v="#N/A"/>
    <e v="#N/A"/>
    <x v="1"/>
  </r>
  <r>
    <x v="155"/>
    <s v="NORESE GUAJARDO AMERICO "/>
    <s v="05.04.2011"/>
    <e v="#N/A"/>
    <e v="#N/A"/>
    <e v="#N/A"/>
    <x v="1"/>
  </r>
  <r>
    <x v="155"/>
    <s v="NORESE GUAJARDO AMERICO "/>
    <s v="05.04.2011"/>
    <e v="#N/A"/>
    <e v="#N/A"/>
    <e v="#N/A"/>
    <x v="1"/>
  </r>
  <r>
    <x v="155"/>
    <s v="NORESE GUAJARDO AMERICO "/>
    <s v="06.04.2011"/>
    <e v="#N/A"/>
    <e v="#N/A"/>
    <e v="#N/A"/>
    <x v="1"/>
  </r>
  <r>
    <x v="155"/>
    <s v="NORESE GUAJARDO AMERICO "/>
    <s v="06.04.2011"/>
    <e v="#N/A"/>
    <e v="#N/A"/>
    <e v="#N/A"/>
    <x v="1"/>
  </r>
  <r>
    <x v="155"/>
    <s v="NORESE GUAJARDO AMERICO "/>
    <s v="07.04.2011"/>
    <e v="#N/A"/>
    <e v="#N/A"/>
    <e v="#N/A"/>
    <x v="1"/>
  </r>
  <r>
    <x v="155"/>
    <s v="NORESE GUAJARDO AMERICO "/>
    <s v="07.04.2011"/>
    <e v="#N/A"/>
    <e v="#N/A"/>
    <e v="#N/A"/>
    <x v="1"/>
  </r>
  <r>
    <x v="155"/>
    <s v="NORESE GUAJARDO AMERICO "/>
    <s v="08.04.2011"/>
    <e v="#N/A"/>
    <e v="#N/A"/>
    <e v="#N/A"/>
    <x v="1"/>
  </r>
  <r>
    <x v="155"/>
    <s v="NORESE GUAJARDO AMERICO "/>
    <s v="08.04.2011"/>
    <e v="#N/A"/>
    <e v="#N/A"/>
    <e v="#N/A"/>
    <x v="1"/>
  </r>
  <r>
    <x v="156"/>
    <s v="MARIN MOSCOSO MARION RAQUEL"/>
    <s v="04.04.2011"/>
    <e v="#N/A"/>
    <e v="#N/A"/>
    <e v="#N/A"/>
    <x v="1"/>
  </r>
  <r>
    <x v="156"/>
    <s v="MARIN MOSCOSO MARION RAQUEL"/>
    <s v="05.04.2011"/>
    <e v="#N/A"/>
    <e v="#N/A"/>
    <e v="#N/A"/>
    <x v="1"/>
  </r>
  <r>
    <x v="156"/>
    <s v="MARIN MOSCOSO MARION RAQUEL"/>
    <s v="05.04.2011"/>
    <e v="#N/A"/>
    <e v="#N/A"/>
    <e v="#N/A"/>
    <x v="1"/>
  </r>
  <r>
    <x v="156"/>
    <s v="MARIN MOSCOSO MARION RAQUEL"/>
    <s v="06.04.2011"/>
    <e v="#N/A"/>
    <e v="#N/A"/>
    <e v="#N/A"/>
    <x v="1"/>
  </r>
  <r>
    <x v="156"/>
    <s v="MARIN MOSCOSO MARION RAQUEL"/>
    <s v="06.04.2011"/>
    <e v="#N/A"/>
    <e v="#N/A"/>
    <e v="#N/A"/>
    <x v="1"/>
  </r>
  <r>
    <x v="156"/>
    <s v="MARIN MOSCOSO MARION RAQUEL"/>
    <s v="07.04.2011"/>
    <e v="#N/A"/>
    <e v="#N/A"/>
    <e v="#N/A"/>
    <x v="1"/>
  </r>
  <r>
    <x v="156"/>
    <s v="MARIN MOSCOSO MARION RAQUEL"/>
    <s v="07.04.2011"/>
    <e v="#N/A"/>
    <e v="#N/A"/>
    <e v="#N/A"/>
    <x v="1"/>
  </r>
  <r>
    <x v="156"/>
    <s v="MARIN MOSCOSO MARION RAQUEL"/>
    <s v="08.04.2011"/>
    <e v="#N/A"/>
    <e v="#N/A"/>
    <e v="#N/A"/>
    <x v="1"/>
  </r>
  <r>
    <x v="156"/>
    <s v="MARIN MOSCOSO MARION RAQUEL"/>
    <s v="08.04.2011"/>
    <e v="#N/A"/>
    <e v="#N/A"/>
    <e v="#N/A"/>
    <x v="1"/>
  </r>
  <r>
    <x v="156"/>
    <s v="MARIN MOSCOSO MARION RAQUEL"/>
    <s v="09.04.2011"/>
    <e v="#N/A"/>
    <e v="#N/A"/>
    <e v="#N/A"/>
    <x v="1"/>
  </r>
  <r>
    <x v="157"/>
    <s v="ZAVALA ARAVENA FELIPE"/>
    <s v="00.00.0000"/>
    <e v="#N/A"/>
    <e v="#N/A"/>
    <e v="#N/A"/>
    <x v="1"/>
  </r>
  <r>
    <x v="158"/>
    <s v="SEPULVEDA ANTILEO JOSE LUIS"/>
    <s v="04.04.2011"/>
    <e v="#N/A"/>
    <e v="#N/A"/>
    <e v="#N/A"/>
    <x v="1"/>
  </r>
  <r>
    <x v="158"/>
    <s v="SEPULVEDA ANTILEO JOSE LUIS"/>
    <s v="04.04.2011"/>
    <e v="#N/A"/>
    <e v="#N/A"/>
    <e v="#N/A"/>
    <x v="1"/>
  </r>
  <r>
    <x v="158"/>
    <s v="SEPULVEDA ANTILEO JOSE LUIS"/>
    <s v="05.04.2011"/>
    <e v="#N/A"/>
    <e v="#N/A"/>
    <e v="#N/A"/>
    <x v="1"/>
  </r>
  <r>
    <x v="158"/>
    <s v="SEPULVEDA ANTILEO JOSE LUIS"/>
    <s v="05.04.2011"/>
    <e v="#N/A"/>
    <e v="#N/A"/>
    <e v="#N/A"/>
    <x v="1"/>
  </r>
  <r>
    <x v="158"/>
    <s v="SEPULVEDA ANTILEO JOSE LUIS"/>
    <s v="06.04.2011"/>
    <e v="#N/A"/>
    <e v="#N/A"/>
    <e v="#N/A"/>
    <x v="1"/>
  </r>
  <r>
    <x v="158"/>
    <s v="SEPULVEDA ANTILEO JOSE LUIS"/>
    <s v="06.04.2011"/>
    <e v="#N/A"/>
    <e v="#N/A"/>
    <e v="#N/A"/>
    <x v="1"/>
  </r>
  <r>
    <x v="158"/>
    <s v="SEPULVEDA ANTILEO JOSE LUIS"/>
    <s v="07.04.2011"/>
    <e v="#N/A"/>
    <e v="#N/A"/>
    <e v="#N/A"/>
    <x v="1"/>
  </r>
  <r>
    <x v="158"/>
    <s v="SEPULVEDA ANTILEO JOSE LUIS"/>
    <s v="07.04.2011"/>
    <e v="#N/A"/>
    <e v="#N/A"/>
    <e v="#N/A"/>
    <x v="1"/>
  </r>
  <r>
    <x v="158"/>
    <s v="SEPULVEDA ANTILEO JOSE LUIS"/>
    <s v="08.04.2011"/>
    <e v="#N/A"/>
    <e v="#N/A"/>
    <e v="#N/A"/>
    <x v="1"/>
  </r>
  <r>
    <x v="158"/>
    <s v="SEPULVEDA ANTILEO JOSE LUIS"/>
    <s v="08.04.2011"/>
    <e v="#N/A"/>
    <e v="#N/A"/>
    <e v="#N/A"/>
    <x v="1"/>
  </r>
  <r>
    <x v="158"/>
    <s v="SEPULVEDA ANTILEO JOSE LUIS"/>
    <s v="09.04.2011"/>
    <e v="#N/A"/>
    <e v="#N/A"/>
    <e v="#N/A"/>
    <x v="1"/>
  </r>
  <r>
    <x v="158"/>
    <s v="SEPULVEDA ANTILEO JOSE LUIS"/>
    <s v="09.04.2011"/>
    <e v="#N/A"/>
    <e v="#N/A"/>
    <e v="#N/A"/>
    <x v="1"/>
  </r>
  <r>
    <x v="159"/>
    <s v="ALLENDES VARGAS MAURICIO"/>
    <s v="04.04.2011"/>
    <e v="#N/A"/>
    <e v="#N/A"/>
    <e v="#N/A"/>
    <x v="1"/>
  </r>
  <r>
    <x v="159"/>
    <s v="ALLENDES VARGAS MAURICIO"/>
    <s v="04.04.2011"/>
    <e v="#N/A"/>
    <e v="#N/A"/>
    <e v="#N/A"/>
    <x v="1"/>
  </r>
  <r>
    <x v="159"/>
    <s v="ALLENDES VARGAS MAURICIO"/>
    <s v="05.04.2011"/>
    <e v="#N/A"/>
    <e v="#N/A"/>
    <e v="#N/A"/>
    <x v="1"/>
  </r>
  <r>
    <x v="159"/>
    <s v="ALLENDES VARGAS MAURICIO"/>
    <s v="05.04.2011"/>
    <e v="#N/A"/>
    <e v="#N/A"/>
    <e v="#N/A"/>
    <x v="1"/>
  </r>
  <r>
    <x v="159"/>
    <s v="ALLENDES VARGAS MAURICIO"/>
    <s v="06.04.2011"/>
    <e v="#N/A"/>
    <e v="#N/A"/>
    <e v="#N/A"/>
    <x v="1"/>
  </r>
  <r>
    <x v="159"/>
    <s v="ALLENDES VARGAS MAURICIO"/>
    <s v="06.04.2011"/>
    <e v="#N/A"/>
    <e v="#N/A"/>
    <e v="#N/A"/>
    <x v="1"/>
  </r>
  <r>
    <x v="159"/>
    <s v="ALLENDES VARGAS MAURICIO"/>
    <s v="07.04.2011"/>
    <e v="#N/A"/>
    <e v="#N/A"/>
    <e v="#N/A"/>
    <x v="1"/>
  </r>
  <r>
    <x v="159"/>
    <s v="ALLENDES VARGAS MAURICIO"/>
    <s v="07.04.2011"/>
    <e v="#N/A"/>
    <e v="#N/A"/>
    <e v="#N/A"/>
    <x v="1"/>
  </r>
  <r>
    <x v="159"/>
    <s v="ALLENDES VARGAS MAURICIO"/>
    <s v="08.04.2011"/>
    <e v="#N/A"/>
    <e v="#N/A"/>
    <e v="#N/A"/>
    <x v="1"/>
  </r>
  <r>
    <x v="159"/>
    <s v="ALLENDES VARGAS MAURICIO"/>
    <s v="08.04.2011"/>
    <e v="#N/A"/>
    <e v="#N/A"/>
    <e v="#N/A"/>
    <x v="1"/>
  </r>
  <r>
    <x v="159"/>
    <s v="ALLENDES VARGAS MAURICIO"/>
    <s v="09.04.2011"/>
    <e v="#N/A"/>
    <e v="#N/A"/>
    <e v="#N/A"/>
    <x v="1"/>
  </r>
  <r>
    <x v="159"/>
    <s v="ALLENDES VARGAS MAURICIO"/>
    <s v="09.04.2011"/>
    <e v="#N/A"/>
    <e v="#N/A"/>
    <e v="#N/A"/>
    <x v="1"/>
  </r>
  <r>
    <x v="160"/>
    <s v="URETA  PAREDES, EMILIO"/>
    <s v="05.04.2011"/>
    <e v="#N/A"/>
    <e v="#N/A"/>
    <e v="#N/A"/>
    <x v="1"/>
  </r>
  <r>
    <x v="160"/>
    <s v="URETA  PAREDES, EMILIO"/>
    <s v="05.04.2011"/>
    <e v="#N/A"/>
    <e v="#N/A"/>
    <e v="#N/A"/>
    <x v="1"/>
  </r>
  <r>
    <x v="160"/>
    <s v="URETA  PAREDES, EMILIO"/>
    <s v="06.04.2011"/>
    <e v="#N/A"/>
    <e v="#N/A"/>
    <e v="#N/A"/>
    <x v="1"/>
  </r>
  <r>
    <x v="160"/>
    <s v="URETA  PAREDES, EMILIO"/>
    <s v="06.04.2011"/>
    <e v="#N/A"/>
    <e v="#N/A"/>
    <e v="#N/A"/>
    <x v="1"/>
  </r>
  <r>
    <x v="160"/>
    <s v="URETA  PAREDES, EMILIO"/>
    <s v="08.04.2011"/>
    <e v="#N/A"/>
    <e v="#N/A"/>
    <e v="#N/A"/>
    <x v="1"/>
  </r>
  <r>
    <x v="160"/>
    <s v="URETA  PAREDES, EMILIO"/>
    <s v="08.04.2011"/>
    <e v="#N/A"/>
    <e v="#N/A"/>
    <e v="#N/A"/>
    <x v="1"/>
  </r>
  <r>
    <x v="160"/>
    <s v="URETA  PAREDES, EMILIO"/>
    <s v="09.04.2011"/>
    <e v="#N/A"/>
    <e v="#N/A"/>
    <e v="#N/A"/>
    <x v="1"/>
  </r>
  <r>
    <x v="160"/>
    <s v="URETA  PAREDES, EMILIO"/>
    <s v="09.04.2011"/>
    <e v="#N/A"/>
    <e v="#N/A"/>
    <e v="#N/A"/>
    <x v="1"/>
  </r>
  <r>
    <x v="161"/>
    <s v="ITURRIAGA ORELLANA DANIEL NEFTALI"/>
    <s v="04.04.2011"/>
    <e v="#N/A"/>
    <e v="#N/A"/>
    <e v="#N/A"/>
    <x v="1"/>
  </r>
  <r>
    <x v="161"/>
    <s v="ITURRIAGA ORELLANA DANIEL NEFTALI"/>
    <s v="05.04.2011"/>
    <e v="#N/A"/>
    <e v="#N/A"/>
    <e v="#N/A"/>
    <x v="1"/>
  </r>
  <r>
    <x v="161"/>
    <s v="ITURRIAGA ORELLANA DANIEL NEFTALI"/>
    <s v="05.04.2011"/>
    <e v="#N/A"/>
    <e v="#N/A"/>
    <e v="#N/A"/>
    <x v="1"/>
  </r>
  <r>
    <x v="161"/>
    <s v="ITURRIAGA ORELLANA DANIEL NEFTALI"/>
    <s v="06.04.2011"/>
    <e v="#N/A"/>
    <e v="#N/A"/>
    <e v="#N/A"/>
    <x v="1"/>
  </r>
  <r>
    <x v="161"/>
    <s v="ITURRIAGA ORELLANA DANIEL NEFTALI"/>
    <s v="06.04.2011"/>
    <e v="#N/A"/>
    <e v="#N/A"/>
    <e v="#N/A"/>
    <x v="1"/>
  </r>
  <r>
    <x v="161"/>
    <s v="ITURRIAGA ORELLANA DANIEL NEFTALI"/>
    <s v="07.04.2011"/>
    <e v="#N/A"/>
    <e v="#N/A"/>
    <e v="#N/A"/>
    <x v="1"/>
  </r>
  <r>
    <x v="161"/>
    <s v="ITURRIAGA ORELLANA DANIEL NEFTALI"/>
    <s v="07.04.2011"/>
    <e v="#N/A"/>
    <e v="#N/A"/>
    <e v="#N/A"/>
    <x v="1"/>
  </r>
  <r>
    <x v="161"/>
    <s v="ITURRIAGA ORELLANA DANIEL NEFTALI"/>
    <s v="08.04.2011"/>
    <e v="#N/A"/>
    <e v="#N/A"/>
    <e v="#N/A"/>
    <x v="1"/>
  </r>
  <r>
    <x v="161"/>
    <s v="ITURRIAGA ORELLANA DANIEL NEFTALI"/>
    <s v="08.04.2011"/>
    <e v="#N/A"/>
    <e v="#N/A"/>
    <e v="#N/A"/>
    <x v="1"/>
  </r>
  <r>
    <x v="161"/>
    <s v="ITURRIAGA ORELLANA DANIEL NEFTALI"/>
    <s v="09.04.2011"/>
    <e v="#N/A"/>
    <e v="#N/A"/>
    <e v="#N/A"/>
    <x v="1"/>
  </r>
  <r>
    <x v="162"/>
    <s v="BUSTAMANTE GONZALEZ MAURICIO ANDRES"/>
    <s v="04.04.2011"/>
    <e v="#N/A"/>
    <e v="#N/A"/>
    <e v="#N/A"/>
    <x v="1"/>
  </r>
  <r>
    <x v="162"/>
    <s v="BUSTAMANTE GONZALEZ MAURICIO ANDRES"/>
    <s v="04.04.2011"/>
    <e v="#N/A"/>
    <e v="#N/A"/>
    <e v="#N/A"/>
    <x v="1"/>
  </r>
  <r>
    <x v="162"/>
    <s v="BUSTAMANTE GONZALEZ MAURICIO ANDRES"/>
    <s v="05.04.2011"/>
    <e v="#N/A"/>
    <e v="#N/A"/>
    <e v="#N/A"/>
    <x v="1"/>
  </r>
  <r>
    <x v="162"/>
    <s v="BUSTAMANTE GONZALEZ MAURICIO ANDRES"/>
    <s v="05.04.2011"/>
    <e v="#N/A"/>
    <e v="#N/A"/>
    <e v="#N/A"/>
    <x v="1"/>
  </r>
  <r>
    <x v="162"/>
    <s v="BUSTAMANTE GONZALEZ MAURICIO ANDRES"/>
    <s v="06.04.2011"/>
    <e v="#N/A"/>
    <e v="#N/A"/>
    <e v="#N/A"/>
    <x v="1"/>
  </r>
  <r>
    <x v="162"/>
    <s v="BUSTAMANTE GONZALEZ MAURICIO ANDRES"/>
    <s v="06.04.2011"/>
    <e v="#N/A"/>
    <e v="#N/A"/>
    <e v="#N/A"/>
    <x v="1"/>
  </r>
  <r>
    <x v="162"/>
    <s v="BUSTAMANTE GONZALEZ MAURICIO ANDRES"/>
    <s v="07.04.2011"/>
    <e v="#N/A"/>
    <e v="#N/A"/>
    <e v="#N/A"/>
    <x v="1"/>
  </r>
  <r>
    <x v="162"/>
    <s v="BUSTAMANTE GONZALEZ MAURICIO ANDRES"/>
    <s v="07.04.2011"/>
    <e v="#N/A"/>
    <e v="#N/A"/>
    <e v="#N/A"/>
    <x v="1"/>
  </r>
  <r>
    <x v="162"/>
    <s v="BUSTAMANTE GONZALEZ MAURICIO ANDRES"/>
    <s v="08.04.2011"/>
    <e v="#N/A"/>
    <e v="#N/A"/>
    <e v="#N/A"/>
    <x v="1"/>
  </r>
  <r>
    <x v="162"/>
    <s v="BUSTAMANTE GONZALEZ MAURICIO ANDRES"/>
    <s v="08.04.2011"/>
    <e v="#N/A"/>
    <e v="#N/A"/>
    <e v="#N/A"/>
    <x v="1"/>
  </r>
  <r>
    <x v="162"/>
    <s v="BUSTAMANTE GONZALEZ MAURICIO ANDRES"/>
    <s v="09.04.2011"/>
    <e v="#N/A"/>
    <e v="#N/A"/>
    <e v="#N/A"/>
    <x v="1"/>
  </r>
  <r>
    <x v="162"/>
    <s v="BUSTAMANTE GONZALEZ MAURICIO ANDRES"/>
    <s v="09.04.2011"/>
    <e v="#N/A"/>
    <e v="#N/A"/>
    <e v="#N/A"/>
    <x v="1"/>
  </r>
  <r>
    <x v="163"/>
    <s v="MATURANA  SANDOVAL, LUIS"/>
    <s v="04.04.2011"/>
    <e v="#N/A"/>
    <e v="#N/A"/>
    <e v="#N/A"/>
    <x v="1"/>
  </r>
  <r>
    <x v="163"/>
    <s v="MATURANA  SANDOVAL, LUIS"/>
    <s v="04.04.2011"/>
    <e v="#N/A"/>
    <e v="#N/A"/>
    <e v="#N/A"/>
    <x v="1"/>
  </r>
  <r>
    <x v="163"/>
    <s v="MATURANA  SANDOVAL, LUIS"/>
    <s v="05.04.2011"/>
    <e v="#N/A"/>
    <e v="#N/A"/>
    <e v="#N/A"/>
    <x v="1"/>
  </r>
  <r>
    <x v="163"/>
    <s v="MATURANA  SANDOVAL, LUIS"/>
    <s v="05.04.2011"/>
    <e v="#N/A"/>
    <e v="#N/A"/>
    <e v="#N/A"/>
    <x v="1"/>
  </r>
  <r>
    <x v="163"/>
    <s v="MATURANA  SANDOVAL, LUIS"/>
    <s v="06.04.2011"/>
    <e v="#N/A"/>
    <e v="#N/A"/>
    <e v="#N/A"/>
    <x v="1"/>
  </r>
  <r>
    <x v="163"/>
    <s v="MATURANA  SANDOVAL, LUIS"/>
    <s v="06.04.2011"/>
    <e v="#N/A"/>
    <e v="#N/A"/>
    <e v="#N/A"/>
    <x v="1"/>
  </r>
  <r>
    <x v="163"/>
    <s v="MATURANA  SANDOVAL, LUIS"/>
    <s v="07.04.2011"/>
    <e v="#N/A"/>
    <e v="#N/A"/>
    <e v="#N/A"/>
    <x v="1"/>
  </r>
  <r>
    <x v="163"/>
    <s v="MATURANA  SANDOVAL, LUIS"/>
    <s v="07.04.2011"/>
    <e v="#N/A"/>
    <e v="#N/A"/>
    <e v="#N/A"/>
    <x v="1"/>
  </r>
  <r>
    <x v="163"/>
    <s v="MATURANA  SANDOVAL, LUIS"/>
    <s v="08.04.2011"/>
    <e v="#N/A"/>
    <e v="#N/A"/>
    <e v="#N/A"/>
    <x v="1"/>
  </r>
  <r>
    <x v="163"/>
    <s v="MATURANA  SANDOVAL, LUIS"/>
    <s v="08.04.2011"/>
    <e v="#N/A"/>
    <e v="#N/A"/>
    <e v="#N/A"/>
    <x v="1"/>
  </r>
  <r>
    <x v="163"/>
    <s v="MATURANA  SANDOVAL, LUIS"/>
    <s v="09.04.2011"/>
    <e v="#N/A"/>
    <e v="#N/A"/>
    <e v="#N/A"/>
    <x v="1"/>
  </r>
  <r>
    <x v="163"/>
    <s v="MATURANA  SANDOVAL, LUIS"/>
    <s v="09.04.2011"/>
    <e v="#N/A"/>
    <e v="#N/A"/>
    <e v="#N/A"/>
    <x v="1"/>
  </r>
  <r>
    <x v="164"/>
    <s v="RODRIGUEZ TORO GERARDO ALBERTO"/>
    <s v="04.04.2011"/>
    <e v="#N/A"/>
    <e v="#N/A"/>
    <e v="#N/A"/>
    <x v="1"/>
  </r>
  <r>
    <x v="164"/>
    <s v="RODRIGUEZ TORO GERARDO ALBERTO"/>
    <s v="04.04.2011"/>
    <e v="#N/A"/>
    <e v="#N/A"/>
    <e v="#N/A"/>
    <x v="1"/>
  </r>
  <r>
    <x v="164"/>
    <s v="RODRIGUEZ TORO GERARDO ALBERTO"/>
    <s v="05.04.2011"/>
    <e v="#N/A"/>
    <e v="#N/A"/>
    <e v="#N/A"/>
    <x v="1"/>
  </r>
  <r>
    <x v="164"/>
    <s v="RODRIGUEZ TORO GERARDO ALBERTO"/>
    <s v="05.04.2011"/>
    <e v="#N/A"/>
    <e v="#N/A"/>
    <e v="#N/A"/>
    <x v="1"/>
  </r>
  <r>
    <x v="164"/>
    <s v="RODRIGUEZ TORO GERARDO ALBERTO"/>
    <s v="06.04.2011"/>
    <e v="#N/A"/>
    <e v="#N/A"/>
    <e v="#N/A"/>
    <x v="1"/>
  </r>
  <r>
    <x v="164"/>
    <s v="RODRIGUEZ TORO GERARDO ALBERTO"/>
    <s v="06.04.2011"/>
    <e v="#N/A"/>
    <e v="#N/A"/>
    <e v="#N/A"/>
    <x v="1"/>
  </r>
  <r>
    <x v="164"/>
    <s v="RODRIGUEZ TORO GERARDO ALBERTO"/>
    <s v="07.04.2011"/>
    <e v="#N/A"/>
    <e v="#N/A"/>
    <e v="#N/A"/>
    <x v="1"/>
  </r>
  <r>
    <x v="164"/>
    <s v="RODRIGUEZ TORO GERARDO ALBERTO"/>
    <s v="07.04.2011"/>
    <e v="#N/A"/>
    <e v="#N/A"/>
    <e v="#N/A"/>
    <x v="1"/>
  </r>
  <r>
    <x v="164"/>
    <s v="RODRIGUEZ TORO GERARDO ALBERTO"/>
    <s v="08.04.2011"/>
    <e v="#N/A"/>
    <e v="#N/A"/>
    <e v="#N/A"/>
    <x v="1"/>
  </r>
  <r>
    <x v="164"/>
    <s v="RODRIGUEZ TORO GERARDO ALBERTO"/>
    <s v="08.04.2011"/>
    <e v="#N/A"/>
    <e v="#N/A"/>
    <e v="#N/A"/>
    <x v="1"/>
  </r>
  <r>
    <x v="164"/>
    <s v="RODRIGUEZ TORO GERARDO ALBERTO"/>
    <s v="09.04.2011"/>
    <e v="#N/A"/>
    <e v="#N/A"/>
    <e v="#N/A"/>
    <x v="1"/>
  </r>
  <r>
    <x v="164"/>
    <s v="RODRIGUEZ TORO GERARDO ALBERTO"/>
    <s v="09.04.2011"/>
    <e v="#N/A"/>
    <e v="#N/A"/>
    <e v="#N/A"/>
    <x v="1"/>
  </r>
  <r>
    <x v="165"/>
    <s v="OYARCE DIAZ CARLOS EUGENIO"/>
    <s v="04.04.2011"/>
    <e v="#N/A"/>
    <e v="#N/A"/>
    <e v="#N/A"/>
    <x v="1"/>
  </r>
  <r>
    <x v="165"/>
    <s v="OYARCE DIAZ CARLOS EUGENIO"/>
    <s v="04.04.2011"/>
    <e v="#N/A"/>
    <e v="#N/A"/>
    <e v="#N/A"/>
    <x v="1"/>
  </r>
  <r>
    <x v="165"/>
    <s v="OYARCE DIAZ CARLOS EUGENIO"/>
    <s v="05.04.2011"/>
    <e v="#N/A"/>
    <e v="#N/A"/>
    <e v="#N/A"/>
    <x v="1"/>
  </r>
  <r>
    <x v="165"/>
    <s v="OYARCE DIAZ CARLOS EUGENIO"/>
    <s v="05.04.2011"/>
    <e v="#N/A"/>
    <e v="#N/A"/>
    <e v="#N/A"/>
    <x v="1"/>
  </r>
  <r>
    <x v="165"/>
    <s v="OYARCE DIAZ CARLOS EUGENIO"/>
    <s v="06.04.2011"/>
    <e v="#N/A"/>
    <e v="#N/A"/>
    <e v="#N/A"/>
    <x v="1"/>
  </r>
  <r>
    <x v="165"/>
    <s v="OYARCE DIAZ CARLOS EUGENIO"/>
    <s v="06.04.2011"/>
    <e v="#N/A"/>
    <e v="#N/A"/>
    <e v="#N/A"/>
    <x v="1"/>
  </r>
  <r>
    <x v="165"/>
    <s v="OYARCE DIAZ CARLOS EUGENIO"/>
    <s v="07.04.2011"/>
    <e v="#N/A"/>
    <e v="#N/A"/>
    <e v="#N/A"/>
    <x v="1"/>
  </r>
  <r>
    <x v="165"/>
    <s v="OYARCE DIAZ CARLOS EUGENIO"/>
    <s v="07.04.2011"/>
    <e v="#N/A"/>
    <e v="#N/A"/>
    <e v="#N/A"/>
    <x v="1"/>
  </r>
  <r>
    <x v="165"/>
    <s v="OYARCE DIAZ CARLOS EUGENIO"/>
    <s v="08.04.2011"/>
    <e v="#N/A"/>
    <e v="#N/A"/>
    <e v="#N/A"/>
    <x v="1"/>
  </r>
  <r>
    <x v="165"/>
    <s v="OYARCE DIAZ CARLOS EUGENIO"/>
    <s v="08.04.2011"/>
    <e v="#N/A"/>
    <e v="#N/A"/>
    <e v="#N/A"/>
    <x v="1"/>
  </r>
  <r>
    <x v="165"/>
    <s v="OYARCE DIAZ CARLOS EUGENIO"/>
    <s v="09.04.2011"/>
    <e v="#N/A"/>
    <e v="#N/A"/>
    <e v="#N/A"/>
    <x v="1"/>
  </r>
  <r>
    <x v="165"/>
    <s v="OYARCE DIAZ CARLOS EUGENIO"/>
    <s v="09.04.2011"/>
    <e v="#N/A"/>
    <e v="#N/A"/>
    <e v="#N/A"/>
    <x v="1"/>
  </r>
  <r>
    <x v="166"/>
    <s v="CAÑOLES VERA ANDRES NICOLAS"/>
    <s v="04.04.2011"/>
    <e v="#N/A"/>
    <e v="#N/A"/>
    <e v="#N/A"/>
    <x v="1"/>
  </r>
  <r>
    <x v="166"/>
    <s v="CAÑOLES VERA ANDRES NICOLAS"/>
    <s v="04.04.2011"/>
    <e v="#N/A"/>
    <e v="#N/A"/>
    <e v="#N/A"/>
    <x v="1"/>
  </r>
  <r>
    <x v="166"/>
    <s v="CAÑOLES VERA ANDRES NICOLAS"/>
    <s v="05.04.2011"/>
    <e v="#N/A"/>
    <e v="#N/A"/>
    <e v="#N/A"/>
    <x v="1"/>
  </r>
  <r>
    <x v="166"/>
    <s v="CAÑOLES VERA ANDRES NICOLAS"/>
    <s v="05.04.2011"/>
    <e v="#N/A"/>
    <e v="#N/A"/>
    <e v="#N/A"/>
    <x v="1"/>
  </r>
  <r>
    <x v="166"/>
    <s v="CAÑOLES VERA ANDRES NICOLAS"/>
    <s v="06.04.2011"/>
    <e v="#N/A"/>
    <e v="#N/A"/>
    <e v="#N/A"/>
    <x v="1"/>
  </r>
  <r>
    <x v="166"/>
    <s v="CAÑOLES VERA ANDRES NICOLAS"/>
    <s v="06.04.2011"/>
    <e v="#N/A"/>
    <e v="#N/A"/>
    <e v="#N/A"/>
    <x v="1"/>
  </r>
  <r>
    <x v="166"/>
    <s v="CAÑOLES VERA ANDRES NICOLAS"/>
    <s v="07.04.2011"/>
    <e v="#N/A"/>
    <e v="#N/A"/>
    <e v="#N/A"/>
    <x v="1"/>
  </r>
  <r>
    <x v="166"/>
    <s v="CAÑOLES VERA ANDRES NICOLAS"/>
    <s v="07.04.2011"/>
    <e v="#N/A"/>
    <e v="#N/A"/>
    <e v="#N/A"/>
    <x v="1"/>
  </r>
  <r>
    <x v="166"/>
    <s v="CAÑOLES VERA ANDRES NICOLAS"/>
    <s v="08.04.2011"/>
    <e v="#N/A"/>
    <e v="#N/A"/>
    <e v="#N/A"/>
    <x v="1"/>
  </r>
  <r>
    <x v="166"/>
    <s v="CAÑOLES VERA ANDRES NICOLAS"/>
    <s v="08.04.2011"/>
    <e v="#N/A"/>
    <e v="#N/A"/>
    <e v="#N/A"/>
    <x v="1"/>
  </r>
  <r>
    <x v="167"/>
    <s v="DEL RIO TRONCOSO JORGE ANDRES"/>
    <s v="04.04.2011"/>
    <e v="#N/A"/>
    <e v="#N/A"/>
    <e v="#N/A"/>
    <x v="1"/>
  </r>
  <r>
    <x v="167"/>
    <s v="DEL RIO TRONCOSO JORGE ANDRES"/>
    <s v="04.04.2011"/>
    <e v="#N/A"/>
    <e v="#N/A"/>
    <e v="#N/A"/>
    <x v="1"/>
  </r>
  <r>
    <x v="167"/>
    <s v="DEL RIO TRONCOSO JORGE ANDRES"/>
    <s v="05.04.2011"/>
    <e v="#N/A"/>
    <e v="#N/A"/>
    <e v="#N/A"/>
    <x v="1"/>
  </r>
  <r>
    <x v="167"/>
    <s v="DEL RIO TRONCOSO JORGE ANDRES"/>
    <s v="05.04.2011"/>
    <e v="#N/A"/>
    <e v="#N/A"/>
    <e v="#N/A"/>
    <x v="1"/>
  </r>
  <r>
    <x v="167"/>
    <s v="DEL RIO TRONCOSO JORGE ANDRES"/>
    <s v="06.04.2011"/>
    <e v="#N/A"/>
    <e v="#N/A"/>
    <e v="#N/A"/>
    <x v="1"/>
  </r>
  <r>
    <x v="167"/>
    <s v="DEL RIO TRONCOSO JORGE ANDRES"/>
    <s v="06.04.2011"/>
    <e v="#N/A"/>
    <e v="#N/A"/>
    <e v="#N/A"/>
    <x v="1"/>
  </r>
  <r>
    <x v="167"/>
    <s v="DEL RIO TRONCOSO JORGE ANDRES"/>
    <s v="07.04.2011"/>
    <e v="#N/A"/>
    <e v="#N/A"/>
    <e v="#N/A"/>
    <x v="1"/>
  </r>
  <r>
    <x v="167"/>
    <s v="DEL RIO TRONCOSO JORGE ANDRES"/>
    <s v="07.04.2011"/>
    <e v="#N/A"/>
    <e v="#N/A"/>
    <e v="#N/A"/>
    <x v="1"/>
  </r>
  <r>
    <x v="167"/>
    <s v="DEL RIO TRONCOSO JORGE ANDRES"/>
    <s v="08.04.2011"/>
    <e v="#N/A"/>
    <e v="#N/A"/>
    <e v="#N/A"/>
    <x v="1"/>
  </r>
  <r>
    <x v="167"/>
    <s v="DEL RIO TRONCOSO JORGE ANDRES"/>
    <s v="08.04.2011"/>
    <e v="#N/A"/>
    <e v="#N/A"/>
    <e v="#N/A"/>
    <x v="1"/>
  </r>
  <r>
    <x v="167"/>
    <s v="DEL RIO TRONCOSO JORGE ANDRES"/>
    <s v="09.04.2011"/>
    <e v="#N/A"/>
    <e v="#N/A"/>
    <e v="#N/A"/>
    <x v="1"/>
  </r>
  <r>
    <x v="167"/>
    <s v="DEL RIO TRONCOSO JORGE ANDRES"/>
    <s v="09.04.2011"/>
    <e v="#N/A"/>
    <e v="#N/A"/>
    <e v="#N/A"/>
    <x v="1"/>
  </r>
  <r>
    <x v="168"/>
    <s v="OSCAR EDUARDO  VERA  PALAVECINO"/>
    <s v="04.04.2011"/>
    <e v="#N/A"/>
    <e v="#N/A"/>
    <e v="#N/A"/>
    <x v="1"/>
  </r>
  <r>
    <x v="168"/>
    <s v="OSCAR EDUARDO  VERA  PALAVECINO"/>
    <s v="05.04.2011"/>
    <e v="#N/A"/>
    <e v="#N/A"/>
    <e v="#N/A"/>
    <x v="1"/>
  </r>
  <r>
    <x v="168"/>
    <s v="OSCAR EDUARDO  VERA  PALAVECINO"/>
    <s v="05.04.2011"/>
    <e v="#N/A"/>
    <e v="#N/A"/>
    <e v="#N/A"/>
    <x v="1"/>
  </r>
  <r>
    <x v="168"/>
    <s v="OSCAR EDUARDO  VERA  PALAVECINO"/>
    <s v="06.04.2011"/>
    <e v="#N/A"/>
    <e v="#N/A"/>
    <e v="#N/A"/>
    <x v="1"/>
  </r>
  <r>
    <x v="168"/>
    <s v="OSCAR EDUARDO  VERA  PALAVECINO"/>
    <s v="06.04.2011"/>
    <e v="#N/A"/>
    <e v="#N/A"/>
    <e v="#N/A"/>
    <x v="1"/>
  </r>
  <r>
    <x v="168"/>
    <s v="OSCAR EDUARDO  VERA  PALAVECINO"/>
    <s v="07.04.2011"/>
    <e v="#N/A"/>
    <e v="#N/A"/>
    <e v="#N/A"/>
    <x v="1"/>
  </r>
  <r>
    <x v="168"/>
    <s v="OSCAR EDUARDO  VERA  PALAVECINO"/>
    <s v="07.04.2011"/>
    <e v="#N/A"/>
    <e v="#N/A"/>
    <e v="#N/A"/>
    <x v="1"/>
  </r>
  <r>
    <x v="168"/>
    <s v="OSCAR EDUARDO  VERA  PALAVECINO"/>
    <s v="08.04.2011"/>
    <e v="#N/A"/>
    <e v="#N/A"/>
    <e v="#N/A"/>
    <x v="1"/>
  </r>
  <r>
    <x v="168"/>
    <s v="OSCAR EDUARDO  VERA  PALAVECINO"/>
    <s v="08.04.2011"/>
    <e v="#N/A"/>
    <e v="#N/A"/>
    <e v="#N/A"/>
    <x v="1"/>
  </r>
  <r>
    <x v="168"/>
    <s v="OSCAR EDUARDO  VERA  PALAVECINO"/>
    <s v="09.04.2011"/>
    <e v="#N/A"/>
    <e v="#N/A"/>
    <e v="#N/A"/>
    <x v="1"/>
  </r>
  <r>
    <x v="169"/>
    <s v="REYES FUENZALIDA GUILLERMO ANTONIO"/>
    <s v="04.04.2011"/>
    <e v="#N/A"/>
    <e v="#N/A"/>
    <e v="#N/A"/>
    <x v="1"/>
  </r>
  <r>
    <x v="169"/>
    <s v="REYES FUENZALIDA GUILLERMO ANTONIO"/>
    <s v="05.04.2011"/>
    <e v="#N/A"/>
    <e v="#N/A"/>
    <e v="#N/A"/>
    <x v="1"/>
  </r>
  <r>
    <x v="169"/>
    <s v="REYES FUENZALIDA GUILLERMO ANTONIO"/>
    <s v="05.04.2011"/>
    <e v="#N/A"/>
    <e v="#N/A"/>
    <e v="#N/A"/>
    <x v="1"/>
  </r>
  <r>
    <x v="169"/>
    <s v="REYES FUENZALIDA GUILLERMO ANTONIO"/>
    <s v="06.04.2011"/>
    <e v="#N/A"/>
    <e v="#N/A"/>
    <e v="#N/A"/>
    <x v="1"/>
  </r>
  <r>
    <x v="169"/>
    <s v="REYES FUENZALIDA GUILLERMO ANTONIO"/>
    <s v="06.04.2011"/>
    <e v="#N/A"/>
    <e v="#N/A"/>
    <e v="#N/A"/>
    <x v="1"/>
  </r>
  <r>
    <x v="169"/>
    <s v="REYES FUENZALIDA GUILLERMO ANTONIO"/>
    <s v="07.04.2011"/>
    <e v="#N/A"/>
    <e v="#N/A"/>
    <e v="#N/A"/>
    <x v="1"/>
  </r>
  <r>
    <x v="169"/>
    <s v="REYES FUENZALIDA GUILLERMO ANTONIO"/>
    <s v="07.04.2011"/>
    <e v="#N/A"/>
    <e v="#N/A"/>
    <e v="#N/A"/>
    <x v="1"/>
  </r>
  <r>
    <x v="169"/>
    <s v="REYES FUENZALIDA GUILLERMO ANTONIO"/>
    <s v="08.04.2011"/>
    <e v="#N/A"/>
    <e v="#N/A"/>
    <e v="#N/A"/>
    <x v="1"/>
  </r>
  <r>
    <x v="169"/>
    <s v="REYES FUENZALIDA GUILLERMO ANTONIO"/>
    <s v="08.04.2011"/>
    <e v="#N/A"/>
    <e v="#N/A"/>
    <e v="#N/A"/>
    <x v="1"/>
  </r>
  <r>
    <x v="169"/>
    <s v="REYES FUENZALIDA GUILLERMO ANTONIO"/>
    <s v="09.04.2011"/>
    <e v="#N/A"/>
    <e v="#N/A"/>
    <e v="#N/A"/>
    <x v="1"/>
  </r>
  <r>
    <x v="170"/>
    <s v="TAPIA IBARRA CESAR ANTONIO"/>
    <s v="04.04.2011"/>
    <e v="#N/A"/>
    <e v="#N/A"/>
    <e v="#N/A"/>
    <x v="1"/>
  </r>
  <r>
    <x v="170"/>
    <s v="TAPIA IBARRA CESAR ANTONIO"/>
    <s v="04.04.2011"/>
    <e v="#N/A"/>
    <e v="#N/A"/>
    <e v="#N/A"/>
    <x v="1"/>
  </r>
  <r>
    <x v="170"/>
    <s v="TAPIA IBARRA CESAR ANTONIO"/>
    <s v="05.04.2011"/>
    <e v="#N/A"/>
    <e v="#N/A"/>
    <e v="#N/A"/>
    <x v="1"/>
  </r>
  <r>
    <x v="170"/>
    <s v="TAPIA IBARRA CESAR ANTONIO"/>
    <s v="05.04.2011"/>
    <e v="#N/A"/>
    <e v="#N/A"/>
    <e v="#N/A"/>
    <x v="1"/>
  </r>
  <r>
    <x v="170"/>
    <s v="TAPIA IBARRA CESAR ANTONIO"/>
    <s v="06.04.2011"/>
    <e v="#N/A"/>
    <e v="#N/A"/>
    <e v="#N/A"/>
    <x v="1"/>
  </r>
  <r>
    <x v="170"/>
    <s v="TAPIA IBARRA CESAR ANTONIO"/>
    <s v="06.04.2011"/>
    <e v="#N/A"/>
    <e v="#N/A"/>
    <e v="#N/A"/>
    <x v="1"/>
  </r>
  <r>
    <x v="170"/>
    <s v="TAPIA IBARRA CESAR ANTONIO"/>
    <s v="07.04.2011"/>
    <e v="#N/A"/>
    <e v="#N/A"/>
    <e v="#N/A"/>
    <x v="1"/>
  </r>
  <r>
    <x v="170"/>
    <s v="TAPIA IBARRA CESAR ANTONIO"/>
    <s v="07.04.2011"/>
    <e v="#N/A"/>
    <e v="#N/A"/>
    <e v="#N/A"/>
    <x v="1"/>
  </r>
  <r>
    <x v="170"/>
    <s v="TAPIA IBARRA CESAR ANTONIO"/>
    <s v="08.04.2011"/>
    <e v="#N/A"/>
    <e v="#N/A"/>
    <e v="#N/A"/>
    <x v="1"/>
  </r>
  <r>
    <x v="170"/>
    <s v="TAPIA IBARRA CESAR ANTONIO"/>
    <s v="08.04.2011"/>
    <e v="#N/A"/>
    <e v="#N/A"/>
    <e v="#N/A"/>
    <x v="1"/>
  </r>
  <r>
    <x v="170"/>
    <s v="TAPIA IBARRA CESAR ANTONIO"/>
    <s v="09.04.2011"/>
    <e v="#N/A"/>
    <e v="#N/A"/>
    <e v="#N/A"/>
    <x v="1"/>
  </r>
  <r>
    <x v="170"/>
    <s v="TAPIA IBARRA CESAR ANTONIO"/>
    <s v="09.04.2011"/>
    <e v="#N/A"/>
    <e v="#N/A"/>
    <e v="#N/A"/>
    <x v="1"/>
  </r>
  <r>
    <x v="170"/>
    <s v="TAPIA IBARRA CESAR ANTONIO"/>
    <s v="09.04.2011"/>
    <e v="#N/A"/>
    <e v="#N/A"/>
    <e v="#N/A"/>
    <x v="1"/>
  </r>
  <r>
    <x v="171"/>
    <s v="SANHUEZA SOTO ALEJANDRO"/>
    <s v="04.04.2011"/>
    <e v="#N/A"/>
    <e v="#N/A"/>
    <e v="#N/A"/>
    <x v="1"/>
  </r>
  <r>
    <x v="171"/>
    <s v="SANHUEZA SOTO ALEJANDRO"/>
    <s v="05.04.2011"/>
    <e v="#N/A"/>
    <e v="#N/A"/>
    <e v="#N/A"/>
    <x v="1"/>
  </r>
  <r>
    <x v="171"/>
    <s v="SANHUEZA SOTO ALEJANDRO"/>
    <s v="05.04.2011"/>
    <e v="#N/A"/>
    <e v="#N/A"/>
    <e v="#N/A"/>
    <x v="1"/>
  </r>
  <r>
    <x v="171"/>
    <s v="SANHUEZA SOTO ALEJANDRO"/>
    <s v="06.04.2011"/>
    <e v="#N/A"/>
    <e v="#N/A"/>
    <e v="#N/A"/>
    <x v="1"/>
  </r>
  <r>
    <x v="171"/>
    <s v="SANHUEZA SOTO ALEJANDRO"/>
    <s v="06.04.2011"/>
    <e v="#N/A"/>
    <e v="#N/A"/>
    <e v="#N/A"/>
    <x v="1"/>
  </r>
  <r>
    <x v="171"/>
    <s v="SANHUEZA SOTO ALEJANDRO"/>
    <s v="07.04.2011"/>
    <e v="#N/A"/>
    <e v="#N/A"/>
    <e v="#N/A"/>
    <x v="1"/>
  </r>
  <r>
    <x v="171"/>
    <s v="SANHUEZA SOTO ALEJANDRO"/>
    <s v="07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8.04.2011"/>
    <e v="#N/A"/>
    <e v="#N/A"/>
    <e v="#N/A"/>
    <x v="1"/>
  </r>
  <r>
    <x v="171"/>
    <s v="SANHUEZA SOTO ALEJANDRO"/>
    <s v="09.04.2011"/>
    <e v="#N/A"/>
    <e v="#N/A"/>
    <e v="#N/A"/>
    <x v="1"/>
  </r>
  <r>
    <x v="172"/>
    <s v="BERRIOS  LOPEZ,LUIS ROBERTO"/>
    <s v="04.04.2011"/>
    <e v="#N/A"/>
    <e v="#N/A"/>
    <e v="#N/A"/>
    <x v="1"/>
  </r>
  <r>
    <x v="172"/>
    <s v="BERRIOS  LOPEZ,LUIS ROBERTO"/>
    <s v="04.04.2011"/>
    <e v="#N/A"/>
    <e v="#N/A"/>
    <e v="#N/A"/>
    <x v="1"/>
  </r>
  <r>
    <x v="172"/>
    <s v="BERRIOS  LOPEZ,LUIS ROBERTO"/>
    <s v="05.04.2011"/>
    <e v="#N/A"/>
    <e v="#N/A"/>
    <e v="#N/A"/>
    <x v="1"/>
  </r>
  <r>
    <x v="172"/>
    <s v="BERRIOS  LOPEZ,LUIS ROBERTO"/>
    <s v="05.04.2011"/>
    <e v="#N/A"/>
    <e v="#N/A"/>
    <e v="#N/A"/>
    <x v="1"/>
  </r>
  <r>
    <x v="172"/>
    <s v="BERRIOS  LOPEZ,LUIS ROBERTO"/>
    <s v="06.04.2011"/>
    <e v="#N/A"/>
    <e v="#N/A"/>
    <e v="#N/A"/>
    <x v="1"/>
  </r>
  <r>
    <x v="172"/>
    <s v="BERRIOS  LOPEZ,LUIS ROBERTO"/>
    <s v="06.04.2011"/>
    <e v="#N/A"/>
    <e v="#N/A"/>
    <e v="#N/A"/>
    <x v="1"/>
  </r>
  <r>
    <x v="172"/>
    <s v="BERRIOS  LOPEZ,LUIS ROBERTO"/>
    <s v="07.04.2011"/>
    <e v="#N/A"/>
    <e v="#N/A"/>
    <e v="#N/A"/>
    <x v="1"/>
  </r>
  <r>
    <x v="172"/>
    <s v="BERRIOS  LOPEZ,LUIS ROBERTO"/>
    <s v="07.04.2011"/>
    <e v="#N/A"/>
    <e v="#N/A"/>
    <e v="#N/A"/>
    <x v="1"/>
  </r>
  <r>
    <x v="172"/>
    <s v="BERRIOS  LOPEZ,LUIS ROBERTO"/>
    <s v="08.04.2011"/>
    <e v="#N/A"/>
    <e v="#N/A"/>
    <e v="#N/A"/>
    <x v="1"/>
  </r>
  <r>
    <x v="172"/>
    <s v="BERRIOS  LOPEZ,LUIS ROBERTO"/>
    <s v="08.04.2011"/>
    <e v="#N/A"/>
    <e v="#N/A"/>
    <e v="#N/A"/>
    <x v="1"/>
  </r>
  <r>
    <x v="172"/>
    <s v="BERRIOS  LOPEZ,LUIS ROBERTO"/>
    <s v="09.04.2011"/>
    <e v="#N/A"/>
    <e v="#N/A"/>
    <e v="#N/A"/>
    <x v="1"/>
  </r>
  <r>
    <x v="172"/>
    <s v="BERRIOS  LOPEZ,LUIS ROBERTO"/>
    <s v="09.04.2011"/>
    <e v="#N/A"/>
    <e v="#N/A"/>
    <e v="#N/A"/>
    <x v="1"/>
  </r>
  <r>
    <x v="173"/>
    <s v="DURAN  HENRIQUEZ,HECTOR MANUEL"/>
    <s v="04.04.2011"/>
    <e v="#N/A"/>
    <e v="#N/A"/>
    <e v="#N/A"/>
    <x v="1"/>
  </r>
  <r>
    <x v="173"/>
    <s v="DURAN  HENRIQUEZ,HECTOR MANUEL"/>
    <s v="04.04.2011"/>
    <e v="#N/A"/>
    <e v="#N/A"/>
    <e v="#N/A"/>
    <x v="1"/>
  </r>
  <r>
    <x v="173"/>
    <s v="DURAN  HENRIQUEZ,HECTOR MANUEL"/>
    <s v="05.04.2011"/>
    <e v="#N/A"/>
    <e v="#N/A"/>
    <e v="#N/A"/>
    <x v="1"/>
  </r>
  <r>
    <x v="173"/>
    <s v="DURAN  HENRIQUEZ,HECTOR MANUEL"/>
    <s v="05.04.2011"/>
    <e v="#N/A"/>
    <e v="#N/A"/>
    <e v="#N/A"/>
    <x v="1"/>
  </r>
  <r>
    <x v="173"/>
    <s v="DURAN  HENRIQUEZ,HECTOR MANUEL"/>
    <s v="06.04.2011"/>
    <e v="#N/A"/>
    <e v="#N/A"/>
    <e v="#N/A"/>
    <x v="1"/>
  </r>
  <r>
    <x v="173"/>
    <s v="DURAN  HENRIQUEZ,HECTOR MANUEL"/>
    <s v="06.04.2011"/>
    <e v="#N/A"/>
    <e v="#N/A"/>
    <e v="#N/A"/>
    <x v="1"/>
  </r>
  <r>
    <x v="173"/>
    <s v="DURAN  HENRIQUEZ,HECTOR MANUEL"/>
    <s v="07.04.2011"/>
    <e v="#N/A"/>
    <e v="#N/A"/>
    <e v="#N/A"/>
    <x v="1"/>
  </r>
  <r>
    <x v="173"/>
    <s v="DURAN  HENRIQUEZ,HECTOR MANUEL"/>
    <s v="07.04.2011"/>
    <e v="#N/A"/>
    <e v="#N/A"/>
    <e v="#N/A"/>
    <x v="1"/>
  </r>
  <r>
    <x v="173"/>
    <s v="DURAN  HENRIQUEZ,HECTOR MANUEL"/>
    <s v="08.04.2011"/>
    <e v="#N/A"/>
    <e v="#N/A"/>
    <e v="#N/A"/>
    <x v="1"/>
  </r>
  <r>
    <x v="173"/>
    <s v="DURAN  HENRIQUEZ,HECTOR MANUEL"/>
    <s v="08.04.2011"/>
    <e v="#N/A"/>
    <e v="#N/A"/>
    <e v="#N/A"/>
    <x v="1"/>
  </r>
  <r>
    <x v="173"/>
    <s v="DURAN  HENRIQUEZ,HECTOR MANUEL"/>
    <s v="09.04.2011"/>
    <e v="#N/A"/>
    <e v="#N/A"/>
    <e v="#N/A"/>
    <x v="1"/>
  </r>
  <r>
    <x v="173"/>
    <s v="DURAN  HENRIQUEZ,HECTOR MANUEL"/>
    <s v="09.04.2011"/>
    <e v="#N/A"/>
    <e v="#N/A"/>
    <e v="#N/A"/>
    <x v="1"/>
  </r>
  <r>
    <x v="174"/>
    <s v="HERRERA PALMA ARIEL"/>
    <s v="04.04.2011"/>
    <e v="#N/A"/>
    <e v="#N/A"/>
    <e v="#N/A"/>
    <x v="1"/>
  </r>
  <r>
    <x v="174"/>
    <s v="HERRERA PALMA ARIEL"/>
    <s v="05.04.2011"/>
    <e v="#N/A"/>
    <e v="#N/A"/>
    <e v="#N/A"/>
    <x v="1"/>
  </r>
  <r>
    <x v="174"/>
    <s v="HERRERA PALMA ARIEL"/>
    <s v="05.04.2011"/>
    <e v="#N/A"/>
    <e v="#N/A"/>
    <e v="#N/A"/>
    <x v="1"/>
  </r>
  <r>
    <x v="174"/>
    <s v="HERRERA PALMA ARIEL"/>
    <s v="06.04.2011"/>
    <e v="#N/A"/>
    <e v="#N/A"/>
    <e v="#N/A"/>
    <x v="1"/>
  </r>
  <r>
    <x v="174"/>
    <s v="HERRERA PALMA ARIEL"/>
    <s v="06.04.2011"/>
    <e v="#N/A"/>
    <e v="#N/A"/>
    <e v="#N/A"/>
    <x v="1"/>
  </r>
  <r>
    <x v="174"/>
    <s v="HERRERA PALMA ARIEL"/>
    <s v="07.04.2011"/>
    <e v="#N/A"/>
    <e v="#N/A"/>
    <e v="#N/A"/>
    <x v="1"/>
  </r>
  <r>
    <x v="174"/>
    <s v="HERRERA PALMA ARIEL"/>
    <s v="07.04.2011"/>
    <e v="#N/A"/>
    <e v="#N/A"/>
    <e v="#N/A"/>
    <x v="1"/>
  </r>
  <r>
    <x v="174"/>
    <s v="HERRERA PALMA ARIEL"/>
    <s v="08.04.2011"/>
    <e v="#N/A"/>
    <e v="#N/A"/>
    <e v="#N/A"/>
    <x v="1"/>
  </r>
  <r>
    <x v="174"/>
    <s v="HERRERA PALMA ARIEL"/>
    <s v="08.04.2011"/>
    <e v="#N/A"/>
    <e v="#N/A"/>
    <e v="#N/A"/>
    <x v="1"/>
  </r>
  <r>
    <x v="174"/>
    <s v="HERRERA PALMA ARIEL"/>
    <s v="10.04.2011"/>
    <e v="#N/A"/>
    <e v="#N/A"/>
    <e v="#N/A"/>
    <x v="1"/>
  </r>
  <r>
    <x v="175"/>
    <s v="RUBIO GUZMAN AMERICO ANDRES"/>
    <s v="04.04.2011"/>
    <e v="#N/A"/>
    <e v="#N/A"/>
    <e v="#N/A"/>
    <x v="1"/>
  </r>
  <r>
    <x v="175"/>
    <s v="RUBIO GUZMAN AMERICO ANDRES"/>
    <s v="05.04.2011"/>
    <e v="#N/A"/>
    <e v="#N/A"/>
    <e v="#N/A"/>
    <x v="1"/>
  </r>
  <r>
    <x v="175"/>
    <s v="RUBIO GUZMAN AMERICO ANDRES"/>
    <s v="05.04.2011"/>
    <e v="#N/A"/>
    <e v="#N/A"/>
    <e v="#N/A"/>
    <x v="1"/>
  </r>
  <r>
    <x v="175"/>
    <s v="RUBIO GUZMAN AMERICO ANDRES"/>
    <s v="06.04.2011"/>
    <e v="#N/A"/>
    <e v="#N/A"/>
    <e v="#N/A"/>
    <x v="1"/>
  </r>
  <r>
    <x v="175"/>
    <s v="RUBIO GUZMAN AMERICO ANDRES"/>
    <s v="06.04.2011"/>
    <e v="#N/A"/>
    <e v="#N/A"/>
    <e v="#N/A"/>
    <x v="1"/>
  </r>
  <r>
    <x v="175"/>
    <s v="RUBIO GUZMAN AMERICO ANDRES"/>
    <s v="07.04.2011"/>
    <e v="#N/A"/>
    <e v="#N/A"/>
    <e v="#N/A"/>
    <x v="1"/>
  </r>
  <r>
    <x v="175"/>
    <s v="RUBIO GUZMAN AMERICO ANDRES"/>
    <s v="07.04.2011"/>
    <e v="#N/A"/>
    <e v="#N/A"/>
    <e v="#N/A"/>
    <x v="1"/>
  </r>
  <r>
    <x v="175"/>
    <s v="RUBIO GUZMAN AMERICO ANDRES"/>
    <s v="08.04.2011"/>
    <e v="#N/A"/>
    <e v="#N/A"/>
    <e v="#N/A"/>
    <x v="1"/>
  </r>
  <r>
    <x v="175"/>
    <s v="RUBIO GUZMAN AMERICO ANDRES"/>
    <s v="08.04.2011"/>
    <e v="#N/A"/>
    <e v="#N/A"/>
    <e v="#N/A"/>
    <x v="1"/>
  </r>
  <r>
    <x v="175"/>
    <s v="RUBIO GUZMAN AMERICO ANDRES"/>
    <s v="09.04.2011"/>
    <e v="#N/A"/>
    <e v="#N/A"/>
    <e v="#N/A"/>
    <x v="1"/>
  </r>
  <r>
    <x v="176"/>
    <s v="MARDONES ROJAS LUIS ARTURO"/>
    <s v="04.04.2011"/>
    <e v="#N/A"/>
    <e v="#N/A"/>
    <e v="#N/A"/>
    <x v="1"/>
  </r>
  <r>
    <x v="176"/>
    <s v="MARDONES ROJAS LUIS ARTURO"/>
    <s v="04.04.2011"/>
    <e v="#N/A"/>
    <e v="#N/A"/>
    <e v="#N/A"/>
    <x v="1"/>
  </r>
  <r>
    <x v="176"/>
    <s v="MARDONES ROJAS LUIS ARTURO"/>
    <s v="05.04.2011"/>
    <e v="#N/A"/>
    <e v="#N/A"/>
    <e v="#N/A"/>
    <x v="1"/>
  </r>
  <r>
    <x v="176"/>
    <s v="MARDONES ROJAS LUIS ARTURO"/>
    <s v="05.04.2011"/>
    <e v="#N/A"/>
    <e v="#N/A"/>
    <e v="#N/A"/>
    <x v="1"/>
  </r>
  <r>
    <x v="176"/>
    <s v="MARDONES ROJAS LUIS ARTURO"/>
    <s v="06.04.2011"/>
    <e v="#N/A"/>
    <e v="#N/A"/>
    <e v="#N/A"/>
    <x v="1"/>
  </r>
  <r>
    <x v="176"/>
    <s v="MARDONES ROJAS LUIS ARTURO"/>
    <s v="06.04.2011"/>
    <e v="#N/A"/>
    <e v="#N/A"/>
    <e v="#N/A"/>
    <x v="1"/>
  </r>
  <r>
    <x v="176"/>
    <s v="MARDONES ROJAS LUIS ARTURO"/>
    <s v="07.04.2011"/>
    <e v="#N/A"/>
    <e v="#N/A"/>
    <e v="#N/A"/>
    <x v="1"/>
  </r>
  <r>
    <x v="176"/>
    <s v="MARDONES ROJAS LUIS ARTURO"/>
    <s v="07.04.2011"/>
    <e v="#N/A"/>
    <e v="#N/A"/>
    <e v="#N/A"/>
    <x v="1"/>
  </r>
  <r>
    <x v="176"/>
    <s v="MARDONES ROJAS LUIS ARTURO"/>
    <s v="08.04.2011"/>
    <e v="#N/A"/>
    <e v="#N/A"/>
    <e v="#N/A"/>
    <x v="1"/>
  </r>
  <r>
    <x v="176"/>
    <s v="MARDONES ROJAS LUIS ARTURO"/>
    <s v="08.04.2011"/>
    <e v="#N/A"/>
    <e v="#N/A"/>
    <e v="#N/A"/>
    <x v="1"/>
  </r>
  <r>
    <x v="176"/>
    <s v="MARDONES ROJAS LUIS ARTURO"/>
    <s v="09.04.2011"/>
    <e v="#N/A"/>
    <e v="#N/A"/>
    <e v="#N/A"/>
    <x v="1"/>
  </r>
  <r>
    <x v="176"/>
    <s v="MARDONES ROJAS LUIS ARTURO"/>
    <s v="09.04.2011"/>
    <e v="#N/A"/>
    <e v="#N/A"/>
    <e v="#N/A"/>
    <x v="1"/>
  </r>
  <r>
    <x v="177"/>
    <s v="VASQUEZ MONTECINO LEONARDO"/>
    <s v="04.04.2011"/>
    <e v="#N/A"/>
    <e v="#N/A"/>
    <e v="#N/A"/>
    <x v="1"/>
  </r>
  <r>
    <x v="177"/>
    <s v="VASQUEZ MONTECINO LEONARDO"/>
    <s v="04.04.2011"/>
    <e v="#N/A"/>
    <e v="#N/A"/>
    <e v="#N/A"/>
    <x v="1"/>
  </r>
  <r>
    <x v="177"/>
    <s v="VASQUEZ MONTECINO LEONARDO"/>
    <s v="05.04.2011"/>
    <e v="#N/A"/>
    <e v="#N/A"/>
    <e v="#N/A"/>
    <x v="1"/>
  </r>
  <r>
    <x v="177"/>
    <s v="VASQUEZ MONTECINO LEONARDO"/>
    <s v="05.04.2011"/>
    <e v="#N/A"/>
    <e v="#N/A"/>
    <e v="#N/A"/>
    <x v="1"/>
  </r>
  <r>
    <x v="177"/>
    <s v="VASQUEZ MONTECINO LEONARDO"/>
    <s v="06.04.2011"/>
    <e v="#N/A"/>
    <e v="#N/A"/>
    <e v="#N/A"/>
    <x v="1"/>
  </r>
  <r>
    <x v="177"/>
    <s v="VASQUEZ MONTECINO LEONARDO"/>
    <s v="06.04.2011"/>
    <e v="#N/A"/>
    <e v="#N/A"/>
    <e v="#N/A"/>
    <x v="1"/>
  </r>
  <r>
    <x v="177"/>
    <s v="VASQUEZ MONTECINO LEONARDO"/>
    <s v="07.04.2011"/>
    <e v="#N/A"/>
    <e v="#N/A"/>
    <e v="#N/A"/>
    <x v="1"/>
  </r>
  <r>
    <x v="177"/>
    <s v="VASQUEZ MONTECINO LEONARDO"/>
    <s v="07.04.2011"/>
    <e v="#N/A"/>
    <e v="#N/A"/>
    <e v="#N/A"/>
    <x v="1"/>
  </r>
  <r>
    <x v="177"/>
    <s v="VASQUEZ MONTECINO LEONARDO"/>
    <s v="08.04.2011"/>
    <e v="#N/A"/>
    <e v="#N/A"/>
    <e v="#N/A"/>
    <x v="1"/>
  </r>
  <r>
    <x v="177"/>
    <s v="VASQUEZ MONTECINO LEONARDO"/>
    <s v="08.04.2011"/>
    <e v="#N/A"/>
    <e v="#N/A"/>
    <e v="#N/A"/>
    <x v="1"/>
  </r>
  <r>
    <x v="177"/>
    <s v="VASQUEZ MONTECINO LEONARDO"/>
    <s v="09.04.2011"/>
    <e v="#N/A"/>
    <e v="#N/A"/>
    <e v="#N/A"/>
    <x v="1"/>
  </r>
  <r>
    <x v="177"/>
    <s v="VASQUEZ MONTECINO LEONARDO"/>
    <s v="09.04.2011"/>
    <e v="#N/A"/>
    <e v="#N/A"/>
    <e v="#N/A"/>
    <x v="1"/>
  </r>
  <r>
    <x v="178"/>
    <s v="GUERRERO MALIO JUAN"/>
    <s v="04.04.2011"/>
    <e v="#N/A"/>
    <e v="#N/A"/>
    <e v="#N/A"/>
    <x v="1"/>
  </r>
  <r>
    <x v="178"/>
    <s v="GUERRERO MALIO JUAN"/>
    <s v="04.04.2011"/>
    <e v="#N/A"/>
    <e v="#N/A"/>
    <e v="#N/A"/>
    <x v="1"/>
  </r>
  <r>
    <x v="178"/>
    <s v="GUERRERO MALIO JUAN"/>
    <s v="05.04.2011"/>
    <e v="#N/A"/>
    <e v="#N/A"/>
    <e v="#N/A"/>
    <x v="1"/>
  </r>
  <r>
    <x v="178"/>
    <s v="GUERRERO MALIO JUAN"/>
    <s v="05.04.2011"/>
    <e v="#N/A"/>
    <e v="#N/A"/>
    <e v="#N/A"/>
    <x v="1"/>
  </r>
  <r>
    <x v="178"/>
    <s v="GUERRERO MALIO JUAN"/>
    <s v="06.04.2011"/>
    <e v="#N/A"/>
    <e v="#N/A"/>
    <e v="#N/A"/>
    <x v="1"/>
  </r>
  <r>
    <x v="178"/>
    <s v="GUERRERO MALIO JUAN"/>
    <s v="07.04.2011"/>
    <e v="#N/A"/>
    <e v="#N/A"/>
    <e v="#N/A"/>
    <x v="1"/>
  </r>
  <r>
    <x v="178"/>
    <s v="GUERRERO MALIO JUAN"/>
    <s v="07.04.2011"/>
    <e v="#N/A"/>
    <e v="#N/A"/>
    <e v="#N/A"/>
    <x v="1"/>
  </r>
  <r>
    <x v="178"/>
    <s v="GUERRERO MALIO JUAN"/>
    <s v="08.04.2011"/>
    <e v="#N/A"/>
    <e v="#N/A"/>
    <e v="#N/A"/>
    <x v="1"/>
  </r>
  <r>
    <x v="178"/>
    <s v="GUERRERO MALIO JUAN"/>
    <s v="08.04.2011"/>
    <e v="#N/A"/>
    <e v="#N/A"/>
    <e v="#N/A"/>
    <x v="1"/>
  </r>
  <r>
    <x v="178"/>
    <s v="GUERRERO MALIO JUAN"/>
    <s v="09.04.2011"/>
    <e v="#N/A"/>
    <e v="#N/A"/>
    <e v="#N/A"/>
    <x v="1"/>
  </r>
  <r>
    <x v="178"/>
    <s v="GUERRERO MALIO JUAN"/>
    <s v="09.04.2011"/>
    <e v="#N/A"/>
    <e v="#N/A"/>
    <e v="#N/A"/>
    <x v="1"/>
  </r>
  <r>
    <x v="179"/>
    <s v="VALENZUELA  DIAZ, LUIS"/>
    <s v="04.04.2011"/>
    <e v="#N/A"/>
    <e v="#N/A"/>
    <e v="#N/A"/>
    <x v="1"/>
  </r>
  <r>
    <x v="179"/>
    <s v="VALENZUELA  DIAZ, LUIS"/>
    <s v="05.04.2011"/>
    <e v="#N/A"/>
    <e v="#N/A"/>
    <e v="#N/A"/>
    <x v="1"/>
  </r>
  <r>
    <x v="180"/>
    <s v="NADEAU JOFRE JULIO"/>
    <s v="04.04.2011"/>
    <e v="#N/A"/>
    <e v="#N/A"/>
    <e v="#N/A"/>
    <x v="1"/>
  </r>
  <r>
    <x v="180"/>
    <s v="NADEAU JOFRE JULIO"/>
    <s v="04.04.2011"/>
    <e v="#N/A"/>
    <e v="#N/A"/>
    <e v="#N/A"/>
    <x v="1"/>
  </r>
  <r>
    <x v="180"/>
    <s v="NADEAU JOFRE JULIO"/>
    <s v="05.04.2011"/>
    <e v="#N/A"/>
    <e v="#N/A"/>
    <e v="#N/A"/>
    <x v="1"/>
  </r>
  <r>
    <x v="180"/>
    <s v="NADEAU JOFRE JULIO"/>
    <s v="05.04.2011"/>
    <e v="#N/A"/>
    <e v="#N/A"/>
    <e v="#N/A"/>
    <x v="1"/>
  </r>
  <r>
    <x v="180"/>
    <s v="NADEAU JOFRE JULIO"/>
    <s v="06.04.2011"/>
    <e v="#N/A"/>
    <e v="#N/A"/>
    <e v="#N/A"/>
    <x v="1"/>
  </r>
  <r>
    <x v="180"/>
    <s v="NADEAU JOFRE JULIO"/>
    <s v="06.04.2011"/>
    <e v="#N/A"/>
    <e v="#N/A"/>
    <e v="#N/A"/>
    <x v="1"/>
  </r>
  <r>
    <x v="180"/>
    <s v="NADEAU JOFRE JULIO"/>
    <s v="07.04.2011"/>
    <e v="#N/A"/>
    <e v="#N/A"/>
    <e v="#N/A"/>
    <x v="1"/>
  </r>
  <r>
    <x v="180"/>
    <s v="NADEAU JOFRE JULIO"/>
    <s v="07.04.2011"/>
    <e v="#N/A"/>
    <e v="#N/A"/>
    <e v="#N/A"/>
    <x v="1"/>
  </r>
  <r>
    <x v="180"/>
    <s v="NADEAU JOFRE JULIO"/>
    <s v="08.04.2011"/>
    <e v="#N/A"/>
    <e v="#N/A"/>
    <e v="#N/A"/>
    <x v="1"/>
  </r>
  <r>
    <x v="180"/>
    <s v="NADEAU JOFRE JULIO"/>
    <s v="08.04.2011"/>
    <e v="#N/A"/>
    <e v="#N/A"/>
    <e v="#N/A"/>
    <x v="1"/>
  </r>
  <r>
    <x v="180"/>
    <s v="NADEAU JOFRE JULIO"/>
    <s v="10.04.2011"/>
    <e v="#N/A"/>
    <e v="#N/A"/>
    <e v="#N/A"/>
    <x v="1"/>
  </r>
  <r>
    <x v="180"/>
    <s v="NADEAU JOFRE JULIO"/>
    <s v="10.04.2011"/>
    <e v="#N/A"/>
    <e v="#N/A"/>
    <e v="#N/A"/>
    <x v="1"/>
  </r>
  <r>
    <x v="181"/>
    <s v="BRAVO SALAMANCA MARICEL ANDREA"/>
    <s v="04.04.2011"/>
    <e v="#N/A"/>
    <e v="#N/A"/>
    <e v="#N/A"/>
    <x v="1"/>
  </r>
  <r>
    <x v="181"/>
    <s v="BRAVO SALAMANCA MARICEL ANDREA"/>
    <s v="04.04.2011"/>
    <e v="#N/A"/>
    <e v="#N/A"/>
    <e v="#N/A"/>
    <x v="1"/>
  </r>
  <r>
    <x v="181"/>
    <s v="BRAVO SALAMANCA MARICEL ANDREA"/>
    <s v="05.04.2011"/>
    <e v="#N/A"/>
    <e v="#N/A"/>
    <e v="#N/A"/>
    <x v="1"/>
  </r>
  <r>
    <x v="181"/>
    <s v="BRAVO SALAMANCA MARICEL ANDREA"/>
    <s v="05.04.2011"/>
    <e v="#N/A"/>
    <e v="#N/A"/>
    <e v="#N/A"/>
    <x v="1"/>
  </r>
  <r>
    <x v="181"/>
    <s v="BRAVO SALAMANCA MARICEL ANDREA"/>
    <s v="06.04.2011"/>
    <e v="#N/A"/>
    <e v="#N/A"/>
    <e v="#N/A"/>
    <x v="1"/>
  </r>
  <r>
    <x v="181"/>
    <s v="BRAVO SALAMANCA MARICEL ANDREA"/>
    <s v="06.04.2011"/>
    <e v="#N/A"/>
    <e v="#N/A"/>
    <e v="#N/A"/>
    <x v="1"/>
  </r>
  <r>
    <x v="181"/>
    <s v="BRAVO SALAMANCA MARICEL ANDREA"/>
    <s v="07.04.2011"/>
    <e v="#N/A"/>
    <e v="#N/A"/>
    <e v="#N/A"/>
    <x v="1"/>
  </r>
  <r>
    <x v="181"/>
    <s v="BRAVO SALAMANCA MARICEL ANDREA"/>
    <s v="07.04.2011"/>
    <e v="#N/A"/>
    <e v="#N/A"/>
    <e v="#N/A"/>
    <x v="1"/>
  </r>
  <r>
    <x v="181"/>
    <s v="BRAVO SALAMANCA MARICEL ANDREA"/>
    <s v="08.04.2011"/>
    <e v="#N/A"/>
    <e v="#N/A"/>
    <e v="#N/A"/>
    <x v="1"/>
  </r>
  <r>
    <x v="181"/>
    <s v="BRAVO SALAMANCA MARICEL ANDREA"/>
    <s v="08.04.2011"/>
    <e v="#N/A"/>
    <e v="#N/A"/>
    <e v="#N/A"/>
    <x v="1"/>
  </r>
  <r>
    <x v="182"/>
    <s v="VALDERRAMA CAÑAS ROBERTO MARIO"/>
    <s v="04.04.2011"/>
    <e v="#N/A"/>
    <e v="#N/A"/>
    <e v="#N/A"/>
    <x v="1"/>
  </r>
  <r>
    <x v="182"/>
    <s v="VALDERRAMA CAÑAS ROBERTO MARIO"/>
    <s v="04.04.2011"/>
    <e v="#N/A"/>
    <e v="#N/A"/>
    <e v="#N/A"/>
    <x v="1"/>
  </r>
  <r>
    <x v="182"/>
    <s v="VALDERRAMA CAÑAS ROBERTO MARIO"/>
    <s v="05.04.2011"/>
    <e v="#N/A"/>
    <e v="#N/A"/>
    <e v="#N/A"/>
    <x v="1"/>
  </r>
  <r>
    <x v="182"/>
    <s v="VALDERRAMA CAÑAS ROBERTO MARIO"/>
    <s v="05.04.2011"/>
    <e v="#N/A"/>
    <e v="#N/A"/>
    <e v="#N/A"/>
    <x v="1"/>
  </r>
  <r>
    <x v="182"/>
    <s v="VALDERRAMA CAÑAS ROBERTO MARIO"/>
    <s v="06.04.2011"/>
    <e v="#N/A"/>
    <e v="#N/A"/>
    <e v="#N/A"/>
    <x v="1"/>
  </r>
  <r>
    <x v="182"/>
    <s v="VALDERRAMA CAÑAS ROBERTO MARIO"/>
    <s v="06.04.2011"/>
    <e v="#N/A"/>
    <e v="#N/A"/>
    <e v="#N/A"/>
    <x v="1"/>
  </r>
  <r>
    <x v="182"/>
    <s v="VALDERRAMA CAÑAS ROBERTO MARIO"/>
    <s v="07.04.2011"/>
    <e v="#N/A"/>
    <e v="#N/A"/>
    <e v="#N/A"/>
    <x v="1"/>
  </r>
  <r>
    <x v="182"/>
    <s v="VALDERRAMA CAÑAS ROBERTO MARIO"/>
    <s v="07.04.2011"/>
    <e v="#N/A"/>
    <e v="#N/A"/>
    <e v="#N/A"/>
    <x v="1"/>
  </r>
  <r>
    <x v="182"/>
    <s v="VALDERRAMA CAÑAS ROBERTO MARIO"/>
    <s v="08.04.2011"/>
    <e v="#N/A"/>
    <e v="#N/A"/>
    <e v="#N/A"/>
    <x v="1"/>
  </r>
  <r>
    <x v="182"/>
    <s v="VALDERRAMA CAÑAS ROBERTO MARIO"/>
    <s v="08.04.2011"/>
    <e v="#N/A"/>
    <e v="#N/A"/>
    <e v="#N/A"/>
    <x v="1"/>
  </r>
  <r>
    <x v="182"/>
    <s v="VALDERRAMA CAÑAS ROBERTO MARIO"/>
    <s v="09.04.2011"/>
    <e v="#N/A"/>
    <e v="#N/A"/>
    <e v="#N/A"/>
    <x v="1"/>
  </r>
  <r>
    <x v="182"/>
    <s v="VALDERRAMA CAÑAS ROBERTO MARIO"/>
    <s v="09.04.2011"/>
    <e v="#N/A"/>
    <e v="#N/A"/>
    <e v="#N/A"/>
    <x v="1"/>
  </r>
  <r>
    <x v="183"/>
    <s v="MAULEN MANUEL"/>
    <s v="04.04.2011"/>
    <e v="#N/A"/>
    <e v="#N/A"/>
    <e v="#N/A"/>
    <x v="1"/>
  </r>
  <r>
    <x v="183"/>
    <s v="MAULEN MANUEL"/>
    <s v="04.04.2011"/>
    <e v="#N/A"/>
    <e v="#N/A"/>
    <e v="#N/A"/>
    <x v="1"/>
  </r>
  <r>
    <x v="183"/>
    <s v="MAULEN MANUEL"/>
    <s v="05.04.2011"/>
    <e v="#N/A"/>
    <e v="#N/A"/>
    <e v="#N/A"/>
    <x v="1"/>
  </r>
  <r>
    <x v="183"/>
    <s v="MAULEN MANUEL"/>
    <s v="05.04.2011"/>
    <e v="#N/A"/>
    <e v="#N/A"/>
    <e v="#N/A"/>
    <x v="1"/>
  </r>
  <r>
    <x v="183"/>
    <s v="MAULEN MANUEL"/>
    <s v="06.04.2011"/>
    <e v="#N/A"/>
    <e v="#N/A"/>
    <e v="#N/A"/>
    <x v="1"/>
  </r>
  <r>
    <x v="183"/>
    <s v="MAULEN MANUEL"/>
    <s v="06.04.2011"/>
    <e v="#N/A"/>
    <e v="#N/A"/>
    <e v="#N/A"/>
    <x v="1"/>
  </r>
  <r>
    <x v="183"/>
    <s v="MAULEN MANUEL"/>
    <s v="07.04.2011"/>
    <e v="#N/A"/>
    <e v="#N/A"/>
    <e v="#N/A"/>
    <x v="1"/>
  </r>
  <r>
    <x v="183"/>
    <s v="MAULEN MANUEL"/>
    <s v="07.04.2011"/>
    <e v="#N/A"/>
    <e v="#N/A"/>
    <e v="#N/A"/>
    <x v="1"/>
  </r>
  <r>
    <x v="183"/>
    <s v="MAULEN MANUEL"/>
    <s v="08.04.2011"/>
    <e v="#N/A"/>
    <e v="#N/A"/>
    <e v="#N/A"/>
    <x v="1"/>
  </r>
  <r>
    <x v="183"/>
    <s v="MAULEN MANUEL"/>
    <s v="08.04.2011"/>
    <e v="#N/A"/>
    <e v="#N/A"/>
    <e v="#N/A"/>
    <x v="1"/>
  </r>
  <r>
    <x v="183"/>
    <s v="MAULEN MANUEL"/>
    <s v="09.04.2011"/>
    <e v="#N/A"/>
    <e v="#N/A"/>
    <e v="#N/A"/>
    <x v="1"/>
  </r>
  <r>
    <x v="183"/>
    <s v="MAULEN MANUEL"/>
    <s v="09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4.04.2011"/>
    <e v="#N/A"/>
    <e v="#N/A"/>
    <e v="#N/A"/>
    <x v="1"/>
  </r>
  <r>
    <x v="184"/>
    <s v="RETAMAL ACUÑA MAURICIO ALEJANDRO"/>
    <s v="05.04.2011"/>
    <e v="#N/A"/>
    <e v="#N/A"/>
    <e v="#N/A"/>
    <x v="1"/>
  </r>
  <r>
    <x v="184"/>
    <s v="RETAMAL ACUÑA MAURICIO ALEJANDRO"/>
    <s v="05.04.2011"/>
    <e v="#N/A"/>
    <e v="#N/A"/>
    <e v="#N/A"/>
    <x v="1"/>
  </r>
  <r>
    <x v="184"/>
    <s v="RETAMAL ACUÑA MAURICIO ALEJANDRO"/>
    <s v="06.04.2011"/>
    <e v="#N/A"/>
    <e v="#N/A"/>
    <e v="#N/A"/>
    <x v="1"/>
  </r>
  <r>
    <x v="184"/>
    <s v="RETAMAL ACUÑA MAURICIO ALEJANDRO"/>
    <s v="06.04.2011"/>
    <e v="#N/A"/>
    <e v="#N/A"/>
    <e v="#N/A"/>
    <x v="1"/>
  </r>
  <r>
    <x v="184"/>
    <s v="RETAMAL ACUÑA MAURICIO ALEJANDRO"/>
    <s v="07.04.2011"/>
    <e v="#N/A"/>
    <e v="#N/A"/>
    <e v="#N/A"/>
    <x v="1"/>
  </r>
  <r>
    <x v="184"/>
    <s v="RETAMAL ACUÑA MAURICIO ALEJANDRO"/>
    <s v="07.04.2011"/>
    <e v="#N/A"/>
    <e v="#N/A"/>
    <e v="#N/A"/>
    <x v="1"/>
  </r>
  <r>
    <x v="184"/>
    <s v="RETAMAL ACUÑA MAURICIO ALEJANDRO"/>
    <s v="08.04.2011"/>
    <e v="#N/A"/>
    <e v="#N/A"/>
    <e v="#N/A"/>
    <x v="1"/>
  </r>
  <r>
    <x v="184"/>
    <s v="RETAMAL ACUÑA MAURICIO ALEJANDRO"/>
    <s v="08.04.2011"/>
    <e v="#N/A"/>
    <e v="#N/A"/>
    <e v="#N/A"/>
    <x v="1"/>
  </r>
  <r>
    <x v="184"/>
    <s v="RETAMAL ACUÑA MAURICIO ALEJANDRO"/>
    <s v="09.04.2011"/>
    <e v="#N/A"/>
    <e v="#N/A"/>
    <e v="#N/A"/>
    <x v="1"/>
  </r>
  <r>
    <x v="185"/>
    <s v="PLAZA ARAYA MIGUEL ANTONIO"/>
    <s v="04.04.2011"/>
    <e v="#N/A"/>
    <e v="#N/A"/>
    <e v="#N/A"/>
    <x v="1"/>
  </r>
  <r>
    <x v="185"/>
    <s v="PLAZA ARAYA MIGUEL ANTONIO"/>
    <s v="04.04.2011"/>
    <e v="#N/A"/>
    <e v="#N/A"/>
    <e v="#N/A"/>
    <x v="1"/>
  </r>
  <r>
    <x v="185"/>
    <s v="PLAZA ARAYA MIGUEL ANTONIO"/>
    <s v="05.04.2011"/>
    <e v="#N/A"/>
    <e v="#N/A"/>
    <e v="#N/A"/>
    <x v="1"/>
  </r>
  <r>
    <x v="185"/>
    <s v="PLAZA ARAYA MIGUEL ANTONIO"/>
    <s v="05.04.2011"/>
    <e v="#N/A"/>
    <e v="#N/A"/>
    <e v="#N/A"/>
    <x v="1"/>
  </r>
  <r>
    <x v="185"/>
    <s v="PLAZA ARAYA MIGUEL ANTONIO"/>
    <s v="06.04.2011"/>
    <e v="#N/A"/>
    <e v="#N/A"/>
    <e v="#N/A"/>
    <x v="1"/>
  </r>
  <r>
    <x v="185"/>
    <s v="PLAZA ARAYA MIGUEL ANTONIO"/>
    <s v="06.04.2011"/>
    <e v="#N/A"/>
    <e v="#N/A"/>
    <e v="#N/A"/>
    <x v="1"/>
  </r>
  <r>
    <x v="185"/>
    <s v="PLAZA ARAYA MIGUEL ANTONIO"/>
    <s v="07.04.2011"/>
    <e v="#N/A"/>
    <e v="#N/A"/>
    <e v="#N/A"/>
    <x v="1"/>
  </r>
  <r>
    <x v="185"/>
    <s v="PLAZA ARAYA MIGUEL ANTONIO"/>
    <s v="07.04.2011"/>
    <e v="#N/A"/>
    <e v="#N/A"/>
    <e v="#N/A"/>
    <x v="1"/>
  </r>
  <r>
    <x v="185"/>
    <s v="PLAZA ARAYA MIGUEL ANTONIO"/>
    <s v="08.04.2011"/>
    <e v="#N/A"/>
    <e v="#N/A"/>
    <e v="#N/A"/>
    <x v="1"/>
  </r>
  <r>
    <x v="185"/>
    <s v="PLAZA ARAYA MIGUEL ANTONIO"/>
    <s v="08.04.2011"/>
    <e v="#N/A"/>
    <e v="#N/A"/>
    <e v="#N/A"/>
    <x v="1"/>
  </r>
  <r>
    <x v="185"/>
    <s v="PLAZA ARAYA MIGUEL ANTONIO"/>
    <s v="09.04.2011"/>
    <e v="#N/A"/>
    <e v="#N/A"/>
    <e v="#N/A"/>
    <x v="1"/>
  </r>
  <r>
    <x v="185"/>
    <s v="PLAZA ARAYA MIGUEL ANTONIO"/>
    <s v="09.04.2011"/>
    <e v="#N/A"/>
    <e v="#N/A"/>
    <e v="#N/A"/>
    <x v="1"/>
  </r>
  <r>
    <x v="186"/>
    <s v="MACAYA MOSCOSO FELIPE ANDRES"/>
    <s v="04.04.2011"/>
    <e v="#N/A"/>
    <e v="#N/A"/>
    <e v="#N/A"/>
    <x v="1"/>
  </r>
  <r>
    <x v="186"/>
    <s v="MACAYA MOSCOSO FELIPE ANDRES"/>
    <s v="05.04.2011"/>
    <e v="#N/A"/>
    <e v="#N/A"/>
    <e v="#N/A"/>
    <x v="1"/>
  </r>
  <r>
    <x v="186"/>
    <s v="MACAYA MOSCOSO FELIPE ANDRES"/>
    <s v="05.04.2011"/>
    <e v="#N/A"/>
    <e v="#N/A"/>
    <e v="#N/A"/>
    <x v="1"/>
  </r>
  <r>
    <x v="186"/>
    <s v="MACAYA MOSCOSO FELIPE ANDRES"/>
    <s v="06.04.2011"/>
    <e v="#N/A"/>
    <e v="#N/A"/>
    <e v="#N/A"/>
    <x v="1"/>
  </r>
  <r>
    <x v="186"/>
    <s v="MACAYA MOSCOSO FELIPE ANDRES"/>
    <s v="06.04.2011"/>
    <e v="#N/A"/>
    <e v="#N/A"/>
    <e v="#N/A"/>
    <x v="1"/>
  </r>
  <r>
    <x v="186"/>
    <s v="MACAYA MOSCOSO FELIPE ANDRES"/>
    <s v="07.04.2011"/>
    <e v="#N/A"/>
    <e v="#N/A"/>
    <e v="#N/A"/>
    <x v="1"/>
  </r>
  <r>
    <x v="186"/>
    <s v="MACAYA MOSCOSO FELIPE ANDRES"/>
    <s v="07.04.2011"/>
    <e v="#N/A"/>
    <e v="#N/A"/>
    <e v="#N/A"/>
    <x v="1"/>
  </r>
  <r>
    <x v="186"/>
    <s v="MACAYA MOSCOSO FELIPE ANDRES"/>
    <s v="08.04.2011"/>
    <e v="#N/A"/>
    <e v="#N/A"/>
    <e v="#N/A"/>
    <x v="1"/>
  </r>
  <r>
    <x v="186"/>
    <s v="MACAYA MOSCOSO FELIPE ANDRES"/>
    <s v="08.04.2011"/>
    <e v="#N/A"/>
    <e v="#N/A"/>
    <e v="#N/A"/>
    <x v="1"/>
  </r>
  <r>
    <x v="186"/>
    <s v="MACAYA MOSCOSO FELIPE ANDRES"/>
    <s v="09.04.2011"/>
    <e v="#N/A"/>
    <e v="#N/A"/>
    <e v="#N/A"/>
    <x v="1"/>
  </r>
  <r>
    <x v="187"/>
    <s v="DURAN MIRANDA ROBERTO FABIAN"/>
    <s v="04.04.2011"/>
    <e v="#N/A"/>
    <e v="#N/A"/>
    <e v="#N/A"/>
    <x v="1"/>
  </r>
  <r>
    <x v="187"/>
    <s v="DURAN MIRANDA ROBERTO FABIAN"/>
    <s v="04.04.2011"/>
    <e v="#N/A"/>
    <e v="#N/A"/>
    <e v="#N/A"/>
    <x v="1"/>
  </r>
  <r>
    <x v="187"/>
    <s v="DURAN MIRANDA ROBERTO FABIAN"/>
    <s v="05.04.2011"/>
    <e v="#N/A"/>
    <e v="#N/A"/>
    <e v="#N/A"/>
    <x v="1"/>
  </r>
  <r>
    <x v="187"/>
    <s v="DURAN MIRANDA ROBERTO FABIAN"/>
    <s v="05.04.2011"/>
    <e v="#N/A"/>
    <e v="#N/A"/>
    <e v="#N/A"/>
    <x v="1"/>
  </r>
  <r>
    <x v="187"/>
    <s v="DURAN MIRANDA ROBERTO FABIAN"/>
    <s v="06.04.2011"/>
    <e v="#N/A"/>
    <e v="#N/A"/>
    <e v="#N/A"/>
    <x v="1"/>
  </r>
  <r>
    <x v="187"/>
    <s v="DURAN MIRANDA ROBERTO FABIAN"/>
    <s v="06.04.2011"/>
    <e v="#N/A"/>
    <e v="#N/A"/>
    <e v="#N/A"/>
    <x v="1"/>
  </r>
  <r>
    <x v="187"/>
    <s v="DURAN MIRANDA ROBERTO FABIAN"/>
    <s v="07.04.2011"/>
    <e v="#N/A"/>
    <e v="#N/A"/>
    <e v="#N/A"/>
    <x v="1"/>
  </r>
  <r>
    <x v="187"/>
    <s v="DURAN MIRANDA ROBERTO FABIAN"/>
    <s v="07.04.2011"/>
    <e v="#N/A"/>
    <e v="#N/A"/>
    <e v="#N/A"/>
    <x v="1"/>
  </r>
  <r>
    <x v="187"/>
    <s v="DURAN MIRANDA ROBERTO FABIAN"/>
    <s v="08.04.2011"/>
    <e v="#N/A"/>
    <e v="#N/A"/>
    <e v="#N/A"/>
    <x v="1"/>
  </r>
  <r>
    <x v="187"/>
    <s v="DURAN MIRANDA ROBERTO FABIAN"/>
    <s v="08.04.2011"/>
    <e v="#N/A"/>
    <e v="#N/A"/>
    <e v="#N/A"/>
    <x v="1"/>
  </r>
  <r>
    <x v="187"/>
    <s v="DURAN MIRANDA ROBERTO FABIAN"/>
    <s v="09.04.2011"/>
    <e v="#N/A"/>
    <e v="#N/A"/>
    <e v="#N/A"/>
    <x v="1"/>
  </r>
  <r>
    <x v="187"/>
    <s v="DURAN MIRANDA ROBERTO FABIAN"/>
    <s v="09.04.2011"/>
    <e v="#N/A"/>
    <e v="#N/A"/>
    <e v="#N/A"/>
    <x v="1"/>
  </r>
  <r>
    <x v="188"/>
    <s v="DURAN  BRAVO, ROBERTO"/>
    <s v="04.04.2011"/>
    <e v="#N/A"/>
    <e v="#N/A"/>
    <e v="#N/A"/>
    <x v="1"/>
  </r>
  <r>
    <x v="188"/>
    <s v="DURAN  BRAVO, ROBERTO"/>
    <s v="04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5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6.04.2011"/>
    <e v="#N/A"/>
    <e v="#N/A"/>
    <e v="#N/A"/>
    <x v="1"/>
  </r>
  <r>
    <x v="188"/>
    <s v="DURAN  BRAVO, ROBERTO"/>
    <s v="07.04.2011"/>
    <e v="#N/A"/>
    <e v="#N/A"/>
    <e v="#N/A"/>
    <x v="1"/>
  </r>
  <r>
    <x v="188"/>
    <s v="DURAN  BRAVO, ROBERTO"/>
    <s v="07.04.2011"/>
    <e v="#N/A"/>
    <e v="#N/A"/>
    <e v="#N/A"/>
    <x v="1"/>
  </r>
  <r>
    <x v="188"/>
    <s v="DURAN  BRAVO, ROBERTO"/>
    <s v="08.04.2011"/>
    <e v="#N/A"/>
    <e v="#N/A"/>
    <e v="#N/A"/>
    <x v="1"/>
  </r>
  <r>
    <x v="188"/>
    <s v="DURAN  BRAVO, ROBERTO"/>
    <s v="08.04.2011"/>
    <e v="#N/A"/>
    <e v="#N/A"/>
    <e v="#N/A"/>
    <x v="1"/>
  </r>
  <r>
    <x v="189"/>
    <s v="CERNA  VARGAS CESAR"/>
    <s v="04.04.2011"/>
    <e v="#N/A"/>
    <e v="#N/A"/>
    <e v="#N/A"/>
    <x v="1"/>
  </r>
  <r>
    <x v="189"/>
    <s v="CERNA  VARGAS CESAR"/>
    <s v="05.04.2011"/>
    <e v="#N/A"/>
    <e v="#N/A"/>
    <e v="#N/A"/>
    <x v="1"/>
  </r>
  <r>
    <x v="189"/>
    <s v="CERNA  VARGAS CESAR"/>
    <s v="05.04.2011"/>
    <e v="#N/A"/>
    <e v="#N/A"/>
    <e v="#N/A"/>
    <x v="1"/>
  </r>
  <r>
    <x v="189"/>
    <s v="CERNA  VARGAS CESAR"/>
    <s v="06.04.2011"/>
    <e v="#N/A"/>
    <e v="#N/A"/>
    <e v="#N/A"/>
    <x v="1"/>
  </r>
  <r>
    <x v="189"/>
    <s v="CERNA  VARGAS CESAR"/>
    <s v="06.04.2011"/>
    <e v="#N/A"/>
    <e v="#N/A"/>
    <e v="#N/A"/>
    <x v="1"/>
  </r>
  <r>
    <x v="189"/>
    <s v="CERNA  VARGAS CESAR"/>
    <s v="07.04.2011"/>
    <e v="#N/A"/>
    <e v="#N/A"/>
    <e v="#N/A"/>
    <x v="1"/>
  </r>
  <r>
    <x v="189"/>
    <s v="CERNA  VARGAS CESAR"/>
    <s v="08.04.2011"/>
    <e v="#N/A"/>
    <e v="#N/A"/>
    <e v="#N/A"/>
    <x v="1"/>
  </r>
  <r>
    <x v="189"/>
    <s v="CERNA  VARGAS CESAR"/>
    <s v="09.04.2011"/>
    <e v="#N/A"/>
    <e v="#N/A"/>
    <e v="#N/A"/>
    <x v="1"/>
  </r>
  <r>
    <x v="190"/>
    <s v="PALMA VERA JUAN PABLO"/>
    <s v="04.04.2011"/>
    <e v="#N/A"/>
    <e v="#N/A"/>
    <e v="#N/A"/>
    <x v="1"/>
  </r>
  <r>
    <x v="190"/>
    <s v="PALMA VERA JUAN PABLO"/>
    <s v="04.04.2011"/>
    <e v="#N/A"/>
    <e v="#N/A"/>
    <e v="#N/A"/>
    <x v="1"/>
  </r>
  <r>
    <x v="190"/>
    <s v="PALMA VERA JUAN PABLO"/>
    <s v="05.04.2011"/>
    <e v="#N/A"/>
    <e v="#N/A"/>
    <e v="#N/A"/>
    <x v="1"/>
  </r>
  <r>
    <x v="190"/>
    <s v="PALMA VERA JUAN PABLO"/>
    <s v="05.04.2011"/>
    <e v="#N/A"/>
    <e v="#N/A"/>
    <e v="#N/A"/>
    <x v="1"/>
  </r>
  <r>
    <x v="190"/>
    <s v="PALMA VERA JUAN PABLO"/>
    <s v="06.04.2011"/>
    <e v="#N/A"/>
    <e v="#N/A"/>
    <e v="#N/A"/>
    <x v="1"/>
  </r>
  <r>
    <x v="190"/>
    <s v="PALMA VERA JUAN PABLO"/>
    <s v="06.04.2011"/>
    <e v="#N/A"/>
    <e v="#N/A"/>
    <e v="#N/A"/>
    <x v="1"/>
  </r>
  <r>
    <x v="190"/>
    <s v="PALMA VERA JUAN PABLO"/>
    <s v="07.04.2011"/>
    <e v="#N/A"/>
    <e v="#N/A"/>
    <e v="#N/A"/>
    <x v="1"/>
  </r>
  <r>
    <x v="190"/>
    <s v="PALMA VERA JUAN PABLO"/>
    <s v="07.04.2011"/>
    <e v="#N/A"/>
    <e v="#N/A"/>
    <e v="#N/A"/>
    <x v="1"/>
  </r>
  <r>
    <x v="190"/>
    <s v="PALMA VERA JUAN PABLO"/>
    <s v="08.04.2011"/>
    <e v="#N/A"/>
    <e v="#N/A"/>
    <e v="#N/A"/>
    <x v="1"/>
  </r>
  <r>
    <x v="190"/>
    <s v="PALMA VERA JUAN PABLO"/>
    <s v="08.04.2011"/>
    <e v="#N/A"/>
    <e v="#N/A"/>
    <e v="#N/A"/>
    <x v="1"/>
  </r>
  <r>
    <x v="190"/>
    <s v="PALMA VERA JUAN PABLO"/>
    <s v="09.04.2011"/>
    <e v="#N/A"/>
    <e v="#N/A"/>
    <e v="#N/A"/>
    <x v="1"/>
  </r>
  <r>
    <x v="190"/>
    <s v="PALMA VERA JUAN PABLO"/>
    <s v="09.04.2011"/>
    <e v="#N/A"/>
    <e v="#N/A"/>
    <e v="#N/A"/>
    <x v="1"/>
  </r>
  <r>
    <x v="138"/>
    <e v="#N/A"/>
    <s v="00.00.0000"/>
    <e v="#N/A"/>
    <e v="#N/A"/>
    <e v="#N/A"/>
    <x v="1"/>
  </r>
  <r>
    <x v="191"/>
    <s v="ORIAS ORIAS ALEXIS"/>
    <s v="04.04.2011"/>
    <e v="#N/A"/>
    <e v="#N/A"/>
    <e v="#N/A"/>
    <x v="1"/>
  </r>
  <r>
    <x v="191"/>
    <s v="ORIAS ORIAS ALEXIS"/>
    <s v="05.04.2011"/>
    <e v="#N/A"/>
    <e v="#N/A"/>
    <e v="#N/A"/>
    <x v="1"/>
  </r>
  <r>
    <x v="191"/>
    <s v="ORIAS ORIAS ALEXIS"/>
    <s v="05.04.2011"/>
    <e v="#N/A"/>
    <e v="#N/A"/>
    <e v="#N/A"/>
    <x v="1"/>
  </r>
  <r>
    <x v="191"/>
    <s v="ORIAS ORIAS ALEXIS"/>
    <s v="06.04.2011"/>
    <e v="#N/A"/>
    <e v="#N/A"/>
    <e v="#N/A"/>
    <x v="1"/>
  </r>
  <r>
    <x v="191"/>
    <s v="ORIAS ORIAS ALEXIS"/>
    <s v="07.04.2011"/>
    <e v="#N/A"/>
    <e v="#N/A"/>
    <e v="#N/A"/>
    <x v="1"/>
  </r>
  <r>
    <x v="191"/>
    <s v="ORIAS ORIAS ALEXIS"/>
    <s v="08.04.2011"/>
    <e v="#N/A"/>
    <e v="#N/A"/>
    <e v="#N/A"/>
    <x v="1"/>
  </r>
  <r>
    <x v="191"/>
    <s v="ORIAS ORIAS ALEXIS"/>
    <s v="08.04.2011"/>
    <e v="#N/A"/>
    <e v="#N/A"/>
    <e v="#N/A"/>
    <x v="1"/>
  </r>
  <r>
    <x v="191"/>
    <s v="ORIAS ORIAS ALEXIS"/>
    <s v="09.04.2011"/>
    <e v="#N/A"/>
    <e v="#N/A"/>
    <e v="#N/A"/>
    <x v="1"/>
  </r>
  <r>
    <x v="192"/>
    <s v="SALINAS SALDIA LUIS ALBERTO"/>
    <s v="04.04.2011"/>
    <e v="#N/A"/>
    <e v="#N/A"/>
    <e v="#N/A"/>
    <x v="1"/>
  </r>
  <r>
    <x v="192"/>
    <s v="SALINAS SALDIA LUIS ALBERTO"/>
    <s v="04.04.2011"/>
    <e v="#N/A"/>
    <e v="#N/A"/>
    <e v="#N/A"/>
    <x v="1"/>
  </r>
  <r>
    <x v="192"/>
    <s v="SALINAS SALDIA LUIS ALBERTO"/>
    <s v="05.04.2011"/>
    <e v="#N/A"/>
    <e v="#N/A"/>
    <e v="#N/A"/>
    <x v="1"/>
  </r>
  <r>
    <x v="192"/>
    <s v="SALINAS SALDIA LUIS ALBERTO"/>
    <s v="05.04.2011"/>
    <e v="#N/A"/>
    <e v="#N/A"/>
    <e v="#N/A"/>
    <x v="1"/>
  </r>
  <r>
    <x v="192"/>
    <s v="SALINAS SALDIA LUIS ALBERTO"/>
    <s v="06.04.2011"/>
    <e v="#N/A"/>
    <e v="#N/A"/>
    <e v="#N/A"/>
    <x v="1"/>
  </r>
  <r>
    <x v="192"/>
    <s v="SALINAS SALDIA LUIS ALBERTO"/>
    <s v="06.04.2011"/>
    <e v="#N/A"/>
    <e v="#N/A"/>
    <e v="#N/A"/>
    <x v="1"/>
  </r>
  <r>
    <x v="192"/>
    <s v="SALINAS SALDIA LUIS ALBERTO"/>
    <s v="07.04.2011"/>
    <e v="#N/A"/>
    <e v="#N/A"/>
    <e v="#N/A"/>
    <x v="1"/>
  </r>
  <r>
    <x v="192"/>
    <s v="SALINAS SALDIA LUIS ALBERTO"/>
    <s v="07.04.2011"/>
    <e v="#N/A"/>
    <e v="#N/A"/>
    <e v="#N/A"/>
    <x v="1"/>
  </r>
  <r>
    <x v="192"/>
    <s v="SALINAS SALDIA LUIS ALBERTO"/>
    <s v="08.04.2011"/>
    <e v="#N/A"/>
    <e v="#N/A"/>
    <e v="#N/A"/>
    <x v="1"/>
  </r>
  <r>
    <x v="192"/>
    <s v="SALINAS SALDIA LUIS ALBERTO"/>
    <s v="08.04.2011"/>
    <e v="#N/A"/>
    <e v="#N/A"/>
    <e v="#N/A"/>
    <x v="1"/>
  </r>
  <r>
    <x v="192"/>
    <s v="SALINAS SALDIA LUIS ALBERTO"/>
    <s v="09.04.2011"/>
    <e v="#N/A"/>
    <e v="#N/A"/>
    <e v="#N/A"/>
    <x v="1"/>
  </r>
  <r>
    <x v="192"/>
    <s v="SALINAS SALDIA LUIS ALBERTO"/>
    <s v="09.04.2011"/>
    <e v="#N/A"/>
    <e v="#N/A"/>
    <e v="#N/A"/>
    <x v="1"/>
  </r>
  <r>
    <x v="193"/>
    <s v="JAQUE VARGAS ALEJANDRO ANDRES"/>
    <s v="04.04.2011"/>
    <e v="#N/A"/>
    <e v="#N/A"/>
    <e v="#N/A"/>
    <x v="1"/>
  </r>
  <r>
    <x v="193"/>
    <s v="JAQUE VARGAS ALEJANDRO ANDRES"/>
    <s v="05.04.2011"/>
    <e v="#N/A"/>
    <e v="#N/A"/>
    <e v="#N/A"/>
    <x v="1"/>
  </r>
  <r>
    <x v="193"/>
    <s v="JAQUE VARGAS ALEJANDRO ANDRES"/>
    <s v="05.04.2011"/>
    <e v="#N/A"/>
    <e v="#N/A"/>
    <e v="#N/A"/>
    <x v="1"/>
  </r>
  <r>
    <x v="193"/>
    <s v="JAQUE VARGAS ALEJANDRO ANDRES"/>
    <s v="06.04.2011"/>
    <e v="#N/A"/>
    <e v="#N/A"/>
    <e v="#N/A"/>
    <x v="1"/>
  </r>
  <r>
    <x v="193"/>
    <s v="JAQUE VARGAS ALEJANDRO ANDRES"/>
    <s v="06.04.2011"/>
    <e v="#N/A"/>
    <e v="#N/A"/>
    <e v="#N/A"/>
    <x v="1"/>
  </r>
  <r>
    <x v="193"/>
    <s v="JAQUE VARGAS ALEJANDRO ANDRES"/>
    <s v="07.04.2011"/>
    <e v="#N/A"/>
    <e v="#N/A"/>
    <e v="#N/A"/>
    <x v="1"/>
  </r>
  <r>
    <x v="193"/>
    <s v="JAQUE VARGAS ALEJANDRO ANDRES"/>
    <s v="07.04.2011"/>
    <e v="#N/A"/>
    <e v="#N/A"/>
    <e v="#N/A"/>
    <x v="1"/>
  </r>
  <r>
    <x v="193"/>
    <s v="JAQUE VARGAS ALEJANDRO ANDRES"/>
    <s v="08.04.2011"/>
    <e v="#N/A"/>
    <e v="#N/A"/>
    <e v="#N/A"/>
    <x v="1"/>
  </r>
  <r>
    <x v="193"/>
    <s v="JAQUE VARGAS ALEJANDRO ANDRES"/>
    <s v="08.04.2011"/>
    <e v="#N/A"/>
    <e v="#N/A"/>
    <e v="#N/A"/>
    <x v="1"/>
  </r>
  <r>
    <x v="193"/>
    <s v="JAQUE VARGAS ALEJANDRO ANDRES"/>
    <s v="09.04.2011"/>
    <e v="#N/A"/>
    <e v="#N/A"/>
    <e v="#N/A"/>
    <x v="1"/>
  </r>
  <r>
    <x v="194"/>
    <s v="REYES GALVEZ VICTOR "/>
    <s v="04.04.2011"/>
    <e v="#N/A"/>
    <e v="#N/A"/>
    <e v="#N/A"/>
    <x v="1"/>
  </r>
  <r>
    <x v="194"/>
    <s v="REYES GALVEZ VICTOR "/>
    <s v="04.04.2011"/>
    <e v="#N/A"/>
    <e v="#N/A"/>
    <e v="#N/A"/>
    <x v="1"/>
  </r>
  <r>
    <x v="194"/>
    <s v="REYES GALVEZ VICTOR "/>
    <s v="05.04.2011"/>
    <e v="#N/A"/>
    <e v="#N/A"/>
    <e v="#N/A"/>
    <x v="1"/>
  </r>
  <r>
    <x v="194"/>
    <s v="REYES GALVEZ VICTOR "/>
    <s v="05.04.2011"/>
    <e v="#N/A"/>
    <e v="#N/A"/>
    <e v="#N/A"/>
    <x v="1"/>
  </r>
  <r>
    <x v="194"/>
    <s v="REYES GALVEZ VICTOR "/>
    <s v="06.04.2011"/>
    <e v="#N/A"/>
    <e v="#N/A"/>
    <e v="#N/A"/>
    <x v="1"/>
  </r>
  <r>
    <x v="194"/>
    <s v="REYES GALVEZ VICTOR "/>
    <s v="06.04.2011"/>
    <e v="#N/A"/>
    <e v="#N/A"/>
    <e v="#N/A"/>
    <x v="1"/>
  </r>
  <r>
    <x v="194"/>
    <s v="REYES GALVEZ VICTOR "/>
    <s v="07.04.2011"/>
    <e v="#N/A"/>
    <e v="#N/A"/>
    <e v="#N/A"/>
    <x v="1"/>
  </r>
  <r>
    <x v="194"/>
    <s v="REYES GALVEZ VICTOR "/>
    <s v="07.04.2011"/>
    <e v="#N/A"/>
    <e v="#N/A"/>
    <e v="#N/A"/>
    <x v="1"/>
  </r>
  <r>
    <x v="194"/>
    <s v="REYES GALVEZ VICTOR "/>
    <s v="08.04.2011"/>
    <e v="#N/A"/>
    <e v="#N/A"/>
    <e v="#N/A"/>
    <x v="1"/>
  </r>
  <r>
    <x v="194"/>
    <s v="REYES GALVEZ VICTOR "/>
    <s v="08.04.2011"/>
    <e v="#N/A"/>
    <e v="#N/A"/>
    <e v="#N/A"/>
    <x v="1"/>
  </r>
  <r>
    <x v="194"/>
    <s v="REYES GALVEZ VICTOR "/>
    <s v="09.04.2011"/>
    <e v="#N/A"/>
    <e v="#N/A"/>
    <e v="#N/A"/>
    <x v="1"/>
  </r>
  <r>
    <x v="194"/>
    <s v="REYES GALVEZ VICTOR "/>
    <s v="09.04.2011"/>
    <e v="#N/A"/>
    <e v="#N/A"/>
    <e v="#N/A"/>
    <x v="1"/>
  </r>
  <r>
    <x v="195"/>
    <s v="ESPINOZA MORENO JONATHAN"/>
    <s v="04.04.2011"/>
    <e v="#N/A"/>
    <e v="#N/A"/>
    <e v="#N/A"/>
    <x v="1"/>
  </r>
  <r>
    <x v="195"/>
    <s v="ESPINOZA MORENO JONATHAN"/>
    <s v="04.04.2011"/>
    <e v="#N/A"/>
    <e v="#N/A"/>
    <e v="#N/A"/>
    <x v="1"/>
  </r>
  <r>
    <x v="195"/>
    <s v="ESPINOZA MORENO JONATHAN"/>
    <s v="05.04.2011"/>
    <e v="#N/A"/>
    <e v="#N/A"/>
    <e v="#N/A"/>
    <x v="1"/>
  </r>
  <r>
    <x v="195"/>
    <s v="ESPINOZA MORENO JONATHAN"/>
    <s v="05.04.2011"/>
    <e v="#N/A"/>
    <e v="#N/A"/>
    <e v="#N/A"/>
    <x v="1"/>
  </r>
  <r>
    <x v="195"/>
    <s v="ESPINOZA MORENO JONATHAN"/>
    <s v="06.04.2011"/>
    <e v="#N/A"/>
    <e v="#N/A"/>
    <e v="#N/A"/>
    <x v="1"/>
  </r>
  <r>
    <x v="195"/>
    <s v="ESPINOZA MORENO JONATHAN"/>
    <s v="06.04.2011"/>
    <e v="#N/A"/>
    <e v="#N/A"/>
    <e v="#N/A"/>
    <x v="1"/>
  </r>
  <r>
    <x v="195"/>
    <s v="ESPINOZA MORENO JONATHAN"/>
    <s v="07.04.2011"/>
    <e v="#N/A"/>
    <e v="#N/A"/>
    <e v="#N/A"/>
    <x v="1"/>
  </r>
  <r>
    <x v="195"/>
    <s v="ESPINOZA MORENO JONATHAN"/>
    <s v="07.04.2011"/>
    <e v="#N/A"/>
    <e v="#N/A"/>
    <e v="#N/A"/>
    <x v="1"/>
  </r>
  <r>
    <x v="195"/>
    <s v="ESPINOZA MORENO JONATHAN"/>
    <s v="08.04.2011"/>
    <e v="#N/A"/>
    <e v="#N/A"/>
    <e v="#N/A"/>
    <x v="1"/>
  </r>
  <r>
    <x v="195"/>
    <s v="ESPINOZA MORENO JONATHAN"/>
    <s v="08.04.2011"/>
    <e v="#N/A"/>
    <e v="#N/A"/>
    <e v="#N/A"/>
    <x v="1"/>
  </r>
  <r>
    <x v="195"/>
    <s v="ESPINOZA MORENO JONATHAN"/>
    <s v="09.04.2011"/>
    <e v="#N/A"/>
    <e v="#N/A"/>
    <e v="#N/A"/>
    <x v="1"/>
  </r>
  <r>
    <x v="195"/>
    <s v="ESPINOZA MORENO JONATHAN"/>
    <s v="09.04.2011"/>
    <e v="#N/A"/>
    <e v="#N/A"/>
    <e v="#N/A"/>
    <x v="1"/>
  </r>
  <r>
    <x v="196"/>
    <s v="GALLARDO LUCERO EMERSON"/>
    <s v="04.04.2011"/>
    <e v="#N/A"/>
    <e v="#N/A"/>
    <e v="#N/A"/>
    <x v="1"/>
  </r>
  <r>
    <x v="196"/>
    <s v="GALLARDO LUCERO EMERSON"/>
    <s v="04.04.2011"/>
    <e v="#N/A"/>
    <e v="#N/A"/>
    <e v="#N/A"/>
    <x v="1"/>
  </r>
  <r>
    <x v="196"/>
    <s v="GALLARDO LUCERO EMERSON"/>
    <s v="05.04.2011"/>
    <e v="#N/A"/>
    <e v="#N/A"/>
    <e v="#N/A"/>
    <x v="1"/>
  </r>
  <r>
    <x v="196"/>
    <s v="GALLARDO LUCERO EMERSON"/>
    <s v="05.04.2011"/>
    <e v="#N/A"/>
    <e v="#N/A"/>
    <e v="#N/A"/>
    <x v="1"/>
  </r>
  <r>
    <x v="196"/>
    <s v="GALLARDO LUCERO EMERSON"/>
    <s v="06.04.2011"/>
    <e v="#N/A"/>
    <e v="#N/A"/>
    <e v="#N/A"/>
    <x v="1"/>
  </r>
  <r>
    <x v="196"/>
    <s v="GALLARDO LUCERO EMERSON"/>
    <s v="06.04.2011"/>
    <e v="#N/A"/>
    <e v="#N/A"/>
    <e v="#N/A"/>
    <x v="1"/>
  </r>
  <r>
    <x v="196"/>
    <s v="GALLARDO LUCERO EMERSON"/>
    <s v="07.04.2011"/>
    <e v="#N/A"/>
    <e v="#N/A"/>
    <e v="#N/A"/>
    <x v="1"/>
  </r>
  <r>
    <x v="196"/>
    <s v="GALLARDO LUCERO EMERSON"/>
    <s v="07.04.2011"/>
    <e v="#N/A"/>
    <e v="#N/A"/>
    <e v="#N/A"/>
    <x v="1"/>
  </r>
  <r>
    <x v="196"/>
    <s v="GALLARDO LUCERO EMERSON"/>
    <s v="08.04.2011"/>
    <e v="#N/A"/>
    <e v="#N/A"/>
    <e v="#N/A"/>
    <x v="1"/>
  </r>
  <r>
    <x v="196"/>
    <s v="GALLARDO LUCERO EMERSON"/>
    <s v="08.04.2011"/>
    <e v="#N/A"/>
    <e v="#N/A"/>
    <e v="#N/A"/>
    <x v="1"/>
  </r>
  <r>
    <x v="196"/>
    <s v="GALLARDO LUCERO EMERSON"/>
    <s v="09.04.2011"/>
    <e v="#N/A"/>
    <e v="#N/A"/>
    <e v="#N/A"/>
    <x v="1"/>
  </r>
  <r>
    <x v="196"/>
    <s v="GALLARDO LUCERO EMERSON"/>
    <s v="09.04.2011"/>
    <e v="#N/A"/>
    <e v="#N/A"/>
    <e v="#N/A"/>
    <x v="1"/>
  </r>
  <r>
    <x v="197"/>
    <s v="POBLETE SANDOVAL RODRIGO "/>
    <s v="04.04.2011"/>
    <e v="#N/A"/>
    <e v="#N/A"/>
    <e v="#N/A"/>
    <x v="1"/>
  </r>
  <r>
    <x v="197"/>
    <s v="POBLETE SANDOVAL RODRIGO "/>
    <s v="04.04.2011"/>
    <e v="#N/A"/>
    <e v="#N/A"/>
    <e v="#N/A"/>
    <x v="1"/>
  </r>
  <r>
    <x v="197"/>
    <s v="POBLETE SANDOVAL RODRIGO "/>
    <s v="05.04.2011"/>
    <e v="#N/A"/>
    <e v="#N/A"/>
    <e v="#N/A"/>
    <x v="1"/>
  </r>
  <r>
    <x v="197"/>
    <s v="POBLETE SANDOVAL RODRIGO "/>
    <s v="05.04.2011"/>
    <e v="#N/A"/>
    <e v="#N/A"/>
    <e v="#N/A"/>
    <x v="1"/>
  </r>
  <r>
    <x v="197"/>
    <s v="POBLETE SANDOVAL RODRIGO "/>
    <s v="06.04.2011"/>
    <e v="#N/A"/>
    <e v="#N/A"/>
    <e v="#N/A"/>
    <x v="1"/>
  </r>
  <r>
    <x v="197"/>
    <s v="POBLETE SANDOVAL RODRIGO "/>
    <s v="06.04.2011"/>
    <e v="#N/A"/>
    <e v="#N/A"/>
    <e v="#N/A"/>
    <x v="1"/>
  </r>
  <r>
    <x v="197"/>
    <s v="POBLETE SANDOVAL RODRIGO "/>
    <s v="07.04.2011"/>
    <e v="#N/A"/>
    <e v="#N/A"/>
    <e v="#N/A"/>
    <x v="1"/>
  </r>
  <r>
    <x v="197"/>
    <s v="POBLETE SANDOVAL RODRIGO "/>
    <s v="07.04.2011"/>
    <e v="#N/A"/>
    <e v="#N/A"/>
    <e v="#N/A"/>
    <x v="1"/>
  </r>
  <r>
    <x v="197"/>
    <s v="POBLETE SANDOVAL RODRIGO "/>
    <s v="08.04.2011"/>
    <e v="#N/A"/>
    <e v="#N/A"/>
    <e v="#N/A"/>
    <x v="1"/>
  </r>
  <r>
    <x v="197"/>
    <s v="POBLETE SANDOVAL RODRIGO "/>
    <s v="08.04.2011"/>
    <e v="#N/A"/>
    <e v="#N/A"/>
    <e v="#N/A"/>
    <x v="1"/>
  </r>
  <r>
    <x v="197"/>
    <s v="POBLETE SANDOVAL RODRIGO "/>
    <s v="09.04.2011"/>
    <e v="#N/A"/>
    <e v="#N/A"/>
    <e v="#N/A"/>
    <x v="1"/>
  </r>
  <r>
    <x v="197"/>
    <s v="POBLETE SANDOVAL RODRIGO "/>
    <s v="09.04.2011"/>
    <e v="#N/A"/>
    <e v="#N/A"/>
    <e v="#N/A"/>
    <x v="1"/>
  </r>
  <r>
    <x v="198"/>
    <s v="ÑANCUCHEO MARIQUEO JOSE MAURICIO"/>
    <s v="04.04.2011"/>
    <e v="#N/A"/>
    <e v="#N/A"/>
    <e v="#N/A"/>
    <x v="1"/>
  </r>
  <r>
    <x v="198"/>
    <s v="ÑANCUCHEO MARIQUEO JOSE MAURICIO"/>
    <s v="04.04.2011"/>
    <e v="#N/A"/>
    <e v="#N/A"/>
    <e v="#N/A"/>
    <x v="1"/>
  </r>
  <r>
    <x v="198"/>
    <s v="ÑANCUCHEO MARIQUEO JOSE MAURICIO"/>
    <s v="05.04.2011"/>
    <e v="#N/A"/>
    <e v="#N/A"/>
    <e v="#N/A"/>
    <x v="1"/>
  </r>
  <r>
    <x v="198"/>
    <s v="ÑANCUCHEO MARIQUEO JOSE MAURICIO"/>
    <s v="05.04.2011"/>
    <e v="#N/A"/>
    <e v="#N/A"/>
    <e v="#N/A"/>
    <x v="1"/>
  </r>
  <r>
    <x v="198"/>
    <s v="ÑANCUCHEO MARIQUEO JOSE MAURICIO"/>
    <s v="06.04.2011"/>
    <e v="#N/A"/>
    <e v="#N/A"/>
    <e v="#N/A"/>
    <x v="1"/>
  </r>
  <r>
    <x v="198"/>
    <s v="ÑANCUCHEO MARIQUEO JOSE MAURICIO"/>
    <s v="06.04.2011"/>
    <e v="#N/A"/>
    <e v="#N/A"/>
    <e v="#N/A"/>
    <x v="1"/>
  </r>
  <r>
    <x v="198"/>
    <s v="ÑANCUCHEO MARIQUEO JOSE MAURICIO"/>
    <s v="07.04.2011"/>
    <e v="#N/A"/>
    <e v="#N/A"/>
    <e v="#N/A"/>
    <x v="1"/>
  </r>
  <r>
    <x v="198"/>
    <s v="ÑANCUCHEO MARIQUEO JOSE MAURICIO"/>
    <s v="07.04.2011"/>
    <e v="#N/A"/>
    <e v="#N/A"/>
    <e v="#N/A"/>
    <x v="1"/>
  </r>
  <r>
    <x v="198"/>
    <s v="ÑANCUCHEO MARIQUEO JOSE MAURICIO"/>
    <s v="08.04.2011"/>
    <e v="#N/A"/>
    <e v="#N/A"/>
    <e v="#N/A"/>
    <x v="1"/>
  </r>
  <r>
    <x v="198"/>
    <s v="ÑANCUCHEO MARIQUEO JOSE MAURICIO"/>
    <s v="08.04.2011"/>
    <e v="#N/A"/>
    <e v="#N/A"/>
    <e v="#N/A"/>
    <x v="1"/>
  </r>
  <r>
    <x v="198"/>
    <s v="ÑANCUCHEO MARIQUEO JOSE MAURICIO"/>
    <s v="09.04.2011"/>
    <e v="#N/A"/>
    <e v="#N/A"/>
    <e v="#N/A"/>
    <x v="1"/>
  </r>
  <r>
    <x v="198"/>
    <s v="ÑANCUCHEO MARIQUEO JOSE MAURICIO"/>
    <s v="09.04.2011"/>
    <e v="#N/A"/>
    <e v="#N/A"/>
    <e v="#N/A"/>
    <x v="1"/>
  </r>
  <r>
    <x v="199"/>
    <s v="ALARCON SILVA KAREN FABIOLA"/>
    <s v="04.04.2011"/>
    <e v="#N/A"/>
    <e v="#N/A"/>
    <e v="#N/A"/>
    <x v="1"/>
  </r>
  <r>
    <x v="199"/>
    <s v="ALARCON SILVA KAREN FABIOLA"/>
    <s v="04.04.2011"/>
    <e v="#N/A"/>
    <e v="#N/A"/>
    <e v="#N/A"/>
    <x v="1"/>
  </r>
  <r>
    <x v="199"/>
    <s v="ALARCON SILVA KAREN FABIOLA"/>
    <s v="06.04.2011"/>
    <e v="#N/A"/>
    <e v="#N/A"/>
    <e v="#N/A"/>
    <x v="1"/>
  </r>
  <r>
    <x v="199"/>
    <s v="ALARCON SILVA KAREN FABIOLA"/>
    <s v="06.04.2011"/>
    <e v="#N/A"/>
    <e v="#N/A"/>
    <e v="#N/A"/>
    <x v="1"/>
  </r>
  <r>
    <x v="199"/>
    <s v="ALARCON SILVA KAREN FABIOLA"/>
    <s v="07.04.2011"/>
    <e v="#N/A"/>
    <e v="#N/A"/>
    <e v="#N/A"/>
    <x v="1"/>
  </r>
  <r>
    <x v="199"/>
    <s v="ALARCON SILVA KAREN FABIOLA"/>
    <s v="08.04.2011"/>
    <e v="#N/A"/>
    <e v="#N/A"/>
    <e v="#N/A"/>
    <x v="1"/>
  </r>
  <r>
    <x v="199"/>
    <s v="ALARCON SILVA KAREN FABIOLA"/>
    <s v="08.04.2011"/>
    <e v="#N/A"/>
    <e v="#N/A"/>
    <e v="#N/A"/>
    <x v="1"/>
  </r>
  <r>
    <x v="200"/>
    <s v="PEREZ PADILLA RODRIGO ALEJANDRO"/>
    <s v="04.04.2011"/>
    <e v="#N/A"/>
    <e v="#N/A"/>
    <e v="#N/A"/>
    <x v="1"/>
  </r>
  <r>
    <x v="200"/>
    <s v="PEREZ PADILLA RODRIGO ALEJANDRO"/>
    <s v="04.04.2011"/>
    <e v="#N/A"/>
    <e v="#N/A"/>
    <e v="#N/A"/>
    <x v="1"/>
  </r>
  <r>
    <x v="200"/>
    <s v="PEREZ PADILLA RODRIGO ALEJANDRO"/>
    <s v="05.04.2011"/>
    <e v="#N/A"/>
    <e v="#N/A"/>
    <e v="#N/A"/>
    <x v="1"/>
  </r>
  <r>
    <x v="200"/>
    <s v="PEREZ PADILLA RODRIGO ALEJANDRO"/>
    <s v="05.04.2011"/>
    <e v="#N/A"/>
    <e v="#N/A"/>
    <e v="#N/A"/>
    <x v="1"/>
  </r>
  <r>
    <x v="200"/>
    <s v="PEREZ PADILLA RODRIGO ALEJANDRO"/>
    <s v="06.04.2011"/>
    <e v="#N/A"/>
    <e v="#N/A"/>
    <e v="#N/A"/>
    <x v="1"/>
  </r>
  <r>
    <x v="200"/>
    <s v="PEREZ PADILLA RODRIGO ALEJANDRO"/>
    <s v="06.04.2011"/>
    <e v="#N/A"/>
    <e v="#N/A"/>
    <e v="#N/A"/>
    <x v="1"/>
  </r>
  <r>
    <x v="200"/>
    <s v="PEREZ PADILLA RODRIGO ALEJANDRO"/>
    <s v="07.04.2011"/>
    <e v="#N/A"/>
    <e v="#N/A"/>
    <e v="#N/A"/>
    <x v="1"/>
  </r>
  <r>
    <x v="200"/>
    <s v="PEREZ PADILLA RODRIGO ALEJANDRO"/>
    <s v="07.04.2011"/>
    <e v="#N/A"/>
    <e v="#N/A"/>
    <e v="#N/A"/>
    <x v="1"/>
  </r>
  <r>
    <x v="200"/>
    <s v="PEREZ PADILLA RODRIGO ALEJANDRO"/>
    <s v="08.04.2011"/>
    <e v="#N/A"/>
    <e v="#N/A"/>
    <e v="#N/A"/>
    <x v="1"/>
  </r>
  <r>
    <x v="200"/>
    <s v="PEREZ PADILLA RODRIGO ALEJANDRO"/>
    <s v="08.04.2011"/>
    <e v="#N/A"/>
    <e v="#N/A"/>
    <e v="#N/A"/>
    <x v="1"/>
  </r>
  <r>
    <x v="200"/>
    <s v="PEREZ PADILLA RODRIGO ALEJANDRO"/>
    <s v="09.04.2011"/>
    <e v="#N/A"/>
    <e v="#N/A"/>
    <e v="#N/A"/>
    <x v="1"/>
  </r>
  <r>
    <x v="200"/>
    <s v="PEREZ PADILLA RODRIGO ALEJANDRO"/>
    <s v="09.04.2011"/>
    <e v="#N/A"/>
    <e v="#N/A"/>
    <e v="#N/A"/>
    <x v="1"/>
  </r>
  <r>
    <x v="201"/>
    <s v="MONTANARES MONTANARES CARLOS"/>
    <s v="04.04.2011"/>
    <e v="#N/A"/>
    <e v="#N/A"/>
    <e v="#N/A"/>
    <x v="1"/>
  </r>
  <r>
    <x v="201"/>
    <s v="MONTANARES MONTANARES CARLOS"/>
    <s v="04.04.2011"/>
    <e v="#N/A"/>
    <e v="#N/A"/>
    <e v="#N/A"/>
    <x v="1"/>
  </r>
  <r>
    <x v="201"/>
    <s v="MONTANARES MONTANARES CARLOS"/>
    <s v="05.04.2011"/>
    <e v="#N/A"/>
    <e v="#N/A"/>
    <e v="#N/A"/>
    <x v="1"/>
  </r>
  <r>
    <x v="201"/>
    <s v="MONTANARES MONTANARES CARLOS"/>
    <s v="05.04.2011"/>
    <e v="#N/A"/>
    <e v="#N/A"/>
    <e v="#N/A"/>
    <x v="1"/>
  </r>
  <r>
    <x v="201"/>
    <s v="MONTANARES MONTANARES CARLOS"/>
    <s v="06.04.2011"/>
    <e v="#N/A"/>
    <e v="#N/A"/>
    <e v="#N/A"/>
    <x v="1"/>
  </r>
  <r>
    <x v="201"/>
    <s v="MONTANARES MONTANARES CARLOS"/>
    <s v="06.04.2011"/>
    <e v="#N/A"/>
    <e v="#N/A"/>
    <e v="#N/A"/>
    <x v="1"/>
  </r>
  <r>
    <x v="201"/>
    <s v="MONTANARES MONTANARES CARLOS"/>
    <s v="07.04.2011"/>
    <e v="#N/A"/>
    <e v="#N/A"/>
    <e v="#N/A"/>
    <x v="1"/>
  </r>
  <r>
    <x v="201"/>
    <s v="MONTANARES MONTANARES CARLOS"/>
    <s v="08.04.2011"/>
    <e v="#N/A"/>
    <e v="#N/A"/>
    <e v="#N/A"/>
    <x v="1"/>
  </r>
  <r>
    <x v="201"/>
    <s v="MONTANARES MONTANARES CARLOS"/>
    <s v="08.04.2011"/>
    <e v="#N/A"/>
    <e v="#N/A"/>
    <e v="#N/A"/>
    <x v="1"/>
  </r>
  <r>
    <x v="202"/>
    <s v="VICENCIO ALVEAR BRAULIO "/>
    <s v="04.04.2011"/>
    <e v="#N/A"/>
    <e v="#N/A"/>
    <e v="#N/A"/>
    <x v="1"/>
  </r>
  <r>
    <x v="202"/>
    <s v="VICENCIO ALVEAR BRAULIO "/>
    <s v="04.04.2011"/>
    <e v="#N/A"/>
    <e v="#N/A"/>
    <e v="#N/A"/>
    <x v="1"/>
  </r>
  <r>
    <x v="202"/>
    <s v="VICENCIO ALVEAR BRAULIO "/>
    <s v="05.04.2011"/>
    <e v="#N/A"/>
    <e v="#N/A"/>
    <e v="#N/A"/>
    <x v="1"/>
  </r>
  <r>
    <x v="202"/>
    <s v="VICENCIO ALVEAR BRAULIO "/>
    <s v="05.04.2011"/>
    <e v="#N/A"/>
    <e v="#N/A"/>
    <e v="#N/A"/>
    <x v="1"/>
  </r>
  <r>
    <x v="202"/>
    <s v="VICENCIO ALVEAR BRAULIO "/>
    <s v="06.04.2011"/>
    <e v="#N/A"/>
    <e v="#N/A"/>
    <e v="#N/A"/>
    <x v="1"/>
  </r>
  <r>
    <x v="202"/>
    <s v="VICENCIO ALVEAR BRAULIO "/>
    <s v="06.04.2011"/>
    <e v="#N/A"/>
    <e v="#N/A"/>
    <e v="#N/A"/>
    <x v="1"/>
  </r>
  <r>
    <x v="202"/>
    <s v="VICENCIO ALVEAR BRAULIO "/>
    <s v="07.04.2011"/>
    <e v="#N/A"/>
    <e v="#N/A"/>
    <e v="#N/A"/>
    <x v="1"/>
  </r>
  <r>
    <x v="202"/>
    <s v="VICENCIO ALVEAR BRAULIO "/>
    <s v="07.04.2011"/>
    <e v="#N/A"/>
    <e v="#N/A"/>
    <e v="#N/A"/>
    <x v="1"/>
  </r>
  <r>
    <x v="202"/>
    <s v="VICENCIO ALVEAR BRAULIO "/>
    <s v="08.04.2011"/>
    <e v="#N/A"/>
    <e v="#N/A"/>
    <e v="#N/A"/>
    <x v="1"/>
  </r>
  <r>
    <x v="202"/>
    <s v="VICENCIO ALVEAR BRAULIO "/>
    <s v="08.04.2011"/>
    <e v="#N/A"/>
    <e v="#N/A"/>
    <e v="#N/A"/>
    <x v="1"/>
  </r>
  <r>
    <x v="202"/>
    <s v="VICENCIO ALVEAR BRAULIO "/>
    <s v="09.04.2011"/>
    <e v="#N/A"/>
    <e v="#N/A"/>
    <e v="#N/A"/>
    <x v="1"/>
  </r>
  <r>
    <x v="202"/>
    <s v="VICENCIO ALVEAR BRAULIO "/>
    <s v="09.04.2011"/>
    <e v="#N/A"/>
    <e v="#N/A"/>
    <e v="#N/A"/>
    <x v="1"/>
  </r>
  <r>
    <x v="203"/>
    <s v="MORALES DIAZ SLBERTO"/>
    <s v="04.04.2011"/>
    <e v="#N/A"/>
    <e v="#N/A"/>
    <e v="#N/A"/>
    <x v="1"/>
  </r>
  <r>
    <x v="203"/>
    <s v="MORALES DIAZ SLBERTO"/>
    <s v="05.04.2011"/>
    <e v="#N/A"/>
    <e v="#N/A"/>
    <e v="#N/A"/>
    <x v="1"/>
  </r>
  <r>
    <x v="203"/>
    <s v="MORALES DIAZ SLBERTO"/>
    <s v="05.04.2011"/>
    <e v="#N/A"/>
    <e v="#N/A"/>
    <e v="#N/A"/>
    <x v="1"/>
  </r>
  <r>
    <x v="203"/>
    <s v="MORALES DIAZ SLBERTO"/>
    <s v="06.04.2011"/>
    <e v="#N/A"/>
    <e v="#N/A"/>
    <e v="#N/A"/>
    <x v="1"/>
  </r>
  <r>
    <x v="203"/>
    <s v="MORALES DIAZ SLBERTO"/>
    <s v="06.04.2011"/>
    <e v="#N/A"/>
    <e v="#N/A"/>
    <e v="#N/A"/>
    <x v="1"/>
  </r>
  <r>
    <x v="203"/>
    <s v="MORALES DIAZ SLBERTO"/>
    <s v="07.04.2011"/>
    <e v="#N/A"/>
    <e v="#N/A"/>
    <e v="#N/A"/>
    <x v="1"/>
  </r>
  <r>
    <x v="203"/>
    <s v="MORALES DIAZ SLBERTO"/>
    <s v="07.04.2011"/>
    <e v="#N/A"/>
    <e v="#N/A"/>
    <e v="#N/A"/>
    <x v="1"/>
  </r>
  <r>
    <x v="203"/>
    <s v="MORALES DIAZ SLBERTO"/>
    <s v="08.04.2011"/>
    <e v="#N/A"/>
    <e v="#N/A"/>
    <e v="#N/A"/>
    <x v="1"/>
  </r>
  <r>
    <x v="203"/>
    <s v="MORALES DIAZ SLBERTO"/>
    <s v="08.04.2011"/>
    <e v="#N/A"/>
    <e v="#N/A"/>
    <e v="#N/A"/>
    <x v="1"/>
  </r>
  <r>
    <x v="203"/>
    <s v="MORALES DIAZ SLBERTO"/>
    <s v="09.04.2011"/>
    <e v="#N/A"/>
    <e v="#N/A"/>
    <e v="#N/A"/>
    <x v="1"/>
  </r>
  <r>
    <x v="204"/>
    <s v="RIQUELME GONZALEZ FRANCISCO JAVIER"/>
    <s v="04.04.2011"/>
    <e v="#N/A"/>
    <e v="#N/A"/>
    <e v="#N/A"/>
    <x v="1"/>
  </r>
  <r>
    <x v="204"/>
    <s v="RIQUELME GONZALEZ FRANCISCO JAVIER"/>
    <s v="04.04.2011"/>
    <e v="#N/A"/>
    <e v="#N/A"/>
    <e v="#N/A"/>
    <x v="1"/>
  </r>
  <r>
    <x v="204"/>
    <s v="RIQUELME GONZALEZ FRANCISCO JAVIER"/>
    <s v="05.04.2011"/>
    <e v="#N/A"/>
    <e v="#N/A"/>
    <e v="#N/A"/>
    <x v="1"/>
  </r>
  <r>
    <x v="204"/>
    <s v="RIQUELME GONZALEZ FRANCISCO JAVIER"/>
    <s v="05.04.2011"/>
    <e v="#N/A"/>
    <e v="#N/A"/>
    <e v="#N/A"/>
    <x v="1"/>
  </r>
  <r>
    <x v="204"/>
    <s v="RIQUELME GONZALEZ FRANCISCO JAVIER"/>
    <s v="06.04.2011"/>
    <e v="#N/A"/>
    <e v="#N/A"/>
    <e v="#N/A"/>
    <x v="1"/>
  </r>
  <r>
    <x v="204"/>
    <s v="RIQUELME GONZALEZ FRANCISCO JAVIER"/>
    <s v="06.04.2011"/>
    <e v="#N/A"/>
    <e v="#N/A"/>
    <e v="#N/A"/>
    <x v="1"/>
  </r>
  <r>
    <x v="204"/>
    <s v="RIQUELME GONZALEZ FRANCISCO JAVIER"/>
    <s v="07.04.2011"/>
    <e v="#N/A"/>
    <e v="#N/A"/>
    <e v="#N/A"/>
    <x v="1"/>
  </r>
  <r>
    <x v="204"/>
    <s v="RIQUELME GONZALEZ FRANCISCO JAVIER"/>
    <s v="07.04.2011"/>
    <e v="#N/A"/>
    <e v="#N/A"/>
    <e v="#N/A"/>
    <x v="1"/>
  </r>
  <r>
    <x v="204"/>
    <s v="RIQUELME GONZALEZ FRANCISCO JAVIER"/>
    <s v="08.04.2011"/>
    <e v="#N/A"/>
    <e v="#N/A"/>
    <e v="#N/A"/>
    <x v="1"/>
  </r>
  <r>
    <x v="204"/>
    <s v="RIQUELME GONZALEZ FRANCISCO JAVIER"/>
    <s v="08.04.2011"/>
    <e v="#N/A"/>
    <e v="#N/A"/>
    <e v="#N/A"/>
    <x v="1"/>
  </r>
  <r>
    <x v="204"/>
    <s v="RIQUELME GONZALEZ FRANCISCO JAVIER"/>
    <s v="09.04.2011"/>
    <e v="#N/A"/>
    <e v="#N/A"/>
    <e v="#N/A"/>
    <x v="1"/>
  </r>
  <r>
    <x v="204"/>
    <s v="RIQUELME GONZALEZ FRANCISCO JAVIER"/>
    <s v="09.04.2011"/>
    <e v="#N/A"/>
    <e v="#N/A"/>
    <e v="#N/A"/>
    <x v="1"/>
  </r>
  <r>
    <x v="205"/>
    <s v="POZO CAMPOS JUAN MIGUEL"/>
    <s v="04.04.2011"/>
    <e v="#N/A"/>
    <e v="#N/A"/>
    <e v="#N/A"/>
    <x v="1"/>
  </r>
  <r>
    <x v="205"/>
    <s v="POZO CAMPOS JUAN MIGUEL"/>
    <s v="04.04.2011"/>
    <e v="#N/A"/>
    <e v="#N/A"/>
    <e v="#N/A"/>
    <x v="1"/>
  </r>
  <r>
    <x v="205"/>
    <s v="POZO CAMPOS JUAN MIGUEL"/>
    <s v="05.04.2011"/>
    <e v="#N/A"/>
    <e v="#N/A"/>
    <e v="#N/A"/>
    <x v="1"/>
  </r>
  <r>
    <x v="205"/>
    <s v="POZO CAMPOS JUAN MIGUEL"/>
    <s v="05.04.2011"/>
    <e v="#N/A"/>
    <e v="#N/A"/>
    <e v="#N/A"/>
    <x v="1"/>
  </r>
  <r>
    <x v="205"/>
    <s v="POZO CAMPOS JUAN MIGUEL"/>
    <s v="06.04.2011"/>
    <e v="#N/A"/>
    <e v="#N/A"/>
    <e v="#N/A"/>
    <x v="1"/>
  </r>
  <r>
    <x v="205"/>
    <s v="POZO CAMPOS JUAN MIGUEL"/>
    <s v="06.04.2011"/>
    <e v="#N/A"/>
    <e v="#N/A"/>
    <e v="#N/A"/>
    <x v="1"/>
  </r>
  <r>
    <x v="205"/>
    <s v="POZO CAMPOS JUAN MIGUEL"/>
    <s v="07.04.2011"/>
    <e v="#N/A"/>
    <e v="#N/A"/>
    <e v="#N/A"/>
    <x v="1"/>
  </r>
  <r>
    <x v="205"/>
    <s v="POZO CAMPOS JUAN MIGUEL"/>
    <s v="07.04.2011"/>
    <e v="#N/A"/>
    <e v="#N/A"/>
    <e v="#N/A"/>
    <x v="1"/>
  </r>
  <r>
    <x v="205"/>
    <s v="POZO CAMPOS JUAN MIGUEL"/>
    <s v="08.04.2011"/>
    <e v="#N/A"/>
    <e v="#N/A"/>
    <e v="#N/A"/>
    <x v="1"/>
  </r>
  <r>
    <x v="205"/>
    <s v="POZO CAMPOS JUAN MIGUEL"/>
    <s v="08.04.2011"/>
    <e v="#N/A"/>
    <e v="#N/A"/>
    <e v="#N/A"/>
    <x v="1"/>
  </r>
  <r>
    <x v="205"/>
    <s v="POZO CAMPOS JUAN MIGUEL"/>
    <s v="09.04.2011"/>
    <e v="#N/A"/>
    <e v="#N/A"/>
    <e v="#N/A"/>
    <x v="1"/>
  </r>
  <r>
    <x v="205"/>
    <s v="POZO CAMPOS JUAN MIGUEL"/>
    <s v="09.04.2011"/>
    <e v="#N/A"/>
    <e v="#N/A"/>
    <e v="#N/A"/>
    <x v="1"/>
  </r>
  <r>
    <x v="206"/>
    <s v="ESPINOZA MATURANA FABIAN"/>
    <s v="04.04.2011"/>
    <e v="#N/A"/>
    <e v="#N/A"/>
    <e v="#N/A"/>
    <x v="1"/>
  </r>
  <r>
    <x v="206"/>
    <s v="ESPINOZA MATURANA FABIAN"/>
    <s v="04.04.2011"/>
    <e v="#N/A"/>
    <e v="#N/A"/>
    <e v="#N/A"/>
    <x v="1"/>
  </r>
  <r>
    <x v="206"/>
    <s v="ESPINOZA MATURANA FABIAN"/>
    <s v="05.04.2011"/>
    <e v="#N/A"/>
    <e v="#N/A"/>
    <e v="#N/A"/>
    <x v="1"/>
  </r>
  <r>
    <x v="206"/>
    <s v="ESPINOZA MATURANA FABIAN"/>
    <s v="05.04.2011"/>
    <e v="#N/A"/>
    <e v="#N/A"/>
    <e v="#N/A"/>
    <x v="1"/>
  </r>
  <r>
    <x v="206"/>
    <s v="ESPINOZA MATURANA FABIAN"/>
    <s v="06.04.2011"/>
    <e v="#N/A"/>
    <e v="#N/A"/>
    <e v="#N/A"/>
    <x v="1"/>
  </r>
  <r>
    <x v="206"/>
    <s v="ESPINOZA MATURANA FABIAN"/>
    <s v="06.04.2011"/>
    <e v="#N/A"/>
    <e v="#N/A"/>
    <e v="#N/A"/>
    <x v="1"/>
  </r>
  <r>
    <x v="206"/>
    <s v="ESPINOZA MATURANA FABIAN"/>
    <s v="07.04.2011"/>
    <e v="#N/A"/>
    <e v="#N/A"/>
    <e v="#N/A"/>
    <x v="1"/>
  </r>
  <r>
    <x v="206"/>
    <s v="ESPINOZA MATURANA FABIAN"/>
    <s v="07.04.2011"/>
    <e v="#N/A"/>
    <e v="#N/A"/>
    <e v="#N/A"/>
    <x v="1"/>
  </r>
  <r>
    <x v="206"/>
    <s v="ESPINOZA MATURANA FABIAN"/>
    <s v="08.04.2011"/>
    <e v="#N/A"/>
    <e v="#N/A"/>
    <e v="#N/A"/>
    <x v="1"/>
  </r>
  <r>
    <x v="206"/>
    <s v="ESPINOZA MATURANA FABIAN"/>
    <s v="08.04.2011"/>
    <e v="#N/A"/>
    <e v="#N/A"/>
    <e v="#N/A"/>
    <x v="1"/>
  </r>
  <r>
    <x v="206"/>
    <s v="ESPINOZA MATURANA FABIAN"/>
    <s v="09.04.2011"/>
    <e v="#N/A"/>
    <e v="#N/A"/>
    <e v="#N/A"/>
    <x v="1"/>
  </r>
  <r>
    <x v="206"/>
    <s v="ESPINOZA MATURANA FABIAN"/>
    <s v="09.04.2011"/>
    <e v="#N/A"/>
    <e v="#N/A"/>
    <e v="#N/A"/>
    <x v="1"/>
  </r>
  <r>
    <x v="207"/>
    <s v="ORMAZABAL CACERES LUIS HERNAN"/>
    <s v="04.04.2011"/>
    <e v="#N/A"/>
    <e v="#N/A"/>
    <e v="#N/A"/>
    <x v="1"/>
  </r>
  <r>
    <x v="207"/>
    <s v="ORMAZABAL CACERES LUIS HERNAN"/>
    <s v="04.04.2011"/>
    <e v="#N/A"/>
    <e v="#N/A"/>
    <e v="#N/A"/>
    <x v="1"/>
  </r>
  <r>
    <x v="207"/>
    <s v="ORMAZABAL CACERES LUIS HERNAN"/>
    <s v="05.04.2011"/>
    <e v="#N/A"/>
    <e v="#N/A"/>
    <e v="#N/A"/>
    <x v="1"/>
  </r>
  <r>
    <x v="207"/>
    <s v="ORMAZABAL CACERES LUIS HERNAN"/>
    <s v="05.04.2011"/>
    <e v="#N/A"/>
    <e v="#N/A"/>
    <e v="#N/A"/>
    <x v="1"/>
  </r>
  <r>
    <x v="207"/>
    <s v="ORMAZABAL CACERES LUIS HERNAN"/>
    <s v="06.04.2011"/>
    <e v="#N/A"/>
    <e v="#N/A"/>
    <e v="#N/A"/>
    <x v="1"/>
  </r>
  <r>
    <x v="207"/>
    <s v="ORMAZABAL CACERES LUIS HERNAN"/>
    <s v="06.04.2011"/>
    <e v="#N/A"/>
    <e v="#N/A"/>
    <e v="#N/A"/>
    <x v="1"/>
  </r>
  <r>
    <x v="207"/>
    <s v="ORMAZABAL CACERES LUIS HERNAN"/>
    <s v="07.04.2011"/>
    <e v="#N/A"/>
    <e v="#N/A"/>
    <e v="#N/A"/>
    <x v="1"/>
  </r>
  <r>
    <x v="207"/>
    <s v="ORMAZABAL CACERES LUIS HERNAN"/>
    <s v="07.04.2011"/>
    <e v="#N/A"/>
    <e v="#N/A"/>
    <e v="#N/A"/>
    <x v="1"/>
  </r>
  <r>
    <x v="207"/>
    <s v="ORMAZABAL CACERES LUIS HERNAN"/>
    <s v="08.04.2011"/>
    <e v="#N/A"/>
    <e v="#N/A"/>
    <e v="#N/A"/>
    <x v="1"/>
  </r>
  <r>
    <x v="207"/>
    <s v="ORMAZABAL CACERES LUIS HERNAN"/>
    <s v="08.04.2011"/>
    <e v="#N/A"/>
    <e v="#N/A"/>
    <e v="#N/A"/>
    <x v="1"/>
  </r>
  <r>
    <x v="207"/>
    <s v="ORMAZABAL CACERES LUIS HERNAN"/>
    <s v="09.04.2011"/>
    <e v="#N/A"/>
    <e v="#N/A"/>
    <e v="#N/A"/>
    <x v="1"/>
  </r>
  <r>
    <x v="207"/>
    <s v="ORMAZABAL CACERES LUIS HERNAN"/>
    <s v="09.04.2011"/>
    <e v="#N/A"/>
    <e v="#N/A"/>
    <e v="#N/A"/>
    <x v="1"/>
  </r>
  <r>
    <x v="208"/>
    <s v="VIDAL OTAROLA DAYANA PAULETTE"/>
    <s v="00.00.0000"/>
    <e v="#N/A"/>
    <e v="#N/A"/>
    <e v="#N/A"/>
    <x v="1"/>
  </r>
  <r>
    <x v="209"/>
    <s v="MARTINEZ RIVERA VICTOR ALFONSO"/>
    <s v="04.04.2011"/>
    <e v="#N/A"/>
    <e v="#N/A"/>
    <e v="#N/A"/>
    <x v="1"/>
  </r>
  <r>
    <x v="209"/>
    <s v="MARTINEZ RIVERA VICTOR ALFONSO"/>
    <s v="04.04.2011"/>
    <e v="#N/A"/>
    <e v="#N/A"/>
    <e v="#N/A"/>
    <x v="1"/>
  </r>
  <r>
    <x v="209"/>
    <s v="MARTINEZ RIVERA VICTOR ALFONSO"/>
    <s v="05.04.2011"/>
    <e v="#N/A"/>
    <e v="#N/A"/>
    <e v="#N/A"/>
    <x v="1"/>
  </r>
  <r>
    <x v="209"/>
    <s v="MARTINEZ RIVERA VICTOR ALFONSO"/>
    <s v="05.04.2011"/>
    <e v="#N/A"/>
    <e v="#N/A"/>
    <e v="#N/A"/>
    <x v="1"/>
  </r>
  <r>
    <x v="209"/>
    <s v="MARTINEZ RIVERA VICTOR ALFONSO"/>
    <s v="06.04.2011"/>
    <e v="#N/A"/>
    <e v="#N/A"/>
    <e v="#N/A"/>
    <x v="1"/>
  </r>
  <r>
    <x v="209"/>
    <s v="MARTINEZ RIVERA VICTOR ALFONSO"/>
    <s v="06.04.2011"/>
    <e v="#N/A"/>
    <e v="#N/A"/>
    <e v="#N/A"/>
    <x v="1"/>
  </r>
  <r>
    <x v="209"/>
    <s v="MARTINEZ RIVERA VICTOR ALFONSO"/>
    <s v="07.04.2011"/>
    <e v="#N/A"/>
    <e v="#N/A"/>
    <e v="#N/A"/>
    <x v="1"/>
  </r>
  <r>
    <x v="209"/>
    <s v="MARTINEZ RIVERA VICTOR ALFONSO"/>
    <s v="07.04.2011"/>
    <e v="#N/A"/>
    <e v="#N/A"/>
    <e v="#N/A"/>
    <x v="1"/>
  </r>
  <r>
    <x v="209"/>
    <s v="MARTINEZ RIVERA VICTOR ALFONSO"/>
    <s v="08.04.2011"/>
    <e v="#N/A"/>
    <e v="#N/A"/>
    <e v="#N/A"/>
    <x v="1"/>
  </r>
  <r>
    <x v="209"/>
    <s v="MARTINEZ RIVERA VICTOR ALFONSO"/>
    <s v="08.04.2011"/>
    <e v="#N/A"/>
    <e v="#N/A"/>
    <e v="#N/A"/>
    <x v="1"/>
  </r>
  <r>
    <x v="209"/>
    <s v="MARTINEZ RIVERA VICTOR ALFONSO"/>
    <s v="09.04.2011"/>
    <e v="#N/A"/>
    <e v="#N/A"/>
    <e v="#N/A"/>
    <x v="1"/>
  </r>
  <r>
    <x v="209"/>
    <s v="MARTINEZ RIVERA VICTOR ALFONSO"/>
    <s v="09.04.2011"/>
    <e v="#N/A"/>
    <e v="#N/A"/>
    <e v="#N/A"/>
    <x v="1"/>
  </r>
  <r>
    <x v="210"/>
    <s v="SANDOVAL ALTAMIRANO LORENZO "/>
    <s v="04.04.2011"/>
    <e v="#N/A"/>
    <e v="#N/A"/>
    <e v="#N/A"/>
    <x v="1"/>
  </r>
  <r>
    <x v="210"/>
    <s v="SANDOVAL ALTAMIRANO LORENZO "/>
    <s v="04.04.2011"/>
    <e v="#N/A"/>
    <e v="#N/A"/>
    <e v="#N/A"/>
    <x v="1"/>
  </r>
  <r>
    <x v="210"/>
    <s v="SANDOVAL ALTAMIRANO LORENZO "/>
    <s v="05.04.2011"/>
    <e v="#N/A"/>
    <e v="#N/A"/>
    <e v="#N/A"/>
    <x v="1"/>
  </r>
  <r>
    <x v="210"/>
    <s v="SANDOVAL ALTAMIRANO LORENZO "/>
    <s v="05.04.2011"/>
    <e v="#N/A"/>
    <e v="#N/A"/>
    <e v="#N/A"/>
    <x v="1"/>
  </r>
  <r>
    <x v="210"/>
    <s v="SANDOVAL ALTAMIRANO LORENZO "/>
    <s v="06.04.2011"/>
    <e v="#N/A"/>
    <e v="#N/A"/>
    <e v="#N/A"/>
    <x v="1"/>
  </r>
  <r>
    <x v="210"/>
    <s v="SANDOVAL ALTAMIRANO LORENZO "/>
    <s v="06.04.2011"/>
    <e v="#N/A"/>
    <e v="#N/A"/>
    <e v="#N/A"/>
    <x v="1"/>
  </r>
  <r>
    <x v="210"/>
    <s v="SANDOVAL ALTAMIRANO LORENZO "/>
    <s v="07.04.2011"/>
    <e v="#N/A"/>
    <e v="#N/A"/>
    <e v="#N/A"/>
    <x v="1"/>
  </r>
  <r>
    <x v="210"/>
    <s v="SANDOVAL ALTAMIRANO LORENZO "/>
    <s v="07.04.2011"/>
    <e v="#N/A"/>
    <e v="#N/A"/>
    <e v="#N/A"/>
    <x v="1"/>
  </r>
  <r>
    <x v="210"/>
    <s v="SANDOVAL ALTAMIRANO LORENZO "/>
    <s v="08.04.2011"/>
    <e v="#N/A"/>
    <e v="#N/A"/>
    <e v="#N/A"/>
    <x v="1"/>
  </r>
  <r>
    <x v="210"/>
    <s v="SANDOVAL ALTAMIRANO LORENZO "/>
    <s v="08.04.2011"/>
    <e v="#N/A"/>
    <e v="#N/A"/>
    <e v="#N/A"/>
    <x v="1"/>
  </r>
  <r>
    <x v="210"/>
    <s v="SANDOVAL ALTAMIRANO LORENZO "/>
    <s v="09.04.2011"/>
    <e v="#N/A"/>
    <e v="#N/A"/>
    <e v="#N/A"/>
    <x v="1"/>
  </r>
  <r>
    <x v="210"/>
    <s v="SANDOVAL ALTAMIRANO LORENZO "/>
    <s v="09.04.2011"/>
    <e v="#N/A"/>
    <e v="#N/A"/>
    <e v="#N/A"/>
    <x v="1"/>
  </r>
  <r>
    <x v="211"/>
    <s v="CARVAJAL APPELGREN CAMILO ALEXANDER"/>
    <s v="04.04.2011"/>
    <e v="#N/A"/>
    <e v="#N/A"/>
    <e v="#N/A"/>
    <x v="1"/>
  </r>
  <r>
    <x v="211"/>
    <s v="CARVAJAL APPELGREN CAMILO ALEXANDER"/>
    <s v="04.04.2011"/>
    <e v="#N/A"/>
    <e v="#N/A"/>
    <e v="#N/A"/>
    <x v="1"/>
  </r>
  <r>
    <x v="211"/>
    <s v="CARVAJAL APPELGREN CAMILO ALEXANDER"/>
    <s v="05.04.2011"/>
    <e v="#N/A"/>
    <e v="#N/A"/>
    <e v="#N/A"/>
    <x v="1"/>
  </r>
  <r>
    <x v="211"/>
    <s v="CARVAJAL APPELGREN CAMILO ALEXANDER"/>
    <s v="05.04.2011"/>
    <e v="#N/A"/>
    <e v="#N/A"/>
    <e v="#N/A"/>
    <x v="1"/>
  </r>
  <r>
    <x v="211"/>
    <s v="CARVAJAL APPELGREN CAMILO ALEXANDER"/>
    <s v="06.04.2011"/>
    <e v="#N/A"/>
    <e v="#N/A"/>
    <e v="#N/A"/>
    <x v="1"/>
  </r>
  <r>
    <x v="211"/>
    <s v="CARVAJAL APPELGREN CAMILO ALEXANDER"/>
    <s v="06.04.2011"/>
    <e v="#N/A"/>
    <e v="#N/A"/>
    <e v="#N/A"/>
    <x v="1"/>
  </r>
  <r>
    <x v="211"/>
    <s v="CARVAJAL APPELGREN CAMILO ALEXANDER"/>
    <s v="07.04.2011"/>
    <e v="#N/A"/>
    <e v="#N/A"/>
    <e v="#N/A"/>
    <x v="1"/>
  </r>
  <r>
    <x v="211"/>
    <s v="CARVAJAL APPELGREN CAMILO ALEXANDER"/>
    <s v="07.04.2011"/>
    <e v="#N/A"/>
    <e v="#N/A"/>
    <e v="#N/A"/>
    <x v="1"/>
  </r>
  <r>
    <x v="211"/>
    <s v="CARVAJAL APPELGREN CAMILO ALEXANDER"/>
    <s v="08.04.2011"/>
    <e v="#N/A"/>
    <e v="#N/A"/>
    <e v="#N/A"/>
    <x v="1"/>
  </r>
  <r>
    <x v="211"/>
    <s v="CARVAJAL APPELGREN CAMILO ALEXANDER"/>
    <s v="08.04.2011"/>
    <e v="#N/A"/>
    <e v="#N/A"/>
    <e v="#N/A"/>
    <x v="1"/>
  </r>
  <r>
    <x v="211"/>
    <s v="CARVAJAL APPELGREN CAMILO ALEXANDER"/>
    <s v="09.04.2011"/>
    <e v="#N/A"/>
    <e v="#N/A"/>
    <e v="#N/A"/>
    <x v="1"/>
  </r>
  <r>
    <x v="211"/>
    <s v="CARVAJAL APPELGREN CAMILO ALEXANDER"/>
    <s v="09.04.2011"/>
    <e v="#N/A"/>
    <e v="#N/A"/>
    <e v="#N/A"/>
    <x v="1"/>
  </r>
  <r>
    <x v="212"/>
    <s v="REYES ESPINOZA NATALIA BELEN"/>
    <s v="04.04.2011"/>
    <e v="#N/A"/>
    <e v="#N/A"/>
    <e v="#N/A"/>
    <x v="1"/>
  </r>
  <r>
    <x v="212"/>
    <s v="REYES ESPINOZA NATALIA BELEN"/>
    <s v="04.04.2011"/>
    <e v="#N/A"/>
    <e v="#N/A"/>
    <e v="#N/A"/>
    <x v="1"/>
  </r>
  <r>
    <x v="212"/>
    <s v="REYES ESPINOZA NATALIA BELEN"/>
    <s v="05.04.2011"/>
    <e v="#N/A"/>
    <e v="#N/A"/>
    <e v="#N/A"/>
    <x v="1"/>
  </r>
  <r>
    <x v="212"/>
    <s v="REYES ESPINOZA NATALIA BELEN"/>
    <s v="05.04.2011"/>
    <e v="#N/A"/>
    <e v="#N/A"/>
    <e v="#N/A"/>
    <x v="1"/>
  </r>
  <r>
    <x v="212"/>
    <s v="REYES ESPINOZA NATALIA BELEN"/>
    <s v="06.04.2011"/>
    <e v="#N/A"/>
    <e v="#N/A"/>
    <e v="#N/A"/>
    <x v="1"/>
  </r>
  <r>
    <x v="212"/>
    <s v="REYES ESPINOZA NATALIA BELEN"/>
    <s v="06.04.2011"/>
    <e v="#N/A"/>
    <e v="#N/A"/>
    <e v="#N/A"/>
    <x v="1"/>
  </r>
  <r>
    <x v="212"/>
    <s v="REYES ESPINOZA NATALIA BELEN"/>
    <s v="07.04.2011"/>
    <e v="#N/A"/>
    <e v="#N/A"/>
    <e v="#N/A"/>
    <x v="1"/>
  </r>
  <r>
    <x v="212"/>
    <s v="REYES ESPINOZA NATALIA BELEN"/>
    <s v="07.04.2011"/>
    <e v="#N/A"/>
    <e v="#N/A"/>
    <e v="#N/A"/>
    <x v="1"/>
  </r>
  <r>
    <x v="212"/>
    <s v="REYES ESPINOZA NATALIA BELEN"/>
    <s v="08.04.2011"/>
    <e v="#N/A"/>
    <e v="#N/A"/>
    <e v="#N/A"/>
    <x v="1"/>
  </r>
  <r>
    <x v="212"/>
    <s v="REYES ESPINOZA NATALIA BELEN"/>
    <s v="08.04.2011"/>
    <e v="#N/A"/>
    <e v="#N/A"/>
    <e v="#N/A"/>
    <x v="1"/>
  </r>
  <r>
    <x v="212"/>
    <s v="REYES ESPINOZA NATALIA BELEN"/>
    <s v="09.04.2011"/>
    <e v="#N/A"/>
    <e v="#N/A"/>
    <e v="#N/A"/>
    <x v="1"/>
  </r>
  <r>
    <x v="212"/>
    <s v="REYES ESPINOZA NATALIA BELEN"/>
    <s v="09.04.2011"/>
    <e v="#N/A"/>
    <e v="#N/A"/>
    <e v="#N/A"/>
    <x v="1"/>
  </r>
  <r>
    <x v="213"/>
    <s v="BUGUEÑO MEDEL HANS OLIVER"/>
    <s v="04.04.2011"/>
    <e v="#N/A"/>
    <e v="#N/A"/>
    <e v="#N/A"/>
    <x v="1"/>
  </r>
  <r>
    <x v="213"/>
    <s v="BUGUEÑO MEDEL HANS OLIVER"/>
    <s v="04.04.2011"/>
    <e v="#N/A"/>
    <e v="#N/A"/>
    <e v="#N/A"/>
    <x v="1"/>
  </r>
  <r>
    <x v="213"/>
    <s v="BUGUEÑO MEDEL HANS OLIVER"/>
    <s v="05.04.2011"/>
    <e v="#N/A"/>
    <e v="#N/A"/>
    <e v="#N/A"/>
    <x v="1"/>
  </r>
  <r>
    <x v="213"/>
    <s v="BUGUEÑO MEDEL HANS OLIVER"/>
    <s v="05.04.2011"/>
    <e v="#N/A"/>
    <e v="#N/A"/>
    <e v="#N/A"/>
    <x v="1"/>
  </r>
  <r>
    <x v="213"/>
    <s v="BUGUEÑO MEDEL HANS OLIVER"/>
    <s v="06.04.2011"/>
    <e v="#N/A"/>
    <e v="#N/A"/>
    <e v="#N/A"/>
    <x v="1"/>
  </r>
  <r>
    <x v="213"/>
    <s v="BUGUEÑO MEDEL HANS OLIVER"/>
    <s v="06.04.2011"/>
    <e v="#N/A"/>
    <e v="#N/A"/>
    <e v="#N/A"/>
    <x v="1"/>
  </r>
  <r>
    <x v="213"/>
    <s v="BUGUEÑO MEDEL HANS OLIVER"/>
    <s v="07.04.2011"/>
    <e v="#N/A"/>
    <e v="#N/A"/>
    <e v="#N/A"/>
    <x v="1"/>
  </r>
  <r>
    <x v="213"/>
    <s v="BUGUEÑO MEDEL HANS OLIVER"/>
    <s v="07.04.2011"/>
    <e v="#N/A"/>
    <e v="#N/A"/>
    <e v="#N/A"/>
    <x v="1"/>
  </r>
  <r>
    <x v="213"/>
    <s v="BUGUEÑO MEDEL HANS OLIVER"/>
    <s v="08.04.2011"/>
    <e v="#N/A"/>
    <e v="#N/A"/>
    <e v="#N/A"/>
    <x v="1"/>
  </r>
  <r>
    <x v="213"/>
    <s v="BUGUEÑO MEDEL HANS OLIVER"/>
    <s v="08.04.2011"/>
    <e v="#N/A"/>
    <e v="#N/A"/>
    <e v="#N/A"/>
    <x v="1"/>
  </r>
  <r>
    <x v="214"/>
    <s v="GARCES MUÑOZ JUAN DIEGO ALEXIS"/>
    <s v="04.04.2011"/>
    <e v="#N/A"/>
    <e v="#N/A"/>
    <e v="#N/A"/>
    <x v="1"/>
  </r>
  <r>
    <x v="214"/>
    <s v="GARCES MUÑOZ JUAN DIEGO ALEXIS"/>
    <s v="04.04.2011"/>
    <e v="#N/A"/>
    <e v="#N/A"/>
    <e v="#N/A"/>
    <x v="1"/>
  </r>
  <r>
    <x v="214"/>
    <s v="GARCES MUÑOZ JUAN DIEGO ALEXIS"/>
    <s v="05.04.2011"/>
    <e v="#N/A"/>
    <e v="#N/A"/>
    <e v="#N/A"/>
    <x v="1"/>
  </r>
  <r>
    <x v="214"/>
    <s v="GARCES MUÑOZ JUAN DIEGO ALEXIS"/>
    <s v="05.04.2011"/>
    <e v="#N/A"/>
    <e v="#N/A"/>
    <e v="#N/A"/>
    <x v="1"/>
  </r>
  <r>
    <x v="214"/>
    <s v="GARCES MUÑOZ JUAN DIEGO ALEXIS"/>
    <s v="06.04.2011"/>
    <e v="#N/A"/>
    <e v="#N/A"/>
    <e v="#N/A"/>
    <x v="1"/>
  </r>
  <r>
    <x v="214"/>
    <s v="GARCES MUÑOZ JUAN DIEGO ALEXIS"/>
    <s v="06.04.2011"/>
    <e v="#N/A"/>
    <e v="#N/A"/>
    <e v="#N/A"/>
    <x v="1"/>
  </r>
  <r>
    <x v="214"/>
    <s v="GARCES MUÑOZ JUAN DIEGO ALEXIS"/>
    <s v="07.04.2011"/>
    <e v="#N/A"/>
    <e v="#N/A"/>
    <e v="#N/A"/>
    <x v="1"/>
  </r>
  <r>
    <x v="214"/>
    <s v="GARCES MUÑOZ JUAN DIEGO ALEXIS"/>
    <s v="07.04.2011"/>
    <e v="#N/A"/>
    <e v="#N/A"/>
    <e v="#N/A"/>
    <x v="1"/>
  </r>
  <r>
    <x v="214"/>
    <s v="GARCES MUÑOZ JUAN DIEGO ALEXIS"/>
    <s v="08.04.2011"/>
    <e v="#N/A"/>
    <e v="#N/A"/>
    <e v="#N/A"/>
    <x v="1"/>
  </r>
  <r>
    <x v="214"/>
    <s v="GARCES MUÑOZ JUAN DIEGO ALEXIS"/>
    <s v="08.04.2011"/>
    <e v="#N/A"/>
    <e v="#N/A"/>
    <e v="#N/A"/>
    <x v="1"/>
  </r>
  <r>
    <x v="214"/>
    <s v="GARCES MUÑOZ JUAN DIEGO ALEXIS"/>
    <s v="09.04.2011"/>
    <e v="#N/A"/>
    <e v="#N/A"/>
    <e v="#N/A"/>
    <x v="1"/>
  </r>
  <r>
    <x v="214"/>
    <s v="GARCES MUÑOZ JUAN DIEGO ALEXIS"/>
    <s v="09.04.2011"/>
    <e v="#N/A"/>
    <e v="#N/A"/>
    <e v="#N/A"/>
    <x v="1"/>
  </r>
  <r>
    <x v="215"/>
    <s v="GALVEZ CERNA ARIEL ALFREDO"/>
    <s v="04.04.2011"/>
    <e v="#N/A"/>
    <e v="#N/A"/>
    <e v="#N/A"/>
    <x v="1"/>
  </r>
  <r>
    <x v="215"/>
    <s v="GALVEZ CERNA ARIEL ALFREDO"/>
    <s v="04.04.2011"/>
    <e v="#N/A"/>
    <e v="#N/A"/>
    <e v="#N/A"/>
    <x v="1"/>
  </r>
  <r>
    <x v="215"/>
    <s v="GALVEZ CERNA ARIEL ALFREDO"/>
    <s v="05.04.2011"/>
    <e v="#N/A"/>
    <e v="#N/A"/>
    <e v="#N/A"/>
    <x v="1"/>
  </r>
  <r>
    <x v="215"/>
    <s v="GALVEZ CERNA ARIEL ALFREDO"/>
    <s v="05.04.2011"/>
    <e v="#N/A"/>
    <e v="#N/A"/>
    <e v="#N/A"/>
    <x v="1"/>
  </r>
  <r>
    <x v="215"/>
    <s v="GALVEZ CERNA ARIEL ALFREDO"/>
    <s v="06.04.2011"/>
    <e v="#N/A"/>
    <e v="#N/A"/>
    <e v="#N/A"/>
    <x v="1"/>
  </r>
  <r>
    <x v="215"/>
    <s v="GALVEZ CERNA ARIEL ALFREDO"/>
    <s v="06.04.2011"/>
    <e v="#N/A"/>
    <e v="#N/A"/>
    <e v="#N/A"/>
    <x v="1"/>
  </r>
  <r>
    <x v="215"/>
    <s v="GALVEZ CERNA ARIEL ALFREDO"/>
    <s v="07.04.2011"/>
    <e v="#N/A"/>
    <e v="#N/A"/>
    <e v="#N/A"/>
    <x v="1"/>
  </r>
  <r>
    <x v="215"/>
    <s v="GALVEZ CERNA ARIEL ALFREDO"/>
    <s v="07.04.2011"/>
    <e v="#N/A"/>
    <e v="#N/A"/>
    <e v="#N/A"/>
    <x v="1"/>
  </r>
  <r>
    <x v="215"/>
    <s v="GALVEZ CERNA ARIEL ALFREDO"/>
    <s v="08.04.2011"/>
    <e v="#N/A"/>
    <e v="#N/A"/>
    <e v="#N/A"/>
    <x v="1"/>
  </r>
  <r>
    <x v="215"/>
    <s v="GALVEZ CERNA ARIEL ALFREDO"/>
    <s v="08.04.2011"/>
    <e v="#N/A"/>
    <e v="#N/A"/>
    <e v="#N/A"/>
    <x v="1"/>
  </r>
  <r>
    <x v="215"/>
    <s v="GALVEZ CERNA ARIEL ALFREDO"/>
    <s v="09.04.2011"/>
    <e v="#N/A"/>
    <e v="#N/A"/>
    <e v="#N/A"/>
    <x v="1"/>
  </r>
  <r>
    <x v="215"/>
    <s v="GALVEZ CERNA ARIEL ALFREDO"/>
    <s v="09.04.2011"/>
    <e v="#N/A"/>
    <e v="#N/A"/>
    <e v="#N/A"/>
    <x v="1"/>
  </r>
  <r>
    <x v="216"/>
    <s v="ROJAS SALAMANCA RODRIGO ALEJANDRO"/>
    <s v="04.04.2011"/>
    <e v="#N/A"/>
    <e v="#N/A"/>
    <e v="#N/A"/>
    <x v="1"/>
  </r>
  <r>
    <x v="216"/>
    <s v="ROJAS SALAMANCA RODRIGO ALEJANDRO"/>
    <s v="04.04.2011"/>
    <e v="#N/A"/>
    <e v="#N/A"/>
    <e v="#N/A"/>
    <x v="1"/>
  </r>
  <r>
    <x v="216"/>
    <s v="ROJAS SALAMANCA RODRIGO ALEJANDRO"/>
    <s v="05.04.2011"/>
    <e v="#N/A"/>
    <e v="#N/A"/>
    <e v="#N/A"/>
    <x v="1"/>
  </r>
  <r>
    <x v="216"/>
    <s v="ROJAS SALAMANCA RODRIGO ALEJANDRO"/>
    <s v="05.04.2011"/>
    <e v="#N/A"/>
    <e v="#N/A"/>
    <e v="#N/A"/>
    <x v="1"/>
  </r>
  <r>
    <x v="216"/>
    <s v="ROJAS SALAMANCA RODRIGO ALEJANDRO"/>
    <s v="06.04.2011"/>
    <e v="#N/A"/>
    <e v="#N/A"/>
    <e v="#N/A"/>
    <x v="1"/>
  </r>
  <r>
    <x v="216"/>
    <s v="ROJAS SALAMANCA RODRIGO ALEJANDRO"/>
    <s v="06.04.2011"/>
    <e v="#N/A"/>
    <e v="#N/A"/>
    <e v="#N/A"/>
    <x v="1"/>
  </r>
  <r>
    <x v="216"/>
    <s v="ROJAS SALAMANCA RODRIGO ALEJANDRO"/>
    <s v="07.04.2011"/>
    <e v="#N/A"/>
    <e v="#N/A"/>
    <e v="#N/A"/>
    <x v="1"/>
  </r>
  <r>
    <x v="216"/>
    <s v="ROJAS SALAMANCA RODRIGO ALEJANDRO"/>
    <s v="07.04.2011"/>
    <e v="#N/A"/>
    <e v="#N/A"/>
    <e v="#N/A"/>
    <x v="1"/>
  </r>
  <r>
    <x v="216"/>
    <s v="ROJAS SALAMANCA RODRIGO ALEJANDRO"/>
    <s v="08.04.2011"/>
    <e v="#N/A"/>
    <e v="#N/A"/>
    <e v="#N/A"/>
    <x v="1"/>
  </r>
  <r>
    <x v="216"/>
    <s v="ROJAS SALAMANCA RODRIGO ALEJANDRO"/>
    <s v="08.04.2011"/>
    <e v="#N/A"/>
    <e v="#N/A"/>
    <e v="#N/A"/>
    <x v="1"/>
  </r>
  <r>
    <x v="217"/>
    <s v="CASTILLO  AHUMADA FRANCISCO"/>
    <s v="04.04.2011"/>
    <e v="#N/A"/>
    <e v="#N/A"/>
    <e v="#N/A"/>
    <x v="1"/>
  </r>
  <r>
    <x v="217"/>
    <s v="CASTILLO  AHUMADA FRANCISCO"/>
    <s v="04.04.2011"/>
    <e v="#N/A"/>
    <e v="#N/A"/>
    <e v="#N/A"/>
    <x v="1"/>
  </r>
  <r>
    <x v="217"/>
    <s v="CASTILLO  AHUMADA FRANCISCO"/>
    <s v="05.04.2011"/>
    <e v="#N/A"/>
    <e v="#N/A"/>
    <e v="#N/A"/>
    <x v="1"/>
  </r>
  <r>
    <x v="217"/>
    <s v="CASTILLO  AHUMADA FRANCISCO"/>
    <s v="05.04.2011"/>
    <e v="#N/A"/>
    <e v="#N/A"/>
    <e v="#N/A"/>
    <x v="1"/>
  </r>
  <r>
    <x v="217"/>
    <s v="CASTILLO  AHUMADA FRANCISCO"/>
    <s v="06.04.2011"/>
    <e v="#N/A"/>
    <e v="#N/A"/>
    <e v="#N/A"/>
    <x v="1"/>
  </r>
  <r>
    <x v="217"/>
    <s v="CASTILLO  AHUMADA FRANCISCO"/>
    <s v="06.04.2011"/>
    <e v="#N/A"/>
    <e v="#N/A"/>
    <e v="#N/A"/>
    <x v="1"/>
  </r>
  <r>
    <x v="217"/>
    <s v="CASTILLO  AHUMADA FRANCISCO"/>
    <s v="07.04.2011"/>
    <e v="#N/A"/>
    <e v="#N/A"/>
    <e v="#N/A"/>
    <x v="1"/>
  </r>
  <r>
    <x v="217"/>
    <s v="CASTILLO  AHUMADA FRANCISCO"/>
    <s v="07.04.2011"/>
    <e v="#N/A"/>
    <e v="#N/A"/>
    <e v="#N/A"/>
    <x v="1"/>
  </r>
  <r>
    <x v="217"/>
    <s v="CASTILLO  AHUMADA FRANCISCO"/>
    <s v="08.04.2011"/>
    <e v="#N/A"/>
    <e v="#N/A"/>
    <e v="#N/A"/>
    <x v="1"/>
  </r>
  <r>
    <x v="217"/>
    <s v="CASTILLO  AHUMADA FRANCISCO"/>
    <s v="08.04.2011"/>
    <e v="#N/A"/>
    <e v="#N/A"/>
    <e v="#N/A"/>
    <x v="1"/>
  </r>
  <r>
    <x v="217"/>
    <s v="CASTILLO  AHUMADA FRANCISCO"/>
    <s v="09.04.2011"/>
    <e v="#N/A"/>
    <e v="#N/A"/>
    <e v="#N/A"/>
    <x v="1"/>
  </r>
  <r>
    <x v="217"/>
    <s v="CASTILLO  AHUMADA FRANCISCO"/>
    <s v="09.04.2011"/>
    <e v="#N/A"/>
    <e v="#N/A"/>
    <e v="#N/A"/>
    <x v="1"/>
  </r>
  <r>
    <x v="218"/>
    <s v="PALACIOS VENEGAS FELIPE ANDRES"/>
    <s v="04.04.2011"/>
    <e v="#N/A"/>
    <e v="#N/A"/>
    <e v="#N/A"/>
    <x v="1"/>
  </r>
  <r>
    <x v="218"/>
    <s v="PALACIOS VENEGAS FELIPE ANDRES"/>
    <s v="04.04.2011"/>
    <e v="#N/A"/>
    <e v="#N/A"/>
    <e v="#N/A"/>
    <x v="1"/>
  </r>
  <r>
    <x v="218"/>
    <s v="PALACIOS VENEGAS FELIPE ANDRES"/>
    <s v="05.04.2011"/>
    <e v="#N/A"/>
    <e v="#N/A"/>
    <e v="#N/A"/>
    <x v="1"/>
  </r>
  <r>
    <x v="218"/>
    <s v="PALACIOS VENEGAS FELIPE ANDRES"/>
    <s v="05.04.2011"/>
    <e v="#N/A"/>
    <e v="#N/A"/>
    <e v="#N/A"/>
    <x v="1"/>
  </r>
  <r>
    <x v="218"/>
    <s v="PALACIOS VENEGAS FELIPE ANDRES"/>
    <s v="06.04.2011"/>
    <e v="#N/A"/>
    <e v="#N/A"/>
    <e v="#N/A"/>
    <x v="1"/>
  </r>
  <r>
    <x v="218"/>
    <s v="PALACIOS VENEGAS FELIPE ANDRES"/>
    <s v="06.04.2011"/>
    <e v="#N/A"/>
    <e v="#N/A"/>
    <e v="#N/A"/>
    <x v="1"/>
  </r>
  <r>
    <x v="218"/>
    <s v="PALACIOS VENEGAS FELIPE ANDRES"/>
    <s v="07.04.2011"/>
    <e v="#N/A"/>
    <e v="#N/A"/>
    <e v="#N/A"/>
    <x v="1"/>
  </r>
  <r>
    <x v="218"/>
    <s v="PALACIOS VENEGAS FELIPE ANDRES"/>
    <s v="07.04.2011"/>
    <e v="#N/A"/>
    <e v="#N/A"/>
    <e v="#N/A"/>
    <x v="1"/>
  </r>
  <r>
    <x v="218"/>
    <s v="PALACIOS VENEGAS FELIPE ANDRES"/>
    <s v="08.04.2011"/>
    <e v="#N/A"/>
    <e v="#N/A"/>
    <e v="#N/A"/>
    <x v="1"/>
  </r>
  <r>
    <x v="218"/>
    <s v="PALACIOS VENEGAS FELIPE ANDRES"/>
    <s v="08.04.2011"/>
    <e v="#N/A"/>
    <e v="#N/A"/>
    <e v="#N/A"/>
    <x v="1"/>
  </r>
  <r>
    <x v="218"/>
    <s v="PALACIOS VENEGAS FELIPE ANDRES"/>
    <s v="09.04.2011"/>
    <e v="#N/A"/>
    <e v="#N/A"/>
    <e v="#N/A"/>
    <x v="1"/>
  </r>
  <r>
    <x v="218"/>
    <s v="PALACIOS VENEGAS FELIPE ANDRES"/>
    <s v="09.04.2011"/>
    <e v="#N/A"/>
    <e v="#N/A"/>
    <e v="#N/A"/>
    <x v="1"/>
  </r>
  <r>
    <x v="219"/>
    <s v="ALVAREZ REYES CRISTIAN DANIEL"/>
    <s v="04.04.2011"/>
    <e v="#N/A"/>
    <e v="#N/A"/>
    <e v="#N/A"/>
    <x v="1"/>
  </r>
  <r>
    <x v="219"/>
    <s v="ALVAREZ REYES CRISTIAN DANIEL"/>
    <s v="04.04.2011"/>
    <e v="#N/A"/>
    <e v="#N/A"/>
    <e v="#N/A"/>
    <x v="1"/>
  </r>
  <r>
    <x v="219"/>
    <s v="ALVAREZ REYES CRISTIAN DANIEL"/>
    <s v="05.04.2011"/>
    <e v="#N/A"/>
    <e v="#N/A"/>
    <e v="#N/A"/>
    <x v="1"/>
  </r>
  <r>
    <x v="219"/>
    <s v="ALVAREZ REYES CRISTIAN DANIEL"/>
    <s v="05.04.2011"/>
    <e v="#N/A"/>
    <e v="#N/A"/>
    <e v="#N/A"/>
    <x v="1"/>
  </r>
  <r>
    <x v="219"/>
    <s v="ALVAREZ REYES CRISTIAN DANIEL"/>
    <s v="06.04.2011"/>
    <e v="#N/A"/>
    <e v="#N/A"/>
    <e v="#N/A"/>
    <x v="1"/>
  </r>
  <r>
    <x v="219"/>
    <s v="ALVAREZ REYES CRISTIAN DANIEL"/>
    <s v="06.04.2011"/>
    <e v="#N/A"/>
    <e v="#N/A"/>
    <e v="#N/A"/>
    <x v="1"/>
  </r>
  <r>
    <x v="219"/>
    <s v="ALVAREZ REYES CRISTIAN DANIEL"/>
    <s v="07.04.2011"/>
    <e v="#N/A"/>
    <e v="#N/A"/>
    <e v="#N/A"/>
    <x v="1"/>
  </r>
  <r>
    <x v="219"/>
    <s v="ALVAREZ REYES CRISTIAN DANIEL"/>
    <s v="07.04.2011"/>
    <e v="#N/A"/>
    <e v="#N/A"/>
    <e v="#N/A"/>
    <x v="1"/>
  </r>
  <r>
    <x v="219"/>
    <s v="ALVAREZ REYES CRISTIAN DANIEL"/>
    <s v="08.04.2011"/>
    <e v="#N/A"/>
    <e v="#N/A"/>
    <e v="#N/A"/>
    <x v="1"/>
  </r>
  <r>
    <x v="219"/>
    <s v="ALVAREZ REYES CRISTIAN DANIEL"/>
    <s v="08.04.2011"/>
    <e v="#N/A"/>
    <e v="#N/A"/>
    <e v="#N/A"/>
    <x v="1"/>
  </r>
  <r>
    <x v="220"/>
    <s v="MEZA MEZA CRISTIAN EDUARDO"/>
    <s v="04.04.2011"/>
    <e v="#N/A"/>
    <e v="#N/A"/>
    <e v="#N/A"/>
    <x v="1"/>
  </r>
  <r>
    <x v="220"/>
    <s v="MEZA MEZA CRISTIAN EDUARDO"/>
    <s v="05.04.2011"/>
    <e v="#N/A"/>
    <e v="#N/A"/>
    <e v="#N/A"/>
    <x v="1"/>
  </r>
  <r>
    <x v="220"/>
    <s v="MEZA MEZA CRISTIAN EDUARDO"/>
    <s v="05.04.2011"/>
    <e v="#N/A"/>
    <e v="#N/A"/>
    <e v="#N/A"/>
    <x v="1"/>
  </r>
  <r>
    <x v="220"/>
    <s v="MEZA MEZA CRISTIAN EDUARDO"/>
    <s v="06.04.2011"/>
    <e v="#N/A"/>
    <e v="#N/A"/>
    <e v="#N/A"/>
    <x v="1"/>
  </r>
  <r>
    <x v="220"/>
    <s v="MEZA MEZA CRISTIAN EDUARDO"/>
    <s v="06.04.2011"/>
    <e v="#N/A"/>
    <e v="#N/A"/>
    <e v="#N/A"/>
    <x v="1"/>
  </r>
  <r>
    <x v="220"/>
    <s v="MEZA MEZA CRISTIAN EDUARDO"/>
    <s v="07.04.2011"/>
    <e v="#N/A"/>
    <e v="#N/A"/>
    <e v="#N/A"/>
    <x v="1"/>
  </r>
  <r>
    <x v="220"/>
    <s v="MEZA MEZA CRISTIAN EDUARDO"/>
    <s v="07.04.2011"/>
    <e v="#N/A"/>
    <e v="#N/A"/>
    <e v="#N/A"/>
    <x v="1"/>
  </r>
  <r>
    <x v="220"/>
    <s v="MEZA MEZA CRISTIAN EDUARDO"/>
    <s v="08.04.2011"/>
    <e v="#N/A"/>
    <e v="#N/A"/>
    <e v="#N/A"/>
    <x v="1"/>
  </r>
  <r>
    <x v="220"/>
    <s v="MEZA MEZA CRISTIAN EDUARDO"/>
    <s v="08.04.2011"/>
    <e v="#N/A"/>
    <e v="#N/A"/>
    <e v="#N/A"/>
    <x v="1"/>
  </r>
  <r>
    <x v="220"/>
    <s v="MEZA MEZA CRISTIAN EDUARDO"/>
    <s v="09.04.2011"/>
    <e v="#N/A"/>
    <e v="#N/A"/>
    <e v="#N/A"/>
    <x v="1"/>
  </r>
  <r>
    <x v="221"/>
    <s v="DONOSO SANTIBAÑEZ CRISTIAN ALFREDO"/>
    <s v="04.04.2011"/>
    <e v="#N/A"/>
    <e v="#N/A"/>
    <e v="#N/A"/>
    <x v="1"/>
  </r>
  <r>
    <x v="221"/>
    <s v="DONOSO SANTIBAÑEZ CRISTIAN ALFREDO"/>
    <s v="04.04.2011"/>
    <e v="#N/A"/>
    <e v="#N/A"/>
    <e v="#N/A"/>
    <x v="1"/>
  </r>
  <r>
    <x v="221"/>
    <s v="DONOSO SANTIBAÑEZ CRISTIAN ALFREDO"/>
    <s v="05.04.2011"/>
    <e v="#N/A"/>
    <e v="#N/A"/>
    <e v="#N/A"/>
    <x v="1"/>
  </r>
  <r>
    <x v="221"/>
    <s v="DONOSO SANTIBAÑEZ CRISTIAN ALFREDO"/>
    <s v="05.04.2011"/>
    <e v="#N/A"/>
    <e v="#N/A"/>
    <e v="#N/A"/>
    <x v="1"/>
  </r>
  <r>
    <x v="221"/>
    <s v="DONOSO SANTIBAÑEZ CRISTIAN ALFREDO"/>
    <s v="06.04.2011"/>
    <e v="#N/A"/>
    <e v="#N/A"/>
    <e v="#N/A"/>
    <x v="1"/>
  </r>
  <r>
    <x v="221"/>
    <s v="DONOSO SANTIBAÑEZ CRISTIAN ALFREDO"/>
    <s v="07.04.2011"/>
    <e v="#N/A"/>
    <e v="#N/A"/>
    <e v="#N/A"/>
    <x v="1"/>
  </r>
  <r>
    <x v="221"/>
    <s v="DONOSO SANTIBAÑEZ CRISTIAN ALFREDO"/>
    <s v="07.04.2011"/>
    <e v="#N/A"/>
    <e v="#N/A"/>
    <e v="#N/A"/>
    <x v="1"/>
  </r>
  <r>
    <x v="221"/>
    <s v="DONOSO SANTIBAÑEZ CRISTIAN ALFREDO"/>
    <s v="08.04.2011"/>
    <e v="#N/A"/>
    <e v="#N/A"/>
    <e v="#N/A"/>
    <x v="1"/>
  </r>
  <r>
    <x v="221"/>
    <s v="DONOSO SANTIBAÑEZ CRISTIAN ALFREDO"/>
    <s v="08.04.2011"/>
    <e v="#N/A"/>
    <e v="#N/A"/>
    <e v="#N/A"/>
    <x v="1"/>
  </r>
  <r>
    <x v="222"/>
    <s v="REYES SERRANO MATIAS ANDRES"/>
    <s v="04.04.2011"/>
    <e v="#N/A"/>
    <e v="#N/A"/>
    <e v="#N/A"/>
    <x v="1"/>
  </r>
  <r>
    <x v="222"/>
    <s v="REYES SERRANO MATIAS ANDRES"/>
    <s v="05.04.2011"/>
    <e v="#N/A"/>
    <e v="#N/A"/>
    <e v="#N/A"/>
    <x v="1"/>
  </r>
  <r>
    <x v="222"/>
    <s v="REYES SERRANO MATIAS ANDRES"/>
    <s v="05.04.2011"/>
    <e v="#N/A"/>
    <e v="#N/A"/>
    <e v="#N/A"/>
    <x v="1"/>
  </r>
  <r>
    <x v="222"/>
    <s v="REYES SERRANO MATIAS ANDRES"/>
    <s v="06.04.2011"/>
    <e v="#N/A"/>
    <e v="#N/A"/>
    <e v="#N/A"/>
    <x v="1"/>
  </r>
  <r>
    <x v="222"/>
    <s v="REYES SERRANO MATIAS ANDRES"/>
    <s v="06.04.2011"/>
    <e v="#N/A"/>
    <e v="#N/A"/>
    <e v="#N/A"/>
    <x v="1"/>
  </r>
  <r>
    <x v="222"/>
    <s v="REYES SERRANO MATIAS ANDRES"/>
    <s v="07.04.2011"/>
    <e v="#N/A"/>
    <e v="#N/A"/>
    <e v="#N/A"/>
    <x v="1"/>
  </r>
  <r>
    <x v="222"/>
    <s v="REYES SERRANO MATIAS ANDRES"/>
    <s v="07.04.2011"/>
    <e v="#N/A"/>
    <e v="#N/A"/>
    <e v="#N/A"/>
    <x v="1"/>
  </r>
  <r>
    <x v="222"/>
    <s v="REYES SERRANO MATIAS ANDRES"/>
    <s v="08.04.2011"/>
    <e v="#N/A"/>
    <e v="#N/A"/>
    <e v="#N/A"/>
    <x v="1"/>
  </r>
  <r>
    <x v="222"/>
    <s v="REYES SERRANO MATIAS ANDRES"/>
    <s v="08.04.2011"/>
    <e v="#N/A"/>
    <e v="#N/A"/>
    <e v="#N/A"/>
    <x v="1"/>
  </r>
  <r>
    <x v="222"/>
    <s v="REYES SERRANO MATIAS ANDRES"/>
    <s v="09.04.2011"/>
    <e v="#N/A"/>
    <e v="#N/A"/>
    <e v="#N/A"/>
    <x v="1"/>
  </r>
  <r>
    <x v="223"/>
    <s v="PEREZ SALAZAR CARLOS PATRICIO"/>
    <s v="04.04.2011"/>
    <e v="#N/A"/>
    <e v="#N/A"/>
    <e v="#N/A"/>
    <x v="1"/>
  </r>
  <r>
    <x v="223"/>
    <s v="PEREZ SALAZAR CARLOS PATRICIO"/>
    <s v="05.04.2011"/>
    <e v="#N/A"/>
    <e v="#N/A"/>
    <e v="#N/A"/>
    <x v="1"/>
  </r>
  <r>
    <x v="223"/>
    <s v="PEREZ SALAZAR CARLOS PATRICIO"/>
    <s v="05.04.2011"/>
    <e v="#N/A"/>
    <e v="#N/A"/>
    <e v="#N/A"/>
    <x v="1"/>
  </r>
  <r>
    <x v="223"/>
    <s v="PEREZ SALAZAR CARLOS PATRICIO"/>
    <s v="06.04.2011"/>
    <e v="#N/A"/>
    <e v="#N/A"/>
    <e v="#N/A"/>
    <x v="1"/>
  </r>
  <r>
    <x v="223"/>
    <s v="PEREZ SALAZAR CARLOS PATRICIO"/>
    <s v="06.04.2011"/>
    <e v="#N/A"/>
    <e v="#N/A"/>
    <e v="#N/A"/>
    <x v="1"/>
  </r>
  <r>
    <x v="223"/>
    <s v="PEREZ SALAZAR CARLOS PATRICIO"/>
    <s v="07.04.2011"/>
    <e v="#N/A"/>
    <e v="#N/A"/>
    <e v="#N/A"/>
    <x v="1"/>
  </r>
  <r>
    <x v="223"/>
    <s v="PEREZ SALAZAR CARLOS PATRICIO"/>
    <s v="07.04.2011"/>
    <e v="#N/A"/>
    <e v="#N/A"/>
    <e v="#N/A"/>
    <x v="1"/>
  </r>
  <r>
    <x v="223"/>
    <s v="PEREZ SALAZAR CARLOS PATRICIO"/>
    <s v="08.04.2011"/>
    <e v="#N/A"/>
    <e v="#N/A"/>
    <e v="#N/A"/>
    <x v="1"/>
  </r>
  <r>
    <x v="223"/>
    <s v="PEREZ SALAZAR CARLOS PATRICIO"/>
    <s v="08.04.2011"/>
    <e v="#N/A"/>
    <e v="#N/A"/>
    <e v="#N/A"/>
    <x v="1"/>
  </r>
  <r>
    <x v="223"/>
    <s v="PEREZ SALAZAR CARLOS PATRICIO"/>
    <s v="09.04.2011"/>
    <e v="#N/A"/>
    <e v="#N/A"/>
    <e v="#N/A"/>
    <x v="1"/>
  </r>
  <r>
    <x v="224"/>
    <s v="DONOSO ROSAS CLAUDIO ALBERTO"/>
    <s v="04.04.2011"/>
    <e v="#N/A"/>
    <e v="#N/A"/>
    <e v="#N/A"/>
    <x v="1"/>
  </r>
  <r>
    <x v="224"/>
    <s v="DONOSO ROSAS CLAUDIO ALBERTO"/>
    <s v="04.04.2011"/>
    <e v="#N/A"/>
    <e v="#N/A"/>
    <e v="#N/A"/>
    <x v="1"/>
  </r>
  <r>
    <x v="224"/>
    <s v="DONOSO ROSAS CLAUDIO ALBERTO"/>
    <s v="05.04.2011"/>
    <e v="#N/A"/>
    <e v="#N/A"/>
    <e v="#N/A"/>
    <x v="1"/>
  </r>
  <r>
    <x v="224"/>
    <s v="DONOSO ROSAS CLAUDIO ALBERTO"/>
    <s v="05.04.2011"/>
    <e v="#N/A"/>
    <e v="#N/A"/>
    <e v="#N/A"/>
    <x v="1"/>
  </r>
  <r>
    <x v="224"/>
    <s v="DONOSO ROSAS CLAUDIO ALBERTO"/>
    <s v="06.04.2011"/>
    <e v="#N/A"/>
    <e v="#N/A"/>
    <e v="#N/A"/>
    <x v="1"/>
  </r>
  <r>
    <x v="224"/>
    <s v="DONOSO ROSAS CLAUDIO ALBERTO"/>
    <s v="06.04.2011"/>
    <e v="#N/A"/>
    <e v="#N/A"/>
    <e v="#N/A"/>
    <x v="1"/>
  </r>
  <r>
    <x v="224"/>
    <s v="DONOSO ROSAS CLAUDIO ALBERTO"/>
    <s v="07.04.2011"/>
    <e v="#N/A"/>
    <e v="#N/A"/>
    <e v="#N/A"/>
    <x v="1"/>
  </r>
  <r>
    <x v="224"/>
    <s v="DONOSO ROSAS CLAUDIO ALBERTO"/>
    <s v="07.04.2011"/>
    <e v="#N/A"/>
    <e v="#N/A"/>
    <e v="#N/A"/>
    <x v="1"/>
  </r>
  <r>
    <x v="224"/>
    <s v="DONOSO ROSAS CLAUDIO ALBERTO"/>
    <s v="08.04.2011"/>
    <e v="#N/A"/>
    <e v="#N/A"/>
    <e v="#N/A"/>
    <x v="1"/>
  </r>
  <r>
    <x v="224"/>
    <s v="DONOSO ROSAS CLAUDIO ALBERTO"/>
    <s v="08.04.2011"/>
    <e v="#N/A"/>
    <e v="#N/A"/>
    <e v="#N/A"/>
    <x v="1"/>
  </r>
  <r>
    <x v="224"/>
    <s v="DONOSO ROSAS CLAUDIO ALBERTO"/>
    <s v="09.04.2011"/>
    <e v="#N/A"/>
    <e v="#N/A"/>
    <e v="#N/A"/>
    <x v="1"/>
  </r>
  <r>
    <x v="224"/>
    <s v="DONOSO ROSAS CLAUDIO ALBERTO"/>
    <s v="09.04.2011"/>
    <e v="#N/A"/>
    <e v="#N/A"/>
    <e v="#N/A"/>
    <x v="1"/>
  </r>
  <r>
    <x v="225"/>
    <s v="VALDEZ WERNLI ARIEL LUIS"/>
    <s v="05.04.2011"/>
    <e v="#N/A"/>
    <e v="#N/A"/>
    <e v="#N/A"/>
    <x v="1"/>
  </r>
  <r>
    <x v="225"/>
    <s v="VALDEZ WERNLI ARIEL LUIS"/>
    <s v="06.04.2011"/>
    <e v="#N/A"/>
    <e v="#N/A"/>
    <e v="#N/A"/>
    <x v="1"/>
  </r>
  <r>
    <x v="225"/>
    <s v="VALDEZ WERNLI ARIEL LUIS"/>
    <s v="06.04.2011"/>
    <e v="#N/A"/>
    <e v="#N/A"/>
    <e v="#N/A"/>
    <x v="1"/>
  </r>
  <r>
    <x v="225"/>
    <s v="VALDEZ WERNLI ARIEL LUIS"/>
    <s v="07.04.2011"/>
    <e v="#N/A"/>
    <e v="#N/A"/>
    <e v="#N/A"/>
    <x v="1"/>
  </r>
  <r>
    <x v="225"/>
    <s v="VALDEZ WERNLI ARIEL LUIS"/>
    <s v="07.04.2011"/>
    <e v="#N/A"/>
    <e v="#N/A"/>
    <e v="#N/A"/>
    <x v="1"/>
  </r>
  <r>
    <x v="225"/>
    <s v="VALDEZ WERNLI ARIEL LUIS"/>
    <s v="08.04.2011"/>
    <e v="#N/A"/>
    <e v="#N/A"/>
    <e v="#N/A"/>
    <x v="1"/>
  </r>
  <r>
    <x v="225"/>
    <s v="VALDEZ WERNLI ARIEL LUIS"/>
    <s v="08.04.2011"/>
    <e v="#N/A"/>
    <e v="#N/A"/>
    <e v="#N/A"/>
    <x v="1"/>
  </r>
  <r>
    <x v="225"/>
    <s v="VALDEZ WERNLI ARIEL LUIS"/>
    <s v="09.04.2011"/>
    <e v="#N/A"/>
    <e v="#N/A"/>
    <e v="#N/A"/>
    <x v="1"/>
  </r>
  <r>
    <x v="226"/>
    <s v="ALVAREZ CONTRERAS MARISOL"/>
    <s v="04.04.2011"/>
    <e v="#N/A"/>
    <e v="#N/A"/>
    <e v="#N/A"/>
    <x v="1"/>
  </r>
  <r>
    <x v="226"/>
    <s v="ALVAREZ CONTRERAS MARISOL"/>
    <s v="04.04.2011"/>
    <e v="#N/A"/>
    <e v="#N/A"/>
    <e v="#N/A"/>
    <x v="1"/>
  </r>
  <r>
    <x v="226"/>
    <s v="ALVAREZ CONTRERAS MARISOL"/>
    <s v="05.04.2011"/>
    <e v="#N/A"/>
    <e v="#N/A"/>
    <e v="#N/A"/>
    <x v="1"/>
  </r>
  <r>
    <x v="226"/>
    <s v="ALVAREZ CONTRERAS MARISOL"/>
    <s v="05.04.2011"/>
    <e v="#N/A"/>
    <e v="#N/A"/>
    <e v="#N/A"/>
    <x v="1"/>
  </r>
  <r>
    <x v="226"/>
    <s v="ALVAREZ CONTRERAS MARISOL"/>
    <s v="06.04.2011"/>
    <e v="#N/A"/>
    <e v="#N/A"/>
    <e v="#N/A"/>
    <x v="1"/>
  </r>
  <r>
    <x v="226"/>
    <s v="ALVAREZ CONTRERAS MARISOL"/>
    <s v="06.04.2011"/>
    <e v="#N/A"/>
    <e v="#N/A"/>
    <e v="#N/A"/>
    <x v="1"/>
  </r>
  <r>
    <x v="226"/>
    <s v="ALVAREZ CONTRERAS MARISOL"/>
    <s v="07.04.2011"/>
    <e v="#N/A"/>
    <e v="#N/A"/>
    <e v="#N/A"/>
    <x v="1"/>
  </r>
  <r>
    <x v="226"/>
    <s v="ALVAREZ CONTRERAS MARISOL"/>
    <s v="07.04.2011"/>
    <e v="#N/A"/>
    <e v="#N/A"/>
    <e v="#N/A"/>
    <x v="1"/>
  </r>
  <r>
    <x v="226"/>
    <s v="ALVAREZ CONTRERAS MARISOL"/>
    <s v="08.04.2011"/>
    <e v="#N/A"/>
    <e v="#N/A"/>
    <e v="#N/A"/>
    <x v="1"/>
  </r>
  <r>
    <x v="226"/>
    <s v="ALVAREZ CONTRERAS MARISOL"/>
    <s v="08.04.2011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  <r>
    <x v="138"/>
    <e v="#N/A"/>
    <n v="0"/>
    <e v="#N/A"/>
    <e v="#N/A"/>
    <e v="#N/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112" applyNumberFormats="0" applyBorderFormats="0" applyFontFormats="0" applyPatternFormats="0" applyAlignmentFormats="0" applyWidthHeightFormats="1" dataCaption="Valores" updatedVersion="3" minRefreshableVersion="3" showCalcMbrs="0" useAutoFormatting="1" rowGrandTotals="0" colGrandTotals="0" itemPrintTitles="1" createdVersion="3" indent="0" outline="1" outlineData="1" multipleFieldFilters="0">
  <location ref="J8:K235" firstHeaderRow="1" firstDataRow="1" firstDataCol="1"/>
  <pivotFields count="7">
    <pivotField axis="axisRow" showAll="0">
      <items count="228">
        <item sd="0" x="0"/>
        <item sd="0" x="1"/>
        <item sd="0"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t="default"/>
      </items>
    </pivotField>
    <pivotField showAll="0"/>
    <pivotField showAll="0"/>
    <pivotField showAll="0"/>
    <pivotField numFmtId="176" showAll="0"/>
    <pivotField numFmtId="176" showAll="0"/>
    <pivotField dataField="1" numFmtId="170" showAll="0"/>
  </pivotFields>
  <rowFields count="1">
    <field x="0"/>
  </rowFields>
  <rowItems count="2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</rowItems>
  <colItems count="1">
    <i/>
  </colItems>
  <dataFields count="1">
    <dataField name="Suma de Total horas" fld="6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4"/>
  <dimension ref="A1:AZ49"/>
  <sheetViews>
    <sheetView tabSelected="1" topLeftCell="C7" zoomScale="115" workbookViewId="0">
      <selection activeCell="G37" sqref="G37"/>
    </sheetView>
  </sheetViews>
  <sheetFormatPr baseColWidth="10" defaultColWidth="6.28515625" defaultRowHeight="12.75"/>
  <cols>
    <col min="1" max="1" width="11.5703125" style="1" hidden="1" customWidth="1"/>
    <col min="2" max="2" width="11.7109375" style="1" hidden="1" customWidth="1"/>
    <col min="3" max="3" width="12.5703125" style="1" customWidth="1"/>
    <col min="4" max="4" width="11" style="1" customWidth="1"/>
    <col min="5" max="5" width="2.5703125" style="1" customWidth="1"/>
    <col min="6" max="6" width="9.85546875" style="1" customWidth="1"/>
    <col min="7" max="7" width="16.42578125" style="1" customWidth="1"/>
    <col min="8" max="27" width="0.42578125" style="1" customWidth="1"/>
    <col min="28" max="28" width="0.7109375" style="1" customWidth="1"/>
    <col min="29" max="29" width="0.85546875" style="1" customWidth="1"/>
    <col min="30" max="30" width="10.140625" style="1" customWidth="1"/>
    <col min="31" max="31" width="10.28515625" style="1" customWidth="1"/>
    <col min="32" max="47" width="0.42578125" style="1" customWidth="1"/>
    <col min="48" max="48" width="10.140625" style="2" bestFit="1" customWidth="1"/>
    <col min="49" max="49" width="8.140625" style="1" customWidth="1"/>
    <col min="50" max="50" width="1" style="1" customWidth="1"/>
    <col min="51" max="51" width="3.42578125" style="2" customWidth="1"/>
    <col min="52" max="52" width="12.85546875" style="1" customWidth="1"/>
    <col min="53" max="16384" width="6.28515625" style="1"/>
  </cols>
  <sheetData>
    <row r="1" spans="1:52" s="8" customFormat="1" hidden="1">
      <c r="A1" s="17" t="e">
        <f>#REF!</f>
        <v>#REF!</v>
      </c>
      <c r="B1" s="17" t="e">
        <f>#REF!</f>
        <v>#REF!</v>
      </c>
      <c r="C1" s="17" t="e">
        <f>#REF!</f>
        <v>#REF!</v>
      </c>
      <c r="D1" s="7" t="e">
        <f>#REF!</f>
        <v>#REF!</v>
      </c>
      <c r="E1" s="7" t="e">
        <f>#REF!</f>
        <v>#REF!</v>
      </c>
      <c r="F1" s="20" t="e">
        <f>#REF!</f>
        <v>#REF!</v>
      </c>
      <c r="G1" s="20" t="e">
        <f>#REF!</f>
        <v>#REF!</v>
      </c>
      <c r="AV1" s="9"/>
      <c r="AX1" s="16"/>
      <c r="AY1" s="9"/>
    </row>
    <row r="2" spans="1:52" hidden="1">
      <c r="A2" s="18" t="e">
        <f>IF(A1&gt;1,A1-1,A1)</f>
        <v>#REF!</v>
      </c>
      <c r="B2" s="18" t="e">
        <f>IF(B1&gt;1,B1-1,B1)</f>
        <v>#REF!</v>
      </c>
      <c r="C2" s="18" t="e">
        <f>IF(C1&gt;1,C1-1,C1)</f>
        <v>#REF!</v>
      </c>
    </row>
    <row r="3" spans="1:52" hidden="1">
      <c r="A3" s="19" t="e">
        <f>#REF!</f>
        <v>#REF!</v>
      </c>
    </row>
    <row r="4" spans="1:52" hidden="1">
      <c r="A4" s="1" t="s">
        <v>29</v>
      </c>
    </row>
    <row r="5" spans="1:52" ht="18" hidden="1" customHeight="1"/>
    <row r="6" spans="1:52" hidden="1"/>
    <row r="7" spans="1:52" ht="20.25">
      <c r="D7" s="3" t="s">
        <v>5</v>
      </c>
      <c r="E7" s="4"/>
      <c r="F7" s="4"/>
    </row>
    <row r="8" spans="1:52" ht="6.75" customHeight="1">
      <c r="D8" s="3"/>
      <c r="G8" s="5"/>
    </row>
    <row r="10" spans="1:52" ht="13.5" thickBot="1">
      <c r="AY10" s="1"/>
    </row>
    <row r="11" spans="1:52" ht="12" customHeight="1" thickBot="1">
      <c r="D11" s="24" t="e">
        <f>F1</f>
        <v>#REF!</v>
      </c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6"/>
      <c r="AW11" s="27"/>
      <c r="AY11" s="10">
        <f>AZ10+1</f>
        <v>1</v>
      </c>
      <c r="AZ11" s="21"/>
    </row>
    <row r="12" spans="1:52" ht="12" customHeight="1" thickBot="1">
      <c r="D12" s="28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30"/>
      <c r="AW12" s="31"/>
      <c r="AY12" s="11">
        <f>AY11+1</f>
        <v>2</v>
      </c>
      <c r="AZ12" s="21"/>
    </row>
    <row r="13" spans="1:52" ht="12" customHeight="1" thickBot="1">
      <c r="D13" s="28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30"/>
      <c r="AW13" s="31"/>
      <c r="AY13" s="11">
        <f>AY12+1</f>
        <v>3</v>
      </c>
      <c r="AZ13" s="21"/>
    </row>
    <row r="14" spans="1:52" ht="12" customHeight="1" thickBot="1">
      <c r="D14" s="28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30"/>
      <c r="AW14" s="31"/>
      <c r="AY14" s="11">
        <f>AY13+1</f>
        <v>4</v>
      </c>
      <c r="AZ14" s="21"/>
    </row>
    <row r="15" spans="1:52" ht="12" customHeight="1" thickBot="1">
      <c r="D15" s="28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30"/>
      <c r="AW15" s="31"/>
      <c r="AY15" s="10">
        <f t="shared" ref="AY15:AY49" si="0">AY14+1</f>
        <v>5</v>
      </c>
      <c r="AZ15" s="22"/>
    </row>
    <row r="16" spans="1:52" ht="12" customHeight="1" thickBot="1">
      <c r="D16" s="28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30"/>
      <c r="AW16" s="31"/>
      <c r="AY16" s="11">
        <f t="shared" si="0"/>
        <v>6</v>
      </c>
      <c r="AZ16" s="21"/>
    </row>
    <row r="17" spans="4:52" ht="12" customHeight="1" thickBot="1">
      <c r="D17" s="28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30"/>
      <c r="AW17" s="31"/>
      <c r="AY17" s="11">
        <f t="shared" si="0"/>
        <v>7</v>
      </c>
      <c r="AZ17" s="21"/>
    </row>
    <row r="18" spans="4:52" ht="12" customHeight="1" thickBot="1">
      <c r="D18" s="28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30"/>
      <c r="AW18" s="31"/>
      <c r="AY18" s="11">
        <f t="shared" si="0"/>
        <v>8</v>
      </c>
      <c r="AZ18" s="21"/>
    </row>
    <row r="19" spans="4:52" ht="12" customHeight="1" thickBot="1">
      <c r="D19" s="28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30"/>
      <c r="AW19" s="31"/>
      <c r="AY19" s="12">
        <f t="shared" si="0"/>
        <v>9</v>
      </c>
      <c r="AZ19" s="21"/>
    </row>
    <row r="20" spans="4:52" ht="12" customHeight="1" thickBot="1">
      <c r="D20" s="32" t="e">
        <f>E1</f>
        <v>#REF!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30"/>
      <c r="AW20" s="31"/>
      <c r="AY20" s="10">
        <f t="shared" si="0"/>
        <v>10</v>
      </c>
      <c r="AZ20" s="22"/>
    </row>
    <row r="21" spans="4:52" ht="12" customHeight="1" thickBot="1">
      <c r="D21" s="32" t="e">
        <f>D1</f>
        <v>#REF!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30"/>
      <c r="AW21" s="31"/>
      <c r="AY21" s="11">
        <f t="shared" si="0"/>
        <v>11</v>
      </c>
      <c r="AZ21" s="21"/>
    </row>
    <row r="22" spans="4:52" ht="12" customHeight="1" thickBot="1">
      <c r="D22" s="32" t="e">
        <f>D1</f>
        <v>#REF!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30"/>
      <c r="AW22" s="31"/>
      <c r="AY22" s="11">
        <f t="shared" si="0"/>
        <v>12</v>
      </c>
      <c r="AZ22" s="21"/>
    </row>
    <row r="23" spans="4:52" ht="12" customHeight="1" thickBot="1">
      <c r="D23" s="28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30"/>
      <c r="AW23" s="31"/>
      <c r="AY23" s="11">
        <f t="shared" si="0"/>
        <v>13</v>
      </c>
      <c r="AZ23" s="21"/>
    </row>
    <row r="24" spans="4:52" ht="12" customHeight="1" thickBot="1">
      <c r="D24" s="28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30"/>
      <c r="AW24" s="31"/>
      <c r="AY24" s="12">
        <f t="shared" si="0"/>
        <v>14</v>
      </c>
      <c r="AZ24" s="21"/>
    </row>
    <row r="25" spans="4:52" ht="12" customHeight="1" thickBot="1">
      <c r="D25" s="28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30"/>
      <c r="AW25" s="31"/>
      <c r="AY25" s="10">
        <f t="shared" si="0"/>
        <v>15</v>
      </c>
      <c r="AZ25" s="22"/>
    </row>
    <row r="26" spans="4:52" ht="12" customHeight="1" thickBot="1">
      <c r="D26" s="28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30"/>
      <c r="AW26" s="31"/>
      <c r="AY26" s="11">
        <f t="shared" si="0"/>
        <v>16</v>
      </c>
      <c r="AZ26" s="21"/>
    </row>
    <row r="27" spans="4:52" ht="12" customHeight="1" thickBot="1">
      <c r="D27" s="28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30"/>
      <c r="AW27" s="31"/>
      <c r="AY27" s="11">
        <f t="shared" si="0"/>
        <v>17</v>
      </c>
      <c r="AZ27" s="21"/>
    </row>
    <row r="28" spans="4:52" ht="12" customHeight="1" thickBot="1">
      <c r="D28" s="33" t="e">
        <f>IF(A4="Turno C",IF(AE35&gt;0.916666666666667,A3-1,A3),A3)</f>
        <v>#REF!</v>
      </c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30"/>
      <c r="AW28" s="31"/>
      <c r="AY28" s="11">
        <f t="shared" si="0"/>
        <v>18</v>
      </c>
      <c r="AZ28" s="21"/>
    </row>
    <row r="29" spans="4:52" ht="12" customHeight="1" thickBot="1">
      <c r="D29" s="28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30"/>
      <c r="AV29" s="29"/>
      <c r="AW29" s="31"/>
      <c r="AY29" s="12">
        <f t="shared" si="0"/>
        <v>19</v>
      </c>
      <c r="AZ29" s="21"/>
    </row>
    <row r="30" spans="4:52" ht="12" customHeight="1" thickBot="1">
      <c r="D30" s="28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30"/>
      <c r="AV30" s="29"/>
      <c r="AW30" s="31"/>
      <c r="AY30" s="10">
        <f t="shared" si="0"/>
        <v>20</v>
      </c>
      <c r="AZ30" s="22"/>
    </row>
    <row r="31" spans="4:52" ht="12" customHeight="1" thickBot="1">
      <c r="D31" s="28"/>
      <c r="E31" s="29"/>
      <c r="F31" s="34" t="e">
        <f>IF(A4="Turno C",IF(G31&gt;0.915972222222222,A3-1,A3),A3)</f>
        <v>#REF!</v>
      </c>
      <c r="G31" s="35" t="e">
        <f>A2</f>
        <v>#REF!</v>
      </c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34" t="e">
        <f>IF(A4="Turno C",IF(AE31&gt;0.915972222222222,A3-1,A3),A3)</f>
        <v>#REF!</v>
      </c>
      <c r="AE31" s="36" t="e">
        <f>AE35</f>
        <v>#REF!</v>
      </c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30"/>
      <c r="AW31" s="31"/>
      <c r="AY31" s="11">
        <f t="shared" si="0"/>
        <v>21</v>
      </c>
      <c r="AZ31" s="21"/>
    </row>
    <row r="32" spans="4:52" ht="12" customHeight="1" thickBot="1">
      <c r="D32" s="28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37"/>
      <c r="AB32" s="37"/>
      <c r="AC32" s="37"/>
      <c r="AD32" s="37"/>
      <c r="AE32" s="37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30"/>
      <c r="AW32" s="31"/>
      <c r="AY32" s="11">
        <f t="shared" si="0"/>
        <v>22</v>
      </c>
      <c r="AZ32" s="21"/>
    </row>
    <row r="33" spans="4:52" ht="12" customHeight="1" thickBot="1">
      <c r="D33" s="28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7"/>
      <c r="AB33" s="37"/>
      <c r="AC33" s="37"/>
      <c r="AD33" s="37"/>
      <c r="AE33" s="37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30"/>
      <c r="AW33" s="31"/>
      <c r="AY33" s="11">
        <f t="shared" si="0"/>
        <v>23</v>
      </c>
      <c r="AZ33" s="21"/>
    </row>
    <row r="34" spans="4:52" ht="12" customHeight="1" thickBot="1">
      <c r="D34" s="28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37"/>
      <c r="AT34" s="37"/>
      <c r="AU34" s="37"/>
      <c r="AV34" s="34" t="e">
        <f>IF(A4="Turno C",IF(AW34&gt;0.915972222222222,A3-1,A3),A3)</f>
        <v>#REF!</v>
      </c>
      <c r="AW34" s="38" t="e">
        <f>B2</f>
        <v>#REF!</v>
      </c>
      <c r="AY34" s="13">
        <f t="shared" si="0"/>
        <v>24</v>
      </c>
      <c r="AZ34" s="21"/>
    </row>
    <row r="35" spans="4:52" ht="12" customHeight="1" thickBot="1">
      <c r="D35" s="39"/>
      <c r="E35" s="40"/>
      <c r="F35" s="41" t="e">
        <f>IF(A4="Turno C",IF(G35&gt;0.915972222222222,A3-1,A3),A3)</f>
        <v>#REF!</v>
      </c>
      <c r="G35" s="42" t="e">
        <f>AW34</f>
        <v>#REF!</v>
      </c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1" t="e">
        <f>IF(A4="Turno C",IF(AE35&gt;0.915972222222222,A3-1,A3),A3)</f>
        <v>#REF!</v>
      </c>
      <c r="AE35" s="42" t="e">
        <f>C2</f>
        <v>#REF!</v>
      </c>
      <c r="AF35" s="40"/>
      <c r="AG35" s="40"/>
      <c r="AH35" s="40"/>
      <c r="AI35" s="40"/>
      <c r="AJ35" s="40"/>
      <c r="AK35" s="40"/>
      <c r="AL35" s="40"/>
      <c r="AM35" s="40"/>
      <c r="AN35" s="40"/>
      <c r="AO35" s="40"/>
      <c r="AP35" s="40"/>
      <c r="AQ35" s="40"/>
      <c r="AR35" s="40"/>
      <c r="AS35" s="40"/>
      <c r="AT35" s="40"/>
      <c r="AU35" s="40"/>
      <c r="AV35" s="43"/>
      <c r="AW35" s="44"/>
      <c r="AY35" s="14">
        <f t="shared" si="0"/>
        <v>25</v>
      </c>
      <c r="AZ35" s="22"/>
    </row>
    <row r="36" spans="4:52" ht="13.5" thickBot="1">
      <c r="D36" s="6"/>
      <c r="E36" s="6"/>
      <c r="F36" s="6"/>
      <c r="L36" s="1">
        <v>31</v>
      </c>
      <c r="M36" s="1">
        <v>32</v>
      </c>
      <c r="N36" s="1">
        <v>33</v>
      </c>
      <c r="AY36" s="15">
        <f t="shared" si="0"/>
        <v>26</v>
      </c>
      <c r="AZ36" s="21"/>
    </row>
    <row r="37" spans="4:52" ht="13.5" thickBot="1">
      <c r="AY37" s="15">
        <f t="shared" si="0"/>
        <v>27</v>
      </c>
      <c r="AZ37" s="21"/>
    </row>
    <row r="38" spans="4:52" ht="13.5" thickBot="1">
      <c r="AY38" s="15">
        <f t="shared" si="0"/>
        <v>28</v>
      </c>
      <c r="AZ38" s="21"/>
    </row>
    <row r="39" spans="4:52" ht="13.5" thickBot="1">
      <c r="AY39" s="13">
        <f t="shared" si="0"/>
        <v>29</v>
      </c>
      <c r="AZ39" s="21"/>
    </row>
    <row r="40" spans="4:52" ht="13.5" thickBot="1">
      <c r="AY40" s="14">
        <f t="shared" si="0"/>
        <v>30</v>
      </c>
      <c r="AZ40" s="22"/>
    </row>
    <row r="41" spans="4:52" ht="13.5" thickBot="1">
      <c r="AY41" s="15">
        <f t="shared" si="0"/>
        <v>31</v>
      </c>
      <c r="AZ41" s="21"/>
    </row>
    <row r="42" spans="4:52" ht="13.5" thickBot="1">
      <c r="AY42" s="15">
        <f t="shared" si="0"/>
        <v>32</v>
      </c>
      <c r="AZ42" s="21"/>
    </row>
    <row r="43" spans="4:52" ht="13.5" thickBot="1">
      <c r="AY43" s="15">
        <f t="shared" si="0"/>
        <v>33</v>
      </c>
      <c r="AZ43" s="21"/>
    </row>
    <row r="44" spans="4:52" ht="13.5" thickBot="1">
      <c r="AY44" s="13">
        <f t="shared" si="0"/>
        <v>34</v>
      </c>
      <c r="AZ44" s="21"/>
    </row>
    <row r="45" spans="4:52" ht="13.5" thickBot="1">
      <c r="AY45" s="14">
        <f t="shared" si="0"/>
        <v>35</v>
      </c>
      <c r="AZ45" s="22"/>
    </row>
    <row r="46" spans="4:52" ht="13.5" thickBot="1">
      <c r="AY46" s="15">
        <f t="shared" si="0"/>
        <v>36</v>
      </c>
      <c r="AZ46" s="21"/>
    </row>
    <row r="47" spans="4:52" ht="13.5" thickBot="1">
      <c r="AY47" s="15">
        <f t="shared" si="0"/>
        <v>37</v>
      </c>
      <c r="AZ47" s="21"/>
    </row>
    <row r="48" spans="4:52" ht="13.5" thickBot="1">
      <c r="AY48" s="15">
        <f t="shared" si="0"/>
        <v>38</v>
      </c>
      <c r="AZ48" s="21"/>
    </row>
    <row r="49" spans="51:52" ht="13.5" thickBot="1">
      <c r="AY49" s="13">
        <f t="shared" si="0"/>
        <v>39</v>
      </c>
      <c r="AZ49" s="22"/>
    </row>
  </sheetData>
  <phoneticPr fontId="5" type="noConversion"/>
  <pageMargins left="0.75" right="0.75" top="1" bottom="1" header="0" footer="0"/>
  <pageSetup orientation="portrait" r:id="rId1"/>
  <headerFooter alignWithMargins="0"/>
  <legacyDrawing r:id="rId2"/>
  <controls>
    <control shapeId="17410" r:id="rId3" name="CommandButton1"/>
    <control shapeId="17409" r:id="rId4" name="Combo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5"/>
  <dimension ref="A2:G95"/>
  <sheetViews>
    <sheetView workbookViewId="0">
      <selection activeCell="F28" sqref="F28"/>
    </sheetView>
  </sheetViews>
  <sheetFormatPr baseColWidth="10" defaultRowHeight="12.75"/>
  <cols>
    <col min="1" max="1" width="11.42578125" style="1"/>
    <col min="2" max="2" width="39.140625" style="1" customWidth="1"/>
    <col min="3" max="3" width="12" style="1" customWidth="1"/>
    <col min="4" max="4" width="14" style="1" customWidth="1"/>
    <col min="5" max="5" width="11.42578125" style="1"/>
    <col min="6" max="6" width="32" style="1" customWidth="1"/>
    <col min="7" max="7" width="32.5703125" style="1" customWidth="1"/>
    <col min="8" max="16384" width="11.42578125" style="1"/>
  </cols>
  <sheetData>
    <row r="2" spans="2:7" ht="13.5" thickBot="1"/>
    <row r="3" spans="2:7" ht="16.5" customHeight="1" thickBot="1">
      <c r="B3" s="52" t="s">
        <v>13</v>
      </c>
      <c r="C3" s="59" t="e">
        <f>#REF!</f>
        <v>#REF!</v>
      </c>
      <c r="D3" s="60"/>
    </row>
    <row r="4" spans="2:7" ht="16.5" customHeight="1" thickBot="1">
      <c r="B4" s="53" t="s">
        <v>1</v>
      </c>
      <c r="C4" s="61" t="e">
        <f>#REF!</f>
        <v>#REF!</v>
      </c>
      <c r="D4" s="60"/>
    </row>
    <row r="5" spans="2:7" ht="16.5" customHeight="1" thickBot="1">
      <c r="B5" s="54" t="s">
        <v>14</v>
      </c>
      <c r="C5" s="62" t="e">
        <f>#REF!</f>
        <v>#REF!</v>
      </c>
      <c r="D5" s="60"/>
    </row>
    <row r="6" spans="2:7" ht="16.5" customHeight="1" thickBot="1">
      <c r="B6" s="56" t="s">
        <v>25</v>
      </c>
      <c r="C6" s="62" t="s">
        <v>26</v>
      </c>
      <c r="D6" s="60"/>
    </row>
    <row r="7" spans="2:7" ht="15">
      <c r="C7" s="46"/>
      <c r="D7" s="46"/>
      <c r="E7" s="47"/>
    </row>
    <row r="8" spans="2:7" ht="15">
      <c r="B8" s="48" t="s">
        <v>22</v>
      </c>
      <c r="C8" s="48" t="s">
        <v>2</v>
      </c>
      <c r="D8" s="47"/>
      <c r="E8" s="57" t="s">
        <v>27</v>
      </c>
      <c r="F8" s="58" t="s">
        <v>0</v>
      </c>
      <c r="G8" s="58" t="s">
        <v>28</v>
      </c>
    </row>
    <row r="9" spans="2:7" ht="16.5" customHeight="1">
      <c r="B9" s="49" t="s">
        <v>20</v>
      </c>
      <c r="C9" s="63"/>
      <c r="E9" s="64"/>
      <c r="F9" s="67"/>
      <c r="G9" s="67"/>
    </row>
    <row r="10" spans="2:7">
      <c r="B10" s="49" t="s">
        <v>21</v>
      </c>
      <c r="C10" s="63"/>
      <c r="E10" s="64"/>
      <c r="F10" s="67"/>
      <c r="G10" s="67"/>
    </row>
    <row r="11" spans="2:7">
      <c r="B11" s="49" t="s">
        <v>6</v>
      </c>
      <c r="C11" s="64" t="e">
        <f>COUNTIF(#REF!,B11)</f>
        <v>#REF!</v>
      </c>
      <c r="E11" s="64"/>
      <c r="F11" s="67"/>
      <c r="G11" s="67"/>
    </row>
    <row r="12" spans="2:7">
      <c r="B12" s="49" t="s">
        <v>7</v>
      </c>
      <c r="C12" s="64" t="e">
        <f>COUNTIF(#REF!,B12)</f>
        <v>#REF!</v>
      </c>
      <c r="E12" s="64"/>
      <c r="F12" s="67"/>
      <c r="G12" s="67"/>
    </row>
    <row r="13" spans="2:7">
      <c r="B13" s="49" t="s">
        <v>8</v>
      </c>
      <c r="C13" s="64" t="e">
        <f>COUNTIF(#REF!,B13)</f>
        <v>#REF!</v>
      </c>
      <c r="E13" s="64"/>
      <c r="F13" s="67"/>
      <c r="G13" s="67"/>
    </row>
    <row r="14" spans="2:7">
      <c r="B14" s="49" t="s">
        <v>9</v>
      </c>
      <c r="C14" s="64" t="e">
        <f>COUNTIF(#REF!,B14)</f>
        <v>#REF!</v>
      </c>
      <c r="E14" s="64"/>
      <c r="F14" s="67"/>
      <c r="G14" s="67"/>
    </row>
    <row r="15" spans="2:7">
      <c r="B15" s="49" t="s">
        <v>10</v>
      </c>
      <c r="C15" s="64" t="e">
        <f>COUNTIF(#REF!,B15)</f>
        <v>#REF!</v>
      </c>
      <c r="E15" s="64"/>
      <c r="F15" s="67"/>
      <c r="G15" s="67"/>
    </row>
    <row r="16" spans="2:7">
      <c r="B16" s="49" t="s">
        <v>11</v>
      </c>
      <c r="C16" s="64" t="e">
        <f>COUNTIF(#REF!,B16)</f>
        <v>#REF!</v>
      </c>
      <c r="E16" s="64"/>
      <c r="F16" s="67"/>
      <c r="G16" s="67"/>
    </row>
    <row r="17" spans="1:7">
      <c r="B17" s="49" t="s">
        <v>12</v>
      </c>
      <c r="C17" s="64" t="e">
        <f>COUNTIF(#REF!,B17)</f>
        <v>#REF!</v>
      </c>
      <c r="E17" s="64"/>
      <c r="F17" s="67"/>
      <c r="G17" s="67"/>
    </row>
    <row r="18" spans="1:7">
      <c r="C18" s="65"/>
      <c r="D18" s="6"/>
      <c r="E18" s="64"/>
      <c r="F18" s="67"/>
      <c r="G18" s="67"/>
    </row>
    <row r="19" spans="1:7" ht="15">
      <c r="B19" s="48" t="s">
        <v>19</v>
      </c>
      <c r="C19" s="63"/>
      <c r="E19" s="64"/>
      <c r="F19" s="67"/>
      <c r="G19" s="67"/>
    </row>
    <row r="20" spans="1:7">
      <c r="B20" s="49" t="s">
        <v>23</v>
      </c>
      <c r="C20" s="63"/>
      <c r="E20" s="64"/>
      <c r="F20" s="67"/>
      <c r="G20" s="67"/>
    </row>
    <row r="21" spans="1:7">
      <c r="B21" s="50" t="s">
        <v>24</v>
      </c>
      <c r="C21" s="66" t="e">
        <f>(SUM(A72:A95))/(COUNT(B26:B49))</f>
        <v>#DIV/0!</v>
      </c>
      <c r="E21" s="64"/>
      <c r="F21" s="67"/>
      <c r="G21" s="67"/>
    </row>
    <row r="22" spans="1:7">
      <c r="B22" s="50" t="s">
        <v>15</v>
      </c>
      <c r="C22" s="64">
        <f>(COUNT(B26:B49))</f>
        <v>0</v>
      </c>
      <c r="E22" s="64"/>
      <c r="F22" s="67"/>
      <c r="G22" s="67"/>
    </row>
    <row r="25" spans="1:7" ht="25.5">
      <c r="B25" s="50" t="s">
        <v>16</v>
      </c>
      <c r="C25" s="51" t="s">
        <v>17</v>
      </c>
      <c r="D25" s="51" t="s">
        <v>18</v>
      </c>
    </row>
    <row r="26" spans="1:7">
      <c r="A26" s="1">
        <v>1</v>
      </c>
      <c r="B26" s="64" t="str">
        <f>IF('CO11'!AZ11="","",'CO11'!AZ11)</f>
        <v/>
      </c>
      <c r="C26" s="63"/>
      <c r="D26" s="63"/>
    </row>
    <row r="27" spans="1:7">
      <c r="A27" s="1">
        <v>2</v>
      </c>
      <c r="B27" s="64" t="str">
        <f>IF('CO11'!AZ12="","",'CO11'!AZ12)</f>
        <v/>
      </c>
      <c r="C27" s="63"/>
      <c r="D27" s="63"/>
    </row>
    <row r="28" spans="1:7">
      <c r="A28" s="1">
        <v>3</v>
      </c>
      <c r="B28" s="64" t="str">
        <f>IF('CO11'!AZ13="","",'CO11'!AZ13)</f>
        <v/>
      </c>
      <c r="C28" s="63"/>
      <c r="D28" s="63"/>
    </row>
    <row r="29" spans="1:7">
      <c r="A29" s="1">
        <v>4</v>
      </c>
      <c r="B29" s="64" t="str">
        <f>IF('CO11'!AZ14="","",'CO11'!AZ14)</f>
        <v/>
      </c>
      <c r="C29" s="63"/>
      <c r="D29" s="63"/>
    </row>
    <row r="30" spans="1:7">
      <c r="A30" s="1">
        <v>5</v>
      </c>
      <c r="B30" s="64" t="str">
        <f>IF('CO11'!AZ15="","",'CO11'!AZ15)</f>
        <v/>
      </c>
      <c r="C30" s="63"/>
      <c r="D30" s="63"/>
    </row>
    <row r="31" spans="1:7">
      <c r="A31" s="1">
        <v>6</v>
      </c>
      <c r="B31" s="64" t="str">
        <f>IF('CO11'!AZ16="","",'CO11'!AZ16)</f>
        <v/>
      </c>
      <c r="C31" s="63"/>
      <c r="D31" s="63"/>
    </row>
    <row r="32" spans="1:7">
      <c r="A32" s="1">
        <v>7</v>
      </c>
      <c r="B32" s="64" t="str">
        <f>IF('CO11'!AZ17="","",'CO11'!AZ17)</f>
        <v/>
      </c>
      <c r="C32" s="63"/>
      <c r="D32" s="63"/>
    </row>
    <row r="33" spans="1:4">
      <c r="A33" s="1">
        <v>8</v>
      </c>
      <c r="B33" s="64" t="str">
        <f>IF('CO11'!AZ18="","",'CO11'!AZ18)</f>
        <v/>
      </c>
      <c r="C33" s="63"/>
      <c r="D33" s="63"/>
    </row>
    <row r="34" spans="1:4">
      <c r="A34" s="1">
        <v>9</v>
      </c>
      <c r="B34" s="64" t="str">
        <f>IF('CO11'!AZ19="","",'CO11'!AZ19)</f>
        <v/>
      </c>
      <c r="C34" s="63"/>
      <c r="D34" s="63"/>
    </row>
    <row r="35" spans="1:4">
      <c r="A35" s="1">
        <v>10</v>
      </c>
      <c r="B35" s="64" t="str">
        <f>IF('CO11'!AZ20="","",'CO11'!AZ20)</f>
        <v/>
      </c>
      <c r="C35" s="63"/>
      <c r="D35" s="63"/>
    </row>
    <row r="36" spans="1:4">
      <c r="A36" s="1">
        <v>11</v>
      </c>
      <c r="B36" s="64" t="str">
        <f>IF('CO11'!AZ21="","",'CO11'!AZ21)</f>
        <v/>
      </c>
      <c r="C36" s="63"/>
      <c r="D36" s="63"/>
    </row>
    <row r="37" spans="1:4">
      <c r="A37" s="1">
        <v>12</v>
      </c>
      <c r="B37" s="64" t="str">
        <f>IF('CO11'!AZ22="","",'CO11'!AZ22)</f>
        <v/>
      </c>
      <c r="C37" s="63"/>
      <c r="D37" s="63"/>
    </row>
    <row r="38" spans="1:4">
      <c r="A38" s="1">
        <v>13</v>
      </c>
      <c r="B38" s="64" t="str">
        <f>IF('CO11'!AZ23="","",'CO11'!AZ23)</f>
        <v/>
      </c>
      <c r="C38" s="63"/>
      <c r="D38" s="63"/>
    </row>
    <row r="39" spans="1:4">
      <c r="A39" s="1">
        <v>14</v>
      </c>
      <c r="B39" s="64" t="str">
        <f>IF('CO11'!AZ24="","",'CO11'!AZ24)</f>
        <v/>
      </c>
      <c r="C39" s="63"/>
      <c r="D39" s="63"/>
    </row>
    <row r="40" spans="1:4">
      <c r="A40" s="1">
        <v>15</v>
      </c>
      <c r="B40" s="64" t="str">
        <f>IF('CO11'!AZ25="","",'CO11'!AZ25)</f>
        <v/>
      </c>
      <c r="C40" s="63"/>
      <c r="D40" s="63"/>
    </row>
    <row r="41" spans="1:4">
      <c r="A41" s="1">
        <v>16</v>
      </c>
      <c r="B41" s="64" t="str">
        <f>IF('CO11'!AZ26="","",'CO11'!AZ26)</f>
        <v/>
      </c>
      <c r="C41" s="63"/>
      <c r="D41" s="63"/>
    </row>
    <row r="42" spans="1:4">
      <c r="A42" s="1">
        <v>17</v>
      </c>
      <c r="B42" s="64" t="str">
        <f>IF('CO11'!AZ27="","",'CO11'!AZ27)</f>
        <v/>
      </c>
      <c r="C42" s="63"/>
      <c r="D42" s="63"/>
    </row>
    <row r="43" spans="1:4">
      <c r="A43" s="1">
        <v>18</v>
      </c>
      <c r="B43" s="64" t="str">
        <f>IF('CO11'!AZ28="","",'CO11'!AZ28)</f>
        <v/>
      </c>
      <c r="C43" s="63"/>
      <c r="D43" s="63"/>
    </row>
    <row r="44" spans="1:4">
      <c r="A44" s="1">
        <v>19</v>
      </c>
      <c r="B44" s="64" t="str">
        <f>IF('CO11'!AZ29="","",'CO11'!AZ29)</f>
        <v/>
      </c>
      <c r="C44" s="63"/>
      <c r="D44" s="63"/>
    </row>
    <row r="45" spans="1:4">
      <c r="A45" s="1">
        <v>20</v>
      </c>
      <c r="B45" s="64" t="str">
        <f>IF('CO11'!AZ30="","",'CO11'!AZ30)</f>
        <v/>
      </c>
      <c r="C45" s="63"/>
      <c r="D45" s="63"/>
    </row>
    <row r="46" spans="1:4">
      <c r="A46" s="1">
        <v>21</v>
      </c>
      <c r="B46" s="64" t="str">
        <f>IF('CO11'!AZ31="","",'CO11'!AZ31)</f>
        <v/>
      </c>
      <c r="C46" s="63"/>
      <c r="D46" s="63"/>
    </row>
    <row r="47" spans="1:4">
      <c r="A47" s="1">
        <v>22</v>
      </c>
      <c r="B47" s="64" t="str">
        <f>IF('CO11'!AZ32="","",'CO11'!AZ32)</f>
        <v/>
      </c>
      <c r="C47" s="63"/>
      <c r="D47" s="63"/>
    </row>
    <row r="48" spans="1:4">
      <c r="A48" s="1">
        <v>23</v>
      </c>
      <c r="B48" s="64" t="str">
        <f>IF('CO11'!AZ33="","",'CO11'!AZ33)</f>
        <v/>
      </c>
      <c r="C48" s="63"/>
      <c r="D48" s="63"/>
    </row>
    <row r="49" spans="1:6">
      <c r="A49" s="1">
        <v>24</v>
      </c>
      <c r="B49" s="64" t="str">
        <f>IF('CO11'!AZ34="","",'CO11'!AZ34)</f>
        <v/>
      </c>
      <c r="C49" s="63"/>
      <c r="D49" s="63"/>
    </row>
    <row r="50" spans="1:6">
      <c r="F50" s="6"/>
    </row>
    <row r="51" spans="1:6">
      <c r="F51" s="6"/>
    </row>
    <row r="52" spans="1:6">
      <c r="D52" s="6"/>
      <c r="E52" s="6"/>
      <c r="F52" s="6"/>
    </row>
    <row r="53" spans="1:6">
      <c r="D53" s="6"/>
      <c r="E53" s="6"/>
      <c r="F53" s="6"/>
    </row>
    <row r="54" spans="1:6">
      <c r="D54" s="6"/>
      <c r="E54" s="6"/>
      <c r="F54" s="6"/>
    </row>
    <row r="55" spans="1:6">
      <c r="D55" s="6"/>
      <c r="E55" s="6"/>
      <c r="F55" s="6"/>
    </row>
    <row r="56" spans="1:6">
      <c r="D56" s="6"/>
      <c r="E56" s="6"/>
      <c r="F56" s="6"/>
    </row>
    <row r="57" spans="1:6">
      <c r="D57" s="6"/>
      <c r="E57" s="6"/>
      <c r="F57" s="6"/>
    </row>
    <row r="58" spans="1:6">
      <c r="D58" s="6"/>
      <c r="E58" s="6"/>
      <c r="F58" s="6"/>
    </row>
    <row r="59" spans="1:6">
      <c r="D59" s="6"/>
      <c r="E59" s="6"/>
      <c r="F59" s="6"/>
    </row>
    <row r="60" spans="1:6">
      <c r="D60" s="6"/>
      <c r="E60" s="6"/>
      <c r="F60" s="6"/>
    </row>
    <row r="61" spans="1:6">
      <c r="D61" s="6"/>
      <c r="E61" s="6"/>
      <c r="F61" s="6"/>
    </row>
    <row r="62" spans="1:6">
      <c r="D62" s="6"/>
      <c r="E62" s="6"/>
      <c r="F62" s="6"/>
    </row>
    <row r="63" spans="1:6">
      <c r="D63" s="6"/>
      <c r="E63" s="6"/>
      <c r="F63" s="6"/>
    </row>
    <row r="64" spans="1:6">
      <c r="D64" s="6"/>
      <c r="E64" s="6"/>
      <c r="F64" s="6"/>
    </row>
    <row r="65" spans="1:6">
      <c r="D65" s="6"/>
      <c r="E65" s="6"/>
      <c r="F65" s="6"/>
    </row>
    <row r="66" spans="1:6">
      <c r="D66" s="6"/>
      <c r="E66" s="6"/>
      <c r="F66" s="6"/>
    </row>
    <row r="67" spans="1:6">
      <c r="D67" s="6"/>
      <c r="E67" s="6"/>
      <c r="F67" s="6"/>
    </row>
    <row r="68" spans="1:6">
      <c r="D68" s="6"/>
      <c r="E68" s="6"/>
      <c r="F68" s="6"/>
    </row>
    <row r="69" spans="1:6" s="55" customFormat="1">
      <c r="D69" s="23"/>
      <c r="E69" s="23"/>
      <c r="F69" s="23"/>
    </row>
    <row r="70" spans="1:6">
      <c r="D70" s="6"/>
      <c r="E70" s="6"/>
      <c r="F70" s="6"/>
    </row>
    <row r="71" spans="1:6">
      <c r="D71" s="6"/>
      <c r="E71" s="6"/>
      <c r="F71" s="6"/>
    </row>
    <row r="72" spans="1:6">
      <c r="A72" s="45" t="str">
        <f t="shared" ref="A72:A95" si="0">IF(B26="","",IF(C26=D26,1,0))</f>
        <v/>
      </c>
      <c r="D72" s="6"/>
      <c r="E72" s="6"/>
      <c r="F72" s="6"/>
    </row>
    <row r="73" spans="1:6">
      <c r="A73" s="45" t="str">
        <f t="shared" si="0"/>
        <v/>
      </c>
      <c r="D73" s="6"/>
      <c r="E73" s="6"/>
      <c r="F73" s="6"/>
    </row>
    <row r="74" spans="1:6">
      <c r="A74" s="45" t="str">
        <f t="shared" si="0"/>
        <v/>
      </c>
      <c r="D74" s="6"/>
      <c r="E74" s="6"/>
      <c r="F74" s="6"/>
    </row>
    <row r="75" spans="1:6">
      <c r="A75" s="45" t="str">
        <f t="shared" si="0"/>
        <v/>
      </c>
      <c r="D75" s="6"/>
      <c r="E75" s="6"/>
      <c r="F75" s="6"/>
    </row>
    <row r="76" spans="1:6">
      <c r="A76" s="45" t="str">
        <f t="shared" si="0"/>
        <v/>
      </c>
      <c r="D76" s="6"/>
      <c r="E76" s="6"/>
      <c r="F76" s="6"/>
    </row>
    <row r="77" spans="1:6">
      <c r="A77" s="45" t="str">
        <f t="shared" si="0"/>
        <v/>
      </c>
      <c r="D77" s="6"/>
      <c r="E77" s="6"/>
      <c r="F77" s="6"/>
    </row>
    <row r="78" spans="1:6">
      <c r="A78" s="45" t="str">
        <f t="shared" si="0"/>
        <v/>
      </c>
      <c r="D78" s="6"/>
      <c r="E78" s="6"/>
      <c r="F78" s="6"/>
    </row>
    <row r="79" spans="1:6">
      <c r="A79" s="45" t="str">
        <f t="shared" si="0"/>
        <v/>
      </c>
      <c r="D79" s="6"/>
      <c r="E79" s="6"/>
      <c r="F79" s="6"/>
    </row>
    <row r="80" spans="1:6">
      <c r="A80" s="45" t="str">
        <f t="shared" si="0"/>
        <v/>
      </c>
      <c r="D80" s="6"/>
      <c r="E80" s="6"/>
      <c r="F80" s="6"/>
    </row>
    <row r="81" spans="1:6">
      <c r="A81" s="45" t="str">
        <f t="shared" si="0"/>
        <v/>
      </c>
      <c r="D81" s="6"/>
      <c r="E81" s="6"/>
      <c r="F81" s="6"/>
    </row>
    <row r="82" spans="1:6">
      <c r="A82" s="45" t="str">
        <f t="shared" si="0"/>
        <v/>
      </c>
    </row>
    <row r="83" spans="1:6">
      <c r="A83" s="45" t="str">
        <f t="shared" si="0"/>
        <v/>
      </c>
    </row>
    <row r="84" spans="1:6">
      <c r="A84" s="45" t="str">
        <f t="shared" si="0"/>
        <v/>
      </c>
    </row>
    <row r="85" spans="1:6">
      <c r="A85" s="45" t="str">
        <f t="shared" si="0"/>
        <v/>
      </c>
    </row>
    <row r="86" spans="1:6">
      <c r="A86" s="45" t="str">
        <f t="shared" si="0"/>
        <v/>
      </c>
    </row>
    <row r="87" spans="1:6">
      <c r="A87" s="45" t="str">
        <f t="shared" si="0"/>
        <v/>
      </c>
    </row>
    <row r="88" spans="1:6">
      <c r="A88" s="45" t="str">
        <f t="shared" si="0"/>
        <v/>
      </c>
    </row>
    <row r="89" spans="1:6">
      <c r="A89" s="45" t="str">
        <f t="shared" si="0"/>
        <v/>
      </c>
    </row>
    <row r="90" spans="1:6">
      <c r="A90" s="45" t="str">
        <f t="shared" si="0"/>
        <v/>
      </c>
    </row>
    <row r="91" spans="1:6">
      <c r="A91" s="45" t="str">
        <f t="shared" si="0"/>
        <v/>
      </c>
    </row>
    <row r="92" spans="1:6">
      <c r="A92" s="45" t="str">
        <f t="shared" si="0"/>
        <v/>
      </c>
    </row>
    <row r="93" spans="1:6">
      <c r="A93" s="45" t="str">
        <f t="shared" si="0"/>
        <v/>
      </c>
    </row>
    <row r="94" spans="1:6">
      <c r="A94" s="45" t="str">
        <f t="shared" si="0"/>
        <v/>
      </c>
    </row>
    <row r="95" spans="1:6">
      <c r="A95" s="45" t="str">
        <f t="shared" si="0"/>
        <v/>
      </c>
    </row>
  </sheetData>
  <phoneticPr fontId="26" type="noConversion"/>
  <pageMargins left="0.75" right="0.75" top="1" bottom="1" header="0" footer="0"/>
  <headerFooter alignWithMargins="0"/>
  <legacyDrawing r:id="rId1"/>
  <controls>
    <control shapeId="30721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6"/>
  <dimension ref="A1:IV258"/>
  <sheetViews>
    <sheetView workbookViewId="0">
      <pane ySplit="1" topLeftCell="A2" activePane="bottomLeft" state="frozen"/>
      <selection pane="bottomLeft" activeCell="D16" sqref="D16"/>
    </sheetView>
  </sheetViews>
  <sheetFormatPr baseColWidth="10" defaultRowHeight="15"/>
  <cols>
    <col min="1" max="1" width="9" style="109" bestFit="1" customWidth="1"/>
    <col min="2" max="2" width="12" style="109" bestFit="1" customWidth="1"/>
    <col min="3" max="3" width="16.140625" style="71" bestFit="1" customWidth="1"/>
    <col min="4" max="4" width="16.7109375" style="71" bestFit="1" customWidth="1"/>
    <col min="5" max="5" width="25.28515625" style="71" bestFit="1" customWidth="1"/>
    <col min="6" max="6" width="42.42578125" style="71" bestFit="1" customWidth="1"/>
    <col min="7" max="7" width="42.28515625" style="71" bestFit="1" customWidth="1"/>
    <col min="8" max="8" width="9" style="71" bestFit="1" customWidth="1"/>
    <col min="9" max="9" width="22.140625" style="71" bestFit="1" customWidth="1"/>
    <col min="10" max="10" width="31" style="71" bestFit="1" customWidth="1"/>
    <col min="11" max="11" width="20.28515625" style="71" bestFit="1" customWidth="1"/>
    <col min="12" max="12" width="7" style="71" bestFit="1" customWidth="1"/>
    <col min="13" max="13" width="8.42578125" style="71" bestFit="1" customWidth="1"/>
    <col min="14" max="256" width="11.42578125" style="71"/>
  </cols>
  <sheetData>
    <row r="1" spans="1:12">
      <c r="A1" s="68" t="s">
        <v>30</v>
      </c>
      <c r="B1" s="68" t="s">
        <v>31</v>
      </c>
      <c r="C1" s="69" t="s">
        <v>32</v>
      </c>
      <c r="D1" s="69" t="s">
        <v>33</v>
      </c>
      <c r="E1" s="69" t="s">
        <v>34</v>
      </c>
      <c r="F1" s="69" t="s">
        <v>35</v>
      </c>
      <c r="G1" s="69" t="s">
        <v>36</v>
      </c>
      <c r="H1" s="69" t="s">
        <v>37</v>
      </c>
      <c r="I1" s="69" t="s">
        <v>25</v>
      </c>
      <c r="J1" s="69" t="s">
        <v>38</v>
      </c>
      <c r="K1" s="69" t="s">
        <v>39</v>
      </c>
      <c r="L1" s="70" t="s">
        <v>40</v>
      </c>
    </row>
    <row r="2" spans="1:12">
      <c r="A2" s="72">
        <v>6434911</v>
      </c>
      <c r="B2" s="72" t="s">
        <v>41</v>
      </c>
      <c r="C2" s="73" t="s">
        <v>42</v>
      </c>
      <c r="D2" s="73" t="s">
        <v>43</v>
      </c>
      <c r="E2" s="73" t="s">
        <v>44</v>
      </c>
      <c r="F2" s="73" t="s">
        <v>45</v>
      </c>
      <c r="G2" s="74" t="s">
        <v>46</v>
      </c>
      <c r="H2" s="75">
        <v>1050553</v>
      </c>
      <c r="I2" s="76" t="s">
        <v>26</v>
      </c>
      <c r="J2" s="76" t="s">
        <v>47</v>
      </c>
      <c r="K2" s="73" t="s">
        <v>48</v>
      </c>
      <c r="L2" s="77" t="s">
        <v>3</v>
      </c>
    </row>
    <row r="3" spans="1:12">
      <c r="A3" s="72">
        <v>8224093</v>
      </c>
      <c r="B3" s="72" t="s">
        <v>49</v>
      </c>
      <c r="C3" s="73" t="s">
        <v>50</v>
      </c>
      <c r="D3" s="73" t="s">
        <v>51</v>
      </c>
      <c r="E3" s="73" t="s">
        <v>52</v>
      </c>
      <c r="F3" s="73" t="s">
        <v>53</v>
      </c>
      <c r="G3" s="73" t="s">
        <v>54</v>
      </c>
      <c r="H3" s="73">
        <v>1050126</v>
      </c>
      <c r="I3" s="76" t="s">
        <v>55</v>
      </c>
      <c r="J3" s="76" t="s">
        <v>56</v>
      </c>
      <c r="K3" s="73" t="s">
        <v>48</v>
      </c>
      <c r="L3" s="78" t="s">
        <v>57</v>
      </c>
    </row>
    <row r="4" spans="1:12">
      <c r="A4" s="72">
        <v>12677439</v>
      </c>
      <c r="B4" s="72" t="s">
        <v>58</v>
      </c>
      <c r="C4" s="73" t="s">
        <v>59</v>
      </c>
      <c r="D4" s="73" t="s">
        <v>60</v>
      </c>
      <c r="E4" s="73" t="s">
        <v>61</v>
      </c>
      <c r="F4" s="73" t="s">
        <v>62</v>
      </c>
      <c r="G4" s="73" t="s">
        <v>63</v>
      </c>
      <c r="H4" s="73">
        <v>1050127</v>
      </c>
      <c r="I4" s="76" t="s">
        <v>55</v>
      </c>
      <c r="J4" s="76" t="s">
        <v>64</v>
      </c>
      <c r="K4" s="73" t="s">
        <v>48</v>
      </c>
      <c r="L4" s="78" t="s">
        <v>3</v>
      </c>
    </row>
    <row r="5" spans="1:12">
      <c r="A5" s="72">
        <v>8809784</v>
      </c>
      <c r="B5" s="72" t="s">
        <v>65</v>
      </c>
      <c r="C5" s="73" t="s">
        <v>66</v>
      </c>
      <c r="D5" s="73" t="s">
        <v>67</v>
      </c>
      <c r="E5" s="73" t="s">
        <v>68</v>
      </c>
      <c r="F5" s="73" t="s">
        <v>69</v>
      </c>
      <c r="G5" s="79" t="s">
        <v>70</v>
      </c>
      <c r="H5" s="73">
        <v>1050574</v>
      </c>
      <c r="I5" s="80" t="s">
        <v>71</v>
      </c>
      <c r="J5" s="80" t="s">
        <v>72</v>
      </c>
      <c r="K5" s="73" t="s">
        <v>48</v>
      </c>
      <c r="L5" s="78" t="s">
        <v>57</v>
      </c>
    </row>
    <row r="6" spans="1:12">
      <c r="A6" s="72">
        <v>16191666</v>
      </c>
      <c r="B6" s="72" t="s">
        <v>73</v>
      </c>
      <c r="C6" s="73" t="s">
        <v>74</v>
      </c>
      <c r="D6" s="73" t="s">
        <v>75</v>
      </c>
      <c r="E6" s="73" t="s">
        <v>76</v>
      </c>
      <c r="F6" s="73" t="s">
        <v>77</v>
      </c>
      <c r="G6" s="73" t="s">
        <v>78</v>
      </c>
      <c r="H6" s="73">
        <v>1050506</v>
      </c>
      <c r="I6" s="76" t="s">
        <v>55</v>
      </c>
      <c r="J6" s="76" t="s">
        <v>79</v>
      </c>
      <c r="K6" s="73" t="s">
        <v>48</v>
      </c>
      <c r="L6" s="78" t="s">
        <v>3</v>
      </c>
    </row>
    <row r="7" spans="1:12">
      <c r="A7" s="72">
        <v>7760886</v>
      </c>
      <c r="B7" s="72" t="s">
        <v>80</v>
      </c>
      <c r="C7" s="73" t="s">
        <v>81</v>
      </c>
      <c r="D7" s="73" t="s">
        <v>82</v>
      </c>
      <c r="E7" s="73" t="s">
        <v>83</v>
      </c>
      <c r="F7" s="73" t="s">
        <v>84</v>
      </c>
      <c r="G7" s="73" t="s">
        <v>85</v>
      </c>
      <c r="H7" s="73">
        <v>1050127</v>
      </c>
      <c r="I7" s="76" t="s">
        <v>55</v>
      </c>
      <c r="J7" s="76" t="s">
        <v>64</v>
      </c>
      <c r="K7" s="73" t="s">
        <v>48</v>
      </c>
      <c r="L7" s="81" t="s">
        <v>3</v>
      </c>
    </row>
    <row r="8" spans="1:12">
      <c r="A8" s="72">
        <v>13838747</v>
      </c>
      <c r="B8" s="72" t="s">
        <v>86</v>
      </c>
      <c r="C8" s="73" t="s">
        <v>87</v>
      </c>
      <c r="D8" s="73" t="s">
        <v>88</v>
      </c>
      <c r="E8" s="73" t="s">
        <v>89</v>
      </c>
      <c r="F8" s="73" t="s">
        <v>90</v>
      </c>
      <c r="G8" s="74" t="s">
        <v>91</v>
      </c>
      <c r="H8" s="73">
        <v>1050610</v>
      </c>
      <c r="I8" s="80" t="s">
        <v>92</v>
      </c>
      <c r="J8" s="80" t="s">
        <v>93</v>
      </c>
      <c r="K8" s="73" t="s">
        <v>48</v>
      </c>
      <c r="L8" s="77" t="s">
        <v>3</v>
      </c>
    </row>
    <row r="9" spans="1:12">
      <c r="A9" s="72">
        <v>22637242</v>
      </c>
      <c r="B9" s="72" t="s">
        <v>94</v>
      </c>
      <c r="C9" s="73" t="s">
        <v>95</v>
      </c>
      <c r="D9" s="73" t="s">
        <v>96</v>
      </c>
      <c r="E9" s="73" t="s">
        <v>97</v>
      </c>
      <c r="F9" s="73" t="s">
        <v>98</v>
      </c>
      <c r="G9" s="73" t="s">
        <v>99</v>
      </c>
      <c r="H9" s="73">
        <v>1050632</v>
      </c>
      <c r="I9" s="80" t="s">
        <v>100</v>
      </c>
      <c r="J9" s="80" t="s">
        <v>101</v>
      </c>
      <c r="K9" s="73" t="s">
        <v>48</v>
      </c>
      <c r="L9" s="78" t="s">
        <v>3</v>
      </c>
    </row>
    <row r="10" spans="1:12">
      <c r="A10" s="72">
        <v>17609782</v>
      </c>
      <c r="B10" s="72" t="s">
        <v>102</v>
      </c>
      <c r="C10" s="73" t="s">
        <v>95</v>
      </c>
      <c r="D10" s="73" t="s">
        <v>103</v>
      </c>
      <c r="E10" s="73" t="s">
        <v>104</v>
      </c>
      <c r="F10" s="73" t="s">
        <v>105</v>
      </c>
      <c r="G10" s="73" t="s">
        <v>106</v>
      </c>
      <c r="H10" s="73">
        <v>1050162</v>
      </c>
      <c r="I10" s="76" t="s">
        <v>55</v>
      </c>
      <c r="J10" s="76" t="s">
        <v>107</v>
      </c>
      <c r="K10" s="73" t="s">
        <v>48</v>
      </c>
      <c r="L10" s="81" t="s">
        <v>3</v>
      </c>
    </row>
    <row r="11" spans="1:12">
      <c r="A11" s="72">
        <v>10846598</v>
      </c>
      <c r="B11" s="72" t="s">
        <v>108</v>
      </c>
      <c r="C11" s="73" t="s">
        <v>109</v>
      </c>
      <c r="D11" s="73" t="s">
        <v>110</v>
      </c>
      <c r="E11" s="73" t="s">
        <v>111</v>
      </c>
      <c r="F11" s="73" t="s">
        <v>112</v>
      </c>
      <c r="G11" s="79" t="s">
        <v>113</v>
      </c>
      <c r="H11" s="73">
        <v>1050616</v>
      </c>
      <c r="I11" s="80" t="s">
        <v>114</v>
      </c>
      <c r="J11" s="80" t="s">
        <v>115</v>
      </c>
      <c r="K11" s="73" t="s">
        <v>48</v>
      </c>
      <c r="L11" s="78" t="s">
        <v>57</v>
      </c>
    </row>
    <row r="12" spans="1:12">
      <c r="A12" s="72">
        <v>12093228</v>
      </c>
      <c r="B12" s="72" t="s">
        <v>116</v>
      </c>
      <c r="C12" s="73" t="s">
        <v>117</v>
      </c>
      <c r="D12" s="73" t="s">
        <v>118</v>
      </c>
      <c r="E12" s="73" t="s">
        <v>119</v>
      </c>
      <c r="F12" s="73" t="s">
        <v>120</v>
      </c>
      <c r="G12" s="73" t="s">
        <v>121</v>
      </c>
      <c r="H12" s="73">
        <v>1050127</v>
      </c>
      <c r="I12" s="76" t="s">
        <v>55</v>
      </c>
      <c r="J12" s="76" t="s">
        <v>64</v>
      </c>
      <c r="K12" s="73" t="s">
        <v>48</v>
      </c>
      <c r="L12" s="81" t="s">
        <v>3</v>
      </c>
    </row>
    <row r="13" spans="1:12">
      <c r="A13" s="72">
        <v>9960185</v>
      </c>
      <c r="B13" s="72" t="s">
        <v>122</v>
      </c>
      <c r="C13" s="75" t="s">
        <v>117</v>
      </c>
      <c r="D13" s="75" t="s">
        <v>123</v>
      </c>
      <c r="E13" s="75" t="s">
        <v>124</v>
      </c>
      <c r="F13" s="75" t="s">
        <v>125</v>
      </c>
      <c r="G13" s="75" t="s">
        <v>126</v>
      </c>
      <c r="H13" s="73">
        <v>1050502</v>
      </c>
      <c r="I13" s="76" t="s">
        <v>127</v>
      </c>
      <c r="J13" s="76" t="s">
        <v>127</v>
      </c>
      <c r="K13" s="73" t="s">
        <v>48</v>
      </c>
      <c r="L13" s="77" t="s">
        <v>3</v>
      </c>
    </row>
    <row r="14" spans="1:12">
      <c r="A14" s="72">
        <v>8283277</v>
      </c>
      <c r="B14" s="72" t="s">
        <v>128</v>
      </c>
      <c r="C14" s="73" t="s">
        <v>117</v>
      </c>
      <c r="D14" s="73" t="s">
        <v>129</v>
      </c>
      <c r="E14" s="73" t="s">
        <v>130</v>
      </c>
      <c r="F14" s="73" t="s">
        <v>131</v>
      </c>
      <c r="G14" s="73" t="s">
        <v>132</v>
      </c>
      <c r="H14" s="73">
        <v>1050127</v>
      </c>
      <c r="I14" s="76" t="s">
        <v>55</v>
      </c>
      <c r="J14" s="76" t="s">
        <v>64</v>
      </c>
      <c r="K14" s="73" t="s">
        <v>48</v>
      </c>
      <c r="L14" s="81" t="s">
        <v>3</v>
      </c>
    </row>
    <row r="15" spans="1:12">
      <c r="A15" s="72">
        <v>9471557</v>
      </c>
      <c r="B15" s="72" t="s">
        <v>133</v>
      </c>
      <c r="C15" s="73" t="s">
        <v>134</v>
      </c>
      <c r="D15" s="73" t="s">
        <v>135</v>
      </c>
      <c r="E15" s="73" t="s">
        <v>136</v>
      </c>
      <c r="F15" s="73" t="s">
        <v>137</v>
      </c>
      <c r="G15" s="74" t="s">
        <v>138</v>
      </c>
      <c r="H15" s="73">
        <v>1050616</v>
      </c>
      <c r="I15" s="80" t="s">
        <v>114</v>
      </c>
      <c r="J15" s="80" t="s">
        <v>139</v>
      </c>
      <c r="K15" s="73" t="s">
        <v>48</v>
      </c>
      <c r="L15" s="78" t="s">
        <v>4</v>
      </c>
    </row>
    <row r="16" spans="1:12">
      <c r="A16" s="72">
        <v>12501307</v>
      </c>
      <c r="B16" s="72" t="s">
        <v>140</v>
      </c>
      <c r="C16" s="73" t="s">
        <v>141</v>
      </c>
      <c r="D16" s="73" t="s">
        <v>142</v>
      </c>
      <c r="E16" s="73" t="s">
        <v>143</v>
      </c>
      <c r="F16" s="73" t="s">
        <v>144</v>
      </c>
      <c r="G16" s="73" t="s">
        <v>145</v>
      </c>
      <c r="H16" s="73">
        <v>1050616</v>
      </c>
      <c r="I16" s="80" t="s">
        <v>114</v>
      </c>
      <c r="J16" s="80" t="s">
        <v>93</v>
      </c>
      <c r="K16" s="73" t="s">
        <v>48</v>
      </c>
      <c r="L16" s="78" t="s">
        <v>3</v>
      </c>
    </row>
    <row r="17" spans="1:12">
      <c r="A17" s="72">
        <v>8332629</v>
      </c>
      <c r="B17" s="72" t="s">
        <v>146</v>
      </c>
      <c r="C17" s="73" t="s">
        <v>147</v>
      </c>
      <c r="D17" s="73" t="s">
        <v>43</v>
      </c>
      <c r="E17" s="73" t="s">
        <v>148</v>
      </c>
      <c r="F17" s="73" t="s">
        <v>149</v>
      </c>
      <c r="G17" s="73" t="s">
        <v>150</v>
      </c>
      <c r="H17" s="73">
        <v>1050616</v>
      </c>
      <c r="I17" s="80" t="s">
        <v>114</v>
      </c>
      <c r="J17" s="80" t="s">
        <v>115</v>
      </c>
      <c r="K17" s="73" t="s">
        <v>48</v>
      </c>
      <c r="L17" s="78" t="s">
        <v>57</v>
      </c>
    </row>
    <row r="18" spans="1:12">
      <c r="A18" s="72">
        <v>10173910</v>
      </c>
      <c r="B18" s="72" t="s">
        <v>151</v>
      </c>
      <c r="C18" s="73" t="s">
        <v>152</v>
      </c>
      <c r="D18" s="73" t="s">
        <v>153</v>
      </c>
      <c r="E18" s="73" t="s">
        <v>154</v>
      </c>
      <c r="F18" s="73" t="s">
        <v>155</v>
      </c>
      <c r="G18" s="73" t="s">
        <v>156</v>
      </c>
      <c r="H18" s="73">
        <v>1050633</v>
      </c>
      <c r="I18" s="76" t="s">
        <v>55</v>
      </c>
      <c r="J18" s="76" t="s">
        <v>157</v>
      </c>
      <c r="K18" s="73" t="s">
        <v>48</v>
      </c>
      <c r="L18" s="81" t="s">
        <v>57</v>
      </c>
    </row>
    <row r="19" spans="1:12">
      <c r="A19" s="72">
        <v>11325204</v>
      </c>
      <c r="B19" s="72" t="s">
        <v>158</v>
      </c>
      <c r="C19" s="73" t="s">
        <v>159</v>
      </c>
      <c r="D19" s="73" t="s">
        <v>51</v>
      </c>
      <c r="E19" s="73" t="s">
        <v>160</v>
      </c>
      <c r="F19" s="73" t="s">
        <v>161</v>
      </c>
      <c r="G19" s="73" t="s">
        <v>162</v>
      </c>
      <c r="H19" s="73">
        <v>1050633</v>
      </c>
      <c r="I19" s="76" t="s">
        <v>55</v>
      </c>
      <c r="J19" s="76" t="s">
        <v>157</v>
      </c>
      <c r="K19" s="73" t="s">
        <v>48</v>
      </c>
      <c r="L19" s="81" t="s">
        <v>4</v>
      </c>
    </row>
    <row r="20" spans="1:12">
      <c r="A20" s="72">
        <v>9148214</v>
      </c>
      <c r="B20" s="72" t="s">
        <v>163</v>
      </c>
      <c r="C20" s="73" t="s">
        <v>164</v>
      </c>
      <c r="D20" s="73" t="s">
        <v>103</v>
      </c>
      <c r="E20" s="73" t="s">
        <v>165</v>
      </c>
      <c r="F20" s="73" t="s">
        <v>166</v>
      </c>
      <c r="G20" s="73" t="s">
        <v>167</v>
      </c>
      <c r="H20" s="73">
        <v>1050127</v>
      </c>
      <c r="I20" s="76" t="s">
        <v>55</v>
      </c>
      <c r="J20" s="76" t="s">
        <v>157</v>
      </c>
      <c r="K20" s="73" t="s">
        <v>48</v>
      </c>
      <c r="L20" s="81" t="s">
        <v>57</v>
      </c>
    </row>
    <row r="21" spans="1:12">
      <c r="A21" s="72">
        <v>12897839</v>
      </c>
      <c r="B21" s="72" t="s">
        <v>168</v>
      </c>
      <c r="C21" s="73" t="s">
        <v>169</v>
      </c>
      <c r="D21" s="73" t="s">
        <v>170</v>
      </c>
      <c r="E21" s="73" t="s">
        <v>171</v>
      </c>
      <c r="F21" s="73" t="s">
        <v>172</v>
      </c>
      <c r="G21" s="74" t="s">
        <v>173</v>
      </c>
      <c r="H21" s="73">
        <v>1050610</v>
      </c>
      <c r="I21" s="80" t="s">
        <v>92</v>
      </c>
      <c r="J21" s="80" t="s">
        <v>174</v>
      </c>
      <c r="K21" s="73" t="s">
        <v>48</v>
      </c>
      <c r="L21" s="78" t="s">
        <v>3</v>
      </c>
    </row>
    <row r="22" spans="1:12">
      <c r="A22" s="72">
        <v>13557248</v>
      </c>
      <c r="B22" s="72" t="s">
        <v>175</v>
      </c>
      <c r="C22" s="73" t="s">
        <v>176</v>
      </c>
      <c r="D22" s="73" t="s">
        <v>177</v>
      </c>
      <c r="E22" s="73" t="s">
        <v>178</v>
      </c>
      <c r="F22" s="73" t="s">
        <v>179</v>
      </c>
      <c r="G22" s="73" t="s">
        <v>180</v>
      </c>
      <c r="H22" s="73">
        <v>1050604</v>
      </c>
      <c r="I22" s="76" t="s">
        <v>181</v>
      </c>
      <c r="J22" s="76" t="s">
        <v>181</v>
      </c>
      <c r="K22" s="73" t="s">
        <v>48</v>
      </c>
      <c r="L22" s="78" t="s">
        <v>3</v>
      </c>
    </row>
    <row r="23" spans="1:12">
      <c r="A23" s="72">
        <v>16907382</v>
      </c>
      <c r="B23" s="72" t="s">
        <v>182</v>
      </c>
      <c r="C23" s="73" t="s">
        <v>183</v>
      </c>
      <c r="D23" s="73" t="s">
        <v>184</v>
      </c>
      <c r="E23" s="73" t="s">
        <v>185</v>
      </c>
      <c r="F23" s="73" t="s">
        <v>186</v>
      </c>
      <c r="G23" s="74" t="s">
        <v>187</v>
      </c>
      <c r="H23" s="73">
        <v>1050556</v>
      </c>
      <c r="I23" s="76" t="s">
        <v>188</v>
      </c>
      <c r="J23" s="76" t="s">
        <v>189</v>
      </c>
      <c r="K23" s="73" t="s">
        <v>48</v>
      </c>
      <c r="L23" s="78" t="s">
        <v>3</v>
      </c>
    </row>
    <row r="24" spans="1:12">
      <c r="A24" s="72">
        <v>13236100</v>
      </c>
      <c r="B24" s="72" t="s">
        <v>190</v>
      </c>
      <c r="C24" s="73" t="s">
        <v>191</v>
      </c>
      <c r="D24" s="73" t="s">
        <v>110</v>
      </c>
      <c r="E24" s="73" t="s">
        <v>192</v>
      </c>
      <c r="F24" s="73" t="s">
        <v>193</v>
      </c>
      <c r="G24" s="73" t="s">
        <v>194</v>
      </c>
      <c r="H24" s="73">
        <v>1050581</v>
      </c>
      <c r="I24" s="76" t="s">
        <v>55</v>
      </c>
      <c r="J24" s="76" t="s">
        <v>157</v>
      </c>
      <c r="K24" s="73" t="s">
        <v>48</v>
      </c>
      <c r="L24" s="81" t="s">
        <v>3</v>
      </c>
    </row>
    <row r="25" spans="1:12">
      <c r="A25" s="72">
        <v>13899407</v>
      </c>
      <c r="B25" s="72" t="s">
        <v>195</v>
      </c>
      <c r="C25" s="73" t="s">
        <v>191</v>
      </c>
      <c r="D25" s="73" t="s">
        <v>110</v>
      </c>
      <c r="E25" s="73" t="s">
        <v>196</v>
      </c>
      <c r="F25" s="73" t="s">
        <v>197</v>
      </c>
      <c r="G25" s="73" t="s">
        <v>198</v>
      </c>
      <c r="H25" s="73">
        <v>1050127</v>
      </c>
      <c r="I25" s="76" t="s">
        <v>55</v>
      </c>
      <c r="J25" s="76" t="s">
        <v>157</v>
      </c>
      <c r="K25" s="73" t="s">
        <v>48</v>
      </c>
      <c r="L25" s="81" t="s">
        <v>4</v>
      </c>
    </row>
    <row r="26" spans="1:12">
      <c r="A26" s="72">
        <v>10116815</v>
      </c>
      <c r="B26" s="72" t="s">
        <v>199</v>
      </c>
      <c r="C26" s="73" t="s">
        <v>200</v>
      </c>
      <c r="D26" s="73" t="s">
        <v>43</v>
      </c>
      <c r="E26" s="73" t="s">
        <v>201</v>
      </c>
      <c r="F26" s="73" t="s">
        <v>202</v>
      </c>
      <c r="G26" s="73" t="s">
        <v>203</v>
      </c>
      <c r="H26" s="73">
        <v>1050127</v>
      </c>
      <c r="I26" s="76" t="s">
        <v>55</v>
      </c>
      <c r="J26" s="76" t="s">
        <v>157</v>
      </c>
      <c r="K26" s="73" t="s">
        <v>48</v>
      </c>
      <c r="L26" s="81" t="s">
        <v>3</v>
      </c>
    </row>
    <row r="27" spans="1:12">
      <c r="A27" s="72">
        <v>6933508</v>
      </c>
      <c r="B27" s="72" t="s">
        <v>204</v>
      </c>
      <c r="C27" s="73" t="s">
        <v>205</v>
      </c>
      <c r="D27" s="73" t="s">
        <v>206</v>
      </c>
      <c r="E27" s="73" t="s">
        <v>207</v>
      </c>
      <c r="F27" s="73" t="s">
        <v>208</v>
      </c>
      <c r="G27" s="74" t="s">
        <v>209</v>
      </c>
      <c r="H27" s="73">
        <v>1050616</v>
      </c>
      <c r="I27" s="80" t="s">
        <v>114</v>
      </c>
      <c r="J27" s="80" t="s">
        <v>93</v>
      </c>
      <c r="K27" s="73" t="s">
        <v>48</v>
      </c>
      <c r="L27" s="78" t="s">
        <v>4</v>
      </c>
    </row>
    <row r="28" spans="1:12">
      <c r="A28" s="72">
        <v>16441340</v>
      </c>
      <c r="B28" s="72" t="s">
        <v>210</v>
      </c>
      <c r="C28" s="73" t="s">
        <v>211</v>
      </c>
      <c r="D28" s="73" t="s">
        <v>212</v>
      </c>
      <c r="E28" s="73" t="s">
        <v>213</v>
      </c>
      <c r="F28" s="73" t="s">
        <v>214</v>
      </c>
      <c r="G28" s="73" t="s">
        <v>215</v>
      </c>
      <c r="H28" s="73">
        <v>1050633</v>
      </c>
      <c r="I28" s="76" t="s">
        <v>55</v>
      </c>
      <c r="J28" s="76" t="s">
        <v>157</v>
      </c>
      <c r="K28" s="73" t="s">
        <v>48</v>
      </c>
      <c r="L28" s="81" t="s">
        <v>3</v>
      </c>
    </row>
    <row r="29" spans="1:12">
      <c r="A29" s="72">
        <v>14095347</v>
      </c>
      <c r="B29" s="72" t="s">
        <v>216</v>
      </c>
      <c r="C29" s="73" t="s">
        <v>217</v>
      </c>
      <c r="D29" s="73" t="s">
        <v>218</v>
      </c>
      <c r="E29" s="73" t="s">
        <v>219</v>
      </c>
      <c r="F29" s="73" t="s">
        <v>220</v>
      </c>
      <c r="G29" s="73" t="s">
        <v>221</v>
      </c>
      <c r="H29" s="73">
        <v>1050574</v>
      </c>
      <c r="I29" s="80" t="s">
        <v>71</v>
      </c>
      <c r="J29" s="80" t="s">
        <v>72</v>
      </c>
      <c r="K29" s="73" t="s">
        <v>48</v>
      </c>
      <c r="L29" s="78" t="s">
        <v>3</v>
      </c>
    </row>
    <row r="30" spans="1:12">
      <c r="A30" s="72">
        <v>12674806</v>
      </c>
      <c r="B30" s="72" t="s">
        <v>222</v>
      </c>
      <c r="C30" s="73" t="s">
        <v>223</v>
      </c>
      <c r="D30" s="73" t="s">
        <v>224</v>
      </c>
      <c r="E30" s="73" t="s">
        <v>225</v>
      </c>
      <c r="F30" s="73" t="s">
        <v>226</v>
      </c>
      <c r="G30" s="73" t="s">
        <v>227</v>
      </c>
      <c r="H30" s="73">
        <v>1050556</v>
      </c>
      <c r="I30" s="76" t="s">
        <v>188</v>
      </c>
      <c r="J30" s="76" t="s">
        <v>189</v>
      </c>
      <c r="K30" s="73" t="s">
        <v>48</v>
      </c>
      <c r="L30" s="78" t="s">
        <v>4</v>
      </c>
    </row>
    <row r="31" spans="1:12">
      <c r="A31" s="72">
        <v>8454836</v>
      </c>
      <c r="B31" s="72" t="s">
        <v>228</v>
      </c>
      <c r="C31" s="73" t="s">
        <v>229</v>
      </c>
      <c r="D31" s="73" t="s">
        <v>177</v>
      </c>
      <c r="E31" s="73" t="s">
        <v>230</v>
      </c>
      <c r="F31" s="73" t="s">
        <v>231</v>
      </c>
      <c r="G31" s="73" t="s">
        <v>232</v>
      </c>
      <c r="H31" s="73">
        <v>1050127</v>
      </c>
      <c r="I31" s="76" t="s">
        <v>55</v>
      </c>
      <c r="J31" s="76" t="s">
        <v>157</v>
      </c>
      <c r="K31" s="73" t="s">
        <v>48</v>
      </c>
      <c r="L31" s="81" t="s">
        <v>57</v>
      </c>
    </row>
    <row r="32" spans="1:12">
      <c r="A32" s="72">
        <v>9832710</v>
      </c>
      <c r="B32" s="72" t="s">
        <v>233</v>
      </c>
      <c r="C32" s="73" t="s">
        <v>234</v>
      </c>
      <c r="D32" s="73" t="s">
        <v>235</v>
      </c>
      <c r="E32" s="73" t="s">
        <v>236</v>
      </c>
      <c r="F32" s="73" t="s">
        <v>237</v>
      </c>
      <c r="G32" s="73" t="s">
        <v>238</v>
      </c>
      <c r="H32" s="73">
        <v>1050127</v>
      </c>
      <c r="I32" s="76" t="s">
        <v>55</v>
      </c>
      <c r="J32" s="76" t="s">
        <v>157</v>
      </c>
      <c r="K32" s="73" t="s">
        <v>48</v>
      </c>
      <c r="L32" s="81" t="s">
        <v>3</v>
      </c>
    </row>
    <row r="33" spans="1:13">
      <c r="A33" s="72">
        <v>12410690</v>
      </c>
      <c r="B33" s="72" t="s">
        <v>239</v>
      </c>
      <c r="C33" s="73" t="s">
        <v>240</v>
      </c>
      <c r="D33" s="73" t="s">
        <v>241</v>
      </c>
      <c r="E33" s="73" t="s">
        <v>242</v>
      </c>
      <c r="F33" s="73" t="s">
        <v>243</v>
      </c>
      <c r="G33" s="73" t="s">
        <v>244</v>
      </c>
      <c r="H33" s="82">
        <v>1050554</v>
      </c>
      <c r="I33" s="76" t="s">
        <v>26</v>
      </c>
      <c r="J33" s="76" t="s">
        <v>93</v>
      </c>
      <c r="K33" s="73" t="s">
        <v>48</v>
      </c>
      <c r="L33" s="78" t="s">
        <v>3</v>
      </c>
    </row>
    <row r="34" spans="1:13">
      <c r="A34" s="72">
        <v>8360971</v>
      </c>
      <c r="B34" s="72" t="s">
        <v>245</v>
      </c>
      <c r="C34" s="73" t="s">
        <v>246</v>
      </c>
      <c r="D34" s="73" t="s">
        <v>247</v>
      </c>
      <c r="E34" s="73" t="s">
        <v>248</v>
      </c>
      <c r="F34" s="73" t="s">
        <v>249</v>
      </c>
      <c r="G34" s="73" t="s">
        <v>250</v>
      </c>
      <c r="H34" s="82">
        <v>1050554</v>
      </c>
      <c r="I34" s="76" t="s">
        <v>26</v>
      </c>
      <c r="J34" s="76" t="s">
        <v>189</v>
      </c>
      <c r="K34" s="73" t="s">
        <v>48</v>
      </c>
      <c r="L34" s="78" t="s">
        <v>4</v>
      </c>
    </row>
    <row r="35" spans="1:13">
      <c r="A35" s="72">
        <v>16695463</v>
      </c>
      <c r="B35" s="72" t="s">
        <v>251</v>
      </c>
      <c r="C35" s="73" t="s">
        <v>252</v>
      </c>
      <c r="D35" s="73" t="s">
        <v>253</v>
      </c>
      <c r="E35" s="73" t="s">
        <v>254</v>
      </c>
      <c r="F35" s="73" t="s">
        <v>255</v>
      </c>
      <c r="G35" s="73" t="s">
        <v>256</v>
      </c>
      <c r="H35" s="83">
        <v>1050616</v>
      </c>
      <c r="I35" s="80" t="s">
        <v>114</v>
      </c>
      <c r="J35" s="80" t="s">
        <v>47</v>
      </c>
      <c r="K35" s="73" t="s">
        <v>48</v>
      </c>
      <c r="L35" s="78" t="s">
        <v>3</v>
      </c>
    </row>
    <row r="36" spans="1:13">
      <c r="A36" s="72">
        <v>8465592</v>
      </c>
      <c r="B36" s="72" t="s">
        <v>257</v>
      </c>
      <c r="C36" s="73" t="s">
        <v>258</v>
      </c>
      <c r="D36" s="73" t="s">
        <v>259</v>
      </c>
      <c r="E36" s="73" t="s">
        <v>260</v>
      </c>
      <c r="F36" s="73" t="s">
        <v>261</v>
      </c>
      <c r="G36" s="73" t="s">
        <v>262</v>
      </c>
      <c r="H36" s="82">
        <v>1050574</v>
      </c>
      <c r="I36" s="80" t="s">
        <v>71</v>
      </c>
      <c r="J36" s="80" t="s">
        <v>72</v>
      </c>
      <c r="K36" s="73" t="s">
        <v>48</v>
      </c>
      <c r="L36" s="78" t="s">
        <v>4</v>
      </c>
    </row>
    <row r="37" spans="1:13">
      <c r="A37" s="72">
        <v>17542884</v>
      </c>
      <c r="B37" s="72" t="s">
        <v>263</v>
      </c>
      <c r="C37" s="84" t="s">
        <v>264</v>
      </c>
      <c r="D37" s="84" t="s">
        <v>265</v>
      </c>
      <c r="E37" s="84" t="s">
        <v>266</v>
      </c>
      <c r="F37" s="84" t="s">
        <v>267</v>
      </c>
      <c r="G37" s="84" t="s">
        <v>268</v>
      </c>
      <c r="H37" s="82">
        <v>1050529</v>
      </c>
      <c r="I37" s="76" t="s">
        <v>269</v>
      </c>
      <c r="J37" s="76" t="s">
        <v>269</v>
      </c>
      <c r="K37" s="73" t="s">
        <v>48</v>
      </c>
      <c r="L37" s="85" t="s">
        <v>57</v>
      </c>
      <c r="M37" s="71" t="s">
        <v>270</v>
      </c>
    </row>
    <row r="38" spans="1:13">
      <c r="A38" s="72">
        <v>7717451</v>
      </c>
      <c r="B38" s="72" t="s">
        <v>271</v>
      </c>
      <c r="C38" s="73" t="s">
        <v>272</v>
      </c>
      <c r="D38" s="73" t="s">
        <v>96</v>
      </c>
      <c r="E38" s="73" t="s">
        <v>273</v>
      </c>
      <c r="F38" s="73" t="s">
        <v>274</v>
      </c>
      <c r="G38" s="73" t="s">
        <v>275</v>
      </c>
      <c r="H38" s="82">
        <v>1050557</v>
      </c>
      <c r="I38" s="76" t="s">
        <v>276</v>
      </c>
      <c r="J38" s="76" t="s">
        <v>277</v>
      </c>
      <c r="K38" s="73" t="s">
        <v>48</v>
      </c>
      <c r="L38" s="78" t="s">
        <v>3</v>
      </c>
    </row>
    <row r="39" spans="1:13">
      <c r="A39" s="72">
        <v>15702200</v>
      </c>
      <c r="B39" s="72" t="s">
        <v>278</v>
      </c>
      <c r="C39" s="73" t="s">
        <v>272</v>
      </c>
      <c r="D39" s="73" t="s">
        <v>88</v>
      </c>
      <c r="E39" s="73" t="s">
        <v>279</v>
      </c>
      <c r="F39" s="73" t="s">
        <v>280</v>
      </c>
      <c r="G39" s="73" t="s">
        <v>281</v>
      </c>
      <c r="H39" s="83">
        <v>1050610</v>
      </c>
      <c r="I39" s="86" t="s">
        <v>92</v>
      </c>
      <c r="J39" s="76" t="s">
        <v>93</v>
      </c>
      <c r="K39" s="73" t="s">
        <v>48</v>
      </c>
      <c r="L39" s="78"/>
    </row>
    <row r="40" spans="1:13">
      <c r="A40" s="72">
        <v>7816535</v>
      </c>
      <c r="B40" s="72" t="s">
        <v>282</v>
      </c>
      <c r="C40" s="84" t="s">
        <v>283</v>
      </c>
      <c r="D40" s="84" t="s">
        <v>284</v>
      </c>
      <c r="E40" s="84" t="s">
        <v>285</v>
      </c>
      <c r="F40" s="84" t="s">
        <v>286</v>
      </c>
      <c r="G40" s="87" t="s">
        <v>287</v>
      </c>
      <c r="H40" s="82">
        <v>1050529</v>
      </c>
      <c r="I40" s="76" t="s">
        <v>114</v>
      </c>
      <c r="J40" s="76" t="s">
        <v>189</v>
      </c>
      <c r="K40" s="73" t="s">
        <v>48</v>
      </c>
      <c r="L40" s="78" t="s">
        <v>3</v>
      </c>
    </row>
    <row r="41" spans="1:13">
      <c r="A41" s="72">
        <v>13486775</v>
      </c>
      <c r="B41" s="72" t="s">
        <v>288</v>
      </c>
      <c r="C41" s="88" t="s">
        <v>289</v>
      </c>
      <c r="D41" s="88" t="s">
        <v>290</v>
      </c>
      <c r="E41" s="88" t="s">
        <v>291</v>
      </c>
      <c r="F41" s="88" t="s">
        <v>292</v>
      </c>
      <c r="G41" s="88" t="s">
        <v>293</v>
      </c>
      <c r="H41" s="82">
        <v>1050610</v>
      </c>
      <c r="I41" s="80" t="s">
        <v>92</v>
      </c>
      <c r="J41" s="80" t="s">
        <v>93</v>
      </c>
      <c r="K41" s="73" t="s">
        <v>48</v>
      </c>
      <c r="L41" s="78"/>
    </row>
    <row r="42" spans="1:13">
      <c r="A42" s="72">
        <v>11660411</v>
      </c>
      <c r="B42" s="72" t="s">
        <v>294</v>
      </c>
      <c r="C42" s="73" t="s">
        <v>295</v>
      </c>
      <c r="D42" s="73" t="s">
        <v>296</v>
      </c>
      <c r="E42" s="73" t="s">
        <v>297</v>
      </c>
      <c r="F42" s="73" t="s">
        <v>298</v>
      </c>
      <c r="G42" s="73" t="s">
        <v>299</v>
      </c>
      <c r="H42" s="73">
        <v>1050581</v>
      </c>
      <c r="I42" s="76" t="s">
        <v>55</v>
      </c>
      <c r="J42" s="76" t="s">
        <v>300</v>
      </c>
      <c r="K42" s="73" t="s">
        <v>48</v>
      </c>
      <c r="L42" s="81" t="s">
        <v>57</v>
      </c>
    </row>
    <row r="43" spans="1:13">
      <c r="A43" s="72">
        <v>11523492</v>
      </c>
      <c r="B43" s="72" t="s">
        <v>301</v>
      </c>
      <c r="C43" s="73" t="s">
        <v>295</v>
      </c>
      <c r="D43" s="73" t="s">
        <v>224</v>
      </c>
      <c r="E43" s="73" t="s">
        <v>302</v>
      </c>
      <c r="F43" s="73" t="s">
        <v>303</v>
      </c>
      <c r="G43" s="73" t="s">
        <v>304</v>
      </c>
      <c r="H43" s="73">
        <v>1050616</v>
      </c>
      <c r="I43" s="80" t="s">
        <v>114</v>
      </c>
      <c r="J43" s="80" t="s">
        <v>115</v>
      </c>
      <c r="K43" s="73" t="s">
        <v>48</v>
      </c>
      <c r="L43" s="78" t="s">
        <v>4</v>
      </c>
    </row>
    <row r="44" spans="1:13">
      <c r="A44" s="72">
        <v>11268136</v>
      </c>
      <c r="B44" s="72" t="s">
        <v>305</v>
      </c>
      <c r="C44" s="73" t="s">
        <v>306</v>
      </c>
      <c r="D44" s="73" t="s">
        <v>66</v>
      </c>
      <c r="E44" s="73" t="s">
        <v>307</v>
      </c>
      <c r="F44" s="73" t="s">
        <v>308</v>
      </c>
      <c r="G44" s="73" t="s">
        <v>309</v>
      </c>
      <c r="H44" s="75">
        <v>1050610</v>
      </c>
      <c r="I44" s="86" t="s">
        <v>92</v>
      </c>
      <c r="J44" s="76" t="s">
        <v>174</v>
      </c>
      <c r="K44" s="73" t="s">
        <v>48</v>
      </c>
      <c r="L44" s="78" t="s">
        <v>57</v>
      </c>
    </row>
    <row r="45" spans="1:13">
      <c r="A45" s="72">
        <v>11347053</v>
      </c>
      <c r="B45" s="72" t="s">
        <v>310</v>
      </c>
      <c r="C45" s="73" t="s">
        <v>311</v>
      </c>
      <c r="D45" s="73" t="s">
        <v>312</v>
      </c>
      <c r="E45" s="73" t="s">
        <v>313</v>
      </c>
      <c r="F45" s="73" t="s">
        <v>314</v>
      </c>
      <c r="G45" s="73" t="s">
        <v>315</v>
      </c>
      <c r="H45" s="73">
        <v>1050506</v>
      </c>
      <c r="I45" s="76" t="s">
        <v>55</v>
      </c>
      <c r="J45" s="76" t="s">
        <v>79</v>
      </c>
      <c r="K45" s="73" t="s">
        <v>48</v>
      </c>
      <c r="L45" s="81" t="s">
        <v>57</v>
      </c>
    </row>
    <row r="46" spans="1:13">
      <c r="A46" s="72">
        <v>7815607</v>
      </c>
      <c r="B46" s="72" t="s">
        <v>316</v>
      </c>
      <c r="C46" s="73" t="s">
        <v>317</v>
      </c>
      <c r="D46" s="73" t="s">
        <v>318</v>
      </c>
      <c r="E46" s="73" t="s">
        <v>319</v>
      </c>
      <c r="F46" s="73" t="s">
        <v>320</v>
      </c>
      <c r="G46" s="73" t="s">
        <v>321</v>
      </c>
      <c r="H46" s="73">
        <v>1050633</v>
      </c>
      <c r="I46" s="76" t="s">
        <v>55</v>
      </c>
      <c r="J46" s="76" t="s">
        <v>157</v>
      </c>
      <c r="K46" s="73" t="s">
        <v>48</v>
      </c>
      <c r="L46" s="81" t="s">
        <v>3</v>
      </c>
    </row>
    <row r="47" spans="1:13">
      <c r="A47" s="72">
        <v>6143912</v>
      </c>
      <c r="B47" s="72" t="s">
        <v>322</v>
      </c>
      <c r="C47" s="73" t="s">
        <v>323</v>
      </c>
      <c r="D47" s="73" t="s">
        <v>324</v>
      </c>
      <c r="E47" s="73" t="s">
        <v>325</v>
      </c>
      <c r="F47" s="73" t="s">
        <v>326</v>
      </c>
      <c r="G47" s="73" t="s">
        <v>327</v>
      </c>
      <c r="H47" s="75">
        <v>1050632</v>
      </c>
      <c r="I47" s="76" t="s">
        <v>328</v>
      </c>
      <c r="J47" s="76" t="s">
        <v>328</v>
      </c>
      <c r="K47" s="73" t="s">
        <v>48</v>
      </c>
      <c r="L47" s="85" t="s">
        <v>3</v>
      </c>
    </row>
    <row r="48" spans="1:13">
      <c r="A48" s="72">
        <v>14181387</v>
      </c>
      <c r="B48" s="72" t="s">
        <v>329</v>
      </c>
      <c r="C48" s="73" t="s">
        <v>330</v>
      </c>
      <c r="D48" s="73" t="s">
        <v>331</v>
      </c>
      <c r="E48" s="73" t="s">
        <v>332</v>
      </c>
      <c r="F48" s="73" t="s">
        <v>333</v>
      </c>
      <c r="G48" s="73" t="s">
        <v>334</v>
      </c>
      <c r="H48" s="73">
        <v>1050127</v>
      </c>
      <c r="I48" s="76" t="s">
        <v>55</v>
      </c>
      <c r="J48" s="76" t="s">
        <v>64</v>
      </c>
      <c r="K48" s="73" t="s">
        <v>48</v>
      </c>
      <c r="L48" s="81" t="s">
        <v>4</v>
      </c>
    </row>
    <row r="49" spans="1:13">
      <c r="A49" s="72">
        <v>7944613</v>
      </c>
      <c r="B49" s="72" t="s">
        <v>335</v>
      </c>
      <c r="C49" s="73" t="s">
        <v>206</v>
      </c>
      <c r="D49" s="73" t="s">
        <v>336</v>
      </c>
      <c r="E49" s="73" t="s">
        <v>337</v>
      </c>
      <c r="F49" s="73" t="s">
        <v>338</v>
      </c>
      <c r="G49" s="73" t="s">
        <v>339</v>
      </c>
      <c r="H49" s="73">
        <v>1050126</v>
      </c>
      <c r="I49" s="76" t="s">
        <v>55</v>
      </c>
      <c r="J49" s="76" t="s">
        <v>56</v>
      </c>
      <c r="K49" s="73" t="s">
        <v>48</v>
      </c>
      <c r="L49" s="81" t="s">
        <v>57</v>
      </c>
    </row>
    <row r="50" spans="1:13">
      <c r="A50" s="72">
        <v>14595059</v>
      </c>
      <c r="B50" s="72" t="s">
        <v>340</v>
      </c>
      <c r="C50" s="73" t="s">
        <v>206</v>
      </c>
      <c r="D50" s="73" t="s">
        <v>341</v>
      </c>
      <c r="E50" s="73" t="s">
        <v>342</v>
      </c>
      <c r="F50" s="73" t="s">
        <v>343</v>
      </c>
      <c r="G50" s="73" t="s">
        <v>344</v>
      </c>
      <c r="H50" s="73">
        <v>1050616</v>
      </c>
      <c r="I50" s="80" t="s">
        <v>114</v>
      </c>
      <c r="J50" s="76" t="s">
        <v>174</v>
      </c>
      <c r="K50" s="73" t="s">
        <v>48</v>
      </c>
      <c r="L50" s="78" t="s">
        <v>57</v>
      </c>
    </row>
    <row r="51" spans="1:13">
      <c r="A51" s="72">
        <v>10874066</v>
      </c>
      <c r="B51" s="72" t="s">
        <v>345</v>
      </c>
      <c r="C51" s="73" t="s">
        <v>206</v>
      </c>
      <c r="D51" s="73" t="s">
        <v>346</v>
      </c>
      <c r="E51" s="73" t="s">
        <v>119</v>
      </c>
      <c r="F51" s="73" t="s">
        <v>347</v>
      </c>
      <c r="G51" s="73" t="s">
        <v>348</v>
      </c>
      <c r="H51" s="73">
        <v>1050552</v>
      </c>
      <c r="I51" s="76" t="s">
        <v>349</v>
      </c>
      <c r="J51" s="76" t="s">
        <v>93</v>
      </c>
      <c r="K51" s="73" t="s">
        <v>48</v>
      </c>
      <c r="L51" s="78" t="s">
        <v>3</v>
      </c>
    </row>
    <row r="52" spans="1:13">
      <c r="A52" s="72">
        <v>11394356</v>
      </c>
      <c r="B52" s="72" t="s">
        <v>350</v>
      </c>
      <c r="C52" s="73" t="s">
        <v>206</v>
      </c>
      <c r="D52" s="73" t="s">
        <v>60</v>
      </c>
      <c r="E52" s="73" t="s">
        <v>351</v>
      </c>
      <c r="F52" s="73" t="s">
        <v>352</v>
      </c>
      <c r="G52" s="73" t="s">
        <v>353</v>
      </c>
      <c r="H52" s="73">
        <v>1050616</v>
      </c>
      <c r="I52" s="80" t="s">
        <v>114</v>
      </c>
      <c r="J52" s="76" t="s">
        <v>174</v>
      </c>
      <c r="K52" s="73" t="s">
        <v>48</v>
      </c>
      <c r="L52" s="78" t="s">
        <v>3</v>
      </c>
    </row>
    <row r="53" spans="1:13">
      <c r="A53" s="72">
        <v>11165105</v>
      </c>
      <c r="B53" s="72" t="s">
        <v>354</v>
      </c>
      <c r="C53" s="73" t="s">
        <v>206</v>
      </c>
      <c r="D53" s="73" t="s">
        <v>355</v>
      </c>
      <c r="E53" s="73" t="s">
        <v>356</v>
      </c>
      <c r="F53" s="73" t="s">
        <v>357</v>
      </c>
      <c r="G53" s="73" t="s">
        <v>358</v>
      </c>
      <c r="H53" s="73">
        <v>1050552</v>
      </c>
      <c r="I53" s="76" t="s">
        <v>349</v>
      </c>
      <c r="J53" s="76" t="s">
        <v>174</v>
      </c>
      <c r="K53" s="73" t="s">
        <v>48</v>
      </c>
      <c r="L53" s="78" t="s">
        <v>4</v>
      </c>
    </row>
    <row r="54" spans="1:13">
      <c r="A54" s="72">
        <v>17929108</v>
      </c>
      <c r="B54" s="72" t="s">
        <v>359</v>
      </c>
      <c r="C54" s="73" t="s">
        <v>360</v>
      </c>
      <c r="D54" s="73" t="s">
        <v>361</v>
      </c>
      <c r="E54" s="73" t="s">
        <v>362</v>
      </c>
      <c r="F54" s="73" t="s">
        <v>363</v>
      </c>
      <c r="G54" s="73" t="s">
        <v>364</v>
      </c>
      <c r="H54" s="73">
        <v>1050529</v>
      </c>
      <c r="I54" s="76" t="s">
        <v>269</v>
      </c>
      <c r="J54" s="76" t="s">
        <v>269</v>
      </c>
      <c r="K54" s="73" t="s">
        <v>48</v>
      </c>
      <c r="L54" s="85" t="s">
        <v>57</v>
      </c>
      <c r="M54" s="71" t="s">
        <v>365</v>
      </c>
    </row>
    <row r="55" spans="1:13">
      <c r="A55" s="72">
        <v>5267317</v>
      </c>
      <c r="B55" s="72" t="s">
        <v>366</v>
      </c>
      <c r="C55" s="73" t="s">
        <v>367</v>
      </c>
      <c r="D55" s="73" t="s">
        <v>169</v>
      </c>
      <c r="E55" s="73" t="s">
        <v>368</v>
      </c>
      <c r="F55" s="73" t="s">
        <v>369</v>
      </c>
      <c r="G55" s="73" t="s">
        <v>370</v>
      </c>
      <c r="H55" s="73">
        <v>1050127</v>
      </c>
      <c r="I55" s="76" t="s">
        <v>55</v>
      </c>
      <c r="J55" s="76" t="s">
        <v>64</v>
      </c>
      <c r="K55" s="73" t="s">
        <v>48</v>
      </c>
      <c r="L55" s="81" t="s">
        <v>3</v>
      </c>
    </row>
    <row r="56" spans="1:13">
      <c r="A56" s="72">
        <v>14336328</v>
      </c>
      <c r="B56" s="72" t="s">
        <v>371</v>
      </c>
      <c r="C56" s="73" t="s">
        <v>372</v>
      </c>
      <c r="D56" s="73" t="s">
        <v>346</v>
      </c>
      <c r="E56" s="73" t="s">
        <v>373</v>
      </c>
      <c r="F56" s="73" t="s">
        <v>374</v>
      </c>
      <c r="G56" s="73" t="s">
        <v>375</v>
      </c>
      <c r="H56" s="73">
        <v>1050552</v>
      </c>
      <c r="I56" s="76" t="s">
        <v>349</v>
      </c>
      <c r="J56" s="76" t="s">
        <v>189</v>
      </c>
      <c r="K56" s="73" t="s">
        <v>48</v>
      </c>
      <c r="L56" s="78" t="s">
        <v>4</v>
      </c>
    </row>
    <row r="57" spans="1:13">
      <c r="A57" s="72">
        <v>9957527</v>
      </c>
      <c r="B57" s="72" t="s">
        <v>376</v>
      </c>
      <c r="C57" s="73" t="s">
        <v>372</v>
      </c>
      <c r="D57" s="73" t="s">
        <v>60</v>
      </c>
      <c r="E57" s="73" t="s">
        <v>377</v>
      </c>
      <c r="F57" s="73" t="s">
        <v>378</v>
      </c>
      <c r="G57" s="73" t="s">
        <v>379</v>
      </c>
      <c r="H57" s="73">
        <v>1050616</v>
      </c>
      <c r="I57" s="80" t="s">
        <v>114</v>
      </c>
      <c r="J57" s="80" t="s">
        <v>93</v>
      </c>
      <c r="K57" s="73" t="s">
        <v>48</v>
      </c>
      <c r="L57" s="78" t="s">
        <v>57</v>
      </c>
    </row>
    <row r="58" spans="1:13">
      <c r="A58" s="72">
        <v>6326657</v>
      </c>
      <c r="B58" s="72" t="s">
        <v>380</v>
      </c>
      <c r="C58" s="73" t="s">
        <v>372</v>
      </c>
      <c r="D58" s="73" t="s">
        <v>381</v>
      </c>
      <c r="E58" s="73" t="s">
        <v>382</v>
      </c>
      <c r="F58" s="73" t="s">
        <v>383</v>
      </c>
      <c r="G58" s="73" t="s">
        <v>384</v>
      </c>
      <c r="H58" s="75">
        <v>1050616</v>
      </c>
      <c r="I58" s="80" t="s">
        <v>114</v>
      </c>
      <c r="J58" s="80" t="s">
        <v>93</v>
      </c>
      <c r="K58" s="73" t="s">
        <v>48</v>
      </c>
      <c r="L58" s="78" t="s">
        <v>3</v>
      </c>
    </row>
    <row r="59" spans="1:13">
      <c r="A59" s="72">
        <v>11267594</v>
      </c>
      <c r="B59" s="72" t="s">
        <v>385</v>
      </c>
      <c r="C59" s="73" t="s">
        <v>386</v>
      </c>
      <c r="D59" s="73" t="s">
        <v>387</v>
      </c>
      <c r="E59" s="73" t="s">
        <v>388</v>
      </c>
      <c r="F59" s="73" t="s">
        <v>389</v>
      </c>
      <c r="G59" s="73" t="s">
        <v>390</v>
      </c>
      <c r="H59" s="73">
        <v>1050581</v>
      </c>
      <c r="I59" s="76" t="s">
        <v>55</v>
      </c>
      <c r="J59" s="76" t="s">
        <v>300</v>
      </c>
      <c r="K59" s="73" t="s">
        <v>48</v>
      </c>
      <c r="L59" s="81" t="s">
        <v>3</v>
      </c>
    </row>
    <row r="60" spans="1:13">
      <c r="A60" s="72">
        <v>8161344</v>
      </c>
      <c r="B60" s="72" t="s">
        <v>391</v>
      </c>
      <c r="C60" s="73" t="s">
        <v>392</v>
      </c>
      <c r="D60" s="73" t="s">
        <v>392</v>
      </c>
      <c r="E60" s="73" t="s">
        <v>393</v>
      </c>
      <c r="F60" s="73" t="s">
        <v>394</v>
      </c>
      <c r="G60" s="74" t="s">
        <v>395</v>
      </c>
      <c r="H60" s="73">
        <v>1050552</v>
      </c>
      <c r="I60" s="76" t="s">
        <v>349</v>
      </c>
      <c r="J60" s="76" t="s">
        <v>174</v>
      </c>
      <c r="K60" s="73" t="s">
        <v>48</v>
      </c>
      <c r="L60" s="78" t="s">
        <v>3</v>
      </c>
    </row>
    <row r="61" spans="1:13">
      <c r="A61" s="72">
        <v>11914799</v>
      </c>
      <c r="B61" s="72" t="s">
        <v>396</v>
      </c>
      <c r="C61" s="73" t="s">
        <v>397</v>
      </c>
      <c r="D61" s="73" t="s">
        <v>398</v>
      </c>
      <c r="E61" s="73" t="s">
        <v>368</v>
      </c>
      <c r="F61" s="73" t="s">
        <v>399</v>
      </c>
      <c r="G61" s="73" t="s">
        <v>400</v>
      </c>
      <c r="H61" s="73">
        <v>1050610</v>
      </c>
      <c r="I61" s="80" t="s">
        <v>92</v>
      </c>
      <c r="J61" s="80" t="s">
        <v>93</v>
      </c>
      <c r="K61" s="73" t="s">
        <v>48</v>
      </c>
      <c r="L61" s="78" t="s">
        <v>4</v>
      </c>
    </row>
    <row r="62" spans="1:13">
      <c r="A62" s="72">
        <v>16031949</v>
      </c>
      <c r="B62" s="72" t="s">
        <v>401</v>
      </c>
      <c r="C62" s="73" t="s">
        <v>386</v>
      </c>
      <c r="D62" s="73" t="s">
        <v>387</v>
      </c>
      <c r="E62" s="73" t="s">
        <v>402</v>
      </c>
      <c r="F62" s="73" t="s">
        <v>403</v>
      </c>
      <c r="G62" s="73" t="s">
        <v>404</v>
      </c>
      <c r="H62" s="73">
        <v>1050581</v>
      </c>
      <c r="I62" s="76" t="s">
        <v>55</v>
      </c>
      <c r="J62" s="76" t="s">
        <v>157</v>
      </c>
      <c r="K62" s="73" t="s">
        <v>48</v>
      </c>
      <c r="L62" s="85" t="s">
        <v>3</v>
      </c>
    </row>
    <row r="63" spans="1:13">
      <c r="A63" s="72">
        <v>5080993</v>
      </c>
      <c r="B63" s="72" t="s">
        <v>405</v>
      </c>
      <c r="C63" s="73" t="s">
        <v>406</v>
      </c>
      <c r="D63" s="73" t="s">
        <v>407</v>
      </c>
      <c r="E63" s="73" t="s">
        <v>285</v>
      </c>
      <c r="F63" s="73" t="s">
        <v>408</v>
      </c>
      <c r="G63" s="73" t="s">
        <v>409</v>
      </c>
      <c r="H63" s="73">
        <v>1050126</v>
      </c>
      <c r="I63" s="76" t="s">
        <v>55</v>
      </c>
      <c r="J63" s="76" t="s">
        <v>56</v>
      </c>
      <c r="K63" s="73" t="s">
        <v>48</v>
      </c>
      <c r="L63" s="81" t="s">
        <v>3</v>
      </c>
    </row>
    <row r="64" spans="1:13">
      <c r="A64" s="72">
        <v>5989878</v>
      </c>
      <c r="B64" s="72" t="s">
        <v>410</v>
      </c>
      <c r="C64" s="73" t="s">
        <v>406</v>
      </c>
      <c r="D64" s="73" t="s">
        <v>411</v>
      </c>
      <c r="E64" s="73" t="s">
        <v>412</v>
      </c>
      <c r="F64" s="73" t="s">
        <v>413</v>
      </c>
      <c r="G64" s="73" t="s">
        <v>414</v>
      </c>
      <c r="H64" s="73">
        <v>1050126</v>
      </c>
      <c r="I64" s="76" t="s">
        <v>55</v>
      </c>
      <c r="J64" s="76" t="s">
        <v>56</v>
      </c>
      <c r="K64" s="73" t="s">
        <v>48</v>
      </c>
      <c r="L64" s="81" t="s">
        <v>3</v>
      </c>
    </row>
    <row r="65" spans="1:12">
      <c r="A65" s="72">
        <v>5281950</v>
      </c>
      <c r="B65" s="72" t="s">
        <v>415</v>
      </c>
      <c r="C65" s="73" t="s">
        <v>142</v>
      </c>
      <c r="D65" s="73" t="s">
        <v>416</v>
      </c>
      <c r="E65" s="73" t="s">
        <v>417</v>
      </c>
      <c r="F65" s="73" t="s">
        <v>418</v>
      </c>
      <c r="G65" s="73" t="s">
        <v>419</v>
      </c>
      <c r="H65" s="73">
        <v>1050616</v>
      </c>
      <c r="I65" s="80" t="s">
        <v>114</v>
      </c>
      <c r="J65" s="80" t="s">
        <v>420</v>
      </c>
      <c r="K65" s="73" t="s">
        <v>48</v>
      </c>
      <c r="L65" s="78" t="s">
        <v>4</v>
      </c>
    </row>
    <row r="66" spans="1:12">
      <c r="A66" s="72">
        <v>6187914</v>
      </c>
      <c r="B66" s="72" t="s">
        <v>421</v>
      </c>
      <c r="C66" s="73" t="s">
        <v>142</v>
      </c>
      <c r="D66" s="73" t="s">
        <v>416</v>
      </c>
      <c r="E66" s="73" t="s">
        <v>422</v>
      </c>
      <c r="F66" s="73" t="s">
        <v>423</v>
      </c>
      <c r="G66" s="73" t="s">
        <v>424</v>
      </c>
      <c r="H66" s="73">
        <v>1050616</v>
      </c>
      <c r="I66" s="80" t="s">
        <v>114</v>
      </c>
      <c r="J66" s="80" t="s">
        <v>420</v>
      </c>
      <c r="K66" s="73" t="s">
        <v>48</v>
      </c>
      <c r="L66" s="78" t="s">
        <v>57</v>
      </c>
    </row>
    <row r="67" spans="1:12">
      <c r="A67" s="72">
        <v>7023216</v>
      </c>
      <c r="B67" s="72" t="s">
        <v>425</v>
      </c>
      <c r="C67" s="73" t="s">
        <v>426</v>
      </c>
      <c r="D67" s="73" t="s">
        <v>427</v>
      </c>
      <c r="E67" s="73" t="s">
        <v>428</v>
      </c>
      <c r="F67" s="73" t="s">
        <v>429</v>
      </c>
      <c r="G67" s="75" t="s">
        <v>430</v>
      </c>
      <c r="H67" s="73">
        <v>1050615</v>
      </c>
      <c r="I67" s="76" t="s">
        <v>114</v>
      </c>
      <c r="J67" s="80" t="s">
        <v>47</v>
      </c>
      <c r="K67" s="73" t="s">
        <v>48</v>
      </c>
      <c r="L67" s="78" t="s">
        <v>4</v>
      </c>
    </row>
    <row r="68" spans="1:12">
      <c r="A68" s="72">
        <v>8733235</v>
      </c>
      <c r="B68" s="72" t="s">
        <v>431</v>
      </c>
      <c r="C68" s="73" t="s">
        <v>426</v>
      </c>
      <c r="D68" s="73" t="s">
        <v>432</v>
      </c>
      <c r="E68" s="73" t="s">
        <v>433</v>
      </c>
      <c r="F68" s="73" t="s">
        <v>434</v>
      </c>
      <c r="G68" s="73" t="s">
        <v>435</v>
      </c>
      <c r="H68" s="73">
        <v>1050615</v>
      </c>
      <c r="I68" s="76" t="s">
        <v>114</v>
      </c>
      <c r="J68" s="76" t="s">
        <v>277</v>
      </c>
      <c r="K68" s="73" t="s">
        <v>48</v>
      </c>
      <c r="L68" s="78" t="s">
        <v>4</v>
      </c>
    </row>
    <row r="69" spans="1:12">
      <c r="A69" s="72">
        <v>5428350</v>
      </c>
      <c r="B69" s="72" t="s">
        <v>436</v>
      </c>
      <c r="C69" s="73" t="s">
        <v>437</v>
      </c>
      <c r="D69" s="73" t="s">
        <v>438</v>
      </c>
      <c r="E69" s="73" t="s">
        <v>439</v>
      </c>
      <c r="F69" s="73" t="s">
        <v>440</v>
      </c>
      <c r="G69" s="73" t="s">
        <v>441</v>
      </c>
      <c r="H69" s="73">
        <v>1050616</v>
      </c>
      <c r="I69" s="80" t="s">
        <v>114</v>
      </c>
      <c r="J69" s="80" t="s">
        <v>93</v>
      </c>
      <c r="K69" s="73" t="s">
        <v>48</v>
      </c>
      <c r="L69" s="78"/>
    </row>
    <row r="70" spans="1:12">
      <c r="A70" s="72">
        <v>16380095</v>
      </c>
      <c r="B70" s="72" t="s">
        <v>442</v>
      </c>
      <c r="C70" s="73" t="s">
        <v>443</v>
      </c>
      <c r="D70" s="73" t="s">
        <v>444</v>
      </c>
      <c r="E70" s="73" t="s">
        <v>445</v>
      </c>
      <c r="F70" s="73" t="s">
        <v>446</v>
      </c>
      <c r="G70" s="73" t="s">
        <v>447</v>
      </c>
      <c r="H70" s="73">
        <v>1050126</v>
      </c>
      <c r="I70" s="76" t="s">
        <v>55</v>
      </c>
      <c r="J70" s="76" t="s">
        <v>56</v>
      </c>
      <c r="K70" s="73" t="s">
        <v>48</v>
      </c>
      <c r="L70" s="85" t="s">
        <v>3</v>
      </c>
    </row>
    <row r="71" spans="1:12">
      <c r="A71" s="72">
        <v>9571017</v>
      </c>
      <c r="B71" s="72" t="s">
        <v>448</v>
      </c>
      <c r="C71" s="73" t="s">
        <v>449</v>
      </c>
      <c r="D71" s="73" t="s">
        <v>336</v>
      </c>
      <c r="E71" s="73" t="s">
        <v>450</v>
      </c>
      <c r="F71" s="73" t="s">
        <v>451</v>
      </c>
      <c r="G71" s="73" t="s">
        <v>452</v>
      </c>
      <c r="H71" s="73">
        <v>1050126</v>
      </c>
      <c r="I71" s="76" t="s">
        <v>55</v>
      </c>
      <c r="J71" s="76" t="s">
        <v>56</v>
      </c>
      <c r="K71" s="73" t="s">
        <v>48</v>
      </c>
      <c r="L71" s="81" t="s">
        <v>57</v>
      </c>
    </row>
    <row r="72" spans="1:12">
      <c r="A72" s="72">
        <v>16132065</v>
      </c>
      <c r="B72" s="72" t="s">
        <v>453</v>
      </c>
      <c r="C72" s="73" t="s">
        <v>449</v>
      </c>
      <c r="D72" s="73" t="s">
        <v>454</v>
      </c>
      <c r="E72" s="73" t="s">
        <v>455</v>
      </c>
      <c r="F72" s="73" t="s">
        <v>456</v>
      </c>
      <c r="G72" s="73" t="s">
        <v>457</v>
      </c>
      <c r="H72" s="73">
        <v>1050126</v>
      </c>
      <c r="I72" s="76" t="s">
        <v>55</v>
      </c>
      <c r="J72" s="76" t="s">
        <v>56</v>
      </c>
      <c r="K72" s="73" t="s">
        <v>48</v>
      </c>
      <c r="L72" s="81" t="s">
        <v>3</v>
      </c>
    </row>
    <row r="73" spans="1:12">
      <c r="A73" s="72">
        <v>13100464</v>
      </c>
      <c r="B73" s="72" t="s">
        <v>458</v>
      </c>
      <c r="C73" s="73" t="s">
        <v>449</v>
      </c>
      <c r="D73" s="73" t="s">
        <v>459</v>
      </c>
      <c r="E73" s="73" t="s">
        <v>460</v>
      </c>
      <c r="F73" s="73" t="s">
        <v>461</v>
      </c>
      <c r="G73" s="73" t="s">
        <v>462</v>
      </c>
      <c r="H73" s="73">
        <v>1050574</v>
      </c>
      <c r="I73" s="80" t="s">
        <v>71</v>
      </c>
      <c r="J73" s="80" t="s">
        <v>72</v>
      </c>
      <c r="K73" s="73" t="s">
        <v>48</v>
      </c>
      <c r="L73" s="81" t="s">
        <v>3</v>
      </c>
    </row>
    <row r="74" spans="1:12">
      <c r="A74" s="72">
        <v>17065312</v>
      </c>
      <c r="B74" s="72" t="s">
        <v>463</v>
      </c>
      <c r="C74" s="73" t="s">
        <v>341</v>
      </c>
      <c r="D74" s="73" t="s">
        <v>272</v>
      </c>
      <c r="E74" s="73" t="s">
        <v>464</v>
      </c>
      <c r="F74" s="73" t="s">
        <v>465</v>
      </c>
      <c r="G74" s="73" t="s">
        <v>466</v>
      </c>
      <c r="H74" s="73">
        <v>1050126</v>
      </c>
      <c r="I74" s="76" t="s">
        <v>55</v>
      </c>
      <c r="J74" s="76" t="s">
        <v>56</v>
      </c>
      <c r="K74" s="73" t="s">
        <v>48</v>
      </c>
      <c r="L74" s="81" t="s">
        <v>57</v>
      </c>
    </row>
    <row r="75" spans="1:12">
      <c r="A75" s="72">
        <v>17002272</v>
      </c>
      <c r="B75" s="72" t="s">
        <v>467</v>
      </c>
      <c r="C75" s="73" t="s">
        <v>468</v>
      </c>
      <c r="D75" s="73" t="s">
        <v>60</v>
      </c>
      <c r="E75" s="73" t="s">
        <v>469</v>
      </c>
      <c r="F75" s="73" t="s">
        <v>470</v>
      </c>
      <c r="G75" s="73" t="s">
        <v>471</v>
      </c>
      <c r="H75" s="73">
        <v>1050161</v>
      </c>
      <c r="I75" s="76" t="s">
        <v>55</v>
      </c>
      <c r="J75" s="76" t="s">
        <v>472</v>
      </c>
      <c r="K75" s="73" t="s">
        <v>48</v>
      </c>
      <c r="L75" s="81" t="s">
        <v>4</v>
      </c>
    </row>
    <row r="76" spans="1:12">
      <c r="A76" s="72">
        <v>9048185</v>
      </c>
      <c r="B76" s="72" t="s">
        <v>473</v>
      </c>
      <c r="C76" s="73" t="s">
        <v>474</v>
      </c>
      <c r="D76" s="73" t="s">
        <v>206</v>
      </c>
      <c r="E76" s="73" t="s">
        <v>475</v>
      </c>
      <c r="F76" s="73" t="s">
        <v>476</v>
      </c>
      <c r="G76" s="73" t="s">
        <v>477</v>
      </c>
      <c r="H76" s="73">
        <v>1050126</v>
      </c>
      <c r="I76" s="76" t="s">
        <v>55</v>
      </c>
      <c r="J76" s="76" t="s">
        <v>472</v>
      </c>
      <c r="K76" s="73" t="s">
        <v>48</v>
      </c>
      <c r="L76" s="81" t="s">
        <v>57</v>
      </c>
    </row>
    <row r="77" spans="1:12">
      <c r="A77" s="72">
        <v>13486907</v>
      </c>
      <c r="B77" s="72" t="s">
        <v>478</v>
      </c>
      <c r="C77" s="73" t="s">
        <v>479</v>
      </c>
      <c r="D77" s="73" t="s">
        <v>206</v>
      </c>
      <c r="E77" s="73" t="s">
        <v>480</v>
      </c>
      <c r="F77" s="73" t="s">
        <v>481</v>
      </c>
      <c r="G77" s="89" t="s">
        <v>482</v>
      </c>
      <c r="H77" s="73">
        <v>1050161</v>
      </c>
      <c r="I77" s="76" t="s">
        <v>55</v>
      </c>
      <c r="J77" s="76" t="s">
        <v>483</v>
      </c>
      <c r="K77" s="73" t="s">
        <v>48</v>
      </c>
      <c r="L77" s="81" t="s">
        <v>4</v>
      </c>
    </row>
    <row r="78" spans="1:12">
      <c r="A78" s="72">
        <v>9068490</v>
      </c>
      <c r="B78" s="72" t="s">
        <v>484</v>
      </c>
      <c r="C78" s="73" t="s">
        <v>110</v>
      </c>
      <c r="D78" s="73" t="s">
        <v>485</v>
      </c>
      <c r="E78" s="73" t="s">
        <v>486</v>
      </c>
      <c r="F78" s="73" t="s">
        <v>487</v>
      </c>
      <c r="G78" s="73" t="s">
        <v>488</v>
      </c>
      <c r="H78" s="73">
        <v>1050581</v>
      </c>
      <c r="I78" s="76" t="s">
        <v>55</v>
      </c>
      <c r="J78" s="76" t="s">
        <v>300</v>
      </c>
      <c r="K78" s="73" t="s">
        <v>48</v>
      </c>
      <c r="L78" s="81" t="s">
        <v>3</v>
      </c>
    </row>
    <row r="79" spans="1:12">
      <c r="A79" s="72">
        <v>7975267</v>
      </c>
      <c r="B79" s="72" t="s">
        <v>489</v>
      </c>
      <c r="C79" s="73" t="s">
        <v>110</v>
      </c>
      <c r="D79" s="73" t="s">
        <v>490</v>
      </c>
      <c r="E79" s="73" t="s">
        <v>491</v>
      </c>
      <c r="F79" s="73" t="s">
        <v>492</v>
      </c>
      <c r="G79" s="73" t="s">
        <v>493</v>
      </c>
      <c r="H79" s="73">
        <v>1050616</v>
      </c>
      <c r="I79" s="80" t="s">
        <v>114</v>
      </c>
      <c r="J79" s="76" t="s">
        <v>174</v>
      </c>
      <c r="K79" s="73" t="s">
        <v>48</v>
      </c>
      <c r="L79" s="78" t="s">
        <v>4</v>
      </c>
    </row>
    <row r="80" spans="1:12">
      <c r="A80" s="72">
        <v>8962599</v>
      </c>
      <c r="B80" s="72" t="s">
        <v>494</v>
      </c>
      <c r="C80" s="73" t="s">
        <v>110</v>
      </c>
      <c r="D80" s="73" t="s">
        <v>60</v>
      </c>
      <c r="E80" s="73" t="s">
        <v>495</v>
      </c>
      <c r="F80" s="73" t="s">
        <v>496</v>
      </c>
      <c r="G80" s="73" t="s">
        <v>497</v>
      </c>
      <c r="H80" s="73">
        <v>1050556</v>
      </c>
      <c r="I80" s="76" t="s">
        <v>188</v>
      </c>
      <c r="J80" s="76" t="s">
        <v>93</v>
      </c>
      <c r="K80" s="73" t="s">
        <v>48</v>
      </c>
      <c r="L80" s="78" t="s">
        <v>4</v>
      </c>
    </row>
    <row r="81" spans="1:12">
      <c r="A81" s="72">
        <v>5921603</v>
      </c>
      <c r="B81" s="72" t="s">
        <v>498</v>
      </c>
      <c r="C81" s="73" t="s">
        <v>499</v>
      </c>
      <c r="D81" s="73" t="s">
        <v>500</v>
      </c>
      <c r="E81" s="73" t="s">
        <v>501</v>
      </c>
      <c r="F81" s="73" t="s">
        <v>502</v>
      </c>
      <c r="G81" s="74" t="s">
        <v>503</v>
      </c>
      <c r="H81" s="75">
        <v>1050632</v>
      </c>
      <c r="I81" s="76" t="s">
        <v>328</v>
      </c>
      <c r="J81" s="76" t="s">
        <v>328</v>
      </c>
      <c r="K81" s="73" t="s">
        <v>48</v>
      </c>
      <c r="L81" s="85" t="s">
        <v>3</v>
      </c>
    </row>
    <row r="82" spans="1:12">
      <c r="A82" s="72">
        <v>9748915</v>
      </c>
      <c r="B82" s="72" t="s">
        <v>504</v>
      </c>
      <c r="C82" s="73" t="s">
        <v>346</v>
      </c>
      <c r="D82" s="73" t="s">
        <v>443</v>
      </c>
      <c r="E82" s="73" t="s">
        <v>505</v>
      </c>
      <c r="F82" s="73" t="s">
        <v>506</v>
      </c>
      <c r="G82" s="73" t="s">
        <v>507</v>
      </c>
      <c r="H82" s="73">
        <v>1050161</v>
      </c>
      <c r="I82" s="76" t="s">
        <v>55</v>
      </c>
      <c r="J82" s="76" t="s">
        <v>472</v>
      </c>
      <c r="K82" s="73" t="s">
        <v>48</v>
      </c>
      <c r="L82" s="81" t="s">
        <v>3</v>
      </c>
    </row>
    <row r="83" spans="1:12">
      <c r="A83" s="72">
        <v>9989723</v>
      </c>
      <c r="B83" s="72" t="s">
        <v>508</v>
      </c>
      <c r="C83" s="73" t="s">
        <v>509</v>
      </c>
      <c r="D83" s="73" t="s">
        <v>510</v>
      </c>
      <c r="E83" s="73" t="s">
        <v>511</v>
      </c>
      <c r="F83" s="73" t="s">
        <v>512</v>
      </c>
      <c r="G83" s="73" t="s">
        <v>513</v>
      </c>
      <c r="H83" s="73">
        <v>1050126</v>
      </c>
      <c r="I83" s="76" t="s">
        <v>55</v>
      </c>
      <c r="J83" s="76" t="s">
        <v>56</v>
      </c>
      <c r="K83" s="73" t="s">
        <v>48</v>
      </c>
      <c r="L83" s="81" t="s">
        <v>57</v>
      </c>
    </row>
    <row r="84" spans="1:12">
      <c r="A84" s="72">
        <v>10199755</v>
      </c>
      <c r="B84" s="72" t="s">
        <v>514</v>
      </c>
      <c r="C84" s="73" t="s">
        <v>509</v>
      </c>
      <c r="D84" s="73" t="s">
        <v>110</v>
      </c>
      <c r="E84" s="73" t="s">
        <v>515</v>
      </c>
      <c r="F84" s="73" t="s">
        <v>516</v>
      </c>
      <c r="G84" s="73" t="s">
        <v>517</v>
      </c>
      <c r="H84" s="73">
        <v>1050633</v>
      </c>
      <c r="I84" s="76" t="s">
        <v>55</v>
      </c>
      <c r="J84" s="76" t="s">
        <v>157</v>
      </c>
      <c r="K84" s="73" t="s">
        <v>48</v>
      </c>
      <c r="L84" s="81" t="s">
        <v>4</v>
      </c>
    </row>
    <row r="85" spans="1:12">
      <c r="A85" s="72">
        <v>14336364</v>
      </c>
      <c r="B85" s="72" t="s">
        <v>518</v>
      </c>
      <c r="C85" s="73" t="s">
        <v>296</v>
      </c>
      <c r="D85" s="73" t="s">
        <v>153</v>
      </c>
      <c r="E85" s="73" t="s">
        <v>519</v>
      </c>
      <c r="F85" s="73" t="s">
        <v>520</v>
      </c>
      <c r="G85" s="73" t="s">
        <v>521</v>
      </c>
      <c r="H85" s="73">
        <v>1050604</v>
      </c>
      <c r="I85" s="76" t="s">
        <v>522</v>
      </c>
      <c r="J85" s="76" t="s">
        <v>522</v>
      </c>
      <c r="K85" s="73" t="s">
        <v>48</v>
      </c>
      <c r="L85" s="78" t="s">
        <v>3</v>
      </c>
    </row>
    <row r="86" spans="1:12">
      <c r="A86" s="72">
        <v>9905897</v>
      </c>
      <c r="B86" s="72" t="s">
        <v>523</v>
      </c>
      <c r="C86" s="73" t="s">
        <v>524</v>
      </c>
      <c r="D86" s="73" t="s">
        <v>525</v>
      </c>
      <c r="E86" s="73" t="s">
        <v>526</v>
      </c>
      <c r="F86" s="73" t="s">
        <v>527</v>
      </c>
      <c r="G86" s="73" t="s">
        <v>528</v>
      </c>
      <c r="H86" s="73">
        <v>1050502</v>
      </c>
      <c r="I86" s="76" t="s">
        <v>529</v>
      </c>
      <c r="J86" s="76" t="s">
        <v>530</v>
      </c>
      <c r="K86" s="73" t="s">
        <v>48</v>
      </c>
      <c r="L86" s="85" t="s">
        <v>3</v>
      </c>
    </row>
    <row r="87" spans="1:12">
      <c r="A87" s="72">
        <v>11656057</v>
      </c>
      <c r="B87" s="72" t="s">
        <v>531</v>
      </c>
      <c r="C87" s="73" t="s">
        <v>532</v>
      </c>
      <c r="D87" s="73" t="s">
        <v>533</v>
      </c>
      <c r="E87" s="73" t="s">
        <v>534</v>
      </c>
      <c r="F87" s="73" t="s">
        <v>535</v>
      </c>
      <c r="G87" s="73" t="s">
        <v>536</v>
      </c>
      <c r="H87" s="73">
        <v>1050127</v>
      </c>
      <c r="I87" s="76" t="s">
        <v>55</v>
      </c>
      <c r="J87" s="76" t="s">
        <v>64</v>
      </c>
      <c r="K87" s="73" t="s">
        <v>48</v>
      </c>
      <c r="L87" s="81" t="s">
        <v>4</v>
      </c>
    </row>
    <row r="88" spans="1:12">
      <c r="A88" s="72">
        <v>13897327</v>
      </c>
      <c r="B88" s="72" t="s">
        <v>537</v>
      </c>
      <c r="C88" s="73" t="s">
        <v>538</v>
      </c>
      <c r="D88" s="73" t="s">
        <v>539</v>
      </c>
      <c r="E88" s="73" t="s">
        <v>540</v>
      </c>
      <c r="F88" s="73" t="s">
        <v>541</v>
      </c>
      <c r="G88" s="73" t="s">
        <v>542</v>
      </c>
      <c r="H88" s="73">
        <v>1050632</v>
      </c>
      <c r="I88" s="80" t="s">
        <v>100</v>
      </c>
      <c r="J88" s="80" t="s">
        <v>543</v>
      </c>
      <c r="K88" s="73" t="s">
        <v>48</v>
      </c>
      <c r="L88" s="78" t="s">
        <v>57</v>
      </c>
    </row>
    <row r="89" spans="1:12">
      <c r="A89" s="72">
        <v>15899732</v>
      </c>
      <c r="B89" s="72" t="s">
        <v>544</v>
      </c>
      <c r="C89" s="73" t="s">
        <v>545</v>
      </c>
      <c r="D89" s="73" t="s">
        <v>88</v>
      </c>
      <c r="E89" s="73" t="s">
        <v>546</v>
      </c>
      <c r="F89" s="73" t="s">
        <v>547</v>
      </c>
      <c r="G89" s="74" t="s">
        <v>548</v>
      </c>
      <c r="H89" s="73">
        <v>1050556</v>
      </c>
      <c r="I89" s="76" t="s">
        <v>188</v>
      </c>
      <c r="J89" s="90" t="s">
        <v>549</v>
      </c>
      <c r="K89" s="73" t="s">
        <v>48</v>
      </c>
      <c r="L89" s="78" t="s">
        <v>57</v>
      </c>
    </row>
    <row r="90" spans="1:12">
      <c r="A90" s="72">
        <v>8771787</v>
      </c>
      <c r="B90" s="72" t="s">
        <v>550</v>
      </c>
      <c r="C90" s="73" t="s">
        <v>551</v>
      </c>
      <c r="D90" s="73" t="s">
        <v>552</v>
      </c>
      <c r="E90" s="73" t="s">
        <v>553</v>
      </c>
      <c r="F90" s="73" t="s">
        <v>554</v>
      </c>
      <c r="G90" s="73" t="s">
        <v>555</v>
      </c>
      <c r="H90" s="73">
        <v>1050555</v>
      </c>
      <c r="I90" s="91" t="s">
        <v>188</v>
      </c>
      <c r="J90" s="91" t="s">
        <v>47</v>
      </c>
      <c r="K90" s="73" t="s">
        <v>48</v>
      </c>
      <c r="L90" s="78" t="s">
        <v>57</v>
      </c>
    </row>
    <row r="91" spans="1:12">
      <c r="A91" s="72">
        <v>12504270</v>
      </c>
      <c r="B91" s="72" t="s">
        <v>556</v>
      </c>
      <c r="C91" s="73" t="s">
        <v>557</v>
      </c>
      <c r="D91" s="73" t="s">
        <v>558</v>
      </c>
      <c r="E91" s="73" t="s">
        <v>559</v>
      </c>
      <c r="F91" s="73" t="s">
        <v>560</v>
      </c>
      <c r="G91" s="73" t="s">
        <v>561</v>
      </c>
      <c r="H91" s="73">
        <v>1050554</v>
      </c>
      <c r="I91" s="76" t="s">
        <v>26</v>
      </c>
      <c r="J91" s="76" t="s">
        <v>174</v>
      </c>
      <c r="K91" s="73" t="s">
        <v>48</v>
      </c>
      <c r="L91" s="78" t="s">
        <v>3</v>
      </c>
    </row>
    <row r="92" spans="1:12">
      <c r="A92" s="72">
        <v>13769935</v>
      </c>
      <c r="B92" s="72" t="s">
        <v>562</v>
      </c>
      <c r="C92" s="73" t="s">
        <v>563</v>
      </c>
      <c r="D92" s="73" t="s">
        <v>147</v>
      </c>
      <c r="E92" s="73" t="s">
        <v>564</v>
      </c>
      <c r="F92" s="73" t="s">
        <v>565</v>
      </c>
      <c r="G92" s="73" t="s">
        <v>566</v>
      </c>
      <c r="H92" s="73">
        <v>1050632</v>
      </c>
      <c r="I92" s="80" t="s">
        <v>100</v>
      </c>
      <c r="J92" s="80" t="s">
        <v>101</v>
      </c>
      <c r="K92" s="73" t="s">
        <v>48</v>
      </c>
      <c r="L92" s="78" t="s">
        <v>3</v>
      </c>
    </row>
    <row r="93" spans="1:12">
      <c r="A93" s="72">
        <v>8025043</v>
      </c>
      <c r="B93" s="72" t="s">
        <v>567</v>
      </c>
      <c r="C93" s="73" t="s">
        <v>568</v>
      </c>
      <c r="D93" s="73" t="s">
        <v>264</v>
      </c>
      <c r="E93" s="73" t="s">
        <v>569</v>
      </c>
      <c r="F93" s="73" t="s">
        <v>570</v>
      </c>
      <c r="G93" s="74" t="s">
        <v>571</v>
      </c>
      <c r="H93" s="73">
        <v>1050551</v>
      </c>
      <c r="I93" s="76" t="s">
        <v>349</v>
      </c>
      <c r="J93" s="76" t="s">
        <v>277</v>
      </c>
      <c r="K93" s="73" t="s">
        <v>48</v>
      </c>
      <c r="L93" s="85" t="s">
        <v>57</v>
      </c>
    </row>
    <row r="94" spans="1:12">
      <c r="A94" s="72">
        <v>10970380</v>
      </c>
      <c r="B94" s="72" t="s">
        <v>572</v>
      </c>
      <c r="C94" s="73" t="s">
        <v>568</v>
      </c>
      <c r="D94" s="73" t="s">
        <v>60</v>
      </c>
      <c r="E94" s="73" t="s">
        <v>573</v>
      </c>
      <c r="F94" s="73" t="s">
        <v>574</v>
      </c>
      <c r="G94" s="73" t="s">
        <v>575</v>
      </c>
      <c r="H94" s="73">
        <v>1050127</v>
      </c>
      <c r="I94" s="76" t="s">
        <v>55</v>
      </c>
      <c r="J94" s="76" t="s">
        <v>64</v>
      </c>
      <c r="K94" s="73" t="s">
        <v>48</v>
      </c>
      <c r="L94" s="81" t="s">
        <v>4</v>
      </c>
    </row>
    <row r="95" spans="1:12">
      <c r="A95" s="72">
        <v>11873201</v>
      </c>
      <c r="B95" s="72" t="s">
        <v>576</v>
      </c>
      <c r="C95" s="73" t="s">
        <v>577</v>
      </c>
      <c r="D95" s="73" t="s">
        <v>578</v>
      </c>
      <c r="E95" s="73" t="s">
        <v>285</v>
      </c>
      <c r="F95" s="73" t="s">
        <v>579</v>
      </c>
      <c r="G95" s="73" t="s">
        <v>580</v>
      </c>
      <c r="H95" s="73">
        <v>1050127</v>
      </c>
      <c r="I95" s="76" t="s">
        <v>55</v>
      </c>
      <c r="J95" s="76" t="s">
        <v>64</v>
      </c>
      <c r="K95" s="73" t="s">
        <v>48</v>
      </c>
      <c r="L95" s="81" t="s">
        <v>3</v>
      </c>
    </row>
    <row r="96" spans="1:12">
      <c r="A96" s="72">
        <v>9878189</v>
      </c>
      <c r="B96" s="72" t="s">
        <v>581</v>
      </c>
      <c r="C96" s="73" t="s">
        <v>582</v>
      </c>
      <c r="D96" s="73" t="s">
        <v>341</v>
      </c>
      <c r="E96" s="73" t="s">
        <v>583</v>
      </c>
      <c r="F96" s="73" t="s">
        <v>584</v>
      </c>
      <c r="G96" s="73" t="s">
        <v>585</v>
      </c>
      <c r="H96" s="73">
        <v>1050556</v>
      </c>
      <c r="I96" s="76" t="s">
        <v>188</v>
      </c>
      <c r="J96" s="90" t="s">
        <v>549</v>
      </c>
      <c r="K96" s="73" t="s">
        <v>48</v>
      </c>
      <c r="L96" s="78" t="s">
        <v>4</v>
      </c>
    </row>
    <row r="97" spans="1:13">
      <c r="A97" s="72">
        <v>9253701</v>
      </c>
      <c r="B97" s="72" t="s">
        <v>586</v>
      </c>
      <c r="C97" s="73" t="s">
        <v>582</v>
      </c>
      <c r="D97" s="73" t="s">
        <v>587</v>
      </c>
      <c r="E97" s="73" t="s">
        <v>588</v>
      </c>
      <c r="F97" s="73" t="s">
        <v>589</v>
      </c>
      <c r="G97" s="74" t="s">
        <v>590</v>
      </c>
      <c r="H97" s="73">
        <v>1050615</v>
      </c>
      <c r="I97" s="76" t="s">
        <v>114</v>
      </c>
      <c r="J97" s="76" t="s">
        <v>277</v>
      </c>
      <c r="K97" s="73" t="s">
        <v>48</v>
      </c>
      <c r="L97" s="78" t="s">
        <v>3</v>
      </c>
    </row>
    <row r="98" spans="1:13">
      <c r="A98" s="72">
        <v>14151454</v>
      </c>
      <c r="B98" s="72" t="s">
        <v>591</v>
      </c>
      <c r="C98" s="73" t="s">
        <v>177</v>
      </c>
      <c r="D98" s="73" t="s">
        <v>592</v>
      </c>
      <c r="E98" s="73" t="s">
        <v>593</v>
      </c>
      <c r="F98" s="73" t="s">
        <v>594</v>
      </c>
      <c r="G98" s="73" t="s">
        <v>595</v>
      </c>
      <c r="H98" s="77">
        <v>1050603</v>
      </c>
      <c r="I98" s="92" t="s">
        <v>596</v>
      </c>
      <c r="J98" s="92" t="s">
        <v>596</v>
      </c>
      <c r="K98" s="73" t="s">
        <v>48</v>
      </c>
      <c r="L98" s="77" t="s">
        <v>4</v>
      </c>
    </row>
    <row r="99" spans="1:13">
      <c r="A99" s="72">
        <v>10869222</v>
      </c>
      <c r="B99" s="72" t="s">
        <v>597</v>
      </c>
      <c r="C99" s="73" t="s">
        <v>598</v>
      </c>
      <c r="D99" s="73" t="s">
        <v>599</v>
      </c>
      <c r="E99" s="73" t="s">
        <v>192</v>
      </c>
      <c r="F99" s="73" t="s">
        <v>600</v>
      </c>
      <c r="G99" s="73" t="s">
        <v>601</v>
      </c>
      <c r="H99" s="73">
        <v>1050127</v>
      </c>
      <c r="I99" s="76" t="s">
        <v>55</v>
      </c>
      <c r="J99" s="76" t="s">
        <v>64</v>
      </c>
      <c r="K99" s="73" t="s">
        <v>48</v>
      </c>
      <c r="L99" s="81" t="s">
        <v>57</v>
      </c>
    </row>
    <row r="100" spans="1:13">
      <c r="A100" s="72">
        <v>11306351</v>
      </c>
      <c r="B100" s="72" t="s">
        <v>602</v>
      </c>
      <c r="C100" s="73" t="s">
        <v>603</v>
      </c>
      <c r="D100" s="73" t="s">
        <v>604</v>
      </c>
      <c r="E100" s="73" t="s">
        <v>605</v>
      </c>
      <c r="F100" s="73" t="s">
        <v>606</v>
      </c>
      <c r="G100" s="73" t="s">
        <v>607</v>
      </c>
      <c r="H100" s="73">
        <v>1050126</v>
      </c>
      <c r="I100" s="76" t="s">
        <v>55</v>
      </c>
      <c r="J100" s="76" t="s">
        <v>56</v>
      </c>
      <c r="K100" s="73" t="s">
        <v>48</v>
      </c>
      <c r="L100" s="81" t="s">
        <v>57</v>
      </c>
    </row>
    <row r="101" spans="1:13">
      <c r="A101" s="72">
        <v>12740284</v>
      </c>
      <c r="B101" s="72" t="s">
        <v>608</v>
      </c>
      <c r="C101" s="73" t="s">
        <v>609</v>
      </c>
      <c r="D101" s="73" t="s">
        <v>610</v>
      </c>
      <c r="E101" s="73" t="s">
        <v>611</v>
      </c>
      <c r="F101" s="73" t="s">
        <v>612</v>
      </c>
      <c r="G101" s="74" t="s">
        <v>613</v>
      </c>
      <c r="H101" s="73">
        <v>1050556</v>
      </c>
      <c r="I101" s="76" t="s">
        <v>188</v>
      </c>
      <c r="J101" s="76" t="s">
        <v>93</v>
      </c>
      <c r="K101" s="73" t="s">
        <v>48</v>
      </c>
      <c r="L101" s="78" t="s">
        <v>57</v>
      </c>
    </row>
    <row r="102" spans="1:13">
      <c r="A102" s="72">
        <v>11370436</v>
      </c>
      <c r="B102" s="72" t="s">
        <v>614</v>
      </c>
      <c r="C102" s="73" t="s">
        <v>615</v>
      </c>
      <c r="D102" s="73" t="s">
        <v>159</v>
      </c>
      <c r="E102" s="73" t="s">
        <v>616</v>
      </c>
      <c r="F102" s="73" t="s">
        <v>617</v>
      </c>
      <c r="G102" s="73" t="s">
        <v>618</v>
      </c>
      <c r="H102" s="73">
        <v>1050633</v>
      </c>
      <c r="I102" s="76" t="s">
        <v>55</v>
      </c>
      <c r="J102" s="76" t="s">
        <v>157</v>
      </c>
      <c r="K102" s="73" t="s">
        <v>48</v>
      </c>
      <c r="L102" s="81" t="s">
        <v>4</v>
      </c>
    </row>
    <row r="103" spans="1:13">
      <c r="A103" s="72">
        <v>9081025</v>
      </c>
      <c r="B103" s="72" t="s">
        <v>619</v>
      </c>
      <c r="C103" s="73" t="s">
        <v>615</v>
      </c>
      <c r="D103" s="73" t="s">
        <v>159</v>
      </c>
      <c r="E103" s="73" t="s">
        <v>620</v>
      </c>
      <c r="F103" s="73" t="s">
        <v>621</v>
      </c>
      <c r="G103" s="73" t="s">
        <v>622</v>
      </c>
      <c r="H103" s="73">
        <v>1050633</v>
      </c>
      <c r="I103" s="76" t="s">
        <v>55</v>
      </c>
      <c r="J103" s="76" t="s">
        <v>157</v>
      </c>
      <c r="K103" s="73" t="s">
        <v>48</v>
      </c>
      <c r="L103" s="81" t="s">
        <v>3</v>
      </c>
    </row>
    <row r="104" spans="1:13">
      <c r="A104" s="72">
        <v>13835848</v>
      </c>
      <c r="B104" s="72" t="s">
        <v>623</v>
      </c>
      <c r="C104" s="73" t="s">
        <v>624</v>
      </c>
      <c r="D104" s="73" t="s">
        <v>625</v>
      </c>
      <c r="E104" s="73" t="s">
        <v>626</v>
      </c>
      <c r="F104" s="73" t="s">
        <v>627</v>
      </c>
      <c r="G104" s="73" t="s">
        <v>628</v>
      </c>
      <c r="H104" s="73">
        <v>1050581</v>
      </c>
      <c r="I104" s="76" t="s">
        <v>55</v>
      </c>
      <c r="J104" s="76" t="s">
        <v>300</v>
      </c>
      <c r="K104" s="73" t="s">
        <v>48</v>
      </c>
      <c r="L104" s="81" t="s">
        <v>57</v>
      </c>
    </row>
    <row r="105" spans="1:13">
      <c r="A105" s="72">
        <v>13077995</v>
      </c>
      <c r="B105" s="72" t="s">
        <v>629</v>
      </c>
      <c r="C105" s="73" t="s">
        <v>51</v>
      </c>
      <c r="D105" s="73" t="s">
        <v>630</v>
      </c>
      <c r="E105" s="75" t="s">
        <v>631</v>
      </c>
      <c r="F105" s="73" t="s">
        <v>632</v>
      </c>
      <c r="G105" s="74" t="s">
        <v>633</v>
      </c>
      <c r="H105" s="73">
        <v>1050529</v>
      </c>
      <c r="I105" s="76" t="s">
        <v>634</v>
      </c>
      <c r="J105" s="76" t="s">
        <v>634</v>
      </c>
      <c r="K105" s="73" t="s">
        <v>48</v>
      </c>
      <c r="L105" s="81" t="s">
        <v>57</v>
      </c>
      <c r="M105" s="71" t="s">
        <v>365</v>
      </c>
    </row>
    <row r="106" spans="1:13">
      <c r="A106" s="72">
        <v>14005554</v>
      </c>
      <c r="B106" s="72" t="s">
        <v>635</v>
      </c>
      <c r="C106" s="73" t="s">
        <v>636</v>
      </c>
      <c r="D106" s="73" t="s">
        <v>637</v>
      </c>
      <c r="E106" s="73" t="s">
        <v>368</v>
      </c>
      <c r="F106" s="73" t="s">
        <v>638</v>
      </c>
      <c r="G106" s="73" t="s">
        <v>639</v>
      </c>
      <c r="H106" s="73">
        <v>1050556</v>
      </c>
      <c r="I106" s="76" t="s">
        <v>188</v>
      </c>
      <c r="J106" s="76" t="s">
        <v>93</v>
      </c>
      <c r="K106" s="73" t="s">
        <v>48</v>
      </c>
      <c r="L106" s="78" t="s">
        <v>3</v>
      </c>
    </row>
    <row r="107" spans="1:13">
      <c r="A107" s="72">
        <v>10157067</v>
      </c>
      <c r="B107" s="72" t="s">
        <v>640</v>
      </c>
      <c r="C107" s="73" t="s">
        <v>398</v>
      </c>
      <c r="D107" s="73" t="s">
        <v>641</v>
      </c>
      <c r="E107" s="73" t="s">
        <v>642</v>
      </c>
      <c r="F107" s="73" t="s">
        <v>643</v>
      </c>
      <c r="G107" s="73" t="s">
        <v>644</v>
      </c>
      <c r="H107" s="73">
        <v>1050126</v>
      </c>
      <c r="I107" s="76" t="s">
        <v>55</v>
      </c>
      <c r="J107" s="76" t="s">
        <v>56</v>
      </c>
      <c r="K107" s="73" t="s">
        <v>48</v>
      </c>
      <c r="L107" s="81" t="s">
        <v>3</v>
      </c>
    </row>
    <row r="108" spans="1:13">
      <c r="A108" s="72">
        <v>17755770</v>
      </c>
      <c r="B108" s="72" t="s">
        <v>645</v>
      </c>
      <c r="C108" s="73" t="s">
        <v>646</v>
      </c>
      <c r="D108" s="73" t="s">
        <v>646</v>
      </c>
      <c r="E108" s="73" t="s">
        <v>647</v>
      </c>
      <c r="F108" s="73" t="s">
        <v>648</v>
      </c>
      <c r="G108" s="74" t="s">
        <v>649</v>
      </c>
      <c r="H108" s="73">
        <v>1050615</v>
      </c>
      <c r="I108" s="76" t="s">
        <v>114</v>
      </c>
      <c r="J108" s="80" t="s">
        <v>47</v>
      </c>
      <c r="K108" s="73" t="s">
        <v>48</v>
      </c>
      <c r="L108" s="78" t="s">
        <v>57</v>
      </c>
    </row>
    <row r="109" spans="1:13">
      <c r="A109" s="72">
        <v>13834251</v>
      </c>
      <c r="B109" s="72" t="s">
        <v>650</v>
      </c>
      <c r="C109" s="73" t="s">
        <v>324</v>
      </c>
      <c r="D109" s="73" t="s">
        <v>296</v>
      </c>
      <c r="E109" s="73" t="s">
        <v>651</v>
      </c>
      <c r="F109" s="73" t="s">
        <v>652</v>
      </c>
      <c r="G109" s="73" t="s">
        <v>653</v>
      </c>
      <c r="H109" s="73">
        <v>1050633</v>
      </c>
      <c r="I109" s="76" t="s">
        <v>55</v>
      </c>
      <c r="J109" s="76" t="s">
        <v>157</v>
      </c>
      <c r="K109" s="73" t="s">
        <v>48</v>
      </c>
      <c r="L109" s="81" t="s">
        <v>3</v>
      </c>
    </row>
    <row r="110" spans="1:13">
      <c r="A110" s="72">
        <v>16266873</v>
      </c>
      <c r="B110" s="72" t="s">
        <v>654</v>
      </c>
      <c r="C110" s="73" t="s">
        <v>655</v>
      </c>
      <c r="D110" s="73" t="s">
        <v>655</v>
      </c>
      <c r="E110" s="73" t="s">
        <v>285</v>
      </c>
      <c r="F110" s="73" t="s">
        <v>656</v>
      </c>
      <c r="G110" s="73" t="s">
        <v>657</v>
      </c>
      <c r="H110" s="73">
        <v>1050555</v>
      </c>
      <c r="I110" s="93" t="s">
        <v>188</v>
      </c>
      <c r="J110" s="93" t="s">
        <v>47</v>
      </c>
      <c r="K110" s="73" t="s">
        <v>48</v>
      </c>
      <c r="L110" s="78" t="s">
        <v>3</v>
      </c>
    </row>
    <row r="111" spans="1:13">
      <c r="A111" s="72">
        <v>10407614</v>
      </c>
      <c r="B111" s="72" t="s">
        <v>658</v>
      </c>
      <c r="C111" s="73" t="s">
        <v>659</v>
      </c>
      <c r="D111" s="73" t="s">
        <v>659</v>
      </c>
      <c r="E111" s="73" t="s">
        <v>660</v>
      </c>
      <c r="F111" s="73" t="s">
        <v>661</v>
      </c>
      <c r="G111" s="73" t="s">
        <v>662</v>
      </c>
      <c r="H111" s="73">
        <v>1050127</v>
      </c>
      <c r="I111" s="76" t="s">
        <v>55</v>
      </c>
      <c r="J111" s="76" t="s">
        <v>64</v>
      </c>
      <c r="K111" s="73" t="s">
        <v>48</v>
      </c>
      <c r="L111" s="81" t="s">
        <v>4</v>
      </c>
    </row>
    <row r="112" spans="1:13">
      <c r="A112" s="72">
        <v>13700526</v>
      </c>
      <c r="B112" s="72" t="s">
        <v>663</v>
      </c>
      <c r="C112" s="73" t="s">
        <v>664</v>
      </c>
      <c r="D112" s="73" t="s">
        <v>587</v>
      </c>
      <c r="E112" s="73" t="s">
        <v>665</v>
      </c>
      <c r="F112" s="73" t="s">
        <v>666</v>
      </c>
      <c r="G112" s="74" t="s">
        <v>667</v>
      </c>
      <c r="H112" s="73">
        <v>1050615</v>
      </c>
      <c r="I112" s="76" t="s">
        <v>114</v>
      </c>
      <c r="J112" s="76" t="s">
        <v>277</v>
      </c>
      <c r="K112" s="73" t="s">
        <v>48</v>
      </c>
      <c r="L112" s="78" t="s">
        <v>57</v>
      </c>
    </row>
    <row r="113" spans="1:12">
      <c r="A113" s="72">
        <v>12690098</v>
      </c>
      <c r="B113" s="72" t="s">
        <v>668</v>
      </c>
      <c r="C113" s="73" t="s">
        <v>664</v>
      </c>
      <c r="D113" s="73" t="s">
        <v>669</v>
      </c>
      <c r="E113" s="73" t="s">
        <v>670</v>
      </c>
      <c r="F113" s="73" t="s">
        <v>671</v>
      </c>
      <c r="G113" s="79" t="s">
        <v>672</v>
      </c>
      <c r="H113" s="73">
        <v>1050610</v>
      </c>
      <c r="I113" s="80" t="s">
        <v>92</v>
      </c>
      <c r="J113" s="80" t="s">
        <v>189</v>
      </c>
      <c r="K113" s="73" t="s">
        <v>48</v>
      </c>
      <c r="L113" s="81" t="s">
        <v>3</v>
      </c>
    </row>
    <row r="114" spans="1:12">
      <c r="A114" s="72">
        <v>8585356</v>
      </c>
      <c r="B114" s="72" t="s">
        <v>673</v>
      </c>
      <c r="C114" s="73" t="s">
        <v>664</v>
      </c>
      <c r="D114" s="73" t="s">
        <v>674</v>
      </c>
      <c r="E114" s="73" t="s">
        <v>675</v>
      </c>
      <c r="F114" s="73" t="s">
        <v>676</v>
      </c>
      <c r="G114" s="73" t="s">
        <v>677</v>
      </c>
      <c r="H114" s="77">
        <v>1050603</v>
      </c>
      <c r="I114" s="92" t="s">
        <v>596</v>
      </c>
      <c r="J114" s="92" t="s">
        <v>596</v>
      </c>
      <c r="K114" s="73" t="s">
        <v>48</v>
      </c>
      <c r="L114" s="77" t="s">
        <v>3</v>
      </c>
    </row>
    <row r="115" spans="1:12">
      <c r="A115" s="72">
        <v>11994656</v>
      </c>
      <c r="B115" s="72" t="s">
        <v>678</v>
      </c>
      <c r="C115" s="73" t="s">
        <v>625</v>
      </c>
      <c r="D115" s="73" t="s">
        <v>177</v>
      </c>
      <c r="E115" s="73" t="s">
        <v>679</v>
      </c>
      <c r="F115" s="73" t="s">
        <v>680</v>
      </c>
      <c r="G115" s="73" t="s">
        <v>681</v>
      </c>
      <c r="H115" s="73">
        <v>1050632</v>
      </c>
      <c r="I115" s="76" t="s">
        <v>100</v>
      </c>
      <c r="J115" s="76" t="s">
        <v>682</v>
      </c>
      <c r="K115" s="73" t="s">
        <v>48</v>
      </c>
      <c r="L115" s="78" t="s">
        <v>3</v>
      </c>
    </row>
    <row r="116" spans="1:12">
      <c r="A116" s="72">
        <v>13552988</v>
      </c>
      <c r="B116" s="72" t="s">
        <v>683</v>
      </c>
      <c r="C116" s="73" t="s">
        <v>684</v>
      </c>
      <c r="D116" s="73" t="s">
        <v>685</v>
      </c>
      <c r="E116" s="73" t="s">
        <v>686</v>
      </c>
      <c r="F116" s="73" t="s">
        <v>687</v>
      </c>
      <c r="G116" s="73" t="s">
        <v>688</v>
      </c>
      <c r="H116" s="73">
        <v>1050615</v>
      </c>
      <c r="I116" s="76" t="s">
        <v>114</v>
      </c>
      <c r="J116" s="80" t="s">
        <v>47</v>
      </c>
      <c r="K116" s="73" t="s">
        <v>48</v>
      </c>
      <c r="L116" s="78" t="s">
        <v>4</v>
      </c>
    </row>
    <row r="117" spans="1:12">
      <c r="A117" s="72">
        <v>9488820</v>
      </c>
      <c r="B117" s="72" t="s">
        <v>689</v>
      </c>
      <c r="C117" s="73" t="s">
        <v>60</v>
      </c>
      <c r="D117" s="73" t="s">
        <v>183</v>
      </c>
      <c r="E117" s="73" t="s">
        <v>192</v>
      </c>
      <c r="F117" s="73" t="s">
        <v>690</v>
      </c>
      <c r="G117" s="73" t="s">
        <v>691</v>
      </c>
      <c r="H117" s="75">
        <v>1050554</v>
      </c>
      <c r="I117" s="76" t="s">
        <v>26</v>
      </c>
      <c r="J117" s="76" t="s">
        <v>47</v>
      </c>
      <c r="K117" s="73" t="s">
        <v>48</v>
      </c>
      <c r="L117" s="78" t="s">
        <v>57</v>
      </c>
    </row>
    <row r="118" spans="1:12">
      <c r="A118" s="72">
        <v>9613720</v>
      </c>
      <c r="B118" s="72" t="s">
        <v>692</v>
      </c>
      <c r="C118" s="73" t="s">
        <v>60</v>
      </c>
      <c r="D118" s="73" t="s">
        <v>110</v>
      </c>
      <c r="E118" s="73" t="s">
        <v>693</v>
      </c>
      <c r="F118" s="73" t="s">
        <v>694</v>
      </c>
      <c r="G118" s="73" t="s">
        <v>695</v>
      </c>
      <c r="H118" s="73">
        <v>1050616</v>
      </c>
      <c r="I118" s="80" t="s">
        <v>114</v>
      </c>
      <c r="J118" s="80" t="s">
        <v>420</v>
      </c>
      <c r="K118" s="73" t="s">
        <v>48</v>
      </c>
      <c r="L118" s="78" t="s">
        <v>3</v>
      </c>
    </row>
    <row r="119" spans="1:12">
      <c r="A119" s="72">
        <v>11659510</v>
      </c>
      <c r="B119" s="72" t="s">
        <v>696</v>
      </c>
      <c r="C119" s="73" t="s">
        <v>60</v>
      </c>
      <c r="D119" s="73" t="s">
        <v>60</v>
      </c>
      <c r="E119" s="73" t="s">
        <v>697</v>
      </c>
      <c r="F119" s="73" t="s">
        <v>698</v>
      </c>
      <c r="G119" s="94" t="s">
        <v>699</v>
      </c>
      <c r="H119" s="73">
        <v>1050126</v>
      </c>
      <c r="I119" s="76" t="s">
        <v>55</v>
      </c>
      <c r="J119" s="76" t="s">
        <v>56</v>
      </c>
      <c r="K119" s="73" t="s">
        <v>48</v>
      </c>
      <c r="L119" s="81" t="s">
        <v>3</v>
      </c>
    </row>
    <row r="120" spans="1:12">
      <c r="A120" s="72">
        <v>11124307</v>
      </c>
      <c r="B120" s="72" t="s">
        <v>700</v>
      </c>
      <c r="C120" s="73" t="s">
        <v>60</v>
      </c>
      <c r="D120" s="73" t="s">
        <v>701</v>
      </c>
      <c r="E120" s="73" t="s">
        <v>702</v>
      </c>
      <c r="F120" s="73" t="s">
        <v>703</v>
      </c>
      <c r="G120" s="73" t="s">
        <v>704</v>
      </c>
      <c r="H120" s="73">
        <v>1050162</v>
      </c>
      <c r="I120" s="76" t="s">
        <v>55</v>
      </c>
      <c r="J120" s="76" t="s">
        <v>107</v>
      </c>
      <c r="K120" s="73" t="s">
        <v>48</v>
      </c>
      <c r="L120" s="81" t="s">
        <v>4</v>
      </c>
    </row>
    <row r="121" spans="1:12">
      <c r="A121" s="72">
        <v>13284709</v>
      </c>
      <c r="B121" s="72" t="s">
        <v>705</v>
      </c>
      <c r="C121" s="73" t="s">
        <v>60</v>
      </c>
      <c r="D121" s="73" t="s">
        <v>610</v>
      </c>
      <c r="E121" s="73" t="s">
        <v>706</v>
      </c>
      <c r="F121" s="73" t="s">
        <v>707</v>
      </c>
      <c r="G121" s="74" t="s">
        <v>708</v>
      </c>
      <c r="H121" s="73">
        <v>1050556</v>
      </c>
      <c r="I121" s="76" t="s">
        <v>188</v>
      </c>
      <c r="J121" s="76" t="s">
        <v>174</v>
      </c>
      <c r="K121" s="73" t="s">
        <v>48</v>
      </c>
      <c r="L121" s="78" t="s">
        <v>4</v>
      </c>
    </row>
    <row r="122" spans="1:12">
      <c r="A122" s="72">
        <v>15437429</v>
      </c>
      <c r="B122" s="72" t="s">
        <v>709</v>
      </c>
      <c r="C122" s="73" t="s">
        <v>710</v>
      </c>
      <c r="D122" s="73" t="s">
        <v>711</v>
      </c>
      <c r="E122" s="73" t="s">
        <v>712</v>
      </c>
      <c r="F122" s="73" t="s">
        <v>713</v>
      </c>
      <c r="G122" s="73" t="s">
        <v>714</v>
      </c>
      <c r="H122" s="73">
        <v>1050574</v>
      </c>
      <c r="I122" s="80" t="s">
        <v>100</v>
      </c>
      <c r="J122" s="80" t="s">
        <v>715</v>
      </c>
      <c r="K122" s="73" t="s">
        <v>48</v>
      </c>
      <c r="L122" s="78" t="s">
        <v>3</v>
      </c>
    </row>
    <row r="123" spans="1:12">
      <c r="A123" s="72">
        <v>11754811</v>
      </c>
      <c r="B123" s="72" t="s">
        <v>716</v>
      </c>
      <c r="C123" s="73" t="s">
        <v>717</v>
      </c>
      <c r="D123" s="73" t="s">
        <v>206</v>
      </c>
      <c r="E123" s="73" t="s">
        <v>718</v>
      </c>
      <c r="F123" s="73" t="s">
        <v>719</v>
      </c>
      <c r="G123" s="73" t="s">
        <v>720</v>
      </c>
      <c r="H123" s="73">
        <v>1050581</v>
      </c>
      <c r="I123" s="76" t="s">
        <v>55</v>
      </c>
      <c r="J123" s="76" t="s">
        <v>721</v>
      </c>
      <c r="K123" s="73" t="s">
        <v>48</v>
      </c>
      <c r="L123" s="81" t="s">
        <v>3</v>
      </c>
    </row>
    <row r="124" spans="1:12">
      <c r="A124" s="72">
        <v>12828475</v>
      </c>
      <c r="B124" s="72" t="s">
        <v>722</v>
      </c>
      <c r="C124" s="73" t="s">
        <v>717</v>
      </c>
      <c r="D124" s="73" t="s">
        <v>206</v>
      </c>
      <c r="E124" s="73" t="s">
        <v>723</v>
      </c>
      <c r="F124" s="73" t="s">
        <v>724</v>
      </c>
      <c r="G124" s="73" t="s">
        <v>725</v>
      </c>
      <c r="H124" s="73">
        <v>1050506</v>
      </c>
      <c r="I124" s="76" t="s">
        <v>55</v>
      </c>
      <c r="J124" s="76" t="s">
        <v>79</v>
      </c>
      <c r="K124" s="73" t="s">
        <v>48</v>
      </c>
      <c r="L124" s="81" t="s">
        <v>3</v>
      </c>
    </row>
    <row r="125" spans="1:12">
      <c r="A125" s="72">
        <v>11523497</v>
      </c>
      <c r="B125" s="72" t="s">
        <v>726</v>
      </c>
      <c r="C125" s="73" t="s">
        <v>717</v>
      </c>
      <c r="D125" s="73" t="s">
        <v>206</v>
      </c>
      <c r="E125" s="73" t="s">
        <v>368</v>
      </c>
      <c r="F125" s="73" t="s">
        <v>727</v>
      </c>
      <c r="G125" s="73" t="s">
        <v>728</v>
      </c>
      <c r="H125" s="73">
        <v>1050581</v>
      </c>
      <c r="I125" s="76" t="s">
        <v>55</v>
      </c>
      <c r="J125" s="76" t="s">
        <v>300</v>
      </c>
      <c r="K125" s="73" t="s">
        <v>48</v>
      </c>
      <c r="L125" s="81" t="s">
        <v>3</v>
      </c>
    </row>
    <row r="126" spans="1:12">
      <c r="A126" s="72">
        <v>7481602</v>
      </c>
      <c r="B126" s="72" t="s">
        <v>729</v>
      </c>
      <c r="C126" s="73" t="s">
        <v>717</v>
      </c>
      <c r="D126" s="73" t="s">
        <v>730</v>
      </c>
      <c r="E126" s="73" t="s">
        <v>731</v>
      </c>
      <c r="F126" s="73" t="s">
        <v>732</v>
      </c>
      <c r="G126" s="73" t="s">
        <v>733</v>
      </c>
      <c r="H126" s="73">
        <v>1050126</v>
      </c>
      <c r="I126" s="76" t="s">
        <v>55</v>
      </c>
      <c r="J126" s="76" t="s">
        <v>56</v>
      </c>
      <c r="K126" s="73" t="s">
        <v>48</v>
      </c>
      <c r="L126" s="81" t="s">
        <v>3</v>
      </c>
    </row>
    <row r="127" spans="1:12">
      <c r="A127" s="72">
        <v>12934132</v>
      </c>
      <c r="B127" s="72" t="s">
        <v>734</v>
      </c>
      <c r="C127" s="73" t="s">
        <v>735</v>
      </c>
      <c r="D127" s="73" t="s">
        <v>736</v>
      </c>
      <c r="E127" s="73" t="s">
        <v>737</v>
      </c>
      <c r="F127" s="73" t="s">
        <v>738</v>
      </c>
      <c r="G127" s="73" t="s">
        <v>739</v>
      </c>
      <c r="H127" s="77">
        <v>1050603</v>
      </c>
      <c r="I127" s="80" t="s">
        <v>596</v>
      </c>
      <c r="J127" s="80" t="s">
        <v>596</v>
      </c>
      <c r="K127" s="73" t="s">
        <v>48</v>
      </c>
      <c r="L127" s="77" t="s">
        <v>57</v>
      </c>
    </row>
    <row r="128" spans="1:12">
      <c r="A128" s="72">
        <v>4776546</v>
      </c>
      <c r="B128" s="72" t="s">
        <v>740</v>
      </c>
      <c r="C128" s="73" t="s">
        <v>741</v>
      </c>
      <c r="D128" s="73" t="s">
        <v>742</v>
      </c>
      <c r="E128" s="73" t="s">
        <v>743</v>
      </c>
      <c r="F128" s="73" t="s">
        <v>744</v>
      </c>
      <c r="G128" s="74" t="s">
        <v>745</v>
      </c>
      <c r="H128" s="73">
        <v>1050616</v>
      </c>
      <c r="I128" s="80" t="s">
        <v>114</v>
      </c>
      <c r="J128" s="80" t="s">
        <v>93</v>
      </c>
      <c r="K128" s="73" t="s">
        <v>48</v>
      </c>
      <c r="L128" s="78" t="s">
        <v>3</v>
      </c>
    </row>
    <row r="129" spans="1:12">
      <c r="A129" s="72">
        <v>10746078</v>
      </c>
      <c r="B129" s="72" t="s">
        <v>746</v>
      </c>
      <c r="C129" s="73" t="s">
        <v>539</v>
      </c>
      <c r="D129" s="73" t="s">
        <v>747</v>
      </c>
      <c r="E129" s="73" t="s">
        <v>748</v>
      </c>
      <c r="F129" s="73" t="s">
        <v>749</v>
      </c>
      <c r="G129" s="73" t="s">
        <v>750</v>
      </c>
      <c r="H129" s="73">
        <v>1050574</v>
      </c>
      <c r="I129" s="80" t="s">
        <v>71</v>
      </c>
      <c r="J129" s="80" t="s">
        <v>72</v>
      </c>
      <c r="K129" s="73" t="s">
        <v>48</v>
      </c>
      <c r="L129" s="81" t="s">
        <v>3</v>
      </c>
    </row>
    <row r="130" spans="1:12">
      <c r="A130" s="72">
        <v>15823421</v>
      </c>
      <c r="B130" s="72" t="s">
        <v>751</v>
      </c>
      <c r="C130" s="73" t="s">
        <v>752</v>
      </c>
      <c r="D130" s="73" t="s">
        <v>752</v>
      </c>
      <c r="E130" s="73" t="s">
        <v>753</v>
      </c>
      <c r="F130" s="73" t="s">
        <v>754</v>
      </c>
      <c r="G130" s="73" t="s">
        <v>755</v>
      </c>
      <c r="H130" s="73">
        <v>1050552</v>
      </c>
      <c r="I130" s="76" t="s">
        <v>349</v>
      </c>
      <c r="J130" s="76" t="s">
        <v>189</v>
      </c>
      <c r="K130" s="73" t="s">
        <v>48</v>
      </c>
      <c r="L130" s="78" t="s">
        <v>3</v>
      </c>
    </row>
    <row r="131" spans="1:12">
      <c r="A131" s="72">
        <v>9503712</v>
      </c>
      <c r="B131" s="72" t="s">
        <v>756</v>
      </c>
      <c r="C131" s="73" t="s">
        <v>757</v>
      </c>
      <c r="D131" s="73" t="s">
        <v>96</v>
      </c>
      <c r="E131" s="73" t="s">
        <v>758</v>
      </c>
      <c r="F131" s="73" t="s">
        <v>759</v>
      </c>
      <c r="G131" s="73" t="s">
        <v>760</v>
      </c>
      <c r="H131" s="73">
        <v>1050557</v>
      </c>
      <c r="I131" s="76" t="s">
        <v>276</v>
      </c>
      <c r="J131" s="76" t="s">
        <v>277</v>
      </c>
      <c r="K131" s="73" t="s">
        <v>48</v>
      </c>
      <c r="L131" s="78" t="s">
        <v>3</v>
      </c>
    </row>
    <row r="132" spans="1:12">
      <c r="A132" s="72">
        <v>8272509</v>
      </c>
      <c r="B132" s="72" t="s">
        <v>761</v>
      </c>
      <c r="C132" s="73" t="s">
        <v>762</v>
      </c>
      <c r="D132" s="73" t="s">
        <v>762</v>
      </c>
      <c r="E132" s="73" t="s">
        <v>763</v>
      </c>
      <c r="F132" s="73" t="s">
        <v>764</v>
      </c>
      <c r="G132" s="74" t="s">
        <v>765</v>
      </c>
      <c r="H132" s="73">
        <v>1050616</v>
      </c>
      <c r="I132" s="76" t="s">
        <v>114</v>
      </c>
      <c r="J132" s="80" t="s">
        <v>47</v>
      </c>
      <c r="K132" s="73" t="s">
        <v>48</v>
      </c>
      <c r="L132" s="78" t="s">
        <v>3</v>
      </c>
    </row>
    <row r="133" spans="1:12">
      <c r="A133" s="72">
        <v>13681026</v>
      </c>
      <c r="B133" s="72" t="s">
        <v>766</v>
      </c>
      <c r="C133" s="73" t="s">
        <v>767</v>
      </c>
      <c r="D133" s="73" t="s">
        <v>768</v>
      </c>
      <c r="E133" s="73" t="s">
        <v>769</v>
      </c>
      <c r="F133" s="73" t="s">
        <v>770</v>
      </c>
      <c r="G133" s="73" t="s">
        <v>771</v>
      </c>
      <c r="H133" s="73">
        <v>1050581</v>
      </c>
      <c r="I133" s="76" t="s">
        <v>55</v>
      </c>
      <c r="J133" s="76" t="s">
        <v>300</v>
      </c>
      <c r="K133" s="73" t="s">
        <v>48</v>
      </c>
      <c r="L133" s="78" t="s">
        <v>57</v>
      </c>
    </row>
    <row r="134" spans="1:12">
      <c r="A134" s="72">
        <v>14017495</v>
      </c>
      <c r="B134" s="72" t="s">
        <v>772</v>
      </c>
      <c r="C134" s="73" t="s">
        <v>459</v>
      </c>
      <c r="D134" s="73" t="s">
        <v>206</v>
      </c>
      <c r="E134" s="73" t="s">
        <v>773</v>
      </c>
      <c r="F134" s="73" t="s">
        <v>774</v>
      </c>
      <c r="G134" s="73" t="s">
        <v>775</v>
      </c>
      <c r="H134" s="73">
        <v>1050126</v>
      </c>
      <c r="I134" s="76" t="s">
        <v>55</v>
      </c>
      <c r="J134" s="76" t="s">
        <v>56</v>
      </c>
      <c r="K134" s="73" t="s">
        <v>48</v>
      </c>
      <c r="L134" s="81" t="s">
        <v>57</v>
      </c>
    </row>
    <row r="135" spans="1:12">
      <c r="A135" s="72">
        <v>17543156</v>
      </c>
      <c r="B135" s="72" t="s">
        <v>776</v>
      </c>
      <c r="C135" s="73" t="s">
        <v>777</v>
      </c>
      <c r="D135" s="73" t="s">
        <v>778</v>
      </c>
      <c r="E135" s="73" t="s">
        <v>779</v>
      </c>
      <c r="F135" s="73" t="s">
        <v>780</v>
      </c>
      <c r="G135" s="73" t="s">
        <v>781</v>
      </c>
      <c r="H135" s="73">
        <v>1050609</v>
      </c>
      <c r="I135" s="76" t="s">
        <v>92</v>
      </c>
      <c r="J135" s="76" t="s">
        <v>47</v>
      </c>
      <c r="K135" s="73" t="s">
        <v>48</v>
      </c>
      <c r="L135" s="78" t="s">
        <v>3</v>
      </c>
    </row>
    <row r="136" spans="1:12">
      <c r="A136" s="72">
        <v>11054986</v>
      </c>
      <c r="B136" s="72" t="s">
        <v>782</v>
      </c>
      <c r="C136" s="73" t="s">
        <v>783</v>
      </c>
      <c r="D136" s="73" t="s">
        <v>784</v>
      </c>
      <c r="E136" s="73" t="s">
        <v>785</v>
      </c>
      <c r="F136" s="73" t="s">
        <v>786</v>
      </c>
      <c r="G136" s="73" t="s">
        <v>787</v>
      </c>
      <c r="H136" s="73">
        <v>1050554</v>
      </c>
      <c r="I136" s="76" t="s">
        <v>26</v>
      </c>
      <c r="J136" s="76" t="s">
        <v>174</v>
      </c>
      <c r="K136" s="73" t="s">
        <v>48</v>
      </c>
      <c r="L136" s="78" t="s">
        <v>4</v>
      </c>
    </row>
    <row r="137" spans="1:12">
      <c r="A137" s="72">
        <v>12898844</v>
      </c>
      <c r="B137" s="72" t="s">
        <v>788</v>
      </c>
      <c r="C137" s="73" t="s">
        <v>153</v>
      </c>
      <c r="D137" s="73" t="s">
        <v>789</v>
      </c>
      <c r="E137" s="73" t="s">
        <v>790</v>
      </c>
      <c r="F137" s="73" t="s">
        <v>791</v>
      </c>
      <c r="G137" s="73" t="s">
        <v>792</v>
      </c>
      <c r="H137" s="73">
        <v>1050604</v>
      </c>
      <c r="I137" s="76" t="s">
        <v>793</v>
      </c>
      <c r="J137" s="76" t="s">
        <v>793</v>
      </c>
      <c r="K137" s="73" t="s">
        <v>48</v>
      </c>
      <c r="L137" s="78" t="s">
        <v>3</v>
      </c>
    </row>
    <row r="138" spans="1:12">
      <c r="A138" s="72">
        <v>10876404</v>
      </c>
      <c r="B138" s="72" t="s">
        <v>794</v>
      </c>
      <c r="C138" s="73" t="s">
        <v>153</v>
      </c>
      <c r="D138" s="73" t="s">
        <v>795</v>
      </c>
      <c r="E138" s="73" t="s">
        <v>796</v>
      </c>
      <c r="F138" s="73" t="s">
        <v>797</v>
      </c>
      <c r="G138" s="73" t="s">
        <v>798</v>
      </c>
      <c r="H138" s="73">
        <v>1050551</v>
      </c>
      <c r="I138" s="76" t="s">
        <v>349</v>
      </c>
      <c r="J138" s="76" t="s">
        <v>277</v>
      </c>
      <c r="K138" s="73" t="s">
        <v>48</v>
      </c>
      <c r="L138" s="85" t="s">
        <v>3</v>
      </c>
    </row>
    <row r="139" spans="1:12">
      <c r="A139" s="72">
        <v>7815083</v>
      </c>
      <c r="B139" s="72" t="s">
        <v>799</v>
      </c>
      <c r="C139" s="73" t="s">
        <v>153</v>
      </c>
      <c r="D139" s="73" t="s">
        <v>800</v>
      </c>
      <c r="E139" s="73" t="s">
        <v>801</v>
      </c>
      <c r="F139" s="73" t="s">
        <v>802</v>
      </c>
      <c r="G139" s="73" t="s">
        <v>803</v>
      </c>
      <c r="H139" s="73">
        <v>1050554</v>
      </c>
      <c r="I139" s="76" t="s">
        <v>26</v>
      </c>
      <c r="J139" s="76" t="s">
        <v>189</v>
      </c>
      <c r="K139" s="73" t="s">
        <v>48</v>
      </c>
      <c r="L139" s="78" t="s">
        <v>57</v>
      </c>
    </row>
    <row r="140" spans="1:12">
      <c r="A140" s="72">
        <v>6646724</v>
      </c>
      <c r="B140" s="72" t="s">
        <v>804</v>
      </c>
      <c r="C140" s="73" t="s">
        <v>153</v>
      </c>
      <c r="D140" s="73" t="s">
        <v>800</v>
      </c>
      <c r="E140" s="73" t="s">
        <v>207</v>
      </c>
      <c r="F140" s="73" t="s">
        <v>805</v>
      </c>
      <c r="G140" s="73" t="s">
        <v>806</v>
      </c>
      <c r="H140" s="73">
        <v>1050555</v>
      </c>
      <c r="I140" s="76" t="s">
        <v>188</v>
      </c>
      <c r="J140" s="76" t="s">
        <v>277</v>
      </c>
      <c r="K140" s="73" t="s">
        <v>48</v>
      </c>
      <c r="L140" s="78" t="s">
        <v>3</v>
      </c>
    </row>
    <row r="141" spans="1:12">
      <c r="A141" s="72">
        <v>9488801</v>
      </c>
      <c r="B141" s="72" t="s">
        <v>807</v>
      </c>
      <c r="C141" s="73" t="s">
        <v>153</v>
      </c>
      <c r="D141" s="73" t="s">
        <v>800</v>
      </c>
      <c r="E141" s="73" t="s">
        <v>808</v>
      </c>
      <c r="F141" s="73" t="s">
        <v>809</v>
      </c>
      <c r="G141" s="73" t="s">
        <v>810</v>
      </c>
      <c r="H141" s="73">
        <v>1050555</v>
      </c>
      <c r="I141" s="76" t="s">
        <v>188</v>
      </c>
      <c r="J141" s="76" t="s">
        <v>277</v>
      </c>
      <c r="K141" s="73" t="s">
        <v>48</v>
      </c>
      <c r="L141" s="78" t="s">
        <v>57</v>
      </c>
    </row>
    <row r="142" spans="1:12">
      <c r="A142" s="72">
        <v>15786314</v>
      </c>
      <c r="B142" s="72" t="s">
        <v>811</v>
      </c>
      <c r="C142" s="73" t="s">
        <v>153</v>
      </c>
      <c r="D142" s="73" t="s">
        <v>218</v>
      </c>
      <c r="E142" s="73" t="s">
        <v>526</v>
      </c>
      <c r="F142" s="73" t="s">
        <v>812</v>
      </c>
      <c r="G142" s="73" t="s">
        <v>813</v>
      </c>
      <c r="H142" s="73">
        <v>1050616</v>
      </c>
      <c r="I142" s="80" t="s">
        <v>114</v>
      </c>
      <c r="J142" s="80" t="s">
        <v>115</v>
      </c>
      <c r="K142" s="73" t="s">
        <v>48</v>
      </c>
      <c r="L142" s="78" t="s">
        <v>3</v>
      </c>
    </row>
    <row r="143" spans="1:12">
      <c r="A143" s="72">
        <v>16266817</v>
      </c>
      <c r="B143" s="72" t="s">
        <v>814</v>
      </c>
      <c r="C143" s="73" t="s">
        <v>815</v>
      </c>
      <c r="D143" s="73" t="s">
        <v>816</v>
      </c>
      <c r="E143" s="73" t="s">
        <v>817</v>
      </c>
      <c r="F143" s="73" t="s">
        <v>818</v>
      </c>
      <c r="G143" s="73" t="s">
        <v>819</v>
      </c>
      <c r="H143" s="73">
        <v>1050127</v>
      </c>
      <c r="I143" s="76" t="s">
        <v>55</v>
      </c>
      <c r="J143" s="76" t="s">
        <v>64</v>
      </c>
      <c r="K143" s="73" t="s">
        <v>48</v>
      </c>
      <c r="L143" s="81" t="s">
        <v>3</v>
      </c>
    </row>
    <row r="144" spans="1:12">
      <c r="A144" s="72">
        <v>20342651</v>
      </c>
      <c r="B144" s="72" t="s">
        <v>820</v>
      </c>
      <c r="C144" s="73" t="s">
        <v>815</v>
      </c>
      <c r="D144" s="73" t="s">
        <v>821</v>
      </c>
      <c r="E144" s="73" t="s">
        <v>822</v>
      </c>
      <c r="F144" s="73" t="s">
        <v>823</v>
      </c>
      <c r="G144" s="74" t="s">
        <v>824</v>
      </c>
      <c r="H144" s="73">
        <v>1050574</v>
      </c>
      <c r="I144" s="80" t="s">
        <v>71</v>
      </c>
      <c r="J144" s="80" t="s">
        <v>72</v>
      </c>
      <c r="K144" s="73" t="s">
        <v>48</v>
      </c>
      <c r="L144" s="81" t="s">
        <v>57</v>
      </c>
    </row>
    <row r="145" spans="1:13">
      <c r="A145" s="72">
        <v>9608532</v>
      </c>
      <c r="B145" s="72" t="s">
        <v>825</v>
      </c>
      <c r="C145" s="73" t="s">
        <v>826</v>
      </c>
      <c r="D145" s="73" t="s">
        <v>827</v>
      </c>
      <c r="E145" s="73" t="s">
        <v>368</v>
      </c>
      <c r="F145" s="73" t="s">
        <v>828</v>
      </c>
      <c r="G145" s="73" t="s">
        <v>829</v>
      </c>
      <c r="H145" s="77">
        <v>1050603</v>
      </c>
      <c r="I145" s="80" t="s">
        <v>596</v>
      </c>
      <c r="J145" s="80" t="s">
        <v>596</v>
      </c>
      <c r="K145" s="73" t="s">
        <v>48</v>
      </c>
      <c r="L145" s="85" t="s">
        <v>4</v>
      </c>
    </row>
    <row r="146" spans="1:13">
      <c r="A146" s="72">
        <v>12020450</v>
      </c>
      <c r="B146" s="72" t="s">
        <v>830</v>
      </c>
      <c r="C146" s="73" t="s">
        <v>831</v>
      </c>
      <c r="D146" s="73" t="s">
        <v>815</v>
      </c>
      <c r="E146" s="73" t="s">
        <v>832</v>
      </c>
      <c r="F146" s="73" t="s">
        <v>833</v>
      </c>
      <c r="G146" s="73" t="s">
        <v>834</v>
      </c>
      <c r="H146" s="73">
        <v>1050126</v>
      </c>
      <c r="I146" s="76" t="s">
        <v>55</v>
      </c>
      <c r="J146" s="76" t="s">
        <v>56</v>
      </c>
      <c r="K146" s="73" t="s">
        <v>48</v>
      </c>
      <c r="L146" s="81" t="s">
        <v>3</v>
      </c>
    </row>
    <row r="147" spans="1:13">
      <c r="A147" s="72">
        <v>6528911</v>
      </c>
      <c r="B147" s="72" t="s">
        <v>835</v>
      </c>
      <c r="C147" s="73" t="s">
        <v>836</v>
      </c>
      <c r="D147" s="73" t="s">
        <v>51</v>
      </c>
      <c r="E147" s="73" t="s">
        <v>285</v>
      </c>
      <c r="F147" s="73" t="s">
        <v>837</v>
      </c>
      <c r="G147" s="73" t="s">
        <v>838</v>
      </c>
      <c r="H147" s="75">
        <v>1050554</v>
      </c>
      <c r="I147" s="76" t="s">
        <v>26</v>
      </c>
      <c r="J147" s="93" t="s">
        <v>420</v>
      </c>
      <c r="K147" s="73" t="s">
        <v>48</v>
      </c>
      <c r="L147" s="78" t="s">
        <v>3</v>
      </c>
    </row>
    <row r="148" spans="1:13">
      <c r="A148" s="72">
        <v>6010169</v>
      </c>
      <c r="B148" s="72" t="s">
        <v>839</v>
      </c>
      <c r="C148" s="73" t="s">
        <v>836</v>
      </c>
      <c r="D148" s="73" t="s">
        <v>840</v>
      </c>
      <c r="E148" s="73" t="s">
        <v>583</v>
      </c>
      <c r="F148" s="73" t="s">
        <v>841</v>
      </c>
      <c r="G148" s="73" t="s">
        <v>842</v>
      </c>
      <c r="H148" s="73">
        <v>1050616</v>
      </c>
      <c r="I148" s="76" t="s">
        <v>114</v>
      </c>
      <c r="J148" s="76" t="s">
        <v>93</v>
      </c>
      <c r="K148" s="73" t="s">
        <v>48</v>
      </c>
      <c r="L148" s="78" t="s">
        <v>3</v>
      </c>
    </row>
    <row r="149" spans="1:13">
      <c r="A149" s="72">
        <v>6940813</v>
      </c>
      <c r="B149" s="72" t="s">
        <v>843</v>
      </c>
      <c r="C149" s="73" t="s">
        <v>844</v>
      </c>
      <c r="D149" s="73" t="s">
        <v>845</v>
      </c>
      <c r="E149" s="73" t="s">
        <v>846</v>
      </c>
      <c r="F149" s="73" t="s">
        <v>847</v>
      </c>
      <c r="G149" s="73" t="s">
        <v>848</v>
      </c>
      <c r="H149" s="73">
        <v>1050555</v>
      </c>
      <c r="I149" s="76" t="s">
        <v>188</v>
      </c>
      <c r="J149" s="76" t="s">
        <v>47</v>
      </c>
      <c r="K149" s="73" t="s">
        <v>48</v>
      </c>
      <c r="L149" s="78" t="s">
        <v>4</v>
      </c>
    </row>
    <row r="150" spans="1:13">
      <c r="A150" s="72">
        <v>15444951</v>
      </c>
      <c r="B150" s="95" t="s">
        <v>849</v>
      </c>
      <c r="C150" s="73" t="s">
        <v>844</v>
      </c>
      <c r="D150" s="73" t="s">
        <v>141</v>
      </c>
      <c r="E150" s="73" t="s">
        <v>850</v>
      </c>
      <c r="F150" s="73" t="s">
        <v>851</v>
      </c>
      <c r="G150" s="73" t="s">
        <v>852</v>
      </c>
      <c r="H150" s="73">
        <v>1050633</v>
      </c>
      <c r="I150" s="76" t="s">
        <v>55</v>
      </c>
      <c r="J150" s="76" t="s">
        <v>157</v>
      </c>
      <c r="K150" s="73" t="s">
        <v>48</v>
      </c>
      <c r="L150" s="81" t="s">
        <v>4</v>
      </c>
    </row>
    <row r="151" spans="1:13">
      <c r="A151" s="72">
        <v>13297988</v>
      </c>
      <c r="B151" s="72" t="s">
        <v>853</v>
      </c>
      <c r="C151" s="73" t="s">
        <v>355</v>
      </c>
      <c r="D151" s="73" t="s">
        <v>854</v>
      </c>
      <c r="E151" s="73" t="s">
        <v>165</v>
      </c>
      <c r="F151" s="73" t="s">
        <v>855</v>
      </c>
      <c r="G151" s="73" t="s">
        <v>856</v>
      </c>
      <c r="H151" s="73">
        <v>1050609</v>
      </c>
      <c r="I151" s="76" t="s">
        <v>92</v>
      </c>
      <c r="J151" s="76" t="s">
        <v>277</v>
      </c>
      <c r="K151" s="73" t="s">
        <v>48</v>
      </c>
      <c r="L151" s="81" t="s">
        <v>57</v>
      </c>
    </row>
    <row r="152" spans="1:13">
      <c r="A152" s="72">
        <v>16149604</v>
      </c>
      <c r="B152" s="72" t="s">
        <v>857</v>
      </c>
      <c r="C152" s="73" t="s">
        <v>355</v>
      </c>
      <c r="D152" s="73" t="s">
        <v>637</v>
      </c>
      <c r="E152" s="73" t="s">
        <v>670</v>
      </c>
      <c r="F152" s="73" t="s">
        <v>858</v>
      </c>
      <c r="G152" s="73" t="s">
        <v>859</v>
      </c>
      <c r="H152" s="73">
        <v>1050529</v>
      </c>
      <c r="I152" s="76" t="s">
        <v>269</v>
      </c>
      <c r="J152" s="76" t="s">
        <v>269</v>
      </c>
      <c r="K152" s="73" t="s">
        <v>48</v>
      </c>
      <c r="L152" s="81" t="s">
        <v>4</v>
      </c>
      <c r="M152" s="71" t="s">
        <v>270</v>
      </c>
    </row>
    <row r="153" spans="1:13">
      <c r="A153" s="72">
        <v>16408490</v>
      </c>
      <c r="B153" s="72" t="s">
        <v>860</v>
      </c>
      <c r="C153" s="73" t="s">
        <v>861</v>
      </c>
      <c r="D153" s="73" t="s">
        <v>862</v>
      </c>
      <c r="E153" s="73" t="s">
        <v>863</v>
      </c>
      <c r="F153" s="73" t="s">
        <v>864</v>
      </c>
      <c r="G153" s="73" t="s">
        <v>865</v>
      </c>
      <c r="H153" s="73">
        <v>1050502</v>
      </c>
      <c r="I153" s="96" t="s">
        <v>866</v>
      </c>
      <c r="J153" s="96" t="s">
        <v>866</v>
      </c>
      <c r="K153" s="73" t="s">
        <v>48</v>
      </c>
      <c r="L153" s="78" t="s">
        <v>3</v>
      </c>
    </row>
    <row r="154" spans="1:13">
      <c r="A154" s="72">
        <v>7721223</v>
      </c>
      <c r="B154" s="72" t="s">
        <v>867</v>
      </c>
      <c r="C154" s="73" t="s">
        <v>868</v>
      </c>
      <c r="D154" s="73" t="s">
        <v>778</v>
      </c>
      <c r="E154" s="73" t="s">
        <v>869</v>
      </c>
      <c r="F154" s="73" t="s">
        <v>870</v>
      </c>
      <c r="G154" s="73" t="s">
        <v>871</v>
      </c>
      <c r="H154" s="73">
        <v>1050633</v>
      </c>
      <c r="I154" s="76" t="s">
        <v>55</v>
      </c>
      <c r="J154" s="76" t="s">
        <v>157</v>
      </c>
      <c r="K154" s="73" t="s">
        <v>48</v>
      </c>
      <c r="L154" s="78" t="s">
        <v>4</v>
      </c>
    </row>
    <row r="155" spans="1:13">
      <c r="A155" s="72">
        <v>12051254</v>
      </c>
      <c r="B155" s="72" t="s">
        <v>872</v>
      </c>
      <c r="C155" s="73" t="s">
        <v>873</v>
      </c>
      <c r="D155" s="73" t="s">
        <v>406</v>
      </c>
      <c r="E155" s="73" t="s">
        <v>89</v>
      </c>
      <c r="F155" s="73" t="s">
        <v>874</v>
      </c>
      <c r="G155" s="73" t="s">
        <v>875</v>
      </c>
      <c r="H155" s="73">
        <v>1050161</v>
      </c>
      <c r="I155" s="76" t="s">
        <v>55</v>
      </c>
      <c r="J155" s="76" t="s">
        <v>876</v>
      </c>
      <c r="K155" s="73" t="s">
        <v>48</v>
      </c>
      <c r="L155" s="81" t="s">
        <v>3</v>
      </c>
    </row>
    <row r="156" spans="1:13">
      <c r="A156" s="72">
        <v>7913597</v>
      </c>
      <c r="B156" s="72" t="s">
        <v>877</v>
      </c>
      <c r="C156" s="73" t="s">
        <v>610</v>
      </c>
      <c r="D156" s="73" t="s">
        <v>878</v>
      </c>
      <c r="E156" s="73" t="s">
        <v>879</v>
      </c>
      <c r="F156" s="73" t="s">
        <v>880</v>
      </c>
      <c r="G156" s="73" t="s">
        <v>881</v>
      </c>
      <c r="H156" s="73">
        <v>1050127</v>
      </c>
      <c r="I156" s="76" t="s">
        <v>55</v>
      </c>
      <c r="J156" s="76" t="s">
        <v>64</v>
      </c>
      <c r="K156" s="73" t="s">
        <v>48</v>
      </c>
      <c r="L156" s="81" t="s">
        <v>3</v>
      </c>
    </row>
    <row r="157" spans="1:13">
      <c r="A157" s="72">
        <v>10168958</v>
      </c>
      <c r="B157" s="72" t="s">
        <v>882</v>
      </c>
      <c r="C157" s="73" t="s">
        <v>610</v>
      </c>
      <c r="D157" s="73" t="s">
        <v>883</v>
      </c>
      <c r="E157" s="73" t="s">
        <v>569</v>
      </c>
      <c r="F157" s="73" t="s">
        <v>884</v>
      </c>
      <c r="G157" s="73" t="s">
        <v>885</v>
      </c>
      <c r="H157" s="73">
        <v>1050633</v>
      </c>
      <c r="I157" s="76" t="s">
        <v>55</v>
      </c>
      <c r="J157" s="76" t="s">
        <v>157</v>
      </c>
      <c r="K157" s="73" t="s">
        <v>48</v>
      </c>
      <c r="L157" s="81" t="s">
        <v>57</v>
      </c>
    </row>
    <row r="158" spans="1:13">
      <c r="A158" s="72">
        <v>9741880</v>
      </c>
      <c r="B158" s="72" t="s">
        <v>886</v>
      </c>
      <c r="C158" s="73" t="s">
        <v>887</v>
      </c>
      <c r="D158" s="73" t="s">
        <v>888</v>
      </c>
      <c r="E158" s="73" t="s">
        <v>889</v>
      </c>
      <c r="F158" s="73" t="s">
        <v>890</v>
      </c>
      <c r="G158" s="73" t="s">
        <v>891</v>
      </c>
      <c r="H158" s="73">
        <v>1050126</v>
      </c>
      <c r="I158" s="76" t="s">
        <v>55</v>
      </c>
      <c r="J158" s="76" t="s">
        <v>56</v>
      </c>
      <c r="K158" s="73" t="s">
        <v>48</v>
      </c>
      <c r="L158" s="81" t="s">
        <v>57</v>
      </c>
    </row>
    <row r="159" spans="1:13">
      <c r="A159" s="72">
        <v>15444698</v>
      </c>
      <c r="B159" s="72" t="s">
        <v>892</v>
      </c>
      <c r="C159" s="73" t="s">
        <v>893</v>
      </c>
      <c r="D159" s="73" t="s">
        <v>894</v>
      </c>
      <c r="E159" s="73" t="s">
        <v>895</v>
      </c>
      <c r="F159" s="73" t="s">
        <v>896</v>
      </c>
      <c r="G159" s="73" t="s">
        <v>897</v>
      </c>
      <c r="H159" s="73">
        <v>1050127</v>
      </c>
      <c r="I159" s="76" t="s">
        <v>55</v>
      </c>
      <c r="J159" s="76" t="s">
        <v>64</v>
      </c>
      <c r="K159" s="73" t="s">
        <v>48</v>
      </c>
      <c r="L159" s="81" t="s">
        <v>57</v>
      </c>
    </row>
    <row r="160" spans="1:13">
      <c r="A160" s="72">
        <v>13553033</v>
      </c>
      <c r="B160" s="72" t="s">
        <v>898</v>
      </c>
      <c r="C160" s="73" t="s">
        <v>899</v>
      </c>
      <c r="D160" s="73" t="s">
        <v>784</v>
      </c>
      <c r="E160" s="73" t="s">
        <v>302</v>
      </c>
      <c r="F160" s="73" t="s">
        <v>900</v>
      </c>
      <c r="G160" s="73" t="s">
        <v>901</v>
      </c>
      <c r="H160" s="73">
        <v>1050610</v>
      </c>
      <c r="I160" s="80" t="s">
        <v>92</v>
      </c>
      <c r="J160" s="80" t="s">
        <v>189</v>
      </c>
      <c r="K160" s="73" t="s">
        <v>48</v>
      </c>
      <c r="L160" s="81" t="s">
        <v>4</v>
      </c>
    </row>
    <row r="161" spans="1:13">
      <c r="A161" s="72">
        <v>16697450</v>
      </c>
      <c r="B161" s="72" t="s">
        <v>902</v>
      </c>
      <c r="C161" s="73" t="s">
        <v>103</v>
      </c>
      <c r="D161" s="73" t="s">
        <v>386</v>
      </c>
      <c r="E161" s="73" t="s">
        <v>903</v>
      </c>
      <c r="F161" s="73" t="s">
        <v>904</v>
      </c>
      <c r="G161" s="73" t="s">
        <v>905</v>
      </c>
      <c r="H161" s="73">
        <v>1050127</v>
      </c>
      <c r="I161" s="76" t="s">
        <v>55</v>
      </c>
      <c r="J161" s="76" t="s">
        <v>64</v>
      </c>
      <c r="K161" s="73" t="s">
        <v>48</v>
      </c>
      <c r="L161" s="81" t="s">
        <v>3</v>
      </c>
    </row>
    <row r="162" spans="1:13">
      <c r="A162" s="72">
        <v>14185109</v>
      </c>
      <c r="B162" s="72" t="s">
        <v>906</v>
      </c>
      <c r="C162" s="73" t="s">
        <v>103</v>
      </c>
      <c r="D162" s="73" t="s">
        <v>426</v>
      </c>
      <c r="E162" s="73" t="s">
        <v>907</v>
      </c>
      <c r="F162" s="73" t="s">
        <v>908</v>
      </c>
      <c r="G162" s="73" t="s">
        <v>909</v>
      </c>
      <c r="H162" s="73">
        <v>1050162</v>
      </c>
      <c r="I162" s="76" t="s">
        <v>55</v>
      </c>
      <c r="J162" s="76" t="s">
        <v>107</v>
      </c>
      <c r="K162" s="73" t="s">
        <v>48</v>
      </c>
      <c r="L162" s="81" t="s">
        <v>57</v>
      </c>
    </row>
    <row r="163" spans="1:13">
      <c r="A163" s="72">
        <v>16029464</v>
      </c>
      <c r="B163" s="72" t="s">
        <v>910</v>
      </c>
      <c r="C163" s="73" t="s">
        <v>103</v>
      </c>
      <c r="D163" s="73" t="s">
        <v>341</v>
      </c>
      <c r="E163" s="73" t="s">
        <v>911</v>
      </c>
      <c r="F163" s="73" t="s">
        <v>912</v>
      </c>
      <c r="G163" s="73" t="s">
        <v>913</v>
      </c>
      <c r="H163" s="73">
        <v>1050632</v>
      </c>
      <c r="I163" s="80" t="s">
        <v>100</v>
      </c>
      <c r="J163" s="80" t="s">
        <v>543</v>
      </c>
      <c r="K163" s="73" t="s">
        <v>48</v>
      </c>
      <c r="L163" s="78" t="s">
        <v>3</v>
      </c>
    </row>
    <row r="164" spans="1:13">
      <c r="A164" s="72">
        <v>10309203</v>
      </c>
      <c r="B164" s="72" t="s">
        <v>914</v>
      </c>
      <c r="C164" s="73" t="s">
        <v>103</v>
      </c>
      <c r="D164" s="73" t="s">
        <v>915</v>
      </c>
      <c r="E164" s="73" t="s">
        <v>916</v>
      </c>
      <c r="F164" s="73" t="s">
        <v>917</v>
      </c>
      <c r="G164" s="73" t="s">
        <v>918</v>
      </c>
      <c r="H164" s="73">
        <v>1050633</v>
      </c>
      <c r="I164" s="76" t="s">
        <v>55</v>
      </c>
      <c r="J164" s="76" t="s">
        <v>157</v>
      </c>
      <c r="K164" s="73" t="s">
        <v>48</v>
      </c>
      <c r="L164" s="81" t="s">
        <v>3</v>
      </c>
    </row>
    <row r="165" spans="1:13">
      <c r="A165" s="72">
        <v>18074081</v>
      </c>
      <c r="B165" s="72" t="s">
        <v>919</v>
      </c>
      <c r="C165" s="73" t="s">
        <v>103</v>
      </c>
      <c r="D165" s="73" t="s">
        <v>920</v>
      </c>
      <c r="E165" s="73" t="s">
        <v>921</v>
      </c>
      <c r="F165" s="73" t="s">
        <v>922</v>
      </c>
      <c r="G165" s="73" t="s">
        <v>923</v>
      </c>
      <c r="H165" s="75">
        <v>1050609</v>
      </c>
      <c r="I165" s="86" t="s">
        <v>92</v>
      </c>
      <c r="J165" s="76" t="s">
        <v>47</v>
      </c>
      <c r="K165" s="73" t="s">
        <v>48</v>
      </c>
      <c r="L165" s="85" t="s">
        <v>57</v>
      </c>
    </row>
    <row r="166" spans="1:13">
      <c r="A166" s="72">
        <v>9806171</v>
      </c>
      <c r="B166" s="72" t="s">
        <v>924</v>
      </c>
      <c r="C166" s="73" t="s">
        <v>925</v>
      </c>
      <c r="D166" s="73" t="s">
        <v>795</v>
      </c>
      <c r="E166" s="73" t="s">
        <v>505</v>
      </c>
      <c r="F166" s="73" t="s">
        <v>926</v>
      </c>
      <c r="G166" s="73" t="s">
        <v>927</v>
      </c>
      <c r="H166" s="73">
        <v>1050595</v>
      </c>
      <c r="I166" s="76" t="s">
        <v>928</v>
      </c>
      <c r="J166" s="76" t="s">
        <v>928</v>
      </c>
      <c r="K166" s="73" t="s">
        <v>48</v>
      </c>
      <c r="L166" s="78" t="s">
        <v>57</v>
      </c>
    </row>
    <row r="167" spans="1:13">
      <c r="A167" s="72">
        <v>16296340</v>
      </c>
      <c r="B167" s="72" t="s">
        <v>929</v>
      </c>
      <c r="C167" s="73" t="s">
        <v>930</v>
      </c>
      <c r="D167" s="73" t="s">
        <v>110</v>
      </c>
      <c r="E167" s="73" t="s">
        <v>266</v>
      </c>
      <c r="F167" s="73" t="s">
        <v>931</v>
      </c>
      <c r="G167" s="73" t="s">
        <v>932</v>
      </c>
      <c r="H167" s="73">
        <v>1050581</v>
      </c>
      <c r="I167" s="76" t="s">
        <v>55</v>
      </c>
      <c r="J167" s="76" t="s">
        <v>300</v>
      </c>
      <c r="K167" s="73" t="s">
        <v>48</v>
      </c>
      <c r="L167" s="81" t="s">
        <v>3</v>
      </c>
    </row>
    <row r="168" spans="1:13">
      <c r="A168" s="72">
        <v>12688280</v>
      </c>
      <c r="B168" s="72" t="s">
        <v>933</v>
      </c>
      <c r="C168" s="73" t="s">
        <v>730</v>
      </c>
      <c r="D168" s="73" t="s">
        <v>88</v>
      </c>
      <c r="E168" s="73" t="s">
        <v>934</v>
      </c>
      <c r="F168" s="73" t="s">
        <v>935</v>
      </c>
      <c r="G168" s="73" t="s">
        <v>936</v>
      </c>
      <c r="H168" s="73">
        <v>1050633</v>
      </c>
      <c r="I168" s="76" t="s">
        <v>55</v>
      </c>
      <c r="J168" s="76" t="s">
        <v>157</v>
      </c>
      <c r="K168" s="73" t="s">
        <v>48</v>
      </c>
      <c r="L168" s="81" t="s">
        <v>4</v>
      </c>
    </row>
    <row r="169" spans="1:13">
      <c r="A169" s="72">
        <v>11476853</v>
      </c>
      <c r="B169" s="72" t="s">
        <v>937</v>
      </c>
      <c r="C169" s="73" t="s">
        <v>730</v>
      </c>
      <c r="D169" s="73" t="s">
        <v>938</v>
      </c>
      <c r="E169" s="73" t="s">
        <v>939</v>
      </c>
      <c r="F169" s="73" t="s">
        <v>940</v>
      </c>
      <c r="G169" s="73" t="s">
        <v>941</v>
      </c>
      <c r="H169" s="73">
        <v>1050610</v>
      </c>
      <c r="I169" s="76" t="s">
        <v>92</v>
      </c>
      <c r="J169" s="76" t="s">
        <v>174</v>
      </c>
      <c r="K169" s="73" t="s">
        <v>48</v>
      </c>
      <c r="L169" s="78" t="s">
        <v>4</v>
      </c>
    </row>
    <row r="170" spans="1:13">
      <c r="A170" s="72">
        <v>10933716</v>
      </c>
      <c r="B170" s="72" t="s">
        <v>942</v>
      </c>
      <c r="C170" s="73" t="s">
        <v>854</v>
      </c>
      <c r="D170" s="73" t="s">
        <v>943</v>
      </c>
      <c r="E170" s="73" t="s">
        <v>944</v>
      </c>
      <c r="F170" s="73" t="s">
        <v>945</v>
      </c>
      <c r="G170" s="73" t="s">
        <v>946</v>
      </c>
      <c r="H170" s="73">
        <v>1050574</v>
      </c>
      <c r="I170" s="80" t="s">
        <v>71</v>
      </c>
      <c r="J170" s="80" t="s">
        <v>72</v>
      </c>
      <c r="K170" s="73" t="s">
        <v>48</v>
      </c>
      <c r="L170" s="81" t="s">
        <v>57</v>
      </c>
    </row>
    <row r="171" spans="1:13">
      <c r="A171" s="72">
        <v>8634737</v>
      </c>
      <c r="B171" s="72" t="s">
        <v>947</v>
      </c>
      <c r="C171" s="73" t="s">
        <v>235</v>
      </c>
      <c r="D171" s="73" t="s">
        <v>948</v>
      </c>
      <c r="E171" s="73" t="s">
        <v>949</v>
      </c>
      <c r="F171" s="73" t="s">
        <v>950</v>
      </c>
      <c r="G171" s="73" t="s">
        <v>951</v>
      </c>
      <c r="H171" s="75">
        <v>1050553</v>
      </c>
      <c r="I171" s="76" t="s">
        <v>26</v>
      </c>
      <c r="J171" s="76" t="s">
        <v>47</v>
      </c>
      <c r="K171" s="73" t="s">
        <v>48</v>
      </c>
      <c r="L171" s="85" t="s">
        <v>4</v>
      </c>
    </row>
    <row r="172" spans="1:13">
      <c r="A172" s="72">
        <v>9485526</v>
      </c>
      <c r="B172" s="72" t="s">
        <v>952</v>
      </c>
      <c r="C172" s="73" t="s">
        <v>878</v>
      </c>
      <c r="D172" s="73" t="s">
        <v>110</v>
      </c>
      <c r="E172" s="73" t="s">
        <v>160</v>
      </c>
      <c r="F172" s="73" t="s">
        <v>953</v>
      </c>
      <c r="G172" s="73" t="s">
        <v>954</v>
      </c>
      <c r="H172" s="73">
        <v>1050127</v>
      </c>
      <c r="I172" s="76" t="s">
        <v>55</v>
      </c>
      <c r="J172" s="76" t="s">
        <v>64</v>
      </c>
      <c r="K172" s="73" t="s">
        <v>48</v>
      </c>
      <c r="L172" s="81" t="s">
        <v>57</v>
      </c>
    </row>
    <row r="173" spans="1:13">
      <c r="A173" s="72">
        <v>17245009</v>
      </c>
      <c r="B173" s="72" t="s">
        <v>955</v>
      </c>
      <c r="C173" s="73" t="s">
        <v>878</v>
      </c>
      <c r="D173" s="73" t="s">
        <v>956</v>
      </c>
      <c r="E173" s="73" t="s">
        <v>817</v>
      </c>
      <c r="F173" s="73" t="s">
        <v>957</v>
      </c>
      <c r="G173" s="73" t="s">
        <v>958</v>
      </c>
      <c r="H173" s="73">
        <v>1050581</v>
      </c>
      <c r="I173" s="76" t="s">
        <v>55</v>
      </c>
      <c r="J173" s="76" t="s">
        <v>300</v>
      </c>
      <c r="K173" s="73" t="s">
        <v>48</v>
      </c>
      <c r="L173" s="81" t="s">
        <v>3</v>
      </c>
    </row>
    <row r="174" spans="1:13">
      <c r="A174" s="72">
        <v>9839411</v>
      </c>
      <c r="B174" s="72" t="s">
        <v>959</v>
      </c>
      <c r="C174" s="73" t="s">
        <v>558</v>
      </c>
      <c r="D174" s="73" t="s">
        <v>960</v>
      </c>
      <c r="E174" s="73" t="s">
        <v>505</v>
      </c>
      <c r="F174" s="73" t="s">
        <v>961</v>
      </c>
      <c r="G174" s="73" t="s">
        <v>962</v>
      </c>
      <c r="H174" s="77">
        <v>1050603</v>
      </c>
      <c r="I174" s="80" t="s">
        <v>596</v>
      </c>
      <c r="J174" s="80" t="s">
        <v>596</v>
      </c>
      <c r="K174" s="73" t="s">
        <v>48</v>
      </c>
      <c r="L174" s="85" t="s">
        <v>57</v>
      </c>
    </row>
    <row r="175" spans="1:13">
      <c r="A175" s="72">
        <v>7916907</v>
      </c>
      <c r="B175" s="72" t="s">
        <v>963</v>
      </c>
      <c r="C175" s="73" t="s">
        <v>558</v>
      </c>
      <c r="D175" s="73" t="s">
        <v>336</v>
      </c>
      <c r="E175" s="73" t="s">
        <v>964</v>
      </c>
      <c r="F175" s="73" t="s">
        <v>965</v>
      </c>
      <c r="G175" s="73" t="s">
        <v>966</v>
      </c>
      <c r="H175" s="73">
        <v>1050604</v>
      </c>
      <c r="I175" s="76" t="s">
        <v>967</v>
      </c>
      <c r="J175" s="76" t="s">
        <v>967</v>
      </c>
      <c r="K175" s="73" t="s">
        <v>48</v>
      </c>
      <c r="L175" s="85" t="s">
        <v>3</v>
      </c>
    </row>
    <row r="176" spans="1:13">
      <c r="A176" s="72">
        <v>14383969</v>
      </c>
      <c r="B176" s="72" t="s">
        <v>968</v>
      </c>
      <c r="C176" s="73" t="s">
        <v>558</v>
      </c>
      <c r="D176" s="73" t="s">
        <v>969</v>
      </c>
      <c r="E176" s="73" t="s">
        <v>970</v>
      </c>
      <c r="F176" s="73" t="s">
        <v>971</v>
      </c>
      <c r="G176" s="74" t="s">
        <v>972</v>
      </c>
      <c r="H176" s="73">
        <v>1050529</v>
      </c>
      <c r="I176" s="76" t="s">
        <v>634</v>
      </c>
      <c r="J176" s="76" t="s">
        <v>634</v>
      </c>
      <c r="K176" s="73" t="s">
        <v>48</v>
      </c>
      <c r="L176" s="78" t="s">
        <v>57</v>
      </c>
      <c r="M176" s="71" t="s">
        <v>365</v>
      </c>
    </row>
    <row r="177" spans="1:12">
      <c r="A177" s="72">
        <v>11657838</v>
      </c>
      <c r="B177" s="72" t="s">
        <v>973</v>
      </c>
      <c r="C177" s="73" t="s">
        <v>956</v>
      </c>
      <c r="D177" s="73" t="s">
        <v>974</v>
      </c>
      <c r="E177" s="73" t="s">
        <v>207</v>
      </c>
      <c r="F177" s="73" t="s">
        <v>975</v>
      </c>
      <c r="G177" s="73" t="s">
        <v>976</v>
      </c>
      <c r="H177" s="73">
        <v>1050127</v>
      </c>
      <c r="I177" s="76" t="s">
        <v>55</v>
      </c>
      <c r="J177" s="76" t="s">
        <v>64</v>
      </c>
      <c r="K177" s="73" t="s">
        <v>48</v>
      </c>
      <c r="L177" s="81" t="s">
        <v>57</v>
      </c>
    </row>
    <row r="178" spans="1:12">
      <c r="A178" s="72">
        <v>7832770</v>
      </c>
      <c r="B178" s="72" t="s">
        <v>977</v>
      </c>
      <c r="C178" s="73" t="s">
        <v>888</v>
      </c>
      <c r="D178" s="73" t="s">
        <v>432</v>
      </c>
      <c r="E178" s="73" t="s">
        <v>480</v>
      </c>
      <c r="F178" s="73" t="s">
        <v>978</v>
      </c>
      <c r="G178" s="73" t="s">
        <v>979</v>
      </c>
      <c r="H178" s="73">
        <v>1050616</v>
      </c>
      <c r="I178" s="80" t="s">
        <v>114</v>
      </c>
      <c r="J178" s="80" t="s">
        <v>93</v>
      </c>
      <c r="K178" s="73" t="s">
        <v>48</v>
      </c>
      <c r="L178" s="78" t="s">
        <v>57</v>
      </c>
    </row>
    <row r="179" spans="1:12">
      <c r="A179" s="72">
        <v>12647009</v>
      </c>
      <c r="B179" s="72" t="s">
        <v>980</v>
      </c>
      <c r="C179" s="73" t="s">
        <v>821</v>
      </c>
      <c r="D179" s="73" t="s">
        <v>981</v>
      </c>
      <c r="E179" s="73" t="s">
        <v>982</v>
      </c>
      <c r="F179" s="73" t="s">
        <v>983</v>
      </c>
      <c r="G179" s="73" t="s">
        <v>984</v>
      </c>
      <c r="H179" s="73">
        <v>1050581</v>
      </c>
      <c r="I179" s="76" t="s">
        <v>55</v>
      </c>
      <c r="J179" s="76" t="s">
        <v>721</v>
      </c>
      <c r="K179" s="73" t="s">
        <v>48</v>
      </c>
      <c r="L179" s="81" t="s">
        <v>3</v>
      </c>
    </row>
    <row r="180" spans="1:12">
      <c r="A180" s="72">
        <v>7009784</v>
      </c>
      <c r="B180" s="72" t="s">
        <v>985</v>
      </c>
      <c r="C180" s="73" t="s">
        <v>821</v>
      </c>
      <c r="D180" s="73" t="s">
        <v>986</v>
      </c>
      <c r="E180" s="73" t="s">
        <v>987</v>
      </c>
      <c r="F180" s="73" t="s">
        <v>988</v>
      </c>
      <c r="G180" s="73" t="s">
        <v>989</v>
      </c>
      <c r="H180" s="73">
        <v>1050126</v>
      </c>
      <c r="I180" s="76" t="s">
        <v>55</v>
      </c>
      <c r="J180" s="76" t="s">
        <v>56</v>
      </c>
      <c r="K180" s="73" t="s">
        <v>48</v>
      </c>
      <c r="L180" s="81" t="s">
        <v>57</v>
      </c>
    </row>
    <row r="181" spans="1:12">
      <c r="A181" s="72">
        <v>8245727</v>
      </c>
      <c r="B181" s="72" t="s">
        <v>990</v>
      </c>
      <c r="C181" s="73" t="s">
        <v>991</v>
      </c>
      <c r="D181" s="73" t="s">
        <v>317</v>
      </c>
      <c r="E181" s="73" t="s">
        <v>148</v>
      </c>
      <c r="F181" s="73" t="s">
        <v>992</v>
      </c>
      <c r="G181" s="73" t="s">
        <v>993</v>
      </c>
      <c r="H181" s="73">
        <v>1050633</v>
      </c>
      <c r="I181" s="76" t="s">
        <v>55</v>
      </c>
      <c r="J181" s="76" t="s">
        <v>157</v>
      </c>
      <c r="K181" s="73" t="s">
        <v>48</v>
      </c>
      <c r="L181" s="81" t="s">
        <v>3</v>
      </c>
    </row>
    <row r="182" spans="1:12">
      <c r="A182" s="72">
        <v>13638571</v>
      </c>
      <c r="B182" s="72" t="s">
        <v>994</v>
      </c>
      <c r="C182" s="73" t="s">
        <v>991</v>
      </c>
      <c r="D182" s="73" t="s">
        <v>624</v>
      </c>
      <c r="E182" s="73" t="s">
        <v>995</v>
      </c>
      <c r="F182" s="73" t="s">
        <v>996</v>
      </c>
      <c r="G182" s="73" t="s">
        <v>997</v>
      </c>
      <c r="H182" s="73">
        <v>1050616</v>
      </c>
      <c r="I182" s="76" t="s">
        <v>114</v>
      </c>
      <c r="J182" s="76" t="s">
        <v>189</v>
      </c>
      <c r="K182" s="73" t="s">
        <v>48</v>
      </c>
      <c r="L182" s="78" t="s">
        <v>4</v>
      </c>
    </row>
    <row r="183" spans="1:12">
      <c r="A183" s="72">
        <v>15891790</v>
      </c>
      <c r="B183" s="72" t="s">
        <v>998</v>
      </c>
      <c r="C183" s="73" t="s">
        <v>991</v>
      </c>
      <c r="D183" s="73" t="s">
        <v>999</v>
      </c>
      <c r="E183" s="73" t="s">
        <v>160</v>
      </c>
      <c r="F183" s="73" t="s">
        <v>1000</v>
      </c>
      <c r="G183" s="73" t="s">
        <v>1001</v>
      </c>
      <c r="H183" s="75">
        <v>1050565</v>
      </c>
      <c r="I183" s="80" t="s">
        <v>1002</v>
      </c>
      <c r="J183" s="80" t="s">
        <v>1003</v>
      </c>
      <c r="K183" s="73" t="s">
        <v>48</v>
      </c>
      <c r="L183" s="77" t="s">
        <v>3</v>
      </c>
    </row>
    <row r="184" spans="1:12">
      <c r="A184" s="72">
        <v>12500119</v>
      </c>
      <c r="B184" s="72" t="s">
        <v>1004</v>
      </c>
      <c r="C184" s="73" t="s">
        <v>1005</v>
      </c>
      <c r="D184" s="73" t="s">
        <v>736</v>
      </c>
      <c r="E184" s="73" t="s">
        <v>1006</v>
      </c>
      <c r="F184" s="73" t="s">
        <v>1007</v>
      </c>
      <c r="G184" s="73" t="s">
        <v>1008</v>
      </c>
      <c r="H184" s="73">
        <v>1050161</v>
      </c>
      <c r="I184" s="76" t="s">
        <v>55</v>
      </c>
      <c r="J184" s="76" t="s">
        <v>472</v>
      </c>
      <c r="K184" s="73" t="s">
        <v>48</v>
      </c>
      <c r="L184" s="81" t="s">
        <v>3</v>
      </c>
    </row>
    <row r="185" spans="1:12">
      <c r="A185" s="72">
        <v>13701209</v>
      </c>
      <c r="B185" s="72" t="s">
        <v>1009</v>
      </c>
      <c r="C185" s="73" t="s">
        <v>1005</v>
      </c>
      <c r="D185" s="73" t="s">
        <v>736</v>
      </c>
      <c r="E185" s="73" t="s">
        <v>1010</v>
      </c>
      <c r="F185" s="73" t="s">
        <v>1011</v>
      </c>
      <c r="G185" s="73" t="s">
        <v>1012</v>
      </c>
      <c r="H185" s="73">
        <v>1050126</v>
      </c>
      <c r="I185" s="76" t="s">
        <v>55</v>
      </c>
      <c r="J185" s="76" t="s">
        <v>56</v>
      </c>
      <c r="K185" s="73" t="s">
        <v>48</v>
      </c>
      <c r="L185" s="81" t="s">
        <v>3</v>
      </c>
    </row>
    <row r="186" spans="1:12">
      <c r="A186" s="72">
        <v>10835391</v>
      </c>
      <c r="B186" s="72" t="s">
        <v>1013</v>
      </c>
      <c r="C186" s="73" t="s">
        <v>1005</v>
      </c>
      <c r="D186" s="73" t="s">
        <v>883</v>
      </c>
      <c r="E186" s="73" t="s">
        <v>1014</v>
      </c>
      <c r="F186" s="73" t="s">
        <v>1015</v>
      </c>
      <c r="G186" s="73" t="s">
        <v>1016</v>
      </c>
      <c r="H186" s="73">
        <v>1050581</v>
      </c>
      <c r="I186" s="76" t="s">
        <v>55</v>
      </c>
      <c r="J186" s="76" t="s">
        <v>300</v>
      </c>
      <c r="K186" s="73" t="s">
        <v>48</v>
      </c>
      <c r="L186" s="81" t="s">
        <v>3</v>
      </c>
    </row>
    <row r="187" spans="1:12">
      <c r="A187" s="72">
        <v>8618882</v>
      </c>
      <c r="B187" s="72" t="s">
        <v>1017</v>
      </c>
      <c r="C187" s="73" t="s">
        <v>637</v>
      </c>
      <c r="D187" s="73" t="s">
        <v>894</v>
      </c>
      <c r="E187" s="73" t="s">
        <v>1018</v>
      </c>
      <c r="F187" s="73" t="s">
        <v>1019</v>
      </c>
      <c r="G187" s="73" t="s">
        <v>1020</v>
      </c>
      <c r="H187" s="73">
        <v>1050633</v>
      </c>
      <c r="I187" s="76" t="s">
        <v>55</v>
      </c>
      <c r="J187" s="76" t="s">
        <v>157</v>
      </c>
      <c r="K187" s="73" t="s">
        <v>48</v>
      </c>
      <c r="L187" s="81" t="s">
        <v>57</v>
      </c>
    </row>
    <row r="188" spans="1:12">
      <c r="A188" s="72">
        <v>16691386</v>
      </c>
      <c r="B188" s="72" t="s">
        <v>1021</v>
      </c>
      <c r="C188" s="73" t="s">
        <v>637</v>
      </c>
      <c r="D188" s="73" t="s">
        <v>1022</v>
      </c>
      <c r="E188" s="73" t="s">
        <v>1023</v>
      </c>
      <c r="F188" s="73" t="s">
        <v>1024</v>
      </c>
      <c r="G188" s="73" t="s">
        <v>1025</v>
      </c>
      <c r="H188" s="73">
        <v>1050581</v>
      </c>
      <c r="I188" s="76" t="s">
        <v>55</v>
      </c>
      <c r="J188" s="76" t="s">
        <v>300</v>
      </c>
      <c r="K188" s="73" t="s">
        <v>48</v>
      </c>
      <c r="L188" s="81" t="s">
        <v>3</v>
      </c>
    </row>
    <row r="189" spans="1:12">
      <c r="A189" s="72">
        <v>8085825</v>
      </c>
      <c r="B189" s="72" t="s">
        <v>1026</v>
      </c>
      <c r="C189" s="73" t="s">
        <v>259</v>
      </c>
      <c r="D189" s="73" t="s">
        <v>1027</v>
      </c>
      <c r="E189" s="73" t="s">
        <v>1028</v>
      </c>
      <c r="F189" s="73" t="s">
        <v>1029</v>
      </c>
      <c r="G189" s="73" t="s">
        <v>1030</v>
      </c>
      <c r="H189" s="73">
        <v>1050609</v>
      </c>
      <c r="I189" s="76" t="s">
        <v>92</v>
      </c>
      <c r="J189" s="76" t="s">
        <v>277</v>
      </c>
      <c r="K189" s="73" t="s">
        <v>48</v>
      </c>
      <c r="L189" s="81" t="s">
        <v>4</v>
      </c>
    </row>
    <row r="190" spans="1:12">
      <c r="A190" s="72">
        <v>10849076</v>
      </c>
      <c r="B190" s="72" t="s">
        <v>1031</v>
      </c>
      <c r="C190" s="73" t="s">
        <v>1032</v>
      </c>
      <c r="D190" s="73" t="s">
        <v>815</v>
      </c>
      <c r="E190" s="73" t="s">
        <v>291</v>
      </c>
      <c r="F190" s="73" t="s">
        <v>1033</v>
      </c>
      <c r="G190" s="73" t="s">
        <v>1034</v>
      </c>
      <c r="H190" s="73">
        <v>1050555</v>
      </c>
      <c r="I190" s="76" t="s">
        <v>188</v>
      </c>
      <c r="J190" s="76" t="s">
        <v>277</v>
      </c>
      <c r="K190" s="73" t="s">
        <v>48</v>
      </c>
      <c r="L190" s="78" t="s">
        <v>4</v>
      </c>
    </row>
    <row r="191" spans="1:12">
      <c r="A191" s="72">
        <v>13079999</v>
      </c>
      <c r="B191" s="72" t="s">
        <v>1035</v>
      </c>
      <c r="C191" s="73" t="s">
        <v>784</v>
      </c>
      <c r="D191" s="73" t="s">
        <v>1036</v>
      </c>
      <c r="E191" s="73" t="s">
        <v>1037</v>
      </c>
      <c r="F191" s="73" t="s">
        <v>1038</v>
      </c>
      <c r="G191" s="73" t="s">
        <v>1039</v>
      </c>
      <c r="H191" s="73">
        <v>1050127</v>
      </c>
      <c r="I191" s="76" t="s">
        <v>55</v>
      </c>
      <c r="J191" s="76" t="s">
        <v>64</v>
      </c>
      <c r="K191" s="73" t="s">
        <v>48</v>
      </c>
      <c r="L191" s="81" t="s">
        <v>4</v>
      </c>
    </row>
    <row r="192" spans="1:12">
      <c r="A192" s="72">
        <v>12896000</v>
      </c>
      <c r="B192" s="72" t="s">
        <v>1040</v>
      </c>
      <c r="C192" s="73" t="s">
        <v>920</v>
      </c>
      <c r="D192" s="73" t="s">
        <v>1041</v>
      </c>
      <c r="E192" s="73" t="s">
        <v>1042</v>
      </c>
      <c r="F192" s="73" t="s">
        <v>1043</v>
      </c>
      <c r="G192" s="74" t="s">
        <v>1044</v>
      </c>
      <c r="H192" s="73">
        <v>10505616</v>
      </c>
      <c r="I192" s="80" t="s">
        <v>114</v>
      </c>
      <c r="J192" s="80" t="s">
        <v>189</v>
      </c>
      <c r="K192" s="73" t="s">
        <v>48</v>
      </c>
      <c r="L192" s="81" t="s">
        <v>57</v>
      </c>
    </row>
    <row r="193" spans="1:12">
      <c r="A193" s="72">
        <v>12896866</v>
      </c>
      <c r="B193" s="72" t="s">
        <v>1045</v>
      </c>
      <c r="C193" s="73" t="s">
        <v>381</v>
      </c>
      <c r="D193" s="73" t="s">
        <v>381</v>
      </c>
      <c r="E193" s="73" t="s">
        <v>1046</v>
      </c>
      <c r="F193" s="73" t="s">
        <v>1047</v>
      </c>
      <c r="G193" s="73" t="s">
        <v>1048</v>
      </c>
      <c r="H193" s="73">
        <v>1050595</v>
      </c>
      <c r="I193" s="76" t="s">
        <v>928</v>
      </c>
      <c r="J193" s="76" t="s">
        <v>928</v>
      </c>
      <c r="K193" s="73" t="s">
        <v>48</v>
      </c>
      <c r="L193" s="78" t="s">
        <v>3</v>
      </c>
    </row>
    <row r="194" spans="1:12">
      <c r="A194" s="72">
        <v>12392999</v>
      </c>
      <c r="B194" s="72" t="s">
        <v>1049</v>
      </c>
      <c r="C194" s="73" t="s">
        <v>1050</v>
      </c>
      <c r="D194" s="73" t="s">
        <v>1051</v>
      </c>
      <c r="E194" s="73" t="s">
        <v>285</v>
      </c>
      <c r="F194" s="73" t="s">
        <v>1052</v>
      </c>
      <c r="G194" s="73" t="s">
        <v>1053</v>
      </c>
      <c r="H194" s="73">
        <v>1050610</v>
      </c>
      <c r="I194" s="80" t="s">
        <v>92</v>
      </c>
      <c r="J194" s="80" t="s">
        <v>189</v>
      </c>
      <c r="K194" s="73" t="s">
        <v>48</v>
      </c>
      <c r="L194" s="78" t="s">
        <v>3</v>
      </c>
    </row>
    <row r="195" spans="1:12">
      <c r="A195" s="72">
        <v>14193049</v>
      </c>
      <c r="B195" s="72" t="s">
        <v>1054</v>
      </c>
      <c r="C195" s="73" t="s">
        <v>1050</v>
      </c>
      <c r="D195" s="73" t="s">
        <v>1055</v>
      </c>
      <c r="E195" s="73" t="s">
        <v>279</v>
      </c>
      <c r="F195" s="73" t="s">
        <v>1056</v>
      </c>
      <c r="G195" s="73" t="s">
        <v>1057</v>
      </c>
      <c r="H195" s="73">
        <v>1050609</v>
      </c>
      <c r="I195" s="76" t="s">
        <v>92</v>
      </c>
      <c r="J195" s="76" t="s">
        <v>47</v>
      </c>
      <c r="K195" s="73" t="s">
        <v>48</v>
      </c>
      <c r="L195" s="81" t="s">
        <v>4</v>
      </c>
    </row>
    <row r="196" spans="1:12">
      <c r="A196" s="72">
        <v>6467952</v>
      </c>
      <c r="B196" s="72" t="s">
        <v>1058</v>
      </c>
      <c r="C196" s="73" t="s">
        <v>1050</v>
      </c>
      <c r="D196" s="73" t="s">
        <v>747</v>
      </c>
      <c r="E196" s="73" t="s">
        <v>1059</v>
      </c>
      <c r="F196" s="73" t="s">
        <v>1060</v>
      </c>
      <c r="G196" s="73" t="s">
        <v>1061</v>
      </c>
      <c r="H196" s="73">
        <v>1050633</v>
      </c>
      <c r="I196" s="76" t="s">
        <v>55</v>
      </c>
      <c r="J196" s="76" t="s">
        <v>157</v>
      </c>
      <c r="K196" s="73" t="s">
        <v>48</v>
      </c>
      <c r="L196" s="81" t="s">
        <v>3</v>
      </c>
    </row>
    <row r="197" spans="1:12">
      <c r="A197" s="72">
        <v>11840491</v>
      </c>
      <c r="B197" s="72" t="s">
        <v>1062</v>
      </c>
      <c r="C197" s="73" t="s">
        <v>736</v>
      </c>
      <c r="D197" s="73" t="s">
        <v>1063</v>
      </c>
      <c r="E197" s="73" t="s">
        <v>1064</v>
      </c>
      <c r="F197" s="73" t="s">
        <v>1065</v>
      </c>
      <c r="G197" s="74" t="s">
        <v>1066</v>
      </c>
      <c r="H197" s="73">
        <v>1050616</v>
      </c>
      <c r="I197" s="80" t="s">
        <v>114</v>
      </c>
      <c r="J197" s="80" t="s">
        <v>115</v>
      </c>
      <c r="K197" s="73" t="s">
        <v>48</v>
      </c>
      <c r="L197" s="78" t="s">
        <v>4</v>
      </c>
    </row>
    <row r="198" spans="1:12">
      <c r="A198" s="72">
        <v>13839512</v>
      </c>
      <c r="B198" s="72" t="s">
        <v>1067</v>
      </c>
      <c r="C198" s="73" t="s">
        <v>1068</v>
      </c>
      <c r="D198" s="73" t="s">
        <v>1069</v>
      </c>
      <c r="E198" s="73" t="s">
        <v>1070</v>
      </c>
      <c r="F198" s="73" t="s">
        <v>1071</v>
      </c>
      <c r="G198" s="73" t="s">
        <v>1072</v>
      </c>
      <c r="H198" s="73">
        <v>1050554</v>
      </c>
      <c r="I198" s="76" t="s">
        <v>26</v>
      </c>
      <c r="J198" s="76" t="s">
        <v>189</v>
      </c>
      <c r="K198" s="73" t="s">
        <v>48</v>
      </c>
      <c r="L198" s="78" t="s">
        <v>3</v>
      </c>
    </row>
    <row r="199" spans="1:12">
      <c r="A199" s="72">
        <v>21516766</v>
      </c>
      <c r="B199" s="72" t="s">
        <v>1073</v>
      </c>
      <c r="C199" s="73" t="s">
        <v>1074</v>
      </c>
      <c r="D199" s="73" t="s">
        <v>1075</v>
      </c>
      <c r="E199" s="73" t="s">
        <v>368</v>
      </c>
      <c r="F199" s="73" t="s">
        <v>1076</v>
      </c>
      <c r="G199" s="73" t="s">
        <v>1077</v>
      </c>
      <c r="H199" s="73">
        <v>1050556</v>
      </c>
      <c r="I199" s="76" t="s">
        <v>188</v>
      </c>
      <c r="J199" s="76" t="s">
        <v>189</v>
      </c>
      <c r="K199" s="73" t="s">
        <v>48</v>
      </c>
      <c r="L199" s="78" t="s">
        <v>57</v>
      </c>
    </row>
    <row r="200" spans="1:12">
      <c r="A200" s="72">
        <v>15436097</v>
      </c>
      <c r="B200" s="72" t="s">
        <v>1078</v>
      </c>
      <c r="C200" s="73" t="s">
        <v>432</v>
      </c>
      <c r="D200" s="73" t="s">
        <v>206</v>
      </c>
      <c r="E200" s="73" t="s">
        <v>368</v>
      </c>
      <c r="F200" s="73" t="s">
        <v>1079</v>
      </c>
      <c r="G200" s="73" t="s">
        <v>1080</v>
      </c>
      <c r="H200" s="73">
        <v>1050552</v>
      </c>
      <c r="I200" s="76" t="s">
        <v>349</v>
      </c>
      <c r="J200" s="76" t="s">
        <v>93</v>
      </c>
      <c r="K200" s="73" t="s">
        <v>48</v>
      </c>
      <c r="L200" s="78" t="s">
        <v>57</v>
      </c>
    </row>
    <row r="201" spans="1:12">
      <c r="A201" s="72">
        <v>10737908</v>
      </c>
      <c r="B201" s="72" t="s">
        <v>1081</v>
      </c>
      <c r="C201" s="73" t="s">
        <v>1082</v>
      </c>
      <c r="D201" s="73" t="s">
        <v>1083</v>
      </c>
      <c r="E201" s="73" t="s">
        <v>1084</v>
      </c>
      <c r="F201" s="73" t="s">
        <v>1085</v>
      </c>
      <c r="G201" s="73" t="s">
        <v>1086</v>
      </c>
      <c r="H201" s="73">
        <v>1050581</v>
      </c>
      <c r="I201" s="76" t="s">
        <v>55</v>
      </c>
      <c r="J201" s="76" t="s">
        <v>1087</v>
      </c>
      <c r="K201" s="73" t="s">
        <v>48</v>
      </c>
      <c r="L201" s="81" t="s">
        <v>3</v>
      </c>
    </row>
    <row r="202" spans="1:12">
      <c r="A202" s="72">
        <v>11123851</v>
      </c>
      <c r="B202" s="72" t="s">
        <v>1088</v>
      </c>
      <c r="C202" s="73" t="s">
        <v>1089</v>
      </c>
      <c r="D202" s="73" t="s">
        <v>110</v>
      </c>
      <c r="E202" s="73" t="s">
        <v>89</v>
      </c>
      <c r="F202" s="73" t="s">
        <v>1090</v>
      </c>
      <c r="G202" s="73" t="s">
        <v>1091</v>
      </c>
      <c r="H202" s="73">
        <v>1050595</v>
      </c>
      <c r="I202" s="76" t="s">
        <v>928</v>
      </c>
      <c r="J202" s="76" t="s">
        <v>928</v>
      </c>
      <c r="K202" s="73" t="s">
        <v>48</v>
      </c>
      <c r="L202" s="78" t="s">
        <v>4</v>
      </c>
    </row>
    <row r="203" spans="1:12">
      <c r="A203" s="72">
        <v>10572816</v>
      </c>
      <c r="B203" s="72" t="s">
        <v>1092</v>
      </c>
      <c r="C203" s="73" t="s">
        <v>88</v>
      </c>
      <c r="D203" s="73" t="s">
        <v>387</v>
      </c>
      <c r="E203" s="73" t="s">
        <v>192</v>
      </c>
      <c r="F203" s="73" t="s">
        <v>1093</v>
      </c>
      <c r="G203" s="73" t="s">
        <v>1094</v>
      </c>
      <c r="H203" s="73">
        <v>1050633</v>
      </c>
      <c r="I203" s="76" t="s">
        <v>55</v>
      </c>
      <c r="J203" s="76" t="s">
        <v>157</v>
      </c>
      <c r="K203" s="73" t="s">
        <v>48</v>
      </c>
      <c r="L203" s="81" t="s">
        <v>57</v>
      </c>
    </row>
    <row r="204" spans="1:12">
      <c r="A204" s="72">
        <v>15327501</v>
      </c>
      <c r="B204" s="72" t="s">
        <v>1095</v>
      </c>
      <c r="C204" s="73" t="s">
        <v>883</v>
      </c>
      <c r="D204" s="73" t="s">
        <v>1096</v>
      </c>
      <c r="E204" s="73" t="s">
        <v>1097</v>
      </c>
      <c r="F204" s="73" t="s">
        <v>1098</v>
      </c>
      <c r="G204" s="73" t="s">
        <v>1099</v>
      </c>
      <c r="H204" s="73">
        <v>1050632</v>
      </c>
      <c r="I204" s="80" t="s">
        <v>100</v>
      </c>
      <c r="J204" s="80" t="s">
        <v>543</v>
      </c>
      <c r="K204" s="73" t="s">
        <v>48</v>
      </c>
      <c r="L204" s="78" t="s">
        <v>4</v>
      </c>
    </row>
    <row r="205" spans="1:12">
      <c r="A205" s="72">
        <v>8881760</v>
      </c>
      <c r="B205" s="72" t="s">
        <v>1100</v>
      </c>
      <c r="C205" s="73" t="s">
        <v>1041</v>
      </c>
      <c r="D205" s="73" t="s">
        <v>1101</v>
      </c>
      <c r="E205" s="73" t="s">
        <v>1102</v>
      </c>
      <c r="F205" s="73" t="s">
        <v>1103</v>
      </c>
      <c r="G205" s="73" t="s">
        <v>1104</v>
      </c>
      <c r="H205" s="73">
        <v>1050574</v>
      </c>
      <c r="I205" s="80" t="s">
        <v>71</v>
      </c>
      <c r="J205" s="80" t="s">
        <v>72</v>
      </c>
      <c r="K205" s="73" t="s">
        <v>48</v>
      </c>
      <c r="L205" s="81" t="s">
        <v>4</v>
      </c>
    </row>
    <row r="206" spans="1:12">
      <c r="A206" s="72">
        <v>9959939</v>
      </c>
      <c r="B206" s="72" t="s">
        <v>1105</v>
      </c>
      <c r="C206" s="73" t="s">
        <v>778</v>
      </c>
      <c r="D206" s="73" t="s">
        <v>1005</v>
      </c>
      <c r="E206" s="73" t="s">
        <v>1106</v>
      </c>
      <c r="F206" s="73" t="s">
        <v>1107</v>
      </c>
      <c r="G206" s="73" t="s">
        <v>1108</v>
      </c>
      <c r="H206" s="73">
        <v>1050556</v>
      </c>
      <c r="I206" s="76" t="s">
        <v>188</v>
      </c>
      <c r="J206" s="76" t="s">
        <v>174</v>
      </c>
      <c r="K206" s="73" t="s">
        <v>48</v>
      </c>
      <c r="L206" s="78" t="s">
        <v>57</v>
      </c>
    </row>
    <row r="207" spans="1:12">
      <c r="A207" s="72">
        <v>14182371</v>
      </c>
      <c r="B207" s="72" t="s">
        <v>1109</v>
      </c>
      <c r="C207" s="73" t="s">
        <v>218</v>
      </c>
      <c r="D207" s="73" t="s">
        <v>1110</v>
      </c>
      <c r="E207" s="73" t="s">
        <v>1111</v>
      </c>
      <c r="F207" s="73" t="s">
        <v>1112</v>
      </c>
      <c r="G207" s="73" t="s">
        <v>1112</v>
      </c>
      <c r="H207" s="73">
        <v>1050632</v>
      </c>
      <c r="I207" s="80" t="s">
        <v>100</v>
      </c>
      <c r="J207" s="80" t="s">
        <v>543</v>
      </c>
      <c r="K207" s="73" t="s">
        <v>48</v>
      </c>
      <c r="L207" s="78" t="s">
        <v>57</v>
      </c>
    </row>
    <row r="208" spans="1:12">
      <c r="A208" s="72">
        <v>16267560</v>
      </c>
      <c r="B208" s="72" t="s">
        <v>1113</v>
      </c>
      <c r="C208" s="84" t="s">
        <v>1114</v>
      </c>
      <c r="D208" s="84" t="s">
        <v>109</v>
      </c>
      <c r="E208" s="84" t="s">
        <v>1115</v>
      </c>
      <c r="F208" s="84" t="s">
        <v>1116</v>
      </c>
      <c r="G208" s="84" t="s">
        <v>1117</v>
      </c>
      <c r="H208" s="73">
        <v>1050554</v>
      </c>
      <c r="I208" s="76" t="s">
        <v>26</v>
      </c>
      <c r="J208" s="76" t="s">
        <v>93</v>
      </c>
      <c r="K208" s="73" t="s">
        <v>48</v>
      </c>
      <c r="L208" s="78" t="s">
        <v>3</v>
      </c>
    </row>
    <row r="209" spans="1:13">
      <c r="A209" s="72">
        <v>10311290</v>
      </c>
      <c r="B209" s="72" t="s">
        <v>1118</v>
      </c>
      <c r="C209" s="73" t="s">
        <v>974</v>
      </c>
      <c r="D209" s="73" t="s">
        <v>1119</v>
      </c>
      <c r="E209" s="73" t="s">
        <v>1120</v>
      </c>
      <c r="F209" s="73" t="s">
        <v>1121</v>
      </c>
      <c r="G209" s="73" t="s">
        <v>1122</v>
      </c>
      <c r="H209" s="75">
        <v>1050574</v>
      </c>
      <c r="I209" s="80" t="s">
        <v>71</v>
      </c>
      <c r="J209" s="80" t="s">
        <v>72</v>
      </c>
      <c r="K209" s="73" t="s">
        <v>48</v>
      </c>
      <c r="L209" s="81" t="s">
        <v>57</v>
      </c>
    </row>
    <row r="210" spans="1:13">
      <c r="A210" s="72">
        <v>7807741</v>
      </c>
      <c r="B210" s="72" t="s">
        <v>1123</v>
      </c>
      <c r="C210" s="73" t="s">
        <v>974</v>
      </c>
      <c r="D210" s="73" t="s">
        <v>212</v>
      </c>
      <c r="E210" s="73" t="s">
        <v>1124</v>
      </c>
      <c r="F210" s="73" t="s">
        <v>1125</v>
      </c>
      <c r="G210" s="73" t="s">
        <v>1126</v>
      </c>
      <c r="H210" s="73">
        <v>1050595</v>
      </c>
      <c r="I210" s="76" t="s">
        <v>928</v>
      </c>
      <c r="J210" s="76" t="s">
        <v>928</v>
      </c>
      <c r="K210" s="73" t="s">
        <v>48</v>
      </c>
      <c r="L210" s="78" t="s">
        <v>3</v>
      </c>
    </row>
    <row r="211" spans="1:13">
      <c r="A211" s="72">
        <v>13835927</v>
      </c>
      <c r="B211" s="72" t="s">
        <v>1127</v>
      </c>
      <c r="C211" s="73" t="s">
        <v>1128</v>
      </c>
      <c r="D211" s="73" t="s">
        <v>1036</v>
      </c>
      <c r="E211" s="73" t="s">
        <v>1129</v>
      </c>
      <c r="F211" s="73" t="s">
        <v>1130</v>
      </c>
      <c r="G211" s="73" t="s">
        <v>1131</v>
      </c>
      <c r="H211" s="73">
        <v>1050556</v>
      </c>
      <c r="I211" s="76" t="s">
        <v>188</v>
      </c>
      <c r="J211" s="90" t="s">
        <v>549</v>
      </c>
      <c r="K211" s="73" t="s">
        <v>48</v>
      </c>
      <c r="L211" s="78" t="s">
        <v>3</v>
      </c>
    </row>
    <row r="212" spans="1:13">
      <c r="A212" s="97">
        <v>12719073</v>
      </c>
      <c r="B212" s="98" t="s">
        <v>1132</v>
      </c>
      <c r="C212" s="99" t="s">
        <v>1133</v>
      </c>
      <c r="D212" s="99" t="s">
        <v>915</v>
      </c>
      <c r="E212" s="99" t="s">
        <v>1134</v>
      </c>
      <c r="F212" s="73" t="s">
        <v>1135</v>
      </c>
      <c r="G212" s="73" t="s">
        <v>1136</v>
      </c>
      <c r="H212" s="77">
        <v>1050603</v>
      </c>
      <c r="I212" s="92" t="s">
        <v>596</v>
      </c>
      <c r="J212" s="92" t="s">
        <v>596</v>
      </c>
      <c r="K212" s="73" t="s">
        <v>48</v>
      </c>
      <c r="L212" s="85" t="s">
        <v>3</v>
      </c>
    </row>
    <row r="213" spans="1:13">
      <c r="A213" s="72">
        <v>12175753</v>
      </c>
      <c r="B213" s="72" t="s">
        <v>1137</v>
      </c>
      <c r="C213" s="75" t="s">
        <v>1138</v>
      </c>
      <c r="D213" s="75" t="s">
        <v>153</v>
      </c>
      <c r="E213" s="75" t="s">
        <v>1139</v>
      </c>
      <c r="F213" s="75" t="s">
        <v>1140</v>
      </c>
      <c r="G213" s="75" t="s">
        <v>1141</v>
      </c>
      <c r="H213" s="73">
        <v>1050632</v>
      </c>
      <c r="I213" s="76" t="s">
        <v>1142</v>
      </c>
      <c r="J213" s="76" t="s">
        <v>1142</v>
      </c>
      <c r="K213" s="73" t="s">
        <v>48</v>
      </c>
      <c r="L213" s="77" t="s">
        <v>3</v>
      </c>
    </row>
    <row r="214" spans="1:13">
      <c r="A214" s="72">
        <v>13045231</v>
      </c>
      <c r="B214" s="72" t="s">
        <v>1143</v>
      </c>
      <c r="C214" s="84" t="s">
        <v>117</v>
      </c>
      <c r="D214" s="73" t="s">
        <v>75</v>
      </c>
      <c r="E214" s="73" t="s">
        <v>1129</v>
      </c>
      <c r="F214" s="73" t="s">
        <v>1144</v>
      </c>
      <c r="G214" s="73" t="s">
        <v>1145</v>
      </c>
      <c r="H214" s="73">
        <v>1050529</v>
      </c>
      <c r="I214" s="76" t="s">
        <v>634</v>
      </c>
      <c r="J214" s="76" t="s">
        <v>634</v>
      </c>
      <c r="K214" s="73" t="s">
        <v>48</v>
      </c>
      <c r="L214" s="85" t="s">
        <v>3</v>
      </c>
      <c r="M214" s="71" t="s">
        <v>1146</v>
      </c>
    </row>
    <row r="215" spans="1:13">
      <c r="A215" s="72">
        <v>14307619</v>
      </c>
      <c r="B215" s="72" t="s">
        <v>1147</v>
      </c>
      <c r="C215" s="84" t="s">
        <v>176</v>
      </c>
      <c r="D215" s="73" t="s">
        <v>177</v>
      </c>
      <c r="E215" s="73" t="s">
        <v>1148</v>
      </c>
      <c r="F215" s="73" t="s">
        <v>1149</v>
      </c>
      <c r="G215" s="73" t="s">
        <v>1150</v>
      </c>
      <c r="H215" s="73">
        <v>1050529</v>
      </c>
      <c r="I215" s="76" t="s">
        <v>634</v>
      </c>
      <c r="J215" s="76" t="s">
        <v>634</v>
      </c>
      <c r="K215" s="73" t="s">
        <v>48</v>
      </c>
      <c r="L215" s="85" t="s">
        <v>3</v>
      </c>
      <c r="M215" s="71" t="s">
        <v>1146</v>
      </c>
    </row>
    <row r="216" spans="1:13">
      <c r="A216" s="72">
        <v>15439409</v>
      </c>
      <c r="B216" s="72" t="s">
        <v>1151</v>
      </c>
      <c r="C216" s="84" t="s">
        <v>1152</v>
      </c>
      <c r="D216" s="73" t="s">
        <v>956</v>
      </c>
      <c r="E216" s="73" t="s">
        <v>1153</v>
      </c>
      <c r="F216" s="73" t="s">
        <v>1154</v>
      </c>
      <c r="G216" s="73" t="s">
        <v>1155</v>
      </c>
      <c r="H216" s="73">
        <v>1050529</v>
      </c>
      <c r="I216" s="76" t="s">
        <v>634</v>
      </c>
      <c r="J216" s="76" t="s">
        <v>634</v>
      </c>
      <c r="K216" s="73" t="s">
        <v>48</v>
      </c>
      <c r="L216" s="85" t="s">
        <v>3</v>
      </c>
      <c r="M216" s="71" t="s">
        <v>365</v>
      </c>
    </row>
    <row r="217" spans="1:13">
      <c r="A217" s="72">
        <v>9774031</v>
      </c>
      <c r="B217" s="72" t="s">
        <v>1156</v>
      </c>
      <c r="C217" s="87" t="s">
        <v>211</v>
      </c>
      <c r="D217" s="87" t="s">
        <v>883</v>
      </c>
      <c r="E217" s="87" t="s">
        <v>911</v>
      </c>
      <c r="F217" s="87" t="s">
        <v>1157</v>
      </c>
      <c r="G217" s="87" t="s">
        <v>1158</v>
      </c>
      <c r="H217" s="75">
        <v>1050529</v>
      </c>
      <c r="I217" s="76" t="s">
        <v>269</v>
      </c>
      <c r="J217" s="76" t="s">
        <v>269</v>
      </c>
      <c r="K217" s="73" t="s">
        <v>48</v>
      </c>
      <c r="L217" s="85" t="s">
        <v>57</v>
      </c>
      <c r="M217" s="71" t="s">
        <v>365</v>
      </c>
    </row>
    <row r="218" spans="1:13">
      <c r="A218" s="72">
        <v>8406841</v>
      </c>
      <c r="B218" s="72" t="s">
        <v>1159</v>
      </c>
      <c r="C218" s="84" t="s">
        <v>1160</v>
      </c>
      <c r="D218" s="73" t="s">
        <v>991</v>
      </c>
      <c r="E218" s="73" t="s">
        <v>1161</v>
      </c>
      <c r="F218" s="73" t="s">
        <v>1162</v>
      </c>
      <c r="G218" s="73" t="s">
        <v>1163</v>
      </c>
      <c r="H218" s="73">
        <v>1050529</v>
      </c>
      <c r="I218" s="76" t="s">
        <v>634</v>
      </c>
      <c r="J218" s="76" t="s">
        <v>634</v>
      </c>
      <c r="K218" s="73" t="s">
        <v>48</v>
      </c>
      <c r="L218" s="85" t="s">
        <v>4</v>
      </c>
      <c r="M218" s="71" t="s">
        <v>270</v>
      </c>
    </row>
    <row r="219" spans="1:13">
      <c r="A219" s="72">
        <v>10042994</v>
      </c>
      <c r="B219" s="72" t="s">
        <v>1164</v>
      </c>
      <c r="C219" s="84" t="s">
        <v>1165</v>
      </c>
      <c r="D219" s="73" t="s">
        <v>1166</v>
      </c>
      <c r="E219" s="73" t="s">
        <v>1167</v>
      </c>
      <c r="F219" s="73" t="s">
        <v>1168</v>
      </c>
      <c r="G219" s="73" t="s">
        <v>1169</v>
      </c>
      <c r="H219" s="73">
        <v>1050529</v>
      </c>
      <c r="I219" s="76" t="s">
        <v>634</v>
      </c>
      <c r="J219" s="76" t="s">
        <v>634</v>
      </c>
      <c r="K219" s="73" t="s">
        <v>48</v>
      </c>
      <c r="L219" s="85" t="s">
        <v>4</v>
      </c>
      <c r="M219" s="71" t="s">
        <v>270</v>
      </c>
    </row>
    <row r="220" spans="1:13">
      <c r="A220" s="72">
        <v>12093149</v>
      </c>
      <c r="B220" s="72" t="s">
        <v>1170</v>
      </c>
      <c r="C220" s="84" t="s">
        <v>96</v>
      </c>
      <c r="D220" s="73" t="s">
        <v>295</v>
      </c>
      <c r="E220" s="73" t="s">
        <v>1171</v>
      </c>
      <c r="F220" s="73" t="s">
        <v>1172</v>
      </c>
      <c r="G220" s="73" t="s">
        <v>1173</v>
      </c>
      <c r="H220" s="73">
        <v>1050529</v>
      </c>
      <c r="I220" s="76" t="s">
        <v>634</v>
      </c>
      <c r="J220" s="76" t="s">
        <v>634</v>
      </c>
      <c r="K220" s="73" t="s">
        <v>48</v>
      </c>
      <c r="L220" s="85" t="s">
        <v>4</v>
      </c>
      <c r="M220" s="71" t="s">
        <v>270</v>
      </c>
    </row>
    <row r="221" spans="1:13">
      <c r="A221" s="72">
        <v>21318186</v>
      </c>
      <c r="B221" s="72" t="s">
        <v>1174</v>
      </c>
      <c r="C221" s="84" t="s">
        <v>360</v>
      </c>
      <c r="D221" s="73" t="s">
        <v>1175</v>
      </c>
      <c r="E221" s="73" t="s">
        <v>1176</v>
      </c>
      <c r="F221" s="73" t="s">
        <v>1177</v>
      </c>
      <c r="G221" s="73" t="s">
        <v>1178</v>
      </c>
      <c r="H221" s="73">
        <v>1050552</v>
      </c>
      <c r="I221" s="76" t="s">
        <v>349</v>
      </c>
      <c r="J221" s="76" t="s">
        <v>189</v>
      </c>
      <c r="K221" s="73" t="s">
        <v>48</v>
      </c>
      <c r="L221" s="78" t="s">
        <v>4</v>
      </c>
    </row>
    <row r="222" spans="1:13">
      <c r="A222" s="72">
        <v>15533689</v>
      </c>
      <c r="B222" s="72" t="s">
        <v>1179</v>
      </c>
      <c r="C222" s="84" t="s">
        <v>372</v>
      </c>
      <c r="D222" s="73" t="s">
        <v>1152</v>
      </c>
      <c r="E222" s="73" t="s">
        <v>832</v>
      </c>
      <c r="F222" s="73" t="s">
        <v>1180</v>
      </c>
      <c r="G222" s="73" t="s">
        <v>1181</v>
      </c>
      <c r="H222" s="73">
        <v>1050529</v>
      </c>
      <c r="I222" s="76" t="s">
        <v>634</v>
      </c>
      <c r="J222" s="76" t="s">
        <v>634</v>
      </c>
      <c r="K222" s="73" t="s">
        <v>48</v>
      </c>
      <c r="L222" s="85" t="s">
        <v>3</v>
      </c>
      <c r="M222" s="71" t="s">
        <v>1146</v>
      </c>
    </row>
    <row r="223" spans="1:13">
      <c r="A223" s="72">
        <v>15449281</v>
      </c>
      <c r="B223" s="72" t="s">
        <v>1182</v>
      </c>
      <c r="C223" s="84" t="s">
        <v>372</v>
      </c>
      <c r="D223" s="73" t="s">
        <v>795</v>
      </c>
      <c r="E223" s="73" t="s">
        <v>1183</v>
      </c>
      <c r="F223" s="73" t="s">
        <v>1184</v>
      </c>
      <c r="G223" s="73" t="s">
        <v>1185</v>
      </c>
      <c r="H223" s="73">
        <v>1050529</v>
      </c>
      <c r="I223" s="76" t="s">
        <v>634</v>
      </c>
      <c r="J223" s="76" t="s">
        <v>634</v>
      </c>
      <c r="K223" s="73" t="s">
        <v>48</v>
      </c>
      <c r="L223" s="85" t="s">
        <v>4</v>
      </c>
      <c r="M223" s="71" t="s">
        <v>270</v>
      </c>
    </row>
    <row r="224" spans="1:13">
      <c r="A224" s="72">
        <v>8247677</v>
      </c>
      <c r="B224" s="72" t="s">
        <v>1186</v>
      </c>
      <c r="C224" s="84" t="s">
        <v>1187</v>
      </c>
      <c r="D224" s="73" t="s">
        <v>1188</v>
      </c>
      <c r="E224" s="73" t="s">
        <v>1189</v>
      </c>
      <c r="F224" s="73" t="s">
        <v>1190</v>
      </c>
      <c r="G224" s="73" t="s">
        <v>1191</v>
      </c>
      <c r="H224" s="73">
        <v>1050529</v>
      </c>
      <c r="I224" s="76" t="s">
        <v>634</v>
      </c>
      <c r="J224" s="76" t="s">
        <v>634</v>
      </c>
      <c r="K224" s="73" t="s">
        <v>48</v>
      </c>
      <c r="L224" s="85" t="s">
        <v>3</v>
      </c>
      <c r="M224" s="71" t="s">
        <v>1146</v>
      </c>
    </row>
    <row r="225" spans="1:13">
      <c r="A225" s="72">
        <v>16413939</v>
      </c>
      <c r="B225" s="72" t="s">
        <v>1192</v>
      </c>
      <c r="C225" s="84" t="s">
        <v>386</v>
      </c>
      <c r="D225" s="73" t="s">
        <v>636</v>
      </c>
      <c r="E225" s="73" t="s">
        <v>1193</v>
      </c>
      <c r="F225" s="73" t="s">
        <v>1194</v>
      </c>
      <c r="G225" s="84" t="s">
        <v>1195</v>
      </c>
      <c r="H225" s="73">
        <v>1050616</v>
      </c>
      <c r="I225" s="76" t="s">
        <v>114</v>
      </c>
      <c r="J225" s="76" t="s">
        <v>189</v>
      </c>
      <c r="K225" s="73" t="s">
        <v>48</v>
      </c>
      <c r="L225" s="77" t="s">
        <v>57</v>
      </c>
    </row>
    <row r="226" spans="1:13">
      <c r="A226" s="72">
        <v>7974375</v>
      </c>
      <c r="B226" s="72" t="s">
        <v>1196</v>
      </c>
      <c r="C226" s="84" t="s">
        <v>1197</v>
      </c>
      <c r="D226" s="73" t="s">
        <v>50</v>
      </c>
      <c r="E226" s="73" t="s">
        <v>1198</v>
      </c>
      <c r="F226" s="73" t="s">
        <v>1199</v>
      </c>
      <c r="G226" s="73" t="s">
        <v>1200</v>
      </c>
      <c r="H226" s="73">
        <v>1050529</v>
      </c>
      <c r="I226" s="76" t="s">
        <v>634</v>
      </c>
      <c r="J226" s="76" t="s">
        <v>634</v>
      </c>
      <c r="K226" s="73" t="s">
        <v>48</v>
      </c>
      <c r="L226" s="85" t="s">
        <v>4</v>
      </c>
      <c r="M226" s="71" t="s">
        <v>270</v>
      </c>
    </row>
    <row r="227" spans="1:13">
      <c r="A227" s="72">
        <v>7815068</v>
      </c>
      <c r="B227" s="72" t="s">
        <v>1201</v>
      </c>
      <c r="C227" s="84" t="s">
        <v>1202</v>
      </c>
      <c r="D227" s="73" t="s">
        <v>372</v>
      </c>
      <c r="E227" s="73" t="s">
        <v>1203</v>
      </c>
      <c r="F227" s="73" t="s">
        <v>1204</v>
      </c>
      <c r="G227" s="73" t="s">
        <v>1205</v>
      </c>
      <c r="H227" s="73">
        <v>1050529</v>
      </c>
      <c r="I227" s="76" t="s">
        <v>634</v>
      </c>
      <c r="J227" s="76" t="s">
        <v>634</v>
      </c>
      <c r="K227" s="73" t="s">
        <v>48</v>
      </c>
      <c r="L227" s="85" t="s">
        <v>57</v>
      </c>
      <c r="M227" s="71" t="s">
        <v>365</v>
      </c>
    </row>
    <row r="228" spans="1:13">
      <c r="A228" s="72">
        <v>15445100</v>
      </c>
      <c r="B228" s="72" t="s">
        <v>1206</v>
      </c>
      <c r="C228" s="84" t="s">
        <v>1207</v>
      </c>
      <c r="D228" s="73" t="s">
        <v>625</v>
      </c>
      <c r="E228" s="73" t="s">
        <v>779</v>
      </c>
      <c r="F228" s="73" t="s">
        <v>1208</v>
      </c>
      <c r="G228" s="73" t="s">
        <v>1209</v>
      </c>
      <c r="H228" s="73">
        <v>1050529</v>
      </c>
      <c r="I228" s="76" t="s">
        <v>634</v>
      </c>
      <c r="J228" s="76" t="s">
        <v>634</v>
      </c>
      <c r="K228" s="73" t="s">
        <v>48</v>
      </c>
      <c r="L228" s="85" t="s">
        <v>57</v>
      </c>
      <c r="M228" s="71" t="s">
        <v>365</v>
      </c>
    </row>
    <row r="229" spans="1:13">
      <c r="A229" s="72">
        <v>15102640</v>
      </c>
      <c r="B229" s="72" t="s">
        <v>1210</v>
      </c>
      <c r="C229" s="84" t="s">
        <v>615</v>
      </c>
      <c r="D229" s="73" t="s">
        <v>878</v>
      </c>
      <c r="E229" s="73" t="s">
        <v>368</v>
      </c>
      <c r="F229" s="73" t="s">
        <v>1211</v>
      </c>
      <c r="G229" s="73" t="s">
        <v>1212</v>
      </c>
      <c r="H229" s="73">
        <v>1050529</v>
      </c>
      <c r="I229" s="76" t="s">
        <v>634</v>
      </c>
      <c r="J229" s="76" t="s">
        <v>634</v>
      </c>
      <c r="K229" s="73" t="s">
        <v>48</v>
      </c>
      <c r="L229" s="85" t="s">
        <v>3</v>
      </c>
      <c r="M229" s="71" t="s">
        <v>1146</v>
      </c>
    </row>
    <row r="230" spans="1:13">
      <c r="A230" s="72">
        <v>16649200</v>
      </c>
      <c r="B230" s="72" t="s">
        <v>1213</v>
      </c>
      <c r="C230" s="84" t="s">
        <v>51</v>
      </c>
      <c r="D230" s="73" t="s">
        <v>730</v>
      </c>
      <c r="E230" s="73" t="s">
        <v>1214</v>
      </c>
      <c r="F230" s="73" t="s">
        <v>1215</v>
      </c>
      <c r="G230" s="73" t="s">
        <v>1216</v>
      </c>
      <c r="H230" s="73">
        <v>1050529</v>
      </c>
      <c r="I230" s="76" t="s">
        <v>634</v>
      </c>
      <c r="J230" s="76" t="s">
        <v>634</v>
      </c>
      <c r="K230" s="73" t="s">
        <v>48</v>
      </c>
      <c r="L230" s="85" t="s">
        <v>3</v>
      </c>
      <c r="M230" s="71" t="s">
        <v>1146</v>
      </c>
    </row>
    <row r="231" spans="1:13">
      <c r="A231" s="72">
        <v>10033627</v>
      </c>
      <c r="B231" s="72" t="s">
        <v>1217</v>
      </c>
      <c r="C231" s="84" t="s">
        <v>1218</v>
      </c>
      <c r="D231" s="73" t="s">
        <v>397</v>
      </c>
      <c r="E231" s="73" t="s">
        <v>225</v>
      </c>
      <c r="F231" s="73" t="s">
        <v>1219</v>
      </c>
      <c r="G231" s="73" t="s">
        <v>1220</v>
      </c>
      <c r="H231" s="73">
        <v>1050529</v>
      </c>
      <c r="I231" s="76" t="s">
        <v>634</v>
      </c>
      <c r="J231" s="76" t="s">
        <v>634</v>
      </c>
      <c r="K231" s="73" t="s">
        <v>48</v>
      </c>
      <c r="L231" s="85" t="s">
        <v>57</v>
      </c>
      <c r="M231" s="71" t="s">
        <v>365</v>
      </c>
    </row>
    <row r="232" spans="1:13">
      <c r="A232" s="72">
        <v>13835073</v>
      </c>
      <c r="B232" s="72" t="s">
        <v>1221</v>
      </c>
      <c r="C232" s="84" t="s">
        <v>1222</v>
      </c>
      <c r="D232" s="73" t="s">
        <v>1223</v>
      </c>
      <c r="E232" s="73" t="s">
        <v>1224</v>
      </c>
      <c r="F232" s="73" t="s">
        <v>1225</v>
      </c>
      <c r="G232" s="73" t="s">
        <v>1226</v>
      </c>
      <c r="H232" s="73">
        <v>1050529</v>
      </c>
      <c r="I232" s="76" t="s">
        <v>634</v>
      </c>
      <c r="J232" s="76" t="s">
        <v>634</v>
      </c>
      <c r="K232" s="73" t="s">
        <v>48</v>
      </c>
      <c r="L232" s="85" t="s">
        <v>57</v>
      </c>
      <c r="M232" s="71" t="s">
        <v>365</v>
      </c>
    </row>
    <row r="233" spans="1:13">
      <c r="A233" s="72">
        <v>16169301</v>
      </c>
      <c r="B233" s="72" t="s">
        <v>1227</v>
      </c>
      <c r="C233" s="84" t="s">
        <v>1228</v>
      </c>
      <c r="D233" s="73" t="s">
        <v>1229</v>
      </c>
      <c r="E233" s="73" t="s">
        <v>1230</v>
      </c>
      <c r="F233" s="73" t="s">
        <v>1231</v>
      </c>
      <c r="G233" s="73" t="s">
        <v>1232</v>
      </c>
      <c r="H233" s="73">
        <v>1050529</v>
      </c>
      <c r="I233" s="76" t="s">
        <v>634</v>
      </c>
      <c r="J233" s="76" t="s">
        <v>634</v>
      </c>
      <c r="K233" s="73" t="s">
        <v>48</v>
      </c>
      <c r="L233" s="85" t="s">
        <v>3</v>
      </c>
      <c r="M233" s="71" t="s">
        <v>1146</v>
      </c>
    </row>
    <row r="234" spans="1:13">
      <c r="A234" s="72">
        <v>13284475</v>
      </c>
      <c r="B234" s="72" t="s">
        <v>1233</v>
      </c>
      <c r="C234" s="84" t="s">
        <v>762</v>
      </c>
      <c r="D234" s="73" t="s">
        <v>454</v>
      </c>
      <c r="E234" s="73" t="s">
        <v>1234</v>
      </c>
      <c r="F234" s="73" t="s">
        <v>1235</v>
      </c>
      <c r="G234" s="73" t="s">
        <v>1236</v>
      </c>
      <c r="H234" s="75">
        <v>1050551</v>
      </c>
      <c r="I234" s="76" t="s">
        <v>349</v>
      </c>
      <c r="J234" s="76" t="s">
        <v>277</v>
      </c>
      <c r="K234" s="73" t="s">
        <v>48</v>
      </c>
      <c r="L234" s="77" t="s">
        <v>4</v>
      </c>
    </row>
    <row r="235" spans="1:13">
      <c r="A235" s="72">
        <v>7816805</v>
      </c>
      <c r="B235" s="72" t="s">
        <v>1237</v>
      </c>
      <c r="C235" s="84" t="s">
        <v>599</v>
      </c>
      <c r="D235" s="73" t="s">
        <v>443</v>
      </c>
      <c r="E235" s="73" t="s">
        <v>1238</v>
      </c>
      <c r="F235" s="73" t="s">
        <v>1239</v>
      </c>
      <c r="G235" s="73" t="s">
        <v>1240</v>
      </c>
      <c r="H235" s="73">
        <v>1050529</v>
      </c>
      <c r="I235" s="76" t="s">
        <v>634</v>
      </c>
      <c r="J235" s="76" t="s">
        <v>634</v>
      </c>
      <c r="K235" s="73" t="s">
        <v>48</v>
      </c>
      <c r="L235" s="85" t="s">
        <v>4</v>
      </c>
      <c r="M235" s="71" t="s">
        <v>270</v>
      </c>
    </row>
    <row r="236" spans="1:13">
      <c r="A236" s="72">
        <v>10042860</v>
      </c>
      <c r="B236" s="72" t="s">
        <v>1241</v>
      </c>
      <c r="C236" s="84" t="s">
        <v>1242</v>
      </c>
      <c r="D236" s="73" t="s">
        <v>474</v>
      </c>
      <c r="E236" s="73" t="s">
        <v>1243</v>
      </c>
      <c r="F236" s="73" t="s">
        <v>1244</v>
      </c>
      <c r="G236" s="73" t="s">
        <v>1245</v>
      </c>
      <c r="H236" s="73">
        <v>1050529</v>
      </c>
      <c r="I236" s="76" t="s">
        <v>634</v>
      </c>
      <c r="J236" s="76" t="s">
        <v>634</v>
      </c>
      <c r="K236" s="73" t="s">
        <v>48</v>
      </c>
      <c r="L236" s="85" t="s">
        <v>3</v>
      </c>
      <c r="M236" s="71" t="s">
        <v>1146</v>
      </c>
    </row>
    <row r="237" spans="1:13">
      <c r="A237" s="72">
        <v>14005587</v>
      </c>
      <c r="B237" s="72" t="s">
        <v>1246</v>
      </c>
      <c r="C237" s="84" t="s">
        <v>235</v>
      </c>
      <c r="D237" s="73" t="s">
        <v>1247</v>
      </c>
      <c r="E237" s="73" t="s">
        <v>1248</v>
      </c>
      <c r="F237" s="73" t="s">
        <v>1249</v>
      </c>
      <c r="G237" s="73" t="s">
        <v>1250</v>
      </c>
      <c r="H237" s="73">
        <v>1050529</v>
      </c>
      <c r="I237" s="76" t="s">
        <v>634</v>
      </c>
      <c r="J237" s="76" t="s">
        <v>634</v>
      </c>
      <c r="K237" s="73" t="s">
        <v>48</v>
      </c>
      <c r="L237" s="85" t="s">
        <v>3</v>
      </c>
      <c r="M237" s="71" t="s">
        <v>1146</v>
      </c>
    </row>
    <row r="238" spans="1:13">
      <c r="A238" s="72">
        <v>13836182</v>
      </c>
      <c r="B238" s="72" t="s">
        <v>1251</v>
      </c>
      <c r="C238" s="84" t="s">
        <v>784</v>
      </c>
      <c r="D238" s="73" t="s">
        <v>1252</v>
      </c>
      <c r="E238" s="73" t="s">
        <v>1253</v>
      </c>
      <c r="F238" s="73" t="s">
        <v>1254</v>
      </c>
      <c r="G238" s="73" t="s">
        <v>1255</v>
      </c>
      <c r="H238" s="73">
        <v>1050529</v>
      </c>
      <c r="I238" s="76" t="s">
        <v>634</v>
      </c>
      <c r="J238" s="76" t="s">
        <v>634</v>
      </c>
      <c r="K238" s="73" t="s">
        <v>48</v>
      </c>
      <c r="L238" s="85" t="s">
        <v>4</v>
      </c>
      <c r="M238" s="71" t="s">
        <v>270</v>
      </c>
    </row>
    <row r="239" spans="1:13">
      <c r="A239" s="72">
        <v>13295279</v>
      </c>
      <c r="B239" s="72" t="s">
        <v>1256</v>
      </c>
      <c r="C239" s="84" t="s">
        <v>1257</v>
      </c>
      <c r="D239" s="73" t="s">
        <v>1258</v>
      </c>
      <c r="E239" s="73" t="s">
        <v>1259</v>
      </c>
      <c r="F239" s="73" t="s">
        <v>1260</v>
      </c>
      <c r="G239" s="73" t="s">
        <v>1261</v>
      </c>
      <c r="H239" s="73">
        <v>1050529</v>
      </c>
      <c r="I239" s="76" t="s">
        <v>634</v>
      </c>
      <c r="J239" s="76" t="s">
        <v>634</v>
      </c>
      <c r="K239" s="73" t="s">
        <v>48</v>
      </c>
      <c r="L239" s="85" t="s">
        <v>4</v>
      </c>
      <c r="M239" s="71" t="s">
        <v>270</v>
      </c>
    </row>
    <row r="240" spans="1:13">
      <c r="A240" s="72">
        <v>10849486</v>
      </c>
      <c r="B240" s="72" t="s">
        <v>1262</v>
      </c>
      <c r="C240" s="84" t="s">
        <v>1263</v>
      </c>
      <c r="D240" s="73" t="s">
        <v>1197</v>
      </c>
      <c r="E240" s="73" t="s">
        <v>1264</v>
      </c>
      <c r="F240" s="73" t="s">
        <v>1265</v>
      </c>
      <c r="G240" s="73" t="s">
        <v>1266</v>
      </c>
      <c r="H240" s="73">
        <v>1050529</v>
      </c>
      <c r="I240" s="76" t="s">
        <v>634</v>
      </c>
      <c r="J240" s="76" t="s">
        <v>634</v>
      </c>
      <c r="K240" s="73" t="s">
        <v>48</v>
      </c>
      <c r="L240" s="85" t="s">
        <v>57</v>
      </c>
      <c r="M240" s="71" t="s">
        <v>365</v>
      </c>
    </row>
    <row r="241" spans="1:13">
      <c r="A241" s="72">
        <v>15441831</v>
      </c>
      <c r="B241" s="72" t="s">
        <v>1267</v>
      </c>
      <c r="C241" s="84" t="s">
        <v>1268</v>
      </c>
      <c r="D241" s="73" t="s">
        <v>1269</v>
      </c>
      <c r="E241" s="73" t="s">
        <v>1270</v>
      </c>
      <c r="F241" s="73" t="s">
        <v>1271</v>
      </c>
      <c r="G241" s="84" t="s">
        <v>1272</v>
      </c>
      <c r="H241" s="73">
        <v>1050529</v>
      </c>
      <c r="I241" s="76" t="s">
        <v>634</v>
      </c>
      <c r="J241" s="76" t="s">
        <v>634</v>
      </c>
      <c r="K241" s="73" t="s">
        <v>48</v>
      </c>
      <c r="L241" s="85" t="s">
        <v>3</v>
      </c>
      <c r="M241" s="71" t="s">
        <v>1146</v>
      </c>
    </row>
    <row r="242" spans="1:13">
      <c r="A242" s="72">
        <v>13688839</v>
      </c>
      <c r="B242" s="72" t="s">
        <v>1273</v>
      </c>
      <c r="C242" s="73" t="s">
        <v>1274</v>
      </c>
      <c r="D242" s="73" t="s">
        <v>532</v>
      </c>
      <c r="E242" s="73" t="s">
        <v>1275</v>
      </c>
      <c r="F242" s="73" t="s">
        <v>1276</v>
      </c>
      <c r="G242" s="73" t="s">
        <v>1276</v>
      </c>
      <c r="H242" s="73">
        <v>1050616</v>
      </c>
      <c r="I242" s="76" t="s">
        <v>92</v>
      </c>
      <c r="J242" s="100" t="s">
        <v>277</v>
      </c>
      <c r="K242" s="73" t="s">
        <v>48</v>
      </c>
      <c r="L242" s="78" t="s">
        <v>3</v>
      </c>
    </row>
    <row r="243" spans="1:13">
      <c r="A243" s="101">
        <v>8110698</v>
      </c>
      <c r="B243" s="101" t="s">
        <v>1277</v>
      </c>
      <c r="C243" s="102" t="s">
        <v>969</v>
      </c>
      <c r="D243" s="102" t="s">
        <v>258</v>
      </c>
      <c r="E243" s="102" t="s">
        <v>1278</v>
      </c>
      <c r="F243" s="73" t="s">
        <v>1279</v>
      </c>
      <c r="G243" s="73" t="s">
        <v>1280</v>
      </c>
      <c r="H243" s="102">
        <v>1050632</v>
      </c>
      <c r="I243" s="80" t="s">
        <v>100</v>
      </c>
      <c r="J243" s="103" t="s">
        <v>543</v>
      </c>
      <c r="K243" s="102" t="s">
        <v>48</v>
      </c>
      <c r="L243" s="78" t="s">
        <v>3</v>
      </c>
    </row>
    <row r="244" spans="1:13">
      <c r="A244" s="72">
        <v>15444116</v>
      </c>
      <c r="B244" s="72" t="s">
        <v>1281</v>
      </c>
      <c r="C244" s="73" t="s">
        <v>1282</v>
      </c>
      <c r="D244" s="73" t="s">
        <v>1188</v>
      </c>
      <c r="E244" s="73" t="s">
        <v>758</v>
      </c>
      <c r="F244" s="73" t="s">
        <v>1283</v>
      </c>
      <c r="G244" s="73" t="s">
        <v>1284</v>
      </c>
      <c r="H244" s="73">
        <v>1050554</v>
      </c>
      <c r="I244" s="76" t="s">
        <v>26</v>
      </c>
      <c r="J244" s="76" t="s">
        <v>93</v>
      </c>
      <c r="K244" s="73" t="s">
        <v>48</v>
      </c>
      <c r="L244" s="85" t="s">
        <v>4</v>
      </c>
    </row>
    <row r="245" spans="1:13">
      <c r="A245" s="97">
        <v>16441596</v>
      </c>
      <c r="B245" s="72" t="s">
        <v>1285</v>
      </c>
      <c r="C245" s="73" t="s">
        <v>974</v>
      </c>
      <c r="D245" s="73" t="s">
        <v>1286</v>
      </c>
      <c r="E245" s="73" t="s">
        <v>1287</v>
      </c>
      <c r="F245" s="73" t="s">
        <v>1288</v>
      </c>
      <c r="G245" s="73" t="s">
        <v>1289</v>
      </c>
      <c r="H245" s="104">
        <v>1050604</v>
      </c>
      <c r="I245" s="76" t="s">
        <v>1290</v>
      </c>
      <c r="J245" s="76" t="s">
        <v>1291</v>
      </c>
      <c r="K245" s="73" t="s">
        <v>48</v>
      </c>
      <c r="L245" s="77" t="s">
        <v>3</v>
      </c>
    </row>
    <row r="246" spans="1:13">
      <c r="A246" s="97">
        <v>12210109</v>
      </c>
      <c r="B246" s="72" t="s">
        <v>1292</v>
      </c>
      <c r="C246" s="73" t="s">
        <v>1187</v>
      </c>
      <c r="D246" s="73" t="s">
        <v>730</v>
      </c>
      <c r="E246" s="73" t="s">
        <v>1293</v>
      </c>
      <c r="F246" s="73" t="s">
        <v>1294</v>
      </c>
      <c r="G246" s="73" t="s">
        <v>1295</v>
      </c>
      <c r="H246" s="104">
        <v>1050529</v>
      </c>
      <c r="I246" s="76" t="s">
        <v>269</v>
      </c>
      <c r="J246" s="76" t="s">
        <v>269</v>
      </c>
      <c r="K246" s="73" t="s">
        <v>48</v>
      </c>
      <c r="L246" s="85" t="s">
        <v>3</v>
      </c>
      <c r="M246" s="71" t="s">
        <v>1146</v>
      </c>
    </row>
    <row r="247" spans="1:13">
      <c r="A247" s="97">
        <v>9004326</v>
      </c>
      <c r="B247" s="97" t="s">
        <v>1296</v>
      </c>
      <c r="C247" s="104" t="s">
        <v>1297</v>
      </c>
      <c r="D247" s="104" t="s">
        <v>1063</v>
      </c>
      <c r="E247" s="104" t="s">
        <v>1298</v>
      </c>
      <c r="F247" s="73" t="s">
        <v>1299</v>
      </c>
      <c r="G247" s="104" t="s">
        <v>1300</v>
      </c>
      <c r="H247" s="104">
        <v>1050604</v>
      </c>
      <c r="I247" s="76" t="s">
        <v>1290</v>
      </c>
      <c r="J247" s="76" t="s">
        <v>1301</v>
      </c>
      <c r="K247" s="73" t="s">
        <v>48</v>
      </c>
      <c r="L247" s="77" t="s">
        <v>3</v>
      </c>
    </row>
    <row r="248" spans="1:13">
      <c r="A248" s="97">
        <v>14277186</v>
      </c>
      <c r="B248" s="105" t="s">
        <v>1302</v>
      </c>
      <c r="C248" s="104" t="s">
        <v>259</v>
      </c>
      <c r="D248" s="106" t="s">
        <v>381</v>
      </c>
      <c r="E248" s="104" t="s">
        <v>1303</v>
      </c>
      <c r="F248" s="73" t="s">
        <v>1304</v>
      </c>
      <c r="G248" s="107" t="s">
        <v>1305</v>
      </c>
      <c r="H248" s="104">
        <v>1050632</v>
      </c>
      <c r="I248" s="108" t="s">
        <v>100</v>
      </c>
      <c r="J248" s="76" t="s">
        <v>543</v>
      </c>
      <c r="K248" s="73" t="s">
        <v>48</v>
      </c>
      <c r="L248" s="78" t="s">
        <v>57</v>
      </c>
    </row>
    <row r="249" spans="1:13">
      <c r="A249" s="97">
        <v>12896236</v>
      </c>
      <c r="B249" s="72" t="s">
        <v>1306</v>
      </c>
      <c r="C249" s="104" t="s">
        <v>1307</v>
      </c>
      <c r="D249" s="104" t="s">
        <v>60</v>
      </c>
      <c r="E249" s="104" t="s">
        <v>1308</v>
      </c>
      <c r="F249" s="73" t="s">
        <v>1309</v>
      </c>
      <c r="G249" s="72" t="s">
        <v>1310</v>
      </c>
      <c r="H249" s="104">
        <v>1050632</v>
      </c>
      <c r="I249" s="108" t="s">
        <v>100</v>
      </c>
      <c r="J249" s="76" t="s">
        <v>543</v>
      </c>
      <c r="K249" s="73" t="s">
        <v>48</v>
      </c>
      <c r="L249" s="78" t="s">
        <v>4</v>
      </c>
    </row>
    <row r="250" spans="1:13">
      <c r="A250" s="97">
        <v>15391242</v>
      </c>
      <c r="B250" s="72" t="s">
        <v>1311</v>
      </c>
      <c r="C250" s="104" t="s">
        <v>499</v>
      </c>
      <c r="D250" s="104" t="s">
        <v>1312</v>
      </c>
      <c r="E250" s="104" t="s">
        <v>148</v>
      </c>
      <c r="F250" s="73" t="s">
        <v>1313</v>
      </c>
      <c r="G250" s="72" t="s">
        <v>1314</v>
      </c>
      <c r="H250" s="104">
        <v>1050632</v>
      </c>
      <c r="I250" s="108" t="s">
        <v>100</v>
      </c>
      <c r="J250" s="76" t="s">
        <v>543</v>
      </c>
      <c r="K250" s="73" t="s">
        <v>48</v>
      </c>
      <c r="L250" s="78" t="s">
        <v>3</v>
      </c>
    </row>
    <row r="251" spans="1:13">
      <c r="A251" s="97">
        <v>16268829</v>
      </c>
      <c r="B251" s="72" t="s">
        <v>1315</v>
      </c>
      <c r="C251" s="104" t="s">
        <v>664</v>
      </c>
      <c r="D251" s="104" t="s">
        <v>206</v>
      </c>
      <c r="E251" s="104" t="s">
        <v>1316</v>
      </c>
      <c r="F251" s="104" t="s">
        <v>1317</v>
      </c>
      <c r="G251" s="72" t="s">
        <v>1318</v>
      </c>
      <c r="H251" s="104">
        <v>1050610</v>
      </c>
      <c r="I251" s="76" t="s">
        <v>92</v>
      </c>
      <c r="J251" s="76" t="s">
        <v>189</v>
      </c>
      <c r="K251" s="73" t="s">
        <v>48</v>
      </c>
      <c r="L251" s="85" t="s">
        <v>57</v>
      </c>
    </row>
    <row r="252" spans="1:13">
      <c r="A252" s="97">
        <v>5738427</v>
      </c>
      <c r="B252" s="72" t="s">
        <v>1319</v>
      </c>
      <c r="C252" s="104" t="s">
        <v>51</v>
      </c>
      <c r="D252" s="104" t="s">
        <v>883</v>
      </c>
      <c r="E252" s="104" t="s">
        <v>1320</v>
      </c>
      <c r="F252" s="104" t="s">
        <v>1321</v>
      </c>
      <c r="G252" s="73" t="s">
        <v>1322</v>
      </c>
      <c r="H252" s="73">
        <v>1050603</v>
      </c>
      <c r="I252" s="76" t="s">
        <v>328</v>
      </c>
      <c r="J252" s="76" t="s">
        <v>328</v>
      </c>
      <c r="K252" s="73" t="s">
        <v>48</v>
      </c>
      <c r="L252" s="77" t="s">
        <v>3</v>
      </c>
    </row>
    <row r="253" spans="1:13">
      <c r="A253" s="97">
        <v>18364293</v>
      </c>
      <c r="B253" s="72" t="s">
        <v>1323</v>
      </c>
      <c r="C253" s="104" t="s">
        <v>1324</v>
      </c>
      <c r="D253" s="104" t="s">
        <v>211</v>
      </c>
      <c r="E253" s="104" t="s">
        <v>1325</v>
      </c>
      <c r="F253" s="104" t="s">
        <v>1326</v>
      </c>
      <c r="G253" s="97" t="s">
        <v>1327</v>
      </c>
      <c r="H253" s="73"/>
      <c r="I253" s="73"/>
      <c r="J253" s="73"/>
      <c r="K253" s="73"/>
    </row>
    <row r="254" spans="1:13">
      <c r="A254" s="97">
        <v>18045411</v>
      </c>
      <c r="B254" s="72" t="s">
        <v>1328</v>
      </c>
      <c r="C254" s="104" t="s">
        <v>110</v>
      </c>
      <c r="D254" s="104" t="s">
        <v>110</v>
      </c>
      <c r="E254" s="104" t="s">
        <v>1329</v>
      </c>
      <c r="F254" s="104" t="s">
        <v>1330</v>
      </c>
      <c r="G254" s="97" t="s">
        <v>1331</v>
      </c>
      <c r="H254" s="73"/>
      <c r="I254" s="73"/>
      <c r="J254" s="73"/>
      <c r="K254" s="73"/>
    </row>
    <row r="255" spans="1:13">
      <c r="A255" s="97">
        <v>18187438</v>
      </c>
      <c r="B255" s="72" t="s">
        <v>1332</v>
      </c>
      <c r="C255" s="104" t="s">
        <v>1333</v>
      </c>
      <c r="D255" s="104" t="s">
        <v>1334</v>
      </c>
      <c r="E255" s="104" t="s">
        <v>1335</v>
      </c>
      <c r="F255" s="104" t="s">
        <v>1336</v>
      </c>
      <c r="G255" s="97" t="s">
        <v>1337</v>
      </c>
      <c r="H255" s="73"/>
      <c r="I255" s="73"/>
      <c r="J255" s="73"/>
      <c r="K255" s="73"/>
    </row>
    <row r="256" spans="1:13">
      <c r="A256" s="97">
        <v>17546614</v>
      </c>
      <c r="B256" s="72" t="s">
        <v>1338</v>
      </c>
      <c r="C256" s="104" t="s">
        <v>51</v>
      </c>
      <c r="D256" s="73"/>
      <c r="E256" s="104" t="s">
        <v>1339</v>
      </c>
      <c r="F256" s="104" t="s">
        <v>1340</v>
      </c>
      <c r="G256" s="97" t="s">
        <v>1341</v>
      </c>
      <c r="H256" s="73">
        <v>1050633</v>
      </c>
      <c r="I256" s="73"/>
      <c r="J256" s="73"/>
      <c r="K256" s="73"/>
    </row>
    <row r="257" spans="1:11">
      <c r="A257" s="97">
        <v>14005685</v>
      </c>
      <c r="B257" s="72" t="s">
        <v>1342</v>
      </c>
      <c r="C257" s="104" t="s">
        <v>717</v>
      </c>
      <c r="D257" s="104" t="s">
        <v>1343</v>
      </c>
      <c r="E257" s="104" t="s">
        <v>1344</v>
      </c>
      <c r="F257" s="104" t="s">
        <v>1345</v>
      </c>
      <c r="G257" s="97" t="s">
        <v>1346</v>
      </c>
      <c r="H257" s="73">
        <v>1050633</v>
      </c>
      <c r="I257" s="73"/>
      <c r="J257" s="73"/>
      <c r="K257" s="73"/>
    </row>
    <row r="258" spans="1:11">
      <c r="A258" s="97">
        <v>23040236</v>
      </c>
      <c r="B258" s="72" t="s">
        <v>1347</v>
      </c>
      <c r="C258" s="73" t="s">
        <v>815</v>
      </c>
      <c r="D258" s="73"/>
      <c r="E258" s="73" t="s">
        <v>1348</v>
      </c>
      <c r="F258" s="73" t="s">
        <v>1349</v>
      </c>
      <c r="G258" s="73" t="s">
        <v>1350</v>
      </c>
      <c r="H258" s="73">
        <v>1050506</v>
      </c>
      <c r="I258" s="73"/>
      <c r="J258" s="73"/>
      <c r="K258" s="73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2"/>
  <dimension ref="A3:AH700"/>
  <sheetViews>
    <sheetView topLeftCell="I1" workbookViewId="0">
      <selection activeCell="M15" sqref="M15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35.85546875" customWidth="1"/>
    <col min="13" max="14" width="15.7109375" customWidth="1"/>
    <col min="15" max="15" width="19" customWidth="1"/>
    <col min="16" max="16" width="15.7109375" customWidth="1"/>
    <col min="17" max="30" width="7.85546875" customWidth="1"/>
    <col min="33" max="33" width="17.28515625" customWidth="1"/>
  </cols>
  <sheetData>
    <row r="3" spans="1:34">
      <c r="A3" s="110" t="s">
        <v>1351</v>
      </c>
      <c r="B3" s="110" t="s">
        <v>36</v>
      </c>
      <c r="C3" s="110" t="s">
        <v>1352</v>
      </c>
      <c r="D3" s="110" t="s">
        <v>1353</v>
      </c>
      <c r="E3" s="110" t="s">
        <v>1354</v>
      </c>
      <c r="H3" s="111" t="s">
        <v>29</v>
      </c>
    </row>
    <row r="4" spans="1:34" ht="18.75">
      <c r="A4" s="112" t="str">
        <f>IF(Base!B2="","",Base!B2)</f>
        <v>06.434.911-2</v>
      </c>
      <c r="B4" s="112" t="str">
        <f>IF(Base!F2="","",Base!F2)</f>
        <v>EDUARDO   ABARCA  JARA</v>
      </c>
      <c r="C4" s="112" t="str">
        <f>IF(Base!I2="","",Base!I2)</f>
        <v>Linea 2</v>
      </c>
      <c r="D4" s="113" t="str">
        <f>IF(Base!J2="","",Base!J2)</f>
        <v>Despalletizador</v>
      </c>
      <c r="E4" s="112">
        <f>IF(Base!H2="","",Base!H2)</f>
        <v>1050553</v>
      </c>
      <c r="H4" s="111" t="s">
        <v>1355</v>
      </c>
      <c r="K4" s="114" t="s">
        <v>1356</v>
      </c>
      <c r="L4" s="115">
        <f>(WEEKNUM(Q9))-1</f>
        <v>16</v>
      </c>
    </row>
    <row r="5" spans="1:34" ht="18.75">
      <c r="A5" s="112" t="str">
        <f>IF(Base!B3="","",Base!B3)</f>
        <v>08.224.093-4</v>
      </c>
      <c r="B5" s="112" t="str">
        <f>IF(Base!F3="","",Base!F3)</f>
        <v>MARIO DEL TRANSITO  ACEVEDO  MARTINEZ</v>
      </c>
      <c r="C5" s="112" t="str">
        <f>IF(Base!I3="","",Base!I3)</f>
        <v>Abastecimiento</v>
      </c>
      <c r="D5" s="113" t="str">
        <f>IF(Base!J3="","",Base!J3)</f>
        <v>Control Ingresos Cen</v>
      </c>
      <c r="E5" s="112">
        <f>IF(Base!H3="","",Base!H3)</f>
        <v>1050126</v>
      </c>
      <c r="H5" s="111" t="s">
        <v>1357</v>
      </c>
      <c r="K5" s="114" t="s">
        <v>1358</v>
      </c>
      <c r="L5" s="116">
        <f>Q9</f>
        <v>40651</v>
      </c>
      <c r="P5" s="143"/>
    </row>
    <row r="6" spans="1:34">
      <c r="A6" s="112" t="str">
        <f>IF(Base!B4="","",Base!B4)</f>
        <v>12.677.439-7</v>
      </c>
      <c r="B6" s="112" t="str">
        <f>IF(Base!F4="","",Base!F4)</f>
        <v>ANDRES RAUL  AEDO  MUÑOZ</v>
      </c>
      <c r="C6" s="112" t="str">
        <f>IF(Base!I4="","",Base!I4)</f>
        <v>Abastecimiento</v>
      </c>
      <c r="D6" s="113" t="str">
        <f>IF(Base!J4="","",Base!J4)</f>
        <v>Preparación de Insum</v>
      </c>
      <c r="E6" s="112">
        <f>IF(Base!H4="","",Base!H4)</f>
        <v>1050127</v>
      </c>
    </row>
    <row r="7" spans="1:34">
      <c r="A7" s="112" t="str">
        <f>IF(Base!B5="","",Base!B5)</f>
        <v>08.809.784-K</v>
      </c>
      <c r="B7" s="112" t="str">
        <f>IF(Base!F5="","",Base!F5)</f>
        <v>CARLOS ANTONIO  AGUILERA  LABRIN</v>
      </c>
      <c r="C7" s="112" t="str">
        <f>IF(Base!I5="","",Base!I5)</f>
        <v>Sala filtros</v>
      </c>
      <c r="D7" s="113" t="str">
        <f>IF(Base!J5="","",Base!J5)</f>
        <v>Operador sala de filtros</v>
      </c>
      <c r="E7" s="112">
        <f>IF(Base!H5="","",Base!H5)</f>
        <v>1050574</v>
      </c>
    </row>
    <row r="8" spans="1:34">
      <c r="A8" s="112" t="str">
        <f>IF(Base!B6="","",Base!B6)</f>
        <v>16.191.666-8</v>
      </c>
      <c r="B8" s="112" t="str">
        <f>IF(Base!F6="","",Base!F6)</f>
        <v>KAREN FABIOLA  ALARCON  SILVA</v>
      </c>
      <c r="C8" s="112" t="str">
        <f>IF(Base!I6="","",Base!I6)</f>
        <v>Abastecimiento</v>
      </c>
      <c r="D8" s="113" t="str">
        <f>IF(Base!J6="","",Base!J6)</f>
        <v>Reimpresión</v>
      </c>
      <c r="E8" s="112">
        <f>IF(Base!H6="","",Base!H6)</f>
        <v>1050506</v>
      </c>
    </row>
    <row r="9" spans="1:34" ht="14.25">
      <c r="A9" s="112" t="str">
        <f>IF(Base!B7="","",Base!B7)</f>
        <v>07.760.886-9</v>
      </c>
      <c r="B9" s="112" t="str">
        <f>IF(Base!F7="","",Base!F7)</f>
        <v>OSCAR ALFREDO  ALBORNOZ  ROA</v>
      </c>
      <c r="C9" s="112" t="str">
        <f>IF(Base!I7="","",Base!I7)</f>
        <v>Abastecimiento</v>
      </c>
      <c r="D9" s="113" t="str">
        <f>IF(Base!J7="","",Base!J7)</f>
        <v>Preparación de Insum</v>
      </c>
      <c r="E9" s="112">
        <f>IF(Base!H7="","",Base!H7)</f>
        <v>1050127</v>
      </c>
      <c r="J9" s="117"/>
      <c r="K9" s="117"/>
      <c r="L9" s="117"/>
      <c r="M9" s="118"/>
      <c r="N9" s="118"/>
      <c r="O9" s="118"/>
      <c r="P9" s="118"/>
      <c r="Q9" s="144">
        <v>40651</v>
      </c>
      <c r="R9" s="150"/>
      <c r="S9" s="144">
        <f>Q9+1</f>
        <v>40652</v>
      </c>
      <c r="T9" s="150"/>
      <c r="U9" s="144">
        <f t="shared" ref="U9" si="0">S9+1</f>
        <v>40653</v>
      </c>
      <c r="V9" s="150"/>
      <c r="W9" s="144">
        <f t="shared" ref="W9" si="1">U9+1</f>
        <v>40654</v>
      </c>
      <c r="X9" s="150"/>
      <c r="Y9" s="144">
        <f t="shared" ref="Y9" si="2">W9+1</f>
        <v>40655</v>
      </c>
      <c r="Z9" s="150"/>
      <c r="AA9" s="144">
        <f t="shared" ref="AA9" si="3">Y9+1</f>
        <v>40656</v>
      </c>
      <c r="AB9" s="150"/>
      <c r="AC9" s="144">
        <f t="shared" ref="AC9" si="4">AA9+1</f>
        <v>40657</v>
      </c>
      <c r="AD9" s="145"/>
      <c r="AE9" s="146" t="s">
        <v>1359</v>
      </c>
      <c r="AF9" s="147"/>
      <c r="AG9" s="148" t="s">
        <v>28</v>
      </c>
    </row>
    <row r="10" spans="1:34" ht="14.25">
      <c r="A10" s="112" t="str">
        <f>IF(Base!B8="","",Base!B8)</f>
        <v>13.838.747-K</v>
      </c>
      <c r="B10" s="112" t="str">
        <f>IF(Base!F8="","",Base!F8)</f>
        <v>MAURICIO  ALLENDES  VARGAS</v>
      </c>
      <c r="C10" s="112" t="str">
        <f>IF(Base!I8="","",Base!I8)</f>
        <v>Linea 6</v>
      </c>
      <c r="D10" s="113" t="str">
        <f>IF(Base!J8="","",Base!J8)</f>
        <v>Embalador</v>
      </c>
      <c r="E10" s="112">
        <f>IF(Base!H8="","",Base!H8)</f>
        <v>1050610</v>
      </c>
      <c r="J10" s="119" t="s">
        <v>1360</v>
      </c>
      <c r="K10" s="119" t="s">
        <v>1351</v>
      </c>
      <c r="L10" s="119" t="s">
        <v>1361</v>
      </c>
      <c r="M10" s="120" t="s">
        <v>1362</v>
      </c>
      <c r="N10" s="120" t="s">
        <v>1363</v>
      </c>
      <c r="O10" s="120" t="s">
        <v>1364</v>
      </c>
      <c r="P10" s="120" t="s">
        <v>14</v>
      </c>
      <c r="Q10" s="121">
        <v>0.5</v>
      </c>
      <c r="R10" s="121">
        <v>1</v>
      </c>
      <c r="S10" s="121">
        <v>0.5</v>
      </c>
      <c r="T10" s="121">
        <v>1</v>
      </c>
      <c r="U10" s="121">
        <v>0.5</v>
      </c>
      <c r="V10" s="121">
        <v>1</v>
      </c>
      <c r="W10" s="121">
        <v>0.5</v>
      </c>
      <c r="X10" s="121">
        <v>1</v>
      </c>
      <c r="Y10" s="121">
        <v>0.5</v>
      </c>
      <c r="Z10" s="121">
        <v>1</v>
      </c>
      <c r="AA10" s="121">
        <v>0.5</v>
      </c>
      <c r="AB10" s="121">
        <v>1</v>
      </c>
      <c r="AC10" s="121">
        <v>0.5</v>
      </c>
      <c r="AD10" s="121">
        <v>1</v>
      </c>
      <c r="AE10" s="121">
        <v>0.5</v>
      </c>
      <c r="AF10" s="121">
        <v>1</v>
      </c>
      <c r="AG10" s="149"/>
      <c r="AH10" s="121" t="s">
        <v>1365</v>
      </c>
    </row>
    <row r="11" spans="1:34" ht="13.5">
      <c r="A11" s="112" t="str">
        <f>IF(Base!B9="","",Base!B9)</f>
        <v>22.637.242-3</v>
      </c>
      <c r="B11" s="112" t="str">
        <f>IF(Base!F9="","",Base!F9)</f>
        <v>MARISOL  ALVAREZ  CONTRERAS</v>
      </c>
      <c r="C11" s="112" t="str">
        <f>IF(Base!I9="","",Base!I9)</f>
        <v>Control y Gestión</v>
      </c>
      <c r="D11" s="113" t="str">
        <f>IF(Base!J9="","",Base!J9)</f>
        <v>Analista  control</v>
      </c>
      <c r="E11" s="112">
        <f>IF(Base!H9="","",Base!H9)</f>
        <v>1050632</v>
      </c>
      <c r="J11" s="122">
        <v>1</v>
      </c>
      <c r="K11" s="123" t="s">
        <v>740</v>
      </c>
      <c r="L11" s="124" t="str">
        <f>IF(K11="","",VLOOKUP($K11,A:D,2,FALSE))</f>
        <v>EUGENIO  OLEKSIUK  SEKOWSKA</v>
      </c>
      <c r="M11" s="124">
        <f>IF(K11="","",VLOOKUP(K11,A:E,5,FALSE))</f>
        <v>1050616</v>
      </c>
      <c r="N11" s="125" t="str">
        <f>IF(K11="","",VLOOKUP(K11,A:C,3,FALSE))</f>
        <v>Linea 7</v>
      </c>
      <c r="O11" s="125" t="str">
        <f>IF(K11="","",VLOOKUP(K11,A:D,4,FALSE))</f>
        <v>Embalador</v>
      </c>
      <c r="P11" s="126" t="s">
        <v>1355</v>
      </c>
      <c r="Q11" s="127"/>
      <c r="R11" s="128"/>
      <c r="S11" s="127"/>
      <c r="T11" s="128"/>
      <c r="U11" s="127"/>
      <c r="V11" s="128"/>
      <c r="W11" s="127"/>
      <c r="X11" s="128">
        <v>5</v>
      </c>
      <c r="Y11" s="127"/>
      <c r="Z11" s="128"/>
      <c r="AA11" s="127"/>
      <c r="AB11" s="128"/>
      <c r="AC11" s="127"/>
      <c r="AD11" s="128"/>
      <c r="AE11" s="129">
        <f>SUM(Q11,S11,U11,W11,Y11,AA11,AC11)</f>
        <v>0</v>
      </c>
      <c r="AF11" s="129">
        <f>SUM(R11,T11,V11,X11,Z11,AB11,AD11)</f>
        <v>5</v>
      </c>
      <c r="AG11" s="130"/>
      <c r="AH11" s="131">
        <f>SUM(AE11:AF11)</f>
        <v>5</v>
      </c>
    </row>
    <row r="12" spans="1:34" ht="13.5">
      <c r="A12" s="112" t="str">
        <f>IF(Base!B10="","",Base!B10)</f>
        <v>17.609.782-5</v>
      </c>
      <c r="B12" s="112" t="str">
        <f>IF(Base!F10="","",Base!F10)</f>
        <v>CRISTIAN DANIEL  ALVAREZ  REYES</v>
      </c>
      <c r="C12" s="112" t="str">
        <f>IF(Base!I10="","",Base!I10)</f>
        <v>Abastecimiento</v>
      </c>
      <c r="D12" s="113" t="str">
        <f>IF(Base!J10="","",Base!J10)</f>
        <v>Almacen Envases Pirq</v>
      </c>
      <c r="E12" s="112">
        <f>IF(Base!H10="","",Base!H10)</f>
        <v>1050162</v>
      </c>
      <c r="J12" s="122">
        <v>2</v>
      </c>
      <c r="K12" s="123"/>
      <c r="L12" s="124" t="str">
        <f t="shared" ref="L12:L75" si="5">IF(K12="","",VLOOKUP($K12,A:D,2,FALSE))</f>
        <v/>
      </c>
      <c r="M12" s="124" t="str">
        <f t="shared" ref="M12:M75" si="6">IF(K12="","",VLOOKUP(K12,A:E,5,FALSE))</f>
        <v/>
      </c>
      <c r="N12" s="125" t="str">
        <f t="shared" ref="N12:N75" si="7">IF(K12="","",VLOOKUP(K12,A:C,3,FALSE))</f>
        <v/>
      </c>
      <c r="O12" s="125" t="str">
        <f t="shared" ref="O12:O75" si="8">IF(K12="","",VLOOKUP(K12,A:D,4,FALSE))</f>
        <v/>
      </c>
      <c r="P12" s="126"/>
      <c r="Q12" s="132"/>
      <c r="R12" s="122"/>
      <c r="S12" s="132"/>
      <c r="T12" s="122"/>
      <c r="U12" s="132"/>
      <c r="V12" s="122"/>
      <c r="W12" s="132"/>
      <c r="X12" s="122"/>
      <c r="Y12" s="132"/>
      <c r="Z12" s="122"/>
      <c r="AA12" s="132"/>
      <c r="AB12" s="122"/>
      <c r="AC12" s="132"/>
      <c r="AD12" s="122"/>
      <c r="AE12" s="129">
        <f t="shared" ref="AE12:AF16" si="9">SUM(Q12,S12,U12,W12,Y12,AA12,AC12)</f>
        <v>0</v>
      </c>
      <c r="AF12" s="129">
        <f t="shared" si="9"/>
        <v>0</v>
      </c>
      <c r="AG12" s="130"/>
      <c r="AH12" s="131">
        <f t="shared" ref="AH12:AH75" si="10">SUM(AE12:AF12)</f>
        <v>0</v>
      </c>
    </row>
    <row r="13" spans="1:34" ht="13.5">
      <c r="A13" s="112" t="str">
        <f>IF(Base!B11="","",Base!B11)</f>
        <v>10.846.598-0</v>
      </c>
      <c r="B13" s="112" t="str">
        <f>IF(Base!F11="","",Base!F11)</f>
        <v>RODOLFO ALBERTO  ALVEAR  GONZALEZ</v>
      </c>
      <c r="C13" s="112" t="str">
        <f>IF(Base!I11="","",Base!I11)</f>
        <v>Linea 7</v>
      </c>
      <c r="D13" s="113" t="str">
        <f>IF(Base!J11="","",Base!J11)</f>
        <v>Palletizador</v>
      </c>
      <c r="E13" s="112">
        <f>IF(Base!H11="","",Base!H11)</f>
        <v>1050616</v>
      </c>
      <c r="J13" s="122">
        <v>3</v>
      </c>
      <c r="K13" s="123"/>
      <c r="L13" s="124" t="str">
        <f t="shared" si="5"/>
        <v/>
      </c>
      <c r="M13" s="124" t="str">
        <f t="shared" si="6"/>
        <v/>
      </c>
      <c r="N13" s="125" t="str">
        <f t="shared" si="7"/>
        <v/>
      </c>
      <c r="O13" s="125" t="str">
        <f t="shared" si="8"/>
        <v/>
      </c>
      <c r="P13" s="126"/>
      <c r="Q13" s="132"/>
      <c r="R13" s="122"/>
      <c r="S13" s="132"/>
      <c r="T13" s="122"/>
      <c r="U13" s="132"/>
      <c r="V13" s="122"/>
      <c r="W13" s="132"/>
      <c r="X13" s="122"/>
      <c r="Y13" s="132"/>
      <c r="Z13" s="122"/>
      <c r="AA13" s="132"/>
      <c r="AB13" s="122"/>
      <c r="AC13" s="132"/>
      <c r="AD13" s="122"/>
      <c r="AE13" s="129">
        <f t="shared" si="9"/>
        <v>0</v>
      </c>
      <c r="AF13" s="129">
        <f t="shared" si="9"/>
        <v>0</v>
      </c>
      <c r="AG13" s="130"/>
      <c r="AH13" s="131">
        <f t="shared" si="10"/>
        <v>0</v>
      </c>
    </row>
    <row r="14" spans="1:34" ht="13.5">
      <c r="A14" s="112" t="str">
        <f>IF(Base!B12="","",Base!B12)</f>
        <v>12.093.228-4</v>
      </c>
      <c r="B14" s="112" t="str">
        <f>IF(Base!F12="","",Base!F12)</f>
        <v>CRISTIAN  ARANCIBIA  NIETO</v>
      </c>
      <c r="C14" s="112" t="str">
        <f>IF(Base!I12="","",Base!I12)</f>
        <v>Abastecimiento</v>
      </c>
      <c r="D14" s="113" t="str">
        <f>IF(Base!J12="","",Base!J12)</f>
        <v>Preparación de Insum</v>
      </c>
      <c r="E14" s="112">
        <f>IF(Base!H12="","",Base!H12)</f>
        <v>1050127</v>
      </c>
      <c r="J14" s="122">
        <v>4</v>
      </c>
      <c r="K14" s="123"/>
      <c r="L14" s="124" t="str">
        <f t="shared" si="5"/>
        <v/>
      </c>
      <c r="M14" s="124" t="str">
        <f t="shared" si="6"/>
        <v/>
      </c>
      <c r="N14" s="125" t="str">
        <f t="shared" si="7"/>
        <v/>
      </c>
      <c r="O14" s="125" t="str">
        <f t="shared" si="8"/>
        <v/>
      </c>
      <c r="P14" s="126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29">
        <f t="shared" si="9"/>
        <v>0</v>
      </c>
      <c r="AF14" s="129">
        <f t="shared" si="9"/>
        <v>0</v>
      </c>
      <c r="AG14" s="130"/>
      <c r="AH14" s="131">
        <f t="shared" si="10"/>
        <v>0</v>
      </c>
    </row>
    <row r="15" spans="1:34" ht="13.5">
      <c r="A15" s="112" t="str">
        <f>IF(Base!B13="","",Base!B13)</f>
        <v>09.960.185-K</v>
      </c>
      <c r="B15" s="112" t="str">
        <f>IF(Base!F13="","",Base!F13)</f>
        <v>ERIC PATRICIO  ARANCIBIA  QUINTANA</v>
      </c>
      <c r="C15" s="112" t="str">
        <f>IF(Base!I13="","",Base!I13)</f>
        <v>Ingeniero Proceso</v>
      </c>
      <c r="D15" s="113" t="str">
        <f>IF(Base!J13="","",Base!J13)</f>
        <v>Ingeniero Proceso</v>
      </c>
      <c r="E15" s="112">
        <f>IF(Base!H13="","",Base!H13)</f>
        <v>1050502</v>
      </c>
      <c r="J15" s="122">
        <v>5</v>
      </c>
      <c r="K15" s="123"/>
      <c r="L15" s="124" t="str">
        <f t="shared" si="5"/>
        <v/>
      </c>
      <c r="M15" s="124" t="str">
        <f t="shared" si="6"/>
        <v/>
      </c>
      <c r="N15" s="125" t="str">
        <f t="shared" si="7"/>
        <v/>
      </c>
      <c r="O15" s="125" t="str">
        <f t="shared" si="8"/>
        <v/>
      </c>
      <c r="P15" s="126"/>
      <c r="Q15" s="132"/>
      <c r="R15" s="132"/>
      <c r="S15" s="132"/>
      <c r="T15" s="132"/>
      <c r="U15" s="132"/>
      <c r="V15" s="132"/>
      <c r="W15" s="132"/>
      <c r="X15" s="132"/>
      <c r="Y15" s="132"/>
      <c r="Z15" s="132"/>
      <c r="AA15" s="132"/>
      <c r="AB15" s="132"/>
      <c r="AC15" s="132"/>
      <c r="AD15" s="132"/>
      <c r="AE15" s="129">
        <f t="shared" si="9"/>
        <v>0</v>
      </c>
      <c r="AF15" s="129">
        <f t="shared" si="9"/>
        <v>0</v>
      </c>
      <c r="AG15" s="130"/>
      <c r="AH15" s="131">
        <f t="shared" si="10"/>
        <v>0</v>
      </c>
    </row>
    <row r="16" spans="1:34" ht="13.5">
      <c r="A16" s="112" t="str">
        <f>IF(Base!B14="","",Base!B14)</f>
        <v>08.283.277-7</v>
      </c>
      <c r="B16" s="112" t="str">
        <f>IF(Base!F14="","",Base!F14)</f>
        <v>LEONARDO ALFREDO  ARANCIBIA  VILLARROEL</v>
      </c>
      <c r="C16" s="112" t="str">
        <f>IF(Base!I14="","",Base!I14)</f>
        <v>Abastecimiento</v>
      </c>
      <c r="D16" s="113" t="str">
        <f>IF(Base!J14="","",Base!J14)</f>
        <v>Preparación de Insum</v>
      </c>
      <c r="E16" s="112">
        <f>IF(Base!H14="","",Base!H14)</f>
        <v>1050127</v>
      </c>
      <c r="J16" s="122">
        <v>6</v>
      </c>
      <c r="K16" s="123"/>
      <c r="L16" s="124" t="str">
        <f t="shared" si="5"/>
        <v/>
      </c>
      <c r="M16" s="124" t="str">
        <f t="shared" si="6"/>
        <v/>
      </c>
      <c r="N16" s="125" t="str">
        <f t="shared" si="7"/>
        <v/>
      </c>
      <c r="O16" s="125" t="str">
        <f t="shared" si="8"/>
        <v/>
      </c>
      <c r="P16" s="126"/>
      <c r="Q16" s="132"/>
      <c r="R16" s="122"/>
      <c r="S16" s="132"/>
      <c r="T16" s="122"/>
      <c r="U16" s="132"/>
      <c r="V16" s="122"/>
      <c r="W16" s="132"/>
      <c r="X16" s="122"/>
      <c r="Y16" s="132"/>
      <c r="Z16" s="122"/>
      <c r="AA16" s="132"/>
      <c r="AB16" s="122"/>
      <c r="AC16" s="132"/>
      <c r="AD16" s="122"/>
      <c r="AE16" s="129">
        <f t="shared" si="9"/>
        <v>0</v>
      </c>
      <c r="AF16" s="129">
        <f t="shared" si="9"/>
        <v>0</v>
      </c>
      <c r="AG16" s="130"/>
      <c r="AH16" s="131">
        <f t="shared" si="10"/>
        <v>0</v>
      </c>
    </row>
    <row r="17" spans="1:34" ht="13.5">
      <c r="A17" s="112" t="str">
        <f>IF(Base!B15="","",Base!B15)</f>
        <v>09.471.557-1</v>
      </c>
      <c r="B17" s="112" t="str">
        <f>IF(Base!F15="","",Base!F15)</f>
        <v>SANDRA  ARANGUIZ  ALIAGA</v>
      </c>
      <c r="C17" s="112" t="str">
        <f>IF(Base!I15="","",Base!I15)</f>
        <v>Linea 7</v>
      </c>
      <c r="D17" s="113" t="str">
        <f>IF(Base!J15="","",Base!J15)</f>
        <v>Armado cajas</v>
      </c>
      <c r="E17" s="112">
        <f>IF(Base!H15="","",Base!H15)</f>
        <v>1050616</v>
      </c>
      <c r="J17" s="122">
        <v>7</v>
      </c>
      <c r="K17" s="123"/>
      <c r="L17" s="124" t="str">
        <f t="shared" si="5"/>
        <v/>
      </c>
      <c r="M17" s="124" t="str">
        <f t="shared" si="6"/>
        <v/>
      </c>
      <c r="N17" s="125" t="str">
        <f t="shared" si="7"/>
        <v/>
      </c>
      <c r="O17" s="125" t="str">
        <f t="shared" si="8"/>
        <v/>
      </c>
      <c r="P17" s="126"/>
      <c r="Q17" s="127"/>
      <c r="R17" s="128"/>
      <c r="S17" s="127"/>
      <c r="T17" s="128"/>
      <c r="U17" s="127"/>
      <c r="V17" s="128"/>
      <c r="W17" s="127"/>
      <c r="X17" s="128"/>
      <c r="Y17" s="127"/>
      <c r="Z17" s="128"/>
      <c r="AA17" s="127"/>
      <c r="AB17" s="128"/>
      <c r="AC17" s="127"/>
      <c r="AD17" s="128"/>
      <c r="AE17" s="129">
        <f>SUM(Q17,S17,U17,W17,Y17,AA17,AC17)</f>
        <v>0</v>
      </c>
      <c r="AF17" s="129">
        <f>SUM(R17,T17,V17,X17,Z17,AB17,AD17)</f>
        <v>0</v>
      </c>
      <c r="AG17" s="130"/>
      <c r="AH17" s="131">
        <f t="shared" si="10"/>
        <v>0</v>
      </c>
    </row>
    <row r="18" spans="1:34" ht="13.5">
      <c r="A18" s="112" t="str">
        <f>IF(Base!B16="","",Base!B16)</f>
        <v>12.501.307-4</v>
      </c>
      <c r="B18" s="112" t="str">
        <f>IF(Base!F16="","",Base!F16)</f>
        <v>MARCELO ANTONIO  ARAYA  FUENTES</v>
      </c>
      <c r="C18" s="112" t="str">
        <f>IF(Base!I16="","",Base!I16)</f>
        <v>Linea 7</v>
      </c>
      <c r="D18" s="113" t="str">
        <f>IF(Base!J16="","",Base!J16)</f>
        <v>Embalador</v>
      </c>
      <c r="E18" s="112">
        <f>IF(Base!H16="","",Base!H16)</f>
        <v>1050616</v>
      </c>
      <c r="J18" s="122">
        <v>8</v>
      </c>
      <c r="K18" s="123"/>
      <c r="L18" s="124" t="str">
        <f t="shared" si="5"/>
        <v/>
      </c>
      <c r="M18" s="124" t="str">
        <f t="shared" si="6"/>
        <v/>
      </c>
      <c r="N18" s="125" t="str">
        <f t="shared" si="7"/>
        <v/>
      </c>
      <c r="O18" s="125" t="str">
        <f t="shared" si="8"/>
        <v/>
      </c>
      <c r="P18" s="126"/>
      <c r="Q18" s="132"/>
      <c r="R18" s="122"/>
      <c r="S18" s="132"/>
      <c r="T18" s="122"/>
      <c r="U18" s="132"/>
      <c r="V18" s="122"/>
      <c r="W18" s="132"/>
      <c r="X18" s="122"/>
      <c r="Y18" s="132"/>
      <c r="Z18" s="122"/>
      <c r="AA18" s="132"/>
      <c r="AB18" s="122"/>
      <c r="AC18" s="132"/>
      <c r="AD18" s="122"/>
      <c r="AE18" s="129">
        <f t="shared" ref="AE18:AF22" si="11">SUM(Q18,S18,U18,W18,Y18,AA18,AC18)</f>
        <v>0</v>
      </c>
      <c r="AF18" s="129">
        <f t="shared" si="11"/>
        <v>0</v>
      </c>
      <c r="AG18" s="130"/>
      <c r="AH18" s="131">
        <f t="shared" si="10"/>
        <v>0</v>
      </c>
    </row>
    <row r="19" spans="1:34" ht="13.5">
      <c r="A19" s="112" t="str">
        <f>IF(Base!B17="","",Base!B17)</f>
        <v>08.332.629-8</v>
      </c>
      <c r="B19" s="112" t="str">
        <f>IF(Base!F17="","",Base!F17)</f>
        <v>JUAN  ARRIAGADA  JARA</v>
      </c>
      <c r="C19" s="112" t="str">
        <f>IF(Base!I17="","",Base!I17)</f>
        <v>Linea 7</v>
      </c>
      <c r="D19" s="113" t="str">
        <f>IF(Base!J17="","",Base!J17)</f>
        <v>Palletizador</v>
      </c>
      <c r="E19" s="112">
        <f>IF(Base!H17="","",Base!H17)</f>
        <v>1050616</v>
      </c>
      <c r="J19" s="122">
        <v>9</v>
      </c>
      <c r="K19" s="123"/>
      <c r="L19" s="124" t="str">
        <f t="shared" si="5"/>
        <v/>
      </c>
      <c r="M19" s="124" t="str">
        <f t="shared" si="6"/>
        <v/>
      </c>
      <c r="N19" s="125" t="str">
        <f t="shared" si="7"/>
        <v/>
      </c>
      <c r="O19" s="125" t="str">
        <f t="shared" si="8"/>
        <v/>
      </c>
      <c r="P19" s="126"/>
      <c r="Q19" s="132"/>
      <c r="R19" s="122"/>
      <c r="S19" s="132"/>
      <c r="T19" s="122"/>
      <c r="U19" s="132"/>
      <c r="V19" s="122"/>
      <c r="W19" s="132"/>
      <c r="X19" s="122"/>
      <c r="Y19" s="132"/>
      <c r="Z19" s="122"/>
      <c r="AA19" s="132"/>
      <c r="AB19" s="122"/>
      <c r="AC19" s="132"/>
      <c r="AD19" s="122"/>
      <c r="AE19" s="129">
        <f t="shared" si="11"/>
        <v>0</v>
      </c>
      <c r="AF19" s="129">
        <f t="shared" si="11"/>
        <v>0</v>
      </c>
      <c r="AG19" s="130"/>
      <c r="AH19" s="131">
        <f t="shared" si="10"/>
        <v>0</v>
      </c>
    </row>
    <row r="20" spans="1:34" ht="13.5">
      <c r="A20" s="112" t="str">
        <f>IF(Base!B18="","",Base!B18)</f>
        <v>10.173.910-4</v>
      </c>
      <c r="B20" s="112" t="str">
        <f>IF(Base!F18="","",Base!F18)</f>
        <v>FELIX  EXEQUIEL  ARSENDIGA  PALMA</v>
      </c>
      <c r="C20" s="112" t="str">
        <f>IF(Base!I18="","",Base!I18)</f>
        <v>Abastecimiento</v>
      </c>
      <c r="D20" s="113" t="str">
        <f>IF(Base!J18="","",Base!J18)</f>
        <v>Suministro de Líneas</v>
      </c>
      <c r="E20" s="112">
        <f>IF(Base!H18="","",Base!H18)</f>
        <v>1050633</v>
      </c>
      <c r="J20" s="122">
        <v>10</v>
      </c>
      <c r="K20" s="123"/>
      <c r="L20" s="124" t="str">
        <f t="shared" si="5"/>
        <v/>
      </c>
      <c r="M20" s="124" t="str">
        <f t="shared" si="6"/>
        <v/>
      </c>
      <c r="N20" s="125" t="str">
        <f t="shared" si="7"/>
        <v/>
      </c>
      <c r="O20" s="125" t="str">
        <f t="shared" si="8"/>
        <v/>
      </c>
      <c r="P20" s="126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2"/>
      <c r="AE20" s="129">
        <f t="shared" si="11"/>
        <v>0</v>
      </c>
      <c r="AF20" s="129">
        <f t="shared" si="11"/>
        <v>0</v>
      </c>
      <c r="AG20" s="130"/>
      <c r="AH20" s="131">
        <f t="shared" si="10"/>
        <v>0</v>
      </c>
    </row>
    <row r="21" spans="1:34" ht="13.5">
      <c r="A21" s="112" t="str">
        <f>IF(Base!B19="","",Base!B19)</f>
        <v>11.325.204-9</v>
      </c>
      <c r="B21" s="112" t="str">
        <f>IF(Base!F19="","",Base!F19)</f>
        <v>LUIS ALBERTO  ALVARADO  MARTINEZ</v>
      </c>
      <c r="C21" s="112" t="str">
        <f>IF(Base!I19="","",Base!I19)</f>
        <v>Abastecimiento</v>
      </c>
      <c r="D21" s="113" t="str">
        <f>IF(Base!J19="","",Base!J19)</f>
        <v>Suministro de Líneas</v>
      </c>
      <c r="E21" s="112">
        <f>IF(Base!H19="","",Base!H19)</f>
        <v>1050633</v>
      </c>
      <c r="J21" s="122">
        <v>11</v>
      </c>
      <c r="K21" s="123"/>
      <c r="L21" s="124" t="str">
        <f t="shared" si="5"/>
        <v/>
      </c>
      <c r="M21" s="124" t="str">
        <f t="shared" si="6"/>
        <v/>
      </c>
      <c r="N21" s="125" t="str">
        <f t="shared" si="7"/>
        <v/>
      </c>
      <c r="O21" s="125" t="str">
        <f t="shared" si="8"/>
        <v/>
      </c>
      <c r="P21" s="126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2"/>
      <c r="AC21" s="132"/>
      <c r="AD21" s="132"/>
      <c r="AE21" s="129">
        <f t="shared" si="11"/>
        <v>0</v>
      </c>
      <c r="AF21" s="129">
        <f t="shared" si="11"/>
        <v>0</v>
      </c>
      <c r="AG21" s="130"/>
      <c r="AH21" s="131">
        <f t="shared" si="10"/>
        <v>0</v>
      </c>
    </row>
    <row r="22" spans="1:34" ht="13.5">
      <c r="A22" s="112" t="str">
        <f>IF(Base!B20="","",Base!B20)</f>
        <v>09.148.214-2</v>
      </c>
      <c r="B22" s="112" t="str">
        <f>IF(Base!F20="","",Base!F20)</f>
        <v>JORGE  BAEZA  REYES</v>
      </c>
      <c r="C22" s="112" t="str">
        <f>IF(Base!I20="","",Base!I20)</f>
        <v>Abastecimiento</v>
      </c>
      <c r="D22" s="113" t="str">
        <f>IF(Base!J20="","",Base!J20)</f>
        <v>Suministro de Líneas</v>
      </c>
      <c r="E22" s="112">
        <f>IF(Base!H20="","",Base!H20)</f>
        <v>1050127</v>
      </c>
      <c r="J22" s="122">
        <v>12</v>
      </c>
      <c r="K22" s="123"/>
      <c r="L22" s="124" t="str">
        <f t="shared" si="5"/>
        <v/>
      </c>
      <c r="M22" s="124" t="str">
        <f t="shared" si="6"/>
        <v/>
      </c>
      <c r="N22" s="125" t="str">
        <f t="shared" si="7"/>
        <v/>
      </c>
      <c r="O22" s="125" t="str">
        <f t="shared" si="8"/>
        <v/>
      </c>
      <c r="P22" s="126"/>
      <c r="Q22" s="132"/>
      <c r="R22" s="122"/>
      <c r="S22" s="132"/>
      <c r="T22" s="122"/>
      <c r="U22" s="132"/>
      <c r="V22" s="122"/>
      <c r="W22" s="132"/>
      <c r="X22" s="122"/>
      <c r="Y22" s="132"/>
      <c r="Z22" s="122"/>
      <c r="AA22" s="132"/>
      <c r="AB22" s="122"/>
      <c r="AC22" s="132"/>
      <c r="AD22" s="122"/>
      <c r="AE22" s="129">
        <f t="shared" si="11"/>
        <v>0</v>
      </c>
      <c r="AF22" s="129">
        <f t="shared" si="11"/>
        <v>0</v>
      </c>
      <c r="AG22" s="130"/>
      <c r="AH22" s="131">
        <f t="shared" si="10"/>
        <v>0</v>
      </c>
    </row>
    <row r="23" spans="1:34" ht="13.5">
      <c r="A23" s="112" t="str">
        <f>IF(Base!B21="","",Base!B21)</f>
        <v>12.897.839-9</v>
      </c>
      <c r="B23" s="112" t="str">
        <f>IF(Base!F21="","",Base!F21)</f>
        <v>SOLEDAD ALEJANDRA  BECERRA  QUEZADA</v>
      </c>
      <c r="C23" s="112" t="str">
        <f>IF(Base!I21="","",Base!I21)</f>
        <v>Linea 6</v>
      </c>
      <c r="D23" s="113" t="str">
        <f>IF(Base!J21="","",Base!J21)</f>
        <v>Inspector etiqueta</v>
      </c>
      <c r="E23" s="112">
        <f>IF(Base!H21="","",Base!H21)</f>
        <v>1050610</v>
      </c>
      <c r="J23" s="122">
        <v>13</v>
      </c>
      <c r="K23" s="123"/>
      <c r="L23" s="124" t="str">
        <f t="shared" si="5"/>
        <v/>
      </c>
      <c r="M23" s="124" t="str">
        <f t="shared" si="6"/>
        <v/>
      </c>
      <c r="N23" s="125" t="str">
        <f t="shared" si="7"/>
        <v/>
      </c>
      <c r="O23" s="125" t="str">
        <f t="shared" si="8"/>
        <v/>
      </c>
      <c r="P23" s="126"/>
      <c r="Q23" s="127"/>
      <c r="R23" s="128"/>
      <c r="S23" s="127"/>
      <c r="T23" s="128"/>
      <c r="U23" s="127"/>
      <c r="V23" s="128"/>
      <c r="W23" s="127"/>
      <c r="X23" s="128"/>
      <c r="Y23" s="127"/>
      <c r="Z23" s="128"/>
      <c r="AA23" s="127"/>
      <c r="AB23" s="128"/>
      <c r="AC23" s="127"/>
      <c r="AD23" s="128"/>
      <c r="AE23" s="129">
        <f>SUM(Q23,S23,U23,W23,Y23,AA23,AC23)</f>
        <v>0</v>
      </c>
      <c r="AF23" s="129">
        <f>SUM(R23,T23,V23,X23,Z23,AB23,AD23)</f>
        <v>0</v>
      </c>
      <c r="AG23" s="130"/>
      <c r="AH23" s="131">
        <f t="shared" si="10"/>
        <v>0</v>
      </c>
    </row>
    <row r="24" spans="1:34" ht="13.5">
      <c r="A24" s="112" t="str">
        <f>IF(Base!B22="","",Base!B22)</f>
        <v>13.557.248-9</v>
      </c>
      <c r="B24" s="112" t="str">
        <f>IF(Base!F22="","",Base!F22)</f>
        <v>OSCAR MAURICIO  BERRIOS  LOPEZ</v>
      </c>
      <c r="C24" s="112" t="str">
        <f>IF(Base!I22="","",Base!I22)</f>
        <v>Monitor Despalletizado</v>
      </c>
      <c r="D24" s="113" t="str">
        <f>IF(Base!J22="","",Base!J22)</f>
        <v>Monitor Despalletizado</v>
      </c>
      <c r="E24" s="112">
        <f>IF(Base!H22="","",Base!H22)</f>
        <v>1050604</v>
      </c>
      <c r="J24" s="122">
        <v>14</v>
      </c>
      <c r="K24" s="123"/>
      <c r="L24" s="124" t="str">
        <f t="shared" si="5"/>
        <v/>
      </c>
      <c r="M24" s="124" t="str">
        <f t="shared" si="6"/>
        <v/>
      </c>
      <c r="N24" s="125" t="str">
        <f t="shared" si="7"/>
        <v/>
      </c>
      <c r="O24" s="125" t="str">
        <f t="shared" si="8"/>
        <v/>
      </c>
      <c r="P24" s="126"/>
      <c r="Q24" s="132"/>
      <c r="R24" s="122"/>
      <c r="S24" s="132"/>
      <c r="T24" s="122"/>
      <c r="U24" s="132"/>
      <c r="V24" s="122"/>
      <c r="W24" s="132"/>
      <c r="X24" s="122"/>
      <c r="Y24" s="132"/>
      <c r="Z24" s="122"/>
      <c r="AA24" s="132"/>
      <c r="AB24" s="122"/>
      <c r="AC24" s="132"/>
      <c r="AD24" s="122"/>
      <c r="AE24" s="129">
        <f t="shared" ref="AE24:AF39" si="12">SUM(Q24,S24,U24,W24,Y24,AA24,AC24)</f>
        <v>0</v>
      </c>
      <c r="AF24" s="129">
        <f t="shared" si="12"/>
        <v>0</v>
      </c>
      <c r="AG24" s="130"/>
      <c r="AH24" s="131">
        <f t="shared" si="10"/>
        <v>0</v>
      </c>
    </row>
    <row r="25" spans="1:34" ht="13.5">
      <c r="A25" s="112" t="str">
        <f>IF(Base!B23="","",Base!B23)</f>
        <v>16.907.382-1</v>
      </c>
      <c r="B25" s="112" t="str">
        <f>IF(Base!F23="","",Base!F23)</f>
        <v>OLIVER HANS  BUGUEÑO  MEDEL</v>
      </c>
      <c r="C25" s="112" t="str">
        <f>IF(Base!I23="","",Base!I23)</f>
        <v>Linea 3</v>
      </c>
      <c r="D25" s="113" t="str">
        <f>IF(Base!J23="","",Base!J23)</f>
        <v>Etiquetador</v>
      </c>
      <c r="E25" s="112">
        <f>IF(Base!H23="","",Base!H23)</f>
        <v>1050556</v>
      </c>
      <c r="J25" s="122">
        <v>15</v>
      </c>
      <c r="K25" s="123"/>
      <c r="L25" s="124" t="str">
        <f t="shared" si="5"/>
        <v/>
      </c>
      <c r="M25" s="124" t="str">
        <f t="shared" si="6"/>
        <v/>
      </c>
      <c r="N25" s="125" t="str">
        <f t="shared" si="7"/>
        <v/>
      </c>
      <c r="O25" s="125" t="str">
        <f t="shared" si="8"/>
        <v/>
      </c>
      <c r="P25" s="126"/>
      <c r="Q25" s="132"/>
      <c r="R25" s="122"/>
      <c r="S25" s="132"/>
      <c r="T25" s="122"/>
      <c r="U25" s="132"/>
      <c r="V25" s="122"/>
      <c r="W25" s="132"/>
      <c r="X25" s="122"/>
      <c r="Y25" s="132"/>
      <c r="Z25" s="122"/>
      <c r="AA25" s="132"/>
      <c r="AB25" s="122"/>
      <c r="AC25" s="132"/>
      <c r="AD25" s="122"/>
      <c r="AE25" s="129">
        <f t="shared" si="12"/>
        <v>0</v>
      </c>
      <c r="AF25" s="129">
        <f t="shared" si="12"/>
        <v>0</v>
      </c>
      <c r="AG25" s="130"/>
      <c r="AH25" s="131">
        <f t="shared" si="10"/>
        <v>0</v>
      </c>
    </row>
    <row r="26" spans="1:34" ht="13.5">
      <c r="A26" s="112" t="str">
        <f>IF(Base!B24="","",Base!B24)</f>
        <v>13.236.100-2</v>
      </c>
      <c r="B26" s="112" t="str">
        <f>IF(Base!F24="","",Base!F24)</f>
        <v>MARCO ANTONIO  BUSTAMANTE  GONZALEZ</v>
      </c>
      <c r="C26" s="112" t="str">
        <f>IF(Base!I24="","",Base!I24)</f>
        <v>Abastecimiento</v>
      </c>
      <c r="D26" s="113" t="str">
        <f>IF(Base!J24="","",Base!J24)</f>
        <v>Suministro de Líneas</v>
      </c>
      <c r="E26" s="112">
        <f>IF(Base!H24="","",Base!H24)</f>
        <v>1050581</v>
      </c>
      <c r="J26" s="122">
        <v>16</v>
      </c>
      <c r="K26" s="123"/>
      <c r="L26" s="124" t="str">
        <f t="shared" si="5"/>
        <v/>
      </c>
      <c r="M26" s="124" t="str">
        <f t="shared" si="6"/>
        <v/>
      </c>
      <c r="N26" s="125" t="str">
        <f t="shared" si="7"/>
        <v/>
      </c>
      <c r="O26" s="125" t="str">
        <f t="shared" si="8"/>
        <v/>
      </c>
      <c r="P26" s="126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  <c r="AB26" s="132"/>
      <c r="AC26" s="132"/>
      <c r="AD26" s="132"/>
      <c r="AE26" s="129">
        <f t="shared" si="12"/>
        <v>0</v>
      </c>
      <c r="AF26" s="129">
        <f t="shared" si="12"/>
        <v>0</v>
      </c>
      <c r="AG26" s="130"/>
      <c r="AH26" s="131">
        <f t="shared" si="10"/>
        <v>0</v>
      </c>
    </row>
    <row r="27" spans="1:34" ht="13.5">
      <c r="A27" s="112" t="str">
        <f>IF(Base!B25="","",Base!B25)</f>
        <v>13.899.407-4</v>
      </c>
      <c r="B27" s="112" t="str">
        <f>IF(Base!F25="","",Base!F25)</f>
        <v>MAURICIO ANDRES  BUSTAMANTE  GONZALEZ</v>
      </c>
      <c r="C27" s="112" t="str">
        <f>IF(Base!I25="","",Base!I25)</f>
        <v>Abastecimiento</v>
      </c>
      <c r="D27" s="113" t="str">
        <f>IF(Base!J25="","",Base!J25)</f>
        <v>Suministro de Líneas</v>
      </c>
      <c r="E27" s="112">
        <f>IF(Base!H25="","",Base!H25)</f>
        <v>1050127</v>
      </c>
      <c r="J27" s="122">
        <v>17</v>
      </c>
      <c r="K27" s="123"/>
      <c r="L27" s="124" t="str">
        <f t="shared" si="5"/>
        <v/>
      </c>
      <c r="M27" s="124" t="str">
        <f t="shared" si="6"/>
        <v/>
      </c>
      <c r="N27" s="125" t="str">
        <f t="shared" si="7"/>
        <v/>
      </c>
      <c r="O27" s="125" t="str">
        <f t="shared" si="8"/>
        <v/>
      </c>
      <c r="P27" s="126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  <c r="AB27" s="132"/>
      <c r="AC27" s="132"/>
      <c r="AD27" s="132"/>
      <c r="AE27" s="129">
        <f t="shared" si="12"/>
        <v>0</v>
      </c>
      <c r="AF27" s="129">
        <f t="shared" si="12"/>
        <v>0</v>
      </c>
      <c r="AG27" s="130"/>
      <c r="AH27" s="131">
        <f t="shared" si="10"/>
        <v>0</v>
      </c>
    </row>
    <row r="28" spans="1:34" ht="13.5">
      <c r="A28" s="112" t="str">
        <f>IF(Base!B26="","",Base!B26)</f>
        <v>10.116.815-8</v>
      </c>
      <c r="B28" s="112" t="str">
        <f>IF(Base!F26="","",Base!F26)</f>
        <v>TERESA DE LAS NIEVES  BUSTOS  JARA</v>
      </c>
      <c r="C28" s="112" t="str">
        <f>IF(Base!I26="","",Base!I26)</f>
        <v>Abastecimiento</v>
      </c>
      <c r="D28" s="113" t="str">
        <f>IF(Base!J26="","",Base!J26)</f>
        <v>Suministro de Líneas</v>
      </c>
      <c r="E28" s="112">
        <f>IF(Base!H26="","",Base!H26)</f>
        <v>1050127</v>
      </c>
      <c r="J28" s="122">
        <v>18</v>
      </c>
      <c r="K28" s="123"/>
      <c r="L28" s="124" t="str">
        <f t="shared" si="5"/>
        <v/>
      </c>
      <c r="M28" s="124" t="str">
        <f t="shared" si="6"/>
        <v/>
      </c>
      <c r="N28" s="125" t="str">
        <f t="shared" si="7"/>
        <v/>
      </c>
      <c r="O28" s="125" t="str">
        <f t="shared" si="8"/>
        <v/>
      </c>
      <c r="P28" s="126"/>
      <c r="Q28" s="132"/>
      <c r="R28" s="122"/>
      <c r="S28" s="132"/>
      <c r="T28" s="122"/>
      <c r="U28" s="132"/>
      <c r="V28" s="122"/>
      <c r="W28" s="132"/>
      <c r="X28" s="122"/>
      <c r="Y28" s="132"/>
      <c r="Z28" s="122"/>
      <c r="AA28" s="132"/>
      <c r="AB28" s="122"/>
      <c r="AC28" s="132"/>
      <c r="AD28" s="122"/>
      <c r="AE28" s="129">
        <f t="shared" si="12"/>
        <v>0</v>
      </c>
      <c r="AF28" s="129">
        <f t="shared" si="12"/>
        <v>0</v>
      </c>
      <c r="AG28" s="130"/>
      <c r="AH28" s="131">
        <f t="shared" si="10"/>
        <v>0</v>
      </c>
    </row>
    <row r="29" spans="1:34" ht="13.5">
      <c r="A29" s="112" t="str">
        <f>IF(Base!B27="","",Base!B27)</f>
        <v>06.933.508-K</v>
      </c>
      <c r="B29" s="112" t="str">
        <f>IF(Base!F27="","",Base!F27)</f>
        <v>JUAN RAMON  CABELLO  DIAZ</v>
      </c>
      <c r="C29" s="112" t="str">
        <f>IF(Base!I27="","",Base!I27)</f>
        <v>Linea 7</v>
      </c>
      <c r="D29" s="113" t="str">
        <f>IF(Base!J27="","",Base!J27)</f>
        <v>Embalador</v>
      </c>
      <c r="E29" s="112">
        <f>IF(Base!H27="","",Base!H27)</f>
        <v>1050616</v>
      </c>
      <c r="J29" s="122">
        <v>19</v>
      </c>
      <c r="K29" s="123"/>
      <c r="L29" s="124" t="str">
        <f t="shared" si="5"/>
        <v/>
      </c>
      <c r="M29" s="124" t="str">
        <f t="shared" si="6"/>
        <v/>
      </c>
      <c r="N29" s="125" t="str">
        <f t="shared" si="7"/>
        <v/>
      </c>
      <c r="O29" s="125" t="str">
        <f t="shared" si="8"/>
        <v/>
      </c>
      <c r="P29" s="126"/>
      <c r="Q29" s="132"/>
      <c r="R29" s="122"/>
      <c r="S29" s="132"/>
      <c r="T29" s="122"/>
      <c r="U29" s="132"/>
      <c r="V29" s="122"/>
      <c r="W29" s="132"/>
      <c r="X29" s="122"/>
      <c r="Y29" s="132"/>
      <c r="Z29" s="122"/>
      <c r="AA29" s="132"/>
      <c r="AB29" s="122"/>
      <c r="AC29" s="132"/>
      <c r="AD29" s="122"/>
      <c r="AE29" s="129">
        <f t="shared" si="12"/>
        <v>0</v>
      </c>
      <c r="AF29" s="129">
        <f t="shared" si="12"/>
        <v>0</v>
      </c>
      <c r="AG29" s="130"/>
      <c r="AH29" s="131">
        <f t="shared" si="10"/>
        <v>0</v>
      </c>
    </row>
    <row r="30" spans="1:34" ht="13.5">
      <c r="A30" s="112" t="str">
        <f>IF(Base!B28="","",Base!B28)</f>
        <v>16.441.340-3</v>
      </c>
      <c r="B30" s="112" t="str">
        <f>IF(Base!F28="","",Base!F28)</f>
        <v>LUIS HERNAN  CACERES  ORMAZABAL</v>
      </c>
      <c r="C30" s="112" t="str">
        <f>IF(Base!I28="","",Base!I28)</f>
        <v>Abastecimiento</v>
      </c>
      <c r="D30" s="113" t="str">
        <f>IF(Base!J28="","",Base!J28)</f>
        <v>Suministro de Líneas</v>
      </c>
      <c r="E30" s="112">
        <f>IF(Base!H28="","",Base!H28)</f>
        <v>1050633</v>
      </c>
      <c r="J30" s="122">
        <v>20</v>
      </c>
      <c r="K30" s="123"/>
      <c r="L30" s="124" t="str">
        <f t="shared" si="5"/>
        <v/>
      </c>
      <c r="M30" s="124" t="str">
        <f t="shared" si="6"/>
        <v/>
      </c>
      <c r="N30" s="125" t="str">
        <f t="shared" si="7"/>
        <v/>
      </c>
      <c r="O30" s="125" t="str">
        <f t="shared" si="8"/>
        <v/>
      </c>
      <c r="P30" s="126"/>
      <c r="Q30" s="132"/>
      <c r="R30" s="122"/>
      <c r="S30" s="132"/>
      <c r="T30" s="122"/>
      <c r="U30" s="132"/>
      <c r="V30" s="122"/>
      <c r="W30" s="132"/>
      <c r="X30" s="122"/>
      <c r="Y30" s="132"/>
      <c r="Z30" s="122"/>
      <c r="AA30" s="132"/>
      <c r="AB30" s="122"/>
      <c r="AC30" s="132"/>
      <c r="AD30" s="122"/>
      <c r="AE30" s="129">
        <f t="shared" si="12"/>
        <v>0</v>
      </c>
      <c r="AF30" s="129">
        <f t="shared" si="12"/>
        <v>0</v>
      </c>
      <c r="AG30" s="130"/>
      <c r="AH30" s="131">
        <f t="shared" si="10"/>
        <v>0</v>
      </c>
    </row>
    <row r="31" spans="1:34" ht="13.5">
      <c r="A31" s="112" t="str">
        <f>IF(Base!B29="","",Base!B29)</f>
        <v>14.095.347-4</v>
      </c>
      <c r="B31" s="112" t="str">
        <f>IF(Base!F29="","",Base!F29)</f>
        <v>ANDRES NICOLAS  CAÑOLES  VERA</v>
      </c>
      <c r="C31" s="112" t="str">
        <f>IF(Base!I29="","",Base!I29)</f>
        <v>Sala filtros</v>
      </c>
      <c r="D31" s="113" t="str">
        <f>IF(Base!J29="","",Base!J29)</f>
        <v>Operador sala de filtros</v>
      </c>
      <c r="E31" s="112">
        <f>IF(Base!H29="","",Base!H29)</f>
        <v>1050574</v>
      </c>
      <c r="J31" s="122">
        <v>21</v>
      </c>
      <c r="K31" s="123"/>
      <c r="L31" s="124" t="str">
        <f t="shared" si="5"/>
        <v/>
      </c>
      <c r="M31" s="124" t="str">
        <f t="shared" si="6"/>
        <v/>
      </c>
      <c r="N31" s="125" t="str">
        <f t="shared" si="7"/>
        <v/>
      </c>
      <c r="O31" s="125" t="str">
        <f t="shared" si="8"/>
        <v/>
      </c>
      <c r="P31" s="126"/>
      <c r="Q31" s="132"/>
      <c r="R31" s="132"/>
      <c r="S31" s="132"/>
      <c r="T31" s="132"/>
      <c r="U31" s="132"/>
      <c r="V31" s="132"/>
      <c r="W31" s="132"/>
      <c r="X31" s="132"/>
      <c r="Y31" s="132"/>
      <c r="Z31" s="132"/>
      <c r="AA31" s="132"/>
      <c r="AB31" s="132"/>
      <c r="AC31" s="132"/>
      <c r="AD31" s="132"/>
      <c r="AE31" s="129">
        <f t="shared" si="12"/>
        <v>0</v>
      </c>
      <c r="AF31" s="129">
        <f t="shared" si="12"/>
        <v>0</v>
      </c>
      <c r="AG31" s="130"/>
      <c r="AH31" s="131">
        <f t="shared" si="10"/>
        <v>0</v>
      </c>
    </row>
    <row r="32" spans="1:34" ht="13.5">
      <c r="A32" s="112" t="str">
        <f>IF(Base!B30="","",Base!B30)</f>
        <v>12.674.806-K</v>
      </c>
      <c r="B32" s="112" t="str">
        <f>IF(Base!F30="","",Base!F30)</f>
        <v>MARCO  CARDENAS  ULLOA</v>
      </c>
      <c r="C32" s="112" t="str">
        <f>IF(Base!I30="","",Base!I30)</f>
        <v>Linea 3</v>
      </c>
      <c r="D32" s="113" t="str">
        <f>IF(Base!J30="","",Base!J30)</f>
        <v>Etiquetador</v>
      </c>
      <c r="E32" s="112">
        <f>IF(Base!H30="","",Base!H30)</f>
        <v>1050556</v>
      </c>
      <c r="J32" s="122">
        <v>22</v>
      </c>
      <c r="K32" s="123"/>
      <c r="L32" s="124" t="str">
        <f t="shared" si="5"/>
        <v/>
      </c>
      <c r="M32" s="124" t="str">
        <f t="shared" si="6"/>
        <v/>
      </c>
      <c r="N32" s="125" t="str">
        <f t="shared" si="7"/>
        <v/>
      </c>
      <c r="O32" s="125" t="str">
        <f t="shared" si="8"/>
        <v/>
      </c>
      <c r="P32" s="126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29">
        <f t="shared" si="12"/>
        <v>0</v>
      </c>
      <c r="AF32" s="129">
        <f t="shared" si="12"/>
        <v>0</v>
      </c>
      <c r="AG32" s="130"/>
      <c r="AH32" s="131">
        <f t="shared" si="10"/>
        <v>0</v>
      </c>
    </row>
    <row r="33" spans="1:34" ht="13.5">
      <c r="A33" s="112" t="str">
        <f>IF(Base!B31="","",Base!B31)</f>
        <v>08.454.836-7</v>
      </c>
      <c r="B33" s="112" t="str">
        <f>IF(Base!F31="","",Base!F31)</f>
        <v>BRIGIDA DEL CARMEN  CARES  LOPEZ</v>
      </c>
      <c r="C33" s="112" t="str">
        <f>IF(Base!I31="","",Base!I31)</f>
        <v>Abastecimiento</v>
      </c>
      <c r="D33" s="113" t="str">
        <f>IF(Base!J31="","",Base!J31)</f>
        <v>Suministro de Líneas</v>
      </c>
      <c r="E33" s="112">
        <f>IF(Base!H31="","",Base!H31)</f>
        <v>1050127</v>
      </c>
      <c r="J33" s="122">
        <v>23</v>
      </c>
      <c r="K33" s="123"/>
      <c r="L33" s="124" t="str">
        <f t="shared" si="5"/>
        <v/>
      </c>
      <c r="M33" s="124" t="str">
        <f t="shared" si="6"/>
        <v/>
      </c>
      <c r="N33" s="125" t="str">
        <f t="shared" si="7"/>
        <v/>
      </c>
      <c r="O33" s="125" t="str">
        <f t="shared" si="8"/>
        <v/>
      </c>
      <c r="P33" s="126"/>
      <c r="Q33" s="132"/>
      <c r="R33" s="122"/>
      <c r="S33" s="132"/>
      <c r="T33" s="122"/>
      <c r="U33" s="132"/>
      <c r="V33" s="122"/>
      <c r="W33" s="132"/>
      <c r="X33" s="122"/>
      <c r="Y33" s="132"/>
      <c r="Z33" s="122"/>
      <c r="AA33" s="132"/>
      <c r="AB33" s="122"/>
      <c r="AC33" s="132"/>
      <c r="AD33" s="122"/>
      <c r="AE33" s="129">
        <f t="shared" si="12"/>
        <v>0</v>
      </c>
      <c r="AF33" s="129">
        <f t="shared" si="12"/>
        <v>0</v>
      </c>
      <c r="AG33" s="130"/>
      <c r="AH33" s="131">
        <f t="shared" si="10"/>
        <v>0</v>
      </c>
    </row>
    <row r="34" spans="1:34" ht="13.5">
      <c r="A34" s="112" t="str">
        <f>IF(Base!B32="","",Base!B32)</f>
        <v>09.832.710-K</v>
      </c>
      <c r="B34" s="112" t="str">
        <f>IF(Base!F32="","",Base!F32)</f>
        <v>OMAR FCO.  CARO  RODRIGUEZ</v>
      </c>
      <c r="C34" s="112" t="str">
        <f>IF(Base!I32="","",Base!I32)</f>
        <v>Abastecimiento</v>
      </c>
      <c r="D34" s="113" t="str">
        <f>IF(Base!J32="","",Base!J32)</f>
        <v>Suministro de Líneas</v>
      </c>
      <c r="E34" s="112">
        <f>IF(Base!H32="","",Base!H32)</f>
        <v>1050127</v>
      </c>
      <c r="J34" s="122">
        <v>24</v>
      </c>
      <c r="K34" s="123"/>
      <c r="L34" s="124" t="str">
        <f t="shared" si="5"/>
        <v/>
      </c>
      <c r="M34" s="124" t="str">
        <f t="shared" si="6"/>
        <v/>
      </c>
      <c r="N34" s="125" t="str">
        <f t="shared" si="7"/>
        <v/>
      </c>
      <c r="O34" s="125" t="str">
        <f t="shared" si="8"/>
        <v/>
      </c>
      <c r="P34" s="126"/>
      <c r="Q34" s="132"/>
      <c r="R34" s="122"/>
      <c r="S34" s="132"/>
      <c r="T34" s="122"/>
      <c r="U34" s="132"/>
      <c r="V34" s="122"/>
      <c r="W34" s="132"/>
      <c r="X34" s="122"/>
      <c r="Y34" s="132"/>
      <c r="Z34" s="122"/>
      <c r="AA34" s="132"/>
      <c r="AB34" s="122"/>
      <c r="AC34" s="132"/>
      <c r="AD34" s="122"/>
      <c r="AE34" s="129">
        <f t="shared" si="12"/>
        <v>0</v>
      </c>
      <c r="AF34" s="129">
        <f t="shared" si="12"/>
        <v>0</v>
      </c>
      <c r="AG34" s="130"/>
      <c r="AH34" s="131">
        <f t="shared" si="10"/>
        <v>0</v>
      </c>
    </row>
    <row r="35" spans="1:34" ht="13.5">
      <c r="A35" s="112" t="str">
        <f>IF(Base!B33="","",Base!B33)</f>
        <v>12.410.690-7</v>
      </c>
      <c r="B35" s="112" t="str">
        <f>IF(Base!F33="","",Base!F33)</f>
        <v>SIMON ANDRES  CARRASCO  CID</v>
      </c>
      <c r="C35" s="112" t="str">
        <f>IF(Base!I33="","",Base!I33)</f>
        <v>Linea 2</v>
      </c>
      <c r="D35" s="113" t="str">
        <f>IF(Base!J33="","",Base!J33)</f>
        <v>Embalador</v>
      </c>
      <c r="E35" s="112">
        <f>IF(Base!H33="","",Base!H33)</f>
        <v>1050554</v>
      </c>
      <c r="J35" s="122">
        <v>25</v>
      </c>
      <c r="K35" s="123"/>
      <c r="L35" s="124" t="str">
        <f t="shared" si="5"/>
        <v/>
      </c>
      <c r="M35" s="124" t="str">
        <f t="shared" si="6"/>
        <v/>
      </c>
      <c r="N35" s="125" t="str">
        <f t="shared" si="7"/>
        <v/>
      </c>
      <c r="O35" s="125" t="str">
        <f t="shared" si="8"/>
        <v/>
      </c>
      <c r="P35" s="126"/>
      <c r="Q35" s="132"/>
      <c r="R35" s="122"/>
      <c r="S35" s="132"/>
      <c r="T35" s="122"/>
      <c r="U35" s="132"/>
      <c r="V35" s="122"/>
      <c r="W35" s="132"/>
      <c r="X35" s="122"/>
      <c r="Y35" s="132"/>
      <c r="Z35" s="122"/>
      <c r="AA35" s="132"/>
      <c r="AB35" s="122"/>
      <c r="AC35" s="132"/>
      <c r="AD35" s="122"/>
      <c r="AE35" s="129">
        <f t="shared" si="12"/>
        <v>0</v>
      </c>
      <c r="AF35" s="129">
        <f t="shared" si="12"/>
        <v>0</v>
      </c>
      <c r="AG35" s="130"/>
      <c r="AH35" s="131">
        <f t="shared" si="10"/>
        <v>0</v>
      </c>
    </row>
    <row r="36" spans="1:34" ht="13.5">
      <c r="A36" s="112" t="str">
        <f>IF(Base!B34="","",Base!B34)</f>
        <v>08.360.971-0</v>
      </c>
      <c r="B36" s="112" t="str">
        <f>IF(Base!F34="","",Base!F34)</f>
        <v>PACIFICO  CARRERA  MAUREIRA</v>
      </c>
      <c r="C36" s="112" t="str">
        <f>IF(Base!I34="","",Base!I34)</f>
        <v>Linea 2</v>
      </c>
      <c r="D36" s="113" t="str">
        <f>IF(Base!J34="","",Base!J34)</f>
        <v>Etiquetador</v>
      </c>
      <c r="E36" s="112">
        <f>IF(Base!H34="","",Base!H34)</f>
        <v>1050554</v>
      </c>
      <c r="J36" s="122">
        <v>26</v>
      </c>
      <c r="K36" s="123"/>
      <c r="L36" s="124" t="str">
        <f t="shared" si="5"/>
        <v/>
      </c>
      <c r="M36" s="124" t="str">
        <f t="shared" si="6"/>
        <v/>
      </c>
      <c r="N36" s="125" t="str">
        <f t="shared" si="7"/>
        <v/>
      </c>
      <c r="O36" s="125" t="str">
        <f t="shared" si="8"/>
        <v/>
      </c>
      <c r="P36" s="126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29">
        <f t="shared" si="12"/>
        <v>0</v>
      </c>
      <c r="AF36" s="129">
        <f t="shared" si="12"/>
        <v>0</v>
      </c>
      <c r="AG36" s="130"/>
      <c r="AH36" s="131">
        <f t="shared" si="10"/>
        <v>0</v>
      </c>
    </row>
    <row r="37" spans="1:34" ht="13.5">
      <c r="A37" s="112" t="str">
        <f>IF(Base!B35="","",Base!B35)</f>
        <v>16.695.463-0</v>
      </c>
      <c r="B37" s="112" t="str">
        <f>IF(Base!F35="","",Base!F35)</f>
        <v>CAMILO ALEXANDER  CARVAJAL  APPELGREN</v>
      </c>
      <c r="C37" s="112" t="str">
        <f>IF(Base!I35="","",Base!I35)</f>
        <v>Linea 7</v>
      </c>
      <c r="D37" s="113" t="str">
        <f>IF(Base!J35="","",Base!J35)</f>
        <v>Despalletizador</v>
      </c>
      <c r="E37" s="112">
        <f>IF(Base!H35="","",Base!H35)</f>
        <v>1050616</v>
      </c>
      <c r="J37" s="122">
        <v>27</v>
      </c>
      <c r="K37" s="123"/>
      <c r="L37" s="124" t="str">
        <f t="shared" si="5"/>
        <v/>
      </c>
      <c r="M37" s="124" t="str">
        <f t="shared" si="6"/>
        <v/>
      </c>
      <c r="N37" s="125" t="str">
        <f t="shared" si="7"/>
        <v/>
      </c>
      <c r="O37" s="125" t="str">
        <f t="shared" si="8"/>
        <v/>
      </c>
      <c r="P37" s="126"/>
      <c r="Q37" s="132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2"/>
      <c r="AE37" s="129">
        <f t="shared" si="12"/>
        <v>0</v>
      </c>
      <c r="AF37" s="129">
        <f t="shared" si="12"/>
        <v>0</v>
      </c>
      <c r="AG37" s="130"/>
      <c r="AH37" s="131">
        <f t="shared" si="10"/>
        <v>0</v>
      </c>
    </row>
    <row r="38" spans="1:34" ht="13.5">
      <c r="A38" s="112" t="str">
        <f>IF(Base!B36="","",Base!B36)</f>
        <v>08.465.592-9</v>
      </c>
      <c r="B38" s="112" t="str">
        <f>IF(Base!F36="","",Base!F36)</f>
        <v>JUAN A  CASTAÑEDA  SANHUEZA</v>
      </c>
      <c r="C38" s="112" t="str">
        <f>IF(Base!I36="","",Base!I36)</f>
        <v>Sala filtros</v>
      </c>
      <c r="D38" s="113" t="str">
        <f>IF(Base!J36="","",Base!J36)</f>
        <v>Operador sala de filtros</v>
      </c>
      <c r="E38" s="112">
        <f>IF(Base!H36="","",Base!H36)</f>
        <v>1050574</v>
      </c>
      <c r="J38" s="122">
        <v>28</v>
      </c>
      <c r="K38" s="123"/>
      <c r="L38" s="124" t="str">
        <f t="shared" si="5"/>
        <v/>
      </c>
      <c r="M38" s="124" t="str">
        <f t="shared" si="6"/>
        <v/>
      </c>
      <c r="N38" s="125" t="str">
        <f t="shared" si="7"/>
        <v/>
      </c>
      <c r="O38" s="125" t="str">
        <f t="shared" si="8"/>
        <v/>
      </c>
      <c r="P38" s="126"/>
      <c r="Q38" s="132"/>
      <c r="R38" s="122"/>
      <c r="S38" s="132"/>
      <c r="T38" s="122"/>
      <c r="U38" s="132"/>
      <c r="V38" s="122"/>
      <c r="W38" s="132"/>
      <c r="X38" s="122"/>
      <c r="Y38" s="132"/>
      <c r="Z38" s="122"/>
      <c r="AA38" s="132"/>
      <c r="AB38" s="122"/>
      <c r="AC38" s="132"/>
      <c r="AD38" s="122"/>
      <c r="AE38" s="129">
        <f t="shared" si="12"/>
        <v>0</v>
      </c>
      <c r="AF38" s="129">
        <f t="shared" si="12"/>
        <v>0</v>
      </c>
      <c r="AG38" s="130"/>
      <c r="AH38" s="131">
        <f t="shared" si="10"/>
        <v>0</v>
      </c>
    </row>
    <row r="39" spans="1:34" ht="13.5">
      <c r="A39" s="112" t="str">
        <f>IF(Base!B37="","",Base!B37)</f>
        <v>17.542.884-4</v>
      </c>
      <c r="B39" s="112" t="str">
        <f>IF(Base!F37="","",Base!F37)</f>
        <v>FRANCISCO JAVIER  CASTILLO  AHUMADA</v>
      </c>
      <c r="C39" s="112" t="str">
        <f>IF(Base!I37="","",Base!I37)</f>
        <v>Setup</v>
      </c>
      <c r="D39" s="113" t="str">
        <f>IF(Base!J37="","",Base!J37)</f>
        <v>Setup</v>
      </c>
      <c r="E39" s="112">
        <f>IF(Base!H37="","",Base!H37)</f>
        <v>1050529</v>
      </c>
      <c r="J39" s="122">
        <v>29</v>
      </c>
      <c r="K39" s="123"/>
      <c r="L39" s="124" t="str">
        <f t="shared" si="5"/>
        <v/>
      </c>
      <c r="M39" s="124" t="str">
        <f t="shared" si="6"/>
        <v/>
      </c>
      <c r="N39" s="125" t="str">
        <f t="shared" si="7"/>
        <v/>
      </c>
      <c r="O39" s="125" t="str">
        <f t="shared" si="8"/>
        <v/>
      </c>
      <c r="P39" s="126"/>
      <c r="Q39" s="132"/>
      <c r="R39" s="122"/>
      <c r="S39" s="132"/>
      <c r="T39" s="122"/>
      <c r="U39" s="132"/>
      <c r="V39" s="122"/>
      <c r="W39" s="132"/>
      <c r="X39" s="122"/>
      <c r="Y39" s="132"/>
      <c r="Z39" s="122"/>
      <c r="AA39" s="132"/>
      <c r="AB39" s="122"/>
      <c r="AC39" s="132"/>
      <c r="AD39" s="122"/>
      <c r="AE39" s="129">
        <f t="shared" si="12"/>
        <v>0</v>
      </c>
      <c r="AF39" s="129">
        <f t="shared" si="12"/>
        <v>0</v>
      </c>
      <c r="AG39" s="130"/>
      <c r="AH39" s="131">
        <f t="shared" si="10"/>
        <v>0</v>
      </c>
    </row>
    <row r="40" spans="1:34" ht="13.5">
      <c r="A40" s="112" t="str">
        <f>IF(Base!B38="","",Base!B38)</f>
        <v>07.717.451-6</v>
      </c>
      <c r="B40" s="112" t="str">
        <f>IF(Base!F38="","",Base!F38)</f>
        <v>JUAN FCO.  CERNA  CONTRERAS</v>
      </c>
      <c r="C40" s="112" t="str">
        <f>IF(Base!I38="","",Base!I38)</f>
        <v>Linea 4</v>
      </c>
      <c r="D40" s="113" t="str">
        <f>IF(Base!J38="","",Base!J38)</f>
        <v>Llenador</v>
      </c>
      <c r="E40" s="112">
        <f>IF(Base!H38="","",Base!H38)</f>
        <v>1050557</v>
      </c>
      <c r="J40" s="122">
        <v>30</v>
      </c>
      <c r="K40" s="123"/>
      <c r="L40" s="124" t="str">
        <f t="shared" si="5"/>
        <v/>
      </c>
      <c r="M40" s="124" t="str">
        <f t="shared" si="6"/>
        <v/>
      </c>
      <c r="N40" s="125" t="str">
        <f t="shared" si="7"/>
        <v/>
      </c>
      <c r="O40" s="125" t="str">
        <f t="shared" si="8"/>
        <v/>
      </c>
      <c r="P40" s="126"/>
      <c r="Q40" s="132"/>
      <c r="R40" s="122"/>
      <c r="S40" s="132"/>
      <c r="T40" s="122"/>
      <c r="U40" s="132"/>
      <c r="V40" s="122"/>
      <c r="W40" s="132"/>
      <c r="X40" s="122"/>
      <c r="Y40" s="132"/>
      <c r="Z40" s="122"/>
      <c r="AA40" s="132"/>
      <c r="AB40" s="122"/>
      <c r="AC40" s="132"/>
      <c r="AD40" s="122"/>
      <c r="AE40" s="129">
        <f t="shared" ref="AE40:AF103" si="13">SUM(Q40,S40,U40,W40,Y40,AA40,AC40)</f>
        <v>0</v>
      </c>
      <c r="AF40" s="129">
        <f t="shared" si="13"/>
        <v>0</v>
      </c>
      <c r="AG40" s="130"/>
      <c r="AH40" s="131">
        <f t="shared" si="10"/>
        <v>0</v>
      </c>
    </row>
    <row r="41" spans="1:34" ht="13.5">
      <c r="A41" s="112" t="str">
        <f>IF(Base!B39="","",Base!B39)</f>
        <v>15.702.200-8</v>
      </c>
      <c r="B41" s="112" t="str">
        <f>IF(Base!F39="","",Base!F39)</f>
        <v>CESAR  CERNA  VARGAS</v>
      </c>
      <c r="C41" s="112" t="str">
        <f>IF(Base!I39="","",Base!I39)</f>
        <v>Linea 6</v>
      </c>
      <c r="D41" s="113" t="str">
        <f>IF(Base!J39="","",Base!J39)</f>
        <v>Embalador</v>
      </c>
      <c r="E41" s="112">
        <f>IF(Base!H39="","",Base!H39)</f>
        <v>1050610</v>
      </c>
      <c r="J41" s="122">
        <v>31</v>
      </c>
      <c r="K41" s="123"/>
      <c r="L41" s="124" t="str">
        <f t="shared" si="5"/>
        <v/>
      </c>
      <c r="M41" s="124" t="str">
        <f t="shared" si="6"/>
        <v/>
      </c>
      <c r="N41" s="125" t="str">
        <f t="shared" si="7"/>
        <v/>
      </c>
      <c r="O41" s="125" t="str">
        <f t="shared" si="8"/>
        <v/>
      </c>
      <c r="P41" s="126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29">
        <f t="shared" si="13"/>
        <v>0</v>
      </c>
      <c r="AF41" s="129">
        <f t="shared" si="13"/>
        <v>0</v>
      </c>
      <c r="AG41" s="130"/>
      <c r="AH41" s="131">
        <f t="shared" si="10"/>
        <v>0</v>
      </c>
    </row>
    <row r="42" spans="1:34" ht="13.5">
      <c r="A42" s="112" t="str">
        <f>IF(Base!B40="","",Base!B40)</f>
        <v>07.816.535-9</v>
      </c>
      <c r="B42" s="112" t="str">
        <f>IF(Base!F40="","",Base!F40)</f>
        <v>CARLOS  CERONI  PIZARRO</v>
      </c>
      <c r="C42" s="112" t="str">
        <f>IF(Base!I40="","",Base!I40)</f>
        <v>Linea 7</v>
      </c>
      <c r="D42" s="113" t="str">
        <f>IF(Base!J40="","",Base!J40)</f>
        <v>Etiquetador</v>
      </c>
      <c r="E42" s="112">
        <f>IF(Base!H40="","",Base!H40)</f>
        <v>1050529</v>
      </c>
      <c r="J42" s="122">
        <v>32</v>
      </c>
      <c r="K42" s="123"/>
      <c r="L42" s="124" t="str">
        <f t="shared" si="5"/>
        <v/>
      </c>
      <c r="M42" s="124" t="str">
        <f t="shared" si="6"/>
        <v/>
      </c>
      <c r="N42" s="125" t="str">
        <f t="shared" si="7"/>
        <v/>
      </c>
      <c r="O42" s="125" t="str">
        <f t="shared" si="8"/>
        <v/>
      </c>
      <c r="P42" s="126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29">
        <f t="shared" si="13"/>
        <v>0</v>
      </c>
      <c r="AF42" s="129">
        <f t="shared" si="13"/>
        <v>0</v>
      </c>
      <c r="AG42" s="130"/>
      <c r="AH42" s="131">
        <f t="shared" si="10"/>
        <v>0</v>
      </c>
    </row>
    <row r="43" spans="1:34" ht="13.5">
      <c r="A43" s="112" t="str">
        <f>IF(Base!B41="","",Base!B41)</f>
        <v>13.486.775-2</v>
      </c>
      <c r="B43" s="112" t="str">
        <f>IF(Base!F41="","",Base!F41)</f>
        <v>RICARDO  CHAVEZ  FARIÑA</v>
      </c>
      <c r="C43" s="112" t="str">
        <f>IF(Base!I41="","",Base!I41)</f>
        <v>Linea 6</v>
      </c>
      <c r="D43" s="113" t="str">
        <f>IF(Base!J41="","",Base!J41)</f>
        <v>Embalador</v>
      </c>
      <c r="E43" s="112">
        <f>IF(Base!H41="","",Base!H41)</f>
        <v>1050610</v>
      </c>
      <c r="J43" s="122">
        <v>33</v>
      </c>
      <c r="K43" s="123"/>
      <c r="L43" s="124" t="str">
        <f t="shared" si="5"/>
        <v/>
      </c>
      <c r="M43" s="124" t="str">
        <f t="shared" si="6"/>
        <v/>
      </c>
      <c r="N43" s="125" t="str">
        <f t="shared" si="7"/>
        <v/>
      </c>
      <c r="O43" s="125" t="str">
        <f t="shared" si="8"/>
        <v/>
      </c>
      <c r="P43" s="126"/>
      <c r="Q43" s="132"/>
      <c r="R43" s="122"/>
      <c r="S43" s="132"/>
      <c r="T43" s="122"/>
      <c r="U43" s="132"/>
      <c r="V43" s="122"/>
      <c r="W43" s="132"/>
      <c r="X43" s="122"/>
      <c r="Y43" s="132"/>
      <c r="Z43" s="122"/>
      <c r="AA43" s="132"/>
      <c r="AB43" s="122"/>
      <c r="AC43" s="132"/>
      <c r="AD43" s="122"/>
      <c r="AE43" s="129">
        <f t="shared" si="13"/>
        <v>0</v>
      </c>
      <c r="AF43" s="129">
        <f t="shared" si="13"/>
        <v>0</v>
      </c>
      <c r="AG43" s="130"/>
      <c r="AH43" s="131">
        <f t="shared" si="10"/>
        <v>0</v>
      </c>
    </row>
    <row r="44" spans="1:34" ht="13.5">
      <c r="A44" s="112" t="str">
        <f>IF(Base!B42="","",Base!B42)</f>
        <v>11.660.411-6</v>
      </c>
      <c r="B44" s="112" t="str">
        <f>IF(Base!F42="","",Base!F42)</f>
        <v>SIXTO PATRICIO  CORTES  HERRERA</v>
      </c>
      <c r="C44" s="112" t="str">
        <f>IF(Base!I42="","",Base!I42)</f>
        <v>Abastecimiento</v>
      </c>
      <c r="D44" s="113" t="str">
        <f>IF(Base!J42="","",Base!J42)</f>
        <v>Almacen Insumos Pque</v>
      </c>
      <c r="E44" s="112">
        <f>IF(Base!H42="","",Base!H42)</f>
        <v>1050581</v>
      </c>
      <c r="J44" s="122">
        <v>34</v>
      </c>
      <c r="K44" s="123"/>
      <c r="L44" s="124" t="str">
        <f t="shared" si="5"/>
        <v/>
      </c>
      <c r="M44" s="124" t="str">
        <f t="shared" si="6"/>
        <v/>
      </c>
      <c r="N44" s="125" t="str">
        <f t="shared" si="7"/>
        <v/>
      </c>
      <c r="O44" s="125" t="str">
        <f t="shared" si="8"/>
        <v/>
      </c>
      <c r="P44" s="126"/>
      <c r="Q44" s="132"/>
      <c r="R44" s="122"/>
      <c r="S44" s="132"/>
      <c r="T44" s="122"/>
      <c r="U44" s="132"/>
      <c r="V44" s="122"/>
      <c r="W44" s="132"/>
      <c r="X44" s="122"/>
      <c r="Y44" s="132"/>
      <c r="Z44" s="122"/>
      <c r="AA44" s="132"/>
      <c r="AB44" s="122"/>
      <c r="AC44" s="132"/>
      <c r="AD44" s="122"/>
      <c r="AE44" s="129">
        <f t="shared" si="13"/>
        <v>0</v>
      </c>
      <c r="AF44" s="129">
        <f t="shared" si="13"/>
        <v>0</v>
      </c>
      <c r="AG44" s="130"/>
      <c r="AH44" s="131">
        <f t="shared" si="10"/>
        <v>0</v>
      </c>
    </row>
    <row r="45" spans="1:34" ht="13.5">
      <c r="A45" s="112" t="str">
        <f>IF(Base!B43="","",Base!B43)</f>
        <v>11.523.492-7</v>
      </c>
      <c r="B45" s="112" t="str">
        <f>IF(Base!F43="","",Base!F43)</f>
        <v>CLAUDIO  CORTES  ULLOA</v>
      </c>
      <c r="C45" s="112" t="str">
        <f>IF(Base!I43="","",Base!I43)</f>
        <v>Linea 7</v>
      </c>
      <c r="D45" s="113" t="str">
        <f>IF(Base!J43="","",Base!J43)</f>
        <v>Palletizador</v>
      </c>
      <c r="E45" s="112">
        <f>IF(Base!H43="","",Base!H43)</f>
        <v>1050616</v>
      </c>
      <c r="J45" s="122">
        <v>35</v>
      </c>
      <c r="K45" s="123"/>
      <c r="L45" s="124" t="str">
        <f t="shared" si="5"/>
        <v/>
      </c>
      <c r="M45" s="124" t="str">
        <f t="shared" si="6"/>
        <v/>
      </c>
      <c r="N45" s="125" t="str">
        <f t="shared" si="7"/>
        <v/>
      </c>
      <c r="O45" s="125" t="str">
        <f t="shared" si="8"/>
        <v/>
      </c>
      <c r="P45" s="126"/>
      <c r="Q45" s="132"/>
      <c r="R45" s="122"/>
      <c r="S45" s="132"/>
      <c r="T45" s="122"/>
      <c r="U45" s="132"/>
      <c r="V45" s="122"/>
      <c r="W45" s="132"/>
      <c r="X45" s="122"/>
      <c r="Y45" s="132"/>
      <c r="Z45" s="122"/>
      <c r="AA45" s="132"/>
      <c r="AB45" s="122"/>
      <c r="AC45" s="132"/>
      <c r="AD45" s="122"/>
      <c r="AE45" s="129">
        <f t="shared" si="13"/>
        <v>0</v>
      </c>
      <c r="AF45" s="129">
        <f t="shared" si="13"/>
        <v>0</v>
      </c>
      <c r="AG45" s="130"/>
      <c r="AH45" s="131">
        <f t="shared" si="10"/>
        <v>0</v>
      </c>
    </row>
    <row r="46" spans="1:34" ht="13.5">
      <c r="A46" s="112" t="str">
        <f>IF(Base!B44="","",Base!B44)</f>
        <v>11.268.136-1</v>
      </c>
      <c r="B46" s="112" t="str">
        <f>IF(Base!F44="","",Base!F44)</f>
        <v>MARIA ANGELICA  CRUCES  AGUILERA</v>
      </c>
      <c r="C46" s="112" t="str">
        <f>IF(Base!I44="","",Base!I44)</f>
        <v>Linea 6</v>
      </c>
      <c r="D46" s="113" t="str">
        <f>IF(Base!J44="","",Base!J44)</f>
        <v>Inspector etiqueta</v>
      </c>
      <c r="E46" s="112">
        <f>IF(Base!H44="","",Base!H44)</f>
        <v>1050610</v>
      </c>
      <c r="J46" s="122">
        <v>36</v>
      </c>
      <c r="K46" s="123"/>
      <c r="L46" s="124" t="str">
        <f t="shared" si="5"/>
        <v/>
      </c>
      <c r="M46" s="124" t="str">
        <f t="shared" si="6"/>
        <v/>
      </c>
      <c r="N46" s="125" t="str">
        <f t="shared" si="7"/>
        <v/>
      </c>
      <c r="O46" s="125" t="str">
        <f t="shared" si="8"/>
        <v/>
      </c>
      <c r="P46" s="126"/>
      <c r="Q46" s="132"/>
      <c r="R46" s="132"/>
      <c r="S46" s="132"/>
      <c r="T46" s="132"/>
      <c r="U46" s="132"/>
      <c r="V46" s="132"/>
      <c r="W46" s="132"/>
      <c r="X46" s="132"/>
      <c r="Y46" s="132"/>
      <c r="Z46" s="132"/>
      <c r="AA46" s="132"/>
      <c r="AB46" s="132"/>
      <c r="AC46" s="132"/>
      <c r="AD46" s="132"/>
      <c r="AE46" s="129">
        <f t="shared" si="13"/>
        <v>0</v>
      </c>
      <c r="AF46" s="129">
        <f t="shared" si="13"/>
        <v>0</v>
      </c>
      <c r="AG46" s="130"/>
      <c r="AH46" s="131">
        <f t="shared" si="10"/>
        <v>0</v>
      </c>
    </row>
    <row r="47" spans="1:34" ht="13.5">
      <c r="A47" s="112" t="str">
        <f>IF(Base!B45="","",Base!B45)</f>
        <v>11.347.053-4</v>
      </c>
      <c r="B47" s="112" t="str">
        <f>IF(Base!F45="","",Base!F45)</f>
        <v>LUISA ISABEL  CRUZ  ROMERO</v>
      </c>
      <c r="C47" s="112" t="str">
        <f>IF(Base!I45="","",Base!I45)</f>
        <v>Abastecimiento</v>
      </c>
      <c r="D47" s="113" t="str">
        <f>IF(Base!J45="","",Base!J45)</f>
        <v>Reimpresión</v>
      </c>
      <c r="E47" s="112">
        <f>IF(Base!H45="","",Base!H45)</f>
        <v>1050506</v>
      </c>
      <c r="J47" s="122">
        <v>37</v>
      </c>
      <c r="K47" s="123"/>
      <c r="L47" s="124" t="str">
        <f t="shared" si="5"/>
        <v/>
      </c>
      <c r="M47" s="124" t="str">
        <f t="shared" si="6"/>
        <v/>
      </c>
      <c r="N47" s="125" t="str">
        <f t="shared" si="7"/>
        <v/>
      </c>
      <c r="O47" s="125" t="str">
        <f t="shared" si="8"/>
        <v/>
      </c>
      <c r="P47" s="126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29">
        <f t="shared" si="13"/>
        <v>0</v>
      </c>
      <c r="AF47" s="129">
        <f t="shared" si="13"/>
        <v>0</v>
      </c>
      <c r="AG47" s="130"/>
      <c r="AH47" s="131">
        <f t="shared" si="10"/>
        <v>0</v>
      </c>
    </row>
    <row r="48" spans="1:34" ht="13.5">
      <c r="A48" s="112" t="str">
        <f>IF(Base!B46="","",Base!B46)</f>
        <v>07.815.607-4</v>
      </c>
      <c r="B48" s="112" t="str">
        <f>IF(Base!F46="","",Base!F46)</f>
        <v>PATRICIO HERNAN  CUEVAS  ORDENES</v>
      </c>
      <c r="C48" s="112" t="str">
        <f>IF(Base!I46="","",Base!I46)</f>
        <v>Abastecimiento</v>
      </c>
      <c r="D48" s="113" t="str">
        <f>IF(Base!J46="","",Base!J46)</f>
        <v>Suministro de Líneas</v>
      </c>
      <c r="E48" s="112">
        <f>IF(Base!H46="","",Base!H46)</f>
        <v>1050633</v>
      </c>
      <c r="J48" s="122">
        <v>38</v>
      </c>
      <c r="K48" s="123"/>
      <c r="L48" s="124" t="str">
        <f t="shared" si="5"/>
        <v/>
      </c>
      <c r="M48" s="124" t="str">
        <f t="shared" si="6"/>
        <v/>
      </c>
      <c r="N48" s="125" t="str">
        <f t="shared" si="7"/>
        <v/>
      </c>
      <c r="O48" s="125" t="str">
        <f t="shared" si="8"/>
        <v/>
      </c>
      <c r="P48" s="126"/>
      <c r="Q48" s="132"/>
      <c r="R48" s="122"/>
      <c r="S48" s="132"/>
      <c r="T48" s="122"/>
      <c r="U48" s="132"/>
      <c r="V48" s="122"/>
      <c r="W48" s="132"/>
      <c r="X48" s="122"/>
      <c r="Y48" s="132"/>
      <c r="Z48" s="122"/>
      <c r="AA48" s="132"/>
      <c r="AB48" s="122"/>
      <c r="AC48" s="132"/>
      <c r="AD48" s="122"/>
      <c r="AE48" s="129">
        <f t="shared" si="13"/>
        <v>0</v>
      </c>
      <c r="AF48" s="129">
        <f t="shared" si="13"/>
        <v>0</v>
      </c>
      <c r="AG48" s="130"/>
      <c r="AH48" s="131">
        <f t="shared" si="10"/>
        <v>0</v>
      </c>
    </row>
    <row r="49" spans="1:34" ht="13.5">
      <c r="A49" s="112" t="str">
        <f>IF(Base!B47="","",Base!B47)</f>
        <v>06.143.912-9</v>
      </c>
      <c r="B49" s="112" t="str">
        <f>IF(Base!F47="","",Base!F47)</f>
        <v>ARTURO BERNABE  CURIN  MILLAN</v>
      </c>
      <c r="C49" s="112" t="str">
        <f>IF(Base!I47="","",Base!I47)</f>
        <v>Aseo</v>
      </c>
      <c r="D49" s="113" t="str">
        <f>IF(Base!J47="","",Base!J47)</f>
        <v>Aseo</v>
      </c>
      <c r="E49" s="112">
        <f>IF(Base!H47="","",Base!H47)</f>
        <v>1050632</v>
      </c>
      <c r="J49" s="122">
        <v>39</v>
      </c>
      <c r="K49" s="123"/>
      <c r="L49" s="124" t="str">
        <f t="shared" si="5"/>
        <v/>
      </c>
      <c r="M49" s="124" t="str">
        <f t="shared" si="6"/>
        <v/>
      </c>
      <c r="N49" s="125" t="str">
        <f t="shared" si="7"/>
        <v/>
      </c>
      <c r="O49" s="125" t="str">
        <f t="shared" si="8"/>
        <v/>
      </c>
      <c r="P49" s="126"/>
      <c r="Q49" s="132"/>
      <c r="R49" s="122"/>
      <c r="S49" s="132"/>
      <c r="T49" s="122"/>
      <c r="U49" s="132"/>
      <c r="V49" s="122"/>
      <c r="W49" s="132"/>
      <c r="X49" s="122"/>
      <c r="Y49" s="132"/>
      <c r="Z49" s="122"/>
      <c r="AA49" s="132"/>
      <c r="AB49" s="122"/>
      <c r="AC49" s="132"/>
      <c r="AD49" s="122"/>
      <c r="AE49" s="129">
        <f t="shared" si="13"/>
        <v>0</v>
      </c>
      <c r="AF49" s="129">
        <f t="shared" si="13"/>
        <v>0</v>
      </c>
      <c r="AG49" s="130"/>
      <c r="AH49" s="131">
        <f t="shared" si="10"/>
        <v>0</v>
      </c>
    </row>
    <row r="50" spans="1:34" ht="13.5">
      <c r="A50" s="112" t="str">
        <f>IF(Base!B48="","",Base!B48)</f>
        <v>14.181.387-0</v>
      </c>
      <c r="B50" s="112" t="str">
        <f>IF(Base!F48="","",Base!F48)</f>
        <v>JORGE ANDRES  DEL RIO  TRONCOSO</v>
      </c>
      <c r="C50" s="112" t="str">
        <f>IF(Base!I48="","",Base!I48)</f>
        <v>Abastecimiento</v>
      </c>
      <c r="D50" s="113" t="str">
        <f>IF(Base!J48="","",Base!J48)</f>
        <v>Preparación de Insum</v>
      </c>
      <c r="E50" s="112">
        <f>IF(Base!H48="","",Base!H48)</f>
        <v>1050127</v>
      </c>
      <c r="J50" s="122">
        <v>40</v>
      </c>
      <c r="K50" s="123"/>
      <c r="L50" s="124" t="str">
        <f t="shared" si="5"/>
        <v/>
      </c>
      <c r="M50" s="124" t="str">
        <f t="shared" si="6"/>
        <v/>
      </c>
      <c r="N50" s="125" t="str">
        <f t="shared" si="7"/>
        <v/>
      </c>
      <c r="O50" s="125" t="str">
        <f t="shared" si="8"/>
        <v/>
      </c>
      <c r="P50" s="126"/>
      <c r="Q50" s="132"/>
      <c r="R50" s="122"/>
      <c r="S50" s="132"/>
      <c r="T50" s="122"/>
      <c r="U50" s="132"/>
      <c r="V50" s="122"/>
      <c r="W50" s="132"/>
      <c r="X50" s="122"/>
      <c r="Y50" s="132"/>
      <c r="Z50" s="122"/>
      <c r="AA50" s="132"/>
      <c r="AB50" s="122"/>
      <c r="AC50" s="132"/>
      <c r="AD50" s="122"/>
      <c r="AE50" s="129">
        <f t="shared" si="13"/>
        <v>0</v>
      </c>
      <c r="AF50" s="129">
        <f t="shared" si="13"/>
        <v>0</v>
      </c>
      <c r="AG50" s="130"/>
      <c r="AH50" s="131">
        <f t="shared" si="10"/>
        <v>0</v>
      </c>
    </row>
    <row r="51" spans="1:34" ht="13.5">
      <c r="A51" s="112" t="str">
        <f>IF(Base!B49="","",Base!B49)</f>
        <v>07.944.613-0</v>
      </c>
      <c r="B51" s="112" t="str">
        <f>IF(Base!F49="","",Base!F49)</f>
        <v>MIGUEL ANGEL  DIAZ  CASTRO</v>
      </c>
      <c r="C51" s="112" t="str">
        <f>IF(Base!I49="","",Base!I49)</f>
        <v>Abastecimiento</v>
      </c>
      <c r="D51" s="113" t="str">
        <f>IF(Base!J49="","",Base!J49)</f>
        <v>Control Ingresos Cen</v>
      </c>
      <c r="E51" s="112">
        <f>IF(Base!H49="","",Base!H49)</f>
        <v>1050126</v>
      </c>
      <c r="J51" s="122">
        <v>41</v>
      </c>
      <c r="K51" s="123"/>
      <c r="L51" s="124" t="str">
        <f t="shared" si="5"/>
        <v/>
      </c>
      <c r="M51" s="124" t="str">
        <f t="shared" si="6"/>
        <v/>
      </c>
      <c r="N51" s="125" t="str">
        <f t="shared" si="7"/>
        <v/>
      </c>
      <c r="O51" s="125" t="str">
        <f t="shared" si="8"/>
        <v/>
      </c>
      <c r="P51" s="126"/>
      <c r="Q51" s="1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2"/>
      <c r="AE51" s="129">
        <f t="shared" si="13"/>
        <v>0</v>
      </c>
      <c r="AF51" s="129">
        <f t="shared" si="13"/>
        <v>0</v>
      </c>
      <c r="AG51" s="130"/>
      <c r="AH51" s="131">
        <f t="shared" si="10"/>
        <v>0</v>
      </c>
    </row>
    <row r="52" spans="1:34" ht="13.5">
      <c r="A52" s="112" t="str">
        <f>IF(Base!B50="","",Base!B50)</f>
        <v>14.595.059-7</v>
      </c>
      <c r="B52" s="112" t="str">
        <f>IF(Base!F50="","",Base!F50)</f>
        <v>YESENIA DE LOURDES  DIAZ  GALVEZ</v>
      </c>
      <c r="C52" s="112" t="str">
        <f>IF(Base!I50="","",Base!I50)</f>
        <v>Linea 7</v>
      </c>
      <c r="D52" s="113" t="str">
        <f>IF(Base!J50="","",Base!J50)</f>
        <v>Inspector etiqueta</v>
      </c>
      <c r="E52" s="112">
        <f>IF(Base!H50="","",Base!H50)</f>
        <v>1050616</v>
      </c>
      <c r="J52" s="122">
        <v>42</v>
      </c>
      <c r="K52" s="123"/>
      <c r="L52" s="124" t="str">
        <f t="shared" si="5"/>
        <v/>
      </c>
      <c r="M52" s="124" t="str">
        <f t="shared" si="6"/>
        <v/>
      </c>
      <c r="N52" s="125" t="str">
        <f t="shared" si="7"/>
        <v/>
      </c>
      <c r="O52" s="125" t="str">
        <f t="shared" si="8"/>
        <v/>
      </c>
      <c r="P52" s="126"/>
      <c r="Q52" s="132"/>
      <c r="R52" s="132"/>
      <c r="S52" s="132"/>
      <c r="T52" s="132"/>
      <c r="U52" s="132"/>
      <c r="V52" s="132"/>
      <c r="W52" s="132"/>
      <c r="X52" s="132"/>
      <c r="Y52" s="132"/>
      <c r="Z52" s="132"/>
      <c r="AA52" s="132"/>
      <c r="AB52" s="132"/>
      <c r="AC52" s="132"/>
      <c r="AD52" s="132"/>
      <c r="AE52" s="129">
        <f t="shared" si="13"/>
        <v>0</v>
      </c>
      <c r="AF52" s="129">
        <f t="shared" si="13"/>
        <v>0</v>
      </c>
      <c r="AG52" s="130"/>
      <c r="AH52" s="131">
        <f t="shared" si="10"/>
        <v>0</v>
      </c>
    </row>
    <row r="53" spans="1:34" ht="13.5">
      <c r="A53" s="112" t="str">
        <f>IF(Base!B51="","",Base!B51)</f>
        <v>10.874.066-3</v>
      </c>
      <c r="B53" s="112" t="str">
        <f>IF(Base!F51="","",Base!F51)</f>
        <v>CRISTIAN  DIAZ  HENRIQUEZ</v>
      </c>
      <c r="C53" s="112" t="str">
        <f>IF(Base!I51="","",Base!I51)</f>
        <v>Linea 1</v>
      </c>
      <c r="D53" s="113" t="str">
        <f>IF(Base!J51="","",Base!J51)</f>
        <v>Embalador</v>
      </c>
      <c r="E53" s="112">
        <f>IF(Base!H51="","",Base!H51)</f>
        <v>1050552</v>
      </c>
      <c r="J53" s="122">
        <v>43</v>
      </c>
      <c r="K53" s="123"/>
      <c r="L53" s="124" t="str">
        <f t="shared" si="5"/>
        <v/>
      </c>
      <c r="M53" s="124" t="str">
        <f t="shared" si="6"/>
        <v/>
      </c>
      <c r="N53" s="125" t="str">
        <f t="shared" si="7"/>
        <v/>
      </c>
      <c r="O53" s="125" t="str">
        <f t="shared" si="8"/>
        <v/>
      </c>
      <c r="P53" s="126"/>
      <c r="Q53" s="132"/>
      <c r="R53" s="122"/>
      <c r="S53" s="132"/>
      <c r="T53" s="122"/>
      <c r="U53" s="132"/>
      <c r="V53" s="122"/>
      <c r="W53" s="132"/>
      <c r="X53" s="122"/>
      <c r="Y53" s="132"/>
      <c r="Z53" s="122"/>
      <c r="AA53" s="132"/>
      <c r="AB53" s="122"/>
      <c r="AC53" s="132"/>
      <c r="AD53" s="122"/>
      <c r="AE53" s="129">
        <f t="shared" si="13"/>
        <v>0</v>
      </c>
      <c r="AF53" s="129">
        <f t="shared" si="13"/>
        <v>0</v>
      </c>
      <c r="AG53" s="130"/>
      <c r="AH53" s="131">
        <f t="shared" si="10"/>
        <v>0</v>
      </c>
    </row>
    <row r="54" spans="1:34" ht="13.5">
      <c r="A54" s="112" t="str">
        <f>IF(Base!B52="","",Base!B52)</f>
        <v>11.394.356-4</v>
      </c>
      <c r="B54" s="112" t="str">
        <f>IF(Base!F52="","",Base!F52)</f>
        <v>ANGELICA VICTORIA  DIAZ  MUÑOZ</v>
      </c>
      <c r="C54" s="112" t="str">
        <f>IF(Base!I52="","",Base!I52)</f>
        <v>Linea 7</v>
      </c>
      <c r="D54" s="113" t="str">
        <f>IF(Base!J52="","",Base!J52)</f>
        <v>Inspector etiqueta</v>
      </c>
      <c r="E54" s="112">
        <f>IF(Base!H52="","",Base!H52)</f>
        <v>1050616</v>
      </c>
      <c r="J54" s="122">
        <v>44</v>
      </c>
      <c r="K54" s="123"/>
      <c r="L54" s="124" t="str">
        <f t="shared" si="5"/>
        <v/>
      </c>
      <c r="M54" s="124" t="str">
        <f t="shared" si="6"/>
        <v/>
      </c>
      <c r="N54" s="125" t="str">
        <f t="shared" si="7"/>
        <v/>
      </c>
      <c r="O54" s="125" t="str">
        <f t="shared" si="8"/>
        <v/>
      </c>
      <c r="P54" s="126"/>
      <c r="Q54" s="132"/>
      <c r="R54" s="122"/>
      <c r="S54" s="132"/>
      <c r="T54" s="122"/>
      <c r="U54" s="132"/>
      <c r="V54" s="122"/>
      <c r="W54" s="132"/>
      <c r="X54" s="122"/>
      <c r="Y54" s="132"/>
      <c r="Z54" s="122"/>
      <c r="AA54" s="132"/>
      <c r="AB54" s="122"/>
      <c r="AC54" s="132"/>
      <c r="AD54" s="122"/>
      <c r="AE54" s="129">
        <f t="shared" si="13"/>
        <v>0</v>
      </c>
      <c r="AF54" s="129">
        <f t="shared" si="13"/>
        <v>0</v>
      </c>
      <c r="AG54" s="130"/>
      <c r="AH54" s="131">
        <f t="shared" si="10"/>
        <v>0</v>
      </c>
    </row>
    <row r="55" spans="1:34" ht="13.5">
      <c r="A55" s="112" t="str">
        <f>IF(Base!B53="","",Base!B53)</f>
        <v>11.165.105-1</v>
      </c>
      <c r="B55" s="112" t="str">
        <f>IF(Base!F53="","",Base!F53)</f>
        <v>CECILIA  DIAZ  POBLETE</v>
      </c>
      <c r="C55" s="112" t="str">
        <f>IF(Base!I53="","",Base!I53)</f>
        <v>Linea 1</v>
      </c>
      <c r="D55" s="113" t="str">
        <f>IF(Base!J53="","",Base!J53)</f>
        <v>Inspector etiqueta</v>
      </c>
      <c r="E55" s="112">
        <f>IF(Base!H53="","",Base!H53)</f>
        <v>1050552</v>
      </c>
      <c r="J55" s="122">
        <v>45</v>
      </c>
      <c r="K55" s="123"/>
      <c r="L55" s="124" t="str">
        <f t="shared" si="5"/>
        <v/>
      </c>
      <c r="M55" s="124" t="str">
        <f t="shared" si="6"/>
        <v/>
      </c>
      <c r="N55" s="125" t="str">
        <f t="shared" si="7"/>
        <v/>
      </c>
      <c r="O55" s="125" t="str">
        <f t="shared" si="8"/>
        <v/>
      </c>
      <c r="P55" s="126"/>
      <c r="Q55" s="132"/>
      <c r="R55" s="122"/>
      <c r="S55" s="132"/>
      <c r="T55" s="122"/>
      <c r="U55" s="132"/>
      <c r="V55" s="122"/>
      <c r="W55" s="132"/>
      <c r="X55" s="122"/>
      <c r="Y55" s="132"/>
      <c r="Z55" s="122"/>
      <c r="AA55" s="132"/>
      <c r="AB55" s="122"/>
      <c r="AC55" s="132"/>
      <c r="AD55" s="122"/>
      <c r="AE55" s="129">
        <f t="shared" si="13"/>
        <v>0</v>
      </c>
      <c r="AF55" s="129">
        <f t="shared" si="13"/>
        <v>0</v>
      </c>
      <c r="AG55" s="130"/>
      <c r="AH55" s="131">
        <f t="shared" si="10"/>
        <v>0</v>
      </c>
    </row>
    <row r="56" spans="1:34" ht="13.5">
      <c r="A56" s="112" t="str">
        <f>IF(Base!B54="","",Base!B54)</f>
        <v>17.929.108-8</v>
      </c>
      <c r="B56" s="112" t="str">
        <f>IF(Base!F54="","",Base!F54)</f>
        <v>CRISTIAN ALFREDO  DONOSO  SANTIBAÑEZ</v>
      </c>
      <c r="C56" s="112" t="str">
        <f>IF(Base!I54="","",Base!I54)</f>
        <v>Setup</v>
      </c>
      <c r="D56" s="113" t="str">
        <f>IF(Base!J54="","",Base!J54)</f>
        <v>Setup</v>
      </c>
      <c r="E56" s="112">
        <f>IF(Base!H54="","",Base!H54)</f>
        <v>1050529</v>
      </c>
      <c r="J56" s="122">
        <v>46</v>
      </c>
      <c r="K56" s="123"/>
      <c r="L56" s="124" t="str">
        <f t="shared" si="5"/>
        <v/>
      </c>
      <c r="M56" s="124" t="str">
        <f t="shared" si="6"/>
        <v/>
      </c>
      <c r="N56" s="125" t="str">
        <f t="shared" si="7"/>
        <v/>
      </c>
      <c r="O56" s="125" t="str">
        <f t="shared" si="8"/>
        <v/>
      </c>
      <c r="P56" s="126"/>
      <c r="Q56" s="132"/>
      <c r="R56" s="132"/>
      <c r="S56" s="132"/>
      <c r="T56" s="132"/>
      <c r="U56" s="132"/>
      <c r="V56" s="132"/>
      <c r="W56" s="132"/>
      <c r="X56" s="132"/>
      <c r="Y56" s="132"/>
      <c r="Z56" s="132"/>
      <c r="AA56" s="132"/>
      <c r="AB56" s="132"/>
      <c r="AC56" s="132"/>
      <c r="AD56" s="132"/>
      <c r="AE56" s="129">
        <f t="shared" si="13"/>
        <v>0</v>
      </c>
      <c r="AF56" s="129">
        <f t="shared" si="13"/>
        <v>0</v>
      </c>
      <c r="AG56" s="130"/>
      <c r="AH56" s="131">
        <f t="shared" si="10"/>
        <v>0</v>
      </c>
    </row>
    <row r="57" spans="1:34" ht="13.5">
      <c r="A57" s="112" t="str">
        <f>IF(Base!B55="","",Base!B55)</f>
        <v>05.267.317-8</v>
      </c>
      <c r="B57" s="112" t="str">
        <f>IF(Base!F55="","",Base!F55)</f>
        <v>LUIS  DUARTE  BECERRA</v>
      </c>
      <c r="C57" s="112" t="str">
        <f>IF(Base!I55="","",Base!I55)</f>
        <v>Abastecimiento</v>
      </c>
      <c r="D57" s="113" t="str">
        <f>IF(Base!J55="","",Base!J55)</f>
        <v>Preparación de Insum</v>
      </c>
      <c r="E57" s="112">
        <f>IF(Base!H55="","",Base!H55)</f>
        <v>1050127</v>
      </c>
      <c r="J57" s="122">
        <v>47</v>
      </c>
      <c r="K57" s="123"/>
      <c r="L57" s="124" t="str">
        <f t="shared" si="5"/>
        <v/>
      </c>
      <c r="M57" s="124" t="str">
        <f t="shared" si="6"/>
        <v/>
      </c>
      <c r="N57" s="125" t="str">
        <f t="shared" si="7"/>
        <v/>
      </c>
      <c r="O57" s="125" t="str">
        <f t="shared" si="8"/>
        <v/>
      </c>
      <c r="P57" s="126"/>
      <c r="Q57" s="132"/>
      <c r="R57" s="132"/>
      <c r="S57" s="132"/>
      <c r="T57" s="132"/>
      <c r="U57" s="132"/>
      <c r="V57" s="132"/>
      <c r="W57" s="132"/>
      <c r="X57" s="132"/>
      <c r="Y57" s="132"/>
      <c r="Z57" s="132"/>
      <c r="AA57" s="132"/>
      <c r="AB57" s="132"/>
      <c r="AC57" s="132"/>
      <c r="AD57" s="132"/>
      <c r="AE57" s="129">
        <f t="shared" si="13"/>
        <v>0</v>
      </c>
      <c r="AF57" s="129">
        <f t="shared" si="13"/>
        <v>0</v>
      </c>
      <c r="AG57" s="130"/>
      <c r="AH57" s="131">
        <f t="shared" si="10"/>
        <v>0</v>
      </c>
    </row>
    <row r="58" spans="1:34" ht="13.5">
      <c r="A58" s="112" t="str">
        <f>IF(Base!B56="","",Base!B56)</f>
        <v>14.336.328-7</v>
      </c>
      <c r="B58" s="112" t="str">
        <f>IF(Base!F56="","",Base!F56)</f>
        <v>HECTOR MANUEL  DURAN  HENRIQUEZ</v>
      </c>
      <c r="C58" s="112" t="str">
        <f>IF(Base!I56="","",Base!I56)</f>
        <v>Linea 1</v>
      </c>
      <c r="D58" s="113" t="str">
        <f>IF(Base!J56="","",Base!J56)</f>
        <v>Etiquetador</v>
      </c>
      <c r="E58" s="112">
        <f>IF(Base!H56="","",Base!H56)</f>
        <v>1050552</v>
      </c>
      <c r="J58" s="122">
        <v>48</v>
      </c>
      <c r="K58" s="123"/>
      <c r="L58" s="124" t="str">
        <f t="shared" si="5"/>
        <v/>
      </c>
      <c r="M58" s="124" t="str">
        <f t="shared" si="6"/>
        <v/>
      </c>
      <c r="N58" s="125" t="str">
        <f t="shared" si="7"/>
        <v/>
      </c>
      <c r="O58" s="125" t="str">
        <f t="shared" si="8"/>
        <v/>
      </c>
      <c r="P58" s="126"/>
      <c r="Q58" s="132"/>
      <c r="R58" s="122"/>
      <c r="S58" s="132"/>
      <c r="T58" s="122"/>
      <c r="U58" s="132"/>
      <c r="V58" s="122"/>
      <c r="W58" s="132"/>
      <c r="X58" s="122"/>
      <c r="Y58" s="132"/>
      <c r="Z58" s="122"/>
      <c r="AA58" s="132"/>
      <c r="AB58" s="122"/>
      <c r="AC58" s="132"/>
      <c r="AD58" s="122"/>
      <c r="AE58" s="129">
        <f t="shared" si="13"/>
        <v>0</v>
      </c>
      <c r="AF58" s="129">
        <f t="shared" si="13"/>
        <v>0</v>
      </c>
      <c r="AG58" s="130"/>
      <c r="AH58" s="131">
        <f t="shared" si="10"/>
        <v>0</v>
      </c>
    </row>
    <row r="59" spans="1:34" ht="13.5">
      <c r="A59" s="112" t="str">
        <f>IF(Base!B57="","",Base!B57)</f>
        <v>09.957.527-1</v>
      </c>
      <c r="B59" s="112" t="str">
        <f>IF(Base!F57="","",Base!F57)</f>
        <v>JUAN LISANDRO  DURAN  MUÑOZ</v>
      </c>
      <c r="C59" s="112" t="str">
        <f>IF(Base!I57="","",Base!I57)</f>
        <v>Linea 7</v>
      </c>
      <c r="D59" s="113" t="str">
        <f>IF(Base!J57="","",Base!J57)</f>
        <v>Embalador</v>
      </c>
      <c r="E59" s="112">
        <f>IF(Base!H57="","",Base!H57)</f>
        <v>1050616</v>
      </c>
      <c r="J59" s="122">
        <v>49</v>
      </c>
      <c r="K59" s="123"/>
      <c r="L59" s="124" t="str">
        <f t="shared" si="5"/>
        <v/>
      </c>
      <c r="M59" s="124" t="str">
        <f t="shared" si="6"/>
        <v/>
      </c>
      <c r="N59" s="125" t="str">
        <f t="shared" si="7"/>
        <v/>
      </c>
      <c r="O59" s="125" t="str">
        <f t="shared" si="8"/>
        <v/>
      </c>
      <c r="P59" s="126"/>
      <c r="Q59" s="132"/>
      <c r="R59" s="122"/>
      <c r="S59" s="132"/>
      <c r="T59" s="122"/>
      <c r="U59" s="132"/>
      <c r="V59" s="122"/>
      <c r="W59" s="132"/>
      <c r="X59" s="122"/>
      <c r="Y59" s="132"/>
      <c r="Z59" s="122"/>
      <c r="AA59" s="132"/>
      <c r="AB59" s="122"/>
      <c r="AC59" s="132"/>
      <c r="AD59" s="122"/>
      <c r="AE59" s="129">
        <f t="shared" si="13"/>
        <v>0</v>
      </c>
      <c r="AF59" s="129">
        <f t="shared" si="13"/>
        <v>0</v>
      </c>
      <c r="AG59" s="130"/>
      <c r="AH59" s="131">
        <f t="shared" si="10"/>
        <v>0</v>
      </c>
    </row>
    <row r="60" spans="1:34" ht="13.5">
      <c r="A60" s="112" t="str">
        <f>IF(Base!B58="","",Base!B58)</f>
        <v>06.326.657-4</v>
      </c>
      <c r="B60" s="112" t="str">
        <f>IF(Base!F58="","",Base!F58)</f>
        <v>FERNANDO  DURAN  SOTO</v>
      </c>
      <c r="C60" s="112" t="str">
        <f>IF(Base!I58="","",Base!I58)</f>
        <v>Linea 7</v>
      </c>
      <c r="D60" s="113" t="str">
        <f>IF(Base!J58="","",Base!J58)</f>
        <v>Embalador</v>
      </c>
      <c r="E60" s="112">
        <f>IF(Base!H58="","",Base!H58)</f>
        <v>1050616</v>
      </c>
      <c r="J60" s="122">
        <v>50</v>
      </c>
      <c r="K60" s="123"/>
      <c r="L60" s="124" t="str">
        <f t="shared" si="5"/>
        <v/>
      </c>
      <c r="M60" s="124" t="str">
        <f t="shared" si="6"/>
        <v/>
      </c>
      <c r="N60" s="125" t="str">
        <f t="shared" si="7"/>
        <v/>
      </c>
      <c r="O60" s="125" t="str">
        <f t="shared" si="8"/>
        <v/>
      </c>
      <c r="P60" s="126"/>
      <c r="Q60" s="132"/>
      <c r="R60" s="122"/>
      <c r="S60" s="132"/>
      <c r="T60" s="122"/>
      <c r="U60" s="132"/>
      <c r="V60" s="122"/>
      <c r="W60" s="132"/>
      <c r="X60" s="122"/>
      <c r="Y60" s="132"/>
      <c r="Z60" s="122"/>
      <c r="AA60" s="132"/>
      <c r="AB60" s="122"/>
      <c r="AC60" s="132"/>
      <c r="AD60" s="122"/>
      <c r="AE60" s="129">
        <f t="shared" si="13"/>
        <v>0</v>
      </c>
      <c r="AF60" s="129">
        <f t="shared" si="13"/>
        <v>0</v>
      </c>
      <c r="AG60" s="130"/>
      <c r="AH60" s="131">
        <f t="shared" si="10"/>
        <v>0</v>
      </c>
    </row>
    <row r="61" spans="1:34" ht="13.5">
      <c r="A61" s="112" t="str">
        <f>IF(Base!B59="","",Base!B59)</f>
        <v>11.267.594-9</v>
      </c>
      <c r="B61" s="112" t="str">
        <f>IF(Base!F59="","",Base!F59)</f>
        <v>JOAQUIN  ESPINOZA  MORENO</v>
      </c>
      <c r="C61" s="112" t="str">
        <f>IF(Base!I59="","",Base!I59)</f>
        <v>Abastecimiento</v>
      </c>
      <c r="D61" s="113" t="str">
        <f>IF(Base!J59="","",Base!J59)</f>
        <v>Almacen Insumos Pque</v>
      </c>
      <c r="E61" s="112">
        <f>IF(Base!H59="","",Base!H59)</f>
        <v>1050581</v>
      </c>
      <c r="J61" s="122">
        <v>51</v>
      </c>
      <c r="K61" s="123"/>
      <c r="L61" s="124" t="str">
        <f t="shared" si="5"/>
        <v/>
      </c>
      <c r="M61" s="124" t="str">
        <f t="shared" si="6"/>
        <v/>
      </c>
      <c r="N61" s="125" t="str">
        <f t="shared" si="7"/>
        <v/>
      </c>
      <c r="O61" s="125" t="str">
        <f t="shared" si="8"/>
        <v/>
      </c>
      <c r="P61" s="126"/>
      <c r="Q61" s="132"/>
      <c r="R61" s="132"/>
      <c r="S61" s="132"/>
      <c r="T61" s="132"/>
      <c r="U61" s="132"/>
      <c r="V61" s="132"/>
      <c r="W61" s="132"/>
      <c r="X61" s="132"/>
      <c r="Y61" s="132"/>
      <c r="Z61" s="132"/>
      <c r="AA61" s="132"/>
      <c r="AB61" s="132"/>
      <c r="AC61" s="132"/>
      <c r="AD61" s="132"/>
      <c r="AE61" s="129">
        <f t="shared" si="13"/>
        <v>0</v>
      </c>
      <c r="AF61" s="129">
        <f t="shared" si="13"/>
        <v>0</v>
      </c>
      <c r="AG61" s="130"/>
      <c r="AH61" s="131">
        <f t="shared" si="10"/>
        <v>0</v>
      </c>
    </row>
    <row r="62" spans="1:34" ht="13.5">
      <c r="A62" s="112" t="str">
        <f>IF(Base!B60="","",Base!B60)</f>
        <v>08.161.344-3</v>
      </c>
      <c r="B62" s="112" t="str">
        <f>IF(Base!F60="","",Base!F60)</f>
        <v>ELIANA RITA  ESTRADA  ESTRADA</v>
      </c>
      <c r="C62" s="112" t="str">
        <f>IF(Base!I60="","",Base!I60)</f>
        <v>Linea 1</v>
      </c>
      <c r="D62" s="113" t="str">
        <f>IF(Base!J60="","",Base!J60)</f>
        <v>Inspector etiqueta</v>
      </c>
      <c r="E62" s="112">
        <f>IF(Base!H60="","",Base!H60)</f>
        <v>1050552</v>
      </c>
      <c r="J62" s="122">
        <v>52</v>
      </c>
      <c r="K62" s="123"/>
      <c r="L62" s="124" t="str">
        <f t="shared" si="5"/>
        <v/>
      </c>
      <c r="M62" s="124" t="str">
        <f t="shared" si="6"/>
        <v/>
      </c>
      <c r="N62" s="125" t="str">
        <f t="shared" si="7"/>
        <v/>
      </c>
      <c r="O62" s="125" t="str">
        <f t="shared" si="8"/>
        <v/>
      </c>
      <c r="P62" s="126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29">
        <f t="shared" si="13"/>
        <v>0</v>
      </c>
      <c r="AF62" s="129">
        <f t="shared" si="13"/>
        <v>0</v>
      </c>
      <c r="AG62" s="130"/>
      <c r="AH62" s="131">
        <f t="shared" si="10"/>
        <v>0</v>
      </c>
    </row>
    <row r="63" spans="1:34" ht="13.5">
      <c r="A63" s="112" t="str">
        <f>IF(Base!B61="","",Base!B61)</f>
        <v>11.914.799-9</v>
      </c>
      <c r="B63" s="112" t="str">
        <f>IF(Base!F61="","",Base!F61)</f>
        <v>LUIS  FERNANDEZ  MELLA</v>
      </c>
      <c r="C63" s="112" t="str">
        <f>IF(Base!I61="","",Base!I61)</f>
        <v>Linea 6</v>
      </c>
      <c r="D63" s="113" t="str">
        <f>IF(Base!J61="","",Base!J61)</f>
        <v>Embalador</v>
      </c>
      <c r="E63" s="112">
        <f>IF(Base!H61="","",Base!H61)</f>
        <v>1050610</v>
      </c>
      <c r="J63" s="122">
        <v>53</v>
      </c>
      <c r="K63" s="123"/>
      <c r="L63" s="124" t="str">
        <f t="shared" si="5"/>
        <v/>
      </c>
      <c r="M63" s="124" t="str">
        <f t="shared" si="6"/>
        <v/>
      </c>
      <c r="N63" s="125" t="str">
        <f t="shared" si="7"/>
        <v/>
      </c>
      <c r="O63" s="125" t="str">
        <f t="shared" si="8"/>
        <v/>
      </c>
      <c r="P63" s="126"/>
      <c r="Q63" s="132"/>
      <c r="R63" s="122"/>
      <c r="S63" s="132"/>
      <c r="T63" s="122"/>
      <c r="U63" s="132"/>
      <c r="V63" s="122"/>
      <c r="W63" s="132"/>
      <c r="X63" s="122"/>
      <c r="Y63" s="132"/>
      <c r="Z63" s="122"/>
      <c r="AA63" s="132"/>
      <c r="AB63" s="122"/>
      <c r="AC63" s="132"/>
      <c r="AD63" s="122"/>
      <c r="AE63" s="129">
        <f t="shared" si="13"/>
        <v>0</v>
      </c>
      <c r="AF63" s="129">
        <f t="shared" si="13"/>
        <v>0</v>
      </c>
      <c r="AG63" s="130"/>
      <c r="AH63" s="131">
        <f t="shared" si="10"/>
        <v>0</v>
      </c>
    </row>
    <row r="64" spans="1:34" ht="13.5">
      <c r="A64" s="112" t="str">
        <f>IF(Base!B62="","",Base!B62)</f>
        <v>16.031.949-6</v>
      </c>
      <c r="B64" s="112" t="str">
        <f>IF(Base!F62="","",Base!F62)</f>
        <v>JONATHAN  ESPINOZA  MORENO</v>
      </c>
      <c r="C64" s="112" t="str">
        <f>IF(Base!I62="","",Base!I62)</f>
        <v>Abastecimiento</v>
      </c>
      <c r="D64" s="113" t="str">
        <f>IF(Base!J62="","",Base!J62)</f>
        <v>Suministro de Líneas</v>
      </c>
      <c r="E64" s="112">
        <f>IF(Base!H62="","",Base!H62)</f>
        <v>1050581</v>
      </c>
      <c r="J64" s="122">
        <v>54</v>
      </c>
      <c r="K64" s="123"/>
      <c r="L64" s="124" t="str">
        <f t="shared" si="5"/>
        <v/>
      </c>
      <c r="M64" s="124" t="str">
        <f t="shared" si="6"/>
        <v/>
      </c>
      <c r="N64" s="125" t="str">
        <f t="shared" si="7"/>
        <v/>
      </c>
      <c r="O64" s="125" t="str">
        <f t="shared" si="8"/>
        <v/>
      </c>
      <c r="P64" s="126"/>
      <c r="Q64" s="132"/>
      <c r="R64" s="122"/>
      <c r="S64" s="132"/>
      <c r="T64" s="122"/>
      <c r="U64" s="132"/>
      <c r="V64" s="122"/>
      <c r="W64" s="132"/>
      <c r="X64" s="122"/>
      <c r="Y64" s="132"/>
      <c r="Z64" s="122"/>
      <c r="AA64" s="132"/>
      <c r="AB64" s="122"/>
      <c r="AC64" s="132"/>
      <c r="AD64" s="122"/>
      <c r="AE64" s="129">
        <f t="shared" si="13"/>
        <v>0</v>
      </c>
      <c r="AF64" s="129">
        <f t="shared" si="13"/>
        <v>0</v>
      </c>
      <c r="AG64" s="130"/>
      <c r="AH64" s="131">
        <f t="shared" si="10"/>
        <v>0</v>
      </c>
    </row>
    <row r="65" spans="1:34" ht="13.5">
      <c r="A65" s="112" t="str">
        <f>IF(Base!B63="","",Base!B63)</f>
        <v>05.080.993-5</v>
      </c>
      <c r="B65" s="112" t="str">
        <f>IF(Base!F63="","",Base!F63)</f>
        <v>CARLOS  FIGUEROA  NILO</v>
      </c>
      <c r="C65" s="112" t="str">
        <f>IF(Base!I63="","",Base!I63)</f>
        <v>Abastecimiento</v>
      </c>
      <c r="D65" s="113" t="str">
        <f>IF(Base!J63="","",Base!J63)</f>
        <v>Control Ingresos Cen</v>
      </c>
      <c r="E65" s="112">
        <f>IF(Base!H63="","",Base!H63)</f>
        <v>1050126</v>
      </c>
      <c r="J65" s="122">
        <v>55</v>
      </c>
      <c r="K65" s="123"/>
      <c r="L65" s="124" t="str">
        <f t="shared" si="5"/>
        <v/>
      </c>
      <c r="M65" s="124" t="str">
        <f t="shared" si="6"/>
        <v/>
      </c>
      <c r="N65" s="125" t="str">
        <f t="shared" si="7"/>
        <v/>
      </c>
      <c r="O65" s="125" t="str">
        <f t="shared" si="8"/>
        <v/>
      </c>
      <c r="P65" s="126"/>
      <c r="Q65" s="132"/>
      <c r="R65" s="122"/>
      <c r="S65" s="132"/>
      <c r="T65" s="122"/>
      <c r="U65" s="132"/>
      <c r="V65" s="122"/>
      <c r="W65" s="132"/>
      <c r="X65" s="122"/>
      <c r="Y65" s="132"/>
      <c r="Z65" s="122"/>
      <c r="AA65" s="132"/>
      <c r="AB65" s="122"/>
      <c r="AC65" s="132"/>
      <c r="AD65" s="122"/>
      <c r="AE65" s="129">
        <f t="shared" si="13"/>
        <v>0</v>
      </c>
      <c r="AF65" s="129">
        <f t="shared" si="13"/>
        <v>0</v>
      </c>
      <c r="AG65" s="130"/>
      <c r="AH65" s="131">
        <f t="shared" si="10"/>
        <v>0</v>
      </c>
    </row>
    <row r="66" spans="1:34" ht="13.5">
      <c r="A66" s="112" t="str">
        <f>IF(Base!B64="","",Base!B64)</f>
        <v>05.989.878-7</v>
      </c>
      <c r="B66" s="112" t="str">
        <f>IF(Base!F64="","",Base!F64)</f>
        <v>NELLY E.  FIGUEROA  PAVEZ</v>
      </c>
      <c r="C66" s="112" t="str">
        <f>IF(Base!I64="","",Base!I64)</f>
        <v>Abastecimiento</v>
      </c>
      <c r="D66" s="113" t="str">
        <f>IF(Base!J64="","",Base!J64)</f>
        <v>Control Ingresos Cen</v>
      </c>
      <c r="E66" s="112">
        <f>IF(Base!H64="","",Base!H64)</f>
        <v>1050126</v>
      </c>
      <c r="J66" s="122">
        <v>56</v>
      </c>
      <c r="K66" s="123"/>
      <c r="L66" s="124" t="str">
        <f t="shared" si="5"/>
        <v/>
      </c>
      <c r="M66" s="124" t="str">
        <f t="shared" si="6"/>
        <v/>
      </c>
      <c r="N66" s="125" t="str">
        <f t="shared" si="7"/>
        <v/>
      </c>
      <c r="O66" s="125" t="str">
        <f t="shared" si="8"/>
        <v/>
      </c>
      <c r="P66" s="126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2"/>
      <c r="AD66" s="132"/>
      <c r="AE66" s="129">
        <f t="shared" si="13"/>
        <v>0</v>
      </c>
      <c r="AF66" s="129">
        <f t="shared" si="13"/>
        <v>0</v>
      </c>
      <c r="AG66" s="130"/>
      <c r="AH66" s="131">
        <f t="shared" si="10"/>
        <v>0</v>
      </c>
    </row>
    <row r="67" spans="1:34" ht="13.5">
      <c r="A67" s="112" t="str">
        <f>IF(Base!B65="","",Base!B65)</f>
        <v>05.281.950-4</v>
      </c>
      <c r="B67" s="112" t="str">
        <f>IF(Base!F65="","",Base!F65)</f>
        <v>BLANCA  FUENTES  YAÑEZ</v>
      </c>
      <c r="C67" s="112" t="str">
        <f>IF(Base!I65="","",Base!I65)</f>
        <v>Linea 7</v>
      </c>
      <c r="D67" s="113" t="str">
        <f>IF(Base!J65="","",Base!J65)</f>
        <v>Capsulado</v>
      </c>
      <c r="E67" s="112">
        <f>IF(Base!H65="","",Base!H65)</f>
        <v>1050616</v>
      </c>
      <c r="J67" s="122">
        <v>57</v>
      </c>
      <c r="K67" s="123"/>
      <c r="L67" s="124" t="str">
        <f t="shared" si="5"/>
        <v/>
      </c>
      <c r="M67" s="124" t="str">
        <f t="shared" si="6"/>
        <v/>
      </c>
      <c r="N67" s="125" t="str">
        <f t="shared" si="7"/>
        <v/>
      </c>
      <c r="O67" s="125" t="str">
        <f t="shared" si="8"/>
        <v/>
      </c>
      <c r="P67" s="126"/>
      <c r="Q67" s="132"/>
      <c r="R67" s="132"/>
      <c r="S67" s="132"/>
      <c r="T67" s="132"/>
      <c r="U67" s="132"/>
      <c r="V67" s="132"/>
      <c r="W67" s="132"/>
      <c r="X67" s="132"/>
      <c r="Y67" s="132"/>
      <c r="Z67" s="132"/>
      <c r="AA67" s="132"/>
      <c r="AB67" s="132"/>
      <c r="AC67" s="132"/>
      <c r="AD67" s="132"/>
      <c r="AE67" s="129">
        <f t="shared" si="13"/>
        <v>0</v>
      </c>
      <c r="AF67" s="129">
        <f t="shared" si="13"/>
        <v>0</v>
      </c>
      <c r="AG67" s="130"/>
      <c r="AH67" s="131">
        <f t="shared" si="10"/>
        <v>0</v>
      </c>
    </row>
    <row r="68" spans="1:34" ht="13.5">
      <c r="A68" s="112" t="str">
        <f>IF(Base!B66="","",Base!B66)</f>
        <v>06.187.914-5</v>
      </c>
      <c r="B68" s="112" t="str">
        <f>IF(Base!F66="","",Base!F66)</f>
        <v>PATRICIA  FUENTES  YAÑEZ</v>
      </c>
      <c r="C68" s="112" t="str">
        <f>IF(Base!I66="","",Base!I66)</f>
        <v>Linea 7</v>
      </c>
      <c r="D68" s="113" t="str">
        <f>IF(Base!J66="","",Base!J66)</f>
        <v>Capsulado</v>
      </c>
      <c r="E68" s="112">
        <f>IF(Base!H66="","",Base!H66)</f>
        <v>1050616</v>
      </c>
      <c r="J68" s="122">
        <v>58</v>
      </c>
      <c r="K68" s="123"/>
      <c r="L68" s="124" t="str">
        <f t="shared" si="5"/>
        <v/>
      </c>
      <c r="M68" s="124" t="str">
        <f t="shared" si="6"/>
        <v/>
      </c>
      <c r="N68" s="125" t="str">
        <f t="shared" si="7"/>
        <v/>
      </c>
      <c r="O68" s="125" t="str">
        <f t="shared" si="8"/>
        <v/>
      </c>
      <c r="P68" s="126"/>
      <c r="Q68" s="132"/>
      <c r="R68" s="122"/>
      <c r="S68" s="132"/>
      <c r="T68" s="122"/>
      <c r="U68" s="132"/>
      <c r="V68" s="122"/>
      <c r="W68" s="132"/>
      <c r="X68" s="122"/>
      <c r="Y68" s="132"/>
      <c r="Z68" s="122"/>
      <c r="AA68" s="132"/>
      <c r="AB68" s="122"/>
      <c r="AC68" s="132"/>
      <c r="AD68" s="122"/>
      <c r="AE68" s="129">
        <f t="shared" si="13"/>
        <v>0</v>
      </c>
      <c r="AF68" s="129">
        <f t="shared" si="13"/>
        <v>0</v>
      </c>
      <c r="AG68" s="130"/>
      <c r="AH68" s="131">
        <f t="shared" si="10"/>
        <v>0</v>
      </c>
    </row>
    <row r="69" spans="1:34" ht="13.5">
      <c r="A69" s="112" t="str">
        <f>IF(Base!B67="","",Base!B67)</f>
        <v>07.023.216-2</v>
      </c>
      <c r="B69" s="112" t="str">
        <f>IF(Base!F67="","",Base!F67)</f>
        <v>FIDEL  FUENZALIDA  ADASME</v>
      </c>
      <c r="C69" s="112" t="str">
        <f>IF(Base!I67="","",Base!I67)</f>
        <v>Linea 7</v>
      </c>
      <c r="D69" s="113" t="str">
        <f>IF(Base!J67="","",Base!J67)</f>
        <v>Despalletizador</v>
      </c>
      <c r="E69" s="112">
        <f>IF(Base!H67="","",Base!H67)</f>
        <v>1050615</v>
      </c>
      <c r="J69" s="122">
        <v>59</v>
      </c>
      <c r="K69" s="123"/>
      <c r="L69" s="124" t="str">
        <f t="shared" si="5"/>
        <v/>
      </c>
      <c r="M69" s="124" t="str">
        <f t="shared" si="6"/>
        <v/>
      </c>
      <c r="N69" s="125" t="str">
        <f t="shared" si="7"/>
        <v/>
      </c>
      <c r="O69" s="125" t="str">
        <f t="shared" si="8"/>
        <v/>
      </c>
      <c r="P69" s="126"/>
      <c r="Q69" s="132"/>
      <c r="R69" s="122"/>
      <c r="S69" s="132"/>
      <c r="T69" s="122"/>
      <c r="U69" s="132"/>
      <c r="V69" s="122"/>
      <c r="W69" s="132"/>
      <c r="X69" s="122"/>
      <c r="Y69" s="132"/>
      <c r="Z69" s="122"/>
      <c r="AA69" s="132"/>
      <c r="AB69" s="122"/>
      <c r="AC69" s="132"/>
      <c r="AD69" s="122"/>
      <c r="AE69" s="129">
        <f t="shared" si="13"/>
        <v>0</v>
      </c>
      <c r="AF69" s="129">
        <f t="shared" si="13"/>
        <v>0</v>
      </c>
      <c r="AG69" s="130"/>
      <c r="AH69" s="131">
        <f t="shared" si="10"/>
        <v>0</v>
      </c>
    </row>
    <row r="70" spans="1:34" ht="13.5">
      <c r="A70" s="112" t="str">
        <f>IF(Base!B68="","",Base!B68)</f>
        <v>08.733.235-7</v>
      </c>
      <c r="B70" s="112" t="str">
        <f>IF(Base!F68="","",Base!F68)</f>
        <v>EXEQUIEL  FUENZALIDA  VALENZUELA</v>
      </c>
      <c r="C70" s="112" t="str">
        <f>IF(Base!I68="","",Base!I68)</f>
        <v>Linea 7</v>
      </c>
      <c r="D70" s="113" t="str">
        <f>IF(Base!J68="","",Base!J68)</f>
        <v>Llenador</v>
      </c>
      <c r="E70" s="112">
        <f>IF(Base!H68="","",Base!H68)</f>
        <v>1050615</v>
      </c>
      <c r="J70" s="122">
        <v>60</v>
      </c>
      <c r="K70" s="123"/>
      <c r="L70" s="124" t="str">
        <f t="shared" si="5"/>
        <v/>
      </c>
      <c r="M70" s="124" t="str">
        <f t="shared" si="6"/>
        <v/>
      </c>
      <c r="N70" s="125" t="str">
        <f t="shared" si="7"/>
        <v/>
      </c>
      <c r="O70" s="125" t="str">
        <f t="shared" si="8"/>
        <v/>
      </c>
      <c r="P70" s="126"/>
      <c r="Q70" s="132"/>
      <c r="R70" s="122"/>
      <c r="S70" s="132"/>
      <c r="T70" s="122"/>
      <c r="U70" s="132"/>
      <c r="V70" s="122"/>
      <c r="W70" s="132"/>
      <c r="X70" s="122"/>
      <c r="Y70" s="132"/>
      <c r="Z70" s="122"/>
      <c r="AA70" s="132"/>
      <c r="AB70" s="122"/>
      <c r="AC70" s="132"/>
      <c r="AD70" s="122"/>
      <c r="AE70" s="129">
        <f t="shared" si="13"/>
        <v>0</v>
      </c>
      <c r="AF70" s="129">
        <f t="shared" si="13"/>
        <v>0</v>
      </c>
      <c r="AG70" s="130"/>
      <c r="AH70" s="131">
        <f t="shared" si="10"/>
        <v>0</v>
      </c>
    </row>
    <row r="71" spans="1:34" ht="13.5">
      <c r="A71" s="112" t="str">
        <f>IF(Base!B69="","",Base!B69)</f>
        <v>05.428.350-4</v>
      </c>
      <c r="B71" s="112" t="str">
        <f>IF(Base!F69="","",Base!F69)</f>
        <v>NELSON  GALAZ  DEL PINO</v>
      </c>
      <c r="C71" s="112" t="str">
        <f>IF(Base!I69="","",Base!I69)</f>
        <v>Linea 7</v>
      </c>
      <c r="D71" s="113" t="str">
        <f>IF(Base!J69="","",Base!J69)</f>
        <v>Embalador</v>
      </c>
      <c r="E71" s="112">
        <f>IF(Base!H69="","",Base!H69)</f>
        <v>1050616</v>
      </c>
      <c r="J71" s="122">
        <v>61</v>
      </c>
      <c r="K71" s="123"/>
      <c r="L71" s="124" t="str">
        <f t="shared" si="5"/>
        <v/>
      </c>
      <c r="M71" s="124" t="str">
        <f t="shared" si="6"/>
        <v/>
      </c>
      <c r="N71" s="125" t="str">
        <f t="shared" si="7"/>
        <v/>
      </c>
      <c r="O71" s="125" t="str">
        <f t="shared" si="8"/>
        <v/>
      </c>
      <c r="P71" s="126"/>
      <c r="Q71" s="132"/>
      <c r="R71" s="132"/>
      <c r="S71" s="132"/>
      <c r="T71" s="132"/>
      <c r="U71" s="132"/>
      <c r="V71" s="132"/>
      <c r="W71" s="132"/>
      <c r="X71" s="132"/>
      <c r="Y71" s="132"/>
      <c r="Z71" s="132"/>
      <c r="AA71" s="132"/>
      <c r="AB71" s="132"/>
      <c r="AC71" s="132"/>
      <c r="AD71" s="132"/>
      <c r="AE71" s="129">
        <f t="shared" si="13"/>
        <v>0</v>
      </c>
      <c r="AF71" s="129">
        <f t="shared" si="13"/>
        <v>0</v>
      </c>
      <c r="AG71" s="130"/>
      <c r="AH71" s="131">
        <f t="shared" si="10"/>
        <v>0</v>
      </c>
    </row>
    <row r="72" spans="1:34" ht="13.5">
      <c r="A72" s="112" t="str">
        <f>IF(Base!B70="","",Base!B70)</f>
        <v>16.380.095-0</v>
      </c>
      <c r="B72" s="112" t="str">
        <f>IF(Base!F70="","",Base!F70)</f>
        <v>MARCELO  FLORES  ARANDA</v>
      </c>
      <c r="C72" s="112" t="str">
        <f>IF(Base!I70="","",Base!I70)</f>
        <v>Abastecimiento</v>
      </c>
      <c r="D72" s="113" t="str">
        <f>IF(Base!J70="","",Base!J70)</f>
        <v>Control Ingresos Cen</v>
      </c>
      <c r="E72" s="112">
        <f>IF(Base!H70="","",Base!H70)</f>
        <v>1050126</v>
      </c>
      <c r="J72" s="122">
        <v>62</v>
      </c>
      <c r="K72" s="123"/>
      <c r="L72" s="124" t="str">
        <f t="shared" si="5"/>
        <v/>
      </c>
      <c r="M72" s="124" t="str">
        <f t="shared" si="6"/>
        <v/>
      </c>
      <c r="N72" s="125" t="str">
        <f t="shared" si="7"/>
        <v/>
      </c>
      <c r="O72" s="125" t="str">
        <f t="shared" si="8"/>
        <v/>
      </c>
      <c r="P72" s="126"/>
      <c r="Q72" s="132"/>
      <c r="R72" s="132"/>
      <c r="S72" s="132"/>
      <c r="T72" s="132"/>
      <c r="U72" s="132"/>
      <c r="V72" s="132"/>
      <c r="W72" s="132"/>
      <c r="X72" s="132"/>
      <c r="Y72" s="132"/>
      <c r="Z72" s="132"/>
      <c r="AA72" s="132"/>
      <c r="AB72" s="132"/>
      <c r="AC72" s="132"/>
      <c r="AD72" s="132"/>
      <c r="AE72" s="129">
        <f t="shared" si="13"/>
        <v>0</v>
      </c>
      <c r="AF72" s="129">
        <f t="shared" si="13"/>
        <v>0</v>
      </c>
      <c r="AG72" s="130"/>
      <c r="AH72" s="131">
        <f t="shared" si="10"/>
        <v>0</v>
      </c>
    </row>
    <row r="73" spans="1:34" ht="13.5">
      <c r="A73" s="112" t="str">
        <f>IF(Base!B71="","",Base!B71)</f>
        <v>09.571.017-4</v>
      </c>
      <c r="B73" s="112" t="str">
        <f>IF(Base!F71="","",Base!F71)</f>
        <v>MIGUEL FRANCISCO  GALLARDO  CASTRO</v>
      </c>
      <c r="C73" s="112" t="str">
        <f>IF(Base!I71="","",Base!I71)</f>
        <v>Abastecimiento</v>
      </c>
      <c r="D73" s="113" t="str">
        <f>IF(Base!J71="","",Base!J71)</f>
        <v>Control Ingresos Cen</v>
      </c>
      <c r="E73" s="112">
        <f>IF(Base!H71="","",Base!H71)</f>
        <v>1050126</v>
      </c>
      <c r="J73" s="122">
        <v>63</v>
      </c>
      <c r="K73" s="123"/>
      <c r="L73" s="124" t="str">
        <f t="shared" si="5"/>
        <v/>
      </c>
      <c r="M73" s="124" t="str">
        <f t="shared" si="6"/>
        <v/>
      </c>
      <c r="N73" s="125" t="str">
        <f t="shared" si="7"/>
        <v/>
      </c>
      <c r="O73" s="125" t="str">
        <f t="shared" si="8"/>
        <v/>
      </c>
      <c r="P73" s="126"/>
      <c r="Q73" s="132"/>
      <c r="R73" s="122"/>
      <c r="S73" s="132"/>
      <c r="T73" s="122"/>
      <c r="U73" s="132"/>
      <c r="V73" s="122"/>
      <c r="W73" s="132"/>
      <c r="X73" s="122"/>
      <c r="Y73" s="132"/>
      <c r="Z73" s="122"/>
      <c r="AA73" s="132"/>
      <c r="AB73" s="122"/>
      <c r="AC73" s="132"/>
      <c r="AD73" s="122"/>
      <c r="AE73" s="129">
        <f t="shared" si="13"/>
        <v>0</v>
      </c>
      <c r="AF73" s="129">
        <f t="shared" si="13"/>
        <v>0</v>
      </c>
      <c r="AG73" s="130"/>
      <c r="AH73" s="131">
        <f t="shared" si="10"/>
        <v>0</v>
      </c>
    </row>
    <row r="74" spans="1:34" ht="13.5">
      <c r="A74" s="112" t="str">
        <f>IF(Base!B72="","",Base!B72)</f>
        <v>16.132.065-K</v>
      </c>
      <c r="B74" s="112" t="str">
        <f>IF(Base!F72="","",Base!F72)</f>
        <v>EMERSON  GALLARDO  LUCERO</v>
      </c>
      <c r="C74" s="112" t="str">
        <f>IF(Base!I72="","",Base!I72)</f>
        <v>Abastecimiento</v>
      </c>
      <c r="D74" s="113" t="str">
        <f>IF(Base!J72="","",Base!J72)</f>
        <v>Control Ingresos Cen</v>
      </c>
      <c r="E74" s="112">
        <f>IF(Base!H72="","",Base!H72)</f>
        <v>1050126</v>
      </c>
      <c r="J74" s="122">
        <v>64</v>
      </c>
      <c r="K74" s="123"/>
      <c r="L74" s="124" t="str">
        <f t="shared" si="5"/>
        <v/>
      </c>
      <c r="M74" s="124" t="str">
        <f t="shared" si="6"/>
        <v/>
      </c>
      <c r="N74" s="125" t="str">
        <f t="shared" si="7"/>
        <v/>
      </c>
      <c r="O74" s="125" t="str">
        <f t="shared" si="8"/>
        <v/>
      </c>
      <c r="P74" s="126"/>
      <c r="Q74" s="132"/>
      <c r="R74" s="122"/>
      <c r="S74" s="132"/>
      <c r="T74" s="122"/>
      <c r="U74" s="132"/>
      <c r="V74" s="122"/>
      <c r="W74" s="132"/>
      <c r="X74" s="122"/>
      <c r="Y74" s="132"/>
      <c r="Z74" s="122"/>
      <c r="AA74" s="132"/>
      <c r="AB74" s="122"/>
      <c r="AC74" s="132"/>
      <c r="AD74" s="122"/>
      <c r="AE74" s="129">
        <f t="shared" si="13"/>
        <v>0</v>
      </c>
      <c r="AF74" s="129">
        <f t="shared" si="13"/>
        <v>0</v>
      </c>
      <c r="AG74" s="130"/>
      <c r="AH74" s="131">
        <f t="shared" si="10"/>
        <v>0</v>
      </c>
    </row>
    <row r="75" spans="1:34" ht="13.5">
      <c r="A75" s="112" t="str">
        <f>IF(Base!B73="","",Base!B73)</f>
        <v>13.100.464-8</v>
      </c>
      <c r="B75" s="112" t="str">
        <f>IF(Base!F73="","",Base!F73)</f>
        <v>JOSE A.  GALLARDO  OYARCE</v>
      </c>
      <c r="C75" s="112" t="str">
        <f>IF(Base!I73="","",Base!I73)</f>
        <v>Sala filtros</v>
      </c>
      <c r="D75" s="113" t="str">
        <f>IF(Base!J73="","",Base!J73)</f>
        <v>Operador sala de filtros</v>
      </c>
      <c r="E75" s="112">
        <f>IF(Base!H73="","",Base!H73)</f>
        <v>1050574</v>
      </c>
      <c r="J75" s="122">
        <v>65</v>
      </c>
      <c r="K75" s="123"/>
      <c r="L75" s="124" t="str">
        <f t="shared" si="5"/>
        <v/>
      </c>
      <c r="M75" s="124" t="str">
        <f t="shared" si="6"/>
        <v/>
      </c>
      <c r="N75" s="125" t="str">
        <f t="shared" si="7"/>
        <v/>
      </c>
      <c r="O75" s="125" t="str">
        <f t="shared" si="8"/>
        <v/>
      </c>
      <c r="P75" s="126"/>
      <c r="Q75" s="132"/>
      <c r="R75" s="122"/>
      <c r="S75" s="132"/>
      <c r="T75" s="122"/>
      <c r="U75" s="132"/>
      <c r="V75" s="122"/>
      <c r="W75" s="132"/>
      <c r="X75" s="122"/>
      <c r="Y75" s="132"/>
      <c r="Z75" s="122"/>
      <c r="AA75" s="132"/>
      <c r="AB75" s="122"/>
      <c r="AC75" s="132"/>
      <c r="AD75" s="122"/>
      <c r="AE75" s="129">
        <f t="shared" si="13"/>
        <v>0</v>
      </c>
      <c r="AF75" s="129">
        <f t="shared" si="13"/>
        <v>0</v>
      </c>
      <c r="AG75" s="130"/>
      <c r="AH75" s="131">
        <f t="shared" si="10"/>
        <v>0</v>
      </c>
    </row>
    <row r="76" spans="1:34" ht="13.5">
      <c r="A76" s="112" t="str">
        <f>IF(Base!B74="","",Base!B74)</f>
        <v>17.065.312-2</v>
      </c>
      <c r="B76" s="112" t="str">
        <f>IF(Base!F74="","",Base!F74)</f>
        <v>ARIEL ALFREDO  GALVEZ  CERNA</v>
      </c>
      <c r="C76" s="112" t="str">
        <f>IF(Base!I74="","",Base!I74)</f>
        <v>Abastecimiento</v>
      </c>
      <c r="D76" s="113" t="str">
        <f>IF(Base!J74="","",Base!J74)</f>
        <v>Control Ingresos Cen</v>
      </c>
      <c r="E76" s="112">
        <f>IF(Base!H74="","",Base!H74)</f>
        <v>1050126</v>
      </c>
      <c r="J76" s="122">
        <v>66</v>
      </c>
      <c r="K76" s="123"/>
      <c r="L76" s="124" t="str">
        <f t="shared" ref="L76:L139" si="14">IF(K76="","",VLOOKUP($K76,A:D,2,FALSE))</f>
        <v/>
      </c>
      <c r="M76" s="124" t="str">
        <f t="shared" ref="M76:M139" si="15">IF(K76="","",VLOOKUP(K76,A:E,5,FALSE))</f>
        <v/>
      </c>
      <c r="N76" s="125" t="str">
        <f t="shared" ref="N76:N139" si="16">IF(K76="","",VLOOKUP(K76,A:C,3,FALSE))</f>
        <v/>
      </c>
      <c r="O76" s="125" t="str">
        <f t="shared" ref="O76:O139" si="17">IF(K76="","",VLOOKUP(K76,A:D,4,FALSE))</f>
        <v/>
      </c>
      <c r="P76" s="126"/>
      <c r="Q76" s="132"/>
      <c r="R76" s="132"/>
      <c r="S76" s="132"/>
      <c r="T76" s="132"/>
      <c r="U76" s="132"/>
      <c r="V76" s="132"/>
      <c r="W76" s="132"/>
      <c r="X76" s="132"/>
      <c r="Y76" s="132"/>
      <c r="Z76" s="132"/>
      <c r="AA76" s="132"/>
      <c r="AB76" s="132"/>
      <c r="AC76" s="132"/>
      <c r="AD76" s="132"/>
      <c r="AE76" s="129">
        <f t="shared" si="13"/>
        <v>0</v>
      </c>
      <c r="AF76" s="129">
        <f t="shared" si="13"/>
        <v>0</v>
      </c>
      <c r="AG76" s="130"/>
      <c r="AH76" s="131">
        <f t="shared" ref="AH76:AH139" si="18">SUM(AE76:AF76)</f>
        <v>0</v>
      </c>
    </row>
    <row r="77" spans="1:34" ht="13.5">
      <c r="A77" s="112" t="str">
        <f>IF(Base!B75="","",Base!B75)</f>
        <v>17.002.272-6</v>
      </c>
      <c r="B77" s="112" t="str">
        <f>IF(Base!F75="","",Base!F75)</f>
        <v>JUAN DIEGO ALEXIS  GARCES  MUÑOZ</v>
      </c>
      <c r="C77" s="112" t="str">
        <f>IF(Base!I75="","",Base!I75)</f>
        <v>Abastecimiento</v>
      </c>
      <c r="D77" s="113" t="str">
        <f>IF(Base!J75="","",Base!J75)</f>
        <v>Control Inventario I</v>
      </c>
      <c r="E77" s="112">
        <f>IF(Base!H75="","",Base!H75)</f>
        <v>1050161</v>
      </c>
      <c r="J77" s="122">
        <v>67</v>
      </c>
      <c r="K77" s="123"/>
      <c r="L77" s="124" t="str">
        <f t="shared" si="14"/>
        <v/>
      </c>
      <c r="M77" s="124" t="str">
        <f t="shared" si="15"/>
        <v/>
      </c>
      <c r="N77" s="125" t="str">
        <f t="shared" si="16"/>
        <v/>
      </c>
      <c r="O77" s="125" t="str">
        <f t="shared" si="17"/>
        <v/>
      </c>
      <c r="P77" s="126"/>
      <c r="Q77" s="132"/>
      <c r="R77" s="132"/>
      <c r="S77" s="132"/>
      <c r="T77" s="132"/>
      <c r="U77" s="132"/>
      <c r="V77" s="132"/>
      <c r="W77" s="132"/>
      <c r="X77" s="132"/>
      <c r="Y77" s="132"/>
      <c r="Z77" s="132"/>
      <c r="AA77" s="132"/>
      <c r="AB77" s="132"/>
      <c r="AC77" s="132"/>
      <c r="AD77" s="132"/>
      <c r="AE77" s="129">
        <f t="shared" si="13"/>
        <v>0</v>
      </c>
      <c r="AF77" s="129">
        <f t="shared" si="13"/>
        <v>0</v>
      </c>
      <c r="AG77" s="130"/>
      <c r="AH77" s="131">
        <f t="shared" si="18"/>
        <v>0</v>
      </c>
    </row>
    <row r="78" spans="1:34" ht="13.5">
      <c r="A78" s="112" t="str">
        <f>IF(Base!B76="","",Base!B76)</f>
        <v>09.048.185-1</v>
      </c>
      <c r="B78" s="112" t="str">
        <f>IF(Base!F76="","",Base!F76)</f>
        <v>PABLO HORACIO  GARCIA  DIAZ</v>
      </c>
      <c r="C78" s="112" t="str">
        <f>IF(Base!I76="","",Base!I76)</f>
        <v>Abastecimiento</v>
      </c>
      <c r="D78" s="113" t="str">
        <f>IF(Base!J76="","",Base!J76)</f>
        <v>Control Inventario I</v>
      </c>
      <c r="E78" s="112">
        <f>IF(Base!H76="","",Base!H76)</f>
        <v>1050126</v>
      </c>
      <c r="J78" s="122">
        <v>68</v>
      </c>
      <c r="K78" s="123"/>
      <c r="L78" s="124" t="str">
        <f t="shared" si="14"/>
        <v/>
      </c>
      <c r="M78" s="124" t="str">
        <f t="shared" si="15"/>
        <v/>
      </c>
      <c r="N78" s="125" t="str">
        <f t="shared" si="16"/>
        <v/>
      </c>
      <c r="O78" s="125" t="str">
        <f t="shared" si="17"/>
        <v/>
      </c>
      <c r="P78" s="126"/>
      <c r="Q78" s="132"/>
      <c r="R78" s="122"/>
      <c r="S78" s="132"/>
      <c r="T78" s="122"/>
      <c r="U78" s="132"/>
      <c r="V78" s="122"/>
      <c r="W78" s="132"/>
      <c r="X78" s="122"/>
      <c r="Y78" s="132"/>
      <c r="Z78" s="122"/>
      <c r="AA78" s="132"/>
      <c r="AB78" s="122"/>
      <c r="AC78" s="132"/>
      <c r="AD78" s="122"/>
      <c r="AE78" s="129">
        <f t="shared" si="13"/>
        <v>0</v>
      </c>
      <c r="AF78" s="129">
        <f t="shared" si="13"/>
        <v>0</v>
      </c>
      <c r="AG78" s="130"/>
      <c r="AH78" s="131">
        <f t="shared" si="18"/>
        <v>0</v>
      </c>
    </row>
    <row r="79" spans="1:34" ht="13.5">
      <c r="A79" s="112" t="str">
        <f>IF(Base!B77="","",Base!B77)</f>
        <v>13.486.907-0</v>
      </c>
      <c r="B79" s="112" t="str">
        <f>IF(Base!F77="","",Base!F77)</f>
        <v>MIGUEL  MALDONADO  DIAZ</v>
      </c>
      <c r="C79" s="112" t="str">
        <f>IF(Base!I77="","",Base!I77)</f>
        <v>Abastecimiento</v>
      </c>
      <c r="D79" s="113" t="str">
        <f>IF(Base!J77="","",Base!J77)</f>
        <v>Control y Gestión (marcado cajas)</v>
      </c>
      <c r="E79" s="112">
        <f>IF(Base!H77="","",Base!H77)</f>
        <v>1050161</v>
      </c>
      <c r="J79" s="122">
        <v>69</v>
      </c>
      <c r="K79" s="123"/>
      <c r="L79" s="124" t="str">
        <f t="shared" si="14"/>
        <v/>
      </c>
      <c r="M79" s="124" t="str">
        <f t="shared" si="15"/>
        <v/>
      </c>
      <c r="N79" s="125" t="str">
        <f t="shared" si="16"/>
        <v/>
      </c>
      <c r="O79" s="125" t="str">
        <f t="shared" si="17"/>
        <v/>
      </c>
      <c r="P79" s="126"/>
      <c r="Q79" s="132"/>
      <c r="R79" s="122"/>
      <c r="S79" s="132"/>
      <c r="T79" s="122"/>
      <c r="U79" s="132"/>
      <c r="V79" s="122"/>
      <c r="W79" s="132"/>
      <c r="X79" s="122"/>
      <c r="Y79" s="132"/>
      <c r="Z79" s="122"/>
      <c r="AA79" s="132"/>
      <c r="AB79" s="122"/>
      <c r="AC79" s="132"/>
      <c r="AD79" s="122"/>
      <c r="AE79" s="129">
        <f t="shared" si="13"/>
        <v>0</v>
      </c>
      <c r="AF79" s="129">
        <f t="shared" si="13"/>
        <v>0</v>
      </c>
      <c r="AG79" s="130"/>
      <c r="AH79" s="131">
        <f t="shared" si="18"/>
        <v>0</v>
      </c>
    </row>
    <row r="80" spans="1:34" ht="13.5">
      <c r="A80" s="112" t="str">
        <f>IF(Base!B78="","",Base!B78)</f>
        <v>09.068.490-6</v>
      </c>
      <c r="B80" s="112" t="str">
        <f>IF(Base!F78="","",Base!F78)</f>
        <v>DARIO RODOLFO  GONZALEZ  DEL VALLE</v>
      </c>
      <c r="C80" s="112" t="str">
        <f>IF(Base!I78="","",Base!I78)</f>
        <v>Abastecimiento</v>
      </c>
      <c r="D80" s="113" t="str">
        <f>IF(Base!J78="","",Base!J78)</f>
        <v>Almacen Insumos Pque</v>
      </c>
      <c r="E80" s="112">
        <f>IF(Base!H78="","",Base!H78)</f>
        <v>1050581</v>
      </c>
      <c r="J80" s="122">
        <v>70</v>
      </c>
      <c r="K80" s="123"/>
      <c r="L80" s="124" t="str">
        <f t="shared" si="14"/>
        <v/>
      </c>
      <c r="M80" s="124" t="str">
        <f t="shared" si="15"/>
        <v/>
      </c>
      <c r="N80" s="125" t="str">
        <f t="shared" si="16"/>
        <v/>
      </c>
      <c r="O80" s="125" t="str">
        <f t="shared" si="17"/>
        <v/>
      </c>
      <c r="P80" s="126"/>
      <c r="Q80" s="132"/>
      <c r="R80" s="122"/>
      <c r="S80" s="132"/>
      <c r="T80" s="122"/>
      <c r="U80" s="132"/>
      <c r="V80" s="122"/>
      <c r="W80" s="132"/>
      <c r="X80" s="122"/>
      <c r="Y80" s="132"/>
      <c r="Z80" s="122"/>
      <c r="AA80" s="132"/>
      <c r="AB80" s="122"/>
      <c r="AC80" s="132"/>
      <c r="AD80" s="122"/>
      <c r="AE80" s="129">
        <f t="shared" si="13"/>
        <v>0</v>
      </c>
      <c r="AF80" s="129">
        <f t="shared" si="13"/>
        <v>0</v>
      </c>
      <c r="AG80" s="130"/>
      <c r="AH80" s="131">
        <f t="shared" si="18"/>
        <v>0</v>
      </c>
    </row>
    <row r="81" spans="1:34" ht="13.5">
      <c r="A81" s="112" t="str">
        <f>IF(Base!B79="","",Base!B79)</f>
        <v>07.975.267-3</v>
      </c>
      <c r="B81" s="112" t="str">
        <f>IF(Base!F79="","",Base!F79)</f>
        <v>GLORIA  GONZALEZ  MASIAS</v>
      </c>
      <c r="C81" s="112" t="str">
        <f>IF(Base!I79="","",Base!I79)</f>
        <v>Linea 7</v>
      </c>
      <c r="D81" s="113" t="str">
        <f>IF(Base!J79="","",Base!J79)</f>
        <v>Inspector etiqueta</v>
      </c>
      <c r="E81" s="112">
        <f>IF(Base!H79="","",Base!H79)</f>
        <v>1050616</v>
      </c>
      <c r="J81" s="122">
        <v>71</v>
      </c>
      <c r="K81" s="123"/>
      <c r="L81" s="124" t="str">
        <f t="shared" si="14"/>
        <v/>
      </c>
      <c r="M81" s="124" t="str">
        <f t="shared" si="15"/>
        <v/>
      </c>
      <c r="N81" s="125" t="str">
        <f t="shared" si="16"/>
        <v/>
      </c>
      <c r="O81" s="125" t="str">
        <f t="shared" si="17"/>
        <v/>
      </c>
      <c r="P81" s="126"/>
      <c r="Q81" s="132"/>
      <c r="R81" s="132"/>
      <c r="S81" s="132"/>
      <c r="T81" s="132"/>
      <c r="U81" s="132"/>
      <c r="V81" s="132"/>
      <c r="W81" s="132"/>
      <c r="X81" s="132"/>
      <c r="Y81" s="132"/>
      <c r="Z81" s="132"/>
      <c r="AA81" s="132"/>
      <c r="AB81" s="132"/>
      <c r="AC81" s="132"/>
      <c r="AD81" s="132"/>
      <c r="AE81" s="129">
        <f t="shared" si="13"/>
        <v>0</v>
      </c>
      <c r="AF81" s="129">
        <f t="shared" si="13"/>
        <v>0</v>
      </c>
      <c r="AG81" s="130"/>
      <c r="AH81" s="131">
        <f t="shared" si="18"/>
        <v>0</v>
      </c>
    </row>
    <row r="82" spans="1:34" ht="13.5">
      <c r="A82" s="112" t="str">
        <f>IF(Base!B80="","",Base!B80)</f>
        <v>08.962.599-8</v>
      </c>
      <c r="B82" s="112" t="str">
        <f>IF(Base!F80="","",Base!F80)</f>
        <v>HUGO SIMON  GONZALEZ  MUÑOZ</v>
      </c>
      <c r="C82" s="112" t="str">
        <f>IF(Base!I80="","",Base!I80)</f>
        <v>Linea 3</v>
      </c>
      <c r="D82" s="113" t="str">
        <f>IF(Base!J80="","",Base!J80)</f>
        <v>Embalador</v>
      </c>
      <c r="E82" s="112">
        <f>IF(Base!H80="","",Base!H80)</f>
        <v>1050556</v>
      </c>
      <c r="J82" s="122">
        <v>72</v>
      </c>
      <c r="K82" s="123"/>
      <c r="L82" s="124" t="str">
        <f t="shared" si="14"/>
        <v/>
      </c>
      <c r="M82" s="124" t="str">
        <f t="shared" si="15"/>
        <v/>
      </c>
      <c r="N82" s="125" t="str">
        <f t="shared" si="16"/>
        <v/>
      </c>
      <c r="O82" s="125" t="str">
        <f t="shared" si="17"/>
        <v/>
      </c>
      <c r="P82" s="126"/>
      <c r="Q82" s="132"/>
      <c r="R82" s="132"/>
      <c r="S82" s="132"/>
      <c r="T82" s="132"/>
      <c r="U82" s="132"/>
      <c r="V82" s="132"/>
      <c r="W82" s="132"/>
      <c r="X82" s="132"/>
      <c r="Y82" s="132"/>
      <c r="Z82" s="132"/>
      <c r="AA82" s="132"/>
      <c r="AB82" s="132"/>
      <c r="AC82" s="132"/>
      <c r="AD82" s="132"/>
      <c r="AE82" s="129">
        <f t="shared" si="13"/>
        <v>0</v>
      </c>
      <c r="AF82" s="129">
        <f t="shared" si="13"/>
        <v>0</v>
      </c>
      <c r="AG82" s="130"/>
      <c r="AH82" s="131">
        <f t="shared" si="18"/>
        <v>0</v>
      </c>
    </row>
    <row r="83" spans="1:34" ht="13.5">
      <c r="A83" s="112" t="str">
        <f>IF(Base!B81="","",Base!B81)</f>
        <v>05.921.603-1</v>
      </c>
      <c r="B83" s="112" t="str">
        <f>IF(Base!F81="","",Base!F81)</f>
        <v>JUAN MANUEL  GUERRERO  MONTANO</v>
      </c>
      <c r="C83" s="112" t="str">
        <f>IF(Base!I81="","",Base!I81)</f>
        <v>Aseo</v>
      </c>
      <c r="D83" s="113" t="str">
        <f>IF(Base!J81="","",Base!J81)</f>
        <v>Aseo</v>
      </c>
      <c r="E83" s="112">
        <f>IF(Base!H81="","",Base!H81)</f>
        <v>1050632</v>
      </c>
      <c r="J83" s="122">
        <v>73</v>
      </c>
      <c r="K83" s="123"/>
      <c r="L83" s="124" t="str">
        <f t="shared" si="14"/>
        <v/>
      </c>
      <c r="M83" s="124" t="str">
        <f t="shared" si="15"/>
        <v/>
      </c>
      <c r="N83" s="125" t="str">
        <f t="shared" si="16"/>
        <v/>
      </c>
      <c r="O83" s="125" t="str">
        <f t="shared" si="17"/>
        <v/>
      </c>
      <c r="P83" s="126"/>
      <c r="Q83" s="132"/>
      <c r="R83" s="122"/>
      <c r="S83" s="132"/>
      <c r="T83" s="122"/>
      <c r="U83" s="132"/>
      <c r="V83" s="122"/>
      <c r="W83" s="132"/>
      <c r="X83" s="122"/>
      <c r="Y83" s="132"/>
      <c r="Z83" s="122"/>
      <c r="AA83" s="132"/>
      <c r="AB83" s="122"/>
      <c r="AC83" s="132"/>
      <c r="AD83" s="122"/>
      <c r="AE83" s="129">
        <f t="shared" si="13"/>
        <v>0</v>
      </c>
      <c r="AF83" s="129">
        <f t="shared" si="13"/>
        <v>0</v>
      </c>
      <c r="AG83" s="130"/>
      <c r="AH83" s="131">
        <f t="shared" si="18"/>
        <v>0</v>
      </c>
    </row>
    <row r="84" spans="1:34" ht="13.5">
      <c r="A84" s="112" t="str">
        <f>IF(Base!B82="","",Base!B82)</f>
        <v>09.748.915-7</v>
      </c>
      <c r="B84" s="112" t="str">
        <f>IF(Base!F82="","",Base!F82)</f>
        <v>VICTOR MANUEL  HENRIQUEZ  FLORES</v>
      </c>
      <c r="C84" s="112" t="str">
        <f>IF(Base!I82="","",Base!I82)</f>
        <v>Abastecimiento</v>
      </c>
      <c r="D84" s="113" t="str">
        <f>IF(Base!J82="","",Base!J82)</f>
        <v>Control Inventario I</v>
      </c>
      <c r="E84" s="112">
        <f>IF(Base!H82="","",Base!H82)</f>
        <v>1050161</v>
      </c>
      <c r="J84" s="122">
        <v>74</v>
      </c>
      <c r="K84" s="123"/>
      <c r="L84" s="124" t="str">
        <f t="shared" si="14"/>
        <v/>
      </c>
      <c r="M84" s="124" t="str">
        <f t="shared" si="15"/>
        <v/>
      </c>
      <c r="N84" s="125" t="str">
        <f t="shared" si="16"/>
        <v/>
      </c>
      <c r="O84" s="125" t="str">
        <f t="shared" si="17"/>
        <v/>
      </c>
      <c r="P84" s="126"/>
      <c r="Q84" s="132"/>
      <c r="R84" s="122"/>
      <c r="S84" s="132"/>
      <c r="T84" s="122"/>
      <c r="U84" s="132"/>
      <c r="V84" s="122"/>
      <c r="W84" s="132"/>
      <c r="X84" s="122"/>
      <c r="Y84" s="132"/>
      <c r="Z84" s="122"/>
      <c r="AA84" s="132"/>
      <c r="AB84" s="122"/>
      <c r="AC84" s="132"/>
      <c r="AD84" s="122"/>
      <c r="AE84" s="129">
        <f t="shared" si="13"/>
        <v>0</v>
      </c>
      <c r="AF84" s="129">
        <f t="shared" si="13"/>
        <v>0</v>
      </c>
      <c r="AG84" s="130"/>
      <c r="AH84" s="131">
        <f t="shared" si="18"/>
        <v>0</v>
      </c>
    </row>
    <row r="85" spans="1:34" ht="13.5">
      <c r="A85" s="112" t="str">
        <f>IF(Base!B83="","",Base!B83)</f>
        <v>09.989.723-6</v>
      </c>
      <c r="B85" s="112" t="str">
        <f>IF(Base!F83="","",Base!F83)</f>
        <v>FRANKLIN LEONEL  HERNANDEZ  CESPEDES</v>
      </c>
      <c r="C85" s="112" t="str">
        <f>IF(Base!I83="","",Base!I83)</f>
        <v>Abastecimiento</v>
      </c>
      <c r="D85" s="113" t="str">
        <f>IF(Base!J83="","",Base!J83)</f>
        <v>Control Ingresos Cen</v>
      </c>
      <c r="E85" s="112">
        <f>IF(Base!H83="","",Base!H83)</f>
        <v>1050126</v>
      </c>
      <c r="J85" s="122">
        <v>75</v>
      </c>
      <c r="K85" s="123"/>
      <c r="L85" s="124" t="str">
        <f t="shared" si="14"/>
        <v/>
      </c>
      <c r="M85" s="124" t="str">
        <f t="shared" si="15"/>
        <v/>
      </c>
      <c r="N85" s="125" t="str">
        <f t="shared" si="16"/>
        <v/>
      </c>
      <c r="O85" s="125" t="str">
        <f t="shared" si="17"/>
        <v/>
      </c>
      <c r="P85" s="126"/>
      <c r="Q85" s="132"/>
      <c r="R85" s="122"/>
      <c r="S85" s="132"/>
      <c r="T85" s="122"/>
      <c r="U85" s="132"/>
      <c r="V85" s="122"/>
      <c r="W85" s="132"/>
      <c r="X85" s="122"/>
      <c r="Y85" s="132"/>
      <c r="Z85" s="122"/>
      <c r="AA85" s="132"/>
      <c r="AB85" s="122"/>
      <c r="AC85" s="132"/>
      <c r="AD85" s="122"/>
      <c r="AE85" s="129">
        <f t="shared" si="13"/>
        <v>0</v>
      </c>
      <c r="AF85" s="129">
        <f t="shared" si="13"/>
        <v>0</v>
      </c>
      <c r="AG85" s="130"/>
      <c r="AH85" s="131">
        <f t="shared" si="18"/>
        <v>0</v>
      </c>
    </row>
    <row r="86" spans="1:34" ht="13.5">
      <c r="A86" s="112" t="str">
        <f>IF(Base!B84="","",Base!B84)</f>
        <v>10.199.755-3</v>
      </c>
      <c r="B86" s="112" t="str">
        <f>IF(Base!F84="","",Base!F84)</f>
        <v>QUINTIN ROBERTO  HERNANDEZ  GONZALEZ</v>
      </c>
      <c r="C86" s="112" t="str">
        <f>IF(Base!I84="","",Base!I84)</f>
        <v>Abastecimiento</v>
      </c>
      <c r="D86" s="113" t="str">
        <f>IF(Base!J84="","",Base!J84)</f>
        <v>Suministro de Líneas</v>
      </c>
      <c r="E86" s="112">
        <f>IF(Base!H84="","",Base!H84)</f>
        <v>1050633</v>
      </c>
      <c r="J86" s="122">
        <v>76</v>
      </c>
      <c r="K86" s="123"/>
      <c r="L86" s="124" t="str">
        <f t="shared" si="14"/>
        <v/>
      </c>
      <c r="M86" s="124" t="str">
        <f t="shared" si="15"/>
        <v/>
      </c>
      <c r="N86" s="125" t="str">
        <f t="shared" si="16"/>
        <v/>
      </c>
      <c r="O86" s="125" t="str">
        <f t="shared" si="17"/>
        <v/>
      </c>
      <c r="P86" s="126"/>
      <c r="Q86" s="132"/>
      <c r="R86" s="132"/>
      <c r="S86" s="132"/>
      <c r="T86" s="132"/>
      <c r="U86" s="132"/>
      <c r="V86" s="132"/>
      <c r="W86" s="132"/>
      <c r="X86" s="132"/>
      <c r="Y86" s="132"/>
      <c r="Z86" s="132"/>
      <c r="AA86" s="132"/>
      <c r="AB86" s="132"/>
      <c r="AC86" s="132"/>
      <c r="AD86" s="132"/>
      <c r="AE86" s="129">
        <f t="shared" si="13"/>
        <v>0</v>
      </c>
      <c r="AF86" s="129">
        <f t="shared" si="13"/>
        <v>0</v>
      </c>
      <c r="AG86" s="130"/>
      <c r="AH86" s="131">
        <f t="shared" si="18"/>
        <v>0</v>
      </c>
    </row>
    <row r="87" spans="1:34" ht="13.5">
      <c r="A87" s="112" t="str">
        <f>IF(Base!B85="","",Base!B85)</f>
        <v>14.336.364-3</v>
      </c>
      <c r="B87" s="112" t="str">
        <f>IF(Base!F85="","",Base!F85)</f>
        <v>ARIEL A.  HERRERA  PALMA</v>
      </c>
      <c r="C87" s="112" t="str">
        <f>IF(Base!I85="","",Base!I85)</f>
        <v>Monitor Etiquetado</v>
      </c>
      <c r="D87" s="113" t="str">
        <f>IF(Base!J85="","",Base!J85)</f>
        <v>Monitor Etiquetado</v>
      </c>
      <c r="E87" s="112">
        <f>IF(Base!H85="","",Base!H85)</f>
        <v>1050604</v>
      </c>
      <c r="J87" s="122">
        <v>77</v>
      </c>
      <c r="K87" s="123"/>
      <c r="L87" s="124" t="str">
        <f t="shared" si="14"/>
        <v/>
      </c>
      <c r="M87" s="124" t="str">
        <f t="shared" si="15"/>
        <v/>
      </c>
      <c r="N87" s="125" t="str">
        <f t="shared" si="16"/>
        <v/>
      </c>
      <c r="O87" s="125" t="str">
        <f t="shared" si="17"/>
        <v/>
      </c>
      <c r="P87" s="126"/>
      <c r="Q87" s="132"/>
      <c r="R87" s="132"/>
      <c r="S87" s="132"/>
      <c r="T87" s="132"/>
      <c r="U87" s="132"/>
      <c r="V87" s="132"/>
      <c r="W87" s="132"/>
      <c r="X87" s="132"/>
      <c r="Y87" s="132"/>
      <c r="Z87" s="132"/>
      <c r="AA87" s="132"/>
      <c r="AB87" s="132"/>
      <c r="AC87" s="132"/>
      <c r="AD87" s="132"/>
      <c r="AE87" s="129">
        <f t="shared" si="13"/>
        <v>0</v>
      </c>
      <c r="AF87" s="129">
        <f t="shared" si="13"/>
        <v>0</v>
      </c>
      <c r="AG87" s="130"/>
      <c r="AH87" s="131">
        <f t="shared" si="18"/>
        <v>0</v>
      </c>
    </row>
    <row r="88" spans="1:34" ht="13.5">
      <c r="A88" s="112" t="str">
        <f>IF(Base!B86="","",Base!B86)</f>
        <v>9.905.897-8</v>
      </c>
      <c r="B88" s="112" t="str">
        <f>IF(Base!F86="","",Base!F86)</f>
        <v xml:space="preserve">JUAN PABLO  HERREROS   INFANTE </v>
      </c>
      <c r="C88" s="112" t="str">
        <f>IF(Base!I86="","",Base!I86)</f>
        <v>Envasado</v>
      </c>
      <c r="D88" s="113" t="str">
        <f>IF(Base!J86="","",Base!J86)</f>
        <v>Subgerente de Envasado</v>
      </c>
      <c r="E88" s="112">
        <f>IF(Base!H86="","",Base!H86)</f>
        <v>1050502</v>
      </c>
      <c r="J88" s="122">
        <v>78</v>
      </c>
      <c r="K88" s="123"/>
      <c r="L88" s="124" t="str">
        <f t="shared" si="14"/>
        <v/>
      </c>
      <c r="M88" s="124" t="str">
        <f t="shared" si="15"/>
        <v/>
      </c>
      <c r="N88" s="125" t="str">
        <f t="shared" si="16"/>
        <v/>
      </c>
      <c r="O88" s="125" t="str">
        <f t="shared" si="17"/>
        <v/>
      </c>
      <c r="P88" s="126"/>
      <c r="Q88" s="132"/>
      <c r="R88" s="122"/>
      <c r="S88" s="132"/>
      <c r="T88" s="122"/>
      <c r="U88" s="132"/>
      <c r="V88" s="122"/>
      <c r="W88" s="132"/>
      <c r="X88" s="122"/>
      <c r="Y88" s="132"/>
      <c r="Z88" s="122"/>
      <c r="AA88" s="132"/>
      <c r="AB88" s="122"/>
      <c r="AC88" s="132"/>
      <c r="AD88" s="122"/>
      <c r="AE88" s="129">
        <f t="shared" si="13"/>
        <v>0</v>
      </c>
      <c r="AF88" s="129">
        <f t="shared" si="13"/>
        <v>0</v>
      </c>
      <c r="AG88" s="130"/>
      <c r="AH88" s="131">
        <f t="shared" si="18"/>
        <v>0</v>
      </c>
    </row>
    <row r="89" spans="1:34" ht="13.5">
      <c r="A89" s="112" t="str">
        <f>IF(Base!B87="","",Base!B87)</f>
        <v>11.656.057-7</v>
      </c>
      <c r="B89" s="112" t="str">
        <f>IF(Base!F87="","",Base!F87)</f>
        <v>PAOLO CESAR  IBAÑEZ  GRANIFO</v>
      </c>
      <c r="C89" s="112" t="str">
        <f>IF(Base!I87="","",Base!I87)</f>
        <v>Abastecimiento</v>
      </c>
      <c r="D89" s="113" t="str">
        <f>IF(Base!J87="","",Base!J87)</f>
        <v>Preparación de Insum</v>
      </c>
      <c r="E89" s="112">
        <f>IF(Base!H87="","",Base!H87)</f>
        <v>1050127</v>
      </c>
      <c r="J89" s="122">
        <v>79</v>
      </c>
      <c r="K89" s="123"/>
      <c r="L89" s="124" t="str">
        <f t="shared" si="14"/>
        <v/>
      </c>
      <c r="M89" s="124" t="str">
        <f t="shared" si="15"/>
        <v/>
      </c>
      <c r="N89" s="125" t="str">
        <f t="shared" si="16"/>
        <v/>
      </c>
      <c r="O89" s="125" t="str">
        <f t="shared" si="17"/>
        <v/>
      </c>
      <c r="P89" s="126"/>
      <c r="Q89" s="132"/>
      <c r="R89" s="122"/>
      <c r="S89" s="132"/>
      <c r="T89" s="122"/>
      <c r="U89" s="132"/>
      <c r="V89" s="122"/>
      <c r="W89" s="132"/>
      <c r="X89" s="122"/>
      <c r="Y89" s="132"/>
      <c r="Z89" s="122"/>
      <c r="AA89" s="132"/>
      <c r="AB89" s="122"/>
      <c r="AC89" s="132"/>
      <c r="AD89" s="122"/>
      <c r="AE89" s="129">
        <f t="shared" si="13"/>
        <v>0</v>
      </c>
      <c r="AF89" s="129">
        <f t="shared" si="13"/>
        <v>0</v>
      </c>
      <c r="AG89" s="130"/>
      <c r="AH89" s="131">
        <f t="shared" si="18"/>
        <v>0</v>
      </c>
    </row>
    <row r="90" spans="1:34" ht="13.5">
      <c r="A90" s="112" t="str">
        <f>IF(Base!B88="","",Base!B88)</f>
        <v>13.897.327-1</v>
      </c>
      <c r="B90" s="112" t="str">
        <f>IF(Base!F88="","",Base!F88)</f>
        <v>DANIEL NEFTALI  ITURRIAGA  ORELLANA</v>
      </c>
      <c r="C90" s="112" t="str">
        <f>IF(Base!I88="","",Base!I88)</f>
        <v>Control y Gestión</v>
      </c>
      <c r="D90" s="113" t="str">
        <f>IF(Base!J88="","",Base!J88)</f>
        <v>Inspector tiempo</v>
      </c>
      <c r="E90" s="112">
        <f>IF(Base!H88="","",Base!H88)</f>
        <v>1050632</v>
      </c>
      <c r="J90" s="122">
        <v>80</v>
      </c>
      <c r="K90" s="123"/>
      <c r="L90" s="124" t="str">
        <f t="shared" si="14"/>
        <v/>
      </c>
      <c r="M90" s="124" t="str">
        <f t="shared" si="15"/>
        <v/>
      </c>
      <c r="N90" s="125" t="str">
        <f t="shared" si="16"/>
        <v/>
      </c>
      <c r="O90" s="125" t="str">
        <f t="shared" si="17"/>
        <v/>
      </c>
      <c r="P90" s="126"/>
      <c r="Q90" s="132"/>
      <c r="R90" s="122"/>
      <c r="S90" s="132"/>
      <c r="T90" s="122"/>
      <c r="U90" s="132"/>
      <c r="V90" s="122"/>
      <c r="W90" s="132"/>
      <c r="X90" s="122"/>
      <c r="Y90" s="132"/>
      <c r="Z90" s="122"/>
      <c r="AA90" s="132"/>
      <c r="AB90" s="122"/>
      <c r="AC90" s="132"/>
      <c r="AD90" s="122"/>
      <c r="AE90" s="129">
        <f t="shared" si="13"/>
        <v>0</v>
      </c>
      <c r="AF90" s="129">
        <f t="shared" si="13"/>
        <v>0</v>
      </c>
      <c r="AG90" s="130"/>
      <c r="AH90" s="131">
        <f t="shared" si="18"/>
        <v>0</v>
      </c>
    </row>
    <row r="91" spans="1:34" ht="13.5">
      <c r="A91" s="112" t="str">
        <f>IF(Base!B89="","",Base!B89)</f>
        <v>15.899.732-0</v>
      </c>
      <c r="B91" s="112" t="str">
        <f>IF(Base!F89="","",Base!F89)</f>
        <v>ALEJANDRO ANDRES  JAQUE  VARGAS</v>
      </c>
      <c r="C91" s="112" t="str">
        <f>IF(Base!I89="","",Base!I89)</f>
        <v>Linea 3</v>
      </c>
      <c r="D91" s="113" t="str">
        <f>IF(Base!J89="","",Base!J89)</f>
        <v>Lavador externo</v>
      </c>
      <c r="E91" s="112">
        <f>IF(Base!H89="","",Base!H89)</f>
        <v>1050556</v>
      </c>
      <c r="J91" s="122">
        <v>81</v>
      </c>
      <c r="K91" s="123"/>
      <c r="L91" s="124" t="str">
        <f t="shared" si="14"/>
        <v/>
      </c>
      <c r="M91" s="124" t="str">
        <f t="shared" si="15"/>
        <v/>
      </c>
      <c r="N91" s="125" t="str">
        <f t="shared" si="16"/>
        <v/>
      </c>
      <c r="O91" s="125" t="str">
        <f t="shared" si="17"/>
        <v/>
      </c>
      <c r="P91" s="126"/>
      <c r="Q91" s="132"/>
      <c r="R91" s="132"/>
      <c r="S91" s="132"/>
      <c r="T91" s="132"/>
      <c r="U91" s="132"/>
      <c r="V91" s="132"/>
      <c r="W91" s="132"/>
      <c r="X91" s="132"/>
      <c r="Y91" s="132"/>
      <c r="Z91" s="132"/>
      <c r="AA91" s="132"/>
      <c r="AB91" s="132"/>
      <c r="AC91" s="132"/>
      <c r="AD91" s="132"/>
      <c r="AE91" s="129">
        <f t="shared" si="13"/>
        <v>0</v>
      </c>
      <c r="AF91" s="129">
        <f t="shared" si="13"/>
        <v>0</v>
      </c>
      <c r="AG91" s="130"/>
      <c r="AH91" s="131">
        <f t="shared" si="18"/>
        <v>0</v>
      </c>
    </row>
    <row r="92" spans="1:34" ht="13.5">
      <c r="A92" s="112" t="str">
        <f>IF(Base!B90="","",Base!B90)</f>
        <v>08.771.787-9</v>
      </c>
      <c r="B92" s="112" t="str">
        <f>IF(Base!F90="","",Base!F90)</f>
        <v>PABLO FLORENTINO  JIMENEZ  PAINECURA</v>
      </c>
      <c r="C92" s="112" t="str">
        <f>IF(Base!I90="","",Base!I90)</f>
        <v>Linea 3</v>
      </c>
      <c r="D92" s="113" t="str">
        <f>IF(Base!J90="","",Base!J90)</f>
        <v>Despalletizador</v>
      </c>
      <c r="E92" s="112">
        <f>IF(Base!H90="","",Base!H90)</f>
        <v>1050555</v>
      </c>
      <c r="J92" s="122">
        <v>82</v>
      </c>
      <c r="K92" s="123"/>
      <c r="L92" s="124" t="str">
        <f t="shared" si="14"/>
        <v/>
      </c>
      <c r="M92" s="124" t="str">
        <f t="shared" si="15"/>
        <v/>
      </c>
      <c r="N92" s="125" t="str">
        <f t="shared" si="16"/>
        <v/>
      </c>
      <c r="O92" s="125" t="str">
        <f t="shared" si="17"/>
        <v/>
      </c>
      <c r="P92" s="126"/>
      <c r="Q92" s="132"/>
      <c r="R92" s="132"/>
      <c r="S92" s="132"/>
      <c r="T92" s="132"/>
      <c r="U92" s="132"/>
      <c r="V92" s="132"/>
      <c r="W92" s="132"/>
      <c r="X92" s="132"/>
      <c r="Y92" s="132"/>
      <c r="Z92" s="132"/>
      <c r="AA92" s="132"/>
      <c r="AB92" s="132"/>
      <c r="AC92" s="132"/>
      <c r="AD92" s="132"/>
      <c r="AE92" s="129">
        <f t="shared" si="13"/>
        <v>0</v>
      </c>
      <c r="AF92" s="129">
        <f t="shared" si="13"/>
        <v>0</v>
      </c>
      <c r="AG92" s="130"/>
      <c r="AH92" s="131">
        <f t="shared" si="18"/>
        <v>0</v>
      </c>
    </row>
    <row r="93" spans="1:34" ht="13.5">
      <c r="A93" s="112" t="str">
        <f>IF(Base!B91="","",Base!B91)</f>
        <v>12.504.270-8</v>
      </c>
      <c r="B93" s="112" t="str">
        <f>IF(Base!F91="","",Base!F91)</f>
        <v>ROSEMARY  LAGOS  RUBIO</v>
      </c>
      <c r="C93" s="112" t="str">
        <f>IF(Base!I91="","",Base!I91)</f>
        <v>Linea 2</v>
      </c>
      <c r="D93" s="113" t="str">
        <f>IF(Base!J91="","",Base!J91)</f>
        <v>Inspector etiqueta</v>
      </c>
      <c r="E93" s="112">
        <f>IF(Base!H91="","",Base!H91)</f>
        <v>1050554</v>
      </c>
      <c r="J93" s="122">
        <v>83</v>
      </c>
      <c r="K93" s="123"/>
      <c r="L93" s="124" t="str">
        <f t="shared" si="14"/>
        <v/>
      </c>
      <c r="M93" s="124" t="str">
        <f t="shared" si="15"/>
        <v/>
      </c>
      <c r="N93" s="125" t="str">
        <f t="shared" si="16"/>
        <v/>
      </c>
      <c r="O93" s="125" t="str">
        <f t="shared" si="17"/>
        <v/>
      </c>
      <c r="P93" s="126"/>
      <c r="Q93" s="132"/>
      <c r="R93" s="122"/>
      <c r="S93" s="132"/>
      <c r="T93" s="122"/>
      <c r="U93" s="132"/>
      <c r="V93" s="122"/>
      <c r="W93" s="132"/>
      <c r="X93" s="122"/>
      <c r="Y93" s="132"/>
      <c r="Z93" s="122"/>
      <c r="AA93" s="132"/>
      <c r="AB93" s="122"/>
      <c r="AC93" s="132"/>
      <c r="AD93" s="122"/>
      <c r="AE93" s="129">
        <f t="shared" si="13"/>
        <v>0</v>
      </c>
      <c r="AF93" s="129">
        <f t="shared" si="13"/>
        <v>0</v>
      </c>
      <c r="AG93" s="130"/>
      <c r="AH93" s="131">
        <f t="shared" si="18"/>
        <v>0</v>
      </c>
    </row>
    <row r="94" spans="1:34" ht="13.5">
      <c r="A94" s="112" t="str">
        <f>IF(Base!B92="","",Base!B92)</f>
        <v>13.769.935-4</v>
      </c>
      <c r="B94" s="112" t="str">
        <f>IF(Base!F92="","",Base!F92)</f>
        <v>GONZALO  LEDESMA  ARRIAGADA</v>
      </c>
      <c r="C94" s="112" t="str">
        <f>IF(Base!I92="","",Base!I92)</f>
        <v>Control y Gestión</v>
      </c>
      <c r="D94" s="113" t="str">
        <f>IF(Base!J92="","",Base!J92)</f>
        <v>Analista  control</v>
      </c>
      <c r="E94" s="112">
        <f>IF(Base!H92="","",Base!H92)</f>
        <v>1050632</v>
      </c>
      <c r="J94" s="122">
        <v>84</v>
      </c>
      <c r="K94" s="123"/>
      <c r="L94" s="124" t="str">
        <f t="shared" si="14"/>
        <v/>
      </c>
      <c r="M94" s="124" t="str">
        <f t="shared" si="15"/>
        <v/>
      </c>
      <c r="N94" s="125" t="str">
        <f t="shared" si="16"/>
        <v/>
      </c>
      <c r="O94" s="125" t="str">
        <f t="shared" si="17"/>
        <v/>
      </c>
      <c r="P94" s="126"/>
      <c r="Q94" s="132"/>
      <c r="R94" s="122"/>
      <c r="S94" s="132"/>
      <c r="T94" s="122"/>
      <c r="U94" s="132"/>
      <c r="V94" s="122"/>
      <c r="W94" s="132"/>
      <c r="X94" s="122"/>
      <c r="Y94" s="132"/>
      <c r="Z94" s="122"/>
      <c r="AA94" s="132"/>
      <c r="AB94" s="122"/>
      <c r="AC94" s="132"/>
      <c r="AD94" s="122"/>
      <c r="AE94" s="129">
        <f t="shared" si="13"/>
        <v>0</v>
      </c>
      <c r="AF94" s="129">
        <f t="shared" si="13"/>
        <v>0</v>
      </c>
      <c r="AG94" s="130"/>
      <c r="AH94" s="131">
        <f t="shared" si="18"/>
        <v>0</v>
      </c>
    </row>
    <row r="95" spans="1:34" ht="13.5">
      <c r="A95" s="112" t="str">
        <f>IF(Base!B93="","",Base!B93)</f>
        <v>08.025.043-6</v>
      </c>
      <c r="B95" s="112" t="str">
        <f>IF(Base!F93="","",Base!F93)</f>
        <v>RAUL  LEIVA  CASTILLO</v>
      </c>
      <c r="C95" s="112" t="str">
        <f>IF(Base!I93="","",Base!I93)</f>
        <v>Linea 1</v>
      </c>
      <c r="D95" s="113" t="str">
        <f>IF(Base!J93="","",Base!J93)</f>
        <v>Llenador</v>
      </c>
      <c r="E95" s="112">
        <f>IF(Base!H93="","",Base!H93)</f>
        <v>1050551</v>
      </c>
      <c r="J95" s="122">
        <v>85</v>
      </c>
      <c r="K95" s="123"/>
      <c r="L95" s="124" t="str">
        <f t="shared" si="14"/>
        <v/>
      </c>
      <c r="M95" s="124" t="str">
        <f t="shared" si="15"/>
        <v/>
      </c>
      <c r="N95" s="125" t="str">
        <f t="shared" si="16"/>
        <v/>
      </c>
      <c r="O95" s="125" t="str">
        <f t="shared" si="17"/>
        <v/>
      </c>
      <c r="P95" s="126"/>
      <c r="Q95" s="132"/>
      <c r="R95" s="122"/>
      <c r="S95" s="132"/>
      <c r="T95" s="122"/>
      <c r="U95" s="132"/>
      <c r="V95" s="122"/>
      <c r="W95" s="132"/>
      <c r="X95" s="122"/>
      <c r="Y95" s="132"/>
      <c r="Z95" s="122"/>
      <c r="AA95" s="132"/>
      <c r="AB95" s="122"/>
      <c r="AC95" s="132"/>
      <c r="AD95" s="122"/>
      <c r="AE95" s="129">
        <f t="shared" si="13"/>
        <v>0</v>
      </c>
      <c r="AF95" s="129">
        <f t="shared" si="13"/>
        <v>0</v>
      </c>
      <c r="AG95" s="130"/>
      <c r="AH95" s="131">
        <f t="shared" si="18"/>
        <v>0</v>
      </c>
    </row>
    <row r="96" spans="1:34" ht="13.5">
      <c r="A96" s="112" t="str">
        <f>IF(Base!B94="","",Base!B94)</f>
        <v>10.970.380-K</v>
      </c>
      <c r="B96" s="112" t="str">
        <f>IF(Base!F94="","",Base!F94)</f>
        <v>JUAN ENRIQUE  LEIVA  MUÑOZ</v>
      </c>
      <c r="C96" s="112" t="str">
        <f>IF(Base!I94="","",Base!I94)</f>
        <v>Abastecimiento</v>
      </c>
      <c r="D96" s="113" t="str">
        <f>IF(Base!J94="","",Base!J94)</f>
        <v>Preparación de Insum</v>
      </c>
      <c r="E96" s="112">
        <f>IF(Base!H94="","",Base!H94)</f>
        <v>1050127</v>
      </c>
      <c r="J96" s="122">
        <v>86</v>
      </c>
      <c r="K96" s="123"/>
      <c r="L96" s="124" t="str">
        <f t="shared" si="14"/>
        <v/>
      </c>
      <c r="M96" s="124" t="str">
        <f t="shared" si="15"/>
        <v/>
      </c>
      <c r="N96" s="125" t="str">
        <f t="shared" si="16"/>
        <v/>
      </c>
      <c r="O96" s="125" t="str">
        <f t="shared" si="17"/>
        <v/>
      </c>
      <c r="P96" s="126"/>
      <c r="Q96" s="132"/>
      <c r="R96" s="132"/>
      <c r="S96" s="132"/>
      <c r="T96" s="132"/>
      <c r="U96" s="132"/>
      <c r="V96" s="132"/>
      <c r="W96" s="132"/>
      <c r="X96" s="132"/>
      <c r="Y96" s="132"/>
      <c r="Z96" s="132"/>
      <c r="AA96" s="132"/>
      <c r="AB96" s="132"/>
      <c r="AC96" s="132"/>
      <c r="AD96" s="132"/>
      <c r="AE96" s="129">
        <f t="shared" si="13"/>
        <v>0</v>
      </c>
      <c r="AF96" s="129">
        <f t="shared" si="13"/>
        <v>0</v>
      </c>
      <c r="AG96" s="130"/>
      <c r="AH96" s="131">
        <f t="shared" si="18"/>
        <v>0</v>
      </c>
    </row>
    <row r="97" spans="1:34" ht="13.5">
      <c r="A97" s="112" t="str">
        <f>IF(Base!B95="","",Base!B95)</f>
        <v>11.873.201-4</v>
      </c>
      <c r="B97" s="112" t="str">
        <f>IF(Base!F95="","",Base!F95)</f>
        <v>CARLOS  LEMUS  VELIZ</v>
      </c>
      <c r="C97" s="112" t="str">
        <f>IF(Base!I95="","",Base!I95)</f>
        <v>Abastecimiento</v>
      </c>
      <c r="D97" s="113" t="str">
        <f>IF(Base!J95="","",Base!J95)</f>
        <v>Preparación de Insum</v>
      </c>
      <c r="E97" s="112">
        <f>IF(Base!H95="","",Base!H95)</f>
        <v>1050127</v>
      </c>
      <c r="J97" s="122">
        <v>87</v>
      </c>
      <c r="K97" s="123"/>
      <c r="L97" s="124" t="str">
        <f t="shared" si="14"/>
        <v/>
      </c>
      <c r="M97" s="124" t="str">
        <f t="shared" si="15"/>
        <v/>
      </c>
      <c r="N97" s="125" t="str">
        <f t="shared" si="16"/>
        <v/>
      </c>
      <c r="O97" s="125" t="str">
        <f t="shared" si="17"/>
        <v/>
      </c>
      <c r="P97" s="126"/>
      <c r="Q97" s="132"/>
      <c r="R97" s="132"/>
      <c r="S97" s="132"/>
      <c r="T97" s="132"/>
      <c r="U97" s="132"/>
      <c r="V97" s="132"/>
      <c r="W97" s="132"/>
      <c r="X97" s="132"/>
      <c r="Y97" s="132"/>
      <c r="Z97" s="132"/>
      <c r="AA97" s="132"/>
      <c r="AB97" s="132"/>
      <c r="AC97" s="132"/>
      <c r="AD97" s="132"/>
      <c r="AE97" s="129">
        <f t="shared" si="13"/>
        <v>0</v>
      </c>
      <c r="AF97" s="129">
        <f t="shared" si="13"/>
        <v>0</v>
      </c>
      <c r="AG97" s="130"/>
      <c r="AH97" s="131">
        <f t="shared" si="18"/>
        <v>0</v>
      </c>
    </row>
    <row r="98" spans="1:34" ht="13.5">
      <c r="A98" s="112" t="str">
        <f>IF(Base!B96="","",Base!B96)</f>
        <v>09.878.189-7</v>
      </c>
      <c r="B98" s="112" t="str">
        <f>IF(Base!F96="","",Base!F96)</f>
        <v>GUILLERMO  LEON  GALVEZ</v>
      </c>
      <c r="C98" s="112" t="str">
        <f>IF(Base!I96="","",Base!I96)</f>
        <v>Linea 3</v>
      </c>
      <c r="D98" s="113" t="str">
        <f>IF(Base!J96="","",Base!J96)</f>
        <v>Lavador externo</v>
      </c>
      <c r="E98" s="112">
        <f>IF(Base!H96="","",Base!H96)</f>
        <v>1050556</v>
      </c>
      <c r="J98" s="122">
        <v>88</v>
      </c>
      <c r="K98" s="123"/>
      <c r="L98" s="124" t="str">
        <f t="shared" si="14"/>
        <v/>
      </c>
      <c r="M98" s="124" t="str">
        <f t="shared" si="15"/>
        <v/>
      </c>
      <c r="N98" s="125" t="str">
        <f t="shared" si="16"/>
        <v/>
      </c>
      <c r="O98" s="125" t="str">
        <f t="shared" si="17"/>
        <v/>
      </c>
      <c r="P98" s="126"/>
      <c r="Q98" s="132"/>
      <c r="R98" s="122"/>
      <c r="S98" s="132"/>
      <c r="T98" s="122"/>
      <c r="U98" s="132"/>
      <c r="V98" s="122"/>
      <c r="W98" s="132"/>
      <c r="X98" s="122"/>
      <c r="Y98" s="132"/>
      <c r="Z98" s="122"/>
      <c r="AA98" s="132"/>
      <c r="AB98" s="122"/>
      <c r="AC98" s="132"/>
      <c r="AD98" s="122"/>
      <c r="AE98" s="129">
        <f t="shared" si="13"/>
        <v>0</v>
      </c>
      <c r="AF98" s="129">
        <f t="shared" si="13"/>
        <v>0</v>
      </c>
      <c r="AG98" s="130"/>
      <c r="AH98" s="131">
        <f t="shared" si="18"/>
        <v>0</v>
      </c>
    </row>
    <row r="99" spans="1:34" ht="13.5">
      <c r="A99" s="112" t="str">
        <f>IF(Base!B97="","",Base!B97)</f>
        <v>09.253.701-3</v>
      </c>
      <c r="B99" s="112" t="str">
        <f>IF(Base!F97="","",Base!F97)</f>
        <v>JOSE FRANCISCO  LEON  NUÑEZ</v>
      </c>
      <c r="C99" s="112" t="str">
        <f>IF(Base!I97="","",Base!I97)</f>
        <v>Linea 7</v>
      </c>
      <c r="D99" s="113" t="str">
        <f>IF(Base!J97="","",Base!J97)</f>
        <v>Llenador</v>
      </c>
      <c r="E99" s="112">
        <f>IF(Base!H97="","",Base!H97)</f>
        <v>1050615</v>
      </c>
      <c r="J99" s="122">
        <v>89</v>
      </c>
      <c r="K99" s="123"/>
      <c r="L99" s="124" t="str">
        <f t="shared" si="14"/>
        <v/>
      </c>
      <c r="M99" s="124" t="str">
        <f t="shared" si="15"/>
        <v/>
      </c>
      <c r="N99" s="125" t="str">
        <f t="shared" si="16"/>
        <v/>
      </c>
      <c r="O99" s="125" t="str">
        <f t="shared" si="17"/>
        <v/>
      </c>
      <c r="P99" s="126"/>
      <c r="Q99" s="132"/>
      <c r="R99" s="122"/>
      <c r="S99" s="132"/>
      <c r="T99" s="122"/>
      <c r="U99" s="132"/>
      <c r="V99" s="122"/>
      <c r="W99" s="132"/>
      <c r="X99" s="122"/>
      <c r="Y99" s="132"/>
      <c r="Z99" s="122"/>
      <c r="AA99" s="132"/>
      <c r="AB99" s="122"/>
      <c r="AC99" s="132"/>
      <c r="AD99" s="122"/>
      <c r="AE99" s="129">
        <f t="shared" si="13"/>
        <v>0</v>
      </c>
      <c r="AF99" s="129">
        <f t="shared" si="13"/>
        <v>0</v>
      </c>
      <c r="AG99" s="130"/>
      <c r="AH99" s="131">
        <f t="shared" si="18"/>
        <v>0</v>
      </c>
    </row>
    <row r="100" spans="1:34" ht="13.5">
      <c r="A100" s="112" t="str">
        <f>IF(Base!B98="","",Base!B98)</f>
        <v>14.151.454-7</v>
      </c>
      <c r="B100" s="112" t="str">
        <f>IF(Base!F98="","",Base!F98)</f>
        <v>RODRIGO ESTEBAN  LOPEZ  CERVERA</v>
      </c>
      <c r="C100" s="112" t="str">
        <f>IF(Base!I98="","",Base!I98)</f>
        <v>Supervisor</v>
      </c>
      <c r="D100" s="113" t="str">
        <f>IF(Base!J98="","",Base!J98)</f>
        <v>Supervisor</v>
      </c>
      <c r="E100" s="112">
        <f>IF(Base!H98="","",Base!H98)</f>
        <v>1050603</v>
      </c>
      <c r="J100" s="122">
        <v>90</v>
      </c>
      <c r="K100" s="123"/>
      <c r="L100" s="124" t="str">
        <f t="shared" si="14"/>
        <v/>
      </c>
      <c r="M100" s="124" t="str">
        <f t="shared" si="15"/>
        <v/>
      </c>
      <c r="N100" s="125" t="str">
        <f t="shared" si="16"/>
        <v/>
      </c>
      <c r="O100" s="125" t="str">
        <f t="shared" si="17"/>
        <v/>
      </c>
      <c r="P100" s="126"/>
      <c r="Q100" s="132"/>
      <c r="R100" s="122"/>
      <c r="S100" s="132"/>
      <c r="T100" s="122"/>
      <c r="U100" s="132"/>
      <c r="V100" s="122"/>
      <c r="W100" s="132"/>
      <c r="X100" s="122"/>
      <c r="Y100" s="132"/>
      <c r="Z100" s="122"/>
      <c r="AA100" s="132"/>
      <c r="AB100" s="122"/>
      <c r="AC100" s="132"/>
      <c r="AD100" s="122"/>
      <c r="AE100" s="129">
        <f t="shared" si="13"/>
        <v>0</v>
      </c>
      <c r="AF100" s="129">
        <f t="shared" si="13"/>
        <v>0</v>
      </c>
      <c r="AG100" s="130"/>
      <c r="AH100" s="131">
        <f t="shared" si="18"/>
        <v>0</v>
      </c>
    </row>
    <row r="101" spans="1:34" ht="13.5">
      <c r="A101" s="112" t="str">
        <f>IF(Base!B99="","",Base!B99)</f>
        <v>10.869.222-7</v>
      </c>
      <c r="B101" s="112" t="str">
        <f>IF(Base!F99="","",Base!F99)</f>
        <v>MARCO ANTONIO  MADRID  PINTO</v>
      </c>
      <c r="C101" s="112" t="str">
        <f>IF(Base!I99="","",Base!I99)</f>
        <v>Abastecimiento</v>
      </c>
      <c r="D101" s="113" t="str">
        <f>IF(Base!J99="","",Base!J99)</f>
        <v>Preparación de Insum</v>
      </c>
      <c r="E101" s="112">
        <f>IF(Base!H99="","",Base!H99)</f>
        <v>1050127</v>
      </c>
      <c r="J101" s="122">
        <v>91</v>
      </c>
      <c r="K101" s="123"/>
      <c r="L101" s="124" t="str">
        <f t="shared" si="14"/>
        <v/>
      </c>
      <c r="M101" s="124" t="str">
        <f t="shared" si="15"/>
        <v/>
      </c>
      <c r="N101" s="125" t="str">
        <f t="shared" si="16"/>
        <v/>
      </c>
      <c r="O101" s="125" t="str">
        <f t="shared" si="17"/>
        <v/>
      </c>
      <c r="P101" s="126"/>
      <c r="Q101" s="132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  <c r="AC101" s="132"/>
      <c r="AD101" s="132"/>
      <c r="AE101" s="129">
        <f t="shared" si="13"/>
        <v>0</v>
      </c>
      <c r="AF101" s="129">
        <f t="shared" si="13"/>
        <v>0</v>
      </c>
      <c r="AG101" s="130"/>
      <c r="AH101" s="131">
        <f t="shared" si="18"/>
        <v>0</v>
      </c>
    </row>
    <row r="102" spans="1:34" ht="13.5">
      <c r="A102" s="112" t="str">
        <f>IF(Base!B100="","",Base!B100)</f>
        <v>11.306.351-3</v>
      </c>
      <c r="B102" s="112" t="str">
        <f>IF(Base!F100="","",Base!F100)</f>
        <v>RUBEN MARCO  MANQUIAN  NORIEGA</v>
      </c>
      <c r="C102" s="112" t="str">
        <f>IF(Base!I100="","",Base!I100)</f>
        <v>Abastecimiento</v>
      </c>
      <c r="D102" s="113" t="str">
        <f>IF(Base!J100="","",Base!J100)</f>
        <v>Control Ingresos Cen</v>
      </c>
      <c r="E102" s="112">
        <f>IF(Base!H100="","",Base!H100)</f>
        <v>1050126</v>
      </c>
      <c r="J102" s="122">
        <v>92</v>
      </c>
      <c r="K102" s="123"/>
      <c r="L102" s="124" t="str">
        <f t="shared" si="14"/>
        <v/>
      </c>
      <c r="M102" s="124" t="str">
        <f t="shared" si="15"/>
        <v/>
      </c>
      <c r="N102" s="125" t="str">
        <f t="shared" si="16"/>
        <v/>
      </c>
      <c r="O102" s="125" t="str">
        <f t="shared" si="17"/>
        <v/>
      </c>
      <c r="P102" s="126"/>
      <c r="Q102" s="132"/>
      <c r="R102" s="132"/>
      <c r="S102" s="132"/>
      <c r="T102" s="132"/>
      <c r="U102" s="132"/>
      <c r="V102" s="132"/>
      <c r="W102" s="132"/>
      <c r="X102" s="132"/>
      <c r="Y102" s="132"/>
      <c r="Z102" s="132"/>
      <c r="AA102" s="132"/>
      <c r="AB102" s="132"/>
      <c r="AC102" s="132"/>
      <c r="AD102" s="132"/>
      <c r="AE102" s="129">
        <f t="shared" si="13"/>
        <v>0</v>
      </c>
      <c r="AF102" s="129">
        <f t="shared" si="13"/>
        <v>0</v>
      </c>
      <c r="AG102" s="130"/>
      <c r="AH102" s="131">
        <f t="shared" si="18"/>
        <v>0</v>
      </c>
    </row>
    <row r="103" spans="1:34" ht="13.5">
      <c r="A103" s="112" t="str">
        <f>IF(Base!B101="","",Base!B101)</f>
        <v>12.740.284-1</v>
      </c>
      <c r="B103" s="112" t="str">
        <f>IF(Base!F101="","",Base!F101)</f>
        <v>JUAN CARLOS  MARCHANT  RAMIREZ</v>
      </c>
      <c r="C103" s="112" t="str">
        <f>IF(Base!I101="","",Base!I101)</f>
        <v>Linea 3</v>
      </c>
      <c r="D103" s="113" t="str">
        <f>IF(Base!J101="","",Base!J101)</f>
        <v>Embalador</v>
      </c>
      <c r="E103" s="112">
        <f>IF(Base!H101="","",Base!H101)</f>
        <v>1050556</v>
      </c>
      <c r="J103" s="122">
        <v>93</v>
      </c>
      <c r="K103" s="123"/>
      <c r="L103" s="124" t="str">
        <f t="shared" si="14"/>
        <v/>
      </c>
      <c r="M103" s="124" t="str">
        <f t="shared" si="15"/>
        <v/>
      </c>
      <c r="N103" s="125" t="str">
        <f t="shared" si="16"/>
        <v/>
      </c>
      <c r="O103" s="125" t="str">
        <f t="shared" si="17"/>
        <v/>
      </c>
      <c r="P103" s="126"/>
      <c r="Q103" s="132"/>
      <c r="R103" s="122"/>
      <c r="S103" s="132"/>
      <c r="T103" s="122"/>
      <c r="U103" s="132"/>
      <c r="V103" s="122"/>
      <c r="W103" s="132"/>
      <c r="X103" s="122"/>
      <c r="Y103" s="132"/>
      <c r="Z103" s="122"/>
      <c r="AA103" s="132"/>
      <c r="AB103" s="122"/>
      <c r="AC103" s="132"/>
      <c r="AD103" s="122"/>
      <c r="AE103" s="129">
        <f t="shared" si="13"/>
        <v>0</v>
      </c>
      <c r="AF103" s="129">
        <f t="shared" si="13"/>
        <v>0</v>
      </c>
      <c r="AG103" s="130"/>
      <c r="AH103" s="131">
        <f t="shared" si="18"/>
        <v>0</v>
      </c>
    </row>
    <row r="104" spans="1:34" ht="13.5">
      <c r="A104" s="112" t="str">
        <f>IF(Base!B102="","",Base!B102)</f>
        <v>11.370.436-5</v>
      </c>
      <c r="B104" s="112" t="str">
        <f>IF(Base!F102="","",Base!F102)</f>
        <v>LUIS HUMBERTO  MARDONES  ALVARADO</v>
      </c>
      <c r="C104" s="112" t="str">
        <f>IF(Base!I102="","",Base!I102)</f>
        <v>Abastecimiento</v>
      </c>
      <c r="D104" s="113" t="str">
        <f>IF(Base!J102="","",Base!J102)</f>
        <v>Suministro de Líneas</v>
      </c>
      <c r="E104" s="112">
        <f>IF(Base!H102="","",Base!H102)</f>
        <v>1050633</v>
      </c>
      <c r="J104" s="122">
        <v>94</v>
      </c>
      <c r="K104" s="123"/>
      <c r="L104" s="124" t="str">
        <f t="shared" si="14"/>
        <v/>
      </c>
      <c r="M104" s="124" t="str">
        <f t="shared" si="15"/>
        <v/>
      </c>
      <c r="N104" s="125" t="str">
        <f t="shared" si="16"/>
        <v/>
      </c>
      <c r="O104" s="125" t="str">
        <f t="shared" si="17"/>
        <v/>
      </c>
      <c r="P104" s="126"/>
      <c r="Q104" s="132"/>
      <c r="R104" s="122"/>
      <c r="S104" s="132"/>
      <c r="T104" s="122"/>
      <c r="U104" s="132"/>
      <c r="V104" s="122"/>
      <c r="W104" s="132"/>
      <c r="X104" s="122"/>
      <c r="Y104" s="132"/>
      <c r="Z104" s="122"/>
      <c r="AA104" s="132"/>
      <c r="AB104" s="122"/>
      <c r="AC104" s="132"/>
      <c r="AD104" s="122"/>
      <c r="AE104" s="129">
        <f t="shared" ref="AE104:AF167" si="19">SUM(Q104,S104,U104,W104,Y104,AA104,AC104)</f>
        <v>0</v>
      </c>
      <c r="AF104" s="129">
        <f t="shared" si="19"/>
        <v>0</v>
      </c>
      <c r="AG104" s="130"/>
      <c r="AH104" s="131">
        <f t="shared" si="18"/>
        <v>0</v>
      </c>
    </row>
    <row r="105" spans="1:34" ht="13.5">
      <c r="A105" s="112" t="str">
        <f>IF(Base!B103="","",Base!B103)</f>
        <v>09.081.025-1</v>
      </c>
      <c r="B105" s="112" t="str">
        <f>IF(Base!F103="","",Base!F103)</f>
        <v>SERGIO SEGUNDO  MARDONES  ALVARADO</v>
      </c>
      <c r="C105" s="112" t="str">
        <f>IF(Base!I103="","",Base!I103)</f>
        <v>Abastecimiento</v>
      </c>
      <c r="D105" s="113" t="str">
        <f>IF(Base!J103="","",Base!J103)</f>
        <v>Suministro de Líneas</v>
      </c>
      <c r="E105" s="112">
        <f>IF(Base!H103="","",Base!H103)</f>
        <v>1050633</v>
      </c>
      <c r="J105" s="122">
        <v>95</v>
      </c>
      <c r="K105" s="123"/>
      <c r="L105" s="124" t="str">
        <f t="shared" si="14"/>
        <v/>
      </c>
      <c r="M105" s="124" t="str">
        <f t="shared" si="15"/>
        <v/>
      </c>
      <c r="N105" s="125" t="str">
        <f t="shared" si="16"/>
        <v/>
      </c>
      <c r="O105" s="125" t="str">
        <f t="shared" si="17"/>
        <v/>
      </c>
      <c r="P105" s="126"/>
      <c r="Q105" s="132"/>
      <c r="R105" s="122"/>
      <c r="S105" s="132"/>
      <c r="T105" s="122"/>
      <c r="U105" s="132"/>
      <c r="V105" s="122"/>
      <c r="W105" s="132"/>
      <c r="X105" s="122"/>
      <c r="Y105" s="132"/>
      <c r="Z105" s="122"/>
      <c r="AA105" s="132"/>
      <c r="AB105" s="122"/>
      <c r="AC105" s="132"/>
      <c r="AD105" s="122"/>
      <c r="AE105" s="129">
        <f t="shared" si="19"/>
        <v>0</v>
      </c>
      <c r="AF105" s="129">
        <f t="shared" si="19"/>
        <v>0</v>
      </c>
      <c r="AG105" s="130"/>
      <c r="AH105" s="131">
        <f t="shared" si="18"/>
        <v>0</v>
      </c>
    </row>
    <row r="106" spans="1:34" ht="13.5">
      <c r="A106" s="112" t="str">
        <f>IF(Base!B104="","",Base!B104)</f>
        <v>13.835.848-8</v>
      </c>
      <c r="B106" s="112" t="str">
        <f>IF(Base!F104="","",Base!F104)</f>
        <v>MARION RAQUEL  MARIN  MOSCOSO</v>
      </c>
      <c r="C106" s="112" t="str">
        <f>IF(Base!I104="","",Base!I104)</f>
        <v>Abastecimiento</v>
      </c>
      <c r="D106" s="113" t="str">
        <f>IF(Base!J104="","",Base!J104)</f>
        <v>Almacen Insumos Pque</v>
      </c>
      <c r="E106" s="112">
        <f>IF(Base!H104="","",Base!H104)</f>
        <v>1050581</v>
      </c>
      <c r="J106" s="122">
        <v>96</v>
      </c>
      <c r="K106" s="123"/>
      <c r="L106" s="124" t="str">
        <f t="shared" si="14"/>
        <v/>
      </c>
      <c r="M106" s="124" t="str">
        <f t="shared" si="15"/>
        <v/>
      </c>
      <c r="N106" s="125" t="str">
        <f t="shared" si="16"/>
        <v/>
      </c>
      <c r="O106" s="125" t="str">
        <f t="shared" si="17"/>
        <v/>
      </c>
      <c r="P106" s="126"/>
      <c r="Q106" s="132"/>
      <c r="R106" s="132"/>
      <c r="S106" s="132"/>
      <c r="T106" s="132"/>
      <c r="U106" s="132"/>
      <c r="V106" s="132"/>
      <c r="W106" s="132"/>
      <c r="X106" s="132"/>
      <c r="Y106" s="132"/>
      <c r="Z106" s="132"/>
      <c r="AA106" s="132"/>
      <c r="AB106" s="132"/>
      <c r="AC106" s="132"/>
      <c r="AD106" s="132"/>
      <c r="AE106" s="129">
        <f t="shared" si="19"/>
        <v>0</v>
      </c>
      <c r="AF106" s="129">
        <f t="shared" si="19"/>
        <v>0</v>
      </c>
      <c r="AG106" s="130"/>
      <c r="AH106" s="131">
        <f t="shared" si="18"/>
        <v>0</v>
      </c>
    </row>
    <row r="107" spans="1:34" ht="13.5">
      <c r="A107" s="112" t="str">
        <f>IF(Base!B105="","",Base!B105)</f>
        <v>13.077.995-6</v>
      </c>
      <c r="B107" s="112" t="str">
        <f>IF(Base!F105="","",Base!F105)</f>
        <v>FRANCISCO ANTONIO  MARTINEZ  OSSES</v>
      </c>
      <c r="C107" s="112" t="str">
        <f>IF(Base!I105="","",Base!I105)</f>
        <v xml:space="preserve">Setup </v>
      </c>
      <c r="D107" s="113" t="str">
        <f>IF(Base!J105="","",Base!J105)</f>
        <v xml:space="preserve">Setup </v>
      </c>
      <c r="E107" s="112">
        <f>IF(Base!H105="","",Base!H105)</f>
        <v>1050529</v>
      </c>
      <c r="J107" s="122">
        <v>97</v>
      </c>
      <c r="K107" s="123"/>
      <c r="L107" s="124" t="str">
        <f t="shared" si="14"/>
        <v/>
      </c>
      <c r="M107" s="124" t="str">
        <f t="shared" si="15"/>
        <v/>
      </c>
      <c r="N107" s="125" t="str">
        <f t="shared" si="16"/>
        <v/>
      </c>
      <c r="O107" s="125" t="str">
        <f t="shared" si="17"/>
        <v/>
      </c>
      <c r="P107" s="126"/>
      <c r="Q107" s="132"/>
      <c r="R107" s="132"/>
      <c r="S107" s="132"/>
      <c r="T107" s="132"/>
      <c r="U107" s="132"/>
      <c r="V107" s="132"/>
      <c r="W107" s="132"/>
      <c r="X107" s="132"/>
      <c r="Y107" s="132"/>
      <c r="Z107" s="132"/>
      <c r="AA107" s="132"/>
      <c r="AB107" s="132"/>
      <c r="AC107" s="132"/>
      <c r="AD107" s="132"/>
      <c r="AE107" s="129">
        <f t="shared" si="19"/>
        <v>0</v>
      </c>
      <c r="AF107" s="129">
        <f t="shared" si="19"/>
        <v>0</v>
      </c>
      <c r="AG107" s="130"/>
      <c r="AH107" s="131">
        <f t="shared" si="18"/>
        <v>0</v>
      </c>
    </row>
    <row r="108" spans="1:34" ht="13.5">
      <c r="A108" s="112" t="str">
        <f>IF(Base!B106="","",Base!B106)</f>
        <v>14.005.554-9</v>
      </c>
      <c r="B108" s="112" t="str">
        <f>IF(Base!F106="","",Base!F106)</f>
        <v>LUIS  MATURANA  SANDOVAL</v>
      </c>
      <c r="C108" s="112" t="str">
        <f>IF(Base!I106="","",Base!I106)</f>
        <v>Linea 3</v>
      </c>
      <c r="D108" s="113" t="str">
        <f>IF(Base!J106="","",Base!J106)</f>
        <v>Embalador</v>
      </c>
      <c r="E108" s="112">
        <f>IF(Base!H106="","",Base!H106)</f>
        <v>1050556</v>
      </c>
      <c r="J108" s="122">
        <v>98</v>
      </c>
      <c r="K108" s="123"/>
      <c r="L108" s="124" t="str">
        <f t="shared" si="14"/>
        <v/>
      </c>
      <c r="M108" s="124" t="str">
        <f t="shared" si="15"/>
        <v/>
      </c>
      <c r="N108" s="125" t="str">
        <f t="shared" si="16"/>
        <v/>
      </c>
      <c r="O108" s="125" t="str">
        <f t="shared" si="17"/>
        <v/>
      </c>
      <c r="P108" s="126"/>
      <c r="Q108" s="132"/>
      <c r="R108" s="122"/>
      <c r="S108" s="132"/>
      <c r="T108" s="122"/>
      <c r="U108" s="132"/>
      <c r="V108" s="122"/>
      <c r="W108" s="132"/>
      <c r="X108" s="122"/>
      <c r="Y108" s="132"/>
      <c r="Z108" s="122"/>
      <c r="AA108" s="132"/>
      <c r="AB108" s="122"/>
      <c r="AC108" s="132"/>
      <c r="AD108" s="122"/>
      <c r="AE108" s="129">
        <f t="shared" si="19"/>
        <v>0</v>
      </c>
      <c r="AF108" s="129">
        <f t="shared" si="19"/>
        <v>0</v>
      </c>
      <c r="AG108" s="130"/>
      <c r="AH108" s="131">
        <f t="shared" si="18"/>
        <v>0</v>
      </c>
    </row>
    <row r="109" spans="1:34" ht="13.5">
      <c r="A109" s="112" t="str">
        <f>IF(Base!B107="","",Base!B107)</f>
        <v>10.157.067-3</v>
      </c>
      <c r="B109" s="112" t="str">
        <f>IF(Base!F107="","",Base!F107)</f>
        <v>MIGUEL ALBERTO  MELLA  FRIAS</v>
      </c>
      <c r="C109" s="112" t="str">
        <f>IF(Base!I107="","",Base!I107)</f>
        <v>Abastecimiento</v>
      </c>
      <c r="D109" s="113" t="str">
        <f>IF(Base!J107="","",Base!J107)</f>
        <v>Control Ingresos Cen</v>
      </c>
      <c r="E109" s="112">
        <f>IF(Base!H107="","",Base!H107)</f>
        <v>1050126</v>
      </c>
      <c r="J109" s="122">
        <v>99</v>
      </c>
      <c r="K109" s="123"/>
      <c r="L109" s="124" t="str">
        <f t="shared" si="14"/>
        <v/>
      </c>
      <c r="M109" s="124" t="str">
        <f t="shared" si="15"/>
        <v/>
      </c>
      <c r="N109" s="125" t="str">
        <f t="shared" si="16"/>
        <v/>
      </c>
      <c r="O109" s="125" t="str">
        <f t="shared" si="17"/>
        <v/>
      </c>
      <c r="P109" s="126"/>
      <c r="Q109" s="132"/>
      <c r="R109" s="122"/>
      <c r="S109" s="132"/>
      <c r="T109" s="122"/>
      <c r="U109" s="132"/>
      <c r="V109" s="122"/>
      <c r="W109" s="132"/>
      <c r="X109" s="122"/>
      <c r="Y109" s="132"/>
      <c r="Z109" s="122"/>
      <c r="AA109" s="132"/>
      <c r="AB109" s="122"/>
      <c r="AC109" s="132"/>
      <c r="AD109" s="122"/>
      <c r="AE109" s="129">
        <f t="shared" si="19"/>
        <v>0</v>
      </c>
      <c r="AF109" s="129">
        <f t="shared" si="19"/>
        <v>0</v>
      </c>
      <c r="AG109" s="130"/>
      <c r="AH109" s="131">
        <f t="shared" si="18"/>
        <v>0</v>
      </c>
    </row>
    <row r="110" spans="1:34" ht="13.5">
      <c r="A110" s="112" t="str">
        <f>IF(Base!B108="","",Base!B108)</f>
        <v>17.755.770-6</v>
      </c>
      <c r="B110" s="112" t="str">
        <f>IF(Base!F108="","",Base!F108)</f>
        <v>CRISTIAN EDUARDO  MEZA  MEZA</v>
      </c>
      <c r="C110" s="112" t="str">
        <f>IF(Base!I108="","",Base!I108)</f>
        <v>Linea 7</v>
      </c>
      <c r="D110" s="113" t="str">
        <f>IF(Base!J108="","",Base!J108)</f>
        <v>Despalletizador</v>
      </c>
      <c r="E110" s="112">
        <f>IF(Base!H108="","",Base!H108)</f>
        <v>1050615</v>
      </c>
      <c r="J110" s="122">
        <v>100</v>
      </c>
      <c r="K110" s="123"/>
      <c r="L110" s="124" t="str">
        <f t="shared" si="14"/>
        <v/>
      </c>
      <c r="M110" s="124" t="str">
        <f t="shared" si="15"/>
        <v/>
      </c>
      <c r="N110" s="125" t="str">
        <f t="shared" si="16"/>
        <v/>
      </c>
      <c r="O110" s="125" t="str">
        <f t="shared" si="17"/>
        <v/>
      </c>
      <c r="P110" s="126"/>
      <c r="Q110" s="132"/>
      <c r="R110" s="122"/>
      <c r="S110" s="132"/>
      <c r="T110" s="122"/>
      <c r="U110" s="132"/>
      <c r="V110" s="122"/>
      <c r="W110" s="132"/>
      <c r="X110" s="122"/>
      <c r="Y110" s="132"/>
      <c r="Z110" s="122"/>
      <c r="AA110" s="132"/>
      <c r="AB110" s="122"/>
      <c r="AC110" s="132"/>
      <c r="AD110" s="122"/>
      <c r="AE110" s="129">
        <f t="shared" si="19"/>
        <v>0</v>
      </c>
      <c r="AF110" s="129">
        <f t="shared" si="19"/>
        <v>0</v>
      </c>
      <c r="AG110" s="130"/>
      <c r="AH110" s="131">
        <f t="shared" si="18"/>
        <v>0</v>
      </c>
    </row>
    <row r="111" spans="1:34" ht="13.5">
      <c r="A111" s="112" t="str">
        <f>IF(Base!B109="","",Base!B109)</f>
        <v>13.834.251-4</v>
      </c>
      <c r="B111" s="112" t="str">
        <f>IF(Base!F109="","",Base!F109)</f>
        <v>MARIA ELIANA  MILLAN  HERRERA</v>
      </c>
      <c r="C111" s="112" t="str">
        <f>IF(Base!I109="","",Base!I109)</f>
        <v>Abastecimiento</v>
      </c>
      <c r="D111" s="113" t="str">
        <f>IF(Base!J109="","",Base!J109)</f>
        <v>Suministro de Líneas</v>
      </c>
      <c r="E111" s="112">
        <f>IF(Base!H109="","",Base!H109)</f>
        <v>1050633</v>
      </c>
      <c r="J111" s="122">
        <v>101</v>
      </c>
      <c r="K111" s="123"/>
      <c r="L111" s="124" t="str">
        <f t="shared" si="14"/>
        <v/>
      </c>
      <c r="M111" s="124" t="str">
        <f t="shared" si="15"/>
        <v/>
      </c>
      <c r="N111" s="125" t="str">
        <f t="shared" si="16"/>
        <v/>
      </c>
      <c r="O111" s="125" t="str">
        <f t="shared" si="17"/>
        <v/>
      </c>
      <c r="P111" s="126"/>
      <c r="Q111" s="132"/>
      <c r="R111" s="132"/>
      <c r="S111" s="132"/>
      <c r="T111" s="132"/>
      <c r="U111" s="132"/>
      <c r="V111" s="132"/>
      <c r="W111" s="132"/>
      <c r="X111" s="132"/>
      <c r="Y111" s="132"/>
      <c r="Z111" s="132"/>
      <c r="AA111" s="132"/>
      <c r="AB111" s="132"/>
      <c r="AC111" s="132"/>
      <c r="AD111" s="132"/>
      <c r="AE111" s="129">
        <f t="shared" si="19"/>
        <v>0</v>
      </c>
      <c r="AF111" s="129">
        <f t="shared" si="19"/>
        <v>0</v>
      </c>
      <c r="AG111" s="130"/>
      <c r="AH111" s="131">
        <f t="shared" si="18"/>
        <v>0</v>
      </c>
    </row>
    <row r="112" spans="1:34" ht="13.5">
      <c r="A112" s="112" t="str">
        <f>IF(Base!B110="","",Base!B110)</f>
        <v>16.266.873-0</v>
      </c>
      <c r="B112" s="112" t="str">
        <f>IF(Base!F110="","",Base!F110)</f>
        <v>CARLOS  MONTANARES  MONTANARES</v>
      </c>
      <c r="C112" s="112" t="str">
        <f>IF(Base!I110="","",Base!I110)</f>
        <v>Linea 3</v>
      </c>
      <c r="D112" s="113" t="str">
        <f>IF(Base!J110="","",Base!J110)</f>
        <v>Despalletizador</v>
      </c>
      <c r="E112" s="112">
        <f>IF(Base!H110="","",Base!H110)</f>
        <v>1050555</v>
      </c>
      <c r="J112" s="122">
        <v>102</v>
      </c>
      <c r="K112" s="123"/>
      <c r="L112" s="124" t="str">
        <f t="shared" si="14"/>
        <v/>
      </c>
      <c r="M112" s="124" t="str">
        <f t="shared" si="15"/>
        <v/>
      </c>
      <c r="N112" s="125" t="str">
        <f t="shared" si="16"/>
        <v/>
      </c>
      <c r="O112" s="125" t="str">
        <f t="shared" si="17"/>
        <v/>
      </c>
      <c r="P112" s="126"/>
      <c r="Q112" s="132"/>
      <c r="R112" s="132"/>
      <c r="S112" s="132"/>
      <c r="T112" s="13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29">
        <f t="shared" si="19"/>
        <v>0</v>
      </c>
      <c r="AF112" s="129">
        <f t="shared" si="19"/>
        <v>0</v>
      </c>
      <c r="AG112" s="130"/>
      <c r="AH112" s="131">
        <f t="shared" si="18"/>
        <v>0</v>
      </c>
    </row>
    <row r="113" spans="1:34" ht="13.5">
      <c r="A113" s="112" t="str">
        <f>IF(Base!B111="","",Base!B111)</f>
        <v>10.407.614-9</v>
      </c>
      <c r="B113" s="112" t="str">
        <f>IF(Base!F111="","",Base!F111)</f>
        <v>CARLOS ALEJANDRO  MORA  MORA</v>
      </c>
      <c r="C113" s="112" t="str">
        <f>IF(Base!I111="","",Base!I111)</f>
        <v>Abastecimiento</v>
      </c>
      <c r="D113" s="113" t="str">
        <f>IF(Base!J111="","",Base!J111)</f>
        <v>Preparación de Insum</v>
      </c>
      <c r="E113" s="112">
        <f>IF(Base!H111="","",Base!H111)</f>
        <v>1050127</v>
      </c>
      <c r="J113" s="122">
        <v>103</v>
      </c>
      <c r="K113" s="123"/>
      <c r="L113" s="124" t="str">
        <f t="shared" si="14"/>
        <v/>
      </c>
      <c r="M113" s="124" t="str">
        <f t="shared" si="15"/>
        <v/>
      </c>
      <c r="N113" s="125" t="str">
        <f t="shared" si="16"/>
        <v/>
      </c>
      <c r="O113" s="125" t="str">
        <f t="shared" si="17"/>
        <v/>
      </c>
      <c r="P113" s="126"/>
      <c r="Q113" s="132"/>
      <c r="R113" s="122"/>
      <c r="S113" s="132"/>
      <c r="T113" s="122"/>
      <c r="U113" s="132"/>
      <c r="V113" s="122"/>
      <c r="W113" s="132"/>
      <c r="X113" s="122"/>
      <c r="Y113" s="132"/>
      <c r="Z113" s="122"/>
      <c r="AA113" s="132"/>
      <c r="AB113" s="122"/>
      <c r="AC113" s="132"/>
      <c r="AD113" s="122"/>
      <c r="AE113" s="129">
        <f t="shared" si="19"/>
        <v>0</v>
      </c>
      <c r="AF113" s="129">
        <f t="shared" si="19"/>
        <v>0</v>
      </c>
      <c r="AG113" s="130"/>
      <c r="AH113" s="131">
        <f t="shared" si="18"/>
        <v>0</v>
      </c>
    </row>
    <row r="114" spans="1:34" ht="13.5">
      <c r="A114" s="112" t="str">
        <f>IF(Base!B112="","",Base!B112)</f>
        <v>13.700.526-3</v>
      </c>
      <c r="B114" s="112" t="str">
        <f>IF(Base!F112="","",Base!F112)</f>
        <v>PATRICIO  MORALES  NUÑEZ</v>
      </c>
      <c r="C114" s="112" t="str">
        <f>IF(Base!I112="","",Base!I112)</f>
        <v>Linea 7</v>
      </c>
      <c r="D114" s="113" t="str">
        <f>IF(Base!J112="","",Base!J112)</f>
        <v>Llenador</v>
      </c>
      <c r="E114" s="112">
        <f>IF(Base!H112="","",Base!H112)</f>
        <v>1050615</v>
      </c>
      <c r="J114" s="122">
        <v>104</v>
      </c>
      <c r="K114" s="123"/>
      <c r="L114" s="124" t="str">
        <f t="shared" si="14"/>
        <v/>
      </c>
      <c r="M114" s="124" t="str">
        <f t="shared" si="15"/>
        <v/>
      </c>
      <c r="N114" s="125" t="str">
        <f t="shared" si="16"/>
        <v/>
      </c>
      <c r="O114" s="125" t="str">
        <f t="shared" si="17"/>
        <v/>
      </c>
      <c r="P114" s="126"/>
      <c r="Q114" s="132"/>
      <c r="R114" s="122"/>
      <c r="S114" s="132"/>
      <c r="T114" s="122"/>
      <c r="U114" s="132"/>
      <c r="V114" s="122"/>
      <c r="W114" s="132"/>
      <c r="X114" s="122"/>
      <c r="Y114" s="132"/>
      <c r="Z114" s="122"/>
      <c r="AA114" s="132"/>
      <c r="AB114" s="122"/>
      <c r="AC114" s="132"/>
      <c r="AD114" s="122"/>
      <c r="AE114" s="129">
        <f t="shared" si="19"/>
        <v>0</v>
      </c>
      <c r="AF114" s="129">
        <f t="shared" si="19"/>
        <v>0</v>
      </c>
      <c r="AG114" s="130"/>
      <c r="AH114" s="131">
        <f t="shared" si="18"/>
        <v>0</v>
      </c>
    </row>
    <row r="115" spans="1:34" ht="13.5">
      <c r="A115" s="112" t="str">
        <f>IF(Base!B113="","",Base!B113)</f>
        <v>12.690.098-8</v>
      </c>
      <c r="B115" s="112" t="str">
        <f>IF(Base!F113="","",Base!F113)</f>
        <v>RODRIGO  MORALES  OLGUIN</v>
      </c>
      <c r="C115" s="112" t="str">
        <f>IF(Base!I113="","",Base!I113)</f>
        <v>Linea 6</v>
      </c>
      <c r="D115" s="113" t="str">
        <f>IF(Base!J113="","",Base!J113)</f>
        <v>Etiquetador</v>
      </c>
      <c r="E115" s="112">
        <f>IF(Base!H113="","",Base!H113)</f>
        <v>1050610</v>
      </c>
      <c r="J115" s="122">
        <v>105</v>
      </c>
      <c r="K115" s="123"/>
      <c r="L115" s="124" t="str">
        <f t="shared" si="14"/>
        <v/>
      </c>
      <c r="M115" s="124" t="str">
        <f t="shared" si="15"/>
        <v/>
      </c>
      <c r="N115" s="125" t="str">
        <f t="shared" si="16"/>
        <v/>
      </c>
      <c r="O115" s="125" t="str">
        <f t="shared" si="17"/>
        <v/>
      </c>
      <c r="P115" s="126"/>
      <c r="Q115" s="132"/>
      <c r="R115" s="122"/>
      <c r="S115" s="132"/>
      <c r="T115" s="122"/>
      <c r="U115" s="132"/>
      <c r="V115" s="122"/>
      <c r="W115" s="132"/>
      <c r="X115" s="122"/>
      <c r="Y115" s="132"/>
      <c r="Z115" s="122"/>
      <c r="AA115" s="132"/>
      <c r="AB115" s="122"/>
      <c r="AC115" s="132"/>
      <c r="AD115" s="122"/>
      <c r="AE115" s="129">
        <f t="shared" si="19"/>
        <v>0</v>
      </c>
      <c r="AF115" s="129">
        <f t="shared" si="19"/>
        <v>0</v>
      </c>
      <c r="AG115" s="130"/>
      <c r="AH115" s="131">
        <f t="shared" si="18"/>
        <v>0</v>
      </c>
    </row>
    <row r="116" spans="1:34" ht="13.5">
      <c r="A116" s="112" t="str">
        <f>IF(Base!B114="","",Base!B114)</f>
        <v>08.585.356-2</v>
      </c>
      <c r="B116" s="112" t="str">
        <f>IF(Base!F114="","",Base!F114)</f>
        <v>OSCAR E.  MORALES  ZAPATA</v>
      </c>
      <c r="C116" s="112" t="str">
        <f>IF(Base!I114="","",Base!I114)</f>
        <v>Supervisor</v>
      </c>
      <c r="D116" s="113" t="str">
        <f>IF(Base!J114="","",Base!J114)</f>
        <v>Supervisor</v>
      </c>
      <c r="E116" s="112">
        <f>IF(Base!H114="","",Base!H114)</f>
        <v>1050603</v>
      </c>
      <c r="J116" s="122">
        <v>106</v>
      </c>
      <c r="K116" s="123"/>
      <c r="L116" s="124" t="str">
        <f t="shared" si="14"/>
        <v/>
      </c>
      <c r="M116" s="124" t="str">
        <f t="shared" si="15"/>
        <v/>
      </c>
      <c r="N116" s="125" t="str">
        <f t="shared" si="16"/>
        <v/>
      </c>
      <c r="O116" s="125" t="str">
        <f t="shared" si="17"/>
        <v/>
      </c>
      <c r="P116" s="126"/>
      <c r="Q116" s="132"/>
      <c r="R116" s="132"/>
      <c r="S116" s="132"/>
      <c r="T116" s="132"/>
      <c r="U116" s="132"/>
      <c r="V116" s="132"/>
      <c r="W116" s="132"/>
      <c r="X116" s="132"/>
      <c r="Y116" s="132"/>
      <c r="Z116" s="132"/>
      <c r="AA116" s="132"/>
      <c r="AB116" s="132"/>
      <c r="AC116" s="132"/>
      <c r="AD116" s="132"/>
      <c r="AE116" s="129">
        <f t="shared" si="19"/>
        <v>0</v>
      </c>
      <c r="AF116" s="129">
        <f t="shared" si="19"/>
        <v>0</v>
      </c>
      <c r="AG116" s="130"/>
      <c r="AH116" s="131">
        <f t="shared" si="18"/>
        <v>0</v>
      </c>
    </row>
    <row r="117" spans="1:34" ht="13.5">
      <c r="A117" s="112" t="str">
        <f>IF(Base!B115="","",Base!B115)</f>
        <v>11.994.656-5</v>
      </c>
      <c r="B117" s="112" t="str">
        <f>IF(Base!F115="","",Base!F115)</f>
        <v>MARIA E  MOSCOSO  LOPEZ</v>
      </c>
      <c r="C117" s="112" t="str">
        <f>IF(Base!I115="","",Base!I115)</f>
        <v>Control y Gestión</v>
      </c>
      <c r="D117" s="113" t="str">
        <f>IF(Base!J115="","",Base!J115)</f>
        <v>Secretaria operaciones</v>
      </c>
      <c r="E117" s="112">
        <f>IF(Base!H115="","",Base!H115)</f>
        <v>1050632</v>
      </c>
      <c r="J117" s="122">
        <v>107</v>
      </c>
      <c r="K117" s="123"/>
      <c r="L117" s="124" t="str">
        <f t="shared" si="14"/>
        <v/>
      </c>
      <c r="M117" s="124" t="str">
        <f t="shared" si="15"/>
        <v/>
      </c>
      <c r="N117" s="125" t="str">
        <f t="shared" si="16"/>
        <v/>
      </c>
      <c r="O117" s="125" t="str">
        <f t="shared" si="17"/>
        <v/>
      </c>
      <c r="P117" s="126"/>
      <c r="Q117" s="132"/>
      <c r="R117" s="132"/>
      <c r="S117" s="132"/>
      <c r="T117" s="132"/>
      <c r="U117" s="132"/>
      <c r="V117" s="132"/>
      <c r="W117" s="132"/>
      <c r="X117" s="132"/>
      <c r="Y117" s="132"/>
      <c r="Z117" s="132"/>
      <c r="AA117" s="132"/>
      <c r="AB117" s="132"/>
      <c r="AC117" s="132"/>
      <c r="AD117" s="132"/>
      <c r="AE117" s="129">
        <f t="shared" si="19"/>
        <v>0</v>
      </c>
      <c r="AF117" s="129">
        <f t="shared" si="19"/>
        <v>0</v>
      </c>
      <c r="AG117" s="130"/>
      <c r="AH117" s="131">
        <f t="shared" si="18"/>
        <v>0</v>
      </c>
    </row>
    <row r="118" spans="1:34" ht="13.5">
      <c r="A118" s="112" t="str">
        <f>IF(Base!B116="","",Base!B116)</f>
        <v>13.552.988-5</v>
      </c>
      <c r="B118" s="112" t="str">
        <f>IF(Base!F116="","",Base!F116)</f>
        <v>DAVID  MOYA  BEROIZA</v>
      </c>
      <c r="C118" s="112" t="str">
        <f>IF(Base!I116="","",Base!I116)</f>
        <v>Linea 7</v>
      </c>
      <c r="D118" s="113" t="str">
        <f>IF(Base!J116="","",Base!J116)</f>
        <v>Despalletizador</v>
      </c>
      <c r="E118" s="112">
        <f>IF(Base!H116="","",Base!H116)</f>
        <v>1050615</v>
      </c>
      <c r="J118" s="122">
        <v>108</v>
      </c>
      <c r="K118" s="123"/>
      <c r="L118" s="124" t="str">
        <f t="shared" si="14"/>
        <v/>
      </c>
      <c r="M118" s="124" t="str">
        <f t="shared" si="15"/>
        <v/>
      </c>
      <c r="N118" s="125" t="str">
        <f t="shared" si="16"/>
        <v/>
      </c>
      <c r="O118" s="125" t="str">
        <f t="shared" si="17"/>
        <v/>
      </c>
      <c r="P118" s="126"/>
      <c r="Q118" s="132"/>
      <c r="R118" s="122"/>
      <c r="S118" s="132"/>
      <c r="T118" s="122"/>
      <c r="U118" s="132"/>
      <c r="V118" s="122"/>
      <c r="W118" s="132"/>
      <c r="X118" s="122"/>
      <c r="Y118" s="132"/>
      <c r="Z118" s="122"/>
      <c r="AA118" s="132"/>
      <c r="AB118" s="122"/>
      <c r="AC118" s="132"/>
      <c r="AD118" s="122"/>
      <c r="AE118" s="129">
        <f t="shared" si="19"/>
        <v>0</v>
      </c>
      <c r="AF118" s="129">
        <f t="shared" si="19"/>
        <v>0</v>
      </c>
      <c r="AG118" s="130"/>
      <c r="AH118" s="131">
        <f t="shared" si="18"/>
        <v>0</v>
      </c>
    </row>
    <row r="119" spans="1:34" ht="13.5">
      <c r="A119" s="112" t="str">
        <f>IF(Base!B117="","",Base!B117)</f>
        <v>09.488.820-4</v>
      </c>
      <c r="B119" s="112" t="str">
        <f>IF(Base!F117="","",Base!F117)</f>
        <v>MARCO ANTONIO  MUÑOZ  BUGUEÑO</v>
      </c>
      <c r="C119" s="112" t="str">
        <f>IF(Base!I117="","",Base!I117)</f>
        <v>Linea 2</v>
      </c>
      <c r="D119" s="113" t="str">
        <f>IF(Base!J117="","",Base!J117)</f>
        <v>Despalletizador</v>
      </c>
      <c r="E119" s="112">
        <f>IF(Base!H117="","",Base!H117)</f>
        <v>1050554</v>
      </c>
      <c r="J119" s="122">
        <v>109</v>
      </c>
      <c r="K119" s="123"/>
      <c r="L119" s="124" t="str">
        <f t="shared" si="14"/>
        <v/>
      </c>
      <c r="M119" s="124" t="str">
        <f t="shared" si="15"/>
        <v/>
      </c>
      <c r="N119" s="125" t="str">
        <f t="shared" si="16"/>
        <v/>
      </c>
      <c r="O119" s="125" t="str">
        <f t="shared" si="17"/>
        <v/>
      </c>
      <c r="P119" s="126"/>
      <c r="Q119" s="132"/>
      <c r="R119" s="122"/>
      <c r="S119" s="132"/>
      <c r="T119" s="122"/>
      <c r="U119" s="132"/>
      <c r="V119" s="122"/>
      <c r="W119" s="132"/>
      <c r="X119" s="122"/>
      <c r="Y119" s="132"/>
      <c r="Z119" s="122"/>
      <c r="AA119" s="132"/>
      <c r="AB119" s="122"/>
      <c r="AC119" s="132"/>
      <c r="AD119" s="122"/>
      <c r="AE119" s="129">
        <f t="shared" si="19"/>
        <v>0</v>
      </c>
      <c r="AF119" s="129">
        <f t="shared" si="19"/>
        <v>0</v>
      </c>
      <c r="AG119" s="130"/>
      <c r="AH119" s="131">
        <f t="shared" si="18"/>
        <v>0</v>
      </c>
    </row>
    <row r="120" spans="1:34" ht="13.5">
      <c r="A120" s="112" t="str">
        <f>IF(Base!B118="","",Base!B118)</f>
        <v>09.613.720-6</v>
      </c>
      <c r="B120" s="112" t="str">
        <f>IF(Base!F118="","",Base!F118)</f>
        <v>ANGELA  MUÑOZ  GONZALEZ</v>
      </c>
      <c r="C120" s="112" t="str">
        <f>IF(Base!I118="","",Base!I118)</f>
        <v>Linea 7</v>
      </c>
      <c r="D120" s="113" t="str">
        <f>IF(Base!J118="","",Base!J118)</f>
        <v>Capsulado</v>
      </c>
      <c r="E120" s="112">
        <f>IF(Base!H118="","",Base!H118)</f>
        <v>1050616</v>
      </c>
      <c r="J120" s="122">
        <v>110</v>
      </c>
      <c r="K120" s="123"/>
      <c r="L120" s="124" t="str">
        <f t="shared" si="14"/>
        <v/>
      </c>
      <c r="M120" s="124" t="str">
        <f t="shared" si="15"/>
        <v/>
      </c>
      <c r="N120" s="125" t="str">
        <f t="shared" si="16"/>
        <v/>
      </c>
      <c r="O120" s="125" t="str">
        <f t="shared" si="17"/>
        <v/>
      </c>
      <c r="P120" s="126"/>
      <c r="Q120" s="132"/>
      <c r="R120" s="122"/>
      <c r="S120" s="132"/>
      <c r="T120" s="122"/>
      <c r="U120" s="132"/>
      <c r="V120" s="122"/>
      <c r="W120" s="132"/>
      <c r="X120" s="122"/>
      <c r="Y120" s="132"/>
      <c r="Z120" s="122"/>
      <c r="AA120" s="132"/>
      <c r="AB120" s="122"/>
      <c r="AC120" s="132"/>
      <c r="AD120" s="122"/>
      <c r="AE120" s="129">
        <f t="shared" si="19"/>
        <v>0</v>
      </c>
      <c r="AF120" s="129">
        <f t="shared" si="19"/>
        <v>0</v>
      </c>
      <c r="AG120" s="130"/>
      <c r="AH120" s="131">
        <f t="shared" si="18"/>
        <v>0</v>
      </c>
    </row>
    <row r="121" spans="1:34" ht="13.5">
      <c r="A121" s="112" t="str">
        <f>IF(Base!B119="","",Base!B119)</f>
        <v>11.659.510-9</v>
      </c>
      <c r="B121" s="112" t="str">
        <f>IF(Base!F119="","",Base!F119)</f>
        <v>CLAUDIO ARTURO  MUÑOZ  MUÑOZ</v>
      </c>
      <c r="C121" s="112" t="str">
        <f>IF(Base!I119="","",Base!I119)</f>
        <v>Abastecimiento</v>
      </c>
      <c r="D121" s="113" t="str">
        <f>IF(Base!J119="","",Base!J119)</f>
        <v>Control Ingresos Cen</v>
      </c>
      <c r="E121" s="112">
        <f>IF(Base!H119="","",Base!H119)</f>
        <v>1050126</v>
      </c>
      <c r="J121" s="122">
        <v>111</v>
      </c>
      <c r="K121" s="123"/>
      <c r="L121" s="124" t="str">
        <f t="shared" si="14"/>
        <v/>
      </c>
      <c r="M121" s="124" t="str">
        <f t="shared" si="15"/>
        <v/>
      </c>
      <c r="N121" s="125" t="str">
        <f t="shared" si="16"/>
        <v/>
      </c>
      <c r="O121" s="125" t="str">
        <f t="shared" si="17"/>
        <v/>
      </c>
      <c r="P121" s="126"/>
      <c r="Q121" s="132"/>
      <c r="R121" s="132"/>
      <c r="S121" s="132"/>
      <c r="T121" s="132"/>
      <c r="U121" s="132"/>
      <c r="V121" s="132"/>
      <c r="W121" s="132"/>
      <c r="X121" s="132"/>
      <c r="Y121" s="132"/>
      <c r="Z121" s="132"/>
      <c r="AA121" s="132"/>
      <c r="AB121" s="132"/>
      <c r="AC121" s="132"/>
      <c r="AD121" s="132"/>
      <c r="AE121" s="129">
        <f t="shared" si="19"/>
        <v>0</v>
      </c>
      <c r="AF121" s="129">
        <f t="shared" si="19"/>
        <v>0</v>
      </c>
      <c r="AG121" s="130"/>
      <c r="AH121" s="131">
        <f t="shared" si="18"/>
        <v>0</v>
      </c>
    </row>
    <row r="122" spans="1:34" ht="13.5">
      <c r="A122" s="112" t="str">
        <f>IF(Base!B120="","",Base!B120)</f>
        <v>11.124.307-7</v>
      </c>
      <c r="B122" s="112" t="str">
        <f>IF(Base!F120="","",Base!F120)</f>
        <v>JOSE ENRIQUE  MUÑOZ  QUENPUL</v>
      </c>
      <c r="C122" s="112" t="str">
        <f>IF(Base!I120="","",Base!I120)</f>
        <v>Abastecimiento</v>
      </c>
      <c r="D122" s="113" t="str">
        <f>IF(Base!J120="","",Base!J120)</f>
        <v>Almacen Envases Pirq</v>
      </c>
      <c r="E122" s="112">
        <f>IF(Base!H120="","",Base!H120)</f>
        <v>1050162</v>
      </c>
      <c r="J122" s="122">
        <v>112</v>
      </c>
      <c r="K122" s="123"/>
      <c r="L122" s="124" t="str">
        <f t="shared" si="14"/>
        <v/>
      </c>
      <c r="M122" s="124" t="str">
        <f t="shared" si="15"/>
        <v/>
      </c>
      <c r="N122" s="125" t="str">
        <f t="shared" si="16"/>
        <v/>
      </c>
      <c r="O122" s="125" t="str">
        <f t="shared" si="17"/>
        <v/>
      </c>
      <c r="P122" s="126"/>
      <c r="Q122" s="132"/>
      <c r="R122" s="132"/>
      <c r="S122" s="132"/>
      <c r="T122" s="132"/>
      <c r="U122" s="132"/>
      <c r="V122" s="132"/>
      <c r="W122" s="132"/>
      <c r="X122" s="132"/>
      <c r="Y122" s="132"/>
      <c r="Z122" s="132"/>
      <c r="AA122" s="132"/>
      <c r="AB122" s="132"/>
      <c r="AC122" s="132"/>
      <c r="AD122" s="132"/>
      <c r="AE122" s="129">
        <f t="shared" si="19"/>
        <v>0</v>
      </c>
      <c r="AF122" s="129">
        <f t="shared" si="19"/>
        <v>0</v>
      </c>
      <c r="AG122" s="130"/>
      <c r="AH122" s="131">
        <f t="shared" si="18"/>
        <v>0</v>
      </c>
    </row>
    <row r="123" spans="1:34" ht="13.5">
      <c r="A123" s="112" t="str">
        <f>IF(Base!B121="","",Base!B121)</f>
        <v>13.284.709-6</v>
      </c>
      <c r="B123" s="112" t="str">
        <f>IF(Base!F121="","",Base!F121)</f>
        <v>KATHERINE ANDREA  MUÑOZ  RAMIREZ</v>
      </c>
      <c r="C123" s="112" t="str">
        <f>IF(Base!I121="","",Base!I121)</f>
        <v>Linea 3</v>
      </c>
      <c r="D123" s="113" t="str">
        <f>IF(Base!J121="","",Base!J121)</f>
        <v>Inspector etiqueta</v>
      </c>
      <c r="E123" s="112">
        <f>IF(Base!H121="","",Base!H121)</f>
        <v>1050556</v>
      </c>
      <c r="J123" s="122">
        <v>113</v>
      </c>
      <c r="K123" s="123"/>
      <c r="L123" s="124" t="str">
        <f t="shared" si="14"/>
        <v/>
      </c>
      <c r="M123" s="124" t="str">
        <f t="shared" si="15"/>
        <v/>
      </c>
      <c r="N123" s="125" t="str">
        <f t="shared" si="16"/>
        <v/>
      </c>
      <c r="O123" s="125" t="str">
        <f t="shared" si="17"/>
        <v/>
      </c>
      <c r="P123" s="126"/>
      <c r="Q123" s="132"/>
      <c r="R123" s="122"/>
      <c r="S123" s="132"/>
      <c r="T123" s="122"/>
      <c r="U123" s="132"/>
      <c r="V123" s="122"/>
      <c r="W123" s="132"/>
      <c r="X123" s="122"/>
      <c r="Y123" s="132"/>
      <c r="Z123" s="122"/>
      <c r="AA123" s="132"/>
      <c r="AB123" s="122"/>
      <c r="AC123" s="132"/>
      <c r="AD123" s="122"/>
      <c r="AE123" s="129">
        <f t="shared" si="19"/>
        <v>0</v>
      </c>
      <c r="AF123" s="129">
        <f t="shared" si="19"/>
        <v>0</v>
      </c>
      <c r="AG123" s="130"/>
      <c r="AH123" s="131">
        <f t="shared" si="18"/>
        <v>0</v>
      </c>
    </row>
    <row r="124" spans="1:34" ht="13.5">
      <c r="A124" s="112" t="str">
        <f>IF(Base!B122="","",Base!B122)</f>
        <v>15.437.429-9</v>
      </c>
      <c r="B124" s="112" t="str">
        <f>IF(Base!F122="","",Base!F122)</f>
        <v>JULIO  NADEAU  JOFRE</v>
      </c>
      <c r="C124" s="112" t="str">
        <f>IF(Base!I122="","",Base!I122)</f>
        <v>Control y Gestión</v>
      </c>
      <c r="D124" s="113" t="str">
        <f>IF(Base!J122="","",Base!J122)</f>
        <v>Analista  almacén</v>
      </c>
      <c r="E124" s="112">
        <f>IF(Base!H122="","",Base!H122)</f>
        <v>1050574</v>
      </c>
      <c r="J124" s="122">
        <v>114</v>
      </c>
      <c r="K124" s="123"/>
      <c r="L124" s="124" t="str">
        <f t="shared" si="14"/>
        <v/>
      </c>
      <c r="M124" s="124" t="str">
        <f t="shared" si="15"/>
        <v/>
      </c>
      <c r="N124" s="125" t="str">
        <f t="shared" si="16"/>
        <v/>
      </c>
      <c r="O124" s="125" t="str">
        <f t="shared" si="17"/>
        <v/>
      </c>
      <c r="P124" s="126"/>
      <c r="Q124" s="132"/>
      <c r="R124" s="122"/>
      <c r="S124" s="132"/>
      <c r="T124" s="122"/>
      <c r="U124" s="132"/>
      <c r="V124" s="122"/>
      <c r="W124" s="132"/>
      <c r="X124" s="122"/>
      <c r="Y124" s="132"/>
      <c r="Z124" s="122"/>
      <c r="AA124" s="132"/>
      <c r="AB124" s="122"/>
      <c r="AC124" s="132"/>
      <c r="AD124" s="122"/>
      <c r="AE124" s="129">
        <f t="shared" si="19"/>
        <v>0</v>
      </c>
      <c r="AF124" s="129">
        <f t="shared" si="19"/>
        <v>0</v>
      </c>
      <c r="AG124" s="130"/>
      <c r="AH124" s="131">
        <f t="shared" si="18"/>
        <v>0</v>
      </c>
    </row>
    <row r="125" spans="1:34" ht="13.5">
      <c r="A125" s="112" t="str">
        <f>IF(Base!B123="","",Base!B123)</f>
        <v>11.754.811-2</v>
      </c>
      <c r="B125" s="112" t="str">
        <f>IF(Base!F123="","",Base!F123)</f>
        <v>ALEXIS ANTONIO  NARVAI  DIAZ</v>
      </c>
      <c r="C125" s="112" t="str">
        <f>IF(Base!I123="","",Base!I123)</f>
        <v>Abastecimiento</v>
      </c>
      <c r="D125" s="113" t="str">
        <f>IF(Base!J123="","",Base!J123)</f>
        <v>Supervisor Almacen Insumos</v>
      </c>
      <c r="E125" s="112">
        <f>IF(Base!H123="","",Base!H123)</f>
        <v>1050581</v>
      </c>
      <c r="J125" s="122">
        <v>115</v>
      </c>
      <c r="K125" s="123"/>
      <c r="L125" s="124" t="str">
        <f t="shared" si="14"/>
        <v/>
      </c>
      <c r="M125" s="124" t="str">
        <f t="shared" si="15"/>
        <v/>
      </c>
      <c r="N125" s="125" t="str">
        <f t="shared" si="16"/>
        <v/>
      </c>
      <c r="O125" s="125" t="str">
        <f t="shared" si="17"/>
        <v/>
      </c>
      <c r="P125" s="126"/>
      <c r="Q125" s="132"/>
      <c r="R125" s="122"/>
      <c r="S125" s="132"/>
      <c r="T125" s="122"/>
      <c r="U125" s="132"/>
      <c r="V125" s="122"/>
      <c r="W125" s="132"/>
      <c r="X125" s="122"/>
      <c r="Y125" s="132"/>
      <c r="Z125" s="122"/>
      <c r="AA125" s="132"/>
      <c r="AB125" s="122"/>
      <c r="AC125" s="132"/>
      <c r="AD125" s="122"/>
      <c r="AE125" s="129">
        <f t="shared" si="19"/>
        <v>0</v>
      </c>
      <c r="AF125" s="129">
        <f t="shared" si="19"/>
        <v>0</v>
      </c>
      <c r="AG125" s="130"/>
      <c r="AH125" s="131">
        <f t="shared" si="18"/>
        <v>0</v>
      </c>
    </row>
    <row r="126" spans="1:34" ht="13.5">
      <c r="A126" s="112" t="str">
        <f>IF(Base!B124="","",Base!B124)</f>
        <v>12.828.475-3</v>
      </c>
      <c r="B126" s="112" t="str">
        <f>IF(Base!F124="","",Base!F124)</f>
        <v>ELSON GONZALO  NARVAI  DIAZ</v>
      </c>
      <c r="C126" s="112" t="str">
        <f>IF(Base!I124="","",Base!I124)</f>
        <v>Abastecimiento</v>
      </c>
      <c r="D126" s="113" t="str">
        <f>IF(Base!J124="","",Base!J124)</f>
        <v>Reimpresión</v>
      </c>
      <c r="E126" s="112">
        <f>IF(Base!H124="","",Base!H124)</f>
        <v>1050506</v>
      </c>
      <c r="J126" s="122">
        <v>116</v>
      </c>
      <c r="K126" s="123"/>
      <c r="L126" s="124" t="str">
        <f t="shared" si="14"/>
        <v/>
      </c>
      <c r="M126" s="124" t="str">
        <f t="shared" si="15"/>
        <v/>
      </c>
      <c r="N126" s="125" t="str">
        <f t="shared" si="16"/>
        <v/>
      </c>
      <c r="O126" s="125" t="str">
        <f t="shared" si="17"/>
        <v/>
      </c>
      <c r="P126" s="126"/>
      <c r="Q126" s="132"/>
      <c r="R126" s="132"/>
      <c r="S126" s="132"/>
      <c r="T126" s="132"/>
      <c r="U126" s="132"/>
      <c r="V126" s="132"/>
      <c r="W126" s="132"/>
      <c r="X126" s="132"/>
      <c r="Y126" s="132"/>
      <c r="Z126" s="132"/>
      <c r="AA126" s="132"/>
      <c r="AB126" s="132"/>
      <c r="AC126" s="132"/>
      <c r="AD126" s="132"/>
      <c r="AE126" s="129">
        <f t="shared" si="19"/>
        <v>0</v>
      </c>
      <c r="AF126" s="129">
        <f t="shared" si="19"/>
        <v>0</v>
      </c>
      <c r="AG126" s="130"/>
      <c r="AH126" s="131">
        <f t="shared" si="18"/>
        <v>0</v>
      </c>
    </row>
    <row r="127" spans="1:34" ht="13.5">
      <c r="A127" s="112" t="str">
        <f>IF(Base!B125="","",Base!B125)</f>
        <v>11.523.497-8</v>
      </c>
      <c r="B127" s="112" t="str">
        <f>IF(Base!F125="","",Base!F125)</f>
        <v>LUIS  NARVAI  DIAZ</v>
      </c>
      <c r="C127" s="112" t="str">
        <f>IF(Base!I125="","",Base!I125)</f>
        <v>Abastecimiento</v>
      </c>
      <c r="D127" s="113" t="str">
        <f>IF(Base!J125="","",Base!J125)</f>
        <v>Almacen Insumos Pque</v>
      </c>
      <c r="E127" s="112">
        <f>IF(Base!H125="","",Base!H125)</f>
        <v>1050581</v>
      </c>
      <c r="J127" s="122">
        <v>117</v>
      </c>
      <c r="K127" s="123"/>
      <c r="L127" s="124" t="str">
        <f t="shared" si="14"/>
        <v/>
      </c>
      <c r="M127" s="124" t="str">
        <f t="shared" si="15"/>
        <v/>
      </c>
      <c r="N127" s="125" t="str">
        <f t="shared" si="16"/>
        <v/>
      </c>
      <c r="O127" s="125" t="str">
        <f t="shared" si="17"/>
        <v/>
      </c>
      <c r="P127" s="126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2"/>
      <c r="AE127" s="129">
        <f t="shared" si="19"/>
        <v>0</v>
      </c>
      <c r="AF127" s="129">
        <f t="shared" si="19"/>
        <v>0</v>
      </c>
      <c r="AG127" s="130"/>
      <c r="AH127" s="131">
        <f t="shared" si="18"/>
        <v>0</v>
      </c>
    </row>
    <row r="128" spans="1:34" ht="13.5">
      <c r="A128" s="112" t="str">
        <f>IF(Base!B126="","",Base!B126)</f>
        <v>07.481.602-9</v>
      </c>
      <c r="B128" s="112" t="str">
        <f>IF(Base!F126="","",Base!F126)</f>
        <v>JORGE PATRICIO  NARVAI  RIVERA</v>
      </c>
      <c r="C128" s="112" t="str">
        <f>IF(Base!I126="","",Base!I126)</f>
        <v>Abastecimiento</v>
      </c>
      <c r="D128" s="113" t="str">
        <f>IF(Base!J126="","",Base!J126)</f>
        <v>Control Ingresos Cen</v>
      </c>
      <c r="E128" s="112">
        <f>IF(Base!H126="","",Base!H126)</f>
        <v>1050126</v>
      </c>
      <c r="J128" s="122">
        <v>118</v>
      </c>
      <c r="K128" s="123"/>
      <c r="L128" s="124" t="str">
        <f t="shared" si="14"/>
        <v/>
      </c>
      <c r="M128" s="124" t="str">
        <f t="shared" si="15"/>
        <v/>
      </c>
      <c r="N128" s="125" t="str">
        <f t="shared" si="16"/>
        <v/>
      </c>
      <c r="O128" s="125" t="str">
        <f t="shared" si="17"/>
        <v/>
      </c>
      <c r="P128" s="126"/>
      <c r="Q128" s="132"/>
      <c r="R128" s="122"/>
      <c r="S128" s="132"/>
      <c r="T128" s="122"/>
      <c r="U128" s="132"/>
      <c r="V128" s="122"/>
      <c r="W128" s="132"/>
      <c r="X128" s="122"/>
      <c r="Y128" s="132"/>
      <c r="Z128" s="122"/>
      <c r="AA128" s="132"/>
      <c r="AB128" s="122"/>
      <c r="AC128" s="132"/>
      <c r="AD128" s="122"/>
      <c r="AE128" s="129">
        <f t="shared" si="19"/>
        <v>0</v>
      </c>
      <c r="AF128" s="129">
        <f t="shared" si="19"/>
        <v>0</v>
      </c>
      <c r="AG128" s="130"/>
      <c r="AH128" s="131">
        <f t="shared" si="18"/>
        <v>0</v>
      </c>
    </row>
    <row r="129" spans="1:34" ht="13.5">
      <c r="A129" s="112" t="str">
        <f>IF(Base!B127="","",Base!B127)</f>
        <v>12.934.132-7</v>
      </c>
      <c r="B129" s="112" t="str">
        <f>IF(Base!F127="","",Base!F127)</f>
        <v>VICTOR IVAN  NITOR  TORRES</v>
      </c>
      <c r="C129" s="112" t="str">
        <f>IF(Base!I127="","",Base!I127)</f>
        <v>Supervisor</v>
      </c>
      <c r="D129" s="113" t="str">
        <f>IF(Base!J127="","",Base!J127)</f>
        <v>Supervisor</v>
      </c>
      <c r="E129" s="112">
        <f>IF(Base!H127="","",Base!H127)</f>
        <v>1050603</v>
      </c>
      <c r="J129" s="122">
        <v>119</v>
      </c>
      <c r="K129" s="123"/>
      <c r="L129" s="124" t="str">
        <f t="shared" si="14"/>
        <v/>
      </c>
      <c r="M129" s="124" t="str">
        <f t="shared" si="15"/>
        <v/>
      </c>
      <c r="N129" s="125" t="str">
        <f t="shared" si="16"/>
        <v/>
      </c>
      <c r="O129" s="125" t="str">
        <f t="shared" si="17"/>
        <v/>
      </c>
      <c r="P129" s="126"/>
      <c r="Q129" s="132"/>
      <c r="R129" s="122"/>
      <c r="S129" s="132"/>
      <c r="T129" s="122"/>
      <c r="U129" s="132"/>
      <c r="V129" s="122"/>
      <c r="W129" s="132"/>
      <c r="X129" s="122"/>
      <c r="Y129" s="132"/>
      <c r="Z129" s="122"/>
      <c r="AA129" s="132"/>
      <c r="AB129" s="122"/>
      <c r="AC129" s="132"/>
      <c r="AD129" s="122"/>
      <c r="AE129" s="129">
        <f t="shared" si="19"/>
        <v>0</v>
      </c>
      <c r="AF129" s="129">
        <f t="shared" si="19"/>
        <v>0</v>
      </c>
      <c r="AG129" s="130"/>
      <c r="AH129" s="131">
        <f t="shared" si="18"/>
        <v>0</v>
      </c>
    </row>
    <row r="130" spans="1:34" ht="13.5">
      <c r="A130" s="112" t="str">
        <f>IF(Base!B128="","",Base!B128)</f>
        <v>04.776.546-3</v>
      </c>
      <c r="B130" s="112" t="str">
        <f>IF(Base!F128="","",Base!F128)</f>
        <v>EUGENIO  OLEKSIUK  SEKOWSKA</v>
      </c>
      <c r="C130" s="112" t="str">
        <f>IF(Base!I128="","",Base!I128)</f>
        <v>Linea 7</v>
      </c>
      <c r="D130" s="113" t="str">
        <f>IF(Base!J128="","",Base!J128)</f>
        <v>Embalador</v>
      </c>
      <c r="E130" s="112">
        <f>IF(Base!H128="","",Base!H128)</f>
        <v>1050616</v>
      </c>
      <c r="J130" s="122">
        <v>120</v>
      </c>
      <c r="K130" s="123"/>
      <c r="L130" s="124" t="str">
        <f t="shared" si="14"/>
        <v/>
      </c>
      <c r="M130" s="124" t="str">
        <f t="shared" si="15"/>
        <v/>
      </c>
      <c r="N130" s="125" t="str">
        <f t="shared" si="16"/>
        <v/>
      </c>
      <c r="O130" s="125" t="str">
        <f t="shared" si="17"/>
        <v/>
      </c>
      <c r="P130" s="126"/>
      <c r="Q130" s="132"/>
      <c r="R130" s="122"/>
      <c r="S130" s="132"/>
      <c r="T130" s="122"/>
      <c r="U130" s="132"/>
      <c r="V130" s="122"/>
      <c r="W130" s="132"/>
      <c r="X130" s="122"/>
      <c r="Y130" s="132"/>
      <c r="Z130" s="122"/>
      <c r="AA130" s="132"/>
      <c r="AB130" s="122"/>
      <c r="AC130" s="132"/>
      <c r="AD130" s="122"/>
      <c r="AE130" s="129">
        <f t="shared" si="19"/>
        <v>0</v>
      </c>
      <c r="AF130" s="129">
        <f t="shared" si="19"/>
        <v>0</v>
      </c>
      <c r="AG130" s="130"/>
      <c r="AH130" s="131">
        <f t="shared" si="18"/>
        <v>0</v>
      </c>
    </row>
    <row r="131" spans="1:34" ht="13.5">
      <c r="A131" s="112" t="str">
        <f>IF(Base!B129="","",Base!B129)</f>
        <v>10.746.078-0</v>
      </c>
      <c r="B131" s="112" t="str">
        <f>IF(Base!F129="","",Base!F129)</f>
        <v>ARMANDO  ORELLANA  OLIVARES</v>
      </c>
      <c r="C131" s="112" t="str">
        <f>IF(Base!I129="","",Base!I129)</f>
        <v>Sala filtros</v>
      </c>
      <c r="D131" s="113" t="str">
        <f>IF(Base!J129="","",Base!J129)</f>
        <v>Operador sala de filtros</v>
      </c>
      <c r="E131" s="112">
        <f>IF(Base!H129="","",Base!H129)</f>
        <v>1050574</v>
      </c>
      <c r="J131" s="122">
        <v>121</v>
      </c>
      <c r="K131" s="123"/>
      <c r="L131" s="124" t="str">
        <f t="shared" si="14"/>
        <v/>
      </c>
      <c r="M131" s="124" t="str">
        <f t="shared" si="15"/>
        <v/>
      </c>
      <c r="N131" s="125" t="str">
        <f t="shared" si="16"/>
        <v/>
      </c>
      <c r="O131" s="125" t="str">
        <f t="shared" si="17"/>
        <v/>
      </c>
      <c r="P131" s="126"/>
      <c r="Q131" s="132"/>
      <c r="R131" s="132"/>
      <c r="S131" s="132"/>
      <c r="T131" s="132"/>
      <c r="U131" s="132"/>
      <c r="V131" s="132"/>
      <c r="W131" s="132"/>
      <c r="X131" s="132"/>
      <c r="Y131" s="132"/>
      <c r="Z131" s="132"/>
      <c r="AA131" s="132"/>
      <c r="AB131" s="132"/>
      <c r="AC131" s="132"/>
      <c r="AD131" s="132"/>
      <c r="AE131" s="129">
        <f t="shared" si="19"/>
        <v>0</v>
      </c>
      <c r="AF131" s="129">
        <f t="shared" si="19"/>
        <v>0</v>
      </c>
      <c r="AG131" s="130"/>
      <c r="AH131" s="131">
        <f t="shared" si="18"/>
        <v>0</v>
      </c>
    </row>
    <row r="132" spans="1:34" ht="13.5">
      <c r="A132" s="112" t="str">
        <f>IF(Base!B130="","",Base!B130)</f>
        <v>15.823.421-1</v>
      </c>
      <c r="B132" s="112" t="str">
        <f>IF(Base!F130="","",Base!F130)</f>
        <v>ALEXIS  ORIAS  ORIAS</v>
      </c>
      <c r="C132" s="112" t="str">
        <f>IF(Base!I130="","",Base!I130)</f>
        <v>Linea 1</v>
      </c>
      <c r="D132" s="113" t="str">
        <f>IF(Base!J130="","",Base!J130)</f>
        <v>Etiquetador</v>
      </c>
      <c r="E132" s="112">
        <f>IF(Base!H130="","",Base!H130)</f>
        <v>1050552</v>
      </c>
      <c r="J132" s="122">
        <v>122</v>
      </c>
      <c r="K132" s="123"/>
      <c r="L132" s="124" t="str">
        <f t="shared" si="14"/>
        <v/>
      </c>
      <c r="M132" s="124" t="str">
        <f t="shared" si="15"/>
        <v/>
      </c>
      <c r="N132" s="125" t="str">
        <f t="shared" si="16"/>
        <v/>
      </c>
      <c r="O132" s="125" t="str">
        <f t="shared" si="17"/>
        <v/>
      </c>
      <c r="P132" s="126"/>
      <c r="Q132" s="132"/>
      <c r="R132" s="132"/>
      <c r="S132" s="132"/>
      <c r="T132" s="132"/>
      <c r="U132" s="132"/>
      <c r="V132" s="132"/>
      <c r="W132" s="132"/>
      <c r="X132" s="132"/>
      <c r="Y132" s="132"/>
      <c r="Z132" s="132"/>
      <c r="AA132" s="132"/>
      <c r="AB132" s="132"/>
      <c r="AC132" s="132"/>
      <c r="AD132" s="132"/>
      <c r="AE132" s="129">
        <f t="shared" si="19"/>
        <v>0</v>
      </c>
      <c r="AF132" s="129">
        <f t="shared" si="19"/>
        <v>0</v>
      </c>
      <c r="AG132" s="130"/>
      <c r="AH132" s="131">
        <f t="shared" si="18"/>
        <v>0</v>
      </c>
    </row>
    <row r="133" spans="1:34" ht="13.5">
      <c r="A133" s="112" t="str">
        <f>IF(Base!B131="","",Base!B131)</f>
        <v>09.503.712-7</v>
      </c>
      <c r="B133" s="112" t="str">
        <f>IF(Base!F131="","",Base!F131)</f>
        <v>MANUEL  ORTIZ  CONTRERAS</v>
      </c>
      <c r="C133" s="112" t="str">
        <f>IF(Base!I131="","",Base!I131)</f>
        <v>Linea 4</v>
      </c>
      <c r="D133" s="113" t="str">
        <f>IF(Base!J131="","",Base!J131)</f>
        <v>Llenador</v>
      </c>
      <c r="E133" s="112">
        <f>IF(Base!H131="","",Base!H131)</f>
        <v>1050557</v>
      </c>
      <c r="J133" s="122">
        <v>123</v>
      </c>
      <c r="K133" s="123"/>
      <c r="L133" s="124" t="str">
        <f t="shared" si="14"/>
        <v/>
      </c>
      <c r="M133" s="124" t="str">
        <f t="shared" si="15"/>
        <v/>
      </c>
      <c r="N133" s="125" t="str">
        <f t="shared" si="16"/>
        <v/>
      </c>
      <c r="O133" s="125" t="str">
        <f t="shared" si="17"/>
        <v/>
      </c>
      <c r="P133" s="126"/>
      <c r="Q133" s="132"/>
      <c r="R133" s="122"/>
      <c r="S133" s="132"/>
      <c r="T133" s="122"/>
      <c r="U133" s="132"/>
      <c r="V133" s="122"/>
      <c r="W133" s="132"/>
      <c r="X133" s="122"/>
      <c r="Y133" s="132"/>
      <c r="Z133" s="122"/>
      <c r="AA133" s="132"/>
      <c r="AB133" s="122"/>
      <c r="AC133" s="132"/>
      <c r="AD133" s="122"/>
      <c r="AE133" s="129">
        <f t="shared" si="19"/>
        <v>0</v>
      </c>
      <c r="AF133" s="129">
        <f t="shared" si="19"/>
        <v>0</v>
      </c>
      <c r="AG133" s="130"/>
      <c r="AH133" s="131">
        <f t="shared" si="18"/>
        <v>0</v>
      </c>
    </row>
    <row r="134" spans="1:34" ht="13.5">
      <c r="A134" s="112" t="str">
        <f>IF(Base!B132="","",Base!B132)</f>
        <v>08.272.509-1</v>
      </c>
      <c r="B134" s="112" t="str">
        <f>IF(Base!F132="","",Base!F132)</f>
        <v>JORGE MANUEL  OSORIO  OSORIO</v>
      </c>
      <c r="C134" s="112" t="str">
        <f>IF(Base!I132="","",Base!I132)</f>
        <v>Linea 7</v>
      </c>
      <c r="D134" s="113" t="str">
        <f>IF(Base!J132="","",Base!J132)</f>
        <v>Despalletizador</v>
      </c>
      <c r="E134" s="112">
        <f>IF(Base!H132="","",Base!H132)</f>
        <v>1050616</v>
      </c>
      <c r="J134" s="122">
        <v>124</v>
      </c>
      <c r="K134" s="123"/>
      <c r="L134" s="124" t="str">
        <f t="shared" si="14"/>
        <v/>
      </c>
      <c r="M134" s="124" t="str">
        <f t="shared" si="15"/>
        <v/>
      </c>
      <c r="N134" s="125" t="str">
        <f t="shared" si="16"/>
        <v/>
      </c>
      <c r="O134" s="125" t="str">
        <f t="shared" si="17"/>
        <v/>
      </c>
      <c r="P134" s="126"/>
      <c r="Q134" s="132"/>
      <c r="R134" s="122"/>
      <c r="S134" s="132"/>
      <c r="T134" s="122"/>
      <c r="U134" s="132"/>
      <c r="V134" s="122"/>
      <c r="W134" s="132"/>
      <c r="X134" s="122"/>
      <c r="Y134" s="132"/>
      <c r="Z134" s="122"/>
      <c r="AA134" s="132"/>
      <c r="AB134" s="122"/>
      <c r="AC134" s="132"/>
      <c r="AD134" s="122"/>
      <c r="AE134" s="129">
        <f t="shared" si="19"/>
        <v>0</v>
      </c>
      <c r="AF134" s="129">
        <f t="shared" si="19"/>
        <v>0</v>
      </c>
      <c r="AG134" s="130"/>
      <c r="AH134" s="131">
        <f t="shared" si="18"/>
        <v>0</v>
      </c>
    </row>
    <row r="135" spans="1:34" ht="13.5">
      <c r="A135" s="112" t="str">
        <f>IF(Base!B133="","",Base!B133)</f>
        <v>13.681.026-K</v>
      </c>
      <c r="B135" s="112" t="str">
        <f>IF(Base!F133="","",Base!F133)</f>
        <v>JULIO HERNAN  OYANEDEL  COFRE</v>
      </c>
      <c r="C135" s="112" t="str">
        <f>IF(Base!I133="","",Base!I133)</f>
        <v>Abastecimiento</v>
      </c>
      <c r="D135" s="113" t="str">
        <f>IF(Base!J133="","",Base!J133)</f>
        <v>Almacen Insumos Pque</v>
      </c>
      <c r="E135" s="112">
        <f>IF(Base!H133="","",Base!H133)</f>
        <v>1050581</v>
      </c>
      <c r="J135" s="122">
        <v>125</v>
      </c>
      <c r="K135" s="123"/>
      <c r="L135" s="124" t="str">
        <f t="shared" si="14"/>
        <v/>
      </c>
      <c r="M135" s="124" t="str">
        <f t="shared" si="15"/>
        <v/>
      </c>
      <c r="N135" s="125" t="str">
        <f t="shared" si="16"/>
        <v/>
      </c>
      <c r="O135" s="125" t="str">
        <f t="shared" si="17"/>
        <v/>
      </c>
      <c r="P135" s="126"/>
      <c r="Q135" s="132"/>
      <c r="R135" s="122"/>
      <c r="S135" s="132"/>
      <c r="T135" s="122"/>
      <c r="U135" s="132"/>
      <c r="V135" s="122"/>
      <c r="W135" s="132"/>
      <c r="X135" s="122"/>
      <c r="Y135" s="132"/>
      <c r="Z135" s="122"/>
      <c r="AA135" s="132"/>
      <c r="AB135" s="122"/>
      <c r="AC135" s="132"/>
      <c r="AD135" s="122"/>
      <c r="AE135" s="129">
        <f t="shared" si="19"/>
        <v>0</v>
      </c>
      <c r="AF135" s="129">
        <f t="shared" si="19"/>
        <v>0</v>
      </c>
      <c r="AG135" s="130"/>
      <c r="AH135" s="131">
        <f t="shared" si="18"/>
        <v>0</v>
      </c>
    </row>
    <row r="136" spans="1:34" ht="13.5">
      <c r="A136" s="112" t="str">
        <f>IF(Base!B134="","",Base!B134)</f>
        <v>14.017.495-5</v>
      </c>
      <c r="B136" s="112" t="str">
        <f>IF(Base!F134="","",Base!F134)</f>
        <v>CARLOS EUGENIO  OYARCE  DIAZ</v>
      </c>
      <c r="C136" s="112" t="str">
        <f>IF(Base!I134="","",Base!I134)</f>
        <v>Abastecimiento</v>
      </c>
      <c r="D136" s="113" t="str">
        <f>IF(Base!J134="","",Base!J134)</f>
        <v>Control Ingresos Cen</v>
      </c>
      <c r="E136" s="112">
        <f>IF(Base!H134="","",Base!H134)</f>
        <v>1050126</v>
      </c>
      <c r="J136" s="122">
        <v>126</v>
      </c>
      <c r="K136" s="123"/>
      <c r="L136" s="124" t="str">
        <f t="shared" si="14"/>
        <v/>
      </c>
      <c r="M136" s="124" t="str">
        <f t="shared" si="15"/>
        <v/>
      </c>
      <c r="N136" s="125" t="str">
        <f t="shared" si="16"/>
        <v/>
      </c>
      <c r="O136" s="125" t="str">
        <f t="shared" si="17"/>
        <v/>
      </c>
      <c r="P136" s="126"/>
      <c r="Q136" s="132"/>
      <c r="R136" s="132"/>
      <c r="S136" s="132"/>
      <c r="T136" s="132"/>
      <c r="U136" s="132"/>
      <c r="V136" s="132"/>
      <c r="W136" s="132"/>
      <c r="X136" s="132"/>
      <c r="Y136" s="132"/>
      <c r="Z136" s="132"/>
      <c r="AA136" s="132"/>
      <c r="AB136" s="132"/>
      <c r="AC136" s="132"/>
      <c r="AD136" s="132"/>
      <c r="AE136" s="129">
        <f t="shared" si="19"/>
        <v>0</v>
      </c>
      <c r="AF136" s="129">
        <f t="shared" si="19"/>
        <v>0</v>
      </c>
      <c r="AG136" s="130"/>
      <c r="AH136" s="131">
        <f t="shared" si="18"/>
        <v>0</v>
      </c>
    </row>
    <row r="137" spans="1:34" ht="13.5">
      <c r="A137" s="112" t="str">
        <f>IF(Base!B135="","",Base!B135)</f>
        <v>17.543.156-K</v>
      </c>
      <c r="B137" s="112" t="str">
        <f>IF(Base!F135="","",Base!F135)</f>
        <v>FELIPE ANDRES  PALACIOS  VENEGAS</v>
      </c>
      <c r="C137" s="112" t="str">
        <f>IF(Base!I135="","",Base!I135)</f>
        <v>Linea 6</v>
      </c>
      <c r="D137" s="113" t="str">
        <f>IF(Base!J135="","",Base!J135)</f>
        <v>Despalletizador</v>
      </c>
      <c r="E137" s="112">
        <f>IF(Base!H135="","",Base!H135)</f>
        <v>1050609</v>
      </c>
      <c r="J137" s="122">
        <v>127</v>
      </c>
      <c r="K137" s="123"/>
      <c r="L137" s="124" t="str">
        <f t="shared" si="14"/>
        <v/>
      </c>
      <c r="M137" s="124" t="str">
        <f t="shared" si="15"/>
        <v/>
      </c>
      <c r="N137" s="125" t="str">
        <f t="shared" si="16"/>
        <v/>
      </c>
      <c r="O137" s="125" t="str">
        <f t="shared" si="17"/>
        <v/>
      </c>
      <c r="P137" s="126"/>
      <c r="Q137" s="132"/>
      <c r="R137" s="132"/>
      <c r="S137" s="132"/>
      <c r="T137" s="132"/>
      <c r="U137" s="132"/>
      <c r="V137" s="132"/>
      <c r="W137" s="132"/>
      <c r="X137" s="132"/>
      <c r="Y137" s="132"/>
      <c r="Z137" s="132"/>
      <c r="AA137" s="132"/>
      <c r="AB137" s="132"/>
      <c r="AC137" s="132"/>
      <c r="AD137" s="132"/>
      <c r="AE137" s="129">
        <f t="shared" si="19"/>
        <v>0</v>
      </c>
      <c r="AF137" s="129">
        <f t="shared" si="19"/>
        <v>0</v>
      </c>
      <c r="AG137" s="130"/>
      <c r="AH137" s="131">
        <f t="shared" si="18"/>
        <v>0</v>
      </c>
    </row>
    <row r="138" spans="1:34" ht="13.5">
      <c r="A138" s="112" t="str">
        <f>IF(Base!B136="","",Base!B136)</f>
        <v>11.054.986-5</v>
      </c>
      <c r="B138" s="112" t="str">
        <f>IF(Base!F136="","",Base!F136)</f>
        <v>CLAUDIA  PALAVECINOS  SEPULVEDA</v>
      </c>
      <c r="C138" s="112" t="str">
        <f>IF(Base!I136="","",Base!I136)</f>
        <v>Linea 2</v>
      </c>
      <c r="D138" s="113" t="str">
        <f>IF(Base!J136="","",Base!J136)</f>
        <v>Inspector etiqueta</v>
      </c>
      <c r="E138" s="112">
        <f>IF(Base!H136="","",Base!H136)</f>
        <v>1050554</v>
      </c>
      <c r="J138" s="122">
        <v>128</v>
      </c>
      <c r="K138" s="123"/>
      <c r="L138" s="124" t="str">
        <f t="shared" si="14"/>
        <v/>
      </c>
      <c r="M138" s="124" t="str">
        <f t="shared" si="15"/>
        <v/>
      </c>
      <c r="N138" s="125" t="str">
        <f t="shared" si="16"/>
        <v/>
      </c>
      <c r="O138" s="125" t="str">
        <f t="shared" si="17"/>
        <v/>
      </c>
      <c r="P138" s="126"/>
      <c r="Q138" s="132"/>
      <c r="R138" s="122"/>
      <c r="S138" s="132"/>
      <c r="T138" s="122"/>
      <c r="U138" s="132"/>
      <c r="V138" s="122"/>
      <c r="W138" s="132"/>
      <c r="X138" s="122"/>
      <c r="Y138" s="132"/>
      <c r="Z138" s="122"/>
      <c r="AA138" s="132"/>
      <c r="AB138" s="122"/>
      <c r="AC138" s="132"/>
      <c r="AD138" s="122"/>
      <c r="AE138" s="129">
        <f t="shared" si="19"/>
        <v>0</v>
      </c>
      <c r="AF138" s="129">
        <f t="shared" si="19"/>
        <v>0</v>
      </c>
      <c r="AG138" s="130"/>
      <c r="AH138" s="131">
        <f t="shared" si="18"/>
        <v>0</v>
      </c>
    </row>
    <row r="139" spans="1:34" ht="13.5">
      <c r="A139" s="112" t="str">
        <f>IF(Base!B137="","",Base!B137)</f>
        <v>12.898.844-0</v>
      </c>
      <c r="B139" s="112" t="str">
        <f>IF(Base!F137="","",Base!F137)</f>
        <v>DANIEL H.  PALMA  CLARO</v>
      </c>
      <c r="C139" s="112" t="str">
        <f>IF(Base!I137="","",Base!I137)</f>
        <v>Monitor Embalado</v>
      </c>
      <c r="D139" s="113" t="str">
        <f>IF(Base!J137="","",Base!J137)</f>
        <v>Monitor Embalado</v>
      </c>
      <c r="E139" s="112">
        <f>IF(Base!H137="","",Base!H137)</f>
        <v>1050604</v>
      </c>
      <c r="J139" s="122">
        <v>129</v>
      </c>
      <c r="K139" s="123"/>
      <c r="L139" s="124" t="str">
        <f t="shared" si="14"/>
        <v/>
      </c>
      <c r="M139" s="124" t="str">
        <f t="shared" si="15"/>
        <v/>
      </c>
      <c r="N139" s="125" t="str">
        <f t="shared" si="16"/>
        <v/>
      </c>
      <c r="O139" s="125" t="str">
        <f t="shared" si="17"/>
        <v/>
      </c>
      <c r="P139" s="126"/>
      <c r="Q139" s="132"/>
      <c r="R139" s="122"/>
      <c r="S139" s="132"/>
      <c r="T139" s="122"/>
      <c r="U139" s="132"/>
      <c r="V139" s="122"/>
      <c r="W139" s="132"/>
      <c r="X139" s="122"/>
      <c r="Y139" s="132"/>
      <c r="Z139" s="122"/>
      <c r="AA139" s="132"/>
      <c r="AB139" s="122"/>
      <c r="AC139" s="132"/>
      <c r="AD139" s="122"/>
      <c r="AE139" s="129">
        <f t="shared" si="19"/>
        <v>0</v>
      </c>
      <c r="AF139" s="129">
        <f t="shared" si="19"/>
        <v>0</v>
      </c>
      <c r="AG139" s="130"/>
      <c r="AH139" s="131">
        <f t="shared" si="18"/>
        <v>0</v>
      </c>
    </row>
    <row r="140" spans="1:34" ht="13.5">
      <c r="A140" s="112" t="str">
        <f>IF(Base!B138="","",Base!B138)</f>
        <v>10.876.404-K</v>
      </c>
      <c r="B140" s="112" t="str">
        <f>IF(Base!F138="","",Base!F138)</f>
        <v>LUIS RAFAEL  PALMA  MIRANDA</v>
      </c>
      <c r="C140" s="112" t="str">
        <f>IF(Base!I138="","",Base!I138)</f>
        <v>Linea 1</v>
      </c>
      <c r="D140" s="113" t="str">
        <f>IF(Base!J138="","",Base!J138)</f>
        <v>Llenador</v>
      </c>
      <c r="E140" s="112">
        <f>IF(Base!H138="","",Base!H138)</f>
        <v>1050551</v>
      </c>
      <c r="J140" s="122">
        <v>130</v>
      </c>
      <c r="K140" s="123"/>
      <c r="L140" s="124" t="str">
        <f t="shared" ref="L140:L203" si="20">IF(K140="","",VLOOKUP($K140,A:D,2,FALSE))</f>
        <v/>
      </c>
      <c r="M140" s="124" t="str">
        <f t="shared" ref="M140:M203" si="21">IF(K140="","",VLOOKUP(K140,A:E,5,FALSE))</f>
        <v/>
      </c>
      <c r="N140" s="125" t="str">
        <f t="shared" ref="N140:N203" si="22">IF(K140="","",VLOOKUP(K140,A:C,3,FALSE))</f>
        <v/>
      </c>
      <c r="O140" s="125" t="str">
        <f t="shared" ref="O140:O203" si="23">IF(K140="","",VLOOKUP(K140,A:D,4,FALSE))</f>
        <v/>
      </c>
      <c r="P140" s="126"/>
      <c r="Q140" s="132"/>
      <c r="R140" s="122"/>
      <c r="S140" s="132"/>
      <c r="T140" s="122"/>
      <c r="U140" s="132"/>
      <c r="V140" s="122"/>
      <c r="W140" s="132"/>
      <c r="X140" s="122"/>
      <c r="Y140" s="132"/>
      <c r="Z140" s="122"/>
      <c r="AA140" s="132"/>
      <c r="AB140" s="122"/>
      <c r="AC140" s="132"/>
      <c r="AD140" s="122"/>
      <c r="AE140" s="129">
        <f t="shared" si="19"/>
        <v>0</v>
      </c>
      <c r="AF140" s="129">
        <f t="shared" si="19"/>
        <v>0</v>
      </c>
      <c r="AG140" s="130"/>
      <c r="AH140" s="131">
        <f t="shared" ref="AH140:AH203" si="24">SUM(AE140:AF140)</f>
        <v>0</v>
      </c>
    </row>
    <row r="141" spans="1:34" ht="13.5">
      <c r="A141" s="112" t="str">
        <f>IF(Base!B139="","",Base!B139)</f>
        <v>07.815.083-1</v>
      </c>
      <c r="B141" s="112" t="str">
        <f>IF(Base!F139="","",Base!F139)</f>
        <v>ELOY ENRIQUE  PALMA  SEREÑO</v>
      </c>
      <c r="C141" s="112" t="str">
        <f>IF(Base!I139="","",Base!I139)</f>
        <v>Linea 2</v>
      </c>
      <c r="D141" s="113" t="str">
        <f>IF(Base!J139="","",Base!J139)</f>
        <v>Etiquetador</v>
      </c>
      <c r="E141" s="112">
        <f>IF(Base!H139="","",Base!H139)</f>
        <v>1050554</v>
      </c>
      <c r="J141" s="122">
        <v>131</v>
      </c>
      <c r="K141" s="123"/>
      <c r="L141" s="124" t="str">
        <f t="shared" si="20"/>
        <v/>
      </c>
      <c r="M141" s="124" t="str">
        <f t="shared" si="21"/>
        <v/>
      </c>
      <c r="N141" s="125" t="str">
        <f t="shared" si="22"/>
        <v/>
      </c>
      <c r="O141" s="125" t="str">
        <f t="shared" si="23"/>
        <v/>
      </c>
      <c r="P141" s="126"/>
      <c r="Q141" s="132"/>
      <c r="R141" s="132"/>
      <c r="S141" s="132"/>
      <c r="T141" s="132"/>
      <c r="U141" s="132"/>
      <c r="V141" s="132"/>
      <c r="W141" s="132"/>
      <c r="X141" s="132"/>
      <c r="Y141" s="132"/>
      <c r="Z141" s="132"/>
      <c r="AA141" s="132"/>
      <c r="AB141" s="132"/>
      <c r="AC141" s="132"/>
      <c r="AD141" s="132"/>
      <c r="AE141" s="129">
        <f t="shared" si="19"/>
        <v>0</v>
      </c>
      <c r="AF141" s="129">
        <f t="shared" si="19"/>
        <v>0</v>
      </c>
      <c r="AG141" s="130"/>
      <c r="AH141" s="131">
        <f t="shared" si="24"/>
        <v>0</v>
      </c>
    </row>
    <row r="142" spans="1:34" ht="13.5">
      <c r="A142" s="112" t="str">
        <f>IF(Base!B140="","",Base!B140)</f>
        <v>06.646.724-4</v>
      </c>
      <c r="B142" s="112" t="str">
        <f>IF(Base!F140="","",Base!F140)</f>
        <v>JUAN RAMON  PALMA  SEREÑO</v>
      </c>
      <c r="C142" s="112" t="str">
        <f>IF(Base!I140="","",Base!I140)</f>
        <v>Linea 3</v>
      </c>
      <c r="D142" s="113" t="str">
        <f>IF(Base!J140="","",Base!J140)</f>
        <v>Llenador</v>
      </c>
      <c r="E142" s="112">
        <f>IF(Base!H140="","",Base!H140)</f>
        <v>1050555</v>
      </c>
      <c r="J142" s="122">
        <v>132</v>
      </c>
      <c r="K142" s="123"/>
      <c r="L142" s="124" t="str">
        <f t="shared" si="20"/>
        <v/>
      </c>
      <c r="M142" s="124" t="str">
        <f t="shared" si="21"/>
        <v/>
      </c>
      <c r="N142" s="125" t="str">
        <f t="shared" si="22"/>
        <v/>
      </c>
      <c r="O142" s="125" t="str">
        <f t="shared" si="23"/>
        <v/>
      </c>
      <c r="P142" s="126"/>
      <c r="Q142" s="132"/>
      <c r="R142" s="132"/>
      <c r="S142" s="132"/>
      <c r="T142" s="132"/>
      <c r="U142" s="132"/>
      <c r="V142" s="132"/>
      <c r="W142" s="132"/>
      <c r="X142" s="132"/>
      <c r="Y142" s="132"/>
      <c r="Z142" s="132"/>
      <c r="AA142" s="132"/>
      <c r="AB142" s="132"/>
      <c r="AC142" s="132"/>
      <c r="AD142" s="132"/>
      <c r="AE142" s="129">
        <f t="shared" si="19"/>
        <v>0</v>
      </c>
      <c r="AF142" s="129">
        <f t="shared" si="19"/>
        <v>0</v>
      </c>
      <c r="AG142" s="130"/>
      <c r="AH142" s="131">
        <f t="shared" si="24"/>
        <v>0</v>
      </c>
    </row>
    <row r="143" spans="1:34" ht="13.5">
      <c r="A143" s="112" t="str">
        <f>IF(Base!B141="","",Base!B141)</f>
        <v>09.488.801-8</v>
      </c>
      <c r="B143" s="112" t="str">
        <f>IF(Base!F141="","",Base!F141)</f>
        <v>LUIS RICARDO  PALMA  SEREÑO</v>
      </c>
      <c r="C143" s="112" t="str">
        <f>IF(Base!I141="","",Base!I141)</f>
        <v>Linea 3</v>
      </c>
      <c r="D143" s="113" t="str">
        <f>IF(Base!J141="","",Base!J141)</f>
        <v>Llenador</v>
      </c>
      <c r="E143" s="112">
        <f>IF(Base!H141="","",Base!H141)</f>
        <v>1050555</v>
      </c>
      <c r="J143" s="122">
        <v>133</v>
      </c>
      <c r="K143" s="123"/>
      <c r="L143" s="124" t="str">
        <f t="shared" si="20"/>
        <v/>
      </c>
      <c r="M143" s="124" t="str">
        <f t="shared" si="21"/>
        <v/>
      </c>
      <c r="N143" s="125" t="str">
        <f t="shared" si="22"/>
        <v/>
      </c>
      <c r="O143" s="125" t="str">
        <f t="shared" si="23"/>
        <v/>
      </c>
      <c r="P143" s="126"/>
      <c r="Q143" s="132"/>
      <c r="R143" s="122"/>
      <c r="S143" s="132"/>
      <c r="T143" s="122"/>
      <c r="U143" s="132"/>
      <c r="V143" s="122"/>
      <c r="W143" s="132"/>
      <c r="X143" s="122"/>
      <c r="Y143" s="132"/>
      <c r="Z143" s="122"/>
      <c r="AA143" s="132"/>
      <c r="AB143" s="122"/>
      <c r="AC143" s="132"/>
      <c r="AD143" s="122"/>
      <c r="AE143" s="129">
        <f t="shared" si="19"/>
        <v>0</v>
      </c>
      <c r="AF143" s="129">
        <f t="shared" si="19"/>
        <v>0</v>
      </c>
      <c r="AG143" s="130"/>
      <c r="AH143" s="131">
        <f t="shared" si="24"/>
        <v>0</v>
      </c>
    </row>
    <row r="144" spans="1:34" ht="13.5">
      <c r="A144" s="112" t="str">
        <f>IF(Base!B142="","",Base!B142)</f>
        <v>15.786.314-2</v>
      </c>
      <c r="B144" s="112" t="str">
        <f>IF(Base!F142="","",Base!F142)</f>
        <v>JUAN PABLO  PALMA  VERA</v>
      </c>
      <c r="C144" s="112" t="str">
        <f>IF(Base!I142="","",Base!I142)</f>
        <v>Linea 7</v>
      </c>
      <c r="D144" s="113" t="str">
        <f>IF(Base!J142="","",Base!J142)</f>
        <v>Palletizador</v>
      </c>
      <c r="E144" s="112">
        <f>IF(Base!H142="","",Base!H142)</f>
        <v>1050616</v>
      </c>
      <c r="J144" s="122">
        <v>134</v>
      </c>
      <c r="K144" s="123"/>
      <c r="L144" s="124" t="str">
        <f t="shared" si="20"/>
        <v/>
      </c>
      <c r="M144" s="124" t="str">
        <f t="shared" si="21"/>
        <v/>
      </c>
      <c r="N144" s="125" t="str">
        <f t="shared" si="22"/>
        <v/>
      </c>
      <c r="O144" s="125" t="str">
        <f t="shared" si="23"/>
        <v/>
      </c>
      <c r="P144" s="126"/>
      <c r="Q144" s="132"/>
      <c r="R144" s="122"/>
      <c r="S144" s="132"/>
      <c r="T144" s="122"/>
      <c r="U144" s="132"/>
      <c r="V144" s="122"/>
      <c r="W144" s="132"/>
      <c r="X144" s="122"/>
      <c r="Y144" s="132"/>
      <c r="Z144" s="122"/>
      <c r="AA144" s="132"/>
      <c r="AB144" s="122"/>
      <c r="AC144" s="132"/>
      <c r="AD144" s="122"/>
      <c r="AE144" s="129">
        <f t="shared" si="19"/>
        <v>0</v>
      </c>
      <c r="AF144" s="129">
        <f t="shared" si="19"/>
        <v>0</v>
      </c>
      <c r="AG144" s="130"/>
      <c r="AH144" s="131">
        <f t="shared" si="24"/>
        <v>0</v>
      </c>
    </row>
    <row r="145" spans="1:34" ht="13.5">
      <c r="A145" s="112" t="str">
        <f>IF(Base!B143="","",Base!B143)</f>
        <v>16.266.817-K</v>
      </c>
      <c r="B145" s="112" t="str">
        <f>IF(Base!F143="","",Base!F143)</f>
        <v>RODRIGO ALEJANDRO  PEREZ  PADILLA</v>
      </c>
      <c r="C145" s="112" t="str">
        <f>IF(Base!I143="","",Base!I143)</f>
        <v>Abastecimiento</v>
      </c>
      <c r="D145" s="113" t="str">
        <f>IF(Base!J143="","",Base!J143)</f>
        <v>Preparación de Insum</v>
      </c>
      <c r="E145" s="112">
        <f>IF(Base!H143="","",Base!H143)</f>
        <v>1050127</v>
      </c>
      <c r="J145" s="122">
        <v>135</v>
      </c>
      <c r="K145" s="123"/>
      <c r="L145" s="124" t="str">
        <f t="shared" si="20"/>
        <v/>
      </c>
      <c r="M145" s="124" t="str">
        <f t="shared" si="21"/>
        <v/>
      </c>
      <c r="N145" s="125" t="str">
        <f t="shared" si="22"/>
        <v/>
      </c>
      <c r="O145" s="125" t="str">
        <f t="shared" si="23"/>
        <v/>
      </c>
      <c r="P145" s="126"/>
      <c r="Q145" s="132"/>
      <c r="R145" s="122"/>
      <c r="S145" s="132"/>
      <c r="T145" s="122"/>
      <c r="U145" s="132"/>
      <c r="V145" s="122"/>
      <c r="W145" s="132"/>
      <c r="X145" s="122"/>
      <c r="Y145" s="132"/>
      <c r="Z145" s="122"/>
      <c r="AA145" s="132"/>
      <c r="AB145" s="122"/>
      <c r="AC145" s="132"/>
      <c r="AD145" s="122"/>
      <c r="AE145" s="129">
        <f t="shared" si="19"/>
        <v>0</v>
      </c>
      <c r="AF145" s="129">
        <f t="shared" si="19"/>
        <v>0</v>
      </c>
      <c r="AG145" s="130"/>
      <c r="AH145" s="131">
        <f t="shared" si="24"/>
        <v>0</v>
      </c>
    </row>
    <row r="146" spans="1:34" ht="13.5">
      <c r="A146" s="112" t="str">
        <f>IF(Base!B144="","",Base!B144)</f>
        <v>20.342.651-8</v>
      </c>
      <c r="B146" s="112" t="str">
        <f>IF(Base!F144="","",Base!F144)</f>
        <v>CARLOS PATRICIO  PEREZ  SALAZAR</v>
      </c>
      <c r="C146" s="112" t="str">
        <f>IF(Base!I144="","",Base!I144)</f>
        <v>Sala filtros</v>
      </c>
      <c r="D146" s="113" t="str">
        <f>IF(Base!J144="","",Base!J144)</f>
        <v>Operador sala de filtros</v>
      </c>
      <c r="E146" s="112">
        <f>IF(Base!H144="","",Base!H144)</f>
        <v>1050574</v>
      </c>
      <c r="J146" s="122">
        <v>136</v>
      </c>
      <c r="K146" s="123"/>
      <c r="L146" s="124" t="str">
        <f t="shared" si="20"/>
        <v/>
      </c>
      <c r="M146" s="124" t="str">
        <f t="shared" si="21"/>
        <v/>
      </c>
      <c r="N146" s="125" t="str">
        <f t="shared" si="22"/>
        <v/>
      </c>
      <c r="O146" s="125" t="str">
        <f t="shared" si="23"/>
        <v/>
      </c>
      <c r="P146" s="126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2"/>
      <c r="AE146" s="129">
        <f t="shared" si="19"/>
        <v>0</v>
      </c>
      <c r="AF146" s="129">
        <f t="shared" si="19"/>
        <v>0</v>
      </c>
      <c r="AG146" s="130"/>
      <c r="AH146" s="131">
        <f t="shared" si="24"/>
        <v>0</v>
      </c>
    </row>
    <row r="147" spans="1:34" ht="13.5">
      <c r="A147" s="112" t="str">
        <f>IF(Base!B145="","",Base!B145)</f>
        <v>09.608.532-K</v>
      </c>
      <c r="B147" s="112" t="str">
        <f>IF(Base!F145="","",Base!F145)</f>
        <v>LUIS  PEZO  ANRIQUEZ</v>
      </c>
      <c r="C147" s="112" t="str">
        <f>IF(Base!I145="","",Base!I145)</f>
        <v>Supervisor</v>
      </c>
      <c r="D147" s="113" t="str">
        <f>IF(Base!J145="","",Base!J145)</f>
        <v>Supervisor</v>
      </c>
      <c r="E147" s="112">
        <f>IF(Base!H145="","",Base!H145)</f>
        <v>1050603</v>
      </c>
      <c r="J147" s="122">
        <v>137</v>
      </c>
      <c r="K147" s="123"/>
      <c r="L147" s="124" t="str">
        <f t="shared" si="20"/>
        <v/>
      </c>
      <c r="M147" s="124" t="str">
        <f t="shared" si="21"/>
        <v/>
      </c>
      <c r="N147" s="125" t="str">
        <f t="shared" si="22"/>
        <v/>
      </c>
      <c r="O147" s="125" t="str">
        <f t="shared" si="23"/>
        <v/>
      </c>
      <c r="P147" s="126"/>
      <c r="Q147" s="132"/>
      <c r="R147" s="132"/>
      <c r="S147" s="132"/>
      <c r="T147" s="132"/>
      <c r="U147" s="132"/>
      <c r="V147" s="132"/>
      <c r="W147" s="132"/>
      <c r="X147" s="132"/>
      <c r="Y147" s="132"/>
      <c r="Z147" s="132"/>
      <c r="AA147" s="132"/>
      <c r="AB147" s="132"/>
      <c r="AC147" s="132"/>
      <c r="AD147" s="132"/>
      <c r="AE147" s="129">
        <f t="shared" si="19"/>
        <v>0</v>
      </c>
      <c r="AF147" s="129">
        <f t="shared" si="19"/>
        <v>0</v>
      </c>
      <c r="AG147" s="130"/>
      <c r="AH147" s="131">
        <f t="shared" si="24"/>
        <v>0</v>
      </c>
    </row>
    <row r="148" spans="1:34" ht="13.5">
      <c r="A148" s="112" t="str">
        <f>IF(Base!B146="","",Base!B146)</f>
        <v>12.020.450-5</v>
      </c>
      <c r="B148" s="112" t="str">
        <f>IF(Base!F146="","",Base!F146)</f>
        <v>ROBERTO  PINEDA  PEREZ</v>
      </c>
      <c r="C148" s="112" t="str">
        <f>IF(Base!I146="","",Base!I146)</f>
        <v>Abastecimiento</v>
      </c>
      <c r="D148" s="113" t="str">
        <f>IF(Base!J146="","",Base!J146)</f>
        <v>Control Ingresos Cen</v>
      </c>
      <c r="E148" s="112">
        <f>IF(Base!H146="","",Base!H146)</f>
        <v>1050126</v>
      </c>
      <c r="J148" s="122">
        <v>138</v>
      </c>
      <c r="K148" s="123"/>
      <c r="L148" s="124" t="str">
        <f t="shared" si="20"/>
        <v/>
      </c>
      <c r="M148" s="124" t="str">
        <f t="shared" si="21"/>
        <v/>
      </c>
      <c r="N148" s="125" t="str">
        <f t="shared" si="22"/>
        <v/>
      </c>
      <c r="O148" s="125" t="str">
        <f t="shared" si="23"/>
        <v/>
      </c>
      <c r="P148" s="126"/>
      <c r="Q148" s="132"/>
      <c r="R148" s="122"/>
      <c r="S148" s="132"/>
      <c r="T148" s="122"/>
      <c r="U148" s="132"/>
      <c r="V148" s="122"/>
      <c r="W148" s="132"/>
      <c r="X148" s="122"/>
      <c r="Y148" s="132"/>
      <c r="Z148" s="122"/>
      <c r="AA148" s="132"/>
      <c r="AB148" s="122"/>
      <c r="AC148" s="132"/>
      <c r="AD148" s="122"/>
      <c r="AE148" s="129">
        <f t="shared" si="19"/>
        <v>0</v>
      </c>
      <c r="AF148" s="129">
        <f t="shared" si="19"/>
        <v>0</v>
      </c>
      <c r="AG148" s="130"/>
      <c r="AH148" s="131">
        <f t="shared" si="24"/>
        <v>0</v>
      </c>
    </row>
    <row r="149" spans="1:34" ht="13.5">
      <c r="A149" s="112" t="str">
        <f>IF(Base!B147="","",Base!B147)</f>
        <v>06.528.911-3</v>
      </c>
      <c r="B149" s="112" t="str">
        <f>IF(Base!F147="","",Base!F147)</f>
        <v>CARLOS  PINO  MARTINEZ</v>
      </c>
      <c r="C149" s="112" t="str">
        <f>IF(Base!I147="","",Base!I147)</f>
        <v>Linea 2</v>
      </c>
      <c r="D149" s="113" t="str">
        <f>IF(Base!J147="","",Base!J147)</f>
        <v>Capsulado</v>
      </c>
      <c r="E149" s="112">
        <f>IF(Base!H147="","",Base!H147)</f>
        <v>1050554</v>
      </c>
      <c r="J149" s="122">
        <v>139</v>
      </c>
      <c r="K149" s="123"/>
      <c r="L149" s="124" t="str">
        <f t="shared" si="20"/>
        <v/>
      </c>
      <c r="M149" s="124" t="str">
        <f t="shared" si="21"/>
        <v/>
      </c>
      <c r="N149" s="125" t="str">
        <f t="shared" si="22"/>
        <v/>
      </c>
      <c r="O149" s="125" t="str">
        <f t="shared" si="23"/>
        <v/>
      </c>
      <c r="P149" s="126"/>
      <c r="Q149" s="132"/>
      <c r="R149" s="122"/>
      <c r="S149" s="132"/>
      <c r="T149" s="122"/>
      <c r="U149" s="132"/>
      <c r="V149" s="122"/>
      <c r="W149" s="132"/>
      <c r="X149" s="122"/>
      <c r="Y149" s="132"/>
      <c r="Z149" s="122"/>
      <c r="AA149" s="132"/>
      <c r="AB149" s="122"/>
      <c r="AC149" s="132"/>
      <c r="AD149" s="122"/>
      <c r="AE149" s="129">
        <f t="shared" si="19"/>
        <v>0</v>
      </c>
      <c r="AF149" s="129">
        <f t="shared" si="19"/>
        <v>0</v>
      </c>
      <c r="AG149" s="130"/>
      <c r="AH149" s="131">
        <f t="shared" si="24"/>
        <v>0</v>
      </c>
    </row>
    <row r="150" spans="1:34" ht="13.5">
      <c r="A150" s="112" t="str">
        <f>IF(Base!B148="","",Base!B148)</f>
        <v>06.010.169-8</v>
      </c>
      <c r="B150" s="112" t="str">
        <f>IF(Base!F148="","",Base!F148)</f>
        <v>GUILLERMO  PINO  QUINTANILLA</v>
      </c>
      <c r="C150" s="112" t="str">
        <f>IF(Base!I148="","",Base!I148)</f>
        <v>Linea 7</v>
      </c>
      <c r="D150" s="113" t="str">
        <f>IF(Base!J148="","",Base!J148)</f>
        <v>Embalador</v>
      </c>
      <c r="E150" s="112">
        <f>IF(Base!H148="","",Base!H148)</f>
        <v>1050616</v>
      </c>
      <c r="J150" s="122">
        <v>140</v>
      </c>
      <c r="K150" s="123"/>
      <c r="L150" s="124" t="str">
        <f t="shared" si="20"/>
        <v/>
      </c>
      <c r="M150" s="124" t="str">
        <f t="shared" si="21"/>
        <v/>
      </c>
      <c r="N150" s="125" t="str">
        <f t="shared" si="22"/>
        <v/>
      </c>
      <c r="O150" s="125" t="str">
        <f t="shared" si="23"/>
        <v/>
      </c>
      <c r="P150" s="126"/>
      <c r="Q150" s="132"/>
      <c r="R150" s="122"/>
      <c r="S150" s="132"/>
      <c r="T150" s="122"/>
      <c r="U150" s="132"/>
      <c r="V150" s="122"/>
      <c r="W150" s="132"/>
      <c r="X150" s="122"/>
      <c r="Y150" s="132"/>
      <c r="Z150" s="122"/>
      <c r="AA150" s="132"/>
      <c r="AB150" s="122"/>
      <c r="AC150" s="132"/>
      <c r="AD150" s="122"/>
      <c r="AE150" s="129">
        <f t="shared" si="19"/>
        <v>0</v>
      </c>
      <c r="AF150" s="129">
        <f t="shared" si="19"/>
        <v>0</v>
      </c>
      <c r="AG150" s="130"/>
      <c r="AH150" s="131">
        <f t="shared" si="24"/>
        <v>0</v>
      </c>
    </row>
    <row r="151" spans="1:34" ht="13.5">
      <c r="A151" s="112" t="str">
        <f>IF(Base!B149="","",Base!B149)</f>
        <v>06.940.813-3</v>
      </c>
      <c r="B151" s="112" t="str">
        <f>IF(Base!F149="","",Base!F149)</f>
        <v>ISAIAS  PLAZA  ALFARO</v>
      </c>
      <c r="C151" s="112" t="str">
        <f>IF(Base!I149="","",Base!I149)</f>
        <v>Linea 3</v>
      </c>
      <c r="D151" s="113" t="str">
        <f>IF(Base!J149="","",Base!J149)</f>
        <v>Despalletizador</v>
      </c>
      <c r="E151" s="112">
        <f>IF(Base!H149="","",Base!H149)</f>
        <v>1050555</v>
      </c>
      <c r="J151" s="122">
        <v>141</v>
      </c>
      <c r="K151" s="123"/>
      <c r="L151" s="124" t="str">
        <f t="shared" si="20"/>
        <v/>
      </c>
      <c r="M151" s="124" t="str">
        <f t="shared" si="21"/>
        <v/>
      </c>
      <c r="N151" s="125" t="str">
        <f t="shared" si="22"/>
        <v/>
      </c>
      <c r="O151" s="125" t="str">
        <f t="shared" si="23"/>
        <v/>
      </c>
      <c r="P151" s="126"/>
      <c r="Q151" s="132"/>
      <c r="R151" s="132"/>
      <c r="S151" s="132"/>
      <c r="T151" s="132"/>
      <c r="U151" s="132"/>
      <c r="V151" s="132"/>
      <c r="W151" s="132"/>
      <c r="X151" s="132"/>
      <c r="Y151" s="132"/>
      <c r="Z151" s="132"/>
      <c r="AA151" s="132"/>
      <c r="AB151" s="132"/>
      <c r="AC151" s="132"/>
      <c r="AD151" s="132"/>
      <c r="AE151" s="129">
        <f t="shared" si="19"/>
        <v>0</v>
      </c>
      <c r="AF151" s="129">
        <f t="shared" si="19"/>
        <v>0</v>
      </c>
      <c r="AG151" s="130"/>
      <c r="AH151" s="131">
        <f t="shared" si="24"/>
        <v>0</v>
      </c>
    </row>
    <row r="152" spans="1:34" ht="13.5">
      <c r="A152" s="112" t="str">
        <f>IF(Base!B150="","",Base!B150)</f>
        <v>15.444.951-5</v>
      </c>
      <c r="B152" s="112" t="str">
        <f>IF(Base!F150="","",Base!F150)</f>
        <v>MIGUEL ANTONIO  PLAZA  ARAYA</v>
      </c>
      <c r="C152" s="112" t="str">
        <f>IF(Base!I150="","",Base!I150)</f>
        <v>Abastecimiento</v>
      </c>
      <c r="D152" s="113" t="str">
        <f>IF(Base!J150="","",Base!J150)</f>
        <v>Suministro de Líneas</v>
      </c>
      <c r="E152" s="112">
        <f>IF(Base!H150="","",Base!H150)</f>
        <v>1050633</v>
      </c>
      <c r="J152" s="122">
        <v>142</v>
      </c>
      <c r="K152" s="123"/>
      <c r="L152" s="124" t="str">
        <f t="shared" si="20"/>
        <v/>
      </c>
      <c r="M152" s="124" t="str">
        <f t="shared" si="21"/>
        <v/>
      </c>
      <c r="N152" s="125" t="str">
        <f t="shared" si="22"/>
        <v/>
      </c>
      <c r="O152" s="125" t="str">
        <f t="shared" si="23"/>
        <v/>
      </c>
      <c r="P152" s="126"/>
      <c r="Q152" s="132"/>
      <c r="R152" s="132"/>
      <c r="S152" s="132"/>
      <c r="T152" s="132"/>
      <c r="U152" s="132"/>
      <c r="V152" s="132"/>
      <c r="W152" s="132"/>
      <c r="X152" s="132"/>
      <c r="Y152" s="132"/>
      <c r="Z152" s="132"/>
      <c r="AA152" s="132"/>
      <c r="AB152" s="132"/>
      <c r="AC152" s="132"/>
      <c r="AD152" s="132"/>
      <c r="AE152" s="129">
        <f t="shared" si="19"/>
        <v>0</v>
      </c>
      <c r="AF152" s="129">
        <f t="shared" si="19"/>
        <v>0</v>
      </c>
      <c r="AG152" s="130"/>
      <c r="AH152" s="131">
        <f t="shared" si="24"/>
        <v>0</v>
      </c>
    </row>
    <row r="153" spans="1:34" ht="13.5">
      <c r="A153" s="112" t="str">
        <f>IF(Base!B151="","",Base!B151)</f>
        <v>13.297.988-K</v>
      </c>
      <c r="B153" s="112" t="str">
        <f>IF(Base!F151="","",Base!F151)</f>
        <v>JORGE  POBLETE  RIVEROS</v>
      </c>
      <c r="C153" s="112" t="str">
        <f>IF(Base!I151="","",Base!I151)</f>
        <v>Linea 6</v>
      </c>
      <c r="D153" s="113" t="str">
        <f>IF(Base!J151="","",Base!J151)</f>
        <v>Llenador</v>
      </c>
      <c r="E153" s="112">
        <f>IF(Base!H151="","",Base!H151)</f>
        <v>1050609</v>
      </c>
      <c r="J153" s="122">
        <v>143</v>
      </c>
      <c r="K153" s="123"/>
      <c r="L153" s="124" t="str">
        <f t="shared" si="20"/>
        <v/>
      </c>
      <c r="M153" s="124" t="str">
        <f t="shared" si="21"/>
        <v/>
      </c>
      <c r="N153" s="125" t="str">
        <f t="shared" si="22"/>
        <v/>
      </c>
      <c r="O153" s="125" t="str">
        <f t="shared" si="23"/>
        <v/>
      </c>
      <c r="P153" s="126"/>
      <c r="Q153" s="132"/>
      <c r="R153" s="122"/>
      <c r="S153" s="132"/>
      <c r="T153" s="122"/>
      <c r="U153" s="132"/>
      <c r="V153" s="122"/>
      <c r="W153" s="132"/>
      <c r="X153" s="122"/>
      <c r="Y153" s="132"/>
      <c r="Z153" s="122"/>
      <c r="AA153" s="132"/>
      <c r="AB153" s="122"/>
      <c r="AC153" s="132"/>
      <c r="AD153" s="122"/>
      <c r="AE153" s="129">
        <f t="shared" si="19"/>
        <v>0</v>
      </c>
      <c r="AF153" s="129">
        <f t="shared" si="19"/>
        <v>0</v>
      </c>
      <c r="AG153" s="130"/>
      <c r="AH153" s="131">
        <f t="shared" si="24"/>
        <v>0</v>
      </c>
    </row>
    <row r="154" spans="1:34" ht="13.5">
      <c r="A154" s="112" t="str">
        <f>IF(Base!B152="","",Base!B152)</f>
        <v>16149604-</v>
      </c>
      <c r="B154" s="112" t="str">
        <f>IF(Base!F152="","",Base!F152)</f>
        <v>RODRIGO  POBLETE  SANDOVAL</v>
      </c>
      <c r="C154" s="112" t="str">
        <f>IF(Base!I152="","",Base!I152)</f>
        <v>Setup</v>
      </c>
      <c r="D154" s="113" t="str">
        <f>IF(Base!J152="","",Base!J152)</f>
        <v>Setup</v>
      </c>
      <c r="E154" s="112">
        <f>IF(Base!H152="","",Base!H152)</f>
        <v>1050529</v>
      </c>
      <c r="J154" s="122">
        <v>144</v>
      </c>
      <c r="K154" s="123"/>
      <c r="L154" s="124" t="str">
        <f t="shared" si="20"/>
        <v/>
      </c>
      <c r="M154" s="124" t="str">
        <f t="shared" si="21"/>
        <v/>
      </c>
      <c r="N154" s="125" t="str">
        <f t="shared" si="22"/>
        <v/>
      </c>
      <c r="O154" s="125" t="str">
        <f t="shared" si="23"/>
        <v/>
      </c>
      <c r="P154" s="126"/>
      <c r="Q154" s="132"/>
      <c r="R154" s="122"/>
      <c r="S154" s="132"/>
      <c r="T154" s="122"/>
      <c r="U154" s="132"/>
      <c r="V154" s="122"/>
      <c r="W154" s="132"/>
      <c r="X154" s="122"/>
      <c r="Y154" s="132"/>
      <c r="Z154" s="122"/>
      <c r="AA154" s="132"/>
      <c r="AB154" s="122"/>
      <c r="AC154" s="132"/>
      <c r="AD154" s="122"/>
      <c r="AE154" s="129">
        <f t="shared" si="19"/>
        <v>0</v>
      </c>
      <c r="AF154" s="129">
        <f t="shared" si="19"/>
        <v>0</v>
      </c>
      <c r="AG154" s="130"/>
      <c r="AH154" s="131">
        <f t="shared" si="24"/>
        <v>0</v>
      </c>
    </row>
    <row r="155" spans="1:34" ht="13.5">
      <c r="A155" s="112" t="str">
        <f>IF(Base!B153="","",Base!B153)</f>
        <v>16.408.490-6</v>
      </c>
      <c r="B155" s="112" t="str">
        <f>IF(Base!F153="","",Base!F153)</f>
        <v>JUAN MIGUEL  POZO  CAMPOS</v>
      </c>
      <c r="C155" s="112" t="str">
        <f>IF(Base!I153="","",Base!I153)</f>
        <v>Reemplazo Sindicato</v>
      </c>
      <c r="D155" s="113" t="str">
        <f>IF(Base!J153="","",Base!J153)</f>
        <v>Reemplazo Sindicato</v>
      </c>
      <c r="E155" s="112">
        <f>IF(Base!H153="","",Base!H153)</f>
        <v>1050502</v>
      </c>
      <c r="J155" s="122">
        <v>145</v>
      </c>
      <c r="K155" s="123"/>
      <c r="L155" s="124" t="str">
        <f t="shared" si="20"/>
        <v/>
      </c>
      <c r="M155" s="124" t="str">
        <f t="shared" si="21"/>
        <v/>
      </c>
      <c r="N155" s="125" t="str">
        <f t="shared" si="22"/>
        <v/>
      </c>
      <c r="O155" s="125" t="str">
        <f t="shared" si="23"/>
        <v/>
      </c>
      <c r="P155" s="126"/>
      <c r="Q155" s="132"/>
      <c r="R155" s="122"/>
      <c r="S155" s="132"/>
      <c r="T155" s="122"/>
      <c r="U155" s="132"/>
      <c r="V155" s="122"/>
      <c r="W155" s="132"/>
      <c r="X155" s="122"/>
      <c r="Y155" s="132"/>
      <c r="Z155" s="122"/>
      <c r="AA155" s="132"/>
      <c r="AB155" s="122"/>
      <c r="AC155" s="132"/>
      <c r="AD155" s="122"/>
      <c r="AE155" s="129">
        <f t="shared" si="19"/>
        <v>0</v>
      </c>
      <c r="AF155" s="129">
        <f t="shared" si="19"/>
        <v>0</v>
      </c>
      <c r="AG155" s="130"/>
      <c r="AH155" s="131">
        <f t="shared" si="24"/>
        <v>0</v>
      </c>
    </row>
    <row r="156" spans="1:34" ht="13.5">
      <c r="A156" s="112" t="str">
        <f>IF(Base!B154="","",Base!B154)</f>
        <v>07.721.223-K</v>
      </c>
      <c r="B156" s="112" t="str">
        <f>IF(Base!F154="","",Base!F154)</f>
        <v>JOSE MANUEL  QUIROZ  VENEGAS</v>
      </c>
      <c r="C156" s="112" t="str">
        <f>IF(Base!I154="","",Base!I154)</f>
        <v>Abastecimiento</v>
      </c>
      <c r="D156" s="113" t="str">
        <f>IF(Base!J154="","",Base!J154)</f>
        <v>Suministro de Líneas</v>
      </c>
      <c r="E156" s="112">
        <f>IF(Base!H154="","",Base!H154)</f>
        <v>1050633</v>
      </c>
      <c r="J156" s="122">
        <v>146</v>
      </c>
      <c r="K156" s="123"/>
      <c r="L156" s="124" t="str">
        <f t="shared" si="20"/>
        <v/>
      </c>
      <c r="M156" s="124" t="str">
        <f t="shared" si="21"/>
        <v/>
      </c>
      <c r="N156" s="125" t="str">
        <f t="shared" si="22"/>
        <v/>
      </c>
      <c r="O156" s="125" t="str">
        <f t="shared" si="23"/>
        <v/>
      </c>
      <c r="P156" s="126"/>
      <c r="Q156" s="132"/>
      <c r="R156" s="132"/>
      <c r="S156" s="132"/>
      <c r="T156" s="132"/>
      <c r="U156" s="132"/>
      <c r="V156" s="132"/>
      <c r="W156" s="132"/>
      <c r="X156" s="132"/>
      <c r="Y156" s="132"/>
      <c r="Z156" s="132"/>
      <c r="AA156" s="132"/>
      <c r="AB156" s="132"/>
      <c r="AC156" s="132"/>
      <c r="AD156" s="132"/>
      <c r="AE156" s="129">
        <f t="shared" si="19"/>
        <v>0</v>
      </c>
      <c r="AF156" s="129">
        <f t="shared" si="19"/>
        <v>0</v>
      </c>
      <c r="AG156" s="130"/>
      <c r="AH156" s="131">
        <f t="shared" si="24"/>
        <v>0</v>
      </c>
    </row>
    <row r="157" spans="1:34" ht="13.5">
      <c r="A157" s="112" t="str">
        <f>IF(Base!B155="","",Base!B155)</f>
        <v>12.051.254-4</v>
      </c>
      <c r="B157" s="112" t="str">
        <f>IF(Base!F155="","",Base!F155)</f>
        <v>MAURICIO  NOVA  FIGUEROA</v>
      </c>
      <c r="C157" s="112" t="str">
        <f>IF(Base!I155="","",Base!I155)</f>
        <v>Abastecimiento</v>
      </c>
      <c r="D157" s="113" t="str">
        <f>IF(Base!J155="","",Base!J155)</f>
        <v>Analista de Inventario</v>
      </c>
      <c r="E157" s="112">
        <f>IF(Base!H155="","",Base!H155)</f>
        <v>1050161</v>
      </c>
      <c r="J157" s="122">
        <v>147</v>
      </c>
      <c r="K157" s="123"/>
      <c r="L157" s="124" t="str">
        <f t="shared" si="20"/>
        <v/>
      </c>
      <c r="M157" s="124" t="str">
        <f t="shared" si="21"/>
        <v/>
      </c>
      <c r="N157" s="125" t="str">
        <f t="shared" si="22"/>
        <v/>
      </c>
      <c r="O157" s="125" t="str">
        <f t="shared" si="23"/>
        <v/>
      </c>
      <c r="P157" s="126"/>
      <c r="Q157" s="132"/>
      <c r="R157" s="132"/>
      <c r="S157" s="132"/>
      <c r="T157" s="132"/>
      <c r="U157" s="132"/>
      <c r="V157" s="132"/>
      <c r="W157" s="132"/>
      <c r="X157" s="132"/>
      <c r="Y157" s="132"/>
      <c r="Z157" s="132"/>
      <c r="AA157" s="132"/>
      <c r="AB157" s="132"/>
      <c r="AC157" s="132"/>
      <c r="AD157" s="132"/>
      <c r="AE157" s="129">
        <f t="shared" si="19"/>
        <v>0</v>
      </c>
      <c r="AF157" s="129">
        <f t="shared" si="19"/>
        <v>0</v>
      </c>
      <c r="AG157" s="130"/>
      <c r="AH157" s="131">
        <f t="shared" si="24"/>
        <v>0</v>
      </c>
    </row>
    <row r="158" spans="1:34" ht="13.5">
      <c r="A158" s="112" t="str">
        <f>IF(Base!B156="","",Base!B156)</f>
        <v>07.913.597-6</v>
      </c>
      <c r="B158" s="112" t="str">
        <f>IF(Base!F156="","",Base!F156)</f>
        <v>JOSE  RAMIREZ  ROJAS</v>
      </c>
      <c r="C158" s="112" t="str">
        <f>IF(Base!I156="","",Base!I156)</f>
        <v>Abastecimiento</v>
      </c>
      <c r="D158" s="113" t="str">
        <f>IF(Base!J156="","",Base!J156)</f>
        <v>Preparación de Insum</v>
      </c>
      <c r="E158" s="112">
        <f>IF(Base!H156="","",Base!H156)</f>
        <v>1050127</v>
      </c>
      <c r="J158" s="122">
        <v>148</v>
      </c>
      <c r="K158" s="123"/>
      <c r="L158" s="124" t="str">
        <f t="shared" si="20"/>
        <v/>
      </c>
      <c r="M158" s="124" t="str">
        <f t="shared" si="21"/>
        <v/>
      </c>
      <c r="N158" s="125" t="str">
        <f t="shared" si="22"/>
        <v/>
      </c>
      <c r="O158" s="125" t="str">
        <f t="shared" si="23"/>
        <v/>
      </c>
      <c r="P158" s="126"/>
      <c r="Q158" s="132"/>
      <c r="R158" s="122"/>
      <c r="S158" s="132"/>
      <c r="T158" s="122"/>
      <c r="U158" s="132"/>
      <c r="V158" s="122"/>
      <c r="W158" s="132"/>
      <c r="X158" s="122"/>
      <c r="Y158" s="132"/>
      <c r="Z158" s="122"/>
      <c r="AA158" s="132"/>
      <c r="AB158" s="122"/>
      <c r="AC158" s="132"/>
      <c r="AD158" s="122"/>
      <c r="AE158" s="129">
        <f t="shared" si="19"/>
        <v>0</v>
      </c>
      <c r="AF158" s="129">
        <f t="shared" si="19"/>
        <v>0</v>
      </c>
      <c r="AG158" s="130"/>
      <c r="AH158" s="131">
        <f t="shared" si="24"/>
        <v>0</v>
      </c>
    </row>
    <row r="159" spans="1:34" ht="13.5">
      <c r="A159" s="112" t="str">
        <f>IF(Base!B157="","",Base!B157)</f>
        <v>10.168.958-1</v>
      </c>
      <c r="B159" s="112" t="str">
        <f>IF(Base!F157="","",Base!F157)</f>
        <v>RAUL  RAMIREZ  VASQUEZ</v>
      </c>
      <c r="C159" s="112" t="str">
        <f>IF(Base!I157="","",Base!I157)</f>
        <v>Abastecimiento</v>
      </c>
      <c r="D159" s="113" t="str">
        <f>IF(Base!J157="","",Base!J157)</f>
        <v>Suministro de Líneas</v>
      </c>
      <c r="E159" s="112">
        <f>IF(Base!H157="","",Base!H157)</f>
        <v>1050633</v>
      </c>
      <c r="J159" s="122">
        <v>149</v>
      </c>
      <c r="K159" s="123"/>
      <c r="L159" s="124" t="str">
        <f t="shared" si="20"/>
        <v/>
      </c>
      <c r="M159" s="124" t="str">
        <f t="shared" si="21"/>
        <v/>
      </c>
      <c r="N159" s="125" t="str">
        <f t="shared" si="22"/>
        <v/>
      </c>
      <c r="O159" s="125" t="str">
        <f t="shared" si="23"/>
        <v/>
      </c>
      <c r="P159" s="126"/>
      <c r="Q159" s="132"/>
      <c r="R159" s="122"/>
      <c r="S159" s="132"/>
      <c r="T159" s="122"/>
      <c r="U159" s="132"/>
      <c r="V159" s="122"/>
      <c r="W159" s="132"/>
      <c r="X159" s="122"/>
      <c r="Y159" s="132"/>
      <c r="Z159" s="122"/>
      <c r="AA159" s="132"/>
      <c r="AB159" s="122"/>
      <c r="AC159" s="132"/>
      <c r="AD159" s="122"/>
      <c r="AE159" s="129">
        <f t="shared" si="19"/>
        <v>0</v>
      </c>
      <c r="AF159" s="129">
        <f t="shared" si="19"/>
        <v>0</v>
      </c>
      <c r="AG159" s="130"/>
      <c r="AH159" s="131">
        <f t="shared" si="24"/>
        <v>0</v>
      </c>
    </row>
    <row r="160" spans="1:34" ht="13.5">
      <c r="A160" s="112" t="str">
        <f>IF(Base!B158="","",Base!B158)</f>
        <v>09.741.880-2</v>
      </c>
      <c r="B160" s="112" t="str">
        <f>IF(Base!F158="","",Base!F158)</f>
        <v>LAURA CECILIA  REINOSO  SALAS</v>
      </c>
      <c r="C160" s="112" t="str">
        <f>IF(Base!I158="","",Base!I158)</f>
        <v>Abastecimiento</v>
      </c>
      <c r="D160" s="113" t="str">
        <f>IF(Base!J158="","",Base!J158)</f>
        <v>Control Ingresos Cen</v>
      </c>
      <c r="E160" s="112">
        <f>IF(Base!H158="","",Base!H158)</f>
        <v>1050126</v>
      </c>
      <c r="J160" s="122">
        <v>150</v>
      </c>
      <c r="K160" s="123"/>
      <c r="L160" s="124" t="str">
        <f t="shared" si="20"/>
        <v/>
      </c>
      <c r="M160" s="124" t="str">
        <f t="shared" si="21"/>
        <v/>
      </c>
      <c r="N160" s="125" t="str">
        <f t="shared" si="22"/>
        <v/>
      </c>
      <c r="O160" s="125" t="str">
        <f t="shared" si="23"/>
        <v/>
      </c>
      <c r="P160" s="126"/>
      <c r="Q160" s="132"/>
      <c r="R160" s="122"/>
      <c r="S160" s="132"/>
      <c r="T160" s="122"/>
      <c r="U160" s="132"/>
      <c r="V160" s="122"/>
      <c r="W160" s="132"/>
      <c r="X160" s="122"/>
      <c r="Y160" s="132"/>
      <c r="Z160" s="122"/>
      <c r="AA160" s="132"/>
      <c r="AB160" s="122"/>
      <c r="AC160" s="132"/>
      <c r="AD160" s="122"/>
      <c r="AE160" s="129">
        <f t="shared" si="19"/>
        <v>0</v>
      </c>
      <c r="AF160" s="129">
        <f t="shared" si="19"/>
        <v>0</v>
      </c>
      <c r="AG160" s="130"/>
      <c r="AH160" s="131">
        <f t="shared" si="24"/>
        <v>0</v>
      </c>
    </row>
    <row r="161" spans="1:34" ht="13.5">
      <c r="A161" s="112" t="str">
        <f>IF(Base!B159="","",Base!B159)</f>
        <v>15.444.698-2</v>
      </c>
      <c r="B161" s="112" t="str">
        <f>IF(Base!F159="","",Base!F159)</f>
        <v>MAURICIO ALEJANDRO  RETAMAL  ACUÑA</v>
      </c>
      <c r="C161" s="112" t="str">
        <f>IF(Base!I159="","",Base!I159)</f>
        <v>Abastecimiento</v>
      </c>
      <c r="D161" s="113" t="str">
        <f>IF(Base!J159="","",Base!J159)</f>
        <v>Preparación de Insum</v>
      </c>
      <c r="E161" s="112">
        <f>IF(Base!H159="","",Base!H159)</f>
        <v>1050127</v>
      </c>
      <c r="J161" s="122">
        <v>151</v>
      </c>
      <c r="K161" s="123"/>
      <c r="L161" s="124" t="str">
        <f t="shared" si="20"/>
        <v/>
      </c>
      <c r="M161" s="124" t="str">
        <f t="shared" si="21"/>
        <v/>
      </c>
      <c r="N161" s="125" t="str">
        <f t="shared" si="22"/>
        <v/>
      </c>
      <c r="O161" s="125" t="str">
        <f t="shared" si="23"/>
        <v/>
      </c>
      <c r="P161" s="126"/>
      <c r="Q161" s="132"/>
      <c r="R161" s="132"/>
      <c r="S161" s="132"/>
      <c r="T161" s="132"/>
      <c r="U161" s="132"/>
      <c r="V161" s="132"/>
      <c r="W161" s="132"/>
      <c r="X161" s="132"/>
      <c r="Y161" s="132"/>
      <c r="Z161" s="132"/>
      <c r="AA161" s="132"/>
      <c r="AB161" s="132"/>
      <c r="AC161" s="132"/>
      <c r="AD161" s="132"/>
      <c r="AE161" s="129">
        <f t="shared" si="19"/>
        <v>0</v>
      </c>
      <c r="AF161" s="129">
        <f t="shared" si="19"/>
        <v>0</v>
      </c>
      <c r="AG161" s="130"/>
      <c r="AH161" s="131">
        <f t="shared" si="24"/>
        <v>0</v>
      </c>
    </row>
    <row r="162" spans="1:34" ht="13.5">
      <c r="A162" s="112" t="str">
        <f>IF(Base!B160="","",Base!B160)</f>
        <v>13.553.033-6</v>
      </c>
      <c r="B162" s="112" t="str">
        <f>IF(Base!F160="","",Base!F160)</f>
        <v>CLAUDIO  RETAMALES  SEPULVEDA</v>
      </c>
      <c r="C162" s="112" t="str">
        <f>IF(Base!I160="","",Base!I160)</f>
        <v>Linea 6</v>
      </c>
      <c r="D162" s="113" t="str">
        <f>IF(Base!J160="","",Base!J160)</f>
        <v>Etiquetador</v>
      </c>
      <c r="E162" s="112">
        <f>IF(Base!H160="","",Base!H160)</f>
        <v>1050610</v>
      </c>
      <c r="J162" s="122">
        <v>152</v>
      </c>
      <c r="K162" s="123"/>
      <c r="L162" s="124" t="str">
        <f t="shared" si="20"/>
        <v/>
      </c>
      <c r="M162" s="124" t="str">
        <f t="shared" si="21"/>
        <v/>
      </c>
      <c r="N162" s="125" t="str">
        <f t="shared" si="22"/>
        <v/>
      </c>
      <c r="O162" s="125" t="str">
        <f t="shared" si="23"/>
        <v/>
      </c>
      <c r="P162" s="126"/>
      <c r="Q162" s="132"/>
      <c r="R162" s="132"/>
      <c r="S162" s="132"/>
      <c r="T162" s="132"/>
      <c r="U162" s="132"/>
      <c r="V162" s="132"/>
      <c r="W162" s="132"/>
      <c r="X162" s="132"/>
      <c r="Y162" s="132"/>
      <c r="Z162" s="132"/>
      <c r="AA162" s="132"/>
      <c r="AB162" s="132"/>
      <c r="AC162" s="132"/>
      <c r="AD162" s="132"/>
      <c r="AE162" s="129">
        <f t="shared" si="19"/>
        <v>0</v>
      </c>
      <c r="AF162" s="129">
        <f t="shared" si="19"/>
        <v>0</v>
      </c>
      <c r="AG162" s="130"/>
      <c r="AH162" s="131">
        <f t="shared" si="24"/>
        <v>0</v>
      </c>
    </row>
    <row r="163" spans="1:34" ht="13.5">
      <c r="A163" s="112" t="str">
        <f>IF(Base!B161="","",Base!B161)</f>
        <v>16.697.450-K</v>
      </c>
      <c r="B163" s="112" t="str">
        <f>IF(Base!F161="","",Base!F161)</f>
        <v>NATALIA BELEN  REYES  ESPINOZA</v>
      </c>
      <c r="C163" s="112" t="str">
        <f>IF(Base!I161="","",Base!I161)</f>
        <v>Abastecimiento</v>
      </c>
      <c r="D163" s="113" t="str">
        <f>IF(Base!J161="","",Base!J161)</f>
        <v>Preparación de Insum</v>
      </c>
      <c r="E163" s="112">
        <f>IF(Base!H161="","",Base!H161)</f>
        <v>1050127</v>
      </c>
      <c r="J163" s="122">
        <v>153</v>
      </c>
      <c r="K163" s="123"/>
      <c r="L163" s="124" t="str">
        <f t="shared" si="20"/>
        <v/>
      </c>
      <c r="M163" s="124" t="str">
        <f t="shared" si="21"/>
        <v/>
      </c>
      <c r="N163" s="125" t="str">
        <f t="shared" si="22"/>
        <v/>
      </c>
      <c r="O163" s="125" t="str">
        <f t="shared" si="23"/>
        <v/>
      </c>
      <c r="P163" s="126"/>
      <c r="Q163" s="132"/>
      <c r="R163" s="122"/>
      <c r="S163" s="132"/>
      <c r="T163" s="122"/>
      <c r="U163" s="132"/>
      <c r="V163" s="122"/>
      <c r="W163" s="132"/>
      <c r="X163" s="122"/>
      <c r="Y163" s="132"/>
      <c r="Z163" s="122"/>
      <c r="AA163" s="132"/>
      <c r="AB163" s="122"/>
      <c r="AC163" s="132"/>
      <c r="AD163" s="122"/>
      <c r="AE163" s="129">
        <f t="shared" si="19"/>
        <v>0</v>
      </c>
      <c r="AF163" s="129">
        <f t="shared" si="19"/>
        <v>0</v>
      </c>
      <c r="AG163" s="130"/>
      <c r="AH163" s="131">
        <f t="shared" si="24"/>
        <v>0</v>
      </c>
    </row>
    <row r="164" spans="1:34" ht="13.5">
      <c r="A164" s="112" t="str">
        <f>IF(Base!B162="","",Base!B162)</f>
        <v>14.185.109-8</v>
      </c>
      <c r="B164" s="112" t="str">
        <f>IF(Base!F162="","",Base!F162)</f>
        <v>GUILLERMO ANTONIO  REYES  FUENZALIDA</v>
      </c>
      <c r="C164" s="112" t="str">
        <f>IF(Base!I162="","",Base!I162)</f>
        <v>Abastecimiento</v>
      </c>
      <c r="D164" s="113" t="str">
        <f>IF(Base!J162="","",Base!J162)</f>
        <v>Almacen Envases Pirq</v>
      </c>
      <c r="E164" s="112">
        <f>IF(Base!H162="","",Base!H162)</f>
        <v>1050162</v>
      </c>
      <c r="J164" s="122">
        <v>154</v>
      </c>
      <c r="K164" s="123"/>
      <c r="L164" s="124" t="str">
        <f t="shared" si="20"/>
        <v/>
      </c>
      <c r="M164" s="124" t="str">
        <f t="shared" si="21"/>
        <v/>
      </c>
      <c r="N164" s="125" t="str">
        <f t="shared" si="22"/>
        <v/>
      </c>
      <c r="O164" s="125" t="str">
        <f t="shared" si="23"/>
        <v/>
      </c>
      <c r="P164" s="126"/>
      <c r="Q164" s="132"/>
      <c r="R164" s="122"/>
      <c r="S164" s="132"/>
      <c r="T164" s="122"/>
      <c r="U164" s="132"/>
      <c r="V164" s="122"/>
      <c r="W164" s="132"/>
      <c r="X164" s="122"/>
      <c r="Y164" s="132"/>
      <c r="Z164" s="122"/>
      <c r="AA164" s="132"/>
      <c r="AB164" s="122"/>
      <c r="AC164" s="132"/>
      <c r="AD164" s="122"/>
      <c r="AE164" s="129">
        <f t="shared" si="19"/>
        <v>0</v>
      </c>
      <c r="AF164" s="129">
        <f t="shared" si="19"/>
        <v>0</v>
      </c>
      <c r="AG164" s="130"/>
      <c r="AH164" s="131">
        <f t="shared" si="24"/>
        <v>0</v>
      </c>
    </row>
    <row r="165" spans="1:34" ht="13.5">
      <c r="A165" s="112" t="str">
        <f>IF(Base!B163="","",Base!B163)</f>
        <v>16.029.464-7</v>
      </c>
      <c r="B165" s="112" t="str">
        <f>IF(Base!F163="","",Base!F163)</f>
        <v>VICTOR  REYES  GALVEZ</v>
      </c>
      <c r="C165" s="112" t="str">
        <f>IF(Base!I163="","",Base!I163)</f>
        <v>Control y Gestión</v>
      </c>
      <c r="D165" s="113" t="str">
        <f>IF(Base!J163="","",Base!J163)</f>
        <v>Inspector tiempo</v>
      </c>
      <c r="E165" s="112">
        <f>IF(Base!H163="","",Base!H163)</f>
        <v>1050632</v>
      </c>
      <c r="J165" s="122">
        <v>155</v>
      </c>
      <c r="K165" s="123"/>
      <c r="L165" s="124" t="str">
        <f t="shared" si="20"/>
        <v/>
      </c>
      <c r="M165" s="124" t="str">
        <f t="shared" si="21"/>
        <v/>
      </c>
      <c r="N165" s="125" t="str">
        <f t="shared" si="22"/>
        <v/>
      </c>
      <c r="O165" s="125" t="str">
        <f t="shared" si="23"/>
        <v/>
      </c>
      <c r="P165" s="126"/>
      <c r="Q165" s="132"/>
      <c r="R165" s="122"/>
      <c r="S165" s="132"/>
      <c r="T165" s="122"/>
      <c r="U165" s="132"/>
      <c r="V165" s="122"/>
      <c r="W165" s="132"/>
      <c r="X165" s="122"/>
      <c r="Y165" s="132"/>
      <c r="Z165" s="122"/>
      <c r="AA165" s="132"/>
      <c r="AB165" s="122"/>
      <c r="AC165" s="132"/>
      <c r="AD165" s="122"/>
      <c r="AE165" s="129">
        <f t="shared" si="19"/>
        <v>0</v>
      </c>
      <c r="AF165" s="129">
        <f t="shared" si="19"/>
        <v>0</v>
      </c>
      <c r="AG165" s="130"/>
      <c r="AH165" s="131">
        <f t="shared" si="24"/>
        <v>0</v>
      </c>
    </row>
    <row r="166" spans="1:34" ht="13.5">
      <c r="A166" s="112" t="str">
        <f>IF(Base!B164="","",Base!B164)</f>
        <v>10.309.203-5</v>
      </c>
      <c r="B166" s="112" t="str">
        <f>IF(Base!F164="","",Base!F164)</f>
        <v>ANGELA ADELA  REYES  LARA</v>
      </c>
      <c r="C166" s="112" t="str">
        <f>IF(Base!I164="","",Base!I164)</f>
        <v>Abastecimiento</v>
      </c>
      <c r="D166" s="113" t="str">
        <f>IF(Base!J164="","",Base!J164)</f>
        <v>Suministro de Líneas</v>
      </c>
      <c r="E166" s="112">
        <f>IF(Base!H164="","",Base!H164)</f>
        <v>1050633</v>
      </c>
      <c r="J166" s="122">
        <v>156</v>
      </c>
      <c r="K166" s="123"/>
      <c r="L166" s="124" t="str">
        <f t="shared" si="20"/>
        <v/>
      </c>
      <c r="M166" s="124" t="str">
        <f t="shared" si="21"/>
        <v/>
      </c>
      <c r="N166" s="125" t="str">
        <f t="shared" si="22"/>
        <v/>
      </c>
      <c r="O166" s="125" t="str">
        <f t="shared" si="23"/>
        <v/>
      </c>
      <c r="P166" s="126"/>
      <c r="Q166" s="132"/>
      <c r="R166" s="132"/>
      <c r="S166" s="132"/>
      <c r="T166" s="132"/>
      <c r="U166" s="132"/>
      <c r="V166" s="132"/>
      <c r="W166" s="132"/>
      <c r="X166" s="132"/>
      <c r="Y166" s="132"/>
      <c r="Z166" s="132"/>
      <c r="AA166" s="132"/>
      <c r="AB166" s="132"/>
      <c r="AC166" s="132"/>
      <c r="AD166" s="132"/>
      <c r="AE166" s="129">
        <f t="shared" si="19"/>
        <v>0</v>
      </c>
      <c r="AF166" s="129">
        <f t="shared" si="19"/>
        <v>0</v>
      </c>
      <c r="AG166" s="130"/>
      <c r="AH166" s="131">
        <f t="shared" si="24"/>
        <v>0</v>
      </c>
    </row>
    <row r="167" spans="1:34" ht="13.5">
      <c r="A167" s="112" t="str">
        <f>IF(Base!B165="","",Base!B165)</f>
        <v>18.074.081-3</v>
      </c>
      <c r="B167" s="112" t="str">
        <f>IF(Base!F165="","",Base!F165)</f>
        <v>MATIAS ANDRES  REYES  SERRANO</v>
      </c>
      <c r="C167" s="112" t="str">
        <f>IF(Base!I165="","",Base!I165)</f>
        <v>Linea 6</v>
      </c>
      <c r="D167" s="113" t="str">
        <f>IF(Base!J165="","",Base!J165)</f>
        <v>Despalletizador</v>
      </c>
      <c r="E167" s="112">
        <f>IF(Base!H165="","",Base!H165)</f>
        <v>1050609</v>
      </c>
      <c r="J167" s="122">
        <v>157</v>
      </c>
      <c r="K167" s="123"/>
      <c r="L167" s="124" t="str">
        <f t="shared" si="20"/>
        <v/>
      </c>
      <c r="M167" s="124" t="str">
        <f t="shared" si="21"/>
        <v/>
      </c>
      <c r="N167" s="125" t="str">
        <f t="shared" si="22"/>
        <v/>
      </c>
      <c r="O167" s="125" t="str">
        <f t="shared" si="23"/>
        <v/>
      </c>
      <c r="P167" s="126"/>
      <c r="Q167" s="132"/>
      <c r="R167" s="132"/>
      <c r="S167" s="132"/>
      <c r="T167" s="132"/>
      <c r="U167" s="132"/>
      <c r="V167" s="132"/>
      <c r="W167" s="132"/>
      <c r="X167" s="132"/>
      <c r="Y167" s="132"/>
      <c r="Z167" s="132"/>
      <c r="AA167" s="132"/>
      <c r="AB167" s="132"/>
      <c r="AC167" s="132"/>
      <c r="AD167" s="132"/>
      <c r="AE167" s="129">
        <f t="shared" si="19"/>
        <v>0</v>
      </c>
      <c r="AF167" s="129">
        <f t="shared" si="19"/>
        <v>0</v>
      </c>
      <c r="AG167" s="130"/>
      <c r="AH167" s="131">
        <f t="shared" si="24"/>
        <v>0</v>
      </c>
    </row>
    <row r="168" spans="1:34" ht="13.5">
      <c r="A168" s="112" t="str">
        <f>IF(Base!B166="","",Base!B166)</f>
        <v>09.806.171-1</v>
      </c>
      <c r="B168" s="112" t="str">
        <f>IF(Base!F166="","",Base!F166)</f>
        <v>VICTOR MANUEL  RIOS  MIRANDA</v>
      </c>
      <c r="C168" s="112" t="str">
        <f>IF(Base!I166="","",Base!I166)</f>
        <v>BIB</v>
      </c>
      <c r="D168" s="113" t="str">
        <f>IF(Base!J166="","",Base!J166)</f>
        <v>BIB</v>
      </c>
      <c r="E168" s="112">
        <f>IF(Base!H166="","",Base!H166)</f>
        <v>1050595</v>
      </c>
      <c r="J168" s="122">
        <v>158</v>
      </c>
      <c r="K168" s="123"/>
      <c r="L168" s="124" t="str">
        <f t="shared" si="20"/>
        <v/>
      </c>
      <c r="M168" s="124" t="str">
        <f t="shared" si="21"/>
        <v/>
      </c>
      <c r="N168" s="125" t="str">
        <f t="shared" si="22"/>
        <v/>
      </c>
      <c r="O168" s="125" t="str">
        <f t="shared" si="23"/>
        <v/>
      </c>
      <c r="P168" s="126"/>
      <c r="Q168" s="132"/>
      <c r="R168" s="122"/>
      <c r="S168" s="132"/>
      <c r="T168" s="122"/>
      <c r="U168" s="132"/>
      <c r="V168" s="122"/>
      <c r="W168" s="132"/>
      <c r="X168" s="122"/>
      <c r="Y168" s="132"/>
      <c r="Z168" s="122"/>
      <c r="AA168" s="132"/>
      <c r="AB168" s="122"/>
      <c r="AC168" s="132"/>
      <c r="AD168" s="122"/>
      <c r="AE168" s="129">
        <f t="shared" ref="AE168:AF229" si="25">SUM(Q168,S168,U168,W168,Y168,AA168,AC168)</f>
        <v>0</v>
      </c>
      <c r="AF168" s="129">
        <f t="shared" si="25"/>
        <v>0</v>
      </c>
      <c r="AG168" s="130"/>
      <c r="AH168" s="131">
        <f t="shared" si="24"/>
        <v>0</v>
      </c>
    </row>
    <row r="169" spans="1:34" ht="13.5">
      <c r="A169" s="112" t="str">
        <f>IF(Base!B167="","",Base!B167)</f>
        <v>16.296.340-6</v>
      </c>
      <c r="B169" s="112" t="str">
        <f>IF(Base!F167="","",Base!F167)</f>
        <v>FRANCISCO JAVIER  RIQUELME  GONZALEZ</v>
      </c>
      <c r="C169" s="112" t="str">
        <f>IF(Base!I167="","",Base!I167)</f>
        <v>Abastecimiento</v>
      </c>
      <c r="D169" s="113" t="str">
        <f>IF(Base!J167="","",Base!J167)</f>
        <v>Almacen Insumos Pque</v>
      </c>
      <c r="E169" s="112">
        <f>IF(Base!H167="","",Base!H167)</f>
        <v>1050581</v>
      </c>
      <c r="J169" s="122">
        <v>159</v>
      </c>
      <c r="K169" s="123"/>
      <c r="L169" s="124" t="str">
        <f t="shared" si="20"/>
        <v/>
      </c>
      <c r="M169" s="124" t="str">
        <f t="shared" si="21"/>
        <v/>
      </c>
      <c r="N169" s="125" t="str">
        <f t="shared" si="22"/>
        <v/>
      </c>
      <c r="O169" s="125" t="str">
        <f t="shared" si="23"/>
        <v/>
      </c>
      <c r="P169" s="126"/>
      <c r="Q169" s="132"/>
      <c r="R169" s="122"/>
      <c r="S169" s="132"/>
      <c r="T169" s="122"/>
      <c r="U169" s="132"/>
      <c r="V169" s="122"/>
      <c r="W169" s="132"/>
      <c r="X169" s="122"/>
      <c r="Y169" s="132"/>
      <c r="Z169" s="122"/>
      <c r="AA169" s="132"/>
      <c r="AB169" s="122"/>
      <c r="AC169" s="132"/>
      <c r="AD169" s="122"/>
      <c r="AE169" s="129">
        <f t="shared" si="25"/>
        <v>0</v>
      </c>
      <c r="AF169" s="129">
        <f t="shared" si="25"/>
        <v>0</v>
      </c>
      <c r="AG169" s="130"/>
      <c r="AH169" s="131">
        <f t="shared" si="24"/>
        <v>0</v>
      </c>
    </row>
    <row r="170" spans="1:34" ht="13.5">
      <c r="A170" s="112" t="str">
        <f>IF(Base!B168="","",Base!B168)</f>
        <v>12.688.280-7</v>
      </c>
      <c r="B170" s="112" t="str">
        <f>IF(Base!F168="","",Base!F168)</f>
        <v>VERONICA ANDREA  RIVERA  VARGAS</v>
      </c>
      <c r="C170" s="112" t="str">
        <f>IF(Base!I168="","",Base!I168)</f>
        <v>Abastecimiento</v>
      </c>
      <c r="D170" s="113" t="str">
        <f>IF(Base!J168="","",Base!J168)</f>
        <v>Suministro de Líneas</v>
      </c>
      <c r="E170" s="112">
        <f>IF(Base!H168="","",Base!H168)</f>
        <v>1050633</v>
      </c>
      <c r="J170" s="122">
        <v>160</v>
      </c>
      <c r="K170" s="123"/>
      <c r="L170" s="124" t="str">
        <f t="shared" si="20"/>
        <v/>
      </c>
      <c r="M170" s="124" t="str">
        <f t="shared" si="21"/>
        <v/>
      </c>
      <c r="N170" s="125" t="str">
        <f t="shared" si="22"/>
        <v/>
      </c>
      <c r="O170" s="125" t="str">
        <f t="shared" si="23"/>
        <v/>
      </c>
      <c r="P170" s="126"/>
      <c r="Q170" s="132"/>
      <c r="R170" s="122"/>
      <c r="S170" s="132"/>
      <c r="T170" s="122"/>
      <c r="U170" s="132"/>
      <c r="V170" s="122"/>
      <c r="W170" s="132"/>
      <c r="X170" s="122"/>
      <c r="Y170" s="132"/>
      <c r="Z170" s="122"/>
      <c r="AA170" s="132"/>
      <c r="AB170" s="122"/>
      <c r="AC170" s="132"/>
      <c r="AD170" s="122"/>
      <c r="AE170" s="129">
        <f t="shared" si="25"/>
        <v>0</v>
      </c>
      <c r="AF170" s="129">
        <f t="shared" si="25"/>
        <v>0</v>
      </c>
      <c r="AG170" s="130"/>
      <c r="AH170" s="131">
        <f t="shared" si="24"/>
        <v>0</v>
      </c>
    </row>
    <row r="171" spans="1:34" ht="13.5">
      <c r="A171" s="112" t="str">
        <f>IF(Base!B169="","",Base!B169)</f>
        <v>11.476.853-7</v>
      </c>
      <c r="B171" s="112" t="str">
        <f>IF(Base!F169="","",Base!F169)</f>
        <v>ALEJANDRA  RIVERA  PANES</v>
      </c>
      <c r="C171" s="112" t="str">
        <f>IF(Base!I169="","",Base!I169)</f>
        <v>Linea 6</v>
      </c>
      <c r="D171" s="113" t="str">
        <f>IF(Base!J169="","",Base!J169)</f>
        <v>Inspector etiqueta</v>
      </c>
      <c r="E171" s="112">
        <f>IF(Base!H169="","",Base!H169)</f>
        <v>1050610</v>
      </c>
      <c r="J171" s="122">
        <v>161</v>
      </c>
      <c r="K171" s="123"/>
      <c r="L171" s="124" t="str">
        <f t="shared" si="20"/>
        <v/>
      </c>
      <c r="M171" s="124" t="str">
        <f t="shared" si="21"/>
        <v/>
      </c>
      <c r="N171" s="125" t="str">
        <f t="shared" si="22"/>
        <v/>
      </c>
      <c r="O171" s="125" t="str">
        <f t="shared" si="23"/>
        <v/>
      </c>
      <c r="P171" s="126"/>
      <c r="Q171" s="132"/>
      <c r="R171" s="132"/>
      <c r="S171" s="132"/>
      <c r="T171" s="132"/>
      <c r="U171" s="132"/>
      <c r="V171" s="132"/>
      <c r="W171" s="132"/>
      <c r="X171" s="132"/>
      <c r="Y171" s="132"/>
      <c r="Z171" s="132"/>
      <c r="AA171" s="132"/>
      <c r="AB171" s="132"/>
      <c r="AC171" s="132"/>
      <c r="AD171" s="132"/>
      <c r="AE171" s="129">
        <f t="shared" si="25"/>
        <v>0</v>
      </c>
      <c r="AF171" s="129">
        <f t="shared" si="25"/>
        <v>0</v>
      </c>
      <c r="AG171" s="130"/>
      <c r="AH171" s="131">
        <f t="shared" si="24"/>
        <v>0</v>
      </c>
    </row>
    <row r="172" spans="1:34" ht="13.5">
      <c r="A172" s="112" t="str">
        <f>IF(Base!B170="","",Base!B170)</f>
        <v>10.933.716-1</v>
      </c>
      <c r="B172" s="112" t="str">
        <f>IF(Base!F170="","",Base!F170)</f>
        <v>HERNANDO  RIVEROS  RIFFO</v>
      </c>
      <c r="C172" s="112" t="str">
        <f>IF(Base!I170="","",Base!I170)</f>
        <v>Sala filtros</v>
      </c>
      <c r="D172" s="113" t="str">
        <f>IF(Base!J170="","",Base!J170)</f>
        <v>Operador sala de filtros</v>
      </c>
      <c r="E172" s="112">
        <f>IF(Base!H170="","",Base!H170)</f>
        <v>1050574</v>
      </c>
      <c r="J172" s="122">
        <v>162</v>
      </c>
      <c r="K172" s="123"/>
      <c r="L172" s="124" t="str">
        <f t="shared" si="20"/>
        <v/>
      </c>
      <c r="M172" s="124" t="str">
        <f t="shared" si="21"/>
        <v/>
      </c>
      <c r="N172" s="125" t="str">
        <f t="shared" si="22"/>
        <v/>
      </c>
      <c r="O172" s="125" t="str">
        <f t="shared" si="23"/>
        <v/>
      </c>
      <c r="P172" s="126"/>
      <c r="Q172" s="132"/>
      <c r="R172" s="132"/>
      <c r="S172" s="132"/>
      <c r="T172" s="132"/>
      <c r="U172" s="132"/>
      <c r="V172" s="132"/>
      <c r="W172" s="132"/>
      <c r="X172" s="132"/>
      <c r="Y172" s="132"/>
      <c r="Z172" s="132"/>
      <c r="AA172" s="132"/>
      <c r="AB172" s="132"/>
      <c r="AC172" s="132"/>
      <c r="AD172" s="132"/>
      <c r="AE172" s="129">
        <f t="shared" si="25"/>
        <v>0</v>
      </c>
      <c r="AF172" s="129">
        <f t="shared" si="25"/>
        <v>0</v>
      </c>
      <c r="AG172" s="130"/>
      <c r="AH172" s="131">
        <f t="shared" si="24"/>
        <v>0</v>
      </c>
    </row>
    <row r="173" spans="1:34" ht="13.5">
      <c r="A173" s="112" t="str">
        <f>IF(Base!B171="","",Base!B171)</f>
        <v>08.634.737-7</v>
      </c>
      <c r="B173" s="112" t="str">
        <f>IF(Base!F171="","",Base!F171)</f>
        <v>RAFAEL  RODRIGUEZ  CISTERNA</v>
      </c>
      <c r="C173" s="112" t="str">
        <f>IF(Base!I171="","",Base!I171)</f>
        <v>Linea 2</v>
      </c>
      <c r="D173" s="113" t="str">
        <f>IF(Base!J171="","",Base!J171)</f>
        <v>Despalletizador</v>
      </c>
      <c r="E173" s="112">
        <f>IF(Base!H171="","",Base!H171)</f>
        <v>1050553</v>
      </c>
      <c r="J173" s="122">
        <v>163</v>
      </c>
      <c r="K173" s="123"/>
      <c r="L173" s="124" t="str">
        <f t="shared" si="20"/>
        <v/>
      </c>
      <c r="M173" s="124" t="str">
        <f t="shared" si="21"/>
        <v/>
      </c>
      <c r="N173" s="125" t="str">
        <f t="shared" si="22"/>
        <v/>
      </c>
      <c r="O173" s="125" t="str">
        <f t="shared" si="23"/>
        <v/>
      </c>
      <c r="P173" s="126"/>
      <c r="Q173" s="132"/>
      <c r="R173" s="122"/>
      <c r="S173" s="132"/>
      <c r="T173" s="122"/>
      <c r="U173" s="132"/>
      <c r="V173" s="122"/>
      <c r="W173" s="132"/>
      <c r="X173" s="122"/>
      <c r="Y173" s="132"/>
      <c r="Z173" s="122"/>
      <c r="AA173" s="132"/>
      <c r="AB173" s="122"/>
      <c r="AC173" s="132"/>
      <c r="AD173" s="122"/>
      <c r="AE173" s="129">
        <f t="shared" si="25"/>
        <v>0</v>
      </c>
      <c r="AF173" s="129">
        <f t="shared" si="25"/>
        <v>0</v>
      </c>
      <c r="AG173" s="130"/>
      <c r="AH173" s="131">
        <f t="shared" si="24"/>
        <v>0</v>
      </c>
    </row>
    <row r="174" spans="1:34" ht="13.5">
      <c r="A174" s="112" t="str">
        <f>IF(Base!B172="","",Base!B172)</f>
        <v>09.485.526-8</v>
      </c>
      <c r="B174" s="112" t="str">
        <f>IF(Base!F172="","",Base!F172)</f>
        <v>LUIS ALBERTO  ROJAS  GONZALEZ</v>
      </c>
      <c r="C174" s="112" t="str">
        <f>IF(Base!I172="","",Base!I172)</f>
        <v>Abastecimiento</v>
      </c>
      <c r="D174" s="113" t="str">
        <f>IF(Base!J172="","",Base!J172)</f>
        <v>Preparación de Insum</v>
      </c>
      <c r="E174" s="112">
        <f>IF(Base!H172="","",Base!H172)</f>
        <v>1050127</v>
      </c>
      <c r="J174" s="122">
        <v>164</v>
      </c>
      <c r="K174" s="123"/>
      <c r="L174" s="124" t="str">
        <f t="shared" si="20"/>
        <v/>
      </c>
      <c r="M174" s="124" t="str">
        <f t="shared" si="21"/>
        <v/>
      </c>
      <c r="N174" s="125" t="str">
        <f t="shared" si="22"/>
        <v/>
      </c>
      <c r="O174" s="125" t="str">
        <f t="shared" si="23"/>
        <v/>
      </c>
      <c r="P174" s="126"/>
      <c r="Q174" s="132"/>
      <c r="R174" s="122"/>
      <c r="S174" s="132"/>
      <c r="T174" s="122"/>
      <c r="U174" s="132"/>
      <c r="V174" s="122"/>
      <c r="W174" s="132"/>
      <c r="X174" s="122"/>
      <c r="Y174" s="132"/>
      <c r="Z174" s="122"/>
      <c r="AA174" s="132"/>
      <c r="AB174" s="122"/>
      <c r="AC174" s="132"/>
      <c r="AD174" s="122"/>
      <c r="AE174" s="129">
        <f t="shared" si="25"/>
        <v>0</v>
      </c>
      <c r="AF174" s="129">
        <f t="shared" si="25"/>
        <v>0</v>
      </c>
      <c r="AG174" s="130"/>
      <c r="AH174" s="131">
        <f t="shared" si="24"/>
        <v>0</v>
      </c>
    </row>
    <row r="175" spans="1:34" ht="13.5">
      <c r="A175" s="112" t="str">
        <f>IF(Base!B173="","",Base!B173)</f>
        <v>17.245.009-1</v>
      </c>
      <c r="B175" s="112" t="str">
        <f>IF(Base!F173="","",Base!F173)</f>
        <v>RODRIGO ALEJANDRO  ROJAS  SALAMANCA</v>
      </c>
      <c r="C175" s="112" t="str">
        <f>IF(Base!I173="","",Base!I173)</f>
        <v>Abastecimiento</v>
      </c>
      <c r="D175" s="113" t="str">
        <f>IF(Base!J173="","",Base!J173)</f>
        <v>Almacen Insumos Pque</v>
      </c>
      <c r="E175" s="112">
        <f>IF(Base!H173="","",Base!H173)</f>
        <v>1050581</v>
      </c>
      <c r="J175" s="122">
        <v>165</v>
      </c>
      <c r="K175" s="123"/>
      <c r="L175" s="124" t="str">
        <f t="shared" si="20"/>
        <v/>
      </c>
      <c r="M175" s="124" t="str">
        <f t="shared" si="21"/>
        <v/>
      </c>
      <c r="N175" s="125" t="str">
        <f t="shared" si="22"/>
        <v/>
      </c>
      <c r="O175" s="125" t="str">
        <f t="shared" si="23"/>
        <v/>
      </c>
      <c r="P175" s="126"/>
      <c r="Q175" s="132"/>
      <c r="R175" s="122"/>
      <c r="S175" s="132"/>
      <c r="T175" s="122"/>
      <c r="U175" s="132"/>
      <c r="V175" s="122"/>
      <c r="W175" s="132"/>
      <c r="X175" s="122"/>
      <c r="Y175" s="132"/>
      <c r="Z175" s="122"/>
      <c r="AA175" s="132"/>
      <c r="AB175" s="122"/>
      <c r="AC175" s="132"/>
      <c r="AD175" s="122"/>
      <c r="AE175" s="129">
        <f t="shared" si="25"/>
        <v>0</v>
      </c>
      <c r="AF175" s="129">
        <f t="shared" si="25"/>
        <v>0</v>
      </c>
      <c r="AG175" s="130"/>
      <c r="AH175" s="131">
        <f t="shared" si="24"/>
        <v>0</v>
      </c>
    </row>
    <row r="176" spans="1:34" ht="13.5">
      <c r="A176" s="112" t="str">
        <f>IF(Base!B174="","",Base!B174)</f>
        <v>09.839.411-7</v>
      </c>
      <c r="B176" s="112" t="str">
        <f>IF(Base!F174="","",Base!F174)</f>
        <v>VICTOR MANUEL  RUBIO  AYALA</v>
      </c>
      <c r="C176" s="112" t="str">
        <f>IF(Base!I174="","",Base!I174)</f>
        <v>Supervisor</v>
      </c>
      <c r="D176" s="113" t="str">
        <f>IF(Base!J174="","",Base!J174)</f>
        <v>Supervisor</v>
      </c>
      <c r="E176" s="112">
        <f>IF(Base!H174="","",Base!H174)</f>
        <v>1050603</v>
      </c>
      <c r="J176" s="122">
        <v>166</v>
      </c>
      <c r="K176" s="123"/>
      <c r="L176" s="124" t="str">
        <f t="shared" si="20"/>
        <v/>
      </c>
      <c r="M176" s="124" t="str">
        <f t="shared" si="21"/>
        <v/>
      </c>
      <c r="N176" s="125" t="str">
        <f t="shared" si="22"/>
        <v/>
      </c>
      <c r="O176" s="125" t="str">
        <f t="shared" si="23"/>
        <v/>
      </c>
      <c r="P176" s="126"/>
      <c r="Q176" s="132"/>
      <c r="R176" s="132"/>
      <c r="S176" s="132"/>
      <c r="T176" s="132"/>
      <c r="U176" s="132"/>
      <c r="V176" s="132"/>
      <c r="W176" s="132"/>
      <c r="X176" s="132"/>
      <c r="Y176" s="132"/>
      <c r="Z176" s="132"/>
      <c r="AA176" s="132"/>
      <c r="AB176" s="132"/>
      <c r="AC176" s="132"/>
      <c r="AD176" s="132"/>
      <c r="AE176" s="129">
        <f t="shared" si="25"/>
        <v>0</v>
      </c>
      <c r="AF176" s="129">
        <f t="shared" si="25"/>
        <v>0</v>
      </c>
      <c r="AG176" s="130"/>
      <c r="AH176" s="131">
        <f t="shared" si="24"/>
        <v>0</v>
      </c>
    </row>
    <row r="177" spans="1:34" ht="13.5">
      <c r="A177" s="112" t="str">
        <f>IF(Base!B175="","",Base!B175)</f>
        <v>07.916.907-2</v>
      </c>
      <c r="B177" s="112" t="str">
        <f>IF(Base!F175="","",Base!F175)</f>
        <v>MARCOS A  RUBIO  CASTRO</v>
      </c>
      <c r="C177" s="112" t="str">
        <f>IF(Base!I175="","",Base!I175)</f>
        <v>Monitor Llenado</v>
      </c>
      <c r="D177" s="113" t="str">
        <f>IF(Base!J175="","",Base!J175)</f>
        <v>Monitor Llenado</v>
      </c>
      <c r="E177" s="112">
        <f>IF(Base!H175="","",Base!H175)</f>
        <v>1050604</v>
      </c>
      <c r="J177" s="122">
        <v>167</v>
      </c>
      <c r="K177" s="123"/>
      <c r="L177" s="124" t="str">
        <f t="shared" si="20"/>
        <v/>
      </c>
      <c r="M177" s="124" t="str">
        <f t="shared" si="21"/>
        <v/>
      </c>
      <c r="N177" s="125" t="str">
        <f t="shared" si="22"/>
        <v/>
      </c>
      <c r="O177" s="125" t="str">
        <f t="shared" si="23"/>
        <v/>
      </c>
      <c r="P177" s="126"/>
      <c r="Q177" s="132"/>
      <c r="R177" s="132"/>
      <c r="S177" s="132"/>
      <c r="T177" s="132"/>
      <c r="U177" s="132"/>
      <c r="V177" s="132"/>
      <c r="W177" s="132"/>
      <c r="X177" s="132"/>
      <c r="Y177" s="132"/>
      <c r="Z177" s="132"/>
      <c r="AA177" s="132"/>
      <c r="AB177" s="132"/>
      <c r="AC177" s="132"/>
      <c r="AD177" s="132"/>
      <c r="AE177" s="129">
        <f t="shared" si="25"/>
        <v>0</v>
      </c>
      <c r="AF177" s="129">
        <f t="shared" si="25"/>
        <v>0</v>
      </c>
      <c r="AG177" s="130"/>
      <c r="AH177" s="131">
        <f t="shared" si="24"/>
        <v>0</v>
      </c>
    </row>
    <row r="178" spans="1:34" ht="13.5">
      <c r="A178" s="112" t="str">
        <f>IF(Base!B176="","",Base!B176)</f>
        <v>14.383.969-9</v>
      </c>
      <c r="B178" s="112" t="str">
        <f>IF(Base!F176="","",Base!F176)</f>
        <v>AMERICO ANDRES  RUBIO  GUZMAN</v>
      </c>
      <c r="C178" s="112" t="str">
        <f>IF(Base!I176="","",Base!I176)</f>
        <v xml:space="preserve">Setup </v>
      </c>
      <c r="D178" s="113" t="str">
        <f>IF(Base!J176="","",Base!J176)</f>
        <v xml:space="preserve">Setup </v>
      </c>
      <c r="E178" s="112">
        <f>IF(Base!H176="","",Base!H176)</f>
        <v>1050529</v>
      </c>
      <c r="J178" s="122">
        <v>168</v>
      </c>
      <c r="K178" s="123"/>
      <c r="L178" s="124" t="str">
        <f t="shared" si="20"/>
        <v/>
      </c>
      <c r="M178" s="124" t="str">
        <f t="shared" si="21"/>
        <v/>
      </c>
      <c r="N178" s="125" t="str">
        <f t="shared" si="22"/>
        <v/>
      </c>
      <c r="O178" s="125" t="str">
        <f t="shared" si="23"/>
        <v/>
      </c>
      <c r="P178" s="126"/>
      <c r="Q178" s="132"/>
      <c r="R178" s="122"/>
      <c r="S178" s="132"/>
      <c r="T178" s="122"/>
      <c r="U178" s="132"/>
      <c r="V178" s="122"/>
      <c r="W178" s="132"/>
      <c r="X178" s="122"/>
      <c r="Y178" s="132"/>
      <c r="Z178" s="122"/>
      <c r="AA178" s="132"/>
      <c r="AB178" s="122"/>
      <c r="AC178" s="132"/>
      <c r="AD178" s="122"/>
      <c r="AE178" s="129">
        <f t="shared" si="25"/>
        <v>0</v>
      </c>
      <c r="AF178" s="129">
        <f t="shared" si="25"/>
        <v>0</v>
      </c>
      <c r="AG178" s="130"/>
      <c r="AH178" s="131">
        <f t="shared" si="24"/>
        <v>0</v>
      </c>
    </row>
    <row r="179" spans="1:34" ht="13.5">
      <c r="A179" s="112" t="str">
        <f>IF(Base!B177="","",Base!B177)</f>
        <v>11.657.838-7</v>
      </c>
      <c r="B179" s="112" t="str">
        <f>IF(Base!F177="","",Base!F177)</f>
        <v>JUAN RAMON  SALAMANCA  VIDAL</v>
      </c>
      <c r="C179" s="112" t="str">
        <f>IF(Base!I177="","",Base!I177)</f>
        <v>Abastecimiento</v>
      </c>
      <c r="D179" s="113" t="str">
        <f>IF(Base!J177="","",Base!J177)</f>
        <v>Preparación de Insum</v>
      </c>
      <c r="E179" s="112">
        <f>IF(Base!H177="","",Base!H177)</f>
        <v>1050127</v>
      </c>
      <c r="J179" s="122">
        <v>169</v>
      </c>
      <c r="K179" s="123"/>
      <c r="L179" s="124" t="str">
        <f t="shared" si="20"/>
        <v/>
      </c>
      <c r="M179" s="124" t="str">
        <f t="shared" si="21"/>
        <v/>
      </c>
      <c r="N179" s="125" t="str">
        <f t="shared" si="22"/>
        <v/>
      </c>
      <c r="O179" s="125" t="str">
        <f t="shared" si="23"/>
        <v/>
      </c>
      <c r="P179" s="126"/>
      <c r="Q179" s="132"/>
      <c r="R179" s="122"/>
      <c r="S179" s="132"/>
      <c r="T179" s="122"/>
      <c r="U179" s="132"/>
      <c r="V179" s="122"/>
      <c r="W179" s="132"/>
      <c r="X179" s="122"/>
      <c r="Y179" s="132"/>
      <c r="Z179" s="122"/>
      <c r="AA179" s="132"/>
      <c r="AB179" s="122"/>
      <c r="AC179" s="132"/>
      <c r="AD179" s="122"/>
      <c r="AE179" s="129">
        <f t="shared" si="25"/>
        <v>0</v>
      </c>
      <c r="AF179" s="129">
        <f t="shared" si="25"/>
        <v>0</v>
      </c>
      <c r="AG179" s="130"/>
      <c r="AH179" s="131">
        <f t="shared" si="24"/>
        <v>0</v>
      </c>
    </row>
    <row r="180" spans="1:34" ht="13.5">
      <c r="A180" s="112" t="str">
        <f>IF(Base!B178="","",Base!B178)</f>
        <v>07.832.770-7</v>
      </c>
      <c r="B180" s="112" t="str">
        <f>IF(Base!F178="","",Base!F178)</f>
        <v>MIGUEL  SALAS  VALENZUELA</v>
      </c>
      <c r="C180" s="112" t="str">
        <f>IF(Base!I178="","",Base!I178)</f>
        <v>Linea 7</v>
      </c>
      <c r="D180" s="113" t="str">
        <f>IF(Base!J178="","",Base!J178)</f>
        <v>Embalador</v>
      </c>
      <c r="E180" s="112">
        <f>IF(Base!H178="","",Base!H178)</f>
        <v>1050616</v>
      </c>
      <c r="J180" s="122">
        <v>170</v>
      </c>
      <c r="K180" s="123"/>
      <c r="L180" s="124" t="str">
        <f t="shared" si="20"/>
        <v/>
      </c>
      <c r="M180" s="124" t="str">
        <f t="shared" si="21"/>
        <v/>
      </c>
      <c r="N180" s="125" t="str">
        <f t="shared" si="22"/>
        <v/>
      </c>
      <c r="O180" s="125" t="str">
        <f t="shared" si="23"/>
        <v/>
      </c>
      <c r="P180" s="126"/>
      <c r="Q180" s="132"/>
      <c r="R180" s="122"/>
      <c r="S180" s="132"/>
      <c r="T180" s="122"/>
      <c r="U180" s="132"/>
      <c r="V180" s="122"/>
      <c r="W180" s="132"/>
      <c r="X180" s="122"/>
      <c r="Y180" s="132"/>
      <c r="Z180" s="122"/>
      <c r="AA180" s="132"/>
      <c r="AB180" s="122"/>
      <c r="AC180" s="132"/>
      <c r="AD180" s="122"/>
      <c r="AE180" s="129">
        <f t="shared" si="25"/>
        <v>0</v>
      </c>
      <c r="AF180" s="129">
        <f t="shared" si="25"/>
        <v>0</v>
      </c>
      <c r="AG180" s="130"/>
      <c r="AH180" s="131">
        <f t="shared" si="24"/>
        <v>0</v>
      </c>
    </row>
    <row r="181" spans="1:34" ht="13.5">
      <c r="A181" s="112" t="str">
        <f>IF(Base!B179="","",Base!B179)</f>
        <v>12.647.009-6</v>
      </c>
      <c r="B181" s="112" t="str">
        <f>IF(Base!F179="","",Base!F179)</f>
        <v>PAULO  SALAZAR  FREYHOFER</v>
      </c>
      <c r="C181" s="112" t="str">
        <f>IF(Base!I179="","",Base!I179)</f>
        <v>Abastecimiento</v>
      </c>
      <c r="D181" s="113" t="str">
        <f>IF(Base!J179="","",Base!J179)</f>
        <v>Supervisor Almacen Insumos</v>
      </c>
      <c r="E181" s="112">
        <f>IF(Base!H179="","",Base!H179)</f>
        <v>1050581</v>
      </c>
      <c r="J181" s="122">
        <v>171</v>
      </c>
      <c r="K181" s="123"/>
      <c r="L181" s="124" t="str">
        <f t="shared" si="20"/>
        <v/>
      </c>
      <c r="M181" s="124" t="str">
        <f t="shared" si="21"/>
        <v/>
      </c>
      <c r="N181" s="125" t="str">
        <f t="shared" si="22"/>
        <v/>
      </c>
      <c r="O181" s="125" t="str">
        <f t="shared" si="23"/>
        <v/>
      </c>
      <c r="P181" s="126"/>
      <c r="Q181" s="132"/>
      <c r="R181" s="132"/>
      <c r="S181" s="132"/>
      <c r="T181" s="132"/>
      <c r="U181" s="132"/>
      <c r="V181" s="132"/>
      <c r="W181" s="132"/>
      <c r="X181" s="132"/>
      <c r="Y181" s="132"/>
      <c r="Z181" s="132"/>
      <c r="AA181" s="132"/>
      <c r="AB181" s="132"/>
      <c r="AC181" s="132"/>
      <c r="AD181" s="132"/>
      <c r="AE181" s="129">
        <f t="shared" si="25"/>
        <v>0</v>
      </c>
      <c r="AF181" s="129">
        <f t="shared" si="25"/>
        <v>0</v>
      </c>
      <c r="AG181" s="130"/>
      <c r="AH181" s="131">
        <f t="shared" si="24"/>
        <v>0</v>
      </c>
    </row>
    <row r="182" spans="1:34" ht="13.5">
      <c r="A182" s="112" t="str">
        <f>IF(Base!B180="","",Base!B180)</f>
        <v>07.009.784-2</v>
      </c>
      <c r="B182" s="112" t="str">
        <f>IF(Base!F180="","",Base!F180)</f>
        <v>HECTOR ENRIQUE  SALAZAR  VIDELA</v>
      </c>
      <c r="C182" s="112" t="str">
        <f>IF(Base!I180="","",Base!I180)</f>
        <v>Abastecimiento</v>
      </c>
      <c r="D182" s="113" t="str">
        <f>IF(Base!J180="","",Base!J180)</f>
        <v>Control Ingresos Cen</v>
      </c>
      <c r="E182" s="112">
        <f>IF(Base!H180="","",Base!H180)</f>
        <v>1050126</v>
      </c>
      <c r="J182" s="122">
        <v>172</v>
      </c>
      <c r="K182" s="123"/>
      <c r="L182" s="124" t="str">
        <f t="shared" si="20"/>
        <v/>
      </c>
      <c r="M182" s="124" t="str">
        <f t="shared" si="21"/>
        <v/>
      </c>
      <c r="N182" s="125" t="str">
        <f t="shared" si="22"/>
        <v/>
      </c>
      <c r="O182" s="125" t="str">
        <f t="shared" si="23"/>
        <v/>
      </c>
      <c r="P182" s="126"/>
      <c r="Q182" s="132"/>
      <c r="R182" s="132"/>
      <c r="S182" s="132"/>
      <c r="T182" s="132"/>
      <c r="U182" s="132"/>
      <c r="V182" s="132"/>
      <c r="W182" s="132"/>
      <c r="X182" s="132"/>
      <c r="Y182" s="132"/>
      <c r="Z182" s="132"/>
      <c r="AA182" s="132"/>
      <c r="AB182" s="132"/>
      <c r="AC182" s="132"/>
      <c r="AD182" s="132"/>
      <c r="AE182" s="129">
        <f t="shared" si="25"/>
        <v>0</v>
      </c>
      <c r="AF182" s="129">
        <f t="shared" si="25"/>
        <v>0</v>
      </c>
      <c r="AG182" s="130"/>
      <c r="AH182" s="131">
        <f t="shared" si="24"/>
        <v>0</v>
      </c>
    </row>
    <row r="183" spans="1:34" ht="13.5">
      <c r="A183" s="112" t="str">
        <f>IF(Base!B181="","",Base!B181)</f>
        <v>08.245.727-5</v>
      </c>
      <c r="B183" s="112" t="str">
        <f>IF(Base!F181="","",Base!F181)</f>
        <v>JUAN  SALINAS  CUEVAS</v>
      </c>
      <c r="C183" s="112" t="str">
        <f>IF(Base!I181="","",Base!I181)</f>
        <v>Abastecimiento</v>
      </c>
      <c r="D183" s="113" t="str">
        <f>IF(Base!J181="","",Base!J181)</f>
        <v>Suministro de Líneas</v>
      </c>
      <c r="E183" s="112">
        <f>IF(Base!H181="","",Base!H181)</f>
        <v>1050633</v>
      </c>
      <c r="J183" s="122">
        <v>173</v>
      </c>
      <c r="K183" s="123"/>
      <c r="L183" s="124" t="str">
        <f t="shared" si="20"/>
        <v/>
      </c>
      <c r="M183" s="124" t="str">
        <f t="shared" si="21"/>
        <v/>
      </c>
      <c r="N183" s="125" t="str">
        <f t="shared" si="22"/>
        <v/>
      </c>
      <c r="O183" s="125" t="str">
        <f t="shared" si="23"/>
        <v/>
      </c>
      <c r="P183" s="126"/>
      <c r="Q183" s="132"/>
      <c r="R183" s="122"/>
      <c r="S183" s="132"/>
      <c r="T183" s="122"/>
      <c r="U183" s="132"/>
      <c r="V183" s="122"/>
      <c r="W183" s="132"/>
      <c r="X183" s="122"/>
      <c r="Y183" s="132"/>
      <c r="Z183" s="122"/>
      <c r="AA183" s="132"/>
      <c r="AB183" s="122"/>
      <c r="AC183" s="132"/>
      <c r="AD183" s="122"/>
      <c r="AE183" s="129">
        <f t="shared" si="25"/>
        <v>0</v>
      </c>
      <c r="AF183" s="129">
        <f t="shared" si="25"/>
        <v>0</v>
      </c>
      <c r="AG183" s="130"/>
      <c r="AH183" s="131">
        <f t="shared" si="24"/>
        <v>0</v>
      </c>
    </row>
    <row r="184" spans="1:34" ht="13.5">
      <c r="A184" s="112" t="str">
        <f>IF(Base!B182="","",Base!B182)</f>
        <v>13.638.571-2</v>
      </c>
      <c r="B184" s="112" t="str">
        <f>IF(Base!F182="","",Base!F182)</f>
        <v>EDUARDO  SALINAS  MARIN</v>
      </c>
      <c r="C184" s="112" t="str">
        <f>IF(Base!I182="","",Base!I182)</f>
        <v>Linea 7</v>
      </c>
      <c r="D184" s="113" t="str">
        <f>IF(Base!J182="","",Base!J182)</f>
        <v>Etiquetador</v>
      </c>
      <c r="E184" s="112">
        <f>IF(Base!H182="","",Base!H182)</f>
        <v>1050616</v>
      </c>
      <c r="J184" s="122">
        <v>174</v>
      </c>
      <c r="K184" s="123"/>
      <c r="L184" s="124" t="str">
        <f t="shared" si="20"/>
        <v/>
      </c>
      <c r="M184" s="124" t="str">
        <f t="shared" si="21"/>
        <v/>
      </c>
      <c r="N184" s="125" t="str">
        <f t="shared" si="22"/>
        <v/>
      </c>
      <c r="O184" s="125" t="str">
        <f t="shared" si="23"/>
        <v/>
      </c>
      <c r="P184" s="126"/>
      <c r="Q184" s="132"/>
      <c r="R184" s="122"/>
      <c r="S184" s="132"/>
      <c r="T184" s="122"/>
      <c r="U184" s="132"/>
      <c r="V184" s="122"/>
      <c r="W184" s="132"/>
      <c r="X184" s="122"/>
      <c r="Y184" s="132"/>
      <c r="Z184" s="122"/>
      <c r="AA184" s="132"/>
      <c r="AB184" s="122"/>
      <c r="AC184" s="132"/>
      <c r="AD184" s="122"/>
      <c r="AE184" s="129">
        <f t="shared" si="25"/>
        <v>0</v>
      </c>
      <c r="AF184" s="129">
        <f t="shared" si="25"/>
        <v>0</v>
      </c>
      <c r="AG184" s="130"/>
      <c r="AH184" s="131">
        <f t="shared" si="24"/>
        <v>0</v>
      </c>
    </row>
    <row r="185" spans="1:34" ht="13.5">
      <c r="A185" s="112" t="str">
        <f>IF(Base!B183="","",Base!B183)</f>
        <v>15.891.790-4</v>
      </c>
      <c r="B185" s="112" t="str">
        <f>IF(Base!F183="","",Base!F183)</f>
        <v>LUIS ALBERTO  SALINAS  SALDIAS</v>
      </c>
      <c r="C185" s="112" t="str">
        <f>IF(Base!I183="","",Base!I183)</f>
        <v>Reprocesos</v>
      </c>
      <c r="D185" s="113" t="str">
        <f>IF(Base!J183="","",Base!J183)</f>
        <v>Encargado</v>
      </c>
      <c r="E185" s="112">
        <f>IF(Base!H183="","",Base!H183)</f>
        <v>1050565</v>
      </c>
      <c r="J185" s="122">
        <v>175</v>
      </c>
      <c r="K185" s="123"/>
      <c r="L185" s="124" t="str">
        <f t="shared" si="20"/>
        <v/>
      </c>
      <c r="M185" s="124" t="str">
        <f t="shared" si="21"/>
        <v/>
      </c>
      <c r="N185" s="125" t="str">
        <f t="shared" si="22"/>
        <v/>
      </c>
      <c r="O185" s="125" t="str">
        <f t="shared" si="23"/>
        <v/>
      </c>
      <c r="P185" s="126"/>
      <c r="Q185" s="132"/>
      <c r="R185" s="122"/>
      <c r="S185" s="132"/>
      <c r="T185" s="122"/>
      <c r="U185" s="132"/>
      <c r="V185" s="122"/>
      <c r="W185" s="132"/>
      <c r="X185" s="122"/>
      <c r="Y185" s="132"/>
      <c r="Z185" s="122"/>
      <c r="AA185" s="132"/>
      <c r="AB185" s="122"/>
      <c r="AC185" s="132"/>
      <c r="AD185" s="122"/>
      <c r="AE185" s="129">
        <f t="shared" si="25"/>
        <v>0</v>
      </c>
      <c r="AF185" s="129">
        <f t="shared" si="25"/>
        <v>0</v>
      </c>
      <c r="AG185" s="130"/>
      <c r="AH185" s="131">
        <f t="shared" si="24"/>
        <v>0</v>
      </c>
    </row>
    <row r="186" spans="1:34" ht="13.5">
      <c r="A186" s="112" t="str">
        <f>IF(Base!B184="","",Base!B184)</f>
        <v>12.500.119-K</v>
      </c>
      <c r="B186" s="112" t="str">
        <f>IF(Base!F184="","",Base!F184)</f>
        <v>FREDDY  SANCHEZ  TORRES</v>
      </c>
      <c r="C186" s="112" t="str">
        <f>IF(Base!I184="","",Base!I184)</f>
        <v>Abastecimiento</v>
      </c>
      <c r="D186" s="113" t="str">
        <f>IF(Base!J184="","",Base!J184)</f>
        <v>Control Inventario I</v>
      </c>
      <c r="E186" s="112">
        <f>IF(Base!H184="","",Base!H184)</f>
        <v>1050161</v>
      </c>
      <c r="J186" s="122">
        <v>176</v>
      </c>
      <c r="K186" s="123"/>
      <c r="L186" s="124" t="str">
        <f t="shared" si="20"/>
        <v/>
      </c>
      <c r="M186" s="124" t="str">
        <f t="shared" si="21"/>
        <v/>
      </c>
      <c r="N186" s="125" t="str">
        <f t="shared" si="22"/>
        <v/>
      </c>
      <c r="O186" s="125" t="str">
        <f t="shared" si="23"/>
        <v/>
      </c>
      <c r="P186" s="126"/>
      <c r="Q186" s="132"/>
      <c r="R186" s="132"/>
      <c r="S186" s="132"/>
      <c r="T186" s="132"/>
      <c r="U186" s="132"/>
      <c r="V186" s="132"/>
      <c r="W186" s="132"/>
      <c r="X186" s="132"/>
      <c r="Y186" s="132"/>
      <c r="Z186" s="132"/>
      <c r="AA186" s="132"/>
      <c r="AB186" s="132"/>
      <c r="AC186" s="132"/>
      <c r="AD186" s="132"/>
      <c r="AE186" s="129">
        <f t="shared" si="25"/>
        <v>0</v>
      </c>
      <c r="AF186" s="129">
        <f t="shared" si="25"/>
        <v>0</v>
      </c>
      <c r="AG186" s="130"/>
      <c r="AH186" s="131">
        <f t="shared" si="24"/>
        <v>0</v>
      </c>
    </row>
    <row r="187" spans="1:34" ht="13.5">
      <c r="A187" s="112" t="str">
        <f>IF(Base!B185="","",Base!B185)</f>
        <v>13.701.209-K</v>
      </c>
      <c r="B187" s="112" t="str">
        <f>IF(Base!F185="","",Base!F185)</f>
        <v>MARCELINO JHONATTAN  SANCHEZ  TORRES</v>
      </c>
      <c r="C187" s="112" t="str">
        <f>IF(Base!I185="","",Base!I185)</f>
        <v>Abastecimiento</v>
      </c>
      <c r="D187" s="113" t="str">
        <f>IF(Base!J185="","",Base!J185)</f>
        <v>Control Ingresos Cen</v>
      </c>
      <c r="E187" s="112">
        <f>IF(Base!H185="","",Base!H185)</f>
        <v>1050126</v>
      </c>
      <c r="J187" s="122">
        <v>177</v>
      </c>
      <c r="K187" s="123"/>
      <c r="L187" s="124" t="str">
        <f t="shared" si="20"/>
        <v/>
      </c>
      <c r="M187" s="124" t="str">
        <f t="shared" si="21"/>
        <v/>
      </c>
      <c r="N187" s="125" t="str">
        <f t="shared" si="22"/>
        <v/>
      </c>
      <c r="O187" s="125" t="str">
        <f t="shared" si="23"/>
        <v/>
      </c>
      <c r="P187" s="126"/>
      <c r="Q187" s="132"/>
      <c r="R187" s="132"/>
      <c r="S187" s="132"/>
      <c r="T187" s="132"/>
      <c r="U187" s="132"/>
      <c r="V187" s="132"/>
      <c r="W187" s="132"/>
      <c r="X187" s="132"/>
      <c r="Y187" s="132"/>
      <c r="Z187" s="132"/>
      <c r="AA187" s="132"/>
      <c r="AB187" s="132"/>
      <c r="AC187" s="132"/>
      <c r="AD187" s="132"/>
      <c r="AE187" s="129">
        <f t="shared" si="25"/>
        <v>0</v>
      </c>
      <c r="AF187" s="129">
        <f t="shared" si="25"/>
        <v>0</v>
      </c>
      <c r="AG187" s="130"/>
      <c r="AH187" s="131">
        <f t="shared" si="24"/>
        <v>0</v>
      </c>
    </row>
    <row r="188" spans="1:34" ht="13.5">
      <c r="A188" s="112" t="str">
        <f>IF(Base!B186="","",Base!B186)</f>
        <v>10.835.391-0</v>
      </c>
      <c r="B188" s="112" t="str">
        <f>IF(Base!F186="","",Base!F186)</f>
        <v>DANIEL PATRICIO  SANCHEZ  VASQUEZ</v>
      </c>
      <c r="C188" s="112" t="str">
        <f>IF(Base!I186="","",Base!I186)</f>
        <v>Abastecimiento</v>
      </c>
      <c r="D188" s="113" t="str">
        <f>IF(Base!J186="","",Base!J186)</f>
        <v>Almacen Insumos Pque</v>
      </c>
      <c r="E188" s="112">
        <f>IF(Base!H186="","",Base!H186)</f>
        <v>1050581</v>
      </c>
      <c r="J188" s="122">
        <v>178</v>
      </c>
      <c r="K188" s="123"/>
      <c r="L188" s="124" t="str">
        <f t="shared" si="20"/>
        <v/>
      </c>
      <c r="M188" s="124" t="str">
        <f t="shared" si="21"/>
        <v/>
      </c>
      <c r="N188" s="125" t="str">
        <f t="shared" si="22"/>
        <v/>
      </c>
      <c r="O188" s="125" t="str">
        <f t="shared" si="23"/>
        <v/>
      </c>
      <c r="P188" s="126"/>
      <c r="Q188" s="132"/>
      <c r="R188" s="122"/>
      <c r="S188" s="132"/>
      <c r="T188" s="122"/>
      <c r="U188" s="132"/>
      <c r="V188" s="122"/>
      <c r="W188" s="132"/>
      <c r="X188" s="122"/>
      <c r="Y188" s="132"/>
      <c r="Z188" s="122"/>
      <c r="AA188" s="132"/>
      <c r="AB188" s="122"/>
      <c r="AC188" s="132"/>
      <c r="AD188" s="122"/>
      <c r="AE188" s="129">
        <f t="shared" si="25"/>
        <v>0</v>
      </c>
      <c r="AF188" s="129">
        <f t="shared" si="25"/>
        <v>0</v>
      </c>
      <c r="AG188" s="130"/>
      <c r="AH188" s="131">
        <f t="shared" si="24"/>
        <v>0</v>
      </c>
    </row>
    <row r="189" spans="1:34" ht="13.5">
      <c r="A189" s="112" t="str">
        <f>IF(Base!B187="","",Base!B187)</f>
        <v>08.618.882-1</v>
      </c>
      <c r="B189" s="112" t="str">
        <f>IF(Base!F187="","",Base!F187)</f>
        <v>VICTOR H.  SANDOVAL  ACUÑA</v>
      </c>
      <c r="C189" s="112" t="str">
        <f>IF(Base!I187="","",Base!I187)</f>
        <v>Abastecimiento</v>
      </c>
      <c r="D189" s="113" t="str">
        <f>IF(Base!J187="","",Base!J187)</f>
        <v>Suministro de Líneas</v>
      </c>
      <c r="E189" s="112">
        <f>IF(Base!H187="","",Base!H187)</f>
        <v>1050633</v>
      </c>
      <c r="J189" s="122">
        <v>179</v>
      </c>
      <c r="K189" s="123"/>
      <c r="L189" s="124" t="str">
        <f t="shared" si="20"/>
        <v/>
      </c>
      <c r="M189" s="124" t="str">
        <f t="shared" si="21"/>
        <v/>
      </c>
      <c r="N189" s="125" t="str">
        <f t="shared" si="22"/>
        <v/>
      </c>
      <c r="O189" s="125" t="str">
        <f t="shared" si="23"/>
        <v/>
      </c>
      <c r="P189" s="126"/>
      <c r="Q189" s="132"/>
      <c r="R189" s="122"/>
      <c r="S189" s="132"/>
      <c r="T189" s="122"/>
      <c r="U189" s="132"/>
      <c r="V189" s="122"/>
      <c r="W189" s="132"/>
      <c r="X189" s="122"/>
      <c r="Y189" s="132"/>
      <c r="Z189" s="122"/>
      <c r="AA189" s="132"/>
      <c r="AB189" s="122"/>
      <c r="AC189" s="132"/>
      <c r="AD189" s="122"/>
      <c r="AE189" s="129">
        <f t="shared" si="25"/>
        <v>0</v>
      </c>
      <c r="AF189" s="129">
        <f t="shared" si="25"/>
        <v>0</v>
      </c>
      <c r="AG189" s="130"/>
      <c r="AH189" s="131">
        <f t="shared" si="24"/>
        <v>0</v>
      </c>
    </row>
    <row r="190" spans="1:34" ht="13.5">
      <c r="A190" s="112" t="str">
        <f>IF(Base!B188="","",Base!B188)</f>
        <v>16.691.386-1</v>
      </c>
      <c r="B190" s="112" t="str">
        <f>IF(Base!F188="","",Base!F188)</f>
        <v>LORENZO ARTURO  SANDOVAL  ALTAMIRANO</v>
      </c>
      <c r="C190" s="112" t="str">
        <f>IF(Base!I188="","",Base!I188)</f>
        <v>Abastecimiento</v>
      </c>
      <c r="D190" s="113" t="str">
        <f>IF(Base!J188="","",Base!J188)</f>
        <v>Almacen Insumos Pque</v>
      </c>
      <c r="E190" s="112">
        <f>IF(Base!H188="","",Base!H188)</f>
        <v>1050581</v>
      </c>
      <c r="J190" s="122">
        <v>180</v>
      </c>
      <c r="K190" s="123"/>
      <c r="L190" s="124" t="str">
        <f t="shared" si="20"/>
        <v/>
      </c>
      <c r="M190" s="124" t="str">
        <f t="shared" si="21"/>
        <v/>
      </c>
      <c r="N190" s="125" t="str">
        <f t="shared" si="22"/>
        <v/>
      </c>
      <c r="O190" s="125" t="str">
        <f t="shared" si="23"/>
        <v/>
      </c>
      <c r="P190" s="126"/>
      <c r="Q190" s="132"/>
      <c r="R190" s="122"/>
      <c r="S190" s="132"/>
      <c r="T190" s="122"/>
      <c r="U190" s="132"/>
      <c r="V190" s="122"/>
      <c r="W190" s="132"/>
      <c r="X190" s="122"/>
      <c r="Y190" s="132"/>
      <c r="Z190" s="122"/>
      <c r="AA190" s="132"/>
      <c r="AB190" s="122"/>
      <c r="AC190" s="132"/>
      <c r="AD190" s="122"/>
      <c r="AE190" s="129">
        <f t="shared" si="25"/>
        <v>0</v>
      </c>
      <c r="AF190" s="129">
        <f t="shared" si="25"/>
        <v>0</v>
      </c>
      <c r="AG190" s="130"/>
      <c r="AH190" s="131">
        <f t="shared" si="24"/>
        <v>0</v>
      </c>
    </row>
    <row r="191" spans="1:34" ht="13.5">
      <c r="A191" s="112" t="str">
        <f>IF(Base!B189="","",Base!B189)</f>
        <v>08.085.825-6</v>
      </c>
      <c r="B191" s="112" t="str">
        <f>IF(Base!F189="","",Base!F189)</f>
        <v>ACISCLO ANTONIO  SANHUEZA  CUBILLOS</v>
      </c>
      <c r="C191" s="112" t="str">
        <f>IF(Base!I189="","",Base!I189)</f>
        <v>Linea 6</v>
      </c>
      <c r="D191" s="113" t="str">
        <f>IF(Base!J189="","",Base!J189)</f>
        <v>Llenador</v>
      </c>
      <c r="E191" s="112">
        <f>IF(Base!H189="","",Base!H189)</f>
        <v>1050609</v>
      </c>
      <c r="J191" s="122">
        <v>181</v>
      </c>
      <c r="K191" s="123"/>
      <c r="L191" s="124" t="str">
        <f t="shared" si="20"/>
        <v/>
      </c>
      <c r="M191" s="124" t="str">
        <f t="shared" si="21"/>
        <v/>
      </c>
      <c r="N191" s="125" t="str">
        <f t="shared" si="22"/>
        <v/>
      </c>
      <c r="O191" s="125" t="str">
        <f t="shared" si="23"/>
        <v/>
      </c>
      <c r="P191" s="126"/>
      <c r="Q191" s="132"/>
      <c r="R191" s="132"/>
      <c r="S191" s="132"/>
      <c r="T191" s="132"/>
      <c r="U191" s="132"/>
      <c r="V191" s="132"/>
      <c r="W191" s="132"/>
      <c r="X191" s="132"/>
      <c r="Y191" s="132"/>
      <c r="Z191" s="132"/>
      <c r="AA191" s="132"/>
      <c r="AB191" s="132"/>
      <c r="AC191" s="132"/>
      <c r="AD191" s="132"/>
      <c r="AE191" s="129">
        <f t="shared" si="25"/>
        <v>0</v>
      </c>
      <c r="AF191" s="129">
        <f t="shared" si="25"/>
        <v>0</v>
      </c>
      <c r="AG191" s="130"/>
      <c r="AH191" s="131">
        <f t="shared" si="24"/>
        <v>0</v>
      </c>
    </row>
    <row r="192" spans="1:34" ht="13.5">
      <c r="A192" s="112" t="str">
        <f>IF(Base!B190="","",Base!B190)</f>
        <v>10.849.076-4</v>
      </c>
      <c r="B192" s="112" t="str">
        <f>IF(Base!F190="","",Base!F190)</f>
        <v>RICARDO  SANTANA  PEREZ</v>
      </c>
      <c r="C192" s="112" t="str">
        <f>IF(Base!I190="","",Base!I190)</f>
        <v>Linea 3</v>
      </c>
      <c r="D192" s="113" t="str">
        <f>IF(Base!J190="","",Base!J190)</f>
        <v>Llenador</v>
      </c>
      <c r="E192" s="112">
        <f>IF(Base!H190="","",Base!H190)</f>
        <v>1050555</v>
      </c>
      <c r="J192" s="122">
        <v>182</v>
      </c>
      <c r="K192" s="123"/>
      <c r="L192" s="124" t="str">
        <f t="shared" si="20"/>
        <v/>
      </c>
      <c r="M192" s="124" t="str">
        <f t="shared" si="21"/>
        <v/>
      </c>
      <c r="N192" s="125" t="str">
        <f t="shared" si="22"/>
        <v/>
      </c>
      <c r="O192" s="125" t="str">
        <f t="shared" si="23"/>
        <v/>
      </c>
      <c r="P192" s="126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29">
        <f t="shared" si="25"/>
        <v>0</v>
      </c>
      <c r="AF192" s="129">
        <f t="shared" si="25"/>
        <v>0</v>
      </c>
      <c r="AG192" s="130"/>
      <c r="AH192" s="131">
        <f t="shared" si="24"/>
        <v>0</v>
      </c>
    </row>
    <row r="193" spans="1:34" ht="13.5">
      <c r="A193" s="112" t="str">
        <f>IF(Base!B191="","",Base!B191)</f>
        <v>13.079.999-K</v>
      </c>
      <c r="B193" s="112" t="str">
        <f>IF(Base!F191="","",Base!F191)</f>
        <v>MAGALY ANDREA  SEPULVEDA  ARAVENA</v>
      </c>
      <c r="C193" s="112" t="str">
        <f>IF(Base!I191="","",Base!I191)</f>
        <v>Abastecimiento</v>
      </c>
      <c r="D193" s="113" t="str">
        <f>IF(Base!J191="","",Base!J191)</f>
        <v>Preparación de Insum</v>
      </c>
      <c r="E193" s="112">
        <f>IF(Base!H191="","",Base!H191)</f>
        <v>1050127</v>
      </c>
      <c r="J193" s="122">
        <v>183</v>
      </c>
      <c r="K193" s="123"/>
      <c r="L193" s="124" t="str">
        <f t="shared" si="20"/>
        <v/>
      </c>
      <c r="M193" s="124" t="str">
        <f t="shared" si="21"/>
        <v/>
      </c>
      <c r="N193" s="125" t="str">
        <f t="shared" si="22"/>
        <v/>
      </c>
      <c r="O193" s="125" t="str">
        <f t="shared" si="23"/>
        <v/>
      </c>
      <c r="P193" s="126"/>
      <c r="Q193" s="132"/>
      <c r="R193" s="122"/>
      <c r="S193" s="132"/>
      <c r="T193" s="122"/>
      <c r="U193" s="132"/>
      <c r="V193" s="122"/>
      <c r="W193" s="132"/>
      <c r="X193" s="122"/>
      <c r="Y193" s="132"/>
      <c r="Z193" s="122"/>
      <c r="AA193" s="132"/>
      <c r="AB193" s="122"/>
      <c r="AC193" s="132"/>
      <c r="AD193" s="122"/>
      <c r="AE193" s="129">
        <f t="shared" si="25"/>
        <v>0</v>
      </c>
      <c r="AF193" s="129">
        <f t="shared" si="25"/>
        <v>0</v>
      </c>
      <c r="AG193" s="130"/>
      <c r="AH193" s="131">
        <f t="shared" si="24"/>
        <v>0</v>
      </c>
    </row>
    <row r="194" spans="1:34" ht="13.5">
      <c r="A194" s="112" t="str">
        <f>IF(Base!B192="","",Base!B192)</f>
        <v>12.896.000-7</v>
      </c>
      <c r="B194" s="112" t="str">
        <f>IF(Base!F192="","",Base!F192)</f>
        <v>IGNACIO ANDRES  SERRANO  VEGA</v>
      </c>
      <c r="C194" s="112" t="str">
        <f>IF(Base!I192="","",Base!I192)</f>
        <v>Linea 7</v>
      </c>
      <c r="D194" s="113" t="str">
        <f>IF(Base!J192="","",Base!J192)</f>
        <v>Etiquetador</v>
      </c>
      <c r="E194" s="112">
        <f>IF(Base!H192="","",Base!H192)</f>
        <v>10505616</v>
      </c>
      <c r="J194" s="122">
        <v>184</v>
      </c>
      <c r="K194" s="123"/>
      <c r="L194" s="124" t="str">
        <f t="shared" si="20"/>
        <v/>
      </c>
      <c r="M194" s="124" t="str">
        <f t="shared" si="21"/>
        <v/>
      </c>
      <c r="N194" s="125" t="str">
        <f t="shared" si="22"/>
        <v/>
      </c>
      <c r="O194" s="125" t="str">
        <f t="shared" si="23"/>
        <v/>
      </c>
      <c r="P194" s="126"/>
      <c r="Q194" s="132"/>
      <c r="R194" s="122"/>
      <c r="S194" s="132"/>
      <c r="T194" s="122"/>
      <c r="U194" s="132"/>
      <c r="V194" s="122"/>
      <c r="W194" s="132"/>
      <c r="X194" s="122"/>
      <c r="Y194" s="132"/>
      <c r="Z194" s="122"/>
      <c r="AA194" s="132"/>
      <c r="AB194" s="122"/>
      <c r="AC194" s="132"/>
      <c r="AD194" s="122"/>
      <c r="AE194" s="129">
        <f t="shared" si="25"/>
        <v>0</v>
      </c>
      <c r="AF194" s="129">
        <f t="shared" si="25"/>
        <v>0</v>
      </c>
      <c r="AG194" s="130"/>
      <c r="AH194" s="131">
        <f t="shared" si="24"/>
        <v>0</v>
      </c>
    </row>
    <row r="195" spans="1:34" ht="13.5">
      <c r="A195" s="112" t="str">
        <f>IF(Base!B193="","",Base!B193)</f>
        <v>12.896.866-0</v>
      </c>
      <c r="B195" s="112" t="str">
        <f>IF(Base!F193="","",Base!F193)</f>
        <v>EDDIE LUIS  SOTO  SOTO</v>
      </c>
      <c r="C195" s="112" t="str">
        <f>IF(Base!I193="","",Base!I193)</f>
        <v>BIB</v>
      </c>
      <c r="D195" s="113" t="str">
        <f>IF(Base!J193="","",Base!J193)</f>
        <v>BIB</v>
      </c>
      <c r="E195" s="112">
        <f>IF(Base!H193="","",Base!H193)</f>
        <v>1050595</v>
      </c>
      <c r="J195" s="122">
        <v>185</v>
      </c>
      <c r="K195" s="123"/>
      <c r="L195" s="124" t="str">
        <f t="shared" si="20"/>
        <v/>
      </c>
      <c r="M195" s="124" t="str">
        <f t="shared" si="21"/>
        <v/>
      </c>
      <c r="N195" s="125" t="str">
        <f t="shared" si="22"/>
        <v/>
      </c>
      <c r="O195" s="125" t="str">
        <f t="shared" si="23"/>
        <v/>
      </c>
      <c r="P195" s="126"/>
      <c r="Q195" s="132"/>
      <c r="R195" s="122"/>
      <c r="S195" s="132"/>
      <c r="T195" s="122"/>
      <c r="U195" s="132"/>
      <c r="V195" s="122"/>
      <c r="W195" s="132"/>
      <c r="X195" s="122"/>
      <c r="Y195" s="132"/>
      <c r="Z195" s="122"/>
      <c r="AA195" s="132"/>
      <c r="AB195" s="122"/>
      <c r="AC195" s="132"/>
      <c r="AD195" s="122"/>
      <c r="AE195" s="129">
        <f t="shared" si="25"/>
        <v>0</v>
      </c>
      <c r="AF195" s="129">
        <f t="shared" si="25"/>
        <v>0</v>
      </c>
      <c r="AG195" s="130"/>
      <c r="AH195" s="131">
        <f t="shared" si="24"/>
        <v>0</v>
      </c>
    </row>
    <row r="196" spans="1:34" ht="13.5">
      <c r="A196" s="112" t="str">
        <f>IF(Base!B194="","",Base!B194)</f>
        <v>12.392.999-3</v>
      </c>
      <c r="B196" s="112" t="str">
        <f>IF(Base!F194="","",Base!F194)</f>
        <v>CARLOS  TAPIA  CANTILLANA</v>
      </c>
      <c r="C196" s="112" t="str">
        <f>IF(Base!I194="","",Base!I194)</f>
        <v>Linea 6</v>
      </c>
      <c r="D196" s="113" t="str">
        <f>IF(Base!J194="","",Base!J194)</f>
        <v>Etiquetador</v>
      </c>
      <c r="E196" s="112">
        <f>IF(Base!H194="","",Base!H194)</f>
        <v>1050610</v>
      </c>
      <c r="J196" s="122">
        <v>186</v>
      </c>
      <c r="K196" s="123"/>
      <c r="L196" s="124" t="str">
        <f t="shared" si="20"/>
        <v/>
      </c>
      <c r="M196" s="124" t="str">
        <f t="shared" si="21"/>
        <v/>
      </c>
      <c r="N196" s="125" t="str">
        <f t="shared" si="22"/>
        <v/>
      </c>
      <c r="O196" s="125" t="str">
        <f t="shared" si="23"/>
        <v/>
      </c>
      <c r="P196" s="126"/>
      <c r="Q196" s="132"/>
      <c r="R196" s="132"/>
      <c r="S196" s="132"/>
      <c r="T196" s="132"/>
      <c r="U196" s="132"/>
      <c r="V196" s="132"/>
      <c r="W196" s="132"/>
      <c r="X196" s="132"/>
      <c r="Y196" s="132"/>
      <c r="Z196" s="132"/>
      <c r="AA196" s="132"/>
      <c r="AB196" s="132"/>
      <c r="AC196" s="132"/>
      <c r="AD196" s="132"/>
      <c r="AE196" s="129">
        <f t="shared" si="25"/>
        <v>0</v>
      </c>
      <c r="AF196" s="129">
        <f t="shared" si="25"/>
        <v>0</v>
      </c>
      <c r="AG196" s="130"/>
      <c r="AH196" s="131">
        <f t="shared" si="24"/>
        <v>0</v>
      </c>
    </row>
    <row r="197" spans="1:34" ht="13.5">
      <c r="A197" s="112" t="str">
        <f>IF(Base!B195="","",Base!B195)</f>
        <v>14.193.049-4</v>
      </c>
      <c r="B197" s="112" t="str">
        <f>IF(Base!F195="","",Base!F195)</f>
        <v>CESAR  TAPIA  IBARRA</v>
      </c>
      <c r="C197" s="112" t="str">
        <f>IF(Base!I195="","",Base!I195)</f>
        <v>Linea 6</v>
      </c>
      <c r="D197" s="113" t="str">
        <f>IF(Base!J195="","",Base!J195)</f>
        <v>Despalletizador</v>
      </c>
      <c r="E197" s="112">
        <f>IF(Base!H195="","",Base!H195)</f>
        <v>1050609</v>
      </c>
      <c r="J197" s="122">
        <v>187</v>
      </c>
      <c r="K197" s="123"/>
      <c r="L197" s="124" t="str">
        <f t="shared" si="20"/>
        <v/>
      </c>
      <c r="M197" s="124" t="str">
        <f t="shared" si="21"/>
        <v/>
      </c>
      <c r="N197" s="125" t="str">
        <f t="shared" si="22"/>
        <v/>
      </c>
      <c r="O197" s="125" t="str">
        <f t="shared" si="23"/>
        <v/>
      </c>
      <c r="P197" s="126"/>
      <c r="Q197" s="132"/>
      <c r="R197" s="132"/>
      <c r="S197" s="132"/>
      <c r="T197" s="132"/>
      <c r="U197" s="132"/>
      <c r="V197" s="132"/>
      <c r="W197" s="132"/>
      <c r="X197" s="132"/>
      <c r="Y197" s="132"/>
      <c r="Z197" s="132"/>
      <c r="AA197" s="132"/>
      <c r="AB197" s="132"/>
      <c r="AC197" s="132"/>
      <c r="AD197" s="132"/>
      <c r="AE197" s="129">
        <f t="shared" si="25"/>
        <v>0</v>
      </c>
      <c r="AF197" s="129">
        <f t="shared" si="25"/>
        <v>0</v>
      </c>
      <c r="AG197" s="130"/>
      <c r="AH197" s="131">
        <f t="shared" si="24"/>
        <v>0</v>
      </c>
    </row>
    <row r="198" spans="1:34" ht="13.5">
      <c r="A198" s="112" t="str">
        <f>IF(Base!B196="","",Base!B196)</f>
        <v>06.467.952-K</v>
      </c>
      <c r="B198" s="112" t="str">
        <f>IF(Base!F196="","",Base!F196)</f>
        <v>ORLANDINO GUMERCINDO  TAPIA  OLIVARES</v>
      </c>
      <c r="C198" s="112" t="str">
        <f>IF(Base!I196="","",Base!I196)</f>
        <v>Abastecimiento</v>
      </c>
      <c r="D198" s="113" t="str">
        <f>IF(Base!J196="","",Base!J196)</f>
        <v>Suministro de Líneas</v>
      </c>
      <c r="E198" s="112">
        <f>IF(Base!H196="","",Base!H196)</f>
        <v>1050633</v>
      </c>
      <c r="J198" s="122">
        <v>188</v>
      </c>
      <c r="K198" s="123"/>
      <c r="L198" s="124" t="str">
        <f t="shared" si="20"/>
        <v/>
      </c>
      <c r="M198" s="124" t="str">
        <f t="shared" si="21"/>
        <v/>
      </c>
      <c r="N198" s="125" t="str">
        <f t="shared" si="22"/>
        <v/>
      </c>
      <c r="O198" s="125" t="str">
        <f t="shared" si="23"/>
        <v/>
      </c>
      <c r="P198" s="126"/>
      <c r="Q198" s="132"/>
      <c r="R198" s="122"/>
      <c r="S198" s="132"/>
      <c r="T198" s="122"/>
      <c r="U198" s="132"/>
      <c r="V198" s="122"/>
      <c r="W198" s="132"/>
      <c r="X198" s="122"/>
      <c r="Y198" s="132"/>
      <c r="Z198" s="122"/>
      <c r="AA198" s="132"/>
      <c r="AB198" s="122"/>
      <c r="AC198" s="132"/>
      <c r="AD198" s="122"/>
      <c r="AE198" s="129">
        <f t="shared" si="25"/>
        <v>0</v>
      </c>
      <c r="AF198" s="129">
        <f t="shared" si="25"/>
        <v>0</v>
      </c>
      <c r="AG198" s="130"/>
      <c r="AH198" s="131">
        <f t="shared" si="24"/>
        <v>0</v>
      </c>
    </row>
    <row r="199" spans="1:34" ht="13.5">
      <c r="A199" s="112" t="str">
        <f>IF(Base!B197="","",Base!B197)</f>
        <v>11.840.491-2</v>
      </c>
      <c r="B199" s="112" t="str">
        <f>IF(Base!F197="","",Base!F197)</f>
        <v>CESAR OMAR  TORRES  FARIAS</v>
      </c>
      <c r="C199" s="112" t="str">
        <f>IF(Base!I197="","",Base!I197)</f>
        <v>Linea 7</v>
      </c>
      <c r="D199" s="113" t="str">
        <f>IF(Base!J197="","",Base!J197)</f>
        <v>Palletizador</v>
      </c>
      <c r="E199" s="112">
        <f>IF(Base!H197="","",Base!H197)</f>
        <v>1050616</v>
      </c>
      <c r="J199" s="122">
        <v>189</v>
      </c>
      <c r="K199" s="123"/>
      <c r="L199" s="124" t="str">
        <f t="shared" si="20"/>
        <v/>
      </c>
      <c r="M199" s="124" t="str">
        <f t="shared" si="21"/>
        <v/>
      </c>
      <c r="N199" s="125" t="str">
        <f t="shared" si="22"/>
        <v/>
      </c>
      <c r="O199" s="125" t="str">
        <f t="shared" si="23"/>
        <v/>
      </c>
      <c r="P199" s="126"/>
      <c r="Q199" s="132"/>
      <c r="R199" s="122"/>
      <c r="S199" s="132"/>
      <c r="T199" s="122"/>
      <c r="U199" s="132"/>
      <c r="V199" s="122"/>
      <c r="W199" s="132"/>
      <c r="X199" s="122"/>
      <c r="Y199" s="132"/>
      <c r="Z199" s="122"/>
      <c r="AA199" s="132"/>
      <c r="AB199" s="122"/>
      <c r="AC199" s="132"/>
      <c r="AD199" s="122"/>
      <c r="AE199" s="129">
        <f t="shared" si="25"/>
        <v>0</v>
      </c>
      <c r="AF199" s="129">
        <f t="shared" si="25"/>
        <v>0</v>
      </c>
      <c r="AG199" s="130"/>
      <c r="AH199" s="131">
        <f t="shared" si="24"/>
        <v>0</v>
      </c>
    </row>
    <row r="200" spans="1:34" ht="13.5">
      <c r="A200" s="112" t="str">
        <f>IF(Base!B198="","",Base!B198)</f>
        <v>13.839.512-K</v>
      </c>
      <c r="B200" s="112" t="str">
        <f>IF(Base!F198="","",Base!F198)</f>
        <v>EMILIO  URETA  PAREDES</v>
      </c>
      <c r="C200" s="112" t="str">
        <f>IF(Base!I198="","",Base!I198)</f>
        <v>Linea 2</v>
      </c>
      <c r="D200" s="113" t="str">
        <f>IF(Base!J198="","",Base!J198)</f>
        <v>Etiquetador</v>
      </c>
      <c r="E200" s="112">
        <f>IF(Base!H198="","",Base!H198)</f>
        <v>1050554</v>
      </c>
      <c r="J200" s="122">
        <v>190</v>
      </c>
      <c r="K200" s="123"/>
      <c r="L200" s="124" t="str">
        <f t="shared" si="20"/>
        <v/>
      </c>
      <c r="M200" s="124" t="str">
        <f t="shared" si="21"/>
        <v/>
      </c>
      <c r="N200" s="125" t="str">
        <f t="shared" si="22"/>
        <v/>
      </c>
      <c r="O200" s="125" t="str">
        <f t="shared" si="23"/>
        <v/>
      </c>
      <c r="P200" s="126"/>
      <c r="Q200" s="132"/>
      <c r="R200" s="122"/>
      <c r="S200" s="132"/>
      <c r="T200" s="122"/>
      <c r="U200" s="132"/>
      <c r="V200" s="122"/>
      <c r="W200" s="132"/>
      <c r="X200" s="122"/>
      <c r="Y200" s="132"/>
      <c r="Z200" s="122"/>
      <c r="AA200" s="132"/>
      <c r="AB200" s="122"/>
      <c r="AC200" s="132"/>
      <c r="AD200" s="122"/>
      <c r="AE200" s="129">
        <f t="shared" si="25"/>
        <v>0</v>
      </c>
      <c r="AF200" s="129">
        <f t="shared" si="25"/>
        <v>0</v>
      </c>
      <c r="AG200" s="130"/>
      <c r="AH200" s="131">
        <f t="shared" si="24"/>
        <v>0</v>
      </c>
    </row>
    <row r="201" spans="1:34" ht="13.5">
      <c r="A201" s="112" t="str">
        <f>IF(Base!B199="","",Base!B199)</f>
        <v>21.516.766-6</v>
      </c>
      <c r="B201" s="112" t="str">
        <f>IF(Base!F199="","",Base!F199)</f>
        <v>LUIS  VALDEZ  WERNLI</v>
      </c>
      <c r="C201" s="112" t="str">
        <f>IF(Base!I199="","",Base!I199)</f>
        <v>Linea 3</v>
      </c>
      <c r="D201" s="113" t="str">
        <f>IF(Base!J199="","",Base!J199)</f>
        <v>Etiquetador</v>
      </c>
      <c r="E201" s="112">
        <f>IF(Base!H199="","",Base!H199)</f>
        <v>1050556</v>
      </c>
      <c r="J201" s="122">
        <v>191</v>
      </c>
      <c r="K201" s="123"/>
      <c r="L201" s="124" t="str">
        <f t="shared" si="20"/>
        <v/>
      </c>
      <c r="M201" s="124" t="str">
        <f t="shared" si="21"/>
        <v/>
      </c>
      <c r="N201" s="125" t="str">
        <f t="shared" si="22"/>
        <v/>
      </c>
      <c r="O201" s="125" t="str">
        <f t="shared" si="23"/>
        <v/>
      </c>
      <c r="P201" s="126"/>
      <c r="Q201" s="132"/>
      <c r="R201" s="132"/>
      <c r="S201" s="132"/>
      <c r="T201" s="132"/>
      <c r="U201" s="132"/>
      <c r="V201" s="132"/>
      <c r="W201" s="132"/>
      <c r="X201" s="132"/>
      <c r="Y201" s="132"/>
      <c r="Z201" s="132"/>
      <c r="AA201" s="132"/>
      <c r="AB201" s="132"/>
      <c r="AC201" s="132"/>
      <c r="AD201" s="132"/>
      <c r="AE201" s="129">
        <f t="shared" si="25"/>
        <v>0</v>
      </c>
      <c r="AF201" s="129">
        <f t="shared" si="25"/>
        <v>0</v>
      </c>
      <c r="AG201" s="130"/>
      <c r="AH201" s="131">
        <f t="shared" si="24"/>
        <v>0</v>
      </c>
    </row>
    <row r="202" spans="1:34" ht="13.5">
      <c r="A202" s="112" t="str">
        <f>IF(Base!B200="","",Base!B200)</f>
        <v>15.436.097-2</v>
      </c>
      <c r="B202" s="112" t="str">
        <f>IF(Base!F200="","",Base!F200)</f>
        <v>LUIS  VALENZUELA  DIAZ</v>
      </c>
      <c r="C202" s="112" t="str">
        <f>IF(Base!I200="","",Base!I200)</f>
        <v>Linea 1</v>
      </c>
      <c r="D202" s="113" t="str">
        <f>IF(Base!J200="","",Base!J200)</f>
        <v>Embalador</v>
      </c>
      <c r="E202" s="112">
        <f>IF(Base!H200="","",Base!H200)</f>
        <v>1050552</v>
      </c>
      <c r="J202" s="122">
        <v>192</v>
      </c>
      <c r="K202" s="123"/>
      <c r="L202" s="124" t="str">
        <f t="shared" si="20"/>
        <v/>
      </c>
      <c r="M202" s="124" t="str">
        <f t="shared" si="21"/>
        <v/>
      </c>
      <c r="N202" s="125" t="str">
        <f t="shared" si="22"/>
        <v/>
      </c>
      <c r="O202" s="125" t="str">
        <f t="shared" si="23"/>
        <v/>
      </c>
      <c r="P202" s="126"/>
      <c r="Q202" s="132"/>
      <c r="R202" s="132"/>
      <c r="S202" s="132"/>
      <c r="T202" s="132"/>
      <c r="U202" s="132"/>
      <c r="V202" s="132"/>
      <c r="W202" s="132"/>
      <c r="X202" s="132"/>
      <c r="Y202" s="132"/>
      <c r="Z202" s="132"/>
      <c r="AA202" s="132"/>
      <c r="AB202" s="132"/>
      <c r="AC202" s="132"/>
      <c r="AD202" s="132"/>
      <c r="AE202" s="129">
        <f t="shared" si="25"/>
        <v>0</v>
      </c>
      <c r="AF202" s="129">
        <f t="shared" si="25"/>
        <v>0</v>
      </c>
      <c r="AG202" s="130"/>
      <c r="AH202" s="131">
        <f t="shared" si="24"/>
        <v>0</v>
      </c>
    </row>
    <row r="203" spans="1:34" ht="13.5">
      <c r="A203" s="112" t="str">
        <f>IF(Base!B201="","",Base!B201)</f>
        <v>10.737.908-8</v>
      </c>
      <c r="B203" s="112" t="str">
        <f>IF(Base!F201="","",Base!F201)</f>
        <v>DANIEL  VALENZUELA   AREVALO</v>
      </c>
      <c r="C203" s="112" t="str">
        <f>IF(Base!I201="","",Base!I201)</f>
        <v>Abastecimiento</v>
      </c>
      <c r="D203" s="113" t="str">
        <f>IF(Base!J201="","",Base!J201)</f>
        <v>Jefe Centro Insumos</v>
      </c>
      <c r="E203" s="112">
        <f>IF(Base!H201="","",Base!H201)</f>
        <v>1050581</v>
      </c>
      <c r="J203" s="122">
        <v>193</v>
      </c>
      <c r="K203" s="123"/>
      <c r="L203" s="124" t="str">
        <f t="shared" si="20"/>
        <v/>
      </c>
      <c r="M203" s="124" t="str">
        <f t="shared" si="21"/>
        <v/>
      </c>
      <c r="N203" s="125" t="str">
        <f t="shared" si="22"/>
        <v/>
      </c>
      <c r="O203" s="125" t="str">
        <f t="shared" si="23"/>
        <v/>
      </c>
      <c r="P203" s="126"/>
      <c r="Q203" s="132"/>
      <c r="R203" s="122"/>
      <c r="S203" s="132"/>
      <c r="T203" s="122"/>
      <c r="U203" s="132"/>
      <c r="V203" s="122"/>
      <c r="W203" s="132"/>
      <c r="X203" s="122"/>
      <c r="Y203" s="132"/>
      <c r="Z203" s="122"/>
      <c r="AA203" s="132"/>
      <c r="AB203" s="122"/>
      <c r="AC203" s="132"/>
      <c r="AD203" s="122"/>
      <c r="AE203" s="129">
        <f t="shared" si="25"/>
        <v>0</v>
      </c>
      <c r="AF203" s="129">
        <f t="shared" si="25"/>
        <v>0</v>
      </c>
      <c r="AG203" s="130"/>
      <c r="AH203" s="131">
        <f t="shared" si="24"/>
        <v>0</v>
      </c>
    </row>
    <row r="204" spans="1:34" ht="13.5">
      <c r="A204" s="112" t="str">
        <f>IF(Base!B202="","",Base!B202)</f>
        <v>11.123.851-0</v>
      </c>
      <c r="B204" s="112" t="str">
        <f>IF(Base!F202="","",Base!F202)</f>
        <v>MAURICIO  VALLE  GONZALEZ</v>
      </c>
      <c r="C204" s="112" t="str">
        <f>IF(Base!I202="","",Base!I202)</f>
        <v>BIB</v>
      </c>
      <c r="D204" s="113" t="str">
        <f>IF(Base!J202="","",Base!J202)</f>
        <v>BIB</v>
      </c>
      <c r="E204" s="112">
        <f>IF(Base!H202="","",Base!H202)</f>
        <v>1050595</v>
      </c>
      <c r="J204" s="122">
        <v>194</v>
      </c>
      <c r="K204" s="123"/>
      <c r="L204" s="124" t="str">
        <f t="shared" ref="L204:L260" si="26">IF(K204="","",VLOOKUP($K204,A:D,2,FALSE))</f>
        <v/>
      </c>
      <c r="M204" s="124" t="str">
        <f t="shared" ref="M204:M260" si="27">IF(K204="","",VLOOKUP(K204,A:E,5,FALSE))</f>
        <v/>
      </c>
      <c r="N204" s="125" t="str">
        <f t="shared" ref="N204:N260" si="28">IF(K204="","",VLOOKUP(K204,A:C,3,FALSE))</f>
        <v/>
      </c>
      <c r="O204" s="125" t="str">
        <f t="shared" ref="O204:O260" si="29">IF(K204="","",VLOOKUP(K204,A:D,4,FALSE))</f>
        <v/>
      </c>
      <c r="P204" s="126"/>
      <c r="Q204" s="132"/>
      <c r="R204" s="122"/>
      <c r="S204" s="132"/>
      <c r="T204" s="122"/>
      <c r="U204" s="132"/>
      <c r="V204" s="122"/>
      <c r="W204" s="132"/>
      <c r="X204" s="122"/>
      <c r="Y204" s="132"/>
      <c r="Z204" s="122"/>
      <c r="AA204" s="132"/>
      <c r="AB204" s="122"/>
      <c r="AC204" s="132"/>
      <c r="AD204" s="122"/>
      <c r="AE204" s="129">
        <f t="shared" si="25"/>
        <v>0</v>
      </c>
      <c r="AF204" s="129">
        <f t="shared" si="25"/>
        <v>0</v>
      </c>
      <c r="AG204" s="130"/>
      <c r="AH204" s="131">
        <f t="shared" ref="AH204:AH260" si="30">SUM(AE204:AF204)</f>
        <v>0</v>
      </c>
    </row>
    <row r="205" spans="1:34" ht="13.5">
      <c r="A205" s="112" t="str">
        <f>IF(Base!B203="","",Base!B203)</f>
        <v>10.572.816-6</v>
      </c>
      <c r="B205" s="112" t="str">
        <f>IF(Base!F203="","",Base!F203)</f>
        <v>MARCO ANTONIO  VARGAS  MORENO</v>
      </c>
      <c r="C205" s="112" t="str">
        <f>IF(Base!I203="","",Base!I203)</f>
        <v>Abastecimiento</v>
      </c>
      <c r="D205" s="113" t="str">
        <f>IF(Base!J203="","",Base!J203)</f>
        <v>Suministro de Líneas</v>
      </c>
      <c r="E205" s="112">
        <f>IF(Base!H203="","",Base!H203)</f>
        <v>1050633</v>
      </c>
      <c r="J205" s="122">
        <v>195</v>
      </c>
      <c r="K205" s="123"/>
      <c r="L205" s="124" t="str">
        <f t="shared" si="26"/>
        <v/>
      </c>
      <c r="M205" s="124" t="str">
        <f t="shared" si="27"/>
        <v/>
      </c>
      <c r="N205" s="125" t="str">
        <f t="shared" si="28"/>
        <v/>
      </c>
      <c r="O205" s="125" t="str">
        <f t="shared" si="29"/>
        <v/>
      </c>
      <c r="P205" s="126"/>
      <c r="Q205" s="132"/>
      <c r="R205" s="122"/>
      <c r="S205" s="132"/>
      <c r="T205" s="122"/>
      <c r="U205" s="132"/>
      <c r="V205" s="122"/>
      <c r="W205" s="132"/>
      <c r="X205" s="122"/>
      <c r="Y205" s="132"/>
      <c r="Z205" s="122"/>
      <c r="AA205" s="132"/>
      <c r="AB205" s="122"/>
      <c r="AC205" s="132"/>
      <c r="AD205" s="122"/>
      <c r="AE205" s="129">
        <f t="shared" si="25"/>
        <v>0</v>
      </c>
      <c r="AF205" s="129">
        <f t="shared" si="25"/>
        <v>0</v>
      </c>
      <c r="AG205" s="130"/>
      <c r="AH205" s="131">
        <f t="shared" si="30"/>
        <v>0</v>
      </c>
    </row>
    <row r="206" spans="1:34" ht="13.5">
      <c r="A206" s="112" t="str">
        <f>IF(Base!B204="","",Base!B204)</f>
        <v>15.327.501-7</v>
      </c>
      <c r="B206" s="112" t="str">
        <f>IF(Base!F204="","",Base!F204)</f>
        <v>LEONARDO  VASQUEZ  MONTECINO</v>
      </c>
      <c r="C206" s="112" t="str">
        <f>IF(Base!I204="","",Base!I204)</f>
        <v>Control y Gestión</v>
      </c>
      <c r="D206" s="113" t="str">
        <f>IF(Base!J204="","",Base!J204)</f>
        <v>Inspector tiempo</v>
      </c>
      <c r="E206" s="112">
        <f>IF(Base!H204="","",Base!H204)</f>
        <v>1050632</v>
      </c>
      <c r="J206" s="122">
        <v>196</v>
      </c>
      <c r="K206" s="123"/>
      <c r="L206" s="124" t="str">
        <f t="shared" si="26"/>
        <v/>
      </c>
      <c r="M206" s="124" t="str">
        <f t="shared" si="27"/>
        <v/>
      </c>
      <c r="N206" s="125" t="str">
        <f t="shared" si="28"/>
        <v/>
      </c>
      <c r="O206" s="125" t="str">
        <f t="shared" si="29"/>
        <v/>
      </c>
      <c r="P206" s="126"/>
      <c r="Q206" s="132"/>
      <c r="R206" s="132"/>
      <c r="S206" s="132"/>
      <c r="T206" s="132"/>
      <c r="U206" s="132"/>
      <c r="V206" s="132"/>
      <c r="W206" s="132"/>
      <c r="X206" s="132"/>
      <c r="Y206" s="132"/>
      <c r="Z206" s="132"/>
      <c r="AA206" s="132"/>
      <c r="AB206" s="132"/>
      <c r="AC206" s="132"/>
      <c r="AD206" s="132"/>
      <c r="AE206" s="129">
        <f t="shared" si="25"/>
        <v>0</v>
      </c>
      <c r="AF206" s="129">
        <f t="shared" si="25"/>
        <v>0</v>
      </c>
      <c r="AG206" s="130"/>
      <c r="AH206" s="131">
        <f t="shared" si="30"/>
        <v>0</v>
      </c>
    </row>
    <row r="207" spans="1:34" ht="13.5">
      <c r="A207" s="112" t="str">
        <f>IF(Base!B205="","",Base!B205)</f>
        <v>08.881.760-5</v>
      </c>
      <c r="B207" s="112" t="str">
        <f>IF(Base!F205="","",Base!F205)</f>
        <v>MANUEL ORLANDO  VEGA  LEYTON</v>
      </c>
      <c r="C207" s="112" t="str">
        <f>IF(Base!I205="","",Base!I205)</f>
        <v>Sala filtros</v>
      </c>
      <c r="D207" s="113" t="str">
        <f>IF(Base!J205="","",Base!J205)</f>
        <v>Operador sala de filtros</v>
      </c>
      <c r="E207" s="112">
        <f>IF(Base!H205="","",Base!H205)</f>
        <v>1050574</v>
      </c>
      <c r="J207" s="122">
        <v>197</v>
      </c>
      <c r="K207" s="123"/>
      <c r="L207" s="124" t="str">
        <f t="shared" si="26"/>
        <v/>
      </c>
      <c r="M207" s="124" t="str">
        <f t="shared" si="27"/>
        <v/>
      </c>
      <c r="N207" s="125" t="str">
        <f t="shared" si="28"/>
        <v/>
      </c>
      <c r="O207" s="125" t="str">
        <f t="shared" si="29"/>
        <v/>
      </c>
      <c r="P207" s="126"/>
      <c r="Q207" s="132"/>
      <c r="R207" s="132"/>
      <c r="S207" s="132"/>
      <c r="T207" s="132"/>
      <c r="U207" s="132"/>
      <c r="V207" s="132"/>
      <c r="W207" s="132"/>
      <c r="X207" s="132"/>
      <c r="Y207" s="132"/>
      <c r="Z207" s="132"/>
      <c r="AA207" s="132"/>
      <c r="AB207" s="132"/>
      <c r="AC207" s="132"/>
      <c r="AD207" s="132"/>
      <c r="AE207" s="129">
        <f t="shared" si="25"/>
        <v>0</v>
      </c>
      <c r="AF207" s="129">
        <f t="shared" si="25"/>
        <v>0</v>
      </c>
      <c r="AG207" s="130"/>
      <c r="AH207" s="131">
        <f t="shared" si="30"/>
        <v>0</v>
      </c>
    </row>
    <row r="208" spans="1:34" ht="13.5">
      <c r="A208" s="112" t="str">
        <f>IF(Base!B206="","",Base!B206)</f>
        <v>09.959.939-1</v>
      </c>
      <c r="B208" s="112" t="str">
        <f>IF(Base!F206="","",Base!F206)</f>
        <v>LEONOR VARINIA  VENEGAS  SANCHEZ</v>
      </c>
      <c r="C208" s="112" t="str">
        <f>IF(Base!I206="","",Base!I206)</f>
        <v>Linea 3</v>
      </c>
      <c r="D208" s="113" t="str">
        <f>IF(Base!J206="","",Base!J206)</f>
        <v>Inspector etiqueta</v>
      </c>
      <c r="E208" s="112">
        <f>IF(Base!H206="","",Base!H206)</f>
        <v>1050556</v>
      </c>
      <c r="J208" s="122">
        <v>198</v>
      </c>
      <c r="K208" s="123"/>
      <c r="L208" s="124" t="str">
        <f t="shared" si="26"/>
        <v/>
      </c>
      <c r="M208" s="124" t="str">
        <f t="shared" si="27"/>
        <v/>
      </c>
      <c r="N208" s="125" t="str">
        <f t="shared" si="28"/>
        <v/>
      </c>
      <c r="O208" s="125" t="str">
        <f t="shared" si="29"/>
        <v/>
      </c>
      <c r="P208" s="126"/>
      <c r="Q208" s="132"/>
      <c r="R208" s="122"/>
      <c r="S208" s="132"/>
      <c r="T208" s="122"/>
      <c r="U208" s="132"/>
      <c r="V208" s="122"/>
      <c r="W208" s="132"/>
      <c r="X208" s="122"/>
      <c r="Y208" s="132"/>
      <c r="Z208" s="122"/>
      <c r="AA208" s="132"/>
      <c r="AB208" s="122"/>
      <c r="AC208" s="132"/>
      <c r="AD208" s="122"/>
      <c r="AE208" s="129">
        <f t="shared" si="25"/>
        <v>0</v>
      </c>
      <c r="AF208" s="129">
        <f t="shared" si="25"/>
        <v>0</v>
      </c>
      <c r="AG208" s="130"/>
      <c r="AH208" s="131">
        <f t="shared" si="30"/>
        <v>0</v>
      </c>
    </row>
    <row r="209" spans="1:34" ht="13.5">
      <c r="A209" s="112" t="str">
        <f>IF(Base!B207="","",Base!B207)</f>
        <v>14.182.371-K</v>
      </c>
      <c r="B209" s="112" t="str">
        <f>IF(Base!F207="","",Base!F207)</f>
        <v>OSCAR EDUARDO  VERA  PALAVECINO</v>
      </c>
      <c r="C209" s="112" t="str">
        <f>IF(Base!I207="","",Base!I207)</f>
        <v>Control y Gestión</v>
      </c>
      <c r="D209" s="113" t="str">
        <f>IF(Base!J207="","",Base!J207)</f>
        <v>Inspector tiempo</v>
      </c>
      <c r="E209" s="112">
        <f>IF(Base!H207="","",Base!H207)</f>
        <v>1050632</v>
      </c>
      <c r="J209" s="122">
        <v>199</v>
      </c>
      <c r="K209" s="123"/>
      <c r="L209" s="124" t="str">
        <f t="shared" si="26"/>
        <v/>
      </c>
      <c r="M209" s="124" t="str">
        <f t="shared" si="27"/>
        <v/>
      </c>
      <c r="N209" s="125" t="str">
        <f t="shared" si="28"/>
        <v/>
      </c>
      <c r="O209" s="125" t="str">
        <f t="shared" si="29"/>
        <v/>
      </c>
      <c r="P209" s="126"/>
      <c r="Q209" s="132"/>
      <c r="R209" s="122"/>
      <c r="S209" s="132"/>
      <c r="T209" s="122"/>
      <c r="U209" s="132"/>
      <c r="V209" s="122"/>
      <c r="W209" s="132"/>
      <c r="X209" s="122"/>
      <c r="Y209" s="132"/>
      <c r="Z209" s="122"/>
      <c r="AA209" s="132"/>
      <c r="AB209" s="122"/>
      <c r="AC209" s="132"/>
      <c r="AD209" s="122"/>
      <c r="AE209" s="129">
        <f t="shared" si="25"/>
        <v>0</v>
      </c>
      <c r="AF209" s="129">
        <f t="shared" si="25"/>
        <v>0</v>
      </c>
      <c r="AG209" s="130"/>
      <c r="AH209" s="131">
        <f t="shared" si="30"/>
        <v>0</v>
      </c>
    </row>
    <row r="210" spans="1:34" ht="13.5">
      <c r="A210" s="112" t="str">
        <f>IF(Base!B208="","",Base!B208)</f>
        <v>16.267.560-5</v>
      </c>
      <c r="B210" s="112" t="str">
        <f>IF(Base!F208="","",Base!F208)</f>
        <v>BRAULIO SEBASTIAN  VICENCIO  ALVEAR</v>
      </c>
      <c r="C210" s="112" t="str">
        <f>IF(Base!I208="","",Base!I208)</f>
        <v>Linea 2</v>
      </c>
      <c r="D210" s="113" t="str">
        <f>IF(Base!J208="","",Base!J208)</f>
        <v>Embalador</v>
      </c>
      <c r="E210" s="112">
        <f>IF(Base!H208="","",Base!H208)</f>
        <v>1050554</v>
      </c>
      <c r="J210" s="122">
        <v>200</v>
      </c>
      <c r="K210" s="123"/>
      <c r="L210" s="124" t="str">
        <f t="shared" si="26"/>
        <v/>
      </c>
      <c r="M210" s="124" t="str">
        <f t="shared" si="27"/>
        <v/>
      </c>
      <c r="N210" s="125" t="str">
        <f t="shared" si="28"/>
        <v/>
      </c>
      <c r="O210" s="125" t="str">
        <f t="shared" si="29"/>
        <v/>
      </c>
      <c r="P210" s="126"/>
      <c r="Q210" s="132"/>
      <c r="R210" s="122"/>
      <c r="S210" s="132"/>
      <c r="T210" s="122"/>
      <c r="U210" s="132"/>
      <c r="V210" s="122"/>
      <c r="W210" s="132"/>
      <c r="X210" s="122"/>
      <c r="Y210" s="132"/>
      <c r="Z210" s="122"/>
      <c r="AA210" s="132"/>
      <c r="AB210" s="122"/>
      <c r="AC210" s="132"/>
      <c r="AD210" s="122"/>
      <c r="AE210" s="129">
        <f t="shared" si="25"/>
        <v>0</v>
      </c>
      <c r="AF210" s="129">
        <f t="shared" si="25"/>
        <v>0</v>
      </c>
      <c r="AG210" s="130"/>
      <c r="AH210" s="131">
        <f t="shared" si="30"/>
        <v>0</v>
      </c>
    </row>
    <row r="211" spans="1:34" ht="13.5">
      <c r="A211" s="112" t="str">
        <f>IF(Base!B209="","",Base!B209)</f>
        <v>10.311.290-7</v>
      </c>
      <c r="B211" s="112" t="str">
        <f>IF(Base!F209="","",Base!F209)</f>
        <v>RICARDO V.  VIDAL  ATENAS</v>
      </c>
      <c r="C211" s="112" t="str">
        <f>IF(Base!I209="","",Base!I209)</f>
        <v>Sala filtros</v>
      </c>
      <c r="D211" s="113" t="str">
        <f>IF(Base!J209="","",Base!J209)</f>
        <v>Operador sala de filtros</v>
      </c>
      <c r="E211" s="112">
        <f>IF(Base!H209="","",Base!H209)</f>
        <v>1050574</v>
      </c>
      <c r="J211" s="122">
        <v>201</v>
      </c>
      <c r="K211" s="123"/>
      <c r="L211" s="124" t="str">
        <f t="shared" si="26"/>
        <v/>
      </c>
      <c r="M211" s="124" t="str">
        <f t="shared" si="27"/>
        <v/>
      </c>
      <c r="N211" s="125" t="str">
        <f t="shared" si="28"/>
        <v/>
      </c>
      <c r="O211" s="125" t="str">
        <f t="shared" si="29"/>
        <v/>
      </c>
      <c r="P211" s="126"/>
      <c r="Q211" s="132"/>
      <c r="R211" s="132"/>
      <c r="S211" s="132"/>
      <c r="T211" s="132"/>
      <c r="U211" s="132"/>
      <c r="V211" s="132"/>
      <c r="W211" s="132"/>
      <c r="X211" s="132"/>
      <c r="Y211" s="132"/>
      <c r="Z211" s="132"/>
      <c r="AA211" s="132"/>
      <c r="AB211" s="132"/>
      <c r="AC211" s="132"/>
      <c r="AD211" s="132"/>
      <c r="AE211" s="129">
        <f t="shared" si="25"/>
        <v>0</v>
      </c>
      <c r="AF211" s="129">
        <f t="shared" si="25"/>
        <v>0</v>
      </c>
      <c r="AG211" s="130"/>
      <c r="AH211" s="131">
        <f t="shared" si="30"/>
        <v>0</v>
      </c>
    </row>
    <row r="212" spans="1:34" ht="13.5">
      <c r="A212" s="112" t="str">
        <f>IF(Base!B210="","",Base!B210)</f>
        <v>07.807.741-7</v>
      </c>
      <c r="B212" s="112" t="str">
        <f>IF(Base!F210="","",Base!F210)</f>
        <v>RUBEN A  VIDAL  ORMAZABAL</v>
      </c>
      <c r="C212" s="112" t="str">
        <f>IF(Base!I210="","",Base!I210)</f>
        <v>BIB</v>
      </c>
      <c r="D212" s="113" t="str">
        <f>IF(Base!J210="","",Base!J210)</f>
        <v>BIB</v>
      </c>
      <c r="E212" s="112">
        <f>IF(Base!H210="","",Base!H210)</f>
        <v>1050595</v>
      </c>
      <c r="J212" s="122">
        <v>202</v>
      </c>
      <c r="K212" s="123"/>
      <c r="L212" s="124" t="str">
        <f t="shared" si="26"/>
        <v/>
      </c>
      <c r="M212" s="124" t="str">
        <f t="shared" si="27"/>
        <v/>
      </c>
      <c r="N212" s="125" t="str">
        <f t="shared" si="28"/>
        <v/>
      </c>
      <c r="O212" s="125" t="str">
        <f t="shared" si="29"/>
        <v/>
      </c>
      <c r="P212" s="126"/>
      <c r="Q212" s="132"/>
      <c r="R212" s="132"/>
      <c r="S212" s="132"/>
      <c r="T212" s="132"/>
      <c r="U212" s="132"/>
      <c r="V212" s="132"/>
      <c r="W212" s="132"/>
      <c r="X212" s="132"/>
      <c r="Y212" s="132"/>
      <c r="Z212" s="132"/>
      <c r="AA212" s="132"/>
      <c r="AB212" s="132"/>
      <c r="AC212" s="132"/>
      <c r="AD212" s="132"/>
      <c r="AE212" s="129">
        <f t="shared" si="25"/>
        <v>0</v>
      </c>
      <c r="AF212" s="129">
        <f t="shared" si="25"/>
        <v>0</v>
      </c>
      <c r="AG212" s="130"/>
      <c r="AH212" s="131">
        <f t="shared" si="30"/>
        <v>0</v>
      </c>
    </row>
    <row r="213" spans="1:34" ht="13.5">
      <c r="A213" s="112" t="str">
        <f>IF(Base!B211="","",Base!B211)</f>
        <v>13.835.927-1</v>
      </c>
      <c r="B213" s="112" t="str">
        <f>IF(Base!F211="","",Base!F211)</f>
        <v>FELIPE  ZAVALA  ARAVENA</v>
      </c>
      <c r="C213" s="112" t="str">
        <f>IF(Base!I211="","",Base!I211)</f>
        <v>Linea 3</v>
      </c>
      <c r="D213" s="113" t="str">
        <f>IF(Base!J211="","",Base!J211)</f>
        <v>Lavador externo</v>
      </c>
      <c r="E213" s="112">
        <f>IF(Base!H211="","",Base!H211)</f>
        <v>1050556</v>
      </c>
      <c r="J213" s="122">
        <v>203</v>
      </c>
      <c r="K213" s="123"/>
      <c r="L213" s="124" t="str">
        <f t="shared" si="26"/>
        <v/>
      </c>
      <c r="M213" s="124" t="str">
        <f t="shared" si="27"/>
        <v/>
      </c>
      <c r="N213" s="125" t="str">
        <f t="shared" si="28"/>
        <v/>
      </c>
      <c r="O213" s="125" t="str">
        <f t="shared" si="29"/>
        <v/>
      </c>
      <c r="P213" s="126"/>
      <c r="Q213" s="132"/>
      <c r="R213" s="122"/>
      <c r="S213" s="132"/>
      <c r="T213" s="122"/>
      <c r="U213" s="132"/>
      <c r="V213" s="122"/>
      <c r="W213" s="132"/>
      <c r="X213" s="122"/>
      <c r="Y213" s="132"/>
      <c r="Z213" s="122"/>
      <c r="AA213" s="132"/>
      <c r="AB213" s="122"/>
      <c r="AC213" s="132"/>
      <c r="AD213" s="122"/>
      <c r="AE213" s="129">
        <f t="shared" si="25"/>
        <v>0</v>
      </c>
      <c r="AF213" s="129">
        <f t="shared" si="25"/>
        <v>0</v>
      </c>
      <c r="AG213" s="130"/>
      <c r="AH213" s="131">
        <f t="shared" si="30"/>
        <v>0</v>
      </c>
    </row>
    <row r="214" spans="1:34" ht="13.5">
      <c r="A214" s="112" t="str">
        <f>IF(Base!B212="","",Base!B212)</f>
        <v>12719073-9</v>
      </c>
      <c r="B214" s="112" t="str">
        <f>IF(Base!F212="","",Base!F212)</f>
        <v>ALEX  EYZAGUIRRE  LARA</v>
      </c>
      <c r="C214" s="112" t="str">
        <f>IF(Base!I212="","",Base!I212)</f>
        <v>Supervisor</v>
      </c>
      <c r="D214" s="113" t="str">
        <f>IF(Base!J212="","",Base!J212)</f>
        <v>Supervisor</v>
      </c>
      <c r="E214" s="112">
        <f>IF(Base!H212="","",Base!H212)</f>
        <v>1050603</v>
      </c>
      <c r="J214" s="122">
        <v>204</v>
      </c>
      <c r="K214" s="123"/>
      <c r="L214" s="124" t="str">
        <f t="shared" si="26"/>
        <v/>
      </c>
      <c r="M214" s="124" t="str">
        <f t="shared" si="27"/>
        <v/>
      </c>
      <c r="N214" s="125" t="str">
        <f t="shared" si="28"/>
        <v/>
      </c>
      <c r="O214" s="125" t="str">
        <f t="shared" si="29"/>
        <v/>
      </c>
      <c r="P214" s="126"/>
      <c r="Q214" s="132"/>
      <c r="R214" s="122"/>
      <c r="S214" s="132"/>
      <c r="T214" s="122"/>
      <c r="U214" s="132"/>
      <c r="V214" s="122"/>
      <c r="W214" s="132"/>
      <c r="X214" s="122"/>
      <c r="Y214" s="132"/>
      <c r="Z214" s="122"/>
      <c r="AA214" s="132"/>
      <c r="AB214" s="122"/>
      <c r="AC214" s="132"/>
      <c r="AD214" s="122"/>
      <c r="AE214" s="129">
        <f t="shared" si="25"/>
        <v>0</v>
      </c>
      <c r="AF214" s="129">
        <f t="shared" si="25"/>
        <v>0</v>
      </c>
      <c r="AG214" s="130"/>
      <c r="AH214" s="131">
        <f t="shared" si="30"/>
        <v>0</v>
      </c>
    </row>
    <row r="215" spans="1:34" ht="13.5">
      <c r="A215" s="112" t="str">
        <f>IF(Base!B213="","",Base!B213)</f>
        <v>12.175.753-2</v>
      </c>
      <c r="B215" s="112" t="str">
        <f>IF(Base!F213="","",Base!F213)</f>
        <v>MARIO  MESIAS  PALMA</v>
      </c>
      <c r="C215" s="112" t="str">
        <f>IF(Base!I213="","",Base!I213)</f>
        <v>Jefe control y gestión</v>
      </c>
      <c r="D215" s="113" t="str">
        <f>IF(Base!J213="","",Base!J213)</f>
        <v>Jefe control y gestión</v>
      </c>
      <c r="E215" s="112">
        <f>IF(Base!H213="","",Base!H213)</f>
        <v>1050632</v>
      </c>
      <c r="J215" s="122">
        <v>205</v>
      </c>
      <c r="K215" s="123"/>
      <c r="L215" s="124" t="str">
        <f t="shared" si="26"/>
        <v/>
      </c>
      <c r="M215" s="124" t="str">
        <f t="shared" si="27"/>
        <v/>
      </c>
      <c r="N215" s="125" t="str">
        <f t="shared" si="28"/>
        <v/>
      </c>
      <c r="O215" s="125" t="str">
        <f t="shared" si="29"/>
        <v/>
      </c>
      <c r="P215" s="126"/>
      <c r="Q215" s="132"/>
      <c r="R215" s="122"/>
      <c r="S215" s="132"/>
      <c r="T215" s="122"/>
      <c r="U215" s="132"/>
      <c r="V215" s="122"/>
      <c r="W215" s="132"/>
      <c r="X215" s="122"/>
      <c r="Y215" s="132"/>
      <c r="Z215" s="122"/>
      <c r="AA215" s="132"/>
      <c r="AB215" s="122"/>
      <c r="AC215" s="132"/>
      <c r="AD215" s="122"/>
      <c r="AE215" s="129">
        <f t="shared" si="25"/>
        <v>0</v>
      </c>
      <c r="AF215" s="129">
        <f t="shared" si="25"/>
        <v>0</v>
      </c>
      <c r="AG215" s="130"/>
      <c r="AH215" s="131">
        <f t="shared" si="30"/>
        <v>0</v>
      </c>
    </row>
    <row r="216" spans="1:34" ht="13.5">
      <c r="A216" s="112" t="str">
        <f>IF(Base!B214="","",Base!B214)</f>
        <v>13.045.231-0</v>
      </c>
      <c r="B216" s="112" t="str">
        <f>IF(Base!F214="","",Base!F214)</f>
        <v>FELIPE  ARANCIBIA  SILVA</v>
      </c>
      <c r="C216" s="112" t="str">
        <f>IF(Base!I214="","",Base!I214)</f>
        <v xml:space="preserve">Setup </v>
      </c>
      <c r="D216" s="113" t="str">
        <f>IF(Base!J214="","",Base!J214)</f>
        <v xml:space="preserve">Setup </v>
      </c>
      <c r="E216" s="112">
        <f>IF(Base!H214="","",Base!H214)</f>
        <v>1050529</v>
      </c>
      <c r="J216" s="122">
        <v>206</v>
      </c>
      <c r="K216" s="123"/>
      <c r="L216" s="124" t="str">
        <f t="shared" si="26"/>
        <v/>
      </c>
      <c r="M216" s="124" t="str">
        <f t="shared" si="27"/>
        <v/>
      </c>
      <c r="N216" s="125" t="str">
        <f t="shared" si="28"/>
        <v/>
      </c>
      <c r="O216" s="125" t="str">
        <f t="shared" si="29"/>
        <v/>
      </c>
      <c r="P216" s="126"/>
      <c r="Q216" s="132"/>
      <c r="R216" s="132"/>
      <c r="S216" s="132"/>
      <c r="T216" s="132"/>
      <c r="U216" s="132"/>
      <c r="V216" s="132"/>
      <c r="W216" s="132"/>
      <c r="X216" s="132"/>
      <c r="Y216" s="132"/>
      <c r="Z216" s="132"/>
      <c r="AA216" s="132"/>
      <c r="AB216" s="132"/>
      <c r="AC216" s="132"/>
      <c r="AD216" s="132"/>
      <c r="AE216" s="129">
        <f t="shared" si="25"/>
        <v>0</v>
      </c>
      <c r="AF216" s="129">
        <f t="shared" si="25"/>
        <v>0</v>
      </c>
      <c r="AG216" s="130"/>
      <c r="AH216" s="131">
        <f t="shared" si="30"/>
        <v>0</v>
      </c>
    </row>
    <row r="217" spans="1:34" ht="13.5">
      <c r="A217" s="112" t="str">
        <f>IF(Base!B215="","",Base!B215)</f>
        <v>14.307.619-9</v>
      </c>
      <c r="B217" s="112" t="str">
        <f>IF(Base!F215="","",Base!F215)</f>
        <v>LUIS ROBERTO  BERRIOS  LOPEZ</v>
      </c>
      <c r="C217" s="112" t="str">
        <f>IF(Base!I215="","",Base!I215)</f>
        <v xml:space="preserve">Setup </v>
      </c>
      <c r="D217" s="113" t="str">
        <f>IF(Base!J215="","",Base!J215)</f>
        <v xml:space="preserve">Setup </v>
      </c>
      <c r="E217" s="112">
        <f>IF(Base!H215="","",Base!H215)</f>
        <v>1050529</v>
      </c>
      <c r="J217" s="122">
        <v>207</v>
      </c>
      <c r="K217" s="123"/>
      <c r="L217" s="124" t="str">
        <f t="shared" si="26"/>
        <v/>
      </c>
      <c r="M217" s="124" t="str">
        <f t="shared" si="27"/>
        <v/>
      </c>
      <c r="N217" s="125" t="str">
        <f t="shared" si="28"/>
        <v/>
      </c>
      <c r="O217" s="125" t="str">
        <f t="shared" si="29"/>
        <v/>
      </c>
      <c r="P217" s="126"/>
      <c r="Q217" s="132"/>
      <c r="R217" s="132"/>
      <c r="S217" s="132"/>
      <c r="T217" s="132"/>
      <c r="U217" s="132"/>
      <c r="V217" s="132"/>
      <c r="W217" s="132"/>
      <c r="X217" s="132"/>
      <c r="Y217" s="132"/>
      <c r="Z217" s="132"/>
      <c r="AA217" s="132"/>
      <c r="AB217" s="132"/>
      <c r="AC217" s="132"/>
      <c r="AD217" s="132"/>
      <c r="AE217" s="129">
        <f t="shared" si="25"/>
        <v>0</v>
      </c>
      <c r="AF217" s="129">
        <f t="shared" si="25"/>
        <v>0</v>
      </c>
      <c r="AG217" s="130"/>
      <c r="AH217" s="131">
        <f t="shared" si="30"/>
        <v>0</v>
      </c>
    </row>
    <row r="218" spans="1:34" ht="13.5">
      <c r="A218" s="112" t="str">
        <f>IF(Base!B216="","",Base!B216)</f>
        <v>15.439.409-5</v>
      </c>
      <c r="B218" s="112" t="str">
        <f>IF(Base!F216="","",Base!F216)</f>
        <v>MARICEL ANDREA  BRAVO  SALAMANCA</v>
      </c>
      <c r="C218" s="112" t="str">
        <f>IF(Base!I216="","",Base!I216)</f>
        <v xml:space="preserve">Setup </v>
      </c>
      <c r="D218" s="113" t="str">
        <f>IF(Base!J216="","",Base!J216)</f>
        <v xml:space="preserve">Setup </v>
      </c>
      <c r="E218" s="112">
        <f>IF(Base!H216="","",Base!H216)</f>
        <v>1050529</v>
      </c>
      <c r="J218" s="122">
        <v>208</v>
      </c>
      <c r="K218" s="123"/>
      <c r="L218" s="124" t="str">
        <f t="shared" si="26"/>
        <v/>
      </c>
      <c r="M218" s="124" t="str">
        <f t="shared" si="27"/>
        <v/>
      </c>
      <c r="N218" s="125" t="str">
        <f t="shared" si="28"/>
        <v/>
      </c>
      <c r="O218" s="125" t="str">
        <f t="shared" si="29"/>
        <v/>
      </c>
      <c r="P218" s="126"/>
      <c r="Q218" s="132"/>
      <c r="R218" s="122"/>
      <c r="S218" s="132"/>
      <c r="T218" s="122"/>
      <c r="U218" s="132"/>
      <c r="V218" s="122"/>
      <c r="W218" s="132"/>
      <c r="X218" s="122"/>
      <c r="Y218" s="132"/>
      <c r="Z218" s="122"/>
      <c r="AA218" s="132"/>
      <c r="AB218" s="122"/>
      <c r="AC218" s="132"/>
      <c r="AD218" s="122"/>
      <c r="AE218" s="129">
        <f t="shared" si="25"/>
        <v>0</v>
      </c>
      <c r="AF218" s="129">
        <f t="shared" si="25"/>
        <v>0</v>
      </c>
      <c r="AG218" s="130"/>
      <c r="AH218" s="131">
        <f t="shared" si="30"/>
        <v>0</v>
      </c>
    </row>
    <row r="219" spans="1:34" ht="13.5">
      <c r="A219" s="112" t="str">
        <f>IF(Base!B217="","",Base!B217)</f>
        <v>09.774.031-3</v>
      </c>
      <c r="B219" s="112" t="str">
        <f>IF(Base!F217="","",Base!F217)</f>
        <v>VICTOR  CACERES  VASQUEZ</v>
      </c>
      <c r="C219" s="112" t="str">
        <f>IF(Base!I217="","",Base!I217)</f>
        <v>Setup</v>
      </c>
      <c r="D219" s="113" t="str">
        <f>IF(Base!J217="","",Base!J217)</f>
        <v>Setup</v>
      </c>
      <c r="E219" s="112">
        <f>IF(Base!H217="","",Base!H217)</f>
        <v>1050529</v>
      </c>
      <c r="J219" s="122">
        <v>209</v>
      </c>
      <c r="K219" s="123"/>
      <c r="L219" s="124" t="str">
        <f t="shared" si="26"/>
        <v/>
      </c>
      <c r="M219" s="124" t="str">
        <f t="shared" si="27"/>
        <v/>
      </c>
      <c r="N219" s="125" t="str">
        <f t="shared" si="28"/>
        <v/>
      </c>
      <c r="O219" s="125" t="str">
        <f t="shared" si="29"/>
        <v/>
      </c>
      <c r="P219" s="126"/>
      <c r="Q219" s="132"/>
      <c r="R219" s="122"/>
      <c r="S219" s="132"/>
      <c r="T219" s="122"/>
      <c r="U219" s="132"/>
      <c r="V219" s="122"/>
      <c r="W219" s="132"/>
      <c r="X219" s="122"/>
      <c r="Y219" s="132"/>
      <c r="Z219" s="122"/>
      <c r="AA219" s="132"/>
      <c r="AB219" s="122"/>
      <c r="AC219" s="132"/>
      <c r="AD219" s="122"/>
      <c r="AE219" s="129">
        <f t="shared" si="25"/>
        <v>0</v>
      </c>
      <c r="AF219" s="129">
        <f t="shared" si="25"/>
        <v>0</v>
      </c>
      <c r="AG219" s="130"/>
      <c r="AH219" s="131">
        <f t="shared" si="30"/>
        <v>0</v>
      </c>
    </row>
    <row r="220" spans="1:34" ht="13.5">
      <c r="A220" s="112" t="str">
        <f>IF(Base!B218="","",Base!B218)</f>
        <v>08.406.841-1</v>
      </c>
      <c r="B220" s="112" t="str">
        <f>IF(Base!F218="","",Base!F218)</f>
        <v>BRAULIO GUILLERMO  CASANOVA  SALINAS</v>
      </c>
      <c r="C220" s="112" t="str">
        <f>IF(Base!I218="","",Base!I218)</f>
        <v xml:space="preserve">Setup </v>
      </c>
      <c r="D220" s="113" t="str">
        <f>IF(Base!J218="","",Base!J218)</f>
        <v xml:space="preserve">Setup </v>
      </c>
      <c r="E220" s="112">
        <f>IF(Base!H218="","",Base!H218)</f>
        <v>1050529</v>
      </c>
      <c r="J220" s="122">
        <v>210</v>
      </c>
      <c r="K220" s="123"/>
      <c r="L220" s="124" t="str">
        <f t="shared" si="26"/>
        <v/>
      </c>
      <c r="M220" s="124" t="str">
        <f t="shared" si="27"/>
        <v/>
      </c>
      <c r="N220" s="125" t="str">
        <f t="shared" si="28"/>
        <v/>
      </c>
      <c r="O220" s="125" t="str">
        <f t="shared" si="29"/>
        <v/>
      </c>
      <c r="P220" s="126"/>
      <c r="Q220" s="132"/>
      <c r="R220" s="122"/>
      <c r="S220" s="132"/>
      <c r="T220" s="122"/>
      <c r="U220" s="132"/>
      <c r="V220" s="122"/>
      <c r="W220" s="132"/>
      <c r="X220" s="122"/>
      <c r="Y220" s="132"/>
      <c r="Z220" s="122"/>
      <c r="AA220" s="132"/>
      <c r="AB220" s="122"/>
      <c r="AC220" s="132"/>
      <c r="AD220" s="122"/>
      <c r="AE220" s="129">
        <f t="shared" si="25"/>
        <v>0</v>
      </c>
      <c r="AF220" s="129">
        <f t="shared" si="25"/>
        <v>0</v>
      </c>
      <c r="AG220" s="130"/>
      <c r="AH220" s="131">
        <f t="shared" si="30"/>
        <v>0</v>
      </c>
    </row>
    <row r="221" spans="1:34" ht="13.5">
      <c r="A221" s="112" t="str">
        <f>IF(Base!B219="","",Base!B219)</f>
        <v>10.042.994-2</v>
      </c>
      <c r="B221" s="112" t="str">
        <f>IF(Base!F219="","",Base!F219)</f>
        <v>ELIZABETH  CONCHA  VALDEBENITO</v>
      </c>
      <c r="C221" s="112" t="str">
        <f>IF(Base!I219="","",Base!I219)</f>
        <v xml:space="preserve">Setup </v>
      </c>
      <c r="D221" s="113" t="str">
        <f>IF(Base!J219="","",Base!J219)</f>
        <v xml:space="preserve">Setup </v>
      </c>
      <c r="E221" s="112">
        <f>IF(Base!H219="","",Base!H219)</f>
        <v>1050529</v>
      </c>
      <c r="J221" s="122">
        <v>211</v>
      </c>
      <c r="K221" s="123"/>
      <c r="L221" s="124" t="str">
        <f t="shared" si="26"/>
        <v/>
      </c>
      <c r="M221" s="124" t="str">
        <f t="shared" si="27"/>
        <v/>
      </c>
      <c r="N221" s="125" t="str">
        <f t="shared" si="28"/>
        <v/>
      </c>
      <c r="O221" s="125" t="str">
        <f t="shared" si="29"/>
        <v/>
      </c>
      <c r="P221" s="126"/>
      <c r="Q221" s="132"/>
      <c r="R221" s="132"/>
      <c r="S221" s="132"/>
      <c r="T221" s="132"/>
      <c r="U221" s="132"/>
      <c r="V221" s="132"/>
      <c r="W221" s="132"/>
      <c r="X221" s="132"/>
      <c r="Y221" s="132"/>
      <c r="Z221" s="132"/>
      <c r="AA221" s="132"/>
      <c r="AB221" s="132"/>
      <c r="AC221" s="132"/>
      <c r="AD221" s="132"/>
      <c r="AE221" s="129">
        <f t="shared" si="25"/>
        <v>0</v>
      </c>
      <c r="AF221" s="129">
        <f t="shared" si="25"/>
        <v>0</v>
      </c>
      <c r="AG221" s="130"/>
      <c r="AH221" s="131">
        <f t="shared" si="30"/>
        <v>0</v>
      </c>
    </row>
    <row r="222" spans="1:34" ht="13.5">
      <c r="A222" s="112" t="str">
        <f>IF(Base!B220="","",Base!B220)</f>
        <v>12.093.149-0</v>
      </c>
      <c r="B222" s="112" t="str">
        <f>IF(Base!F220="","",Base!F220)</f>
        <v>ANGEL GUILLERMO  CONTRERAS  CORTES</v>
      </c>
      <c r="C222" s="112" t="str">
        <f>IF(Base!I220="","",Base!I220)</f>
        <v xml:space="preserve">Setup </v>
      </c>
      <c r="D222" s="113" t="str">
        <f>IF(Base!J220="","",Base!J220)</f>
        <v xml:space="preserve">Setup </v>
      </c>
      <c r="E222" s="112">
        <f>IF(Base!H220="","",Base!H220)</f>
        <v>1050529</v>
      </c>
      <c r="J222" s="122">
        <v>212</v>
      </c>
      <c r="K222" s="123"/>
      <c r="L222" s="124" t="str">
        <f t="shared" si="26"/>
        <v/>
      </c>
      <c r="M222" s="124" t="str">
        <f t="shared" si="27"/>
        <v/>
      </c>
      <c r="N222" s="125" t="str">
        <f t="shared" si="28"/>
        <v/>
      </c>
      <c r="O222" s="125" t="str">
        <f t="shared" si="29"/>
        <v/>
      </c>
      <c r="P222" s="126"/>
      <c r="Q222" s="132"/>
      <c r="R222" s="132"/>
      <c r="S222" s="132"/>
      <c r="T222" s="132"/>
      <c r="U222" s="132"/>
      <c r="V222" s="132"/>
      <c r="W222" s="132"/>
      <c r="X222" s="132"/>
      <c r="Y222" s="132"/>
      <c r="Z222" s="132"/>
      <c r="AA222" s="132"/>
      <c r="AB222" s="132"/>
      <c r="AC222" s="132"/>
      <c r="AD222" s="132"/>
      <c r="AE222" s="129">
        <f t="shared" si="25"/>
        <v>0</v>
      </c>
      <c r="AF222" s="129">
        <f t="shared" si="25"/>
        <v>0</v>
      </c>
      <c r="AG222" s="130"/>
      <c r="AH222" s="131">
        <f t="shared" si="30"/>
        <v>0</v>
      </c>
    </row>
    <row r="223" spans="1:34" ht="13.5">
      <c r="A223" s="112" t="str">
        <f>IF(Base!B221="","",Base!B221)</f>
        <v>21.318.186-6</v>
      </c>
      <c r="B223" s="112" t="str">
        <f>IF(Base!F221="","",Base!F221)</f>
        <v>CLAUDIO ALBERTO  DONOSO  ROSAS</v>
      </c>
      <c r="C223" s="112" t="str">
        <f>IF(Base!I221="","",Base!I221)</f>
        <v>Linea 1</v>
      </c>
      <c r="D223" s="113" t="str">
        <f>IF(Base!J221="","",Base!J221)</f>
        <v>Etiquetador</v>
      </c>
      <c r="E223" s="112">
        <f>IF(Base!H221="","",Base!H221)</f>
        <v>1050552</v>
      </c>
      <c r="J223" s="122">
        <v>213</v>
      </c>
      <c r="K223" s="123"/>
      <c r="L223" s="124" t="str">
        <f t="shared" si="26"/>
        <v/>
      </c>
      <c r="M223" s="124" t="str">
        <f t="shared" si="27"/>
        <v/>
      </c>
      <c r="N223" s="125" t="str">
        <f t="shared" si="28"/>
        <v/>
      </c>
      <c r="O223" s="125" t="str">
        <f t="shared" si="29"/>
        <v/>
      </c>
      <c r="P223" s="126"/>
      <c r="Q223" s="132"/>
      <c r="R223" s="122"/>
      <c r="S223" s="132"/>
      <c r="T223" s="122"/>
      <c r="U223" s="132"/>
      <c r="V223" s="122"/>
      <c r="W223" s="132"/>
      <c r="X223" s="122"/>
      <c r="Y223" s="132"/>
      <c r="Z223" s="122"/>
      <c r="AA223" s="132"/>
      <c r="AB223" s="122"/>
      <c r="AC223" s="132"/>
      <c r="AD223" s="122"/>
      <c r="AE223" s="129">
        <f t="shared" si="25"/>
        <v>0</v>
      </c>
      <c r="AF223" s="129">
        <f t="shared" si="25"/>
        <v>0</v>
      </c>
      <c r="AG223" s="130"/>
      <c r="AH223" s="131">
        <f t="shared" si="30"/>
        <v>0</v>
      </c>
    </row>
    <row r="224" spans="1:34" ht="13.5">
      <c r="A224" s="112" t="str">
        <f>IF(Base!B222="","",Base!B222)</f>
        <v>15.533.689-7</v>
      </c>
      <c r="B224" s="112" t="str">
        <f>IF(Base!F222="","",Base!F222)</f>
        <v>ROBERTO  DURAN  BRAVO</v>
      </c>
      <c r="C224" s="112" t="str">
        <f>IF(Base!I222="","",Base!I222)</f>
        <v xml:space="preserve">Setup </v>
      </c>
      <c r="D224" s="113" t="str">
        <f>IF(Base!J222="","",Base!J222)</f>
        <v xml:space="preserve">Setup </v>
      </c>
      <c r="E224" s="112">
        <f>IF(Base!H222="","",Base!H222)</f>
        <v>1050529</v>
      </c>
      <c r="J224" s="122">
        <v>214</v>
      </c>
      <c r="K224" s="123"/>
      <c r="L224" s="124" t="str">
        <f t="shared" si="26"/>
        <v/>
      </c>
      <c r="M224" s="124" t="str">
        <f t="shared" si="27"/>
        <v/>
      </c>
      <c r="N224" s="125" t="str">
        <f t="shared" si="28"/>
        <v/>
      </c>
      <c r="O224" s="125" t="str">
        <f t="shared" si="29"/>
        <v/>
      </c>
      <c r="P224" s="126"/>
      <c r="Q224" s="132"/>
      <c r="R224" s="122"/>
      <c r="S224" s="132"/>
      <c r="T224" s="122"/>
      <c r="U224" s="132"/>
      <c r="V224" s="122"/>
      <c r="W224" s="132"/>
      <c r="X224" s="122"/>
      <c r="Y224" s="132"/>
      <c r="Z224" s="122"/>
      <c r="AA224" s="132"/>
      <c r="AB224" s="122"/>
      <c r="AC224" s="132"/>
      <c r="AD224" s="122"/>
      <c r="AE224" s="129">
        <f t="shared" si="25"/>
        <v>0</v>
      </c>
      <c r="AF224" s="129">
        <f t="shared" si="25"/>
        <v>0</v>
      </c>
      <c r="AG224" s="130"/>
      <c r="AH224" s="131">
        <f t="shared" si="30"/>
        <v>0</v>
      </c>
    </row>
    <row r="225" spans="1:34" ht="13.5">
      <c r="A225" s="112" t="str">
        <f>IF(Base!B223="","",Base!B223)</f>
        <v>15.449.281-K</v>
      </c>
      <c r="B225" s="112" t="str">
        <f>IF(Base!F223="","",Base!F223)</f>
        <v>ROBERTO FABIAN  DURAN  MIRANDA</v>
      </c>
      <c r="C225" s="112" t="str">
        <f>IF(Base!I223="","",Base!I223)</f>
        <v xml:space="preserve">Setup </v>
      </c>
      <c r="D225" s="113" t="str">
        <f>IF(Base!J223="","",Base!J223)</f>
        <v xml:space="preserve">Setup </v>
      </c>
      <c r="E225" s="112">
        <f>IF(Base!H223="","",Base!H223)</f>
        <v>1050529</v>
      </c>
      <c r="J225" s="122">
        <v>215</v>
      </c>
      <c r="K225" s="123"/>
      <c r="L225" s="124" t="str">
        <f t="shared" si="26"/>
        <v/>
      </c>
      <c r="M225" s="124" t="str">
        <f t="shared" si="27"/>
        <v/>
      </c>
      <c r="N225" s="125" t="str">
        <f t="shared" si="28"/>
        <v/>
      </c>
      <c r="O225" s="125" t="str">
        <f t="shared" si="29"/>
        <v/>
      </c>
      <c r="P225" s="126"/>
      <c r="Q225" s="132"/>
      <c r="R225" s="122"/>
      <c r="S225" s="132"/>
      <c r="T225" s="122"/>
      <c r="U225" s="132"/>
      <c r="V225" s="122"/>
      <c r="W225" s="132"/>
      <c r="X225" s="122"/>
      <c r="Y225" s="132"/>
      <c r="Z225" s="122"/>
      <c r="AA225" s="132"/>
      <c r="AB225" s="122"/>
      <c r="AC225" s="132"/>
      <c r="AD225" s="122"/>
      <c r="AE225" s="129">
        <f t="shared" si="25"/>
        <v>0</v>
      </c>
      <c r="AF225" s="129">
        <f t="shared" si="25"/>
        <v>0</v>
      </c>
      <c r="AG225" s="130"/>
      <c r="AH225" s="131">
        <f t="shared" si="30"/>
        <v>0</v>
      </c>
    </row>
    <row r="226" spans="1:34" ht="13.5">
      <c r="A226" s="112" t="str">
        <f>IF(Base!B224="","",Base!B224)</f>
        <v>08.247.677-6</v>
      </c>
      <c r="B226" s="112" t="str">
        <f>IF(Base!F224="","",Base!F224)</f>
        <v>HUMBERTO GERMAN  ESCOBAR  GUTIERREZ</v>
      </c>
      <c r="C226" s="112" t="str">
        <f>IF(Base!I224="","",Base!I224)</f>
        <v xml:space="preserve">Setup </v>
      </c>
      <c r="D226" s="113" t="str">
        <f>IF(Base!J224="","",Base!J224)</f>
        <v xml:space="preserve">Setup </v>
      </c>
      <c r="E226" s="112">
        <f>IF(Base!H224="","",Base!H224)</f>
        <v>1050529</v>
      </c>
      <c r="J226" s="122">
        <v>216</v>
      </c>
      <c r="K226" s="123"/>
      <c r="L226" s="124" t="str">
        <f t="shared" si="26"/>
        <v/>
      </c>
      <c r="M226" s="124" t="str">
        <f t="shared" si="27"/>
        <v/>
      </c>
      <c r="N226" s="125" t="str">
        <f t="shared" si="28"/>
        <v/>
      </c>
      <c r="O226" s="125" t="str">
        <f t="shared" si="29"/>
        <v/>
      </c>
      <c r="P226" s="126"/>
      <c r="Q226" s="132"/>
      <c r="R226" s="132"/>
      <c r="S226" s="132"/>
      <c r="T226" s="132"/>
      <c r="U226" s="132"/>
      <c r="V226" s="132"/>
      <c r="W226" s="132"/>
      <c r="X226" s="132"/>
      <c r="Y226" s="132"/>
      <c r="Z226" s="132"/>
      <c r="AA226" s="132"/>
      <c r="AB226" s="132"/>
      <c r="AC226" s="132"/>
      <c r="AD226" s="132"/>
      <c r="AE226" s="129">
        <f t="shared" si="25"/>
        <v>0</v>
      </c>
      <c r="AF226" s="129">
        <f t="shared" si="25"/>
        <v>0</v>
      </c>
      <c r="AG226" s="130"/>
      <c r="AH226" s="131">
        <f t="shared" si="30"/>
        <v>0</v>
      </c>
    </row>
    <row r="227" spans="1:34" ht="13.5">
      <c r="A227" s="112" t="str">
        <f>IF(Base!B225="","",Base!B225)</f>
        <v>16.413.939-5</v>
      </c>
      <c r="B227" s="112" t="str">
        <f>IF(Base!F225="","",Base!F225)</f>
        <v>FABIAN  ESPINOZA  MATURANA</v>
      </c>
      <c r="C227" s="112" t="str">
        <f>IF(Base!I225="","",Base!I225)</f>
        <v>Linea 7</v>
      </c>
      <c r="D227" s="113" t="str">
        <f>IF(Base!J225="","",Base!J225)</f>
        <v>Etiquetador</v>
      </c>
      <c r="E227" s="112">
        <f>IF(Base!H225="","",Base!H225)</f>
        <v>1050616</v>
      </c>
      <c r="J227" s="122">
        <v>217</v>
      </c>
      <c r="K227" s="123"/>
      <c r="L227" s="124" t="str">
        <f t="shared" si="26"/>
        <v/>
      </c>
      <c r="M227" s="124" t="str">
        <f t="shared" si="27"/>
        <v/>
      </c>
      <c r="N227" s="125" t="str">
        <f t="shared" si="28"/>
        <v/>
      </c>
      <c r="O227" s="125" t="str">
        <f t="shared" si="29"/>
        <v/>
      </c>
      <c r="P227" s="126"/>
      <c r="Q227" s="132"/>
      <c r="R227" s="132"/>
      <c r="S227" s="132"/>
      <c r="T227" s="132"/>
      <c r="U227" s="132"/>
      <c r="V227" s="132"/>
      <c r="W227" s="132"/>
      <c r="X227" s="132"/>
      <c r="Y227" s="132"/>
      <c r="Z227" s="132"/>
      <c r="AA227" s="132"/>
      <c r="AB227" s="132"/>
      <c r="AC227" s="132"/>
      <c r="AD227" s="132"/>
      <c r="AE227" s="129">
        <f t="shared" si="25"/>
        <v>0</v>
      </c>
      <c r="AF227" s="129">
        <f t="shared" si="25"/>
        <v>0</v>
      </c>
      <c r="AG227" s="130"/>
      <c r="AH227" s="131">
        <f t="shared" si="30"/>
        <v>0</v>
      </c>
    </row>
    <row r="228" spans="1:34" ht="13.5">
      <c r="A228" s="112" t="str">
        <f>IF(Base!B226="","",Base!B226)</f>
        <v>07.974.375-5</v>
      </c>
      <c r="B228" s="112" t="str">
        <f>IF(Base!F226="","",Base!F226)</f>
        <v>WILSON  GARRIDO  ACEVEDO</v>
      </c>
      <c r="C228" s="112" t="str">
        <f>IF(Base!I226="","",Base!I226)</f>
        <v xml:space="preserve">Setup </v>
      </c>
      <c r="D228" s="113" t="str">
        <f>IF(Base!J226="","",Base!J226)</f>
        <v xml:space="preserve">Setup </v>
      </c>
      <c r="E228" s="112">
        <f>IF(Base!H226="","",Base!H226)</f>
        <v>1050529</v>
      </c>
      <c r="J228" s="122">
        <v>218</v>
      </c>
      <c r="K228" s="123"/>
      <c r="L228" s="124" t="str">
        <f t="shared" si="26"/>
        <v/>
      </c>
      <c r="M228" s="124" t="str">
        <f t="shared" si="27"/>
        <v/>
      </c>
      <c r="N228" s="125" t="str">
        <f t="shared" si="28"/>
        <v/>
      </c>
      <c r="O228" s="125" t="str">
        <f t="shared" si="29"/>
        <v/>
      </c>
      <c r="P228" s="126"/>
      <c r="Q228" s="132"/>
      <c r="R228" s="122"/>
      <c r="S228" s="132"/>
      <c r="T228" s="122"/>
      <c r="U228" s="132"/>
      <c r="V228" s="122"/>
      <c r="W228" s="132"/>
      <c r="X228" s="122"/>
      <c r="Y228" s="132"/>
      <c r="Z228" s="122"/>
      <c r="AA228" s="132"/>
      <c r="AB228" s="122"/>
      <c r="AC228" s="132"/>
      <c r="AD228" s="122"/>
      <c r="AE228" s="129">
        <f t="shared" si="25"/>
        <v>0</v>
      </c>
      <c r="AF228" s="129">
        <f t="shared" si="25"/>
        <v>0</v>
      </c>
      <c r="AG228" s="130"/>
      <c r="AH228" s="131">
        <f t="shared" si="30"/>
        <v>0</v>
      </c>
    </row>
    <row r="229" spans="1:34" ht="13.5">
      <c r="A229" s="112" t="str">
        <f>IF(Base!B227="","",Base!B227)</f>
        <v>07.815.068-8</v>
      </c>
      <c r="B229" s="112" t="str">
        <f>IF(Base!F227="","",Base!F227)</f>
        <v>ANA MARITZA  JORQUERA  DURAN</v>
      </c>
      <c r="C229" s="112" t="str">
        <f>IF(Base!I227="","",Base!I227)</f>
        <v xml:space="preserve">Setup </v>
      </c>
      <c r="D229" s="113" t="str">
        <f>IF(Base!J227="","",Base!J227)</f>
        <v xml:space="preserve">Setup </v>
      </c>
      <c r="E229" s="112">
        <f>IF(Base!H227="","",Base!H227)</f>
        <v>1050529</v>
      </c>
      <c r="J229" s="122">
        <v>219</v>
      </c>
      <c r="K229" s="123"/>
      <c r="L229" s="124" t="str">
        <f t="shared" si="26"/>
        <v/>
      </c>
      <c r="M229" s="124" t="str">
        <f t="shared" si="27"/>
        <v/>
      </c>
      <c r="N229" s="125" t="str">
        <f t="shared" si="28"/>
        <v/>
      </c>
      <c r="O229" s="125" t="str">
        <f t="shared" si="29"/>
        <v/>
      </c>
      <c r="P229" s="126"/>
      <c r="Q229" s="132"/>
      <c r="R229" s="122"/>
      <c r="S229" s="132"/>
      <c r="T229" s="122"/>
      <c r="U229" s="132"/>
      <c r="V229" s="122"/>
      <c r="W229" s="132"/>
      <c r="X229" s="122"/>
      <c r="Y229" s="132"/>
      <c r="Z229" s="122"/>
      <c r="AA229" s="132"/>
      <c r="AB229" s="122"/>
      <c r="AC229" s="132"/>
      <c r="AD229" s="122"/>
      <c r="AE229" s="129">
        <f t="shared" si="25"/>
        <v>0</v>
      </c>
      <c r="AF229" s="129">
        <f t="shared" si="25"/>
        <v>0</v>
      </c>
      <c r="AG229" s="130"/>
      <c r="AH229" s="131">
        <f t="shared" si="30"/>
        <v>0</v>
      </c>
    </row>
    <row r="230" spans="1:34" ht="13.5">
      <c r="A230" s="112" t="str">
        <f>IF(Base!B228="","",Base!B228)</f>
        <v>15.445.100-5</v>
      </c>
      <c r="B230" s="112" t="str">
        <f>IF(Base!F228="","",Base!F228)</f>
        <v>FELIPE ANDRES  MACAYA  MOSCOSO</v>
      </c>
      <c r="C230" s="112" t="str">
        <f>IF(Base!I228="","",Base!I228)</f>
        <v xml:space="preserve">Setup </v>
      </c>
      <c r="D230" s="113" t="str">
        <f>IF(Base!J228="","",Base!J228)</f>
        <v xml:space="preserve">Setup </v>
      </c>
      <c r="E230" s="112">
        <f>IF(Base!H228="","",Base!H228)</f>
        <v>1050529</v>
      </c>
      <c r="J230" s="122">
        <v>220</v>
      </c>
      <c r="K230" s="123"/>
      <c r="L230" s="124" t="str">
        <f t="shared" si="26"/>
        <v/>
      </c>
      <c r="M230" s="124" t="str">
        <f t="shared" si="27"/>
        <v/>
      </c>
      <c r="N230" s="125" t="str">
        <f t="shared" si="28"/>
        <v/>
      </c>
      <c r="O230" s="125" t="str">
        <f t="shared" si="29"/>
        <v/>
      </c>
      <c r="P230" s="126"/>
      <c r="Q230" s="132"/>
      <c r="R230" s="122"/>
      <c r="S230" s="132"/>
      <c r="T230" s="122"/>
      <c r="U230" s="132"/>
      <c r="V230" s="122"/>
      <c r="W230" s="132"/>
      <c r="X230" s="122"/>
      <c r="Y230" s="132"/>
      <c r="Z230" s="122"/>
      <c r="AA230" s="132"/>
      <c r="AB230" s="122"/>
      <c r="AC230" s="132"/>
      <c r="AD230" s="122"/>
      <c r="AE230" s="129">
        <f t="shared" ref="AE230:AF260" si="31">SUM(Q230,S230,U230,W230,Y230,AA230,AC230)</f>
        <v>0</v>
      </c>
      <c r="AF230" s="129">
        <f t="shared" si="31"/>
        <v>0</v>
      </c>
      <c r="AG230" s="130"/>
      <c r="AH230" s="131">
        <f t="shared" si="30"/>
        <v>0</v>
      </c>
    </row>
    <row r="231" spans="1:34" ht="13.5">
      <c r="A231" s="112" t="str">
        <f>IF(Base!B229="","",Base!B229)</f>
        <v>15.102.640-0</v>
      </c>
      <c r="B231" s="112" t="str">
        <f>IF(Base!F229="","",Base!F229)</f>
        <v>LUIS  MARDONES  ROJAS</v>
      </c>
      <c r="C231" s="112" t="str">
        <f>IF(Base!I229="","",Base!I229)</f>
        <v xml:space="preserve">Setup </v>
      </c>
      <c r="D231" s="113" t="str">
        <f>IF(Base!J229="","",Base!J229)</f>
        <v xml:space="preserve">Setup </v>
      </c>
      <c r="E231" s="112">
        <f>IF(Base!H229="","",Base!H229)</f>
        <v>1050529</v>
      </c>
      <c r="J231" s="122">
        <v>221</v>
      </c>
      <c r="K231" s="123"/>
      <c r="L231" s="124" t="str">
        <f t="shared" si="26"/>
        <v/>
      </c>
      <c r="M231" s="124" t="str">
        <f t="shared" si="27"/>
        <v/>
      </c>
      <c r="N231" s="125" t="str">
        <f t="shared" si="28"/>
        <v/>
      </c>
      <c r="O231" s="125" t="str">
        <f t="shared" si="29"/>
        <v/>
      </c>
      <c r="P231" s="126"/>
      <c r="Q231" s="132"/>
      <c r="R231" s="132"/>
      <c r="S231" s="132"/>
      <c r="T231" s="132"/>
      <c r="U231" s="132"/>
      <c r="V231" s="132"/>
      <c r="W231" s="132"/>
      <c r="X231" s="132"/>
      <c r="Y231" s="132"/>
      <c r="Z231" s="132"/>
      <c r="AA231" s="132"/>
      <c r="AB231" s="132"/>
      <c r="AC231" s="132"/>
      <c r="AD231" s="132"/>
      <c r="AE231" s="129">
        <f t="shared" si="31"/>
        <v>0</v>
      </c>
      <c r="AF231" s="129">
        <f t="shared" si="31"/>
        <v>0</v>
      </c>
      <c r="AG231" s="130"/>
      <c r="AH231" s="131">
        <f t="shared" si="30"/>
        <v>0</v>
      </c>
    </row>
    <row r="232" spans="1:34" ht="13.5">
      <c r="A232" s="112" t="str">
        <f>IF(Base!B230="","",Base!B230)</f>
        <v>16.649.200-9</v>
      </c>
      <c r="B232" s="112" t="str">
        <f>IF(Base!F230="","",Base!F230)</f>
        <v>VICTOR ALFONSO  MARTINEZ  RIVERA</v>
      </c>
      <c r="C232" s="112" t="str">
        <f>IF(Base!I230="","",Base!I230)</f>
        <v xml:space="preserve">Setup </v>
      </c>
      <c r="D232" s="113" t="str">
        <f>IF(Base!J230="","",Base!J230)</f>
        <v xml:space="preserve">Setup </v>
      </c>
      <c r="E232" s="112">
        <f>IF(Base!H230="","",Base!H230)</f>
        <v>1050529</v>
      </c>
      <c r="J232" s="122">
        <v>222</v>
      </c>
      <c r="K232" s="123"/>
      <c r="L232" s="124" t="str">
        <f t="shared" si="26"/>
        <v/>
      </c>
      <c r="M232" s="124" t="str">
        <f t="shared" si="27"/>
        <v/>
      </c>
      <c r="N232" s="125" t="str">
        <f t="shared" si="28"/>
        <v/>
      </c>
      <c r="O232" s="125" t="str">
        <f t="shared" si="29"/>
        <v/>
      </c>
      <c r="P232" s="126"/>
      <c r="Q232" s="132"/>
      <c r="R232" s="132"/>
      <c r="S232" s="132"/>
      <c r="T232" s="132"/>
      <c r="U232" s="132"/>
      <c r="V232" s="132"/>
      <c r="W232" s="132"/>
      <c r="X232" s="132"/>
      <c r="Y232" s="132"/>
      <c r="Z232" s="132"/>
      <c r="AA232" s="132"/>
      <c r="AB232" s="132"/>
      <c r="AC232" s="132"/>
      <c r="AD232" s="132"/>
      <c r="AE232" s="129">
        <f t="shared" si="31"/>
        <v>0</v>
      </c>
      <c r="AF232" s="129">
        <f t="shared" si="31"/>
        <v>0</v>
      </c>
      <c r="AG232" s="130"/>
      <c r="AH232" s="131">
        <f t="shared" si="30"/>
        <v>0</v>
      </c>
    </row>
    <row r="233" spans="1:34" ht="13.5">
      <c r="A233" s="112" t="str">
        <f>IF(Base!B231="","",Base!B231)</f>
        <v>10.033.627-8</v>
      </c>
      <c r="B233" s="112" t="str">
        <f>IF(Base!F231="","",Base!F231)</f>
        <v>MARCO  MOLINA  FERNANDEZ</v>
      </c>
      <c r="C233" s="112" t="str">
        <f>IF(Base!I231="","",Base!I231)</f>
        <v xml:space="preserve">Setup </v>
      </c>
      <c r="D233" s="113" t="str">
        <f>IF(Base!J231="","",Base!J231)</f>
        <v xml:space="preserve">Setup </v>
      </c>
      <c r="E233" s="112">
        <f>IF(Base!H231="","",Base!H231)</f>
        <v>1050529</v>
      </c>
      <c r="J233" s="122">
        <v>223</v>
      </c>
      <c r="K233" s="123"/>
      <c r="L233" s="124" t="str">
        <f t="shared" si="26"/>
        <v/>
      </c>
      <c r="M233" s="124" t="str">
        <f t="shared" si="27"/>
        <v/>
      </c>
      <c r="N233" s="125" t="str">
        <f t="shared" si="28"/>
        <v/>
      </c>
      <c r="O233" s="125" t="str">
        <f t="shared" si="29"/>
        <v/>
      </c>
      <c r="P233" s="126"/>
      <c r="Q233" s="132"/>
      <c r="R233" s="122"/>
      <c r="S233" s="132"/>
      <c r="T233" s="122"/>
      <c r="U233" s="132"/>
      <c r="V233" s="122"/>
      <c r="W233" s="132"/>
      <c r="X233" s="122"/>
      <c r="Y233" s="132"/>
      <c r="Z233" s="122"/>
      <c r="AA233" s="132"/>
      <c r="AB233" s="122"/>
      <c r="AC233" s="132"/>
      <c r="AD233" s="122"/>
      <c r="AE233" s="129">
        <f t="shared" si="31"/>
        <v>0</v>
      </c>
      <c r="AF233" s="129">
        <f t="shared" si="31"/>
        <v>0</v>
      </c>
      <c r="AG233" s="130"/>
      <c r="AH233" s="131">
        <f t="shared" si="30"/>
        <v>0</v>
      </c>
    </row>
    <row r="234" spans="1:34" ht="13.5">
      <c r="A234" s="112" t="str">
        <f>IF(Base!B232="","",Base!B232)</f>
        <v>13.835.073-8</v>
      </c>
      <c r="B234" s="112" t="str">
        <f>IF(Base!F232="","",Base!F232)</f>
        <v>AMERICO  NORESE  GUAJARDO</v>
      </c>
      <c r="C234" s="112" t="str">
        <f>IF(Base!I232="","",Base!I232)</f>
        <v xml:space="preserve">Setup </v>
      </c>
      <c r="D234" s="113" t="str">
        <f>IF(Base!J232="","",Base!J232)</f>
        <v xml:space="preserve">Setup </v>
      </c>
      <c r="E234" s="112">
        <f>IF(Base!H232="","",Base!H232)</f>
        <v>1050529</v>
      </c>
      <c r="J234" s="122">
        <v>224</v>
      </c>
      <c r="K234" s="123"/>
      <c r="L234" s="124" t="str">
        <f t="shared" si="26"/>
        <v/>
      </c>
      <c r="M234" s="124" t="str">
        <f t="shared" si="27"/>
        <v/>
      </c>
      <c r="N234" s="125" t="str">
        <f t="shared" si="28"/>
        <v/>
      </c>
      <c r="O234" s="125" t="str">
        <f t="shared" si="29"/>
        <v/>
      </c>
      <c r="P234" s="126"/>
      <c r="Q234" s="132"/>
      <c r="R234" s="122"/>
      <c r="S234" s="132"/>
      <c r="T234" s="122"/>
      <c r="U234" s="132"/>
      <c r="V234" s="122"/>
      <c r="W234" s="132"/>
      <c r="X234" s="122"/>
      <c r="Y234" s="132"/>
      <c r="Z234" s="122"/>
      <c r="AA234" s="132"/>
      <c r="AB234" s="122"/>
      <c r="AC234" s="132"/>
      <c r="AD234" s="122"/>
      <c r="AE234" s="129">
        <f t="shared" si="31"/>
        <v>0</v>
      </c>
      <c r="AF234" s="129">
        <f t="shared" si="31"/>
        <v>0</v>
      </c>
      <c r="AG234" s="130"/>
      <c r="AH234" s="131">
        <f t="shared" si="30"/>
        <v>0</v>
      </c>
    </row>
    <row r="235" spans="1:34" ht="13.5">
      <c r="A235" s="112" t="str">
        <f>IF(Base!B233="","",Base!B233)</f>
        <v>16.169.301-4</v>
      </c>
      <c r="B235" s="112" t="str">
        <f>IF(Base!F233="","",Base!F233)</f>
        <v>JOSE MAURICIO  ÑANCUCHEO  MARIQUEO</v>
      </c>
      <c r="C235" s="112" t="str">
        <f>IF(Base!I233="","",Base!I233)</f>
        <v xml:space="preserve">Setup </v>
      </c>
      <c r="D235" s="113" t="str">
        <f>IF(Base!J233="","",Base!J233)</f>
        <v xml:space="preserve">Setup </v>
      </c>
      <c r="E235" s="112">
        <f>IF(Base!H233="","",Base!H233)</f>
        <v>1050529</v>
      </c>
      <c r="J235" s="122">
        <v>225</v>
      </c>
      <c r="K235" s="123"/>
      <c r="L235" s="124" t="str">
        <f t="shared" si="26"/>
        <v/>
      </c>
      <c r="M235" s="124" t="str">
        <f t="shared" si="27"/>
        <v/>
      </c>
      <c r="N235" s="125" t="str">
        <f t="shared" si="28"/>
        <v/>
      </c>
      <c r="O235" s="125" t="str">
        <f t="shared" si="29"/>
        <v/>
      </c>
      <c r="P235" s="126"/>
      <c r="Q235" s="132"/>
      <c r="R235" s="122"/>
      <c r="S235" s="132"/>
      <c r="T235" s="122"/>
      <c r="U235" s="132"/>
      <c r="V235" s="122"/>
      <c r="W235" s="132"/>
      <c r="X235" s="122"/>
      <c r="Y235" s="132"/>
      <c r="Z235" s="122"/>
      <c r="AA235" s="132"/>
      <c r="AB235" s="122"/>
      <c r="AC235" s="132"/>
      <c r="AD235" s="122"/>
      <c r="AE235" s="129">
        <f t="shared" si="31"/>
        <v>0</v>
      </c>
      <c r="AF235" s="129">
        <f t="shared" si="31"/>
        <v>0</v>
      </c>
      <c r="AG235" s="130"/>
      <c r="AH235" s="131">
        <f t="shared" si="30"/>
        <v>0</v>
      </c>
    </row>
    <row r="236" spans="1:34" ht="13.5">
      <c r="A236" s="112" t="str">
        <f>IF(Base!B234="","",Base!B234)</f>
        <v>13.284.475-5</v>
      </c>
      <c r="B236" s="112" t="str">
        <f>IF(Base!F234="","",Base!F234)</f>
        <v>ESTEBAN  OSORIO  LUCERO</v>
      </c>
      <c r="C236" s="112" t="str">
        <f>IF(Base!I234="","",Base!I234)</f>
        <v>Linea 1</v>
      </c>
      <c r="D236" s="113" t="str">
        <f>IF(Base!J234="","",Base!J234)</f>
        <v>Llenador</v>
      </c>
      <c r="E236" s="112">
        <f>IF(Base!H234="","",Base!H234)</f>
        <v>1050551</v>
      </c>
      <c r="J236" s="122">
        <v>226</v>
      </c>
      <c r="K236" s="123"/>
      <c r="L236" s="124" t="str">
        <f t="shared" si="26"/>
        <v/>
      </c>
      <c r="M236" s="124" t="str">
        <f t="shared" si="27"/>
        <v/>
      </c>
      <c r="N236" s="125" t="str">
        <f t="shared" si="28"/>
        <v/>
      </c>
      <c r="O236" s="125" t="str">
        <f t="shared" si="29"/>
        <v/>
      </c>
      <c r="P236" s="126"/>
      <c r="Q236" s="132"/>
      <c r="R236" s="132"/>
      <c r="S236" s="132"/>
      <c r="T236" s="132"/>
      <c r="U236" s="132"/>
      <c r="V236" s="132"/>
      <c r="W236" s="132"/>
      <c r="X236" s="132"/>
      <c r="Y236" s="132"/>
      <c r="Z236" s="132"/>
      <c r="AA236" s="132"/>
      <c r="AB236" s="132"/>
      <c r="AC236" s="132"/>
      <c r="AD236" s="132"/>
      <c r="AE236" s="129">
        <f t="shared" si="31"/>
        <v>0</v>
      </c>
      <c r="AF236" s="129">
        <f t="shared" si="31"/>
        <v>0</v>
      </c>
      <c r="AG236" s="130"/>
      <c r="AH236" s="131">
        <f t="shared" si="30"/>
        <v>0</v>
      </c>
    </row>
    <row r="237" spans="1:34" ht="13.5">
      <c r="A237" s="112" t="str">
        <f>IF(Base!B235="","",Base!B235)</f>
        <v>07.816.805-6</v>
      </c>
      <c r="B237" s="112" t="str">
        <f>IF(Base!F235="","",Base!F235)</f>
        <v>JULIO CESAR  PINTO  FLORES</v>
      </c>
      <c r="C237" s="112" t="str">
        <f>IF(Base!I235="","",Base!I235)</f>
        <v xml:space="preserve">Setup </v>
      </c>
      <c r="D237" s="113" t="str">
        <f>IF(Base!J235="","",Base!J235)</f>
        <v xml:space="preserve">Setup </v>
      </c>
      <c r="E237" s="112">
        <f>IF(Base!H235="","",Base!H235)</f>
        <v>1050529</v>
      </c>
      <c r="J237" s="122">
        <v>227</v>
      </c>
      <c r="K237" s="123"/>
      <c r="L237" s="124" t="str">
        <f t="shared" si="26"/>
        <v/>
      </c>
      <c r="M237" s="124" t="str">
        <f t="shared" si="27"/>
        <v/>
      </c>
      <c r="N237" s="125" t="str">
        <f t="shared" si="28"/>
        <v/>
      </c>
      <c r="O237" s="125" t="str">
        <f t="shared" si="29"/>
        <v/>
      </c>
      <c r="P237" s="126"/>
      <c r="Q237" s="132"/>
      <c r="R237" s="132"/>
      <c r="S237" s="132"/>
      <c r="T237" s="132"/>
      <c r="U237" s="132"/>
      <c r="V237" s="132"/>
      <c r="W237" s="132"/>
      <c r="X237" s="132"/>
      <c r="Y237" s="132"/>
      <c r="Z237" s="132"/>
      <c r="AA237" s="132"/>
      <c r="AB237" s="132"/>
      <c r="AC237" s="132"/>
      <c r="AD237" s="132"/>
      <c r="AE237" s="129">
        <f t="shared" si="31"/>
        <v>0</v>
      </c>
      <c r="AF237" s="129">
        <f t="shared" si="31"/>
        <v>0</v>
      </c>
      <c r="AG237" s="130"/>
      <c r="AH237" s="131">
        <f t="shared" si="30"/>
        <v>0</v>
      </c>
    </row>
    <row r="238" spans="1:34" ht="13.5">
      <c r="A238" s="112" t="str">
        <f>IF(Base!B236="","",Base!B236)</f>
        <v>10.042.860-1</v>
      </c>
      <c r="B238" s="112" t="str">
        <f>IF(Base!F236="","",Base!F236)</f>
        <v>LUIS ABRAHAM  QUIROGA  GARCIA</v>
      </c>
      <c r="C238" s="112" t="str">
        <f>IF(Base!I236="","",Base!I236)</f>
        <v xml:space="preserve">Setup </v>
      </c>
      <c r="D238" s="113" t="str">
        <f>IF(Base!J236="","",Base!J236)</f>
        <v xml:space="preserve">Setup </v>
      </c>
      <c r="E238" s="112">
        <f>IF(Base!H236="","",Base!H236)</f>
        <v>1050529</v>
      </c>
      <c r="J238" s="122">
        <v>228</v>
      </c>
      <c r="K238" s="123"/>
      <c r="L238" s="124" t="str">
        <f t="shared" si="26"/>
        <v/>
      </c>
      <c r="M238" s="124" t="str">
        <f t="shared" si="27"/>
        <v/>
      </c>
      <c r="N238" s="125" t="str">
        <f t="shared" si="28"/>
        <v/>
      </c>
      <c r="O238" s="125" t="str">
        <f t="shared" si="29"/>
        <v/>
      </c>
      <c r="P238" s="126"/>
      <c r="Q238" s="132"/>
      <c r="R238" s="122"/>
      <c r="S238" s="132"/>
      <c r="T238" s="122"/>
      <c r="U238" s="132"/>
      <c r="V238" s="122"/>
      <c r="W238" s="132"/>
      <c r="X238" s="122"/>
      <c r="Y238" s="132"/>
      <c r="Z238" s="122"/>
      <c r="AA238" s="132"/>
      <c r="AB238" s="122"/>
      <c r="AC238" s="132"/>
      <c r="AD238" s="122"/>
      <c r="AE238" s="129">
        <f t="shared" si="31"/>
        <v>0</v>
      </c>
      <c r="AF238" s="129">
        <f t="shared" si="31"/>
        <v>0</v>
      </c>
      <c r="AG238" s="130"/>
      <c r="AH238" s="131">
        <f t="shared" si="30"/>
        <v>0</v>
      </c>
    </row>
    <row r="239" spans="1:34" ht="13.5">
      <c r="A239" s="112" t="str">
        <f>IF(Base!B237="","",Base!B237)</f>
        <v>14.005.587-5</v>
      </c>
      <c r="B239" s="112" t="str">
        <f>IF(Base!F237="","",Base!F237)</f>
        <v>GERARDO ALBERTO  RODRIGUEZ  TORO</v>
      </c>
      <c r="C239" s="112" t="str">
        <f>IF(Base!I237="","",Base!I237)</f>
        <v xml:space="preserve">Setup </v>
      </c>
      <c r="D239" s="113" t="str">
        <f>IF(Base!J237="","",Base!J237)</f>
        <v xml:space="preserve">Setup </v>
      </c>
      <c r="E239" s="112">
        <f>IF(Base!H237="","",Base!H237)</f>
        <v>1050529</v>
      </c>
      <c r="J239" s="122">
        <v>229</v>
      </c>
      <c r="K239" s="123"/>
      <c r="L239" s="124" t="str">
        <f t="shared" si="26"/>
        <v/>
      </c>
      <c r="M239" s="124" t="str">
        <f t="shared" si="27"/>
        <v/>
      </c>
      <c r="N239" s="125" t="str">
        <f t="shared" si="28"/>
        <v/>
      </c>
      <c r="O239" s="125" t="str">
        <f t="shared" si="29"/>
        <v/>
      </c>
      <c r="P239" s="126"/>
      <c r="Q239" s="132"/>
      <c r="R239" s="122"/>
      <c r="S239" s="132"/>
      <c r="T239" s="122"/>
      <c r="U239" s="132"/>
      <c r="V239" s="122"/>
      <c r="W239" s="132"/>
      <c r="X239" s="122"/>
      <c r="Y239" s="132"/>
      <c r="Z239" s="122"/>
      <c r="AA239" s="132"/>
      <c r="AB239" s="122"/>
      <c r="AC239" s="132"/>
      <c r="AD239" s="122"/>
      <c r="AE239" s="129">
        <f t="shared" si="31"/>
        <v>0</v>
      </c>
      <c r="AF239" s="129">
        <f t="shared" si="31"/>
        <v>0</v>
      </c>
      <c r="AG239" s="130"/>
      <c r="AH239" s="131">
        <f t="shared" si="30"/>
        <v>0</v>
      </c>
    </row>
    <row r="240" spans="1:34" ht="13.5">
      <c r="A240" s="112" t="str">
        <f>IF(Base!B238="","",Base!B238)</f>
        <v>13.836.182-9</v>
      </c>
      <c r="B240" s="112" t="str">
        <f>IF(Base!F238="","",Base!F238)</f>
        <v>JOSE LUIS  SEPULVEDA  ANTILEO</v>
      </c>
      <c r="C240" s="112" t="str">
        <f>IF(Base!I238="","",Base!I238)</f>
        <v xml:space="preserve">Setup </v>
      </c>
      <c r="D240" s="113" t="str">
        <f>IF(Base!J238="","",Base!J238)</f>
        <v xml:space="preserve">Setup </v>
      </c>
      <c r="E240" s="112">
        <f>IF(Base!H238="","",Base!H238)</f>
        <v>1050529</v>
      </c>
      <c r="J240" s="122">
        <v>230</v>
      </c>
      <c r="K240" s="123"/>
      <c r="L240" s="124" t="str">
        <f t="shared" si="26"/>
        <v/>
      </c>
      <c r="M240" s="124" t="str">
        <f t="shared" si="27"/>
        <v/>
      </c>
      <c r="N240" s="125" t="str">
        <f t="shared" si="28"/>
        <v/>
      </c>
      <c r="O240" s="125" t="str">
        <f t="shared" si="29"/>
        <v/>
      </c>
      <c r="P240" s="126"/>
      <c r="Q240" s="132"/>
      <c r="R240" s="122"/>
      <c r="S240" s="132"/>
      <c r="T240" s="122"/>
      <c r="U240" s="132"/>
      <c r="V240" s="122"/>
      <c r="W240" s="132"/>
      <c r="X240" s="122"/>
      <c r="Y240" s="132"/>
      <c r="Z240" s="122"/>
      <c r="AA240" s="132"/>
      <c r="AB240" s="122"/>
      <c r="AC240" s="132"/>
      <c r="AD240" s="122"/>
      <c r="AE240" s="129">
        <f t="shared" si="31"/>
        <v>0</v>
      </c>
      <c r="AF240" s="129">
        <f t="shared" si="31"/>
        <v>0</v>
      </c>
      <c r="AG240" s="130"/>
      <c r="AH240" s="131">
        <f t="shared" si="30"/>
        <v>0</v>
      </c>
    </row>
    <row r="241" spans="1:34" ht="13.5">
      <c r="A241" s="112" t="str">
        <f>IF(Base!B239="","",Base!B239)</f>
        <v>13.295.279-5</v>
      </c>
      <c r="B241" s="112" t="str">
        <f>IF(Base!F239="","",Base!F239)</f>
        <v>JUAN OSVALDO  TOLEDO  YEVENES</v>
      </c>
      <c r="C241" s="112" t="str">
        <f>IF(Base!I239="","",Base!I239)</f>
        <v xml:space="preserve">Setup </v>
      </c>
      <c r="D241" s="113" t="str">
        <f>IF(Base!J239="","",Base!J239)</f>
        <v xml:space="preserve">Setup </v>
      </c>
      <c r="E241" s="112">
        <f>IF(Base!H239="","",Base!H239)</f>
        <v>1050529</v>
      </c>
      <c r="J241" s="122">
        <v>231</v>
      </c>
      <c r="K241" s="123"/>
      <c r="L241" s="124" t="str">
        <f t="shared" si="26"/>
        <v/>
      </c>
      <c r="M241" s="124" t="str">
        <f t="shared" si="27"/>
        <v/>
      </c>
      <c r="N241" s="125" t="str">
        <f t="shared" si="28"/>
        <v/>
      </c>
      <c r="O241" s="125" t="str">
        <f t="shared" si="29"/>
        <v/>
      </c>
      <c r="P241" s="126"/>
      <c r="Q241" s="132"/>
      <c r="R241" s="132"/>
      <c r="S241" s="132"/>
      <c r="T241" s="132"/>
      <c r="U241" s="132"/>
      <c r="V241" s="132"/>
      <c r="W241" s="132"/>
      <c r="X241" s="132"/>
      <c r="Y241" s="132"/>
      <c r="Z241" s="132"/>
      <c r="AA241" s="132"/>
      <c r="AB241" s="132"/>
      <c r="AC241" s="132"/>
      <c r="AD241" s="132"/>
      <c r="AE241" s="129">
        <f t="shared" si="31"/>
        <v>0</v>
      </c>
      <c r="AF241" s="129">
        <f t="shared" si="31"/>
        <v>0</v>
      </c>
      <c r="AG241" s="130"/>
      <c r="AH241" s="131">
        <f t="shared" si="30"/>
        <v>0</v>
      </c>
    </row>
    <row r="242" spans="1:34" ht="13.5">
      <c r="A242" s="112" t="str">
        <f>IF(Base!B240="","",Base!B240)</f>
        <v>10.849.486-7</v>
      </c>
      <c r="B242" s="112" t="str">
        <f>IF(Base!F240="","",Base!F240)</f>
        <v>ELVIO  VALDENEGRO  GARRIDO</v>
      </c>
      <c r="C242" s="112" t="str">
        <f>IF(Base!I240="","",Base!I240)</f>
        <v xml:space="preserve">Setup </v>
      </c>
      <c r="D242" s="113" t="str">
        <f>IF(Base!J240="","",Base!J240)</f>
        <v xml:space="preserve">Setup </v>
      </c>
      <c r="E242" s="112">
        <f>IF(Base!H240="","",Base!H240)</f>
        <v>1050529</v>
      </c>
      <c r="J242" s="122">
        <v>232</v>
      </c>
      <c r="K242" s="123"/>
      <c r="L242" s="124" t="str">
        <f t="shared" si="26"/>
        <v/>
      </c>
      <c r="M242" s="124" t="str">
        <f t="shared" si="27"/>
        <v/>
      </c>
      <c r="N242" s="125" t="str">
        <f t="shared" si="28"/>
        <v/>
      </c>
      <c r="O242" s="125" t="str">
        <f t="shared" si="29"/>
        <v/>
      </c>
      <c r="P242" s="126"/>
      <c r="Q242" s="132"/>
      <c r="R242" s="132"/>
      <c r="S242" s="132"/>
      <c r="T242" s="132"/>
      <c r="U242" s="132"/>
      <c r="V242" s="132"/>
      <c r="W242" s="132"/>
      <c r="X242" s="132"/>
      <c r="Y242" s="132"/>
      <c r="Z242" s="132"/>
      <c r="AA242" s="132"/>
      <c r="AB242" s="132"/>
      <c r="AC242" s="132"/>
      <c r="AD242" s="132"/>
      <c r="AE242" s="129">
        <f t="shared" si="31"/>
        <v>0</v>
      </c>
      <c r="AF242" s="129">
        <f t="shared" si="31"/>
        <v>0</v>
      </c>
      <c r="AG242" s="130"/>
      <c r="AH242" s="131">
        <f t="shared" si="30"/>
        <v>0</v>
      </c>
    </row>
    <row r="243" spans="1:34" ht="13.5">
      <c r="A243" s="112" t="str">
        <f>IF(Base!B241="","",Base!B241)</f>
        <v>15.441.831-8</v>
      </c>
      <c r="B243" s="112" t="str">
        <f>IF(Base!F241="","",Base!F241)</f>
        <v>ROBERTO MARIO  VALDERRAMA  CAÑAS</v>
      </c>
      <c r="C243" s="112" t="str">
        <f>IF(Base!I241="","",Base!I241)</f>
        <v xml:space="preserve">Setup </v>
      </c>
      <c r="D243" s="113" t="str">
        <f>IF(Base!J241="","",Base!J241)</f>
        <v xml:space="preserve">Setup </v>
      </c>
      <c r="E243" s="112">
        <f>IF(Base!H241="","",Base!H241)</f>
        <v>1050529</v>
      </c>
      <c r="J243" s="122">
        <v>233</v>
      </c>
      <c r="K243" s="123"/>
      <c r="L243" s="124" t="str">
        <f t="shared" si="26"/>
        <v/>
      </c>
      <c r="M243" s="124" t="str">
        <f t="shared" si="27"/>
        <v/>
      </c>
      <c r="N243" s="125" t="str">
        <f t="shared" si="28"/>
        <v/>
      </c>
      <c r="O243" s="125" t="str">
        <f t="shared" si="29"/>
        <v/>
      </c>
      <c r="P243" s="126"/>
      <c r="Q243" s="132"/>
      <c r="R243" s="122"/>
      <c r="S243" s="132"/>
      <c r="T243" s="122"/>
      <c r="U243" s="132"/>
      <c r="V243" s="122"/>
      <c r="W243" s="132"/>
      <c r="X243" s="122"/>
      <c r="Y243" s="132"/>
      <c r="Z243" s="122"/>
      <c r="AA243" s="132"/>
      <c r="AB243" s="122"/>
      <c r="AC243" s="132"/>
      <c r="AD243" s="122"/>
      <c r="AE243" s="129">
        <f t="shared" si="31"/>
        <v>0</v>
      </c>
      <c r="AF243" s="129">
        <f t="shared" si="31"/>
        <v>0</v>
      </c>
      <c r="AG243" s="130"/>
      <c r="AH243" s="131">
        <f t="shared" si="30"/>
        <v>0</v>
      </c>
    </row>
    <row r="244" spans="1:34" ht="13.5">
      <c r="A244" s="112" t="str">
        <f>IF(Base!B242="","",Base!B242)</f>
        <v>13.688.839-0</v>
      </c>
      <c r="B244" s="112" t="str">
        <f>IF(Base!F242="","",Base!F242)</f>
        <v>NOLBERTO  VILLAFAÑA  IBAÑEZ</v>
      </c>
      <c r="C244" s="112" t="str">
        <f>IF(Base!I242="","",Base!I242)</f>
        <v>Linea 6</v>
      </c>
      <c r="D244" s="113" t="str">
        <f>IF(Base!J242="","",Base!J242)</f>
        <v>Llenador</v>
      </c>
      <c r="E244" s="112">
        <f>IF(Base!H242="","",Base!H242)</f>
        <v>1050616</v>
      </c>
      <c r="J244" s="122">
        <v>234</v>
      </c>
      <c r="K244" s="123"/>
      <c r="L244" s="124" t="str">
        <f t="shared" si="26"/>
        <v/>
      </c>
      <c r="M244" s="124" t="str">
        <f t="shared" si="27"/>
        <v/>
      </c>
      <c r="N244" s="125" t="str">
        <f t="shared" si="28"/>
        <v/>
      </c>
      <c r="O244" s="125" t="str">
        <f t="shared" si="29"/>
        <v/>
      </c>
      <c r="P244" s="126"/>
      <c r="Q244" s="132"/>
      <c r="R244" s="122"/>
      <c r="S244" s="132"/>
      <c r="T244" s="122"/>
      <c r="U244" s="132"/>
      <c r="V244" s="122"/>
      <c r="W244" s="132"/>
      <c r="X244" s="122"/>
      <c r="Y244" s="132"/>
      <c r="Z244" s="122"/>
      <c r="AA244" s="132"/>
      <c r="AB244" s="122"/>
      <c r="AC244" s="132"/>
      <c r="AD244" s="122"/>
      <c r="AE244" s="129">
        <f t="shared" si="31"/>
        <v>0</v>
      </c>
      <c r="AF244" s="129">
        <f t="shared" si="31"/>
        <v>0</v>
      </c>
      <c r="AG244" s="130"/>
      <c r="AH244" s="131">
        <f t="shared" si="30"/>
        <v>0</v>
      </c>
    </row>
    <row r="245" spans="1:34" ht="13.5">
      <c r="A245" s="112" t="str">
        <f>IF(Base!B243="","",Base!B243)</f>
        <v>08.110.698-3</v>
      </c>
      <c r="B245" s="112" t="str">
        <f>IF(Base!F243="","",Base!F243)</f>
        <v>XIMENA DEL ROSARIO  GUZMAN  CASTAÑEDA</v>
      </c>
      <c r="C245" s="112" t="str">
        <f>IF(Base!I243="","",Base!I243)</f>
        <v>Control y Gestión</v>
      </c>
      <c r="D245" s="113" t="str">
        <f>IF(Base!J243="","",Base!J243)</f>
        <v>Inspector tiempo</v>
      </c>
      <c r="E245" s="112">
        <f>IF(Base!H243="","",Base!H243)</f>
        <v>1050632</v>
      </c>
      <c r="J245" s="122">
        <v>235</v>
      </c>
      <c r="K245" s="123"/>
      <c r="L245" s="124" t="str">
        <f t="shared" si="26"/>
        <v/>
      </c>
      <c r="M245" s="124" t="str">
        <f t="shared" si="27"/>
        <v/>
      </c>
      <c r="N245" s="125" t="str">
        <f t="shared" si="28"/>
        <v/>
      </c>
      <c r="O245" s="125" t="str">
        <f t="shared" si="29"/>
        <v/>
      </c>
      <c r="P245" s="126"/>
      <c r="Q245" s="132"/>
      <c r="R245" s="122"/>
      <c r="S245" s="132"/>
      <c r="T245" s="122"/>
      <c r="U245" s="132"/>
      <c r="V245" s="122"/>
      <c r="W245" s="132"/>
      <c r="X245" s="122"/>
      <c r="Y245" s="132"/>
      <c r="Z245" s="122"/>
      <c r="AA245" s="132"/>
      <c r="AB245" s="122"/>
      <c r="AC245" s="132"/>
      <c r="AD245" s="122"/>
      <c r="AE245" s="129">
        <f t="shared" si="31"/>
        <v>0</v>
      </c>
      <c r="AF245" s="129">
        <f t="shared" si="31"/>
        <v>0</v>
      </c>
      <c r="AG245" s="130"/>
      <c r="AH245" s="131">
        <f t="shared" si="30"/>
        <v>0</v>
      </c>
    </row>
    <row r="246" spans="1:34" ht="13.5">
      <c r="A246" s="112" t="str">
        <f>IF(Base!B244="","",Base!B244)</f>
        <v>15444116-6</v>
      </c>
      <c r="B246" s="112" t="str">
        <f>IF(Base!F244="","",Base!F244)</f>
        <v>MANUEL  MAULEN   GUTIERREZ</v>
      </c>
      <c r="C246" s="112" t="str">
        <f>IF(Base!I244="","",Base!I244)</f>
        <v>Linea 2</v>
      </c>
      <c r="D246" s="113" t="str">
        <f>IF(Base!J244="","",Base!J244)</f>
        <v>Embalador</v>
      </c>
      <c r="E246" s="112">
        <f>IF(Base!H244="","",Base!H244)</f>
        <v>1050554</v>
      </c>
      <c r="J246" s="122">
        <v>236</v>
      </c>
      <c r="K246" s="123"/>
      <c r="L246" s="124" t="str">
        <f t="shared" si="26"/>
        <v/>
      </c>
      <c r="M246" s="124" t="str">
        <f t="shared" si="27"/>
        <v/>
      </c>
      <c r="N246" s="125" t="str">
        <f t="shared" si="28"/>
        <v/>
      </c>
      <c r="O246" s="125" t="str">
        <f t="shared" si="29"/>
        <v/>
      </c>
      <c r="P246" s="126"/>
      <c r="Q246" s="132"/>
      <c r="R246" s="132"/>
      <c r="S246" s="132"/>
      <c r="T246" s="132"/>
      <c r="U246" s="132"/>
      <c r="V246" s="132"/>
      <c r="W246" s="132"/>
      <c r="X246" s="132"/>
      <c r="Y246" s="132"/>
      <c r="Z246" s="132"/>
      <c r="AA246" s="132"/>
      <c r="AB246" s="132"/>
      <c r="AC246" s="132"/>
      <c r="AD246" s="132"/>
      <c r="AE246" s="129">
        <f t="shared" si="31"/>
        <v>0</v>
      </c>
      <c r="AF246" s="129">
        <f t="shared" si="31"/>
        <v>0</v>
      </c>
      <c r="AG246" s="130"/>
      <c r="AH246" s="131">
        <f t="shared" si="30"/>
        <v>0</v>
      </c>
    </row>
    <row r="247" spans="1:34" ht="13.5">
      <c r="A247" s="112" t="str">
        <f>IF(Base!B245="","",Base!B245)</f>
        <v>16.441.596-1</v>
      </c>
      <c r="B247" s="112" t="str">
        <f>IF(Base!F245="","",Base!F245)</f>
        <v>DAYANA PAULETTE  VIDAL  OTAROLA</v>
      </c>
      <c r="C247" s="112" t="str">
        <f>IF(Base!I245="","",Base!I245)</f>
        <v>TPM</v>
      </c>
      <c r="D247" s="113" t="str">
        <f>IF(Base!J245="","",Base!J245)</f>
        <v>Secretaria TPM</v>
      </c>
      <c r="E247" s="112">
        <f>IF(Base!H245="","",Base!H245)</f>
        <v>1050604</v>
      </c>
      <c r="J247" s="122">
        <v>237</v>
      </c>
      <c r="K247" s="123"/>
      <c r="L247" s="124" t="str">
        <f t="shared" si="26"/>
        <v/>
      </c>
      <c r="M247" s="124" t="str">
        <f t="shared" si="27"/>
        <v/>
      </c>
      <c r="N247" s="125" t="str">
        <f t="shared" si="28"/>
        <v/>
      </c>
      <c r="O247" s="125" t="str">
        <f t="shared" si="29"/>
        <v/>
      </c>
      <c r="P247" s="126"/>
      <c r="Q247" s="132"/>
      <c r="R247" s="132"/>
      <c r="S247" s="132"/>
      <c r="T247" s="132"/>
      <c r="U247" s="132"/>
      <c r="V247" s="132"/>
      <c r="W247" s="132"/>
      <c r="X247" s="132"/>
      <c r="Y247" s="132"/>
      <c r="Z247" s="132"/>
      <c r="AA247" s="132"/>
      <c r="AB247" s="132"/>
      <c r="AC247" s="132"/>
      <c r="AD247" s="132"/>
      <c r="AE247" s="129">
        <f t="shared" si="31"/>
        <v>0</v>
      </c>
      <c r="AF247" s="129">
        <f t="shared" si="31"/>
        <v>0</v>
      </c>
      <c r="AG247" s="130"/>
      <c r="AH247" s="131">
        <f t="shared" si="30"/>
        <v>0</v>
      </c>
    </row>
    <row r="248" spans="1:34" ht="13.5">
      <c r="A248" s="112" t="str">
        <f>IF(Base!B246="","",Base!B246)</f>
        <v>12.210.109-0</v>
      </c>
      <c r="B248" s="112" t="str">
        <f>IF(Base!F246="","",Base!F246)</f>
        <v>ROBERTO FERNANDO  ESCOBAR  RIVERA</v>
      </c>
      <c r="C248" s="112" t="str">
        <f>IF(Base!I246="","",Base!I246)</f>
        <v>Setup</v>
      </c>
      <c r="D248" s="113" t="str">
        <f>IF(Base!J246="","",Base!J246)</f>
        <v>Setup</v>
      </c>
      <c r="E248" s="112">
        <f>IF(Base!H246="","",Base!H246)</f>
        <v>1050529</v>
      </c>
      <c r="J248" s="122">
        <v>238</v>
      </c>
      <c r="K248" s="123"/>
      <c r="L248" s="124" t="str">
        <f t="shared" si="26"/>
        <v/>
      </c>
      <c r="M248" s="124" t="str">
        <f t="shared" si="27"/>
        <v/>
      </c>
      <c r="N248" s="125" t="str">
        <f t="shared" si="28"/>
        <v/>
      </c>
      <c r="O248" s="125" t="str">
        <f t="shared" si="29"/>
        <v/>
      </c>
      <c r="P248" s="126"/>
      <c r="Q248" s="132"/>
      <c r="R248" s="122"/>
      <c r="S248" s="132"/>
      <c r="T248" s="122"/>
      <c r="U248" s="132"/>
      <c r="V248" s="122"/>
      <c r="W248" s="132"/>
      <c r="X248" s="122"/>
      <c r="Y248" s="132"/>
      <c r="Z248" s="122"/>
      <c r="AA248" s="132"/>
      <c r="AB248" s="122"/>
      <c r="AC248" s="132"/>
      <c r="AD248" s="122"/>
      <c r="AE248" s="129">
        <f t="shared" si="31"/>
        <v>0</v>
      </c>
      <c r="AF248" s="129">
        <f t="shared" si="31"/>
        <v>0</v>
      </c>
      <c r="AG248" s="130"/>
      <c r="AH248" s="131">
        <f t="shared" si="30"/>
        <v>0</v>
      </c>
    </row>
    <row r="249" spans="1:34" ht="13.5">
      <c r="A249" s="112" t="str">
        <f>IF(Base!B247="","",Base!B247)</f>
        <v>9.004.326-9</v>
      </c>
      <c r="B249" s="112" t="str">
        <f>IF(Base!F247="","",Base!F247)</f>
        <v>ANDRES EDUARDO  LORCA  FARIAS</v>
      </c>
      <c r="C249" s="112" t="str">
        <f>IF(Base!I247="","",Base!I247)</f>
        <v>TPM</v>
      </c>
      <c r="D249" s="113" t="str">
        <f>IF(Base!J247="","",Base!J247)</f>
        <v>Encargado TPM</v>
      </c>
      <c r="E249" s="112">
        <f>IF(Base!H247="","",Base!H247)</f>
        <v>1050604</v>
      </c>
      <c r="J249" s="122">
        <v>239</v>
      </c>
      <c r="K249" s="123"/>
      <c r="L249" s="124" t="str">
        <f t="shared" si="26"/>
        <v/>
      </c>
      <c r="M249" s="124" t="str">
        <f t="shared" si="27"/>
        <v/>
      </c>
      <c r="N249" s="125" t="str">
        <f t="shared" si="28"/>
        <v/>
      </c>
      <c r="O249" s="125" t="str">
        <f t="shared" si="29"/>
        <v/>
      </c>
      <c r="P249" s="126"/>
      <c r="Q249" s="132"/>
      <c r="R249" s="122"/>
      <c r="S249" s="132"/>
      <c r="T249" s="122"/>
      <c r="U249" s="132"/>
      <c r="V249" s="122"/>
      <c r="W249" s="132"/>
      <c r="X249" s="122"/>
      <c r="Y249" s="132"/>
      <c r="Z249" s="122"/>
      <c r="AA249" s="132"/>
      <c r="AB249" s="122"/>
      <c r="AC249" s="132"/>
      <c r="AD249" s="122"/>
      <c r="AE249" s="129">
        <f t="shared" si="31"/>
        <v>0</v>
      </c>
      <c r="AF249" s="129">
        <f t="shared" si="31"/>
        <v>0</v>
      </c>
      <c r="AG249" s="130"/>
      <c r="AH249" s="131">
        <f t="shared" si="30"/>
        <v>0</v>
      </c>
    </row>
    <row r="250" spans="1:34" ht="13.5">
      <c r="A250" s="112" t="str">
        <f>IF(Base!B248="","",Base!B248)</f>
        <v>14.277.186-1</v>
      </c>
      <c r="B250" s="112" t="str">
        <f>IF(Base!F248="","",Base!F248)</f>
        <v>ALEJANDRO  SANHUEZA  SOTO</v>
      </c>
      <c r="C250" s="112" t="str">
        <f>IF(Base!I248="","",Base!I248)</f>
        <v>Control y Gestión</v>
      </c>
      <c r="D250" s="113" t="str">
        <f>IF(Base!J248="","",Base!J248)</f>
        <v>Inspector tiempo</v>
      </c>
      <c r="E250" s="112">
        <f>IF(Base!H248="","",Base!H248)</f>
        <v>1050632</v>
      </c>
      <c r="J250" s="122">
        <v>240</v>
      </c>
      <c r="K250" s="123"/>
      <c r="L250" s="124" t="str">
        <f t="shared" si="26"/>
        <v/>
      </c>
      <c r="M250" s="124" t="str">
        <f t="shared" si="27"/>
        <v/>
      </c>
      <c r="N250" s="125" t="str">
        <f t="shared" si="28"/>
        <v/>
      </c>
      <c r="O250" s="125" t="str">
        <f t="shared" si="29"/>
        <v/>
      </c>
      <c r="P250" s="126"/>
      <c r="Q250" s="132"/>
      <c r="R250" s="122"/>
      <c r="S250" s="132"/>
      <c r="T250" s="122"/>
      <c r="U250" s="132"/>
      <c r="V250" s="122"/>
      <c r="W250" s="132"/>
      <c r="X250" s="122"/>
      <c r="Y250" s="132"/>
      <c r="Z250" s="122"/>
      <c r="AA250" s="132"/>
      <c r="AB250" s="122"/>
      <c r="AC250" s="132"/>
      <c r="AD250" s="122"/>
      <c r="AE250" s="129">
        <f t="shared" si="31"/>
        <v>0</v>
      </c>
      <c r="AF250" s="129">
        <f t="shared" si="31"/>
        <v>0</v>
      </c>
      <c r="AG250" s="130"/>
      <c r="AH250" s="131">
        <f t="shared" si="30"/>
        <v>0</v>
      </c>
    </row>
    <row r="251" spans="1:34" ht="13.5">
      <c r="A251" s="112" t="str">
        <f>IF(Base!B249="","",Base!B249)</f>
        <v>12.896.236-0</v>
      </c>
      <c r="B251" s="112" t="str">
        <f>IF(Base!F249="","",Base!F249)</f>
        <v>GABRIEL   CANDIA   MUÑOZ</v>
      </c>
      <c r="C251" s="112" t="str">
        <f>IF(Base!I249="","",Base!I249)</f>
        <v>Control y Gestión</v>
      </c>
      <c r="D251" s="113" t="str">
        <f>IF(Base!J249="","",Base!J249)</f>
        <v>Inspector tiempo</v>
      </c>
      <c r="E251" s="112">
        <f>IF(Base!H249="","",Base!H249)</f>
        <v>1050632</v>
      </c>
      <c r="J251" s="122">
        <v>241</v>
      </c>
      <c r="K251" s="123"/>
      <c r="L251" s="124" t="str">
        <f t="shared" si="26"/>
        <v/>
      </c>
      <c r="M251" s="124" t="str">
        <f t="shared" si="27"/>
        <v/>
      </c>
      <c r="N251" s="125" t="str">
        <f t="shared" si="28"/>
        <v/>
      </c>
      <c r="O251" s="125" t="str">
        <f t="shared" si="29"/>
        <v/>
      </c>
      <c r="P251" s="126"/>
      <c r="Q251" s="132"/>
      <c r="R251" s="132"/>
      <c r="S251" s="132"/>
      <c r="T251" s="132"/>
      <c r="U251" s="132"/>
      <c r="V251" s="132"/>
      <c r="W251" s="132"/>
      <c r="X251" s="132"/>
      <c r="Y251" s="132"/>
      <c r="Z251" s="132"/>
      <c r="AA251" s="132"/>
      <c r="AB251" s="132"/>
      <c r="AC251" s="132"/>
      <c r="AD251" s="132"/>
      <c r="AE251" s="129">
        <f t="shared" si="31"/>
        <v>0</v>
      </c>
      <c r="AF251" s="129">
        <f t="shared" si="31"/>
        <v>0</v>
      </c>
      <c r="AG251" s="130"/>
      <c r="AH251" s="131">
        <f t="shared" si="30"/>
        <v>0</v>
      </c>
    </row>
    <row r="252" spans="1:34" ht="13.5">
      <c r="A252" s="112" t="str">
        <f>IF(Base!B250="","",Base!B250)</f>
        <v>15.391.242-4</v>
      </c>
      <c r="B252" s="112" t="str">
        <f>IF(Base!F250="","",Base!F250)</f>
        <v>JUAN  GUERRERO  MALIO</v>
      </c>
      <c r="C252" s="112" t="str">
        <f>IF(Base!I250="","",Base!I250)</f>
        <v>Control y Gestión</v>
      </c>
      <c r="D252" s="113" t="str">
        <f>IF(Base!J250="","",Base!J250)</f>
        <v>Inspector tiempo</v>
      </c>
      <c r="E252" s="112">
        <f>IF(Base!H250="","",Base!H250)</f>
        <v>1050632</v>
      </c>
      <c r="J252" s="122">
        <v>242</v>
      </c>
      <c r="K252" s="123"/>
      <c r="L252" s="124" t="str">
        <f t="shared" si="26"/>
        <v/>
      </c>
      <c r="M252" s="124" t="str">
        <f t="shared" si="27"/>
        <v/>
      </c>
      <c r="N252" s="125" t="str">
        <f t="shared" si="28"/>
        <v/>
      </c>
      <c r="O252" s="125" t="str">
        <f t="shared" si="29"/>
        <v/>
      </c>
      <c r="P252" s="126"/>
      <c r="Q252" s="132"/>
      <c r="R252" s="132"/>
      <c r="S252" s="132"/>
      <c r="T252" s="132"/>
      <c r="U252" s="132"/>
      <c r="V252" s="132"/>
      <c r="W252" s="132"/>
      <c r="X252" s="132"/>
      <c r="Y252" s="132"/>
      <c r="Z252" s="132"/>
      <c r="AA252" s="132"/>
      <c r="AB252" s="132"/>
      <c r="AC252" s="132"/>
      <c r="AD252" s="132"/>
      <c r="AE252" s="129">
        <f t="shared" si="31"/>
        <v>0</v>
      </c>
      <c r="AF252" s="129">
        <f t="shared" si="31"/>
        <v>0</v>
      </c>
      <c r="AG252" s="130"/>
      <c r="AH252" s="131">
        <f t="shared" si="30"/>
        <v>0</v>
      </c>
    </row>
    <row r="253" spans="1:34" ht="13.5">
      <c r="A253" s="112" t="str">
        <f>IF(Base!B251="","",Base!B251)</f>
        <v>16.268.829-4</v>
      </c>
      <c r="B253" s="112" t="str">
        <f>IF(Base!F251="","",Base!F251)</f>
        <v>ALBERTO  MORALES  DIAZ</v>
      </c>
      <c r="C253" s="112" t="str">
        <f>IF(Base!I251="","",Base!I251)</f>
        <v>Linea 6</v>
      </c>
      <c r="D253" s="113" t="str">
        <f>IF(Base!J251="","",Base!J251)</f>
        <v>Etiquetador</v>
      </c>
      <c r="E253" s="112">
        <f>IF(Base!H251="","",Base!H251)</f>
        <v>1050610</v>
      </c>
      <c r="J253" s="122">
        <v>243</v>
      </c>
      <c r="K253" s="123"/>
      <c r="L253" s="124" t="str">
        <f t="shared" si="26"/>
        <v/>
      </c>
      <c r="M253" s="124" t="str">
        <f t="shared" si="27"/>
        <v/>
      </c>
      <c r="N253" s="125" t="str">
        <f t="shared" si="28"/>
        <v/>
      </c>
      <c r="O253" s="125" t="str">
        <f t="shared" si="29"/>
        <v/>
      </c>
      <c r="P253" s="126"/>
      <c r="Q253" s="132"/>
      <c r="R253" s="122"/>
      <c r="S253" s="132"/>
      <c r="T253" s="122"/>
      <c r="U253" s="132"/>
      <c r="V253" s="122"/>
      <c r="W253" s="132"/>
      <c r="X253" s="122"/>
      <c r="Y253" s="132"/>
      <c r="Z253" s="122"/>
      <c r="AA253" s="132"/>
      <c r="AB253" s="122"/>
      <c r="AC253" s="132"/>
      <c r="AD253" s="122"/>
      <c r="AE253" s="129">
        <f t="shared" si="31"/>
        <v>0</v>
      </c>
      <c r="AF253" s="129">
        <f t="shared" si="31"/>
        <v>0</v>
      </c>
      <c r="AG253" s="130"/>
      <c r="AH253" s="131">
        <f t="shared" si="30"/>
        <v>0</v>
      </c>
    </row>
    <row r="254" spans="1:34" ht="13.5">
      <c r="A254" s="112" t="str">
        <f>IF(Base!B252="","",Base!B252)</f>
        <v>5.738.427-1</v>
      </c>
      <c r="B254" s="112" t="str">
        <f>IF(Base!F252="","",Base!F252)</f>
        <v>RAÚL   MARTINEZ  VASQUEZ</v>
      </c>
      <c r="C254" s="112" t="str">
        <f>IF(Base!I252="","",Base!I252)</f>
        <v>Aseo</v>
      </c>
      <c r="D254" s="113" t="str">
        <f>IF(Base!J252="","",Base!J252)</f>
        <v>Aseo</v>
      </c>
      <c r="E254" s="112">
        <f>IF(Base!H252="","",Base!H252)</f>
        <v>1050603</v>
      </c>
      <c r="J254" s="122">
        <v>244</v>
      </c>
      <c r="K254" s="123"/>
      <c r="L254" s="124" t="str">
        <f t="shared" si="26"/>
        <v/>
      </c>
      <c r="M254" s="124" t="str">
        <f t="shared" si="27"/>
        <v/>
      </c>
      <c r="N254" s="125" t="str">
        <f t="shared" si="28"/>
        <v/>
      </c>
      <c r="O254" s="125" t="str">
        <f t="shared" si="29"/>
        <v/>
      </c>
      <c r="P254" s="126"/>
      <c r="Q254" s="132"/>
      <c r="R254" s="122"/>
      <c r="S254" s="132"/>
      <c r="T254" s="122"/>
      <c r="U254" s="132"/>
      <c r="V254" s="122"/>
      <c r="W254" s="132"/>
      <c r="X254" s="122"/>
      <c r="Y254" s="132"/>
      <c r="Z254" s="122"/>
      <c r="AA254" s="132"/>
      <c r="AB254" s="122"/>
      <c r="AC254" s="132"/>
      <c r="AD254" s="122"/>
      <c r="AE254" s="129">
        <f t="shared" si="31"/>
        <v>0</v>
      </c>
      <c r="AF254" s="129">
        <f t="shared" si="31"/>
        <v>0</v>
      </c>
      <c r="AG254" s="130"/>
      <c r="AH254" s="131">
        <f t="shared" si="30"/>
        <v>0</v>
      </c>
    </row>
    <row r="255" spans="1:34" ht="13.5">
      <c r="A255" s="112" t="str">
        <f>IF(Base!B253="","",Base!B253)</f>
        <v>18.364.293-6</v>
      </c>
      <c r="B255" s="112" t="str">
        <f>IF(Base!F253="","",Base!F253)</f>
        <v>CRISTOPHER ANDRES ZUÑIGA CACERES</v>
      </c>
      <c r="C255" s="112" t="str">
        <f>IF(Base!I253="","",Base!I253)</f>
        <v/>
      </c>
      <c r="D255" s="113" t="str">
        <f>IF(Base!J253="","",Base!J253)</f>
        <v/>
      </c>
      <c r="E255" s="112" t="str">
        <f>IF(Base!H253="","",Base!H253)</f>
        <v/>
      </c>
      <c r="J255" s="122">
        <v>245</v>
      </c>
      <c r="K255" s="123"/>
      <c r="L255" s="124" t="str">
        <f t="shared" si="26"/>
        <v/>
      </c>
      <c r="M255" s="124" t="str">
        <f t="shared" si="27"/>
        <v/>
      </c>
      <c r="N255" s="125" t="str">
        <f t="shared" si="28"/>
        <v/>
      </c>
      <c r="O255" s="125" t="str">
        <f t="shared" si="29"/>
        <v/>
      </c>
      <c r="P255" s="126"/>
      <c r="Q255" s="132"/>
      <c r="R255" s="122"/>
      <c r="S255" s="132"/>
      <c r="T255" s="122"/>
      <c r="U255" s="132"/>
      <c r="V255" s="122"/>
      <c r="W255" s="132"/>
      <c r="X255" s="122"/>
      <c r="Y255" s="132"/>
      <c r="Z255" s="122"/>
      <c r="AA255" s="132"/>
      <c r="AB255" s="122"/>
      <c r="AC255" s="132"/>
      <c r="AD255" s="122"/>
      <c r="AE255" s="129">
        <f t="shared" si="31"/>
        <v>0</v>
      </c>
      <c r="AF255" s="129">
        <f t="shared" si="31"/>
        <v>0</v>
      </c>
      <c r="AG255" s="130"/>
      <c r="AH255" s="131">
        <f t="shared" si="30"/>
        <v>0</v>
      </c>
    </row>
    <row r="256" spans="1:34" ht="13.5">
      <c r="A256" s="112" t="str">
        <f>IF(Base!B254="","",Base!B254)</f>
        <v>18.045.411-k</v>
      </c>
      <c r="B256" s="112" t="str">
        <f>IF(Base!F254="","",Base!F254)</f>
        <v>RICARDO ANDRES GONZALES GONZALES</v>
      </c>
      <c r="C256" s="112" t="str">
        <f>IF(Base!I254="","",Base!I254)</f>
        <v/>
      </c>
      <c r="D256" s="113" t="str">
        <f>IF(Base!J254="","",Base!J254)</f>
        <v/>
      </c>
      <c r="E256" s="112" t="str">
        <f>IF(Base!H254="","",Base!H254)</f>
        <v/>
      </c>
      <c r="J256" s="122">
        <v>246</v>
      </c>
      <c r="K256" s="123"/>
      <c r="L256" s="124" t="str">
        <f t="shared" si="26"/>
        <v/>
      </c>
      <c r="M256" s="124" t="str">
        <f t="shared" si="27"/>
        <v/>
      </c>
      <c r="N256" s="125" t="str">
        <f t="shared" si="28"/>
        <v/>
      </c>
      <c r="O256" s="125" t="str">
        <f t="shared" si="29"/>
        <v/>
      </c>
      <c r="P256" s="126"/>
      <c r="Q256" s="132"/>
      <c r="R256" s="132"/>
      <c r="S256" s="132"/>
      <c r="T256" s="132"/>
      <c r="U256" s="132"/>
      <c r="V256" s="132"/>
      <c r="W256" s="132"/>
      <c r="X256" s="132"/>
      <c r="Y256" s="132"/>
      <c r="Z256" s="132"/>
      <c r="AA256" s="132"/>
      <c r="AB256" s="132"/>
      <c r="AC256" s="132"/>
      <c r="AD256" s="132"/>
      <c r="AE256" s="129">
        <f t="shared" si="31"/>
        <v>0</v>
      </c>
      <c r="AF256" s="129">
        <f t="shared" si="31"/>
        <v>0</v>
      </c>
      <c r="AG256" s="130"/>
      <c r="AH256" s="131">
        <f t="shared" si="30"/>
        <v>0</v>
      </c>
    </row>
    <row r="257" spans="1:34" ht="13.5">
      <c r="A257" s="112" t="str">
        <f>IF(Base!B255="","",Base!B255)</f>
        <v>18.187.438-4</v>
      </c>
      <c r="B257" s="112" t="str">
        <f>IF(Base!F255="","",Base!F255)</f>
        <v>NICOLAS FRANCISCO GAVELO DEVIA</v>
      </c>
      <c r="C257" s="112" t="str">
        <f>IF(Base!I255="","",Base!I255)</f>
        <v/>
      </c>
      <c r="D257" s="113" t="str">
        <f>IF(Base!J255="","",Base!J255)</f>
        <v/>
      </c>
      <c r="E257" s="112" t="str">
        <f>IF(Base!H255="","",Base!H255)</f>
        <v/>
      </c>
      <c r="J257" s="122">
        <v>247</v>
      </c>
      <c r="K257" s="123"/>
      <c r="L257" s="124" t="str">
        <f t="shared" si="26"/>
        <v/>
      </c>
      <c r="M257" s="124" t="str">
        <f t="shared" si="27"/>
        <v/>
      </c>
      <c r="N257" s="125" t="str">
        <f t="shared" si="28"/>
        <v/>
      </c>
      <c r="O257" s="125" t="str">
        <f t="shared" si="29"/>
        <v/>
      </c>
      <c r="P257" s="126"/>
      <c r="Q257" s="132"/>
      <c r="R257" s="132"/>
      <c r="S257" s="132"/>
      <c r="T257" s="132"/>
      <c r="U257" s="132"/>
      <c r="V257" s="132"/>
      <c r="W257" s="132"/>
      <c r="X257" s="132"/>
      <c r="Y257" s="132"/>
      <c r="Z257" s="132"/>
      <c r="AA257" s="132"/>
      <c r="AB257" s="132"/>
      <c r="AC257" s="132"/>
      <c r="AD257" s="132"/>
      <c r="AE257" s="129">
        <f t="shared" si="31"/>
        <v>0</v>
      </c>
      <c r="AF257" s="129">
        <f t="shared" si="31"/>
        <v>0</v>
      </c>
      <c r="AG257" s="130"/>
      <c r="AH257" s="131">
        <f t="shared" si="30"/>
        <v>0</v>
      </c>
    </row>
    <row r="258" spans="1:34" ht="13.5">
      <c r="A258" s="112" t="str">
        <f>IF(Base!B256="","",Base!B256)</f>
        <v>17.546.614-2</v>
      </c>
      <c r="B258" s="112" t="str">
        <f>IF(Base!F256="","",Base!F256)</f>
        <v>ISAAC MARTINEZ</v>
      </c>
      <c r="C258" s="112" t="str">
        <f>IF(Base!I256="","",Base!I256)</f>
        <v/>
      </c>
      <c r="D258" s="113" t="str">
        <f>IF(Base!J256="","",Base!J256)</f>
        <v/>
      </c>
      <c r="E258" s="112">
        <f>IF(Base!H256="","",Base!H256)</f>
        <v>1050633</v>
      </c>
      <c r="J258" s="122">
        <v>248</v>
      </c>
      <c r="K258" s="123"/>
      <c r="L258" s="124" t="str">
        <f t="shared" si="26"/>
        <v/>
      </c>
      <c r="M258" s="124" t="str">
        <f t="shared" si="27"/>
        <v/>
      </c>
      <c r="N258" s="125" t="str">
        <f t="shared" si="28"/>
        <v/>
      </c>
      <c r="O258" s="125" t="str">
        <f t="shared" si="29"/>
        <v/>
      </c>
      <c r="P258" s="126"/>
      <c r="Q258" s="132"/>
      <c r="R258" s="122"/>
      <c r="S258" s="132"/>
      <c r="T258" s="122"/>
      <c r="U258" s="132"/>
      <c r="V258" s="122"/>
      <c r="W258" s="132"/>
      <c r="X258" s="122"/>
      <c r="Y258" s="132"/>
      <c r="Z258" s="122"/>
      <c r="AA258" s="132"/>
      <c r="AB258" s="122"/>
      <c r="AC258" s="132"/>
      <c r="AD258" s="122"/>
      <c r="AE258" s="129">
        <f t="shared" si="31"/>
        <v>0</v>
      </c>
      <c r="AF258" s="129">
        <f t="shared" si="31"/>
        <v>0</v>
      </c>
      <c r="AG258" s="130"/>
      <c r="AH258" s="131">
        <f t="shared" si="30"/>
        <v>0</v>
      </c>
    </row>
    <row r="259" spans="1:34" ht="13.5">
      <c r="A259" s="112" t="str">
        <f>IF(Base!B257="","",Base!B257)</f>
        <v>14005685-7</v>
      </c>
      <c r="B259" s="112" t="str">
        <f>IF(Base!F257="","",Base!F257)</f>
        <v>NICOLAS NARVAI ZUBICUETA</v>
      </c>
      <c r="C259" s="112" t="str">
        <f>IF(Base!I257="","",Base!I257)</f>
        <v/>
      </c>
      <c r="D259" s="113" t="str">
        <f>IF(Base!J257="","",Base!J257)</f>
        <v/>
      </c>
      <c r="E259" s="112">
        <f>IF(Base!H257="","",Base!H257)</f>
        <v>1050633</v>
      </c>
      <c r="J259" s="122">
        <v>249</v>
      </c>
      <c r="K259" s="123"/>
      <c r="L259" s="124" t="str">
        <f t="shared" si="26"/>
        <v/>
      </c>
      <c r="M259" s="124" t="str">
        <f t="shared" si="27"/>
        <v/>
      </c>
      <c r="N259" s="125" t="str">
        <f t="shared" si="28"/>
        <v/>
      </c>
      <c r="O259" s="125" t="str">
        <f t="shared" si="29"/>
        <v/>
      </c>
      <c r="P259" s="126"/>
      <c r="Q259" s="132"/>
      <c r="R259" s="122"/>
      <c r="S259" s="132"/>
      <c r="T259" s="122"/>
      <c r="U259" s="132"/>
      <c r="V259" s="122"/>
      <c r="W259" s="132"/>
      <c r="X259" s="122"/>
      <c r="Y259" s="132"/>
      <c r="Z259" s="122"/>
      <c r="AA259" s="132"/>
      <c r="AB259" s="122"/>
      <c r="AC259" s="132"/>
      <c r="AD259" s="122"/>
      <c r="AE259" s="129">
        <f t="shared" si="31"/>
        <v>0</v>
      </c>
      <c r="AF259" s="129">
        <f t="shared" si="31"/>
        <v>0</v>
      </c>
      <c r="AG259" s="130"/>
      <c r="AH259" s="131">
        <f t="shared" si="30"/>
        <v>0</v>
      </c>
    </row>
    <row r="260" spans="1:34" ht="13.5">
      <c r="A260" s="112" t="str">
        <f>IF(Base!B258="","",Base!B258)</f>
        <v>23.040.236-1</v>
      </c>
      <c r="B260" s="112" t="str">
        <f>IF(Base!F258="","",Base!F258)</f>
        <v>SEBASTIAN PEREZ</v>
      </c>
      <c r="C260" s="112" t="str">
        <f>IF(Base!I258="","",Base!I258)</f>
        <v/>
      </c>
      <c r="D260" s="113" t="str">
        <f>IF(Base!J258="","",Base!J258)</f>
        <v/>
      </c>
      <c r="E260" s="112">
        <f>IF(Base!H258="","",Base!H258)</f>
        <v>1050506</v>
      </c>
      <c r="J260" s="122">
        <v>250</v>
      </c>
      <c r="K260" s="123"/>
      <c r="L260" s="124" t="str">
        <f t="shared" si="26"/>
        <v/>
      </c>
      <c r="M260" s="124" t="str">
        <f t="shared" si="27"/>
        <v/>
      </c>
      <c r="N260" s="125" t="str">
        <f t="shared" si="28"/>
        <v/>
      </c>
      <c r="O260" s="125" t="str">
        <f t="shared" si="29"/>
        <v/>
      </c>
      <c r="P260" s="126"/>
      <c r="Q260" s="132"/>
      <c r="R260" s="122"/>
      <c r="S260" s="132"/>
      <c r="T260" s="122"/>
      <c r="U260" s="132"/>
      <c r="V260" s="122"/>
      <c r="W260" s="132"/>
      <c r="X260" s="122"/>
      <c r="Y260" s="132"/>
      <c r="Z260" s="122"/>
      <c r="AA260" s="132"/>
      <c r="AB260" s="122"/>
      <c r="AC260" s="132"/>
      <c r="AD260" s="122"/>
      <c r="AE260" s="129">
        <f t="shared" si="31"/>
        <v>0</v>
      </c>
      <c r="AF260" s="129">
        <f t="shared" si="31"/>
        <v>0</v>
      </c>
      <c r="AG260" s="130"/>
      <c r="AH260" s="131">
        <f t="shared" si="30"/>
        <v>0</v>
      </c>
    </row>
    <row r="261" spans="1:34">
      <c r="A261" s="112" t="str">
        <f>IF(Base!B259="","",Base!B259)</f>
        <v/>
      </c>
      <c r="B261" s="112" t="str">
        <f>IF(Base!F259="","",Base!F259)</f>
        <v/>
      </c>
      <c r="C261" s="112" t="str">
        <f>IF(Base!I259="","",Base!I259)</f>
        <v/>
      </c>
      <c r="D261" s="113" t="str">
        <f>IF(Base!J259="","",Base!J259)</f>
        <v/>
      </c>
      <c r="E261" s="112" t="str">
        <f>IF(Base!H259="","",Base!H259)</f>
        <v/>
      </c>
    </row>
    <row r="262" spans="1:34">
      <c r="A262" s="112" t="str">
        <f>IF(Base!B260="","",Base!B260)</f>
        <v/>
      </c>
      <c r="B262" s="112" t="str">
        <f>IF(Base!F260="","",Base!F260)</f>
        <v/>
      </c>
      <c r="C262" s="112" t="str">
        <f>IF(Base!I260="","",Base!I260)</f>
        <v/>
      </c>
      <c r="D262" s="113" t="str">
        <f>IF(Base!J260="","",Base!J260)</f>
        <v/>
      </c>
      <c r="E262" s="112" t="str">
        <f>IF(Base!H260="","",Base!H260)</f>
        <v/>
      </c>
    </row>
    <row r="263" spans="1:34">
      <c r="A263" s="112" t="str">
        <f>IF(Base!B261="","",Base!B261)</f>
        <v/>
      </c>
      <c r="B263" s="112" t="str">
        <f>IF(Base!F261="","",Base!F261)</f>
        <v/>
      </c>
      <c r="C263" s="112" t="str">
        <f>IF(Base!I261="","",Base!I261)</f>
        <v/>
      </c>
      <c r="D263" s="113" t="str">
        <f>IF(Base!J261="","",Base!J261)</f>
        <v/>
      </c>
      <c r="E263" s="112" t="str">
        <f>IF(Base!H261="","",Base!H261)</f>
        <v/>
      </c>
    </row>
    <row r="264" spans="1:34">
      <c r="A264" s="112" t="str">
        <f>IF(Base!B262="","",Base!B262)</f>
        <v/>
      </c>
      <c r="B264" s="112" t="str">
        <f>IF(Base!F262="","",Base!F262)</f>
        <v/>
      </c>
      <c r="C264" s="112" t="str">
        <f>IF(Base!I262="","",Base!I262)</f>
        <v/>
      </c>
      <c r="D264" s="113" t="str">
        <f>IF(Base!J262="","",Base!J262)</f>
        <v/>
      </c>
      <c r="E264" s="112" t="str">
        <f>IF(Base!H262="","",Base!H262)</f>
        <v/>
      </c>
    </row>
    <row r="265" spans="1:34">
      <c r="A265" s="112" t="str">
        <f>IF(Base!B263="","",Base!B263)</f>
        <v/>
      </c>
      <c r="B265" s="112" t="str">
        <f>IF(Base!F263="","",Base!F263)</f>
        <v/>
      </c>
      <c r="C265" s="112" t="str">
        <f>IF(Base!I263="","",Base!I263)</f>
        <v/>
      </c>
      <c r="D265" s="113" t="str">
        <f>IF(Base!J263="","",Base!J263)</f>
        <v/>
      </c>
      <c r="E265" s="112" t="str">
        <f>IF(Base!H263="","",Base!H263)</f>
        <v/>
      </c>
    </row>
    <row r="266" spans="1:34">
      <c r="A266" s="112" t="str">
        <f>IF(Base!B264="","",Base!B264)</f>
        <v/>
      </c>
      <c r="B266" s="112" t="str">
        <f>IF(Base!F264="","",Base!F264)</f>
        <v/>
      </c>
      <c r="C266" s="112" t="str">
        <f>IF(Base!I264="","",Base!I264)</f>
        <v/>
      </c>
      <c r="D266" s="113" t="str">
        <f>IF(Base!J264="","",Base!J264)</f>
        <v/>
      </c>
      <c r="E266" s="112" t="str">
        <f>IF(Base!H264="","",Base!H264)</f>
        <v/>
      </c>
    </row>
    <row r="267" spans="1:34">
      <c r="A267" s="112" t="str">
        <f>IF(Base!B265="","",Base!B265)</f>
        <v/>
      </c>
      <c r="B267" s="112" t="str">
        <f>IF(Base!F265="","",Base!F265)</f>
        <v/>
      </c>
      <c r="C267" s="112" t="str">
        <f>IF(Base!I265="","",Base!I265)</f>
        <v/>
      </c>
      <c r="D267" s="113" t="str">
        <f>IF(Base!J265="","",Base!J265)</f>
        <v/>
      </c>
      <c r="E267" s="112" t="str">
        <f>IF(Base!H265="","",Base!H265)</f>
        <v/>
      </c>
    </row>
    <row r="268" spans="1:34">
      <c r="A268" s="112" t="str">
        <f>IF(Base!B266="","",Base!B266)</f>
        <v/>
      </c>
      <c r="B268" s="112" t="str">
        <f>IF(Base!F266="","",Base!F266)</f>
        <v/>
      </c>
      <c r="C268" s="112" t="str">
        <f>IF(Base!I266="","",Base!I266)</f>
        <v/>
      </c>
      <c r="D268" s="113" t="str">
        <f>IF(Base!J266="","",Base!J266)</f>
        <v/>
      </c>
      <c r="E268" s="112" t="str">
        <f>IF(Base!H266="","",Base!H266)</f>
        <v/>
      </c>
    </row>
    <row r="269" spans="1:34">
      <c r="A269" s="112" t="str">
        <f>IF(Base!B267="","",Base!B267)</f>
        <v/>
      </c>
      <c r="B269" s="112" t="str">
        <f>IF(Base!F267="","",Base!F267)</f>
        <v/>
      </c>
      <c r="C269" s="112" t="str">
        <f>IF(Base!I267="","",Base!I267)</f>
        <v/>
      </c>
      <c r="D269" s="113" t="str">
        <f>IF(Base!J267="","",Base!J267)</f>
        <v/>
      </c>
      <c r="E269" s="112" t="str">
        <f>IF(Base!H267="","",Base!H267)</f>
        <v/>
      </c>
    </row>
    <row r="270" spans="1:34">
      <c r="A270" s="112" t="str">
        <f>IF(Base!B268="","",Base!B268)</f>
        <v/>
      </c>
      <c r="B270" s="112" t="str">
        <f>IF(Base!F268="","",Base!F268)</f>
        <v/>
      </c>
      <c r="C270" s="112" t="str">
        <f>IF(Base!I268="","",Base!I268)</f>
        <v/>
      </c>
      <c r="D270" s="113" t="str">
        <f>IF(Base!J268="","",Base!J268)</f>
        <v/>
      </c>
      <c r="E270" s="112" t="str">
        <f>IF(Base!H268="","",Base!H268)</f>
        <v/>
      </c>
    </row>
    <row r="271" spans="1:34">
      <c r="A271" s="112" t="str">
        <f>IF(Base!B269="","",Base!B269)</f>
        <v/>
      </c>
      <c r="B271" s="112" t="str">
        <f>IF(Base!F269="","",Base!F269)</f>
        <v/>
      </c>
      <c r="C271" s="112" t="str">
        <f>IF(Base!I269="","",Base!I269)</f>
        <v/>
      </c>
      <c r="D271" s="113" t="str">
        <f>IF(Base!J269="","",Base!J269)</f>
        <v/>
      </c>
      <c r="E271" s="112" t="str">
        <f>IF(Base!H269="","",Base!H269)</f>
        <v/>
      </c>
    </row>
    <row r="272" spans="1:34">
      <c r="A272" s="112" t="str">
        <f>IF(Base!B270="","",Base!B270)</f>
        <v/>
      </c>
      <c r="B272" s="112" t="str">
        <f>IF(Base!F270="","",Base!F270)</f>
        <v/>
      </c>
      <c r="C272" s="112" t="str">
        <f>IF(Base!I270="","",Base!I270)</f>
        <v/>
      </c>
      <c r="D272" s="113" t="str">
        <f>IF(Base!J270="","",Base!J270)</f>
        <v/>
      </c>
      <c r="E272" s="112" t="str">
        <f>IF(Base!H270="","",Base!H270)</f>
        <v/>
      </c>
    </row>
    <row r="273" spans="1:5">
      <c r="A273" s="112" t="str">
        <f>IF(Base!B271="","",Base!B271)</f>
        <v/>
      </c>
      <c r="B273" s="112" t="str">
        <f>IF(Base!F271="","",Base!F271)</f>
        <v/>
      </c>
      <c r="C273" s="112" t="str">
        <f>IF(Base!I271="","",Base!I271)</f>
        <v/>
      </c>
      <c r="D273" s="113" t="str">
        <f>IF(Base!J271="","",Base!J271)</f>
        <v/>
      </c>
      <c r="E273" s="112" t="str">
        <f>IF(Base!H271="","",Base!H271)</f>
        <v/>
      </c>
    </row>
    <row r="274" spans="1:5">
      <c r="A274" s="112" t="str">
        <f>IF(Base!B272="","",Base!B272)</f>
        <v/>
      </c>
      <c r="B274" s="112" t="str">
        <f>IF(Base!F272="","",Base!F272)</f>
        <v/>
      </c>
      <c r="C274" s="112" t="str">
        <f>IF(Base!I272="","",Base!I272)</f>
        <v/>
      </c>
      <c r="D274" s="113" t="str">
        <f>IF(Base!J272="","",Base!J272)</f>
        <v/>
      </c>
      <c r="E274" s="112" t="str">
        <f>IF(Base!H272="","",Base!H272)</f>
        <v/>
      </c>
    </row>
    <row r="275" spans="1:5">
      <c r="A275" s="112" t="str">
        <f>IF(Base!B273="","",Base!B273)</f>
        <v/>
      </c>
      <c r="B275" s="112" t="str">
        <f>IF(Base!F273="","",Base!F273)</f>
        <v/>
      </c>
      <c r="C275" s="112" t="str">
        <f>IF(Base!I273="","",Base!I273)</f>
        <v/>
      </c>
      <c r="D275" s="113" t="str">
        <f>IF(Base!J273="","",Base!J273)</f>
        <v/>
      </c>
      <c r="E275" s="112" t="str">
        <f>IF(Base!H273="","",Base!H273)</f>
        <v/>
      </c>
    </row>
    <row r="276" spans="1:5">
      <c r="A276" s="112" t="str">
        <f>IF(Base!B274="","",Base!B274)</f>
        <v/>
      </c>
      <c r="B276" s="112" t="str">
        <f>IF(Base!F274="","",Base!F274)</f>
        <v/>
      </c>
      <c r="C276" s="112" t="str">
        <f>IF(Base!I274="","",Base!I274)</f>
        <v/>
      </c>
      <c r="D276" s="113" t="str">
        <f>IF(Base!J274="","",Base!J274)</f>
        <v/>
      </c>
      <c r="E276" s="112" t="str">
        <f>IF(Base!H274="","",Base!H274)</f>
        <v/>
      </c>
    </row>
    <row r="277" spans="1:5">
      <c r="A277" s="112" t="str">
        <f>IF(Base!B275="","",Base!B275)</f>
        <v/>
      </c>
      <c r="B277" s="112" t="str">
        <f>IF(Base!F275="","",Base!F275)</f>
        <v/>
      </c>
      <c r="C277" s="112" t="str">
        <f>IF(Base!I275="","",Base!I275)</f>
        <v/>
      </c>
      <c r="D277" s="113" t="str">
        <f>IF(Base!J275="","",Base!J275)</f>
        <v/>
      </c>
      <c r="E277" s="112" t="str">
        <f>IF(Base!H275="","",Base!H275)</f>
        <v/>
      </c>
    </row>
    <row r="278" spans="1:5">
      <c r="A278" s="112" t="str">
        <f>IF(Base!B276="","",Base!B276)</f>
        <v/>
      </c>
      <c r="B278" s="112" t="str">
        <f>IF(Base!F276="","",Base!F276)</f>
        <v/>
      </c>
      <c r="C278" s="112" t="str">
        <f>IF(Base!I276="","",Base!I276)</f>
        <v/>
      </c>
      <c r="D278" s="113" t="str">
        <f>IF(Base!J276="","",Base!J276)</f>
        <v/>
      </c>
      <c r="E278" s="112" t="str">
        <f>IF(Base!H276="","",Base!H276)</f>
        <v/>
      </c>
    </row>
    <row r="279" spans="1:5">
      <c r="A279" s="112" t="str">
        <f>IF(Base!B277="","",Base!B277)</f>
        <v/>
      </c>
      <c r="B279" s="112" t="str">
        <f>IF(Base!F277="","",Base!F277)</f>
        <v/>
      </c>
      <c r="C279" s="112" t="str">
        <f>IF(Base!I277="","",Base!I277)</f>
        <v/>
      </c>
      <c r="D279" s="113" t="str">
        <f>IF(Base!J277="","",Base!J277)</f>
        <v/>
      </c>
      <c r="E279" s="112" t="str">
        <f>IF(Base!H277="","",Base!H277)</f>
        <v/>
      </c>
    </row>
    <row r="280" spans="1:5">
      <c r="A280" s="112" t="str">
        <f>IF(Base!B278="","",Base!B278)</f>
        <v/>
      </c>
      <c r="B280" s="112" t="str">
        <f>IF(Base!F278="","",Base!F278)</f>
        <v/>
      </c>
      <c r="C280" s="112" t="str">
        <f>IF(Base!I278="","",Base!I278)</f>
        <v/>
      </c>
      <c r="D280" s="113" t="str">
        <f>IF(Base!J278="","",Base!J278)</f>
        <v/>
      </c>
      <c r="E280" s="112" t="str">
        <f>IF(Base!H278="","",Base!H278)</f>
        <v/>
      </c>
    </row>
    <row r="281" spans="1:5">
      <c r="A281" s="112" t="str">
        <f>IF(Base!B279="","",Base!B279)</f>
        <v/>
      </c>
      <c r="B281" s="112" t="str">
        <f>IF(Base!F279="","",Base!F279)</f>
        <v/>
      </c>
      <c r="C281" s="112" t="str">
        <f>IF(Base!I279="","",Base!I279)</f>
        <v/>
      </c>
      <c r="D281" s="113" t="str">
        <f>IF(Base!J279="","",Base!J279)</f>
        <v/>
      </c>
      <c r="E281" s="112" t="str">
        <f>IF(Base!H279="","",Base!H279)</f>
        <v/>
      </c>
    </row>
    <row r="282" spans="1:5">
      <c r="A282" s="112" t="str">
        <f>IF(Base!B280="","",Base!B280)</f>
        <v/>
      </c>
      <c r="B282" s="112" t="str">
        <f>IF(Base!F280="","",Base!F280)</f>
        <v/>
      </c>
      <c r="C282" s="112" t="str">
        <f>IF(Base!I280="","",Base!I280)</f>
        <v/>
      </c>
      <c r="D282" s="113" t="str">
        <f>IF(Base!J280="","",Base!J280)</f>
        <v/>
      </c>
      <c r="E282" s="112" t="str">
        <f>IF(Base!H280="","",Base!H280)</f>
        <v/>
      </c>
    </row>
    <row r="283" spans="1:5">
      <c r="A283" s="112" t="str">
        <f>IF(Base!B281="","",Base!B281)</f>
        <v/>
      </c>
      <c r="B283" s="112" t="str">
        <f>IF(Base!F281="","",Base!F281)</f>
        <v/>
      </c>
      <c r="C283" s="112" t="str">
        <f>IF(Base!I281="","",Base!I281)</f>
        <v/>
      </c>
      <c r="D283" s="113" t="str">
        <f>IF(Base!J281="","",Base!J281)</f>
        <v/>
      </c>
      <c r="E283" s="112" t="str">
        <f>IF(Base!H281="","",Base!H281)</f>
        <v/>
      </c>
    </row>
    <row r="284" spans="1:5">
      <c r="A284" s="112" t="str">
        <f>IF(Base!B282="","",Base!B282)</f>
        <v/>
      </c>
      <c r="B284" s="112" t="str">
        <f>IF(Base!F282="","",Base!F282)</f>
        <v/>
      </c>
      <c r="C284" s="112" t="str">
        <f>IF(Base!I282="","",Base!I282)</f>
        <v/>
      </c>
      <c r="D284" s="113" t="str">
        <f>IF(Base!J282="","",Base!J282)</f>
        <v/>
      </c>
      <c r="E284" s="112" t="str">
        <f>IF(Base!H282="","",Base!H282)</f>
        <v/>
      </c>
    </row>
    <row r="285" spans="1:5">
      <c r="A285" s="112" t="str">
        <f>IF(Base!B283="","",Base!B283)</f>
        <v/>
      </c>
      <c r="B285" s="112" t="str">
        <f>IF(Base!F283="","",Base!F283)</f>
        <v/>
      </c>
      <c r="C285" s="112" t="str">
        <f>IF(Base!I283="","",Base!I283)</f>
        <v/>
      </c>
      <c r="D285" s="113" t="str">
        <f>IF(Base!J283="","",Base!J283)</f>
        <v/>
      </c>
      <c r="E285" s="112" t="str">
        <f>IF(Base!H283="","",Base!H283)</f>
        <v/>
      </c>
    </row>
    <row r="286" spans="1:5">
      <c r="A286" s="112" t="str">
        <f>IF(Base!B284="","",Base!B284)</f>
        <v/>
      </c>
      <c r="B286" s="112" t="str">
        <f>IF(Base!F284="","",Base!F284)</f>
        <v/>
      </c>
      <c r="C286" s="112" t="str">
        <f>IF(Base!I284="","",Base!I284)</f>
        <v/>
      </c>
      <c r="D286" s="113" t="str">
        <f>IF(Base!J284="","",Base!J284)</f>
        <v/>
      </c>
      <c r="E286" s="112" t="str">
        <f>IF(Base!H284="","",Base!H284)</f>
        <v/>
      </c>
    </row>
    <row r="287" spans="1:5">
      <c r="A287" s="112" t="str">
        <f>IF(Base!B285="","",Base!B285)</f>
        <v/>
      </c>
      <c r="B287" s="112" t="str">
        <f>IF(Base!F285="","",Base!F285)</f>
        <v/>
      </c>
      <c r="C287" s="112" t="str">
        <f>IF(Base!I285="","",Base!I285)</f>
        <v/>
      </c>
      <c r="D287" s="113" t="str">
        <f>IF(Base!J285="","",Base!J285)</f>
        <v/>
      </c>
      <c r="E287" s="112" t="str">
        <f>IF(Base!H285="","",Base!H285)</f>
        <v/>
      </c>
    </row>
    <row r="288" spans="1:5">
      <c r="A288" s="112" t="str">
        <f>IF(Base!B286="","",Base!B286)</f>
        <v/>
      </c>
      <c r="B288" s="112" t="str">
        <f>IF(Base!F286="","",Base!F286)</f>
        <v/>
      </c>
      <c r="C288" s="112" t="str">
        <f>IF(Base!I286="","",Base!I286)</f>
        <v/>
      </c>
      <c r="D288" s="113" t="str">
        <f>IF(Base!J286="","",Base!J286)</f>
        <v/>
      </c>
      <c r="E288" s="112" t="str">
        <f>IF(Base!H286="","",Base!H286)</f>
        <v/>
      </c>
    </row>
    <row r="289" spans="1:5">
      <c r="A289" s="112" t="str">
        <f>IF(Base!B287="","",Base!B287)</f>
        <v/>
      </c>
      <c r="B289" s="112" t="str">
        <f>IF(Base!F287="","",Base!F287)</f>
        <v/>
      </c>
      <c r="C289" s="112" t="str">
        <f>IF(Base!I287="","",Base!I287)</f>
        <v/>
      </c>
      <c r="D289" s="113" t="str">
        <f>IF(Base!J287="","",Base!J287)</f>
        <v/>
      </c>
      <c r="E289" s="112" t="str">
        <f>IF(Base!H287="","",Base!H287)</f>
        <v/>
      </c>
    </row>
    <row r="290" spans="1:5">
      <c r="A290" s="112" t="str">
        <f>IF(Base!B288="","",Base!B288)</f>
        <v/>
      </c>
      <c r="B290" s="112" t="str">
        <f>IF(Base!F288="","",Base!F288)</f>
        <v/>
      </c>
      <c r="C290" s="112" t="str">
        <f>IF(Base!I288="","",Base!I288)</f>
        <v/>
      </c>
      <c r="D290" s="113" t="str">
        <f>IF(Base!J288="","",Base!J288)</f>
        <v/>
      </c>
      <c r="E290" s="112" t="str">
        <f>IF(Base!H288="","",Base!H288)</f>
        <v/>
      </c>
    </row>
    <row r="291" spans="1:5">
      <c r="A291" s="112" t="str">
        <f>IF(Base!B289="","",Base!B289)</f>
        <v/>
      </c>
      <c r="B291" s="112" t="str">
        <f>IF(Base!F289="","",Base!F289)</f>
        <v/>
      </c>
      <c r="C291" s="112" t="str">
        <f>IF(Base!I289="","",Base!I289)</f>
        <v/>
      </c>
      <c r="D291" s="113" t="str">
        <f>IF(Base!J289="","",Base!J289)</f>
        <v/>
      </c>
      <c r="E291" s="112" t="str">
        <f>IF(Base!H289="","",Base!H289)</f>
        <v/>
      </c>
    </row>
    <row r="292" spans="1:5">
      <c r="A292" s="112" t="str">
        <f>IF(Base!B290="","",Base!B290)</f>
        <v/>
      </c>
      <c r="B292" s="112" t="str">
        <f>IF(Base!F290="","",Base!F290)</f>
        <v/>
      </c>
      <c r="C292" s="112" t="str">
        <f>IF(Base!I290="","",Base!I290)</f>
        <v/>
      </c>
      <c r="D292" s="113" t="str">
        <f>IF(Base!J290="","",Base!J290)</f>
        <v/>
      </c>
      <c r="E292" s="112" t="str">
        <f>IF(Base!H290="","",Base!H290)</f>
        <v/>
      </c>
    </row>
    <row r="293" spans="1:5">
      <c r="A293" s="112" t="str">
        <f>IF(Base!B291="","",Base!B291)</f>
        <v/>
      </c>
      <c r="B293" s="112" t="str">
        <f>IF(Base!F291="","",Base!F291)</f>
        <v/>
      </c>
      <c r="C293" s="112" t="str">
        <f>IF(Base!I291="","",Base!I291)</f>
        <v/>
      </c>
      <c r="D293" s="113" t="str">
        <f>IF(Base!J291="","",Base!J291)</f>
        <v/>
      </c>
      <c r="E293" s="112" t="str">
        <f>IF(Base!H291="","",Base!H291)</f>
        <v/>
      </c>
    </row>
    <row r="294" spans="1:5">
      <c r="A294" s="112" t="str">
        <f>IF(Base!B292="","",Base!B292)</f>
        <v/>
      </c>
      <c r="B294" s="112" t="str">
        <f>IF(Base!F292="","",Base!F292)</f>
        <v/>
      </c>
      <c r="C294" s="112" t="str">
        <f>IF(Base!I292="","",Base!I292)</f>
        <v/>
      </c>
      <c r="D294" s="113" t="str">
        <f>IF(Base!J292="","",Base!J292)</f>
        <v/>
      </c>
      <c r="E294" s="112" t="str">
        <f>IF(Base!H292="","",Base!H292)</f>
        <v/>
      </c>
    </row>
    <row r="295" spans="1:5">
      <c r="A295" s="112" t="str">
        <f>IF(Base!B293="","",Base!B293)</f>
        <v/>
      </c>
      <c r="B295" s="112" t="str">
        <f>IF(Base!F293="","",Base!F293)</f>
        <v/>
      </c>
      <c r="C295" s="112" t="str">
        <f>IF(Base!I293="","",Base!I293)</f>
        <v/>
      </c>
      <c r="D295" s="113" t="str">
        <f>IF(Base!J293="","",Base!J293)</f>
        <v/>
      </c>
      <c r="E295" s="112" t="str">
        <f>IF(Base!H293="","",Base!H293)</f>
        <v/>
      </c>
    </row>
    <row r="296" spans="1:5">
      <c r="A296" s="112" t="str">
        <f>IF(Base!B294="","",Base!B294)</f>
        <v/>
      </c>
      <c r="B296" s="112" t="str">
        <f>IF(Base!F294="","",Base!F294)</f>
        <v/>
      </c>
      <c r="C296" s="112" t="str">
        <f>IF(Base!I294="","",Base!I294)</f>
        <v/>
      </c>
      <c r="D296" s="113" t="str">
        <f>IF(Base!J294="","",Base!J294)</f>
        <v/>
      </c>
      <c r="E296" s="112" t="str">
        <f>IF(Base!H294="","",Base!H294)</f>
        <v/>
      </c>
    </row>
    <row r="297" spans="1:5">
      <c r="A297" s="112" t="str">
        <f>IF(Base!B295="","",Base!B295)</f>
        <v/>
      </c>
      <c r="B297" s="112" t="str">
        <f>IF(Base!F295="","",Base!F295)</f>
        <v/>
      </c>
      <c r="C297" s="112" t="str">
        <f>IF(Base!I295="","",Base!I295)</f>
        <v/>
      </c>
      <c r="D297" s="113" t="str">
        <f>IF(Base!J295="","",Base!J295)</f>
        <v/>
      </c>
      <c r="E297" s="112" t="str">
        <f>IF(Base!H295="","",Base!H295)</f>
        <v/>
      </c>
    </row>
    <row r="298" spans="1:5">
      <c r="A298" s="112" t="str">
        <f>IF(Base!B296="","",Base!B296)</f>
        <v/>
      </c>
      <c r="B298" s="112" t="str">
        <f>IF(Base!F296="","",Base!F296)</f>
        <v/>
      </c>
      <c r="C298" s="112" t="str">
        <f>IF(Base!I296="","",Base!I296)</f>
        <v/>
      </c>
      <c r="D298" s="113" t="str">
        <f>IF(Base!J296="","",Base!J296)</f>
        <v/>
      </c>
      <c r="E298" s="112" t="str">
        <f>IF(Base!H296="","",Base!H296)</f>
        <v/>
      </c>
    </row>
    <row r="299" spans="1:5">
      <c r="A299" s="112" t="str">
        <f>IF(Base!B297="","",Base!B297)</f>
        <v/>
      </c>
      <c r="B299" s="112" t="str">
        <f>IF(Base!F297="","",Base!F297)</f>
        <v/>
      </c>
      <c r="C299" s="112" t="str">
        <f>IF(Base!I297="","",Base!I297)</f>
        <v/>
      </c>
      <c r="D299" s="113" t="str">
        <f>IF(Base!J297="","",Base!J297)</f>
        <v/>
      </c>
      <c r="E299" s="112" t="str">
        <f>IF(Base!H297="","",Base!H297)</f>
        <v/>
      </c>
    </row>
    <row r="300" spans="1:5">
      <c r="A300" s="112" t="str">
        <f>IF(Base!B298="","",Base!B298)</f>
        <v/>
      </c>
      <c r="B300" s="112" t="str">
        <f>IF(Base!F298="","",Base!F298)</f>
        <v/>
      </c>
      <c r="C300" s="112" t="str">
        <f>IF(Base!I298="","",Base!I298)</f>
        <v/>
      </c>
      <c r="D300" s="113" t="str">
        <f>IF(Base!J298="","",Base!J298)</f>
        <v/>
      </c>
      <c r="E300" s="112" t="str">
        <f>IF(Base!H298="","",Base!H298)</f>
        <v/>
      </c>
    </row>
    <row r="301" spans="1:5">
      <c r="A301" s="112" t="str">
        <f>IF(Base!B299="","",Base!B299)</f>
        <v/>
      </c>
      <c r="B301" s="112" t="str">
        <f>IF(Base!F299="","",Base!F299)</f>
        <v/>
      </c>
      <c r="C301" s="112" t="str">
        <f>IF(Base!I299="","",Base!I299)</f>
        <v/>
      </c>
      <c r="D301" s="113" t="str">
        <f>IF(Base!J299="","",Base!J299)</f>
        <v/>
      </c>
      <c r="E301" s="112" t="str">
        <f>IF(Base!H299="","",Base!H299)</f>
        <v/>
      </c>
    </row>
    <row r="302" spans="1:5">
      <c r="A302" s="112" t="str">
        <f>IF(Base!B300="","",Base!B300)</f>
        <v/>
      </c>
      <c r="B302" s="112" t="str">
        <f>IF(Base!F300="","",Base!F300)</f>
        <v/>
      </c>
      <c r="C302" s="112" t="str">
        <f>IF(Base!I300="","",Base!I300)</f>
        <v/>
      </c>
      <c r="D302" s="113" t="str">
        <f>IF(Base!J300="","",Base!J300)</f>
        <v/>
      </c>
      <c r="E302" s="112" t="str">
        <f>IF(Base!H300="","",Base!H300)</f>
        <v/>
      </c>
    </row>
    <row r="303" spans="1:5">
      <c r="A303" s="112" t="str">
        <f>IF(Base!B301="","",Base!B301)</f>
        <v/>
      </c>
      <c r="B303" s="112" t="str">
        <f>IF(Base!F301="","",Base!F301)</f>
        <v/>
      </c>
      <c r="C303" s="112" t="str">
        <f>IF(Base!I301="","",Base!I301)</f>
        <v/>
      </c>
      <c r="D303" s="113" t="str">
        <f>IF(Base!J301="","",Base!J301)</f>
        <v/>
      </c>
      <c r="E303" s="112" t="str">
        <f>IF(Base!H301="","",Base!H301)</f>
        <v/>
      </c>
    </row>
    <row r="304" spans="1:5">
      <c r="A304" s="112" t="str">
        <f>IF(Base!B302="","",Base!B302)</f>
        <v/>
      </c>
      <c r="B304" s="112" t="str">
        <f>IF(Base!F302="","",Base!F302)</f>
        <v/>
      </c>
      <c r="C304" s="112" t="str">
        <f>IF(Base!I302="","",Base!I302)</f>
        <v/>
      </c>
      <c r="D304" s="113" t="str">
        <f>IF(Base!J302="","",Base!J302)</f>
        <v/>
      </c>
      <c r="E304" s="112" t="str">
        <f>IF(Base!H302="","",Base!H302)</f>
        <v/>
      </c>
    </row>
    <row r="305" spans="1:5">
      <c r="A305" s="112" t="str">
        <f>IF(Base!B303="","",Base!B303)</f>
        <v/>
      </c>
      <c r="B305" s="112" t="str">
        <f>IF(Base!F303="","",Base!F303)</f>
        <v/>
      </c>
      <c r="C305" s="112" t="str">
        <f>IF(Base!I303="","",Base!I303)</f>
        <v/>
      </c>
      <c r="D305" s="113" t="str">
        <f>IF(Base!J303="","",Base!J303)</f>
        <v/>
      </c>
      <c r="E305" s="112" t="str">
        <f>IF(Base!H303="","",Base!H303)</f>
        <v/>
      </c>
    </row>
    <row r="306" spans="1:5">
      <c r="A306" s="112" t="str">
        <f>IF(Base!B304="","",Base!B304)</f>
        <v/>
      </c>
      <c r="B306" s="112" t="str">
        <f>IF(Base!F304="","",Base!F304)</f>
        <v/>
      </c>
      <c r="C306" s="112" t="str">
        <f>IF(Base!I304="","",Base!I304)</f>
        <v/>
      </c>
      <c r="D306" s="113" t="str">
        <f>IF(Base!J304="","",Base!J304)</f>
        <v/>
      </c>
      <c r="E306" s="112" t="str">
        <f>IF(Base!H304="","",Base!H304)</f>
        <v/>
      </c>
    </row>
    <row r="307" spans="1:5">
      <c r="A307" s="112" t="str">
        <f>IF(Base!B305="","",Base!B305)</f>
        <v/>
      </c>
      <c r="B307" s="112" t="str">
        <f>IF(Base!F305="","",Base!F305)</f>
        <v/>
      </c>
      <c r="C307" s="112" t="str">
        <f>IF(Base!I305="","",Base!I305)</f>
        <v/>
      </c>
      <c r="D307" s="113" t="str">
        <f>IF(Base!J305="","",Base!J305)</f>
        <v/>
      </c>
      <c r="E307" s="112" t="str">
        <f>IF(Base!H305="","",Base!H305)</f>
        <v/>
      </c>
    </row>
    <row r="308" spans="1:5">
      <c r="A308" s="112" t="str">
        <f>IF(Base!B306="","",Base!B306)</f>
        <v/>
      </c>
      <c r="B308" s="112" t="str">
        <f>IF(Base!F306="","",Base!F306)</f>
        <v/>
      </c>
      <c r="C308" s="112" t="str">
        <f>IF(Base!I306="","",Base!I306)</f>
        <v/>
      </c>
      <c r="D308" s="113" t="str">
        <f>IF(Base!J306="","",Base!J306)</f>
        <v/>
      </c>
      <c r="E308" s="112" t="str">
        <f>IF(Base!H306="","",Base!H306)</f>
        <v/>
      </c>
    </row>
    <row r="309" spans="1:5">
      <c r="A309" s="112" t="str">
        <f>IF(Base!B307="","",Base!B307)</f>
        <v/>
      </c>
      <c r="B309" s="112" t="str">
        <f>IF(Base!F307="","",Base!F307)</f>
        <v/>
      </c>
      <c r="C309" s="112" t="str">
        <f>IF(Base!I307="","",Base!I307)</f>
        <v/>
      </c>
      <c r="D309" s="113" t="str">
        <f>IF(Base!J307="","",Base!J307)</f>
        <v/>
      </c>
      <c r="E309" s="112" t="str">
        <f>IF(Base!H307="","",Base!H307)</f>
        <v/>
      </c>
    </row>
    <row r="310" spans="1:5">
      <c r="A310" s="112" t="str">
        <f>IF(Base!B308="","",Base!B308)</f>
        <v/>
      </c>
      <c r="B310" s="112" t="str">
        <f>IF(Base!F308="","",Base!F308)</f>
        <v/>
      </c>
      <c r="C310" s="112" t="str">
        <f>IF(Base!I308="","",Base!I308)</f>
        <v/>
      </c>
      <c r="D310" s="113" t="str">
        <f>IF(Base!J308="","",Base!J308)</f>
        <v/>
      </c>
      <c r="E310" s="112" t="str">
        <f>IF(Base!H308="","",Base!H308)</f>
        <v/>
      </c>
    </row>
    <row r="311" spans="1:5">
      <c r="A311" s="112" t="str">
        <f>IF(Base!B309="","",Base!B309)</f>
        <v/>
      </c>
      <c r="B311" s="112" t="str">
        <f>IF(Base!F309="","",Base!F309)</f>
        <v/>
      </c>
      <c r="C311" s="112" t="str">
        <f>IF(Base!I309="","",Base!I309)</f>
        <v/>
      </c>
      <c r="D311" s="113" t="str">
        <f>IF(Base!J309="","",Base!J309)</f>
        <v/>
      </c>
      <c r="E311" s="112" t="str">
        <f>IF(Base!H309="","",Base!H309)</f>
        <v/>
      </c>
    </row>
    <row r="312" spans="1:5">
      <c r="A312" s="112" t="str">
        <f>IF(Base!B310="","",Base!B310)</f>
        <v/>
      </c>
      <c r="B312" s="112" t="str">
        <f>IF(Base!F310="","",Base!F310)</f>
        <v/>
      </c>
      <c r="C312" s="112" t="str">
        <f>IF(Base!I310="","",Base!I310)</f>
        <v/>
      </c>
      <c r="D312" s="113" t="str">
        <f>IF(Base!J310="","",Base!J310)</f>
        <v/>
      </c>
      <c r="E312" s="112" t="str">
        <f>IF(Base!H310="","",Base!H310)</f>
        <v/>
      </c>
    </row>
    <row r="313" spans="1:5">
      <c r="A313" s="112" t="str">
        <f>IF(Base!B311="","",Base!B311)</f>
        <v/>
      </c>
      <c r="B313" s="112" t="str">
        <f>IF(Base!F311="","",Base!F311)</f>
        <v/>
      </c>
      <c r="C313" s="112" t="str">
        <f>IF(Base!I311="","",Base!I311)</f>
        <v/>
      </c>
      <c r="D313" s="113" t="str">
        <f>IF(Base!J311="","",Base!J311)</f>
        <v/>
      </c>
      <c r="E313" s="112" t="str">
        <f>IF(Base!H311="","",Base!H311)</f>
        <v/>
      </c>
    </row>
    <row r="314" spans="1:5">
      <c r="A314" s="112" t="str">
        <f>IF(Base!B312="","",Base!B312)</f>
        <v/>
      </c>
      <c r="B314" s="112" t="str">
        <f>IF(Base!F312="","",Base!F312)</f>
        <v/>
      </c>
      <c r="C314" s="112" t="str">
        <f>IF(Base!I312="","",Base!I312)</f>
        <v/>
      </c>
      <c r="D314" s="113" t="str">
        <f>IF(Base!J312="","",Base!J312)</f>
        <v/>
      </c>
      <c r="E314" s="112" t="str">
        <f>IF(Base!H312="","",Base!H312)</f>
        <v/>
      </c>
    </row>
    <row r="315" spans="1:5">
      <c r="A315" s="112" t="str">
        <f>IF(Base!B313="","",Base!B313)</f>
        <v/>
      </c>
      <c r="B315" s="112" t="str">
        <f>IF(Base!F313="","",Base!F313)</f>
        <v/>
      </c>
      <c r="C315" s="112" t="str">
        <f>IF(Base!I313="","",Base!I313)</f>
        <v/>
      </c>
      <c r="D315" s="113" t="str">
        <f>IF(Base!J313="","",Base!J313)</f>
        <v/>
      </c>
      <c r="E315" s="112" t="str">
        <f>IF(Base!H313="","",Base!H313)</f>
        <v/>
      </c>
    </row>
    <row r="316" spans="1:5">
      <c r="A316" s="112" t="str">
        <f>IF(Base!B314="","",Base!B314)</f>
        <v/>
      </c>
      <c r="B316" s="112" t="str">
        <f>IF(Base!F314="","",Base!F314)</f>
        <v/>
      </c>
      <c r="C316" s="112" t="str">
        <f>IF(Base!I314="","",Base!I314)</f>
        <v/>
      </c>
      <c r="D316" s="113" t="str">
        <f>IF(Base!J314="","",Base!J314)</f>
        <v/>
      </c>
      <c r="E316" s="112" t="str">
        <f>IF(Base!H314="","",Base!H314)</f>
        <v/>
      </c>
    </row>
    <row r="317" spans="1:5">
      <c r="A317" s="112" t="str">
        <f>IF(Base!B315="","",Base!B315)</f>
        <v/>
      </c>
      <c r="B317" s="112" t="str">
        <f>IF(Base!F315="","",Base!F315)</f>
        <v/>
      </c>
      <c r="C317" s="112" t="str">
        <f>IF(Base!I315="","",Base!I315)</f>
        <v/>
      </c>
      <c r="D317" s="113" t="str">
        <f>IF(Base!J315="","",Base!J315)</f>
        <v/>
      </c>
      <c r="E317" s="112" t="str">
        <f>IF(Base!H315="","",Base!H315)</f>
        <v/>
      </c>
    </row>
    <row r="318" spans="1:5">
      <c r="A318" s="112" t="str">
        <f>IF(Base!B316="","",Base!B316)</f>
        <v/>
      </c>
      <c r="B318" s="112" t="str">
        <f>IF(Base!F316="","",Base!F316)</f>
        <v/>
      </c>
      <c r="C318" s="112" t="str">
        <f>IF(Base!I316="","",Base!I316)</f>
        <v/>
      </c>
      <c r="D318" s="113" t="str">
        <f>IF(Base!J316="","",Base!J316)</f>
        <v/>
      </c>
      <c r="E318" s="112" t="str">
        <f>IF(Base!H316="","",Base!H316)</f>
        <v/>
      </c>
    </row>
    <row r="319" spans="1:5">
      <c r="A319" s="112" t="str">
        <f>IF(Base!B317="","",Base!B317)</f>
        <v/>
      </c>
      <c r="B319" s="112" t="str">
        <f>IF(Base!F317="","",Base!F317)</f>
        <v/>
      </c>
      <c r="C319" s="112" t="str">
        <f>IF(Base!I317="","",Base!I317)</f>
        <v/>
      </c>
      <c r="D319" s="113" t="str">
        <f>IF(Base!J317="","",Base!J317)</f>
        <v/>
      </c>
      <c r="E319" s="112" t="str">
        <f>IF(Base!H317="","",Base!H317)</f>
        <v/>
      </c>
    </row>
    <row r="320" spans="1:5">
      <c r="A320" s="112" t="str">
        <f>IF(Base!B318="","",Base!B318)</f>
        <v/>
      </c>
      <c r="B320" s="112" t="str">
        <f>IF(Base!F318="","",Base!F318)</f>
        <v/>
      </c>
      <c r="C320" s="112" t="str">
        <f>IF(Base!I318="","",Base!I318)</f>
        <v/>
      </c>
      <c r="D320" s="113" t="str">
        <f>IF(Base!J318="","",Base!J318)</f>
        <v/>
      </c>
      <c r="E320" s="112" t="str">
        <f>IF(Base!H318="","",Base!H318)</f>
        <v/>
      </c>
    </row>
    <row r="321" spans="1:5">
      <c r="A321" s="112" t="str">
        <f>IF(Base!B319="","",Base!B319)</f>
        <v/>
      </c>
      <c r="B321" s="112" t="str">
        <f>IF(Base!F319="","",Base!F319)</f>
        <v/>
      </c>
      <c r="C321" s="112" t="str">
        <f>IF(Base!I319="","",Base!I319)</f>
        <v/>
      </c>
      <c r="D321" s="113" t="str">
        <f>IF(Base!J319="","",Base!J319)</f>
        <v/>
      </c>
      <c r="E321" s="112" t="str">
        <f>IF(Base!H319="","",Base!H319)</f>
        <v/>
      </c>
    </row>
    <row r="322" spans="1:5">
      <c r="A322" s="112" t="str">
        <f>IF(Base!B320="","",Base!B320)</f>
        <v/>
      </c>
      <c r="B322" s="112" t="str">
        <f>IF(Base!F320="","",Base!F320)</f>
        <v/>
      </c>
      <c r="C322" s="112" t="str">
        <f>IF(Base!I320="","",Base!I320)</f>
        <v/>
      </c>
      <c r="D322" s="113" t="str">
        <f>IF(Base!J320="","",Base!J320)</f>
        <v/>
      </c>
      <c r="E322" s="112" t="str">
        <f>IF(Base!H320="","",Base!H320)</f>
        <v/>
      </c>
    </row>
    <row r="323" spans="1:5">
      <c r="A323" s="112" t="str">
        <f>IF(Base!B321="","",Base!B321)</f>
        <v/>
      </c>
      <c r="B323" s="112" t="str">
        <f>IF(Base!F321="","",Base!F321)</f>
        <v/>
      </c>
      <c r="C323" s="112" t="str">
        <f>IF(Base!I321="","",Base!I321)</f>
        <v/>
      </c>
      <c r="D323" s="113" t="str">
        <f>IF(Base!J321="","",Base!J321)</f>
        <v/>
      </c>
      <c r="E323" s="112" t="str">
        <f>IF(Base!H321="","",Base!H321)</f>
        <v/>
      </c>
    </row>
    <row r="324" spans="1:5">
      <c r="A324" s="112" t="str">
        <f>IF(Base!B322="","",Base!B322)</f>
        <v/>
      </c>
      <c r="B324" s="112" t="str">
        <f>IF(Base!F322="","",Base!F322)</f>
        <v/>
      </c>
      <c r="C324" s="112" t="str">
        <f>IF(Base!I322="","",Base!I322)</f>
        <v/>
      </c>
      <c r="D324" s="113" t="str">
        <f>IF(Base!J322="","",Base!J322)</f>
        <v/>
      </c>
      <c r="E324" s="112" t="str">
        <f>IF(Base!H322="","",Base!H322)</f>
        <v/>
      </c>
    </row>
    <row r="325" spans="1:5">
      <c r="A325" s="112" t="str">
        <f>IF(Base!B323="","",Base!B323)</f>
        <v/>
      </c>
      <c r="B325" s="112" t="str">
        <f>IF(Base!F323="","",Base!F323)</f>
        <v/>
      </c>
      <c r="C325" s="112" t="str">
        <f>IF(Base!I323="","",Base!I323)</f>
        <v/>
      </c>
      <c r="D325" s="113" t="str">
        <f>IF(Base!J323="","",Base!J323)</f>
        <v/>
      </c>
      <c r="E325" s="112" t="str">
        <f>IF(Base!H323="","",Base!H323)</f>
        <v/>
      </c>
    </row>
    <row r="326" spans="1:5">
      <c r="A326" s="112" t="str">
        <f>IF(Base!B324="","",Base!B324)</f>
        <v/>
      </c>
      <c r="B326" s="112" t="str">
        <f>IF(Base!F324="","",Base!F324)</f>
        <v/>
      </c>
      <c r="C326" s="112" t="str">
        <f>IF(Base!I324="","",Base!I324)</f>
        <v/>
      </c>
      <c r="D326" s="113" t="str">
        <f>IF(Base!J324="","",Base!J324)</f>
        <v/>
      </c>
      <c r="E326" s="112" t="str">
        <f>IF(Base!H324="","",Base!H324)</f>
        <v/>
      </c>
    </row>
    <row r="327" spans="1:5">
      <c r="A327" s="112" t="str">
        <f>IF(Base!B325="","",Base!B325)</f>
        <v/>
      </c>
      <c r="B327" s="112" t="str">
        <f>IF(Base!F325="","",Base!F325)</f>
        <v/>
      </c>
      <c r="C327" s="112" t="str">
        <f>IF(Base!I325="","",Base!I325)</f>
        <v/>
      </c>
      <c r="D327" s="113" t="str">
        <f>IF(Base!J325="","",Base!J325)</f>
        <v/>
      </c>
      <c r="E327" s="112" t="str">
        <f>IF(Base!H325="","",Base!H325)</f>
        <v/>
      </c>
    </row>
    <row r="328" spans="1:5">
      <c r="A328" s="112" t="str">
        <f>IF(Base!B326="","",Base!B326)</f>
        <v/>
      </c>
      <c r="B328" s="112" t="str">
        <f>IF(Base!F326="","",Base!F326)</f>
        <v/>
      </c>
      <c r="C328" s="112" t="str">
        <f>IF(Base!I326="","",Base!I326)</f>
        <v/>
      </c>
      <c r="D328" s="113" t="str">
        <f>IF(Base!J326="","",Base!J326)</f>
        <v/>
      </c>
      <c r="E328" s="112" t="str">
        <f>IF(Base!H326="","",Base!H326)</f>
        <v/>
      </c>
    </row>
    <row r="329" spans="1:5">
      <c r="A329" s="112" t="str">
        <f>IF(Base!B327="","",Base!B327)</f>
        <v/>
      </c>
      <c r="B329" s="112" t="str">
        <f>IF(Base!F327="","",Base!F327)</f>
        <v/>
      </c>
      <c r="C329" s="112" t="str">
        <f>IF(Base!I327="","",Base!I327)</f>
        <v/>
      </c>
      <c r="D329" s="113" t="str">
        <f>IF(Base!J327="","",Base!J327)</f>
        <v/>
      </c>
      <c r="E329" s="112" t="str">
        <f>IF(Base!H327="","",Base!H327)</f>
        <v/>
      </c>
    </row>
    <row r="330" spans="1:5">
      <c r="A330" s="112" t="str">
        <f>IF(Base!B328="","",Base!B328)</f>
        <v/>
      </c>
      <c r="B330" s="112" t="str">
        <f>IF(Base!F328="","",Base!F328)</f>
        <v/>
      </c>
      <c r="C330" s="112" t="str">
        <f>IF(Base!I328="","",Base!I328)</f>
        <v/>
      </c>
      <c r="D330" s="113" t="str">
        <f>IF(Base!J328="","",Base!J328)</f>
        <v/>
      </c>
      <c r="E330" s="112" t="str">
        <f>IF(Base!H328="","",Base!H328)</f>
        <v/>
      </c>
    </row>
    <row r="331" spans="1:5">
      <c r="A331" s="112" t="str">
        <f>IF(Base!B329="","",Base!B329)</f>
        <v/>
      </c>
      <c r="B331" s="112" t="str">
        <f>IF(Base!F329="","",Base!F329)</f>
        <v/>
      </c>
      <c r="C331" s="112" t="str">
        <f>IF(Base!I329="","",Base!I329)</f>
        <v/>
      </c>
      <c r="D331" s="113" t="str">
        <f>IF(Base!J329="","",Base!J329)</f>
        <v/>
      </c>
      <c r="E331" s="112" t="str">
        <f>IF(Base!H329="","",Base!H329)</f>
        <v/>
      </c>
    </row>
    <row r="332" spans="1:5">
      <c r="A332" s="112" t="str">
        <f>IF(Base!B330="","",Base!B330)</f>
        <v/>
      </c>
      <c r="B332" s="112" t="str">
        <f>IF(Base!F330="","",Base!F330)</f>
        <v/>
      </c>
      <c r="C332" s="112" t="str">
        <f>IF(Base!I330="","",Base!I330)</f>
        <v/>
      </c>
      <c r="D332" s="113" t="str">
        <f>IF(Base!J330="","",Base!J330)</f>
        <v/>
      </c>
      <c r="E332" s="112" t="str">
        <f>IF(Base!H330="","",Base!H330)</f>
        <v/>
      </c>
    </row>
    <row r="333" spans="1:5">
      <c r="A333" s="112" t="str">
        <f>IF(Base!B331="","",Base!B331)</f>
        <v/>
      </c>
      <c r="B333" s="112" t="str">
        <f>IF(Base!F331="","",Base!F331)</f>
        <v/>
      </c>
      <c r="C333" s="112" t="str">
        <f>IF(Base!I331="","",Base!I331)</f>
        <v/>
      </c>
      <c r="D333" s="113" t="str">
        <f>IF(Base!J331="","",Base!J331)</f>
        <v/>
      </c>
      <c r="E333" s="112" t="str">
        <f>IF(Base!H331="","",Base!H331)</f>
        <v/>
      </c>
    </row>
    <row r="334" spans="1:5">
      <c r="A334" s="112" t="str">
        <f>IF(Base!B332="","",Base!B332)</f>
        <v/>
      </c>
      <c r="B334" s="112" t="str">
        <f>IF(Base!F332="","",Base!F332)</f>
        <v/>
      </c>
      <c r="C334" s="112" t="str">
        <f>IF(Base!I332="","",Base!I332)</f>
        <v/>
      </c>
      <c r="D334" s="113" t="str">
        <f>IF(Base!J332="","",Base!J332)</f>
        <v/>
      </c>
      <c r="E334" s="112" t="str">
        <f>IF(Base!H332="","",Base!H332)</f>
        <v/>
      </c>
    </row>
    <row r="335" spans="1:5">
      <c r="A335" s="112" t="str">
        <f>IF(Base!B333="","",Base!B333)</f>
        <v/>
      </c>
      <c r="B335" s="112" t="str">
        <f>IF(Base!F333="","",Base!F333)</f>
        <v/>
      </c>
      <c r="C335" s="112" t="str">
        <f>IF(Base!I333="","",Base!I333)</f>
        <v/>
      </c>
      <c r="D335" s="113" t="str">
        <f>IF(Base!J333="","",Base!J333)</f>
        <v/>
      </c>
      <c r="E335" s="112" t="str">
        <f>IF(Base!H333="","",Base!H333)</f>
        <v/>
      </c>
    </row>
    <row r="336" spans="1:5">
      <c r="A336" s="112" t="str">
        <f>IF(Base!B334="","",Base!B334)</f>
        <v/>
      </c>
      <c r="B336" s="112" t="str">
        <f>IF(Base!F334="","",Base!F334)</f>
        <v/>
      </c>
      <c r="C336" s="112" t="str">
        <f>IF(Base!I334="","",Base!I334)</f>
        <v/>
      </c>
      <c r="D336" s="113" t="str">
        <f>IF(Base!J334="","",Base!J334)</f>
        <v/>
      </c>
      <c r="E336" s="112" t="str">
        <f>IF(Base!H334="","",Base!H334)</f>
        <v/>
      </c>
    </row>
    <row r="337" spans="1:5">
      <c r="A337" s="112" t="str">
        <f>IF(Base!B335="","",Base!B335)</f>
        <v/>
      </c>
      <c r="B337" s="112" t="str">
        <f>IF(Base!F335="","",Base!F335)</f>
        <v/>
      </c>
      <c r="C337" s="112" t="str">
        <f>IF(Base!I335="","",Base!I335)</f>
        <v/>
      </c>
      <c r="D337" s="113" t="str">
        <f>IF(Base!J335="","",Base!J335)</f>
        <v/>
      </c>
      <c r="E337" s="112" t="str">
        <f>IF(Base!H335="","",Base!H335)</f>
        <v/>
      </c>
    </row>
    <row r="338" spans="1:5">
      <c r="A338" s="112" t="str">
        <f>IF(Base!B336="","",Base!B336)</f>
        <v/>
      </c>
      <c r="B338" s="112" t="str">
        <f>IF(Base!F336="","",Base!F336)</f>
        <v/>
      </c>
      <c r="C338" s="112" t="str">
        <f>IF(Base!I336="","",Base!I336)</f>
        <v/>
      </c>
      <c r="D338" s="113" t="str">
        <f>IF(Base!J336="","",Base!J336)</f>
        <v/>
      </c>
      <c r="E338" s="112" t="str">
        <f>IF(Base!H336="","",Base!H336)</f>
        <v/>
      </c>
    </row>
    <row r="339" spans="1:5">
      <c r="A339" s="112" t="str">
        <f>IF(Base!B337="","",Base!B337)</f>
        <v/>
      </c>
      <c r="B339" s="112" t="str">
        <f>IF(Base!F337="","",Base!F337)</f>
        <v/>
      </c>
      <c r="C339" s="112" t="str">
        <f>IF(Base!I337="","",Base!I337)</f>
        <v/>
      </c>
      <c r="D339" s="113" t="str">
        <f>IF(Base!J337="","",Base!J337)</f>
        <v/>
      </c>
      <c r="E339" s="112" t="str">
        <f>IF(Base!H337="","",Base!H337)</f>
        <v/>
      </c>
    </row>
    <row r="340" spans="1:5">
      <c r="A340" s="112" t="str">
        <f>IF(Base!B338="","",Base!B338)</f>
        <v/>
      </c>
      <c r="B340" s="112" t="str">
        <f>IF(Base!F338="","",Base!F338)</f>
        <v/>
      </c>
      <c r="C340" s="112" t="str">
        <f>IF(Base!I338="","",Base!I338)</f>
        <v/>
      </c>
      <c r="D340" s="113" t="str">
        <f>IF(Base!J338="","",Base!J338)</f>
        <v/>
      </c>
      <c r="E340" s="112" t="str">
        <f>IF(Base!H338="","",Base!H338)</f>
        <v/>
      </c>
    </row>
    <row r="341" spans="1:5">
      <c r="A341" s="112" t="str">
        <f>IF(Base!B339="","",Base!B339)</f>
        <v/>
      </c>
      <c r="B341" s="112" t="str">
        <f>IF(Base!F339="","",Base!F339)</f>
        <v/>
      </c>
      <c r="C341" s="112" t="str">
        <f>IF(Base!I339="","",Base!I339)</f>
        <v/>
      </c>
      <c r="D341" s="113" t="str">
        <f>IF(Base!J339="","",Base!J339)</f>
        <v/>
      </c>
      <c r="E341" s="112" t="str">
        <f>IF(Base!H339="","",Base!H339)</f>
        <v/>
      </c>
    </row>
    <row r="342" spans="1:5">
      <c r="A342" s="112" t="str">
        <f>IF(Base!B340="","",Base!B340)</f>
        <v/>
      </c>
      <c r="B342" s="112" t="str">
        <f>IF(Base!F340="","",Base!F340)</f>
        <v/>
      </c>
      <c r="C342" s="112" t="str">
        <f>IF(Base!I340="","",Base!I340)</f>
        <v/>
      </c>
      <c r="D342" s="113" t="str">
        <f>IF(Base!J340="","",Base!J340)</f>
        <v/>
      </c>
      <c r="E342" s="112" t="str">
        <f>IF(Base!H340="","",Base!H340)</f>
        <v/>
      </c>
    </row>
    <row r="343" spans="1:5">
      <c r="A343" s="112" t="str">
        <f>IF(Base!B341="","",Base!B341)</f>
        <v/>
      </c>
      <c r="B343" s="112" t="str">
        <f>IF(Base!F341="","",Base!F341)</f>
        <v/>
      </c>
      <c r="C343" s="112" t="str">
        <f>IF(Base!I341="","",Base!I341)</f>
        <v/>
      </c>
      <c r="D343" s="113" t="str">
        <f>IF(Base!J341="","",Base!J341)</f>
        <v/>
      </c>
      <c r="E343" s="112" t="str">
        <f>IF(Base!H341="","",Base!H341)</f>
        <v/>
      </c>
    </row>
    <row r="344" spans="1:5">
      <c r="A344" s="112" t="str">
        <f>IF(Base!B342="","",Base!B342)</f>
        <v/>
      </c>
      <c r="B344" s="112" t="str">
        <f>IF(Base!F342="","",Base!F342)</f>
        <v/>
      </c>
      <c r="C344" s="112" t="str">
        <f>IF(Base!I342="","",Base!I342)</f>
        <v/>
      </c>
      <c r="D344" s="113" t="str">
        <f>IF(Base!J342="","",Base!J342)</f>
        <v/>
      </c>
      <c r="E344" s="112" t="str">
        <f>IF(Base!H342="","",Base!H342)</f>
        <v/>
      </c>
    </row>
    <row r="345" spans="1:5">
      <c r="A345" s="112" t="str">
        <f>IF(Base!B343="","",Base!B343)</f>
        <v/>
      </c>
      <c r="B345" s="112" t="str">
        <f>IF(Base!F343="","",Base!F343)</f>
        <v/>
      </c>
      <c r="C345" s="112" t="str">
        <f>IF(Base!I343="","",Base!I343)</f>
        <v/>
      </c>
      <c r="D345" s="113" t="str">
        <f>IF(Base!J343="","",Base!J343)</f>
        <v/>
      </c>
      <c r="E345" s="112" t="str">
        <f>IF(Base!H343="","",Base!H343)</f>
        <v/>
      </c>
    </row>
    <row r="346" spans="1:5">
      <c r="A346" s="112" t="str">
        <f>IF(Base!B344="","",Base!B344)</f>
        <v/>
      </c>
      <c r="B346" s="112" t="str">
        <f>IF(Base!F344="","",Base!F344)</f>
        <v/>
      </c>
      <c r="C346" s="112" t="str">
        <f>IF(Base!I344="","",Base!I344)</f>
        <v/>
      </c>
      <c r="D346" s="113" t="str">
        <f>IF(Base!J344="","",Base!J344)</f>
        <v/>
      </c>
      <c r="E346" s="112" t="str">
        <f>IF(Base!H344="","",Base!H344)</f>
        <v/>
      </c>
    </row>
    <row r="347" spans="1:5">
      <c r="A347" s="112" t="str">
        <f>IF(Base!B345="","",Base!B345)</f>
        <v/>
      </c>
      <c r="B347" s="112" t="str">
        <f>IF(Base!F345="","",Base!F345)</f>
        <v/>
      </c>
      <c r="C347" s="112" t="str">
        <f>IF(Base!I345="","",Base!I345)</f>
        <v/>
      </c>
      <c r="D347" s="113" t="str">
        <f>IF(Base!J345="","",Base!J345)</f>
        <v/>
      </c>
      <c r="E347" s="112" t="str">
        <f>IF(Base!H345="","",Base!H345)</f>
        <v/>
      </c>
    </row>
    <row r="348" spans="1:5">
      <c r="A348" s="112" t="str">
        <f>IF(Base!B346="","",Base!B346)</f>
        <v/>
      </c>
      <c r="B348" s="112" t="str">
        <f>IF(Base!F346="","",Base!F346)</f>
        <v/>
      </c>
      <c r="C348" s="112" t="str">
        <f>IF(Base!I346="","",Base!I346)</f>
        <v/>
      </c>
      <c r="D348" s="113" t="str">
        <f>IF(Base!J346="","",Base!J346)</f>
        <v/>
      </c>
      <c r="E348" s="112" t="str">
        <f>IF(Base!H346="","",Base!H346)</f>
        <v/>
      </c>
    </row>
    <row r="349" spans="1:5">
      <c r="A349" s="112" t="str">
        <f>IF(Base!B347="","",Base!B347)</f>
        <v/>
      </c>
      <c r="B349" s="112" t="str">
        <f>IF(Base!F347="","",Base!F347)</f>
        <v/>
      </c>
      <c r="C349" s="112" t="str">
        <f>IF(Base!I347="","",Base!I347)</f>
        <v/>
      </c>
      <c r="D349" s="113" t="str">
        <f>IF(Base!J347="","",Base!J347)</f>
        <v/>
      </c>
      <c r="E349" s="112" t="str">
        <f>IF(Base!H347="","",Base!H347)</f>
        <v/>
      </c>
    </row>
    <row r="350" spans="1:5">
      <c r="A350" s="112" t="str">
        <f>IF(Base!B348="","",Base!B348)</f>
        <v/>
      </c>
      <c r="B350" s="112" t="str">
        <f>IF(Base!F348="","",Base!F348)</f>
        <v/>
      </c>
      <c r="C350" s="112" t="str">
        <f>IF(Base!I348="","",Base!I348)</f>
        <v/>
      </c>
      <c r="D350" s="113" t="str">
        <f>IF(Base!J348="","",Base!J348)</f>
        <v/>
      </c>
      <c r="E350" s="112" t="str">
        <f>IF(Base!H348="","",Base!H348)</f>
        <v/>
      </c>
    </row>
    <row r="351" spans="1:5">
      <c r="A351" s="112" t="str">
        <f>IF(Base!B349="","",Base!B349)</f>
        <v/>
      </c>
      <c r="B351" s="112" t="str">
        <f>IF(Base!F349="","",Base!F349)</f>
        <v/>
      </c>
      <c r="C351" s="112" t="str">
        <f>IF(Base!I349="","",Base!I349)</f>
        <v/>
      </c>
      <c r="D351" s="113" t="str">
        <f>IF(Base!J349="","",Base!J349)</f>
        <v/>
      </c>
      <c r="E351" s="112" t="str">
        <f>IF(Base!H349="","",Base!H349)</f>
        <v/>
      </c>
    </row>
    <row r="352" spans="1:5">
      <c r="A352" s="112" t="str">
        <f>IF(Base!B350="","",Base!B350)</f>
        <v/>
      </c>
      <c r="B352" s="112" t="str">
        <f>IF(Base!F350="","",Base!F350)</f>
        <v/>
      </c>
      <c r="C352" s="112" t="str">
        <f>IF(Base!I350="","",Base!I350)</f>
        <v/>
      </c>
      <c r="D352" s="113" t="str">
        <f>IF(Base!J350="","",Base!J350)</f>
        <v/>
      </c>
      <c r="E352" s="112" t="str">
        <f>IF(Base!H350="","",Base!H350)</f>
        <v/>
      </c>
    </row>
    <row r="353" spans="1:5">
      <c r="A353" s="112" t="str">
        <f>IF(Base!B351="","",Base!B351)</f>
        <v/>
      </c>
      <c r="B353" s="112" t="str">
        <f>IF(Base!F351="","",Base!F351)</f>
        <v/>
      </c>
      <c r="C353" s="112" t="str">
        <f>IF(Base!I351="","",Base!I351)</f>
        <v/>
      </c>
      <c r="D353" s="113" t="str">
        <f>IF(Base!J351="","",Base!J351)</f>
        <v/>
      </c>
      <c r="E353" s="112" t="str">
        <f>IF(Base!H351="","",Base!H351)</f>
        <v/>
      </c>
    </row>
    <row r="354" spans="1:5">
      <c r="A354" s="112" t="str">
        <f>IF(Base!B352="","",Base!B352)</f>
        <v/>
      </c>
      <c r="B354" s="112" t="str">
        <f>IF(Base!F352="","",Base!F352)</f>
        <v/>
      </c>
      <c r="C354" s="112" t="str">
        <f>IF(Base!I352="","",Base!I352)</f>
        <v/>
      </c>
      <c r="D354" s="113" t="str">
        <f>IF(Base!J352="","",Base!J352)</f>
        <v/>
      </c>
      <c r="E354" s="112" t="str">
        <f>IF(Base!H352="","",Base!H352)</f>
        <v/>
      </c>
    </row>
    <row r="355" spans="1:5">
      <c r="A355" s="112" t="str">
        <f>IF(Base!B353="","",Base!B353)</f>
        <v/>
      </c>
      <c r="B355" s="112" t="str">
        <f>IF(Base!F353="","",Base!F353)</f>
        <v/>
      </c>
      <c r="C355" s="112" t="str">
        <f>IF(Base!I353="","",Base!I353)</f>
        <v/>
      </c>
      <c r="D355" s="113" t="str">
        <f>IF(Base!J353="","",Base!J353)</f>
        <v/>
      </c>
      <c r="E355" s="112" t="str">
        <f>IF(Base!H353="","",Base!H353)</f>
        <v/>
      </c>
    </row>
    <row r="356" spans="1:5">
      <c r="A356" s="112" t="str">
        <f>IF(Base!B354="","",Base!B354)</f>
        <v/>
      </c>
      <c r="B356" s="112" t="str">
        <f>IF(Base!F354="","",Base!F354)</f>
        <v/>
      </c>
      <c r="C356" s="112" t="str">
        <f>IF(Base!I354="","",Base!I354)</f>
        <v/>
      </c>
      <c r="D356" s="113" t="str">
        <f>IF(Base!J354="","",Base!J354)</f>
        <v/>
      </c>
      <c r="E356" s="112" t="str">
        <f>IF(Base!H354="","",Base!H354)</f>
        <v/>
      </c>
    </row>
    <row r="357" spans="1:5">
      <c r="A357" s="112" t="str">
        <f>IF(Base!B355="","",Base!B355)</f>
        <v/>
      </c>
      <c r="B357" s="112" t="str">
        <f>IF(Base!F355="","",Base!F355)</f>
        <v/>
      </c>
      <c r="C357" s="112" t="str">
        <f>IF(Base!I355="","",Base!I355)</f>
        <v/>
      </c>
      <c r="D357" s="113" t="str">
        <f>IF(Base!J355="","",Base!J355)</f>
        <v/>
      </c>
      <c r="E357" s="112" t="str">
        <f>IF(Base!H355="","",Base!H355)</f>
        <v/>
      </c>
    </row>
    <row r="358" spans="1:5">
      <c r="A358" s="112" t="str">
        <f>IF(Base!B356="","",Base!B356)</f>
        <v/>
      </c>
      <c r="B358" s="112" t="str">
        <f>IF(Base!F356="","",Base!F356)</f>
        <v/>
      </c>
      <c r="C358" s="112" t="str">
        <f>IF(Base!I356="","",Base!I356)</f>
        <v/>
      </c>
      <c r="D358" s="113" t="str">
        <f>IF(Base!J356="","",Base!J356)</f>
        <v/>
      </c>
      <c r="E358" s="112" t="str">
        <f>IF(Base!H356="","",Base!H356)</f>
        <v/>
      </c>
    </row>
    <row r="359" spans="1:5">
      <c r="A359" s="112" t="str">
        <f>IF(Base!B357="","",Base!B357)</f>
        <v/>
      </c>
      <c r="B359" s="112" t="str">
        <f>IF(Base!F357="","",Base!F357)</f>
        <v/>
      </c>
      <c r="C359" s="112" t="str">
        <f>IF(Base!I357="","",Base!I357)</f>
        <v/>
      </c>
      <c r="D359" s="113" t="str">
        <f>IF(Base!J357="","",Base!J357)</f>
        <v/>
      </c>
      <c r="E359" s="112" t="str">
        <f>IF(Base!H357="","",Base!H357)</f>
        <v/>
      </c>
    </row>
    <row r="360" spans="1:5">
      <c r="A360" s="112" t="str">
        <f>IF(Base!B358="","",Base!B358)</f>
        <v/>
      </c>
      <c r="B360" s="112" t="str">
        <f>IF(Base!F358="","",Base!F358)</f>
        <v/>
      </c>
      <c r="C360" s="112" t="str">
        <f>IF(Base!I358="","",Base!I358)</f>
        <v/>
      </c>
      <c r="D360" s="113" t="str">
        <f>IF(Base!J358="","",Base!J358)</f>
        <v/>
      </c>
      <c r="E360" s="112" t="str">
        <f>IF(Base!H358="","",Base!H358)</f>
        <v/>
      </c>
    </row>
    <row r="361" spans="1:5">
      <c r="A361" s="112" t="str">
        <f>IF(Base!B359="","",Base!B359)</f>
        <v/>
      </c>
      <c r="B361" s="112" t="str">
        <f>IF(Base!F359="","",Base!F359)</f>
        <v/>
      </c>
      <c r="C361" s="112" t="str">
        <f>IF(Base!I359="","",Base!I359)</f>
        <v/>
      </c>
      <c r="D361" s="113" t="str">
        <f>IF(Base!J359="","",Base!J359)</f>
        <v/>
      </c>
      <c r="E361" s="112" t="str">
        <f>IF(Base!H359="","",Base!H359)</f>
        <v/>
      </c>
    </row>
    <row r="362" spans="1:5">
      <c r="A362" s="112" t="str">
        <f>IF(Base!B360="","",Base!B360)</f>
        <v/>
      </c>
      <c r="B362" s="112" t="str">
        <f>IF(Base!F360="","",Base!F360)</f>
        <v/>
      </c>
      <c r="C362" s="112" t="str">
        <f>IF(Base!I360="","",Base!I360)</f>
        <v/>
      </c>
      <c r="D362" s="113" t="str">
        <f>IF(Base!J360="","",Base!J360)</f>
        <v/>
      </c>
      <c r="E362" s="112" t="str">
        <f>IF(Base!H360="","",Base!H360)</f>
        <v/>
      </c>
    </row>
    <row r="363" spans="1:5">
      <c r="A363" s="112" t="str">
        <f>IF(Base!B361="","",Base!B361)</f>
        <v/>
      </c>
      <c r="B363" s="112" t="str">
        <f>IF(Base!F361="","",Base!F361)</f>
        <v/>
      </c>
      <c r="C363" s="112" t="str">
        <f>IF(Base!I361="","",Base!I361)</f>
        <v/>
      </c>
      <c r="D363" s="113" t="str">
        <f>IF(Base!J361="","",Base!J361)</f>
        <v/>
      </c>
      <c r="E363" s="112" t="str">
        <f>IF(Base!H361="","",Base!H361)</f>
        <v/>
      </c>
    </row>
    <row r="364" spans="1:5">
      <c r="A364" s="112" t="str">
        <f>IF(Base!B362="","",Base!B362)</f>
        <v/>
      </c>
      <c r="B364" s="112" t="str">
        <f>IF(Base!F362="","",Base!F362)</f>
        <v/>
      </c>
      <c r="C364" s="112" t="str">
        <f>IF(Base!I362="","",Base!I362)</f>
        <v/>
      </c>
      <c r="D364" s="113" t="str">
        <f>IF(Base!J362="","",Base!J362)</f>
        <v/>
      </c>
      <c r="E364" s="112" t="str">
        <f>IF(Base!H362="","",Base!H362)</f>
        <v/>
      </c>
    </row>
    <row r="365" spans="1:5">
      <c r="A365" s="112" t="str">
        <f>IF(Base!B363="","",Base!B363)</f>
        <v/>
      </c>
      <c r="B365" s="112" t="str">
        <f>IF(Base!F363="","",Base!F363)</f>
        <v/>
      </c>
      <c r="C365" s="112" t="str">
        <f>IF(Base!I363="","",Base!I363)</f>
        <v/>
      </c>
      <c r="D365" s="113" t="str">
        <f>IF(Base!J363="","",Base!J363)</f>
        <v/>
      </c>
      <c r="E365" s="112" t="str">
        <f>IF(Base!H363="","",Base!H363)</f>
        <v/>
      </c>
    </row>
    <row r="366" spans="1:5">
      <c r="A366" s="112" t="str">
        <f>IF(Base!B364="","",Base!B364)</f>
        <v/>
      </c>
      <c r="B366" s="112" t="str">
        <f>IF(Base!F364="","",Base!F364)</f>
        <v/>
      </c>
      <c r="C366" s="112" t="str">
        <f>IF(Base!I364="","",Base!I364)</f>
        <v/>
      </c>
      <c r="D366" s="113" t="str">
        <f>IF(Base!J364="","",Base!J364)</f>
        <v/>
      </c>
      <c r="E366" s="112" t="str">
        <f>IF(Base!H364="","",Base!H364)</f>
        <v/>
      </c>
    </row>
    <row r="367" spans="1:5">
      <c r="A367" s="112" t="str">
        <f>IF(Base!B365="","",Base!B365)</f>
        <v/>
      </c>
      <c r="B367" s="112" t="str">
        <f>IF(Base!F365="","",Base!F365)</f>
        <v/>
      </c>
      <c r="C367" s="112" t="str">
        <f>IF(Base!I365="","",Base!I365)</f>
        <v/>
      </c>
      <c r="D367" s="113" t="str">
        <f>IF(Base!J365="","",Base!J365)</f>
        <v/>
      </c>
      <c r="E367" s="112" t="str">
        <f>IF(Base!H365="","",Base!H365)</f>
        <v/>
      </c>
    </row>
    <row r="368" spans="1:5">
      <c r="A368" s="112" t="str">
        <f>IF(Base!B366="","",Base!B366)</f>
        <v/>
      </c>
      <c r="B368" s="112" t="str">
        <f>IF(Base!F366="","",Base!F366)</f>
        <v/>
      </c>
      <c r="C368" s="112" t="str">
        <f>IF(Base!I366="","",Base!I366)</f>
        <v/>
      </c>
      <c r="D368" s="113" t="str">
        <f>IF(Base!J366="","",Base!J366)</f>
        <v/>
      </c>
      <c r="E368" s="112" t="str">
        <f>IF(Base!H366="","",Base!H366)</f>
        <v/>
      </c>
    </row>
    <row r="369" spans="1:5">
      <c r="A369" s="112" t="str">
        <f>IF(Base!B367="","",Base!B367)</f>
        <v/>
      </c>
      <c r="B369" s="112" t="str">
        <f>IF(Base!F367="","",Base!F367)</f>
        <v/>
      </c>
      <c r="C369" s="112" t="str">
        <f>IF(Base!I367="","",Base!I367)</f>
        <v/>
      </c>
      <c r="D369" s="113" t="str">
        <f>IF(Base!J367="","",Base!J367)</f>
        <v/>
      </c>
      <c r="E369" s="112" t="str">
        <f>IF(Base!H367="","",Base!H367)</f>
        <v/>
      </c>
    </row>
    <row r="370" spans="1:5">
      <c r="A370" s="112" t="str">
        <f>IF(Base!B368="","",Base!B368)</f>
        <v/>
      </c>
      <c r="B370" s="112" t="str">
        <f>IF(Base!F368="","",Base!F368)</f>
        <v/>
      </c>
      <c r="C370" s="112" t="str">
        <f>IF(Base!I368="","",Base!I368)</f>
        <v/>
      </c>
      <c r="D370" s="113" t="str">
        <f>IF(Base!J368="","",Base!J368)</f>
        <v/>
      </c>
      <c r="E370" s="112" t="str">
        <f>IF(Base!H368="","",Base!H368)</f>
        <v/>
      </c>
    </row>
    <row r="371" spans="1:5">
      <c r="A371" s="112" t="str">
        <f>IF(Base!B369="","",Base!B369)</f>
        <v/>
      </c>
      <c r="B371" s="112" t="str">
        <f>IF(Base!F369="","",Base!F369)</f>
        <v/>
      </c>
      <c r="C371" s="112" t="str">
        <f>IF(Base!I369="","",Base!I369)</f>
        <v/>
      </c>
      <c r="D371" s="113" t="str">
        <f>IF(Base!J369="","",Base!J369)</f>
        <v/>
      </c>
      <c r="E371" s="112" t="str">
        <f>IF(Base!H369="","",Base!H369)</f>
        <v/>
      </c>
    </row>
    <row r="372" spans="1:5">
      <c r="A372" s="112" t="str">
        <f>IF(Base!B370="","",Base!B370)</f>
        <v/>
      </c>
      <c r="B372" s="112" t="str">
        <f>IF(Base!F370="","",Base!F370)</f>
        <v/>
      </c>
      <c r="C372" s="112" t="str">
        <f>IF(Base!I370="","",Base!I370)</f>
        <v/>
      </c>
      <c r="D372" s="113" t="str">
        <f>IF(Base!J370="","",Base!J370)</f>
        <v/>
      </c>
      <c r="E372" s="112" t="str">
        <f>IF(Base!H370="","",Base!H370)</f>
        <v/>
      </c>
    </row>
    <row r="373" spans="1:5">
      <c r="A373" s="112" t="str">
        <f>IF(Base!B371="","",Base!B371)</f>
        <v/>
      </c>
      <c r="B373" s="112" t="str">
        <f>IF(Base!F371="","",Base!F371)</f>
        <v/>
      </c>
      <c r="C373" s="112" t="str">
        <f>IF(Base!I371="","",Base!I371)</f>
        <v/>
      </c>
      <c r="D373" s="113" t="str">
        <f>IF(Base!J371="","",Base!J371)</f>
        <v/>
      </c>
      <c r="E373" s="112" t="str">
        <f>IF(Base!H371="","",Base!H371)</f>
        <v/>
      </c>
    </row>
    <row r="374" spans="1:5">
      <c r="A374" s="112" t="str">
        <f>IF(Base!B372="","",Base!B372)</f>
        <v/>
      </c>
      <c r="B374" s="112" t="str">
        <f>IF(Base!F372="","",Base!F372)</f>
        <v/>
      </c>
      <c r="C374" s="112" t="str">
        <f>IF(Base!I372="","",Base!I372)</f>
        <v/>
      </c>
      <c r="D374" s="113" t="str">
        <f>IF(Base!J372="","",Base!J372)</f>
        <v/>
      </c>
      <c r="E374" s="112" t="str">
        <f>IF(Base!H372="","",Base!H372)</f>
        <v/>
      </c>
    </row>
    <row r="375" spans="1:5">
      <c r="A375" s="112" t="str">
        <f>IF(Base!B373="","",Base!B373)</f>
        <v/>
      </c>
      <c r="B375" s="112" t="str">
        <f>IF(Base!F373="","",Base!F373)</f>
        <v/>
      </c>
      <c r="C375" s="112" t="str">
        <f>IF(Base!I373="","",Base!I373)</f>
        <v/>
      </c>
      <c r="D375" s="113" t="str">
        <f>IF(Base!J373="","",Base!J373)</f>
        <v/>
      </c>
      <c r="E375" s="112" t="str">
        <f>IF(Base!H373="","",Base!H373)</f>
        <v/>
      </c>
    </row>
    <row r="376" spans="1:5">
      <c r="A376" s="112" t="str">
        <f>IF(Base!B374="","",Base!B374)</f>
        <v/>
      </c>
      <c r="B376" s="112" t="str">
        <f>IF(Base!F374="","",Base!F374)</f>
        <v/>
      </c>
      <c r="C376" s="112" t="str">
        <f>IF(Base!I374="","",Base!I374)</f>
        <v/>
      </c>
      <c r="D376" s="113" t="str">
        <f>IF(Base!J374="","",Base!J374)</f>
        <v/>
      </c>
      <c r="E376" s="112" t="str">
        <f>IF(Base!H374="","",Base!H374)</f>
        <v/>
      </c>
    </row>
    <row r="377" spans="1:5">
      <c r="A377" s="112" t="str">
        <f>IF(Base!B375="","",Base!B375)</f>
        <v/>
      </c>
      <c r="B377" s="112" t="str">
        <f>IF(Base!F375="","",Base!F375)</f>
        <v/>
      </c>
      <c r="C377" s="112" t="str">
        <f>IF(Base!I375="","",Base!I375)</f>
        <v/>
      </c>
      <c r="D377" s="113" t="str">
        <f>IF(Base!J375="","",Base!J375)</f>
        <v/>
      </c>
      <c r="E377" s="112" t="str">
        <f>IF(Base!H375="","",Base!H375)</f>
        <v/>
      </c>
    </row>
    <row r="378" spans="1:5">
      <c r="A378" s="112" t="str">
        <f>IF(Base!B376="","",Base!B376)</f>
        <v/>
      </c>
      <c r="B378" s="112" t="str">
        <f>IF(Base!F376="","",Base!F376)</f>
        <v/>
      </c>
      <c r="C378" s="112" t="str">
        <f>IF(Base!I376="","",Base!I376)</f>
        <v/>
      </c>
      <c r="D378" s="113" t="str">
        <f>IF(Base!J376="","",Base!J376)</f>
        <v/>
      </c>
      <c r="E378" s="112" t="str">
        <f>IF(Base!H376="","",Base!H376)</f>
        <v/>
      </c>
    </row>
    <row r="379" spans="1:5">
      <c r="A379" s="112" t="str">
        <f>IF(Base!B377="","",Base!B377)</f>
        <v/>
      </c>
      <c r="B379" s="112" t="str">
        <f>IF(Base!F377="","",Base!F377)</f>
        <v/>
      </c>
      <c r="C379" s="112" t="str">
        <f>IF(Base!I377="","",Base!I377)</f>
        <v/>
      </c>
      <c r="D379" s="113" t="str">
        <f>IF(Base!J377="","",Base!J377)</f>
        <v/>
      </c>
      <c r="E379" s="112" t="str">
        <f>IF(Base!H377="","",Base!H377)</f>
        <v/>
      </c>
    </row>
    <row r="380" spans="1:5">
      <c r="A380" s="112" t="str">
        <f>IF(Base!B378="","",Base!B378)</f>
        <v/>
      </c>
      <c r="B380" s="112" t="str">
        <f>IF(Base!F378="","",Base!F378)</f>
        <v/>
      </c>
      <c r="C380" s="112" t="str">
        <f>IF(Base!I378="","",Base!I378)</f>
        <v/>
      </c>
      <c r="D380" s="113" t="str">
        <f>IF(Base!J378="","",Base!J378)</f>
        <v/>
      </c>
      <c r="E380" s="112" t="str">
        <f>IF(Base!H378="","",Base!H378)</f>
        <v/>
      </c>
    </row>
    <row r="381" spans="1:5">
      <c r="A381" s="112" t="str">
        <f>IF(Base!B379="","",Base!B379)</f>
        <v/>
      </c>
      <c r="B381" s="112" t="str">
        <f>IF(Base!F379="","",Base!F379)</f>
        <v/>
      </c>
      <c r="C381" s="112" t="str">
        <f>IF(Base!I379="","",Base!I379)</f>
        <v/>
      </c>
      <c r="D381" s="113" t="str">
        <f>IF(Base!J379="","",Base!J379)</f>
        <v/>
      </c>
      <c r="E381" s="112" t="str">
        <f>IF(Base!H379="","",Base!H379)</f>
        <v/>
      </c>
    </row>
    <row r="382" spans="1:5">
      <c r="A382" s="112" t="str">
        <f>IF(Base!B380="","",Base!B380)</f>
        <v/>
      </c>
      <c r="B382" s="112" t="str">
        <f>IF(Base!F380="","",Base!F380)</f>
        <v/>
      </c>
      <c r="C382" s="112" t="str">
        <f>IF(Base!I380="","",Base!I380)</f>
        <v/>
      </c>
      <c r="D382" s="113" t="str">
        <f>IF(Base!J380="","",Base!J380)</f>
        <v/>
      </c>
      <c r="E382" s="112" t="str">
        <f>IF(Base!H380="","",Base!H380)</f>
        <v/>
      </c>
    </row>
    <row r="383" spans="1:5">
      <c r="A383" s="112" t="str">
        <f>IF(Base!B381="","",Base!B381)</f>
        <v/>
      </c>
      <c r="B383" s="112" t="str">
        <f>IF(Base!F381="","",Base!F381)</f>
        <v/>
      </c>
      <c r="C383" s="112" t="str">
        <f>IF(Base!I381="","",Base!I381)</f>
        <v/>
      </c>
      <c r="D383" s="113" t="str">
        <f>IF(Base!J381="","",Base!J381)</f>
        <v/>
      </c>
      <c r="E383" s="112" t="str">
        <f>IF(Base!H381="","",Base!H381)</f>
        <v/>
      </c>
    </row>
    <row r="384" spans="1:5">
      <c r="A384" s="112" t="str">
        <f>IF(Base!B382="","",Base!B382)</f>
        <v/>
      </c>
      <c r="B384" s="112" t="str">
        <f>IF(Base!F382="","",Base!F382)</f>
        <v/>
      </c>
      <c r="C384" s="112" t="str">
        <f>IF(Base!I382="","",Base!I382)</f>
        <v/>
      </c>
      <c r="D384" s="113" t="str">
        <f>IF(Base!J382="","",Base!J382)</f>
        <v/>
      </c>
      <c r="E384" s="112" t="str">
        <f>IF(Base!H382="","",Base!H382)</f>
        <v/>
      </c>
    </row>
    <row r="385" spans="1:5">
      <c r="A385" s="112" t="str">
        <f>IF(Base!B383="","",Base!B383)</f>
        <v/>
      </c>
      <c r="B385" s="112" t="str">
        <f>IF(Base!F383="","",Base!F383)</f>
        <v/>
      </c>
      <c r="C385" s="112" t="str">
        <f>IF(Base!I383="","",Base!I383)</f>
        <v/>
      </c>
      <c r="D385" s="113" t="str">
        <f>IF(Base!J383="","",Base!J383)</f>
        <v/>
      </c>
      <c r="E385" s="112" t="str">
        <f>IF(Base!H383="","",Base!H383)</f>
        <v/>
      </c>
    </row>
    <row r="386" spans="1:5">
      <c r="A386" s="112" t="str">
        <f>IF(Base!B384="","",Base!B384)</f>
        <v/>
      </c>
      <c r="B386" s="112" t="str">
        <f>IF(Base!F384="","",Base!F384)</f>
        <v/>
      </c>
      <c r="C386" s="112" t="str">
        <f>IF(Base!I384="","",Base!I384)</f>
        <v/>
      </c>
      <c r="D386" s="113" t="str">
        <f>IF(Base!J384="","",Base!J384)</f>
        <v/>
      </c>
      <c r="E386" s="112" t="str">
        <f>IF(Base!H384="","",Base!H384)</f>
        <v/>
      </c>
    </row>
    <row r="387" spans="1:5">
      <c r="A387" s="112" t="str">
        <f>IF(Base!B385="","",Base!B385)</f>
        <v/>
      </c>
      <c r="B387" s="112" t="str">
        <f>IF(Base!F385="","",Base!F385)</f>
        <v/>
      </c>
      <c r="C387" s="112" t="str">
        <f>IF(Base!I385="","",Base!I385)</f>
        <v/>
      </c>
      <c r="D387" s="113" t="str">
        <f>IF(Base!J385="","",Base!J385)</f>
        <v/>
      </c>
      <c r="E387" s="112" t="str">
        <f>IF(Base!H385="","",Base!H385)</f>
        <v/>
      </c>
    </row>
    <row r="388" spans="1:5">
      <c r="A388" s="112" t="str">
        <f>IF(Base!B386="","",Base!B386)</f>
        <v/>
      </c>
      <c r="B388" s="112" t="str">
        <f>IF(Base!F386="","",Base!F386)</f>
        <v/>
      </c>
      <c r="C388" s="112" t="str">
        <f>IF(Base!I386="","",Base!I386)</f>
        <v/>
      </c>
      <c r="D388" s="113" t="str">
        <f>IF(Base!J386="","",Base!J386)</f>
        <v/>
      </c>
      <c r="E388" s="112" t="str">
        <f>IF(Base!H386="","",Base!H386)</f>
        <v/>
      </c>
    </row>
    <row r="389" spans="1:5">
      <c r="A389" s="112" t="str">
        <f>IF(Base!B387="","",Base!B387)</f>
        <v/>
      </c>
      <c r="B389" s="112" t="str">
        <f>IF(Base!F387="","",Base!F387)</f>
        <v/>
      </c>
      <c r="C389" s="112" t="str">
        <f>IF(Base!I387="","",Base!I387)</f>
        <v/>
      </c>
      <c r="D389" s="113" t="str">
        <f>IF(Base!J387="","",Base!J387)</f>
        <v/>
      </c>
      <c r="E389" s="112" t="str">
        <f>IF(Base!H387="","",Base!H387)</f>
        <v/>
      </c>
    </row>
    <row r="390" spans="1:5">
      <c r="A390" s="112" t="str">
        <f>IF(Base!B388="","",Base!B388)</f>
        <v/>
      </c>
      <c r="B390" s="112" t="str">
        <f>IF(Base!F388="","",Base!F388)</f>
        <v/>
      </c>
      <c r="C390" s="112" t="str">
        <f>IF(Base!I388="","",Base!I388)</f>
        <v/>
      </c>
      <c r="D390" s="113" t="str">
        <f>IF(Base!J388="","",Base!J388)</f>
        <v/>
      </c>
      <c r="E390" s="112" t="str">
        <f>IF(Base!H388="","",Base!H388)</f>
        <v/>
      </c>
    </row>
    <row r="391" spans="1:5">
      <c r="A391" s="112" t="str">
        <f>IF(Base!B389="","",Base!B389)</f>
        <v/>
      </c>
      <c r="B391" s="112" t="str">
        <f>IF(Base!F389="","",Base!F389)</f>
        <v/>
      </c>
      <c r="C391" s="112" t="str">
        <f>IF(Base!I389="","",Base!I389)</f>
        <v/>
      </c>
      <c r="D391" s="113" t="str">
        <f>IF(Base!J389="","",Base!J389)</f>
        <v/>
      </c>
      <c r="E391" s="112" t="str">
        <f>IF(Base!H389="","",Base!H389)</f>
        <v/>
      </c>
    </row>
    <row r="392" spans="1:5">
      <c r="A392" s="112" t="str">
        <f>IF(Base!B390="","",Base!B390)</f>
        <v/>
      </c>
      <c r="B392" s="112" t="str">
        <f>IF(Base!F390="","",Base!F390)</f>
        <v/>
      </c>
      <c r="C392" s="112" t="str">
        <f>IF(Base!I390="","",Base!I390)</f>
        <v/>
      </c>
      <c r="D392" s="113" t="str">
        <f>IF(Base!J390="","",Base!J390)</f>
        <v/>
      </c>
      <c r="E392" s="112" t="str">
        <f>IF(Base!H390="","",Base!H390)</f>
        <v/>
      </c>
    </row>
    <row r="393" spans="1:5">
      <c r="A393" s="112" t="str">
        <f>IF(Base!B391="","",Base!B391)</f>
        <v/>
      </c>
      <c r="B393" s="112" t="str">
        <f>IF(Base!F391="","",Base!F391)</f>
        <v/>
      </c>
      <c r="C393" s="112" t="str">
        <f>IF(Base!I391="","",Base!I391)</f>
        <v/>
      </c>
      <c r="D393" s="113" t="str">
        <f>IF(Base!J391="","",Base!J391)</f>
        <v/>
      </c>
      <c r="E393" s="112" t="str">
        <f>IF(Base!H391="","",Base!H391)</f>
        <v/>
      </c>
    </row>
    <row r="394" spans="1:5">
      <c r="A394" s="112" t="str">
        <f>IF(Base!B392="","",Base!B392)</f>
        <v/>
      </c>
      <c r="B394" s="112" t="str">
        <f>IF(Base!F392="","",Base!F392)</f>
        <v/>
      </c>
      <c r="C394" s="112" t="str">
        <f>IF(Base!I392="","",Base!I392)</f>
        <v/>
      </c>
      <c r="D394" s="113" t="str">
        <f>IF(Base!J392="","",Base!J392)</f>
        <v/>
      </c>
      <c r="E394" s="112" t="str">
        <f>IF(Base!H392="","",Base!H392)</f>
        <v/>
      </c>
    </row>
    <row r="395" spans="1:5">
      <c r="A395" s="112" t="str">
        <f>IF(Base!B393="","",Base!B393)</f>
        <v/>
      </c>
      <c r="B395" s="112" t="str">
        <f>IF(Base!F393="","",Base!F393)</f>
        <v/>
      </c>
      <c r="C395" s="112" t="str">
        <f>IF(Base!I393="","",Base!I393)</f>
        <v/>
      </c>
      <c r="D395" s="113" t="str">
        <f>IF(Base!J393="","",Base!J393)</f>
        <v/>
      </c>
      <c r="E395" s="112" t="str">
        <f>IF(Base!H393="","",Base!H393)</f>
        <v/>
      </c>
    </row>
    <row r="396" spans="1:5">
      <c r="A396" s="112" t="str">
        <f>IF(Base!B394="","",Base!B394)</f>
        <v/>
      </c>
      <c r="B396" s="112" t="str">
        <f>IF(Base!F394="","",Base!F394)</f>
        <v/>
      </c>
      <c r="C396" s="112" t="str">
        <f>IF(Base!I394="","",Base!I394)</f>
        <v/>
      </c>
      <c r="D396" s="113" t="str">
        <f>IF(Base!J394="","",Base!J394)</f>
        <v/>
      </c>
      <c r="E396" s="112" t="str">
        <f>IF(Base!H394="","",Base!H394)</f>
        <v/>
      </c>
    </row>
    <row r="397" spans="1:5">
      <c r="A397" s="112" t="str">
        <f>IF(Base!B395="","",Base!B395)</f>
        <v/>
      </c>
      <c r="B397" s="112" t="str">
        <f>IF(Base!F395="","",Base!F395)</f>
        <v/>
      </c>
      <c r="C397" s="112" t="str">
        <f>IF(Base!I395="","",Base!I395)</f>
        <v/>
      </c>
      <c r="D397" s="113" t="str">
        <f>IF(Base!J395="","",Base!J395)</f>
        <v/>
      </c>
      <c r="E397" s="112" t="str">
        <f>IF(Base!H395="","",Base!H395)</f>
        <v/>
      </c>
    </row>
    <row r="398" spans="1:5">
      <c r="A398" s="112" t="str">
        <f>IF(Base!B396="","",Base!B396)</f>
        <v/>
      </c>
      <c r="B398" s="112" t="str">
        <f>IF(Base!F396="","",Base!F396)</f>
        <v/>
      </c>
      <c r="C398" s="112" t="str">
        <f>IF(Base!I396="","",Base!I396)</f>
        <v/>
      </c>
      <c r="D398" s="113" t="str">
        <f>IF(Base!J396="","",Base!J396)</f>
        <v/>
      </c>
      <c r="E398" s="112" t="str">
        <f>IF(Base!H396="","",Base!H396)</f>
        <v/>
      </c>
    </row>
    <row r="399" spans="1:5">
      <c r="A399" s="112" t="str">
        <f>IF(Base!B397="","",Base!B397)</f>
        <v/>
      </c>
      <c r="B399" s="112" t="str">
        <f>IF(Base!F397="","",Base!F397)</f>
        <v/>
      </c>
      <c r="C399" s="112" t="str">
        <f>IF(Base!I397="","",Base!I397)</f>
        <v/>
      </c>
      <c r="D399" s="113" t="str">
        <f>IF(Base!J397="","",Base!J397)</f>
        <v/>
      </c>
      <c r="E399" s="112" t="str">
        <f>IF(Base!H397="","",Base!H397)</f>
        <v/>
      </c>
    </row>
    <row r="400" spans="1:5">
      <c r="A400" s="112" t="str">
        <f>IF(Base!B398="","",Base!B398)</f>
        <v/>
      </c>
      <c r="B400" s="112" t="str">
        <f>IF(Base!F398="","",Base!F398)</f>
        <v/>
      </c>
      <c r="C400" s="112" t="str">
        <f>IF(Base!I398="","",Base!I398)</f>
        <v/>
      </c>
      <c r="D400" s="113" t="str">
        <f>IF(Base!J398="","",Base!J398)</f>
        <v/>
      </c>
      <c r="E400" s="112" t="str">
        <f>IF(Base!H398="","",Base!H398)</f>
        <v/>
      </c>
    </row>
    <row r="401" spans="1:5">
      <c r="A401" s="112" t="str">
        <f>IF(Base!B399="","",Base!B399)</f>
        <v/>
      </c>
      <c r="B401" s="112" t="str">
        <f>IF(Base!F399="","",Base!F399)</f>
        <v/>
      </c>
      <c r="C401" s="112" t="str">
        <f>IF(Base!I399="","",Base!I399)</f>
        <v/>
      </c>
      <c r="D401" s="113" t="str">
        <f>IF(Base!J399="","",Base!J399)</f>
        <v/>
      </c>
      <c r="E401" s="112" t="str">
        <f>IF(Base!H399="","",Base!H399)</f>
        <v/>
      </c>
    </row>
    <row r="402" spans="1:5">
      <c r="A402" s="112" t="str">
        <f>IF(Base!B400="","",Base!B400)</f>
        <v/>
      </c>
      <c r="B402" s="112" t="str">
        <f>IF(Base!F400="","",Base!F400)</f>
        <v/>
      </c>
      <c r="C402" s="112" t="str">
        <f>IF(Base!I400="","",Base!I400)</f>
        <v/>
      </c>
      <c r="D402" s="113" t="str">
        <f>IF(Base!J400="","",Base!J400)</f>
        <v/>
      </c>
      <c r="E402" s="112" t="str">
        <f>IF(Base!H400="","",Base!H400)</f>
        <v/>
      </c>
    </row>
    <row r="403" spans="1:5">
      <c r="A403" s="112" t="str">
        <f>IF(Base!B401="","",Base!B401)</f>
        <v/>
      </c>
      <c r="B403" s="112" t="str">
        <f>IF(Base!F401="","",Base!F401)</f>
        <v/>
      </c>
      <c r="C403" s="112" t="str">
        <f>IF(Base!I401="","",Base!I401)</f>
        <v/>
      </c>
      <c r="D403" s="113" t="str">
        <f>IF(Base!J401="","",Base!J401)</f>
        <v/>
      </c>
      <c r="E403" s="112" t="str">
        <f>IF(Base!H401="","",Base!H401)</f>
        <v/>
      </c>
    </row>
    <row r="404" spans="1:5">
      <c r="A404" s="112" t="str">
        <f>IF(Base!B402="","",Base!B402)</f>
        <v/>
      </c>
      <c r="B404" s="112" t="str">
        <f>IF(Base!F402="","",Base!F402)</f>
        <v/>
      </c>
      <c r="C404" s="112" t="str">
        <f>IF(Base!I402="","",Base!I402)</f>
        <v/>
      </c>
      <c r="D404" s="113" t="str">
        <f>IF(Base!J402="","",Base!J402)</f>
        <v/>
      </c>
      <c r="E404" s="112" t="str">
        <f>IF(Base!H402="","",Base!H402)</f>
        <v/>
      </c>
    </row>
    <row r="405" spans="1:5">
      <c r="A405" s="112" t="str">
        <f>IF(Base!B403="","",Base!B403)</f>
        <v/>
      </c>
      <c r="B405" s="112" t="str">
        <f>IF(Base!F403="","",Base!F403)</f>
        <v/>
      </c>
      <c r="C405" s="112" t="str">
        <f>IF(Base!I403="","",Base!I403)</f>
        <v/>
      </c>
      <c r="D405" s="113" t="str">
        <f>IF(Base!J403="","",Base!J403)</f>
        <v/>
      </c>
      <c r="E405" s="112" t="str">
        <f>IF(Base!H403="","",Base!H403)</f>
        <v/>
      </c>
    </row>
    <row r="406" spans="1:5">
      <c r="A406" s="112" t="str">
        <f>IF(Base!B404="","",Base!B404)</f>
        <v/>
      </c>
      <c r="B406" s="112" t="str">
        <f>IF(Base!F404="","",Base!F404)</f>
        <v/>
      </c>
      <c r="C406" s="112" t="str">
        <f>IF(Base!I404="","",Base!I404)</f>
        <v/>
      </c>
      <c r="D406" s="113" t="str">
        <f>IF(Base!J404="","",Base!J404)</f>
        <v/>
      </c>
      <c r="E406" s="112" t="str">
        <f>IF(Base!H404="","",Base!H404)</f>
        <v/>
      </c>
    </row>
    <row r="407" spans="1:5">
      <c r="A407" s="112" t="str">
        <f>IF(Base!B405="","",Base!B405)</f>
        <v/>
      </c>
      <c r="B407" s="112" t="str">
        <f>IF(Base!F405="","",Base!F405)</f>
        <v/>
      </c>
      <c r="C407" s="112" t="str">
        <f>IF(Base!I405="","",Base!I405)</f>
        <v/>
      </c>
      <c r="D407" s="113" t="str">
        <f>IF(Base!J405="","",Base!J405)</f>
        <v/>
      </c>
      <c r="E407" s="112" t="str">
        <f>IF(Base!H405="","",Base!H405)</f>
        <v/>
      </c>
    </row>
    <row r="408" spans="1:5">
      <c r="A408" s="112" t="str">
        <f>IF(Base!B406="","",Base!B406)</f>
        <v/>
      </c>
      <c r="B408" s="112" t="str">
        <f>IF(Base!F406="","",Base!F406)</f>
        <v/>
      </c>
      <c r="C408" s="112" t="str">
        <f>IF(Base!I406="","",Base!I406)</f>
        <v/>
      </c>
      <c r="D408" s="113" t="str">
        <f>IF(Base!J406="","",Base!J406)</f>
        <v/>
      </c>
      <c r="E408" s="112" t="str">
        <f>IF(Base!H406="","",Base!H406)</f>
        <v/>
      </c>
    </row>
    <row r="409" spans="1:5">
      <c r="A409" s="112" t="str">
        <f>IF(Base!B407="","",Base!B407)</f>
        <v/>
      </c>
      <c r="B409" s="112" t="str">
        <f>IF(Base!F407="","",Base!F407)</f>
        <v/>
      </c>
      <c r="C409" s="112" t="str">
        <f>IF(Base!I407="","",Base!I407)</f>
        <v/>
      </c>
      <c r="D409" s="113" t="str">
        <f>IF(Base!J407="","",Base!J407)</f>
        <v/>
      </c>
      <c r="E409" s="112" t="str">
        <f>IF(Base!H407="","",Base!H407)</f>
        <v/>
      </c>
    </row>
    <row r="410" spans="1:5">
      <c r="A410" s="112" t="str">
        <f>IF(Base!B408="","",Base!B408)</f>
        <v/>
      </c>
      <c r="B410" s="112" t="str">
        <f>IF(Base!F408="","",Base!F408)</f>
        <v/>
      </c>
      <c r="C410" s="112" t="str">
        <f>IF(Base!I408="","",Base!I408)</f>
        <v/>
      </c>
      <c r="D410" s="113" t="str">
        <f>IF(Base!J408="","",Base!J408)</f>
        <v/>
      </c>
      <c r="E410" s="112" t="str">
        <f>IF(Base!H408="","",Base!H408)</f>
        <v/>
      </c>
    </row>
    <row r="411" spans="1:5">
      <c r="A411" s="112" t="str">
        <f>IF(Base!B409="","",Base!B409)</f>
        <v/>
      </c>
      <c r="B411" s="112" t="str">
        <f>IF(Base!F409="","",Base!F409)</f>
        <v/>
      </c>
      <c r="C411" s="112" t="str">
        <f>IF(Base!I409="","",Base!I409)</f>
        <v/>
      </c>
      <c r="D411" s="113" t="str">
        <f>IF(Base!J409="","",Base!J409)</f>
        <v/>
      </c>
      <c r="E411" s="112" t="str">
        <f>IF(Base!H409="","",Base!H409)</f>
        <v/>
      </c>
    </row>
    <row r="412" spans="1:5">
      <c r="A412" s="112" t="str">
        <f>IF(Base!B410="","",Base!B410)</f>
        <v/>
      </c>
      <c r="B412" s="112" t="str">
        <f>IF(Base!F410="","",Base!F410)</f>
        <v/>
      </c>
      <c r="C412" s="112" t="str">
        <f>IF(Base!I410="","",Base!I410)</f>
        <v/>
      </c>
      <c r="D412" s="113" t="str">
        <f>IF(Base!J410="","",Base!J410)</f>
        <v/>
      </c>
      <c r="E412" s="112" t="str">
        <f>IF(Base!H410="","",Base!H410)</f>
        <v/>
      </c>
    </row>
    <row r="413" spans="1:5">
      <c r="A413" s="112" t="str">
        <f>IF(Base!B411="","",Base!B411)</f>
        <v/>
      </c>
      <c r="B413" s="112" t="str">
        <f>IF(Base!F411="","",Base!F411)</f>
        <v/>
      </c>
      <c r="C413" s="112" t="str">
        <f>IF(Base!I411="","",Base!I411)</f>
        <v/>
      </c>
      <c r="D413" s="113" t="str">
        <f>IF(Base!J411="","",Base!J411)</f>
        <v/>
      </c>
      <c r="E413" s="112" t="str">
        <f>IF(Base!H411="","",Base!H411)</f>
        <v/>
      </c>
    </row>
    <row r="414" spans="1:5">
      <c r="A414" s="112" t="str">
        <f>IF(Base!B412="","",Base!B412)</f>
        <v/>
      </c>
      <c r="B414" s="112" t="str">
        <f>IF(Base!F412="","",Base!F412)</f>
        <v/>
      </c>
      <c r="C414" s="112" t="str">
        <f>IF(Base!I412="","",Base!I412)</f>
        <v/>
      </c>
      <c r="D414" s="113" t="str">
        <f>IF(Base!J412="","",Base!J412)</f>
        <v/>
      </c>
      <c r="E414" s="112" t="str">
        <f>IF(Base!H412="","",Base!H412)</f>
        <v/>
      </c>
    </row>
    <row r="415" spans="1:5">
      <c r="A415" s="112" t="str">
        <f>IF(Base!B413="","",Base!B413)</f>
        <v/>
      </c>
      <c r="B415" s="112" t="str">
        <f>IF(Base!F413="","",Base!F413)</f>
        <v/>
      </c>
      <c r="C415" s="112" t="str">
        <f>IF(Base!I413="","",Base!I413)</f>
        <v/>
      </c>
      <c r="D415" s="113" t="str">
        <f>IF(Base!J413="","",Base!J413)</f>
        <v/>
      </c>
      <c r="E415" s="112" t="str">
        <f>IF(Base!H413="","",Base!H413)</f>
        <v/>
      </c>
    </row>
    <row r="416" spans="1:5">
      <c r="A416" s="112" t="str">
        <f>IF(Base!B414="","",Base!B414)</f>
        <v/>
      </c>
      <c r="B416" s="112" t="str">
        <f>IF(Base!F414="","",Base!F414)</f>
        <v/>
      </c>
      <c r="C416" s="112" t="str">
        <f>IF(Base!I414="","",Base!I414)</f>
        <v/>
      </c>
      <c r="D416" s="113" t="str">
        <f>IF(Base!J414="","",Base!J414)</f>
        <v/>
      </c>
      <c r="E416" s="112" t="str">
        <f>IF(Base!H414="","",Base!H414)</f>
        <v/>
      </c>
    </row>
    <row r="417" spans="1:5">
      <c r="A417" s="112" t="str">
        <f>IF(Base!B415="","",Base!B415)</f>
        <v/>
      </c>
      <c r="B417" s="112" t="str">
        <f>IF(Base!F415="","",Base!F415)</f>
        <v/>
      </c>
      <c r="C417" s="112" t="str">
        <f>IF(Base!I415="","",Base!I415)</f>
        <v/>
      </c>
      <c r="D417" s="113" t="str">
        <f>IF(Base!J415="","",Base!J415)</f>
        <v/>
      </c>
      <c r="E417" s="112" t="str">
        <f>IF(Base!H415="","",Base!H415)</f>
        <v/>
      </c>
    </row>
    <row r="418" spans="1:5">
      <c r="A418" s="112" t="str">
        <f>IF(Base!B416="","",Base!B416)</f>
        <v/>
      </c>
      <c r="B418" s="112" t="str">
        <f>IF(Base!F416="","",Base!F416)</f>
        <v/>
      </c>
      <c r="C418" s="112" t="str">
        <f>IF(Base!I416="","",Base!I416)</f>
        <v/>
      </c>
      <c r="D418" s="113" t="str">
        <f>IF(Base!J416="","",Base!J416)</f>
        <v/>
      </c>
      <c r="E418" s="112" t="str">
        <f>IF(Base!H416="","",Base!H416)</f>
        <v/>
      </c>
    </row>
    <row r="419" spans="1:5">
      <c r="A419" s="112" t="str">
        <f>IF(Base!B417="","",Base!B417)</f>
        <v/>
      </c>
      <c r="B419" s="112" t="str">
        <f>IF(Base!F417="","",Base!F417)</f>
        <v/>
      </c>
      <c r="C419" s="112" t="str">
        <f>IF(Base!I417="","",Base!I417)</f>
        <v/>
      </c>
      <c r="D419" s="113" t="str">
        <f>IF(Base!J417="","",Base!J417)</f>
        <v/>
      </c>
      <c r="E419" s="112" t="str">
        <f>IF(Base!H417="","",Base!H417)</f>
        <v/>
      </c>
    </row>
    <row r="420" spans="1:5">
      <c r="A420" s="112" t="str">
        <f>IF(Base!B418="","",Base!B418)</f>
        <v/>
      </c>
      <c r="B420" s="112" t="str">
        <f>IF(Base!F418="","",Base!F418)</f>
        <v/>
      </c>
      <c r="C420" s="112" t="str">
        <f>IF(Base!I418="","",Base!I418)</f>
        <v/>
      </c>
      <c r="D420" s="113" t="str">
        <f>IF(Base!J418="","",Base!J418)</f>
        <v/>
      </c>
      <c r="E420" s="112" t="str">
        <f>IF(Base!H418="","",Base!H418)</f>
        <v/>
      </c>
    </row>
    <row r="421" spans="1:5">
      <c r="A421" s="112" t="str">
        <f>IF(Base!B419="","",Base!B419)</f>
        <v/>
      </c>
      <c r="B421" s="112" t="str">
        <f>IF(Base!F419="","",Base!F419)</f>
        <v/>
      </c>
      <c r="C421" s="112" t="str">
        <f>IF(Base!I419="","",Base!I419)</f>
        <v/>
      </c>
      <c r="D421" s="113" t="str">
        <f>IF(Base!J419="","",Base!J419)</f>
        <v/>
      </c>
      <c r="E421" s="112" t="str">
        <f>IF(Base!H419="","",Base!H419)</f>
        <v/>
      </c>
    </row>
    <row r="422" spans="1:5">
      <c r="A422" s="112" t="str">
        <f>IF(Base!B420="","",Base!B420)</f>
        <v/>
      </c>
      <c r="B422" s="112" t="str">
        <f>IF(Base!F420="","",Base!F420)</f>
        <v/>
      </c>
      <c r="C422" s="112" t="str">
        <f>IF(Base!I420="","",Base!I420)</f>
        <v/>
      </c>
      <c r="D422" s="113" t="str">
        <f>IF(Base!J420="","",Base!J420)</f>
        <v/>
      </c>
      <c r="E422" s="112" t="str">
        <f>IF(Base!H420="","",Base!H420)</f>
        <v/>
      </c>
    </row>
    <row r="423" spans="1:5">
      <c r="A423" s="112" t="str">
        <f>IF(Base!B421="","",Base!B421)</f>
        <v/>
      </c>
      <c r="B423" s="112" t="str">
        <f>IF(Base!F421="","",Base!F421)</f>
        <v/>
      </c>
      <c r="C423" s="112" t="str">
        <f>IF(Base!I421="","",Base!I421)</f>
        <v/>
      </c>
      <c r="D423" s="113" t="str">
        <f>IF(Base!J421="","",Base!J421)</f>
        <v/>
      </c>
      <c r="E423" s="112" t="str">
        <f>IF(Base!H421="","",Base!H421)</f>
        <v/>
      </c>
    </row>
    <row r="424" spans="1:5">
      <c r="A424" s="112" t="str">
        <f>IF(Base!B422="","",Base!B422)</f>
        <v/>
      </c>
      <c r="B424" s="112" t="str">
        <f>IF(Base!F422="","",Base!F422)</f>
        <v/>
      </c>
      <c r="C424" s="112" t="str">
        <f>IF(Base!I422="","",Base!I422)</f>
        <v/>
      </c>
      <c r="D424" s="113" t="str">
        <f>IF(Base!J422="","",Base!J422)</f>
        <v/>
      </c>
      <c r="E424" s="112" t="str">
        <f>IF(Base!H422="","",Base!H422)</f>
        <v/>
      </c>
    </row>
    <row r="425" spans="1:5">
      <c r="A425" s="112" t="str">
        <f>IF(Base!B423="","",Base!B423)</f>
        <v/>
      </c>
      <c r="B425" s="112" t="str">
        <f>IF(Base!F423="","",Base!F423)</f>
        <v/>
      </c>
      <c r="C425" s="112" t="str">
        <f>IF(Base!I423="","",Base!I423)</f>
        <v/>
      </c>
      <c r="D425" s="113" t="str">
        <f>IF(Base!J423="","",Base!J423)</f>
        <v/>
      </c>
      <c r="E425" s="112" t="str">
        <f>IF(Base!H423="","",Base!H423)</f>
        <v/>
      </c>
    </row>
    <row r="426" spans="1:5">
      <c r="A426" s="112" t="str">
        <f>IF(Base!B424="","",Base!B424)</f>
        <v/>
      </c>
      <c r="B426" s="112" t="str">
        <f>IF(Base!F424="","",Base!F424)</f>
        <v/>
      </c>
      <c r="C426" s="112" t="str">
        <f>IF(Base!I424="","",Base!I424)</f>
        <v/>
      </c>
      <c r="D426" s="113" t="str">
        <f>IF(Base!J424="","",Base!J424)</f>
        <v/>
      </c>
      <c r="E426" s="112" t="str">
        <f>IF(Base!H424="","",Base!H424)</f>
        <v/>
      </c>
    </row>
    <row r="427" spans="1:5">
      <c r="A427" s="112" t="str">
        <f>IF(Base!B425="","",Base!B425)</f>
        <v/>
      </c>
      <c r="B427" s="112" t="str">
        <f>IF(Base!F425="","",Base!F425)</f>
        <v/>
      </c>
      <c r="C427" s="112" t="str">
        <f>IF(Base!I425="","",Base!I425)</f>
        <v/>
      </c>
      <c r="D427" s="113" t="str">
        <f>IF(Base!J425="","",Base!J425)</f>
        <v/>
      </c>
      <c r="E427" s="112" t="str">
        <f>IF(Base!H425="","",Base!H425)</f>
        <v/>
      </c>
    </row>
    <row r="428" spans="1:5">
      <c r="A428" s="112" t="str">
        <f>IF(Base!B426="","",Base!B426)</f>
        <v/>
      </c>
      <c r="B428" s="112" t="str">
        <f>IF(Base!F426="","",Base!F426)</f>
        <v/>
      </c>
      <c r="C428" s="112" t="str">
        <f>IF(Base!I426="","",Base!I426)</f>
        <v/>
      </c>
      <c r="D428" s="113" t="str">
        <f>IF(Base!J426="","",Base!J426)</f>
        <v/>
      </c>
      <c r="E428" s="112" t="str">
        <f>IF(Base!H426="","",Base!H426)</f>
        <v/>
      </c>
    </row>
    <row r="429" spans="1:5">
      <c r="A429" s="112" t="str">
        <f>IF(Base!B427="","",Base!B427)</f>
        <v/>
      </c>
      <c r="B429" s="112" t="str">
        <f>IF(Base!F427="","",Base!F427)</f>
        <v/>
      </c>
      <c r="C429" s="112" t="str">
        <f>IF(Base!I427="","",Base!I427)</f>
        <v/>
      </c>
      <c r="D429" s="113" t="str">
        <f>IF(Base!J427="","",Base!J427)</f>
        <v/>
      </c>
      <c r="E429" s="112" t="str">
        <f>IF(Base!H427="","",Base!H427)</f>
        <v/>
      </c>
    </row>
    <row r="430" spans="1:5">
      <c r="A430" s="112" t="str">
        <f>IF(Base!B428="","",Base!B428)</f>
        <v/>
      </c>
      <c r="B430" s="112" t="str">
        <f>IF(Base!F428="","",Base!F428)</f>
        <v/>
      </c>
      <c r="C430" s="112" t="str">
        <f>IF(Base!I428="","",Base!I428)</f>
        <v/>
      </c>
      <c r="D430" s="113" t="str">
        <f>IF(Base!J428="","",Base!J428)</f>
        <v/>
      </c>
      <c r="E430" s="112" t="str">
        <f>IF(Base!H428="","",Base!H428)</f>
        <v/>
      </c>
    </row>
    <row r="431" spans="1:5">
      <c r="A431" s="112" t="str">
        <f>IF(Base!B429="","",Base!B429)</f>
        <v/>
      </c>
      <c r="B431" s="112" t="str">
        <f>IF(Base!F429="","",Base!F429)</f>
        <v/>
      </c>
      <c r="C431" s="112" t="str">
        <f>IF(Base!I429="","",Base!I429)</f>
        <v/>
      </c>
      <c r="D431" s="113" t="str">
        <f>IF(Base!J429="","",Base!J429)</f>
        <v/>
      </c>
      <c r="E431" s="112" t="str">
        <f>IF(Base!H429="","",Base!H429)</f>
        <v/>
      </c>
    </row>
    <row r="432" spans="1:5">
      <c r="A432" s="112" t="str">
        <f>IF(Base!B430="","",Base!B430)</f>
        <v/>
      </c>
      <c r="B432" s="112" t="str">
        <f>IF(Base!F430="","",Base!F430)</f>
        <v/>
      </c>
      <c r="C432" s="112" t="str">
        <f>IF(Base!I430="","",Base!I430)</f>
        <v/>
      </c>
      <c r="D432" s="113" t="str">
        <f>IF(Base!J430="","",Base!J430)</f>
        <v/>
      </c>
      <c r="E432" s="112" t="str">
        <f>IF(Base!H430="","",Base!H430)</f>
        <v/>
      </c>
    </row>
    <row r="433" spans="1:5">
      <c r="A433" s="112" t="str">
        <f>IF(Base!B431="","",Base!B431)</f>
        <v/>
      </c>
      <c r="B433" s="112" t="str">
        <f>IF(Base!F431="","",Base!F431)</f>
        <v/>
      </c>
      <c r="C433" s="112" t="str">
        <f>IF(Base!I431="","",Base!I431)</f>
        <v/>
      </c>
      <c r="D433" s="113" t="str">
        <f>IF(Base!J431="","",Base!J431)</f>
        <v/>
      </c>
      <c r="E433" s="112" t="str">
        <f>IF(Base!H431="","",Base!H431)</f>
        <v/>
      </c>
    </row>
    <row r="434" spans="1:5">
      <c r="A434" s="112" t="str">
        <f>IF(Base!B432="","",Base!B432)</f>
        <v/>
      </c>
      <c r="B434" s="112" t="str">
        <f>IF(Base!F432="","",Base!F432)</f>
        <v/>
      </c>
      <c r="C434" s="112" t="str">
        <f>IF(Base!I432="","",Base!I432)</f>
        <v/>
      </c>
      <c r="D434" s="113" t="str">
        <f>IF(Base!J432="","",Base!J432)</f>
        <v/>
      </c>
      <c r="E434" s="112" t="str">
        <f>IF(Base!H432="","",Base!H432)</f>
        <v/>
      </c>
    </row>
    <row r="435" spans="1:5">
      <c r="A435" s="112" t="str">
        <f>IF(Base!B433="","",Base!B433)</f>
        <v/>
      </c>
      <c r="B435" s="112" t="str">
        <f>IF(Base!F433="","",Base!F433)</f>
        <v/>
      </c>
      <c r="C435" s="112" t="str">
        <f>IF(Base!I433="","",Base!I433)</f>
        <v/>
      </c>
      <c r="D435" s="113" t="str">
        <f>IF(Base!J433="","",Base!J433)</f>
        <v/>
      </c>
      <c r="E435" s="112" t="str">
        <f>IF(Base!H433="","",Base!H433)</f>
        <v/>
      </c>
    </row>
    <row r="436" spans="1:5">
      <c r="A436" s="112" t="str">
        <f>IF(Base!B434="","",Base!B434)</f>
        <v/>
      </c>
      <c r="B436" s="112" t="str">
        <f>IF(Base!F434="","",Base!F434)</f>
        <v/>
      </c>
      <c r="C436" s="112" t="str">
        <f>IF(Base!I434="","",Base!I434)</f>
        <v/>
      </c>
      <c r="D436" s="113" t="str">
        <f>IF(Base!J434="","",Base!J434)</f>
        <v/>
      </c>
      <c r="E436" s="112" t="str">
        <f>IF(Base!H434="","",Base!H434)</f>
        <v/>
      </c>
    </row>
    <row r="437" spans="1:5">
      <c r="A437" s="112" t="str">
        <f>IF(Base!B435="","",Base!B435)</f>
        <v/>
      </c>
      <c r="B437" s="112" t="str">
        <f>IF(Base!F435="","",Base!F435)</f>
        <v/>
      </c>
      <c r="C437" s="112" t="str">
        <f>IF(Base!I435="","",Base!I435)</f>
        <v/>
      </c>
      <c r="D437" s="113" t="str">
        <f>IF(Base!J435="","",Base!J435)</f>
        <v/>
      </c>
      <c r="E437" s="112" t="str">
        <f>IF(Base!H435="","",Base!H435)</f>
        <v/>
      </c>
    </row>
    <row r="438" spans="1:5">
      <c r="A438" s="112" t="str">
        <f>IF(Base!B436="","",Base!B436)</f>
        <v/>
      </c>
      <c r="B438" s="112" t="str">
        <f>IF(Base!F436="","",Base!F436)</f>
        <v/>
      </c>
      <c r="C438" s="112" t="str">
        <f>IF(Base!I436="","",Base!I436)</f>
        <v/>
      </c>
      <c r="D438" s="113" t="str">
        <f>IF(Base!J436="","",Base!J436)</f>
        <v/>
      </c>
      <c r="E438" s="112" t="str">
        <f>IF(Base!H436="","",Base!H436)</f>
        <v/>
      </c>
    </row>
    <row r="439" spans="1:5">
      <c r="A439" s="112" t="str">
        <f>IF(Base!B437="","",Base!B437)</f>
        <v/>
      </c>
      <c r="B439" s="112" t="str">
        <f>IF(Base!F437="","",Base!F437)</f>
        <v/>
      </c>
      <c r="C439" s="112" t="str">
        <f>IF(Base!I437="","",Base!I437)</f>
        <v/>
      </c>
      <c r="D439" s="113" t="str">
        <f>IF(Base!J437="","",Base!J437)</f>
        <v/>
      </c>
      <c r="E439" s="112" t="str">
        <f>IF(Base!H437="","",Base!H437)</f>
        <v/>
      </c>
    </row>
    <row r="440" spans="1:5">
      <c r="A440" s="112" t="str">
        <f>IF(Base!B438="","",Base!B438)</f>
        <v/>
      </c>
      <c r="B440" s="112" t="str">
        <f>IF(Base!F438="","",Base!F438)</f>
        <v/>
      </c>
      <c r="C440" s="112" t="str">
        <f>IF(Base!I438="","",Base!I438)</f>
        <v/>
      </c>
      <c r="D440" s="113" t="str">
        <f>IF(Base!J438="","",Base!J438)</f>
        <v/>
      </c>
      <c r="E440" s="112" t="str">
        <f>IF(Base!H438="","",Base!H438)</f>
        <v/>
      </c>
    </row>
    <row r="441" spans="1:5">
      <c r="A441" s="112" t="str">
        <f>IF(Base!B439="","",Base!B439)</f>
        <v/>
      </c>
      <c r="B441" s="112" t="str">
        <f>IF(Base!F439="","",Base!F439)</f>
        <v/>
      </c>
      <c r="C441" s="112" t="str">
        <f>IF(Base!I439="","",Base!I439)</f>
        <v/>
      </c>
      <c r="D441" s="113" t="str">
        <f>IF(Base!J439="","",Base!J439)</f>
        <v/>
      </c>
      <c r="E441" s="112" t="str">
        <f>IF(Base!H439="","",Base!H439)</f>
        <v/>
      </c>
    </row>
    <row r="442" spans="1:5">
      <c r="A442" s="112" t="str">
        <f>IF(Base!B440="","",Base!B440)</f>
        <v/>
      </c>
      <c r="B442" s="112" t="str">
        <f>IF(Base!F440="","",Base!F440)</f>
        <v/>
      </c>
      <c r="C442" s="112" t="str">
        <f>IF(Base!I440="","",Base!I440)</f>
        <v/>
      </c>
      <c r="D442" s="113" t="str">
        <f>IF(Base!J440="","",Base!J440)</f>
        <v/>
      </c>
      <c r="E442" s="112" t="str">
        <f>IF(Base!H440="","",Base!H440)</f>
        <v/>
      </c>
    </row>
    <row r="443" spans="1:5">
      <c r="A443" s="112" t="str">
        <f>IF(Base!B441="","",Base!B441)</f>
        <v/>
      </c>
      <c r="B443" s="112" t="str">
        <f>IF(Base!F441="","",Base!F441)</f>
        <v/>
      </c>
      <c r="C443" s="112" t="str">
        <f>IF(Base!I441="","",Base!I441)</f>
        <v/>
      </c>
      <c r="D443" s="113" t="str">
        <f>IF(Base!J441="","",Base!J441)</f>
        <v/>
      </c>
      <c r="E443" s="112" t="str">
        <f>IF(Base!H441="","",Base!H441)</f>
        <v/>
      </c>
    </row>
    <row r="444" spans="1:5">
      <c r="A444" s="112" t="str">
        <f>IF(Base!B442="","",Base!B442)</f>
        <v/>
      </c>
      <c r="B444" s="112" t="str">
        <f>IF(Base!F442="","",Base!F442)</f>
        <v/>
      </c>
      <c r="C444" s="112" t="str">
        <f>IF(Base!I442="","",Base!I442)</f>
        <v/>
      </c>
      <c r="D444" s="113" t="str">
        <f>IF(Base!J442="","",Base!J442)</f>
        <v/>
      </c>
      <c r="E444" s="112" t="str">
        <f>IF(Base!H442="","",Base!H442)</f>
        <v/>
      </c>
    </row>
    <row r="445" spans="1:5">
      <c r="A445" s="112" t="str">
        <f>IF(Base!B443="","",Base!B443)</f>
        <v/>
      </c>
      <c r="B445" s="112" t="str">
        <f>IF(Base!F443="","",Base!F443)</f>
        <v/>
      </c>
      <c r="C445" s="112" t="str">
        <f>IF(Base!I443="","",Base!I443)</f>
        <v/>
      </c>
      <c r="D445" s="113" t="str">
        <f>IF(Base!J443="","",Base!J443)</f>
        <v/>
      </c>
      <c r="E445" s="112" t="str">
        <f>IF(Base!H443="","",Base!H443)</f>
        <v/>
      </c>
    </row>
    <row r="446" spans="1:5">
      <c r="A446" s="112" t="str">
        <f>IF(Base!B444="","",Base!B444)</f>
        <v/>
      </c>
      <c r="B446" s="112" t="str">
        <f>IF(Base!F444="","",Base!F444)</f>
        <v/>
      </c>
      <c r="C446" s="112" t="str">
        <f>IF(Base!I444="","",Base!I444)</f>
        <v/>
      </c>
      <c r="D446" s="113" t="str">
        <f>IF(Base!J444="","",Base!J444)</f>
        <v/>
      </c>
      <c r="E446" s="112" t="str">
        <f>IF(Base!H444="","",Base!H444)</f>
        <v/>
      </c>
    </row>
    <row r="447" spans="1:5">
      <c r="A447" s="112" t="str">
        <f>IF(Base!B445="","",Base!B445)</f>
        <v/>
      </c>
      <c r="B447" s="112" t="str">
        <f>IF(Base!F445="","",Base!F445)</f>
        <v/>
      </c>
      <c r="C447" s="112" t="str">
        <f>IF(Base!I445="","",Base!I445)</f>
        <v/>
      </c>
      <c r="D447" s="113" t="str">
        <f>IF(Base!J445="","",Base!J445)</f>
        <v/>
      </c>
      <c r="E447" s="112" t="str">
        <f>IF(Base!H445="","",Base!H445)</f>
        <v/>
      </c>
    </row>
    <row r="448" spans="1:5">
      <c r="A448" s="112" t="str">
        <f>IF(Base!B446="","",Base!B446)</f>
        <v/>
      </c>
      <c r="B448" s="112" t="str">
        <f>IF(Base!F446="","",Base!F446)</f>
        <v/>
      </c>
      <c r="C448" s="112" t="str">
        <f>IF(Base!I446="","",Base!I446)</f>
        <v/>
      </c>
      <c r="D448" s="113" t="str">
        <f>IF(Base!J446="","",Base!J446)</f>
        <v/>
      </c>
      <c r="E448" s="112" t="str">
        <f>IF(Base!H446="","",Base!H446)</f>
        <v/>
      </c>
    </row>
    <row r="449" spans="1:5">
      <c r="A449" s="112" t="str">
        <f>IF(Base!B447="","",Base!B447)</f>
        <v/>
      </c>
      <c r="B449" s="112" t="str">
        <f>IF(Base!F447="","",Base!F447)</f>
        <v/>
      </c>
      <c r="C449" s="112" t="str">
        <f>IF(Base!I447="","",Base!I447)</f>
        <v/>
      </c>
      <c r="D449" s="113" t="str">
        <f>IF(Base!J447="","",Base!J447)</f>
        <v/>
      </c>
      <c r="E449" s="112" t="str">
        <f>IF(Base!H447="","",Base!H447)</f>
        <v/>
      </c>
    </row>
    <row r="450" spans="1:5">
      <c r="A450" s="112" t="str">
        <f>IF(Base!B448="","",Base!B448)</f>
        <v/>
      </c>
      <c r="B450" s="112" t="str">
        <f>IF(Base!F448="","",Base!F448)</f>
        <v/>
      </c>
      <c r="C450" s="112" t="str">
        <f>IF(Base!I448="","",Base!I448)</f>
        <v/>
      </c>
      <c r="D450" s="113" t="str">
        <f>IF(Base!J448="","",Base!J448)</f>
        <v/>
      </c>
      <c r="E450" s="112" t="str">
        <f>IF(Base!H448="","",Base!H448)</f>
        <v/>
      </c>
    </row>
    <row r="451" spans="1:5">
      <c r="A451" s="112" t="str">
        <f>IF(Base!B449="","",Base!B449)</f>
        <v/>
      </c>
      <c r="B451" s="112" t="str">
        <f>IF(Base!F449="","",Base!F449)</f>
        <v/>
      </c>
      <c r="C451" s="112" t="str">
        <f>IF(Base!I449="","",Base!I449)</f>
        <v/>
      </c>
      <c r="D451" s="113" t="str">
        <f>IF(Base!J449="","",Base!J449)</f>
        <v/>
      </c>
      <c r="E451" s="112" t="str">
        <f>IF(Base!H449="","",Base!H449)</f>
        <v/>
      </c>
    </row>
    <row r="452" spans="1:5">
      <c r="A452" s="112" t="str">
        <f>IF(Base!B450="","",Base!B450)</f>
        <v/>
      </c>
      <c r="B452" s="112" t="str">
        <f>IF(Base!F450="","",Base!F450)</f>
        <v/>
      </c>
      <c r="C452" s="112" t="str">
        <f>IF(Base!I450="","",Base!I450)</f>
        <v/>
      </c>
      <c r="D452" s="113" t="str">
        <f>IF(Base!J450="","",Base!J450)</f>
        <v/>
      </c>
      <c r="E452" s="112" t="str">
        <f>IF(Base!H450="","",Base!H450)</f>
        <v/>
      </c>
    </row>
    <row r="453" spans="1:5">
      <c r="A453" s="112" t="str">
        <f>IF(Base!B451="","",Base!B451)</f>
        <v/>
      </c>
      <c r="B453" s="112" t="str">
        <f>IF(Base!F451="","",Base!F451)</f>
        <v/>
      </c>
      <c r="C453" s="112" t="str">
        <f>IF(Base!I451="","",Base!I451)</f>
        <v/>
      </c>
      <c r="D453" s="113" t="str">
        <f>IF(Base!J451="","",Base!J451)</f>
        <v/>
      </c>
      <c r="E453" s="112" t="str">
        <f>IF(Base!H451="","",Base!H451)</f>
        <v/>
      </c>
    </row>
    <row r="454" spans="1:5">
      <c r="A454" s="112" t="str">
        <f>IF(Base!B452="","",Base!B452)</f>
        <v/>
      </c>
      <c r="B454" s="112" t="str">
        <f>IF(Base!F452="","",Base!F452)</f>
        <v/>
      </c>
      <c r="C454" s="112" t="str">
        <f>IF(Base!I452="","",Base!I452)</f>
        <v/>
      </c>
      <c r="D454" s="113" t="str">
        <f>IF(Base!J452="","",Base!J452)</f>
        <v/>
      </c>
      <c r="E454" s="112" t="str">
        <f>IF(Base!H452="","",Base!H452)</f>
        <v/>
      </c>
    </row>
    <row r="455" spans="1:5">
      <c r="A455" s="112" t="str">
        <f>IF(Base!B453="","",Base!B453)</f>
        <v/>
      </c>
      <c r="B455" s="112" t="str">
        <f>IF(Base!F453="","",Base!F453)</f>
        <v/>
      </c>
      <c r="C455" s="112" t="str">
        <f>IF(Base!I453="","",Base!I453)</f>
        <v/>
      </c>
      <c r="D455" s="113" t="str">
        <f>IF(Base!J453="","",Base!J453)</f>
        <v/>
      </c>
      <c r="E455" s="112" t="str">
        <f>IF(Base!H453="","",Base!H453)</f>
        <v/>
      </c>
    </row>
    <row r="456" spans="1:5">
      <c r="A456" s="112" t="str">
        <f>IF(Base!B454="","",Base!B454)</f>
        <v/>
      </c>
      <c r="B456" s="112" t="str">
        <f>IF(Base!F454="","",Base!F454)</f>
        <v/>
      </c>
      <c r="C456" s="112" t="str">
        <f>IF(Base!I454="","",Base!I454)</f>
        <v/>
      </c>
      <c r="D456" s="113" t="str">
        <f>IF(Base!J454="","",Base!J454)</f>
        <v/>
      </c>
      <c r="E456" s="112" t="str">
        <f>IF(Base!H454="","",Base!H454)</f>
        <v/>
      </c>
    </row>
    <row r="457" spans="1:5">
      <c r="A457" s="112" t="str">
        <f>IF(Base!B455="","",Base!B455)</f>
        <v/>
      </c>
      <c r="B457" s="112" t="str">
        <f>IF(Base!F455="","",Base!F455)</f>
        <v/>
      </c>
      <c r="C457" s="112" t="str">
        <f>IF(Base!I455="","",Base!I455)</f>
        <v/>
      </c>
      <c r="D457" s="113" t="str">
        <f>IF(Base!J455="","",Base!J455)</f>
        <v/>
      </c>
      <c r="E457" s="112" t="str">
        <f>IF(Base!H455="","",Base!H455)</f>
        <v/>
      </c>
    </row>
    <row r="458" spans="1:5">
      <c r="A458" s="112" t="str">
        <f>IF(Base!B456="","",Base!B456)</f>
        <v/>
      </c>
      <c r="B458" s="112" t="str">
        <f>IF(Base!F456="","",Base!F456)</f>
        <v/>
      </c>
      <c r="C458" s="112" t="str">
        <f>IF(Base!I456="","",Base!I456)</f>
        <v/>
      </c>
      <c r="D458" s="113" t="str">
        <f>IF(Base!J456="","",Base!J456)</f>
        <v/>
      </c>
      <c r="E458" s="112" t="str">
        <f>IF(Base!H456="","",Base!H456)</f>
        <v/>
      </c>
    </row>
    <row r="459" spans="1:5">
      <c r="A459" s="112" t="str">
        <f>IF(Base!B457="","",Base!B457)</f>
        <v/>
      </c>
      <c r="B459" s="112" t="str">
        <f>IF(Base!F457="","",Base!F457)</f>
        <v/>
      </c>
      <c r="C459" s="112" t="str">
        <f>IF(Base!I457="","",Base!I457)</f>
        <v/>
      </c>
      <c r="D459" s="113" t="str">
        <f>IF(Base!J457="","",Base!J457)</f>
        <v/>
      </c>
      <c r="E459" s="112" t="str">
        <f>IF(Base!H457="","",Base!H457)</f>
        <v/>
      </c>
    </row>
    <row r="460" spans="1:5">
      <c r="A460" s="112" t="str">
        <f>IF(Base!B458="","",Base!B458)</f>
        <v/>
      </c>
      <c r="B460" s="112" t="str">
        <f>IF(Base!F458="","",Base!F458)</f>
        <v/>
      </c>
      <c r="C460" s="112" t="str">
        <f>IF(Base!I458="","",Base!I458)</f>
        <v/>
      </c>
      <c r="D460" s="113" t="str">
        <f>IF(Base!J458="","",Base!J458)</f>
        <v/>
      </c>
      <c r="E460" s="112" t="str">
        <f>IF(Base!H458="","",Base!H458)</f>
        <v/>
      </c>
    </row>
    <row r="461" spans="1:5">
      <c r="A461" s="112" t="str">
        <f>IF(Base!B459="","",Base!B459)</f>
        <v/>
      </c>
      <c r="B461" s="112" t="str">
        <f>IF(Base!F459="","",Base!F459)</f>
        <v/>
      </c>
      <c r="C461" s="112" t="str">
        <f>IF(Base!I459="","",Base!I459)</f>
        <v/>
      </c>
      <c r="D461" s="113" t="str">
        <f>IF(Base!J459="","",Base!J459)</f>
        <v/>
      </c>
      <c r="E461" s="112" t="str">
        <f>IF(Base!H459="","",Base!H459)</f>
        <v/>
      </c>
    </row>
    <row r="462" spans="1:5">
      <c r="A462" s="112" t="str">
        <f>IF(Base!B460="","",Base!B460)</f>
        <v/>
      </c>
      <c r="B462" s="112" t="str">
        <f>IF(Base!F460="","",Base!F460)</f>
        <v/>
      </c>
      <c r="C462" s="112" t="str">
        <f>IF(Base!I460="","",Base!I460)</f>
        <v/>
      </c>
      <c r="D462" s="113" t="str">
        <f>IF(Base!J460="","",Base!J460)</f>
        <v/>
      </c>
      <c r="E462" s="112" t="str">
        <f>IF(Base!H460="","",Base!H460)</f>
        <v/>
      </c>
    </row>
    <row r="463" spans="1:5">
      <c r="A463" s="112" t="str">
        <f>IF(Base!B461="","",Base!B461)</f>
        <v/>
      </c>
      <c r="B463" s="112" t="str">
        <f>IF(Base!F461="","",Base!F461)</f>
        <v/>
      </c>
      <c r="C463" s="112" t="str">
        <f>IF(Base!I461="","",Base!I461)</f>
        <v/>
      </c>
      <c r="D463" s="113" t="str">
        <f>IF(Base!J461="","",Base!J461)</f>
        <v/>
      </c>
      <c r="E463" s="112" t="str">
        <f>IF(Base!H461="","",Base!H461)</f>
        <v/>
      </c>
    </row>
    <row r="464" spans="1:5">
      <c r="A464" s="112" t="str">
        <f>IF(Base!B462="","",Base!B462)</f>
        <v/>
      </c>
      <c r="B464" s="112" t="str">
        <f>IF(Base!F462="","",Base!F462)</f>
        <v/>
      </c>
      <c r="C464" s="112" t="str">
        <f>IF(Base!I462="","",Base!I462)</f>
        <v/>
      </c>
      <c r="D464" s="113" t="str">
        <f>IF(Base!J462="","",Base!J462)</f>
        <v/>
      </c>
      <c r="E464" s="112" t="str">
        <f>IF(Base!H462="","",Base!H462)</f>
        <v/>
      </c>
    </row>
    <row r="465" spans="1:5">
      <c r="A465" s="112" t="str">
        <f>IF(Base!B463="","",Base!B463)</f>
        <v/>
      </c>
      <c r="B465" s="112" t="str">
        <f>IF(Base!F463="","",Base!F463)</f>
        <v/>
      </c>
      <c r="C465" s="112" t="str">
        <f>IF(Base!I463="","",Base!I463)</f>
        <v/>
      </c>
      <c r="D465" s="113" t="str">
        <f>IF(Base!J463="","",Base!J463)</f>
        <v/>
      </c>
      <c r="E465" s="112" t="str">
        <f>IF(Base!H463="","",Base!H463)</f>
        <v/>
      </c>
    </row>
    <row r="466" spans="1:5">
      <c r="A466" s="112" t="str">
        <f>IF(Base!B464="","",Base!B464)</f>
        <v/>
      </c>
      <c r="B466" s="112" t="str">
        <f>IF(Base!F464="","",Base!F464)</f>
        <v/>
      </c>
      <c r="C466" s="112" t="str">
        <f>IF(Base!I464="","",Base!I464)</f>
        <v/>
      </c>
      <c r="D466" s="113" t="str">
        <f>IF(Base!J464="","",Base!J464)</f>
        <v/>
      </c>
      <c r="E466" s="112" t="str">
        <f>IF(Base!H464="","",Base!H464)</f>
        <v/>
      </c>
    </row>
    <row r="467" spans="1:5">
      <c r="A467" s="112" t="str">
        <f>IF(Base!B465="","",Base!B465)</f>
        <v/>
      </c>
      <c r="B467" s="112" t="str">
        <f>IF(Base!F465="","",Base!F465)</f>
        <v/>
      </c>
      <c r="C467" s="112" t="str">
        <f>IF(Base!I465="","",Base!I465)</f>
        <v/>
      </c>
      <c r="D467" s="113" t="str">
        <f>IF(Base!J465="","",Base!J465)</f>
        <v/>
      </c>
      <c r="E467" s="112" t="str">
        <f>IF(Base!H465="","",Base!H465)</f>
        <v/>
      </c>
    </row>
    <row r="468" spans="1:5">
      <c r="A468" s="112" t="str">
        <f>IF(Base!B466="","",Base!B466)</f>
        <v/>
      </c>
      <c r="B468" s="112" t="str">
        <f>IF(Base!F466="","",Base!F466)</f>
        <v/>
      </c>
      <c r="C468" s="112" t="str">
        <f>IF(Base!I466="","",Base!I466)</f>
        <v/>
      </c>
      <c r="D468" s="113" t="str">
        <f>IF(Base!J466="","",Base!J466)</f>
        <v/>
      </c>
      <c r="E468" s="112" t="str">
        <f>IF(Base!H466="","",Base!H466)</f>
        <v/>
      </c>
    </row>
    <row r="469" spans="1:5">
      <c r="A469" s="112" t="str">
        <f>IF(Base!B467="","",Base!B467)</f>
        <v/>
      </c>
      <c r="B469" s="112" t="str">
        <f>IF(Base!F467="","",Base!F467)</f>
        <v/>
      </c>
      <c r="C469" s="112" t="str">
        <f>IF(Base!I467="","",Base!I467)</f>
        <v/>
      </c>
      <c r="D469" s="113" t="str">
        <f>IF(Base!J467="","",Base!J467)</f>
        <v/>
      </c>
      <c r="E469" s="112" t="str">
        <f>IF(Base!H467="","",Base!H467)</f>
        <v/>
      </c>
    </row>
    <row r="470" spans="1:5">
      <c r="A470" s="112" t="str">
        <f>IF(Base!B468="","",Base!B468)</f>
        <v/>
      </c>
      <c r="B470" s="112" t="str">
        <f>IF(Base!F468="","",Base!F468)</f>
        <v/>
      </c>
      <c r="C470" s="112" t="str">
        <f>IF(Base!I468="","",Base!I468)</f>
        <v/>
      </c>
      <c r="D470" s="113" t="str">
        <f>IF(Base!J468="","",Base!J468)</f>
        <v/>
      </c>
      <c r="E470" s="112" t="str">
        <f>IF(Base!H468="","",Base!H468)</f>
        <v/>
      </c>
    </row>
    <row r="471" spans="1:5">
      <c r="A471" s="112" t="str">
        <f>IF(Base!B469="","",Base!B469)</f>
        <v/>
      </c>
      <c r="B471" s="112" t="str">
        <f>IF(Base!F469="","",Base!F469)</f>
        <v/>
      </c>
      <c r="C471" s="112" t="str">
        <f>IF(Base!I469="","",Base!I469)</f>
        <v/>
      </c>
      <c r="D471" s="113" t="str">
        <f>IF(Base!J469="","",Base!J469)</f>
        <v/>
      </c>
      <c r="E471" s="112" t="str">
        <f>IF(Base!H469="","",Base!H469)</f>
        <v/>
      </c>
    </row>
    <row r="472" spans="1:5">
      <c r="A472" s="112" t="str">
        <f>IF(Base!B470="","",Base!B470)</f>
        <v/>
      </c>
      <c r="B472" s="112" t="str">
        <f>IF(Base!F470="","",Base!F470)</f>
        <v/>
      </c>
      <c r="C472" s="112" t="str">
        <f>IF(Base!I470="","",Base!I470)</f>
        <v/>
      </c>
      <c r="D472" s="113" t="str">
        <f>IF(Base!J470="","",Base!J470)</f>
        <v/>
      </c>
      <c r="E472" s="112" t="str">
        <f>IF(Base!H470="","",Base!H470)</f>
        <v/>
      </c>
    </row>
    <row r="473" spans="1:5">
      <c r="A473" s="112" t="str">
        <f>IF(Base!B471="","",Base!B471)</f>
        <v/>
      </c>
      <c r="B473" s="112" t="str">
        <f>IF(Base!F471="","",Base!F471)</f>
        <v/>
      </c>
      <c r="C473" s="112" t="str">
        <f>IF(Base!I471="","",Base!I471)</f>
        <v/>
      </c>
      <c r="D473" s="113" t="str">
        <f>IF(Base!J471="","",Base!J471)</f>
        <v/>
      </c>
      <c r="E473" s="112" t="str">
        <f>IF(Base!H471="","",Base!H471)</f>
        <v/>
      </c>
    </row>
    <row r="474" spans="1:5">
      <c r="A474" s="112" t="str">
        <f>IF(Base!B472="","",Base!B472)</f>
        <v/>
      </c>
      <c r="B474" s="112" t="str">
        <f>IF(Base!F472="","",Base!F472)</f>
        <v/>
      </c>
      <c r="C474" s="112" t="str">
        <f>IF(Base!I472="","",Base!I472)</f>
        <v/>
      </c>
      <c r="D474" s="113" t="str">
        <f>IF(Base!J472="","",Base!J472)</f>
        <v/>
      </c>
      <c r="E474" s="112" t="str">
        <f>IF(Base!H472="","",Base!H472)</f>
        <v/>
      </c>
    </row>
    <row r="475" spans="1:5">
      <c r="A475" s="112" t="str">
        <f>IF(Base!B473="","",Base!B473)</f>
        <v/>
      </c>
      <c r="B475" s="112" t="str">
        <f>IF(Base!F473="","",Base!F473)</f>
        <v/>
      </c>
      <c r="C475" s="112" t="str">
        <f>IF(Base!I473="","",Base!I473)</f>
        <v/>
      </c>
      <c r="D475" s="113" t="str">
        <f>IF(Base!J473="","",Base!J473)</f>
        <v/>
      </c>
      <c r="E475" s="112" t="str">
        <f>IF(Base!H473="","",Base!H473)</f>
        <v/>
      </c>
    </row>
    <row r="476" spans="1:5">
      <c r="A476" s="112" t="str">
        <f>IF(Base!B474="","",Base!B474)</f>
        <v/>
      </c>
      <c r="B476" s="112" t="str">
        <f>IF(Base!F474="","",Base!F474)</f>
        <v/>
      </c>
      <c r="C476" s="112" t="str">
        <f>IF(Base!I474="","",Base!I474)</f>
        <v/>
      </c>
      <c r="D476" s="113" t="str">
        <f>IF(Base!J474="","",Base!J474)</f>
        <v/>
      </c>
      <c r="E476" s="112" t="str">
        <f>IF(Base!H474="","",Base!H474)</f>
        <v/>
      </c>
    </row>
    <row r="477" spans="1:5">
      <c r="A477" s="112" t="str">
        <f>IF(Base!B475="","",Base!B475)</f>
        <v/>
      </c>
      <c r="B477" s="112" t="str">
        <f>IF(Base!F475="","",Base!F475)</f>
        <v/>
      </c>
      <c r="C477" s="112" t="str">
        <f>IF(Base!I475="","",Base!I475)</f>
        <v/>
      </c>
      <c r="D477" s="113" t="str">
        <f>IF(Base!J475="","",Base!J475)</f>
        <v/>
      </c>
      <c r="E477" s="112" t="str">
        <f>IF(Base!H475="","",Base!H475)</f>
        <v/>
      </c>
    </row>
    <row r="478" spans="1:5">
      <c r="A478" s="112" t="str">
        <f>IF(Base!B476="","",Base!B476)</f>
        <v/>
      </c>
      <c r="B478" s="112" t="str">
        <f>IF(Base!F476="","",Base!F476)</f>
        <v/>
      </c>
      <c r="C478" s="112" t="str">
        <f>IF(Base!I476="","",Base!I476)</f>
        <v/>
      </c>
      <c r="D478" s="113" t="str">
        <f>IF(Base!J476="","",Base!J476)</f>
        <v/>
      </c>
      <c r="E478" s="112" t="str">
        <f>IF(Base!H476="","",Base!H476)</f>
        <v/>
      </c>
    </row>
    <row r="479" spans="1:5">
      <c r="A479" s="112" t="str">
        <f>IF(Base!B477="","",Base!B477)</f>
        <v/>
      </c>
      <c r="B479" s="112" t="str">
        <f>IF(Base!F477="","",Base!F477)</f>
        <v/>
      </c>
      <c r="C479" s="112" t="str">
        <f>IF(Base!I477="","",Base!I477)</f>
        <v/>
      </c>
      <c r="D479" s="113" t="str">
        <f>IF(Base!J477="","",Base!J477)</f>
        <v/>
      </c>
      <c r="E479" s="112" t="str">
        <f>IF(Base!H477="","",Base!H477)</f>
        <v/>
      </c>
    </row>
    <row r="480" spans="1:5">
      <c r="A480" s="112" t="str">
        <f>IF(Base!B478="","",Base!B478)</f>
        <v/>
      </c>
      <c r="B480" s="112" t="str">
        <f>IF(Base!F478="","",Base!F478)</f>
        <v/>
      </c>
      <c r="C480" s="112" t="str">
        <f>IF(Base!I478="","",Base!I478)</f>
        <v/>
      </c>
      <c r="D480" s="113" t="str">
        <f>IF(Base!J478="","",Base!J478)</f>
        <v/>
      </c>
      <c r="E480" s="112" t="str">
        <f>IF(Base!H478="","",Base!H478)</f>
        <v/>
      </c>
    </row>
    <row r="481" spans="1:5">
      <c r="A481" s="112" t="str">
        <f>IF(Base!B479="","",Base!B479)</f>
        <v/>
      </c>
      <c r="B481" s="112" t="str">
        <f>IF(Base!F479="","",Base!F479)</f>
        <v/>
      </c>
      <c r="C481" s="112" t="str">
        <f>IF(Base!I479="","",Base!I479)</f>
        <v/>
      </c>
      <c r="D481" s="113" t="str">
        <f>IF(Base!J479="","",Base!J479)</f>
        <v/>
      </c>
      <c r="E481" s="112" t="str">
        <f>IF(Base!H479="","",Base!H479)</f>
        <v/>
      </c>
    </row>
    <row r="482" spans="1:5">
      <c r="A482" s="112" t="str">
        <f>IF(Base!B480="","",Base!B480)</f>
        <v/>
      </c>
      <c r="B482" s="112" t="str">
        <f>IF(Base!F480="","",Base!F480)</f>
        <v/>
      </c>
      <c r="C482" s="112" t="str">
        <f>IF(Base!I480="","",Base!I480)</f>
        <v/>
      </c>
      <c r="D482" s="113" t="str">
        <f>IF(Base!J480="","",Base!J480)</f>
        <v/>
      </c>
      <c r="E482" s="112" t="str">
        <f>IF(Base!H480="","",Base!H480)</f>
        <v/>
      </c>
    </row>
    <row r="483" spans="1:5">
      <c r="A483" s="112" t="str">
        <f>IF(Base!B481="","",Base!B481)</f>
        <v/>
      </c>
      <c r="B483" s="112" t="str">
        <f>IF(Base!F481="","",Base!F481)</f>
        <v/>
      </c>
      <c r="C483" s="112" t="str">
        <f>IF(Base!I481="","",Base!I481)</f>
        <v/>
      </c>
      <c r="D483" s="113" t="str">
        <f>IF(Base!J481="","",Base!J481)</f>
        <v/>
      </c>
      <c r="E483" s="112" t="str">
        <f>IF(Base!H481="","",Base!H481)</f>
        <v/>
      </c>
    </row>
    <row r="484" spans="1:5">
      <c r="A484" s="112" t="str">
        <f>IF(Base!B482="","",Base!B482)</f>
        <v/>
      </c>
      <c r="B484" s="112" t="str">
        <f>IF(Base!F482="","",Base!F482)</f>
        <v/>
      </c>
      <c r="C484" s="112" t="str">
        <f>IF(Base!I482="","",Base!I482)</f>
        <v/>
      </c>
      <c r="D484" s="113" t="str">
        <f>IF(Base!J482="","",Base!J482)</f>
        <v/>
      </c>
      <c r="E484" s="112" t="str">
        <f>IF(Base!H482="","",Base!H482)</f>
        <v/>
      </c>
    </row>
    <row r="485" spans="1:5">
      <c r="A485" s="112" t="str">
        <f>IF(Base!B483="","",Base!B483)</f>
        <v/>
      </c>
      <c r="B485" s="112" t="str">
        <f>IF(Base!F483="","",Base!F483)</f>
        <v/>
      </c>
      <c r="C485" s="112" t="str">
        <f>IF(Base!I483="","",Base!I483)</f>
        <v/>
      </c>
      <c r="D485" s="113" t="str">
        <f>IF(Base!J483="","",Base!J483)</f>
        <v/>
      </c>
      <c r="E485" s="112" t="str">
        <f>IF(Base!H483="","",Base!H483)</f>
        <v/>
      </c>
    </row>
    <row r="486" spans="1:5">
      <c r="A486" s="112" t="str">
        <f>IF(Base!B484="","",Base!B484)</f>
        <v/>
      </c>
      <c r="B486" s="112" t="str">
        <f>IF(Base!F484="","",Base!F484)</f>
        <v/>
      </c>
      <c r="C486" s="112" t="str">
        <f>IF(Base!I484="","",Base!I484)</f>
        <v/>
      </c>
      <c r="D486" s="113" t="str">
        <f>IF(Base!J484="","",Base!J484)</f>
        <v/>
      </c>
      <c r="E486" s="112" t="str">
        <f>IF(Base!H484="","",Base!H484)</f>
        <v/>
      </c>
    </row>
    <row r="487" spans="1:5">
      <c r="A487" s="112" t="str">
        <f>IF(Base!B485="","",Base!B485)</f>
        <v/>
      </c>
      <c r="B487" s="112" t="str">
        <f>IF(Base!F485="","",Base!F485)</f>
        <v/>
      </c>
      <c r="C487" s="112" t="str">
        <f>IF(Base!I485="","",Base!I485)</f>
        <v/>
      </c>
      <c r="D487" s="113" t="str">
        <f>IF(Base!J485="","",Base!J485)</f>
        <v/>
      </c>
      <c r="E487" s="112" t="str">
        <f>IF(Base!H485="","",Base!H485)</f>
        <v/>
      </c>
    </row>
    <row r="488" spans="1:5">
      <c r="A488" s="112" t="str">
        <f>IF(Base!B486="","",Base!B486)</f>
        <v/>
      </c>
      <c r="B488" s="112" t="str">
        <f>IF(Base!F486="","",Base!F486)</f>
        <v/>
      </c>
      <c r="C488" s="112" t="str">
        <f>IF(Base!I486="","",Base!I486)</f>
        <v/>
      </c>
      <c r="D488" s="113" t="str">
        <f>IF(Base!J486="","",Base!J486)</f>
        <v/>
      </c>
      <c r="E488" s="112" t="str">
        <f>IF(Base!H486="","",Base!H486)</f>
        <v/>
      </c>
    </row>
    <row r="489" spans="1:5">
      <c r="A489" s="112" t="str">
        <f>IF(Base!B487="","",Base!B487)</f>
        <v/>
      </c>
      <c r="B489" s="112" t="str">
        <f>IF(Base!F487="","",Base!F487)</f>
        <v/>
      </c>
      <c r="C489" s="112" t="str">
        <f>IF(Base!I487="","",Base!I487)</f>
        <v/>
      </c>
      <c r="D489" s="113" t="str">
        <f>IF(Base!J487="","",Base!J487)</f>
        <v/>
      </c>
      <c r="E489" s="112" t="str">
        <f>IF(Base!H487="","",Base!H487)</f>
        <v/>
      </c>
    </row>
    <row r="490" spans="1:5">
      <c r="A490" s="112" t="str">
        <f>IF(Base!B488="","",Base!B488)</f>
        <v/>
      </c>
      <c r="B490" s="112" t="str">
        <f>IF(Base!F488="","",Base!F488)</f>
        <v/>
      </c>
      <c r="C490" s="112" t="str">
        <f>IF(Base!I488="","",Base!I488)</f>
        <v/>
      </c>
      <c r="D490" s="113" t="str">
        <f>IF(Base!J488="","",Base!J488)</f>
        <v/>
      </c>
      <c r="E490" s="112" t="str">
        <f>IF(Base!H488="","",Base!H488)</f>
        <v/>
      </c>
    </row>
    <row r="491" spans="1:5">
      <c r="A491" s="112" t="str">
        <f>IF(Base!B489="","",Base!B489)</f>
        <v/>
      </c>
      <c r="B491" s="112" t="str">
        <f>IF(Base!F489="","",Base!F489)</f>
        <v/>
      </c>
      <c r="C491" s="112" t="str">
        <f>IF(Base!I489="","",Base!I489)</f>
        <v/>
      </c>
      <c r="D491" s="113" t="str">
        <f>IF(Base!J489="","",Base!J489)</f>
        <v/>
      </c>
      <c r="E491" s="112" t="str">
        <f>IF(Base!H489="","",Base!H489)</f>
        <v/>
      </c>
    </row>
    <row r="492" spans="1:5">
      <c r="A492" s="112" t="str">
        <f>IF(Base!B490="","",Base!B490)</f>
        <v/>
      </c>
      <c r="B492" s="112" t="str">
        <f>IF(Base!F490="","",Base!F490)</f>
        <v/>
      </c>
      <c r="C492" s="112" t="str">
        <f>IF(Base!I490="","",Base!I490)</f>
        <v/>
      </c>
      <c r="D492" s="113" t="str">
        <f>IF(Base!J490="","",Base!J490)</f>
        <v/>
      </c>
      <c r="E492" s="112" t="str">
        <f>IF(Base!H490="","",Base!H490)</f>
        <v/>
      </c>
    </row>
    <row r="493" spans="1:5">
      <c r="A493" s="112" t="str">
        <f>IF(Base!B491="","",Base!B491)</f>
        <v/>
      </c>
      <c r="B493" s="112" t="str">
        <f>IF(Base!F491="","",Base!F491)</f>
        <v/>
      </c>
      <c r="C493" s="112" t="str">
        <f>IF(Base!I491="","",Base!I491)</f>
        <v/>
      </c>
      <c r="D493" s="113" t="str">
        <f>IF(Base!J491="","",Base!J491)</f>
        <v/>
      </c>
      <c r="E493" s="112" t="str">
        <f>IF(Base!H491="","",Base!H491)</f>
        <v/>
      </c>
    </row>
    <row r="494" spans="1:5">
      <c r="A494" s="112" t="str">
        <f>IF(Base!B492="","",Base!B492)</f>
        <v/>
      </c>
      <c r="B494" s="112" t="str">
        <f>IF(Base!F492="","",Base!F492)</f>
        <v/>
      </c>
      <c r="C494" s="112" t="str">
        <f>IF(Base!I492="","",Base!I492)</f>
        <v/>
      </c>
      <c r="D494" s="113" t="str">
        <f>IF(Base!J492="","",Base!J492)</f>
        <v/>
      </c>
      <c r="E494" s="112" t="str">
        <f>IF(Base!H492="","",Base!H492)</f>
        <v/>
      </c>
    </row>
    <row r="495" spans="1:5">
      <c r="A495" s="112" t="str">
        <f>IF(Base!B493="","",Base!B493)</f>
        <v/>
      </c>
      <c r="B495" s="112" t="str">
        <f>IF(Base!F493="","",Base!F493)</f>
        <v/>
      </c>
      <c r="C495" s="112" t="str">
        <f>IF(Base!I493="","",Base!I493)</f>
        <v/>
      </c>
      <c r="D495" s="113" t="str">
        <f>IF(Base!J493="","",Base!J493)</f>
        <v/>
      </c>
      <c r="E495" s="112" t="str">
        <f>IF(Base!H493="","",Base!H493)</f>
        <v/>
      </c>
    </row>
    <row r="496" spans="1:5">
      <c r="A496" s="112" t="str">
        <f>IF(Base!B494="","",Base!B494)</f>
        <v/>
      </c>
      <c r="B496" s="112" t="str">
        <f>IF(Base!F494="","",Base!F494)</f>
        <v/>
      </c>
      <c r="C496" s="112" t="str">
        <f>IF(Base!I494="","",Base!I494)</f>
        <v/>
      </c>
      <c r="D496" s="113" t="str">
        <f>IF(Base!J494="","",Base!J494)</f>
        <v/>
      </c>
      <c r="E496" s="112" t="str">
        <f>IF(Base!H494="","",Base!H494)</f>
        <v/>
      </c>
    </row>
    <row r="497" spans="1:5">
      <c r="A497" s="112" t="str">
        <f>IF(Base!B495="","",Base!B495)</f>
        <v/>
      </c>
      <c r="B497" s="112" t="str">
        <f>IF(Base!F495="","",Base!F495)</f>
        <v/>
      </c>
      <c r="C497" s="112" t="str">
        <f>IF(Base!I495="","",Base!I495)</f>
        <v/>
      </c>
      <c r="D497" s="113" t="str">
        <f>IF(Base!J495="","",Base!J495)</f>
        <v/>
      </c>
      <c r="E497" s="112" t="str">
        <f>IF(Base!H495="","",Base!H495)</f>
        <v/>
      </c>
    </row>
    <row r="498" spans="1:5">
      <c r="A498" s="112" t="str">
        <f>IF(Base!B496="","",Base!B496)</f>
        <v/>
      </c>
      <c r="B498" s="112" t="str">
        <f>IF(Base!F496="","",Base!F496)</f>
        <v/>
      </c>
      <c r="C498" s="112" t="str">
        <f>IF(Base!I496="","",Base!I496)</f>
        <v/>
      </c>
      <c r="D498" s="113" t="str">
        <f>IF(Base!J496="","",Base!J496)</f>
        <v/>
      </c>
      <c r="E498" s="112" t="str">
        <f>IF(Base!H496="","",Base!H496)</f>
        <v/>
      </c>
    </row>
    <row r="499" spans="1:5">
      <c r="A499" s="112" t="str">
        <f>IF(Base!B497="","",Base!B497)</f>
        <v/>
      </c>
      <c r="B499" s="112" t="str">
        <f>IF(Base!F497="","",Base!F497)</f>
        <v/>
      </c>
      <c r="C499" s="112" t="str">
        <f>IF(Base!I497="","",Base!I497)</f>
        <v/>
      </c>
      <c r="D499" s="113" t="str">
        <f>IF(Base!J497="","",Base!J497)</f>
        <v/>
      </c>
      <c r="E499" s="112" t="str">
        <f>IF(Base!H497="","",Base!H497)</f>
        <v/>
      </c>
    </row>
    <row r="500" spans="1:5">
      <c r="A500" s="112" t="str">
        <f>IF(Base!B498="","",Base!B498)</f>
        <v/>
      </c>
      <c r="B500" s="112" t="str">
        <f>IF(Base!F498="","",Base!F498)</f>
        <v/>
      </c>
      <c r="C500" s="112" t="str">
        <f>IF(Base!I498="","",Base!I498)</f>
        <v/>
      </c>
      <c r="D500" s="113" t="str">
        <f>IF(Base!J498="","",Base!J498)</f>
        <v/>
      </c>
      <c r="E500" s="112" t="str">
        <f>IF(Base!H498="","",Base!H498)</f>
        <v/>
      </c>
    </row>
    <row r="501" spans="1:5">
      <c r="A501" s="112" t="str">
        <f>IF(Base!B499="","",Base!B499)</f>
        <v/>
      </c>
      <c r="B501" s="112" t="str">
        <f>IF(Base!F499="","",Base!F499)</f>
        <v/>
      </c>
      <c r="C501" s="112" t="str">
        <f>IF(Base!I499="","",Base!I499)</f>
        <v/>
      </c>
      <c r="D501" s="113" t="str">
        <f>IF(Base!J499="","",Base!J499)</f>
        <v/>
      </c>
      <c r="E501" s="112" t="str">
        <f>IF(Base!H499="","",Base!H499)</f>
        <v/>
      </c>
    </row>
    <row r="502" spans="1:5">
      <c r="A502" s="112" t="str">
        <f>IF(Base!B500="","",Base!B500)</f>
        <v/>
      </c>
      <c r="B502" s="112" t="str">
        <f>IF(Base!F500="","",Base!F500)</f>
        <v/>
      </c>
      <c r="C502" s="112" t="str">
        <f>IF(Base!I500="","",Base!I500)</f>
        <v/>
      </c>
      <c r="D502" s="113" t="str">
        <f>IF(Base!J500="","",Base!J500)</f>
        <v/>
      </c>
      <c r="E502" s="112" t="str">
        <f>IF(Base!H500="","",Base!H500)</f>
        <v/>
      </c>
    </row>
    <row r="503" spans="1:5">
      <c r="A503" s="112" t="str">
        <f>IF(Base!B501="","",Base!B501)</f>
        <v/>
      </c>
      <c r="B503" s="112" t="str">
        <f>IF(Base!F501="","",Base!F501)</f>
        <v/>
      </c>
      <c r="C503" s="112" t="str">
        <f>IF(Base!I501="","",Base!I501)</f>
        <v/>
      </c>
      <c r="D503" s="113" t="str">
        <f>IF(Base!J501="","",Base!J501)</f>
        <v/>
      </c>
      <c r="E503" s="112" t="str">
        <f>IF(Base!H501="","",Base!H501)</f>
        <v/>
      </c>
    </row>
    <row r="504" spans="1:5">
      <c r="A504" s="112" t="str">
        <f>IF(Base!B502="","",Base!B502)</f>
        <v/>
      </c>
      <c r="B504" s="112" t="str">
        <f>IF(Base!F502="","",Base!F502)</f>
        <v/>
      </c>
      <c r="C504" s="112" t="str">
        <f>IF(Base!I502="","",Base!I502)</f>
        <v/>
      </c>
      <c r="D504" s="113" t="str">
        <f>IF(Base!J502="","",Base!J502)</f>
        <v/>
      </c>
      <c r="E504" s="112" t="str">
        <f>IF(Base!H502="","",Base!H502)</f>
        <v/>
      </c>
    </row>
    <row r="505" spans="1:5">
      <c r="A505" s="112" t="str">
        <f>IF(Base!B503="","",Base!B503)</f>
        <v/>
      </c>
      <c r="B505" s="112" t="str">
        <f>IF(Base!F503="","",Base!F503)</f>
        <v/>
      </c>
      <c r="C505" s="112" t="str">
        <f>IF(Base!I503="","",Base!I503)</f>
        <v/>
      </c>
      <c r="D505" s="113" t="str">
        <f>IF(Base!J503="","",Base!J503)</f>
        <v/>
      </c>
      <c r="E505" s="112" t="str">
        <f>IF(Base!H503="","",Base!H503)</f>
        <v/>
      </c>
    </row>
    <row r="506" spans="1:5">
      <c r="A506" s="112" t="str">
        <f>IF(Base!B504="","",Base!B504)</f>
        <v/>
      </c>
      <c r="B506" s="112" t="str">
        <f>IF(Base!F504="","",Base!F504)</f>
        <v/>
      </c>
      <c r="C506" s="112" t="str">
        <f>IF(Base!I504="","",Base!I504)</f>
        <v/>
      </c>
      <c r="D506" s="113" t="str">
        <f>IF(Base!J504="","",Base!J504)</f>
        <v/>
      </c>
      <c r="E506" s="112" t="str">
        <f>IF(Base!H504="","",Base!H504)</f>
        <v/>
      </c>
    </row>
    <row r="507" spans="1:5">
      <c r="A507" s="112" t="str">
        <f>IF(Base!B505="","",Base!B505)</f>
        <v/>
      </c>
      <c r="B507" s="112" t="str">
        <f>IF(Base!F505="","",Base!F505)</f>
        <v/>
      </c>
      <c r="C507" s="112" t="str">
        <f>IF(Base!I505="","",Base!I505)</f>
        <v/>
      </c>
      <c r="D507" s="113" t="str">
        <f>IF(Base!J505="","",Base!J505)</f>
        <v/>
      </c>
      <c r="E507" s="112" t="str">
        <f>IF(Base!H505="","",Base!H505)</f>
        <v/>
      </c>
    </row>
    <row r="508" spans="1:5">
      <c r="A508" s="112" t="str">
        <f>IF(Base!B506="","",Base!B506)</f>
        <v/>
      </c>
      <c r="B508" s="112" t="str">
        <f>IF(Base!F506="","",Base!F506)</f>
        <v/>
      </c>
      <c r="C508" s="112" t="str">
        <f>IF(Base!I506="","",Base!I506)</f>
        <v/>
      </c>
      <c r="D508" s="113" t="str">
        <f>IF(Base!J506="","",Base!J506)</f>
        <v/>
      </c>
      <c r="E508" s="112" t="str">
        <f>IF(Base!H506="","",Base!H506)</f>
        <v/>
      </c>
    </row>
    <row r="509" spans="1:5">
      <c r="A509" s="112" t="str">
        <f>IF(Base!B507="","",Base!B507)</f>
        <v/>
      </c>
      <c r="B509" s="112" t="str">
        <f>IF(Base!F507="","",Base!F507)</f>
        <v/>
      </c>
      <c r="C509" s="112" t="str">
        <f>IF(Base!I507="","",Base!I507)</f>
        <v/>
      </c>
      <c r="D509" s="113" t="str">
        <f>IF(Base!J507="","",Base!J507)</f>
        <v/>
      </c>
      <c r="E509" s="112" t="str">
        <f>IF(Base!H507="","",Base!H507)</f>
        <v/>
      </c>
    </row>
    <row r="510" spans="1:5">
      <c r="A510" s="112" t="str">
        <f>IF(Base!B508="","",Base!B508)</f>
        <v/>
      </c>
      <c r="B510" s="112" t="str">
        <f>IF(Base!F508="","",Base!F508)</f>
        <v/>
      </c>
      <c r="C510" s="112" t="str">
        <f>IF(Base!I508="","",Base!I508)</f>
        <v/>
      </c>
      <c r="D510" s="113" t="str">
        <f>IF(Base!J508="","",Base!J508)</f>
        <v/>
      </c>
      <c r="E510" s="112" t="str">
        <f>IF(Base!H508="","",Base!H508)</f>
        <v/>
      </c>
    </row>
    <row r="511" spans="1:5">
      <c r="A511" s="112" t="str">
        <f>IF(Base!B509="","",Base!B509)</f>
        <v/>
      </c>
      <c r="B511" s="112" t="str">
        <f>IF(Base!F509="","",Base!F509)</f>
        <v/>
      </c>
      <c r="C511" s="112" t="str">
        <f>IF(Base!I509="","",Base!I509)</f>
        <v/>
      </c>
      <c r="D511" s="113" t="str">
        <f>IF(Base!J509="","",Base!J509)</f>
        <v/>
      </c>
      <c r="E511" s="112" t="str">
        <f>IF(Base!H509="","",Base!H509)</f>
        <v/>
      </c>
    </row>
    <row r="512" spans="1:5">
      <c r="A512" s="112" t="str">
        <f>IF(Base!B510="","",Base!B510)</f>
        <v/>
      </c>
      <c r="B512" s="112" t="str">
        <f>IF(Base!F510="","",Base!F510)</f>
        <v/>
      </c>
      <c r="C512" s="112" t="str">
        <f>IF(Base!I510="","",Base!I510)</f>
        <v/>
      </c>
      <c r="D512" s="113" t="str">
        <f>IF(Base!J510="","",Base!J510)</f>
        <v/>
      </c>
      <c r="E512" s="112" t="str">
        <f>IF(Base!H510="","",Base!H510)</f>
        <v/>
      </c>
    </row>
    <row r="513" spans="1:5">
      <c r="A513" s="112" t="str">
        <f>IF(Base!B511="","",Base!B511)</f>
        <v/>
      </c>
      <c r="B513" s="112" t="str">
        <f>IF(Base!F511="","",Base!F511)</f>
        <v/>
      </c>
      <c r="C513" s="112" t="str">
        <f>IF(Base!I511="","",Base!I511)</f>
        <v/>
      </c>
      <c r="D513" s="113" t="str">
        <f>IF(Base!J511="","",Base!J511)</f>
        <v/>
      </c>
      <c r="E513" s="112" t="str">
        <f>IF(Base!H511="","",Base!H511)</f>
        <v/>
      </c>
    </row>
    <row r="514" spans="1:5">
      <c r="A514" s="112" t="str">
        <f>IF(Base!B512="","",Base!B512)</f>
        <v/>
      </c>
      <c r="B514" s="112" t="str">
        <f>IF(Base!F512="","",Base!F512)</f>
        <v/>
      </c>
      <c r="C514" s="112" t="str">
        <f>IF(Base!I512="","",Base!I512)</f>
        <v/>
      </c>
      <c r="D514" s="113" t="str">
        <f>IF(Base!J512="","",Base!J512)</f>
        <v/>
      </c>
      <c r="E514" s="112" t="str">
        <f>IF(Base!H512="","",Base!H512)</f>
        <v/>
      </c>
    </row>
    <row r="515" spans="1:5">
      <c r="A515" s="112" t="str">
        <f>IF(Base!B513="","",Base!B513)</f>
        <v/>
      </c>
      <c r="B515" s="112" t="str">
        <f>IF(Base!F513="","",Base!F513)</f>
        <v/>
      </c>
      <c r="C515" s="112" t="str">
        <f>IF(Base!I513="","",Base!I513)</f>
        <v/>
      </c>
      <c r="D515" s="113" t="str">
        <f>IF(Base!J513="","",Base!J513)</f>
        <v/>
      </c>
      <c r="E515" s="112" t="str">
        <f>IF(Base!H513="","",Base!H513)</f>
        <v/>
      </c>
    </row>
    <row r="516" spans="1:5">
      <c r="A516" s="112" t="str">
        <f>IF(Base!B514="","",Base!B514)</f>
        <v/>
      </c>
      <c r="B516" s="112" t="str">
        <f>IF(Base!F514="","",Base!F514)</f>
        <v/>
      </c>
      <c r="C516" s="112" t="str">
        <f>IF(Base!I514="","",Base!I514)</f>
        <v/>
      </c>
      <c r="D516" s="113" t="str">
        <f>IF(Base!J514="","",Base!J514)</f>
        <v/>
      </c>
      <c r="E516" s="112" t="str">
        <f>IF(Base!H514="","",Base!H514)</f>
        <v/>
      </c>
    </row>
    <row r="517" spans="1:5">
      <c r="A517" s="112" t="str">
        <f>IF(Base!B515="","",Base!B515)</f>
        <v/>
      </c>
      <c r="B517" s="112" t="str">
        <f>IF(Base!F515="","",Base!F515)</f>
        <v/>
      </c>
      <c r="C517" s="112" t="str">
        <f>IF(Base!I515="","",Base!I515)</f>
        <v/>
      </c>
      <c r="D517" s="113" t="str">
        <f>IF(Base!J515="","",Base!J515)</f>
        <v/>
      </c>
      <c r="E517" s="112" t="str">
        <f>IF(Base!H515="","",Base!H515)</f>
        <v/>
      </c>
    </row>
    <row r="518" spans="1:5">
      <c r="A518" s="112" t="str">
        <f>IF(Base!B516="","",Base!B516)</f>
        <v/>
      </c>
      <c r="B518" s="112" t="str">
        <f>IF(Base!F516="","",Base!F516)</f>
        <v/>
      </c>
      <c r="C518" s="112" t="str">
        <f>IF(Base!I516="","",Base!I516)</f>
        <v/>
      </c>
      <c r="D518" s="113" t="str">
        <f>IF(Base!J516="","",Base!J516)</f>
        <v/>
      </c>
      <c r="E518" s="112" t="str">
        <f>IF(Base!H516="","",Base!H516)</f>
        <v/>
      </c>
    </row>
    <row r="519" spans="1:5">
      <c r="A519" s="112" t="str">
        <f>IF(Base!B517="","",Base!B517)</f>
        <v/>
      </c>
      <c r="B519" s="112" t="str">
        <f>IF(Base!F517="","",Base!F517)</f>
        <v/>
      </c>
      <c r="C519" s="112" t="str">
        <f>IF(Base!I517="","",Base!I517)</f>
        <v/>
      </c>
      <c r="D519" s="113" t="str">
        <f>IF(Base!J517="","",Base!J517)</f>
        <v/>
      </c>
      <c r="E519" s="112" t="str">
        <f>IF(Base!H517="","",Base!H517)</f>
        <v/>
      </c>
    </row>
    <row r="520" spans="1:5">
      <c r="A520" s="112" t="str">
        <f>IF(Base!B518="","",Base!B518)</f>
        <v/>
      </c>
      <c r="B520" s="112" t="str">
        <f>IF(Base!F518="","",Base!F518)</f>
        <v/>
      </c>
      <c r="C520" s="112" t="str">
        <f>IF(Base!I518="","",Base!I518)</f>
        <v/>
      </c>
      <c r="D520" s="113" t="str">
        <f>IF(Base!J518="","",Base!J518)</f>
        <v/>
      </c>
      <c r="E520" s="112" t="str">
        <f>IF(Base!H518="","",Base!H518)</f>
        <v/>
      </c>
    </row>
    <row r="521" spans="1:5">
      <c r="A521" s="112" t="str">
        <f>IF(Base!B519="","",Base!B519)</f>
        <v/>
      </c>
      <c r="B521" s="112" t="str">
        <f>IF(Base!F519="","",Base!F519)</f>
        <v/>
      </c>
      <c r="C521" s="112" t="str">
        <f>IF(Base!I519="","",Base!I519)</f>
        <v/>
      </c>
      <c r="D521" s="113" t="str">
        <f>IF(Base!J519="","",Base!J519)</f>
        <v/>
      </c>
      <c r="E521" s="112" t="str">
        <f>IF(Base!H519="","",Base!H519)</f>
        <v/>
      </c>
    </row>
    <row r="522" spans="1:5">
      <c r="A522" s="112" t="str">
        <f>IF(Base!B520="","",Base!B520)</f>
        <v/>
      </c>
      <c r="B522" s="112" t="str">
        <f>IF(Base!F520="","",Base!F520)</f>
        <v/>
      </c>
      <c r="C522" s="112" t="str">
        <f>IF(Base!I520="","",Base!I520)</f>
        <v/>
      </c>
      <c r="D522" s="113" t="str">
        <f>IF(Base!J520="","",Base!J520)</f>
        <v/>
      </c>
      <c r="E522" s="112" t="str">
        <f>IF(Base!H520="","",Base!H520)</f>
        <v/>
      </c>
    </row>
    <row r="523" spans="1:5">
      <c r="A523" s="112" t="str">
        <f>IF(Base!B521="","",Base!B521)</f>
        <v/>
      </c>
      <c r="B523" s="112" t="str">
        <f>IF(Base!F521="","",Base!F521)</f>
        <v/>
      </c>
      <c r="C523" s="112" t="str">
        <f>IF(Base!I521="","",Base!I521)</f>
        <v/>
      </c>
      <c r="D523" s="113" t="str">
        <f>IF(Base!J521="","",Base!J521)</f>
        <v/>
      </c>
      <c r="E523" s="112" t="str">
        <f>IF(Base!H521="","",Base!H521)</f>
        <v/>
      </c>
    </row>
    <row r="524" spans="1:5">
      <c r="A524" s="112" t="str">
        <f>IF(Base!B522="","",Base!B522)</f>
        <v/>
      </c>
      <c r="B524" s="112" t="str">
        <f>IF(Base!F522="","",Base!F522)</f>
        <v/>
      </c>
      <c r="C524" s="112" t="str">
        <f>IF(Base!I522="","",Base!I522)</f>
        <v/>
      </c>
      <c r="D524" s="113" t="str">
        <f>IF(Base!J522="","",Base!J522)</f>
        <v/>
      </c>
      <c r="E524" s="112" t="str">
        <f>IF(Base!H522="","",Base!H522)</f>
        <v/>
      </c>
    </row>
    <row r="525" spans="1:5">
      <c r="A525" s="112" t="str">
        <f>IF(Base!B523="","",Base!B523)</f>
        <v/>
      </c>
      <c r="B525" s="112" t="str">
        <f>IF(Base!F523="","",Base!F523)</f>
        <v/>
      </c>
      <c r="C525" s="112" t="str">
        <f>IF(Base!I523="","",Base!I523)</f>
        <v/>
      </c>
      <c r="D525" s="113" t="str">
        <f>IF(Base!J523="","",Base!J523)</f>
        <v/>
      </c>
      <c r="E525" s="112" t="str">
        <f>IF(Base!H523="","",Base!H523)</f>
        <v/>
      </c>
    </row>
    <row r="526" spans="1:5">
      <c r="A526" s="112" t="str">
        <f>IF(Base!B524="","",Base!B524)</f>
        <v/>
      </c>
      <c r="B526" s="112" t="str">
        <f>IF(Base!F524="","",Base!F524)</f>
        <v/>
      </c>
      <c r="C526" s="112" t="str">
        <f>IF(Base!I524="","",Base!I524)</f>
        <v/>
      </c>
      <c r="D526" s="113" t="str">
        <f>IF(Base!J524="","",Base!J524)</f>
        <v/>
      </c>
      <c r="E526" s="112" t="str">
        <f>IF(Base!H524="","",Base!H524)</f>
        <v/>
      </c>
    </row>
    <row r="527" spans="1:5">
      <c r="A527" s="112" t="str">
        <f>IF(Base!B525="","",Base!B525)</f>
        <v/>
      </c>
      <c r="B527" s="112" t="str">
        <f>IF(Base!F525="","",Base!F525)</f>
        <v/>
      </c>
      <c r="C527" s="112" t="str">
        <f>IF(Base!I525="","",Base!I525)</f>
        <v/>
      </c>
      <c r="D527" s="113" t="str">
        <f>IF(Base!J525="","",Base!J525)</f>
        <v/>
      </c>
      <c r="E527" s="112" t="str">
        <f>IF(Base!H525="","",Base!H525)</f>
        <v/>
      </c>
    </row>
    <row r="528" spans="1:5">
      <c r="A528" s="112" t="str">
        <f>IF(Base!B526="","",Base!B526)</f>
        <v/>
      </c>
      <c r="B528" s="112" t="str">
        <f>IF(Base!F526="","",Base!F526)</f>
        <v/>
      </c>
      <c r="C528" s="112" t="str">
        <f>IF(Base!I526="","",Base!I526)</f>
        <v/>
      </c>
      <c r="D528" s="113" t="str">
        <f>IF(Base!J526="","",Base!J526)</f>
        <v/>
      </c>
      <c r="E528" s="112" t="str">
        <f>IF(Base!H526="","",Base!H526)</f>
        <v/>
      </c>
    </row>
    <row r="529" spans="1:5">
      <c r="A529" s="112" t="str">
        <f>IF(Base!B527="","",Base!B527)</f>
        <v/>
      </c>
      <c r="B529" s="112" t="str">
        <f>IF(Base!F527="","",Base!F527)</f>
        <v/>
      </c>
      <c r="C529" s="112" t="str">
        <f>IF(Base!I527="","",Base!I527)</f>
        <v/>
      </c>
      <c r="D529" s="113" t="str">
        <f>IF(Base!J527="","",Base!J527)</f>
        <v/>
      </c>
      <c r="E529" s="112" t="str">
        <f>IF(Base!H527="","",Base!H527)</f>
        <v/>
      </c>
    </row>
    <row r="530" spans="1:5">
      <c r="A530" s="112" t="str">
        <f>IF(Base!B528="","",Base!B528)</f>
        <v/>
      </c>
      <c r="B530" s="112" t="str">
        <f>IF(Base!F528="","",Base!F528)</f>
        <v/>
      </c>
      <c r="C530" s="112" t="str">
        <f>IF(Base!I528="","",Base!I528)</f>
        <v/>
      </c>
      <c r="D530" s="113" t="str">
        <f>IF(Base!J528="","",Base!J528)</f>
        <v/>
      </c>
      <c r="E530" s="112" t="str">
        <f>IF(Base!H528="","",Base!H528)</f>
        <v/>
      </c>
    </row>
    <row r="531" spans="1:5">
      <c r="A531" s="112" t="str">
        <f>IF(Base!B529="","",Base!B529)</f>
        <v/>
      </c>
      <c r="B531" s="112" t="str">
        <f>IF(Base!F529="","",Base!F529)</f>
        <v/>
      </c>
      <c r="C531" s="112" t="str">
        <f>IF(Base!I529="","",Base!I529)</f>
        <v/>
      </c>
      <c r="D531" s="113" t="str">
        <f>IF(Base!J529="","",Base!J529)</f>
        <v/>
      </c>
      <c r="E531" s="112" t="str">
        <f>IF(Base!H529="","",Base!H529)</f>
        <v/>
      </c>
    </row>
    <row r="532" spans="1:5">
      <c r="A532" s="112" t="str">
        <f>IF(Base!B530="","",Base!B530)</f>
        <v/>
      </c>
      <c r="B532" s="112" t="str">
        <f>IF(Base!F530="","",Base!F530)</f>
        <v/>
      </c>
      <c r="C532" s="112" t="str">
        <f>IF(Base!I530="","",Base!I530)</f>
        <v/>
      </c>
      <c r="D532" s="113" t="str">
        <f>IF(Base!J530="","",Base!J530)</f>
        <v/>
      </c>
      <c r="E532" s="112" t="str">
        <f>IF(Base!H530="","",Base!H530)</f>
        <v/>
      </c>
    </row>
    <row r="533" spans="1:5">
      <c r="A533" s="112" t="str">
        <f>IF(Base!B531="","",Base!B531)</f>
        <v/>
      </c>
      <c r="B533" s="112" t="str">
        <f>IF(Base!F531="","",Base!F531)</f>
        <v/>
      </c>
      <c r="C533" s="112" t="str">
        <f>IF(Base!I531="","",Base!I531)</f>
        <v/>
      </c>
      <c r="D533" s="113" t="str">
        <f>IF(Base!J531="","",Base!J531)</f>
        <v/>
      </c>
      <c r="E533" s="112" t="str">
        <f>IF(Base!H531="","",Base!H531)</f>
        <v/>
      </c>
    </row>
    <row r="534" spans="1:5">
      <c r="A534" s="112" t="str">
        <f>IF(Base!B532="","",Base!B532)</f>
        <v/>
      </c>
      <c r="B534" s="112" t="str">
        <f>IF(Base!F532="","",Base!F532)</f>
        <v/>
      </c>
      <c r="C534" s="112" t="str">
        <f>IF(Base!I532="","",Base!I532)</f>
        <v/>
      </c>
      <c r="D534" s="113" t="str">
        <f>IF(Base!J532="","",Base!J532)</f>
        <v/>
      </c>
      <c r="E534" s="112" t="str">
        <f>IF(Base!H532="","",Base!H532)</f>
        <v/>
      </c>
    </row>
    <row r="535" spans="1:5">
      <c r="A535" s="112" t="str">
        <f>IF(Base!B533="","",Base!B533)</f>
        <v/>
      </c>
      <c r="B535" s="112" t="str">
        <f>IF(Base!F533="","",Base!F533)</f>
        <v/>
      </c>
      <c r="C535" s="112" t="str">
        <f>IF(Base!I533="","",Base!I533)</f>
        <v/>
      </c>
      <c r="D535" s="113" t="str">
        <f>IF(Base!J533="","",Base!J533)</f>
        <v/>
      </c>
      <c r="E535" s="112" t="str">
        <f>IF(Base!H533="","",Base!H533)</f>
        <v/>
      </c>
    </row>
    <row r="536" spans="1:5">
      <c r="A536" s="112" t="str">
        <f>IF(Base!B534="","",Base!B534)</f>
        <v/>
      </c>
      <c r="B536" s="112" t="str">
        <f>IF(Base!F534="","",Base!F534)</f>
        <v/>
      </c>
      <c r="C536" s="112" t="str">
        <f>IF(Base!I534="","",Base!I534)</f>
        <v/>
      </c>
      <c r="D536" s="113" t="str">
        <f>IF(Base!J534="","",Base!J534)</f>
        <v/>
      </c>
      <c r="E536" s="112" t="str">
        <f>IF(Base!H534="","",Base!H534)</f>
        <v/>
      </c>
    </row>
    <row r="537" spans="1:5">
      <c r="A537" s="112" t="str">
        <f>IF(Base!B535="","",Base!B535)</f>
        <v/>
      </c>
      <c r="B537" s="112" t="str">
        <f>IF(Base!F535="","",Base!F535)</f>
        <v/>
      </c>
      <c r="C537" s="112" t="str">
        <f>IF(Base!I535="","",Base!I535)</f>
        <v/>
      </c>
      <c r="D537" s="113" t="str">
        <f>IF(Base!J535="","",Base!J535)</f>
        <v/>
      </c>
      <c r="E537" s="112" t="str">
        <f>IF(Base!H535="","",Base!H535)</f>
        <v/>
      </c>
    </row>
    <row r="538" spans="1:5">
      <c r="A538" s="112" t="str">
        <f>IF(Base!B536="","",Base!B536)</f>
        <v/>
      </c>
      <c r="B538" s="112" t="str">
        <f>IF(Base!F536="","",Base!F536)</f>
        <v/>
      </c>
      <c r="C538" s="112" t="str">
        <f>IF(Base!I536="","",Base!I536)</f>
        <v/>
      </c>
      <c r="D538" s="113" t="str">
        <f>IF(Base!J536="","",Base!J536)</f>
        <v/>
      </c>
      <c r="E538" s="112" t="str">
        <f>IF(Base!H536="","",Base!H536)</f>
        <v/>
      </c>
    </row>
    <row r="539" spans="1:5">
      <c r="A539" s="112" t="str">
        <f>IF(Base!B537="","",Base!B537)</f>
        <v/>
      </c>
      <c r="B539" s="112" t="str">
        <f>IF(Base!F537="","",Base!F537)</f>
        <v/>
      </c>
      <c r="C539" s="112" t="str">
        <f>IF(Base!I537="","",Base!I537)</f>
        <v/>
      </c>
      <c r="D539" s="113" t="str">
        <f>IF(Base!J537="","",Base!J537)</f>
        <v/>
      </c>
      <c r="E539" s="112" t="str">
        <f>IF(Base!H537="","",Base!H537)</f>
        <v/>
      </c>
    </row>
    <row r="540" spans="1:5">
      <c r="A540" s="112" t="str">
        <f>IF(Base!B538="","",Base!B538)</f>
        <v/>
      </c>
      <c r="B540" s="112" t="str">
        <f>IF(Base!F538="","",Base!F538)</f>
        <v/>
      </c>
      <c r="C540" s="112" t="str">
        <f>IF(Base!I538="","",Base!I538)</f>
        <v/>
      </c>
      <c r="D540" s="113" t="str">
        <f>IF(Base!J538="","",Base!J538)</f>
        <v/>
      </c>
      <c r="E540" s="112" t="str">
        <f>IF(Base!H538="","",Base!H538)</f>
        <v/>
      </c>
    </row>
    <row r="541" spans="1:5">
      <c r="A541" s="112" t="str">
        <f>IF(Base!B539="","",Base!B539)</f>
        <v/>
      </c>
      <c r="B541" s="112" t="str">
        <f>IF(Base!F539="","",Base!F539)</f>
        <v/>
      </c>
      <c r="C541" s="112" t="str">
        <f>IF(Base!I539="","",Base!I539)</f>
        <v/>
      </c>
      <c r="D541" s="113" t="str">
        <f>IF(Base!J539="","",Base!J539)</f>
        <v/>
      </c>
      <c r="E541" s="112" t="str">
        <f>IF(Base!H539="","",Base!H539)</f>
        <v/>
      </c>
    </row>
    <row r="542" spans="1:5">
      <c r="A542" s="112" t="str">
        <f>IF(Base!B540="","",Base!B540)</f>
        <v/>
      </c>
      <c r="B542" s="112" t="str">
        <f>IF(Base!F540="","",Base!F540)</f>
        <v/>
      </c>
      <c r="C542" s="112" t="str">
        <f>IF(Base!I540="","",Base!I540)</f>
        <v/>
      </c>
      <c r="D542" s="113" t="str">
        <f>IF(Base!J540="","",Base!J540)</f>
        <v/>
      </c>
      <c r="E542" s="112" t="str">
        <f>IF(Base!H540="","",Base!H540)</f>
        <v/>
      </c>
    </row>
    <row r="543" spans="1:5">
      <c r="A543" s="112" t="str">
        <f>IF(Base!B541="","",Base!B541)</f>
        <v/>
      </c>
      <c r="B543" s="112" t="str">
        <f>IF(Base!F541="","",Base!F541)</f>
        <v/>
      </c>
      <c r="C543" s="112" t="str">
        <f>IF(Base!I541="","",Base!I541)</f>
        <v/>
      </c>
      <c r="D543" s="113" t="str">
        <f>IF(Base!J541="","",Base!J541)</f>
        <v/>
      </c>
      <c r="E543" s="112" t="str">
        <f>IF(Base!H541="","",Base!H541)</f>
        <v/>
      </c>
    </row>
    <row r="544" spans="1:5">
      <c r="A544" s="112" t="str">
        <f>IF(Base!B542="","",Base!B542)</f>
        <v/>
      </c>
      <c r="B544" s="112" t="str">
        <f>IF(Base!F542="","",Base!F542)</f>
        <v/>
      </c>
      <c r="C544" s="112" t="str">
        <f>IF(Base!I542="","",Base!I542)</f>
        <v/>
      </c>
      <c r="D544" s="113" t="str">
        <f>IF(Base!J542="","",Base!J542)</f>
        <v/>
      </c>
      <c r="E544" s="112" t="str">
        <f>IF(Base!H542="","",Base!H542)</f>
        <v/>
      </c>
    </row>
    <row r="545" spans="1:5">
      <c r="A545" s="112" t="str">
        <f>IF(Base!B543="","",Base!B543)</f>
        <v/>
      </c>
      <c r="B545" s="112" t="str">
        <f>IF(Base!F543="","",Base!F543)</f>
        <v/>
      </c>
      <c r="C545" s="112" t="str">
        <f>IF(Base!I543="","",Base!I543)</f>
        <v/>
      </c>
      <c r="D545" s="113" t="str">
        <f>IF(Base!J543="","",Base!J543)</f>
        <v/>
      </c>
      <c r="E545" s="112" t="str">
        <f>IF(Base!H543="","",Base!H543)</f>
        <v/>
      </c>
    </row>
    <row r="546" spans="1:5">
      <c r="A546" s="112" t="str">
        <f>IF(Base!B544="","",Base!B544)</f>
        <v/>
      </c>
      <c r="B546" s="112" t="str">
        <f>IF(Base!F544="","",Base!F544)</f>
        <v/>
      </c>
      <c r="C546" s="112" t="str">
        <f>IF(Base!I544="","",Base!I544)</f>
        <v/>
      </c>
      <c r="D546" s="113" t="str">
        <f>IF(Base!J544="","",Base!J544)</f>
        <v/>
      </c>
      <c r="E546" s="112" t="str">
        <f>IF(Base!H544="","",Base!H544)</f>
        <v/>
      </c>
    </row>
    <row r="547" spans="1:5">
      <c r="A547" s="112" t="str">
        <f>IF(Base!B545="","",Base!B545)</f>
        <v/>
      </c>
      <c r="B547" s="112" t="str">
        <f>IF(Base!F545="","",Base!F545)</f>
        <v/>
      </c>
      <c r="C547" s="112" t="str">
        <f>IF(Base!I545="","",Base!I545)</f>
        <v/>
      </c>
      <c r="D547" s="113" t="str">
        <f>IF(Base!J545="","",Base!J545)</f>
        <v/>
      </c>
      <c r="E547" s="112" t="str">
        <f>IF(Base!H545="","",Base!H545)</f>
        <v/>
      </c>
    </row>
    <row r="548" spans="1:5">
      <c r="A548" s="112" t="str">
        <f>IF(Base!B546="","",Base!B546)</f>
        <v/>
      </c>
      <c r="B548" s="112" t="str">
        <f>IF(Base!F546="","",Base!F546)</f>
        <v/>
      </c>
      <c r="C548" s="112" t="str">
        <f>IF(Base!I546="","",Base!I546)</f>
        <v/>
      </c>
      <c r="D548" s="113" t="str">
        <f>IF(Base!J546="","",Base!J546)</f>
        <v/>
      </c>
      <c r="E548" s="112" t="str">
        <f>IF(Base!H546="","",Base!H546)</f>
        <v/>
      </c>
    </row>
    <row r="549" spans="1:5">
      <c r="A549" s="112" t="str">
        <f>IF(Base!B547="","",Base!B547)</f>
        <v/>
      </c>
      <c r="B549" s="112" t="str">
        <f>IF(Base!F547="","",Base!F547)</f>
        <v/>
      </c>
      <c r="C549" s="112" t="str">
        <f>IF(Base!I547="","",Base!I547)</f>
        <v/>
      </c>
      <c r="D549" s="113" t="str">
        <f>IF(Base!J547="","",Base!J547)</f>
        <v/>
      </c>
      <c r="E549" s="112" t="str">
        <f>IF(Base!H547="","",Base!H547)</f>
        <v/>
      </c>
    </row>
    <row r="550" spans="1:5">
      <c r="A550" s="112" t="str">
        <f>IF(Base!B548="","",Base!B548)</f>
        <v/>
      </c>
      <c r="B550" s="112" t="str">
        <f>IF(Base!F548="","",Base!F548)</f>
        <v/>
      </c>
      <c r="C550" s="112" t="str">
        <f>IF(Base!I548="","",Base!I548)</f>
        <v/>
      </c>
      <c r="D550" s="113" t="str">
        <f>IF(Base!J548="","",Base!J548)</f>
        <v/>
      </c>
      <c r="E550" s="112" t="str">
        <f>IF(Base!H548="","",Base!H548)</f>
        <v/>
      </c>
    </row>
    <row r="551" spans="1:5">
      <c r="A551" s="112" t="str">
        <f>IF(Base!B549="","",Base!B549)</f>
        <v/>
      </c>
      <c r="B551" s="112" t="str">
        <f>IF(Base!F549="","",Base!F549)</f>
        <v/>
      </c>
      <c r="C551" s="112" t="str">
        <f>IF(Base!I549="","",Base!I549)</f>
        <v/>
      </c>
      <c r="D551" s="113" t="str">
        <f>IF(Base!J549="","",Base!J549)</f>
        <v/>
      </c>
      <c r="E551" s="112" t="str">
        <f>IF(Base!H549="","",Base!H549)</f>
        <v/>
      </c>
    </row>
    <row r="552" spans="1:5">
      <c r="A552" s="112" t="str">
        <f>IF(Base!B550="","",Base!B550)</f>
        <v/>
      </c>
      <c r="B552" s="112" t="str">
        <f>IF(Base!F550="","",Base!F550)</f>
        <v/>
      </c>
      <c r="C552" s="112" t="str">
        <f>IF(Base!I550="","",Base!I550)</f>
        <v/>
      </c>
      <c r="D552" s="113" t="str">
        <f>IF(Base!J550="","",Base!J550)</f>
        <v/>
      </c>
      <c r="E552" s="112" t="str">
        <f>IF(Base!H550="","",Base!H550)</f>
        <v/>
      </c>
    </row>
    <row r="553" spans="1:5">
      <c r="A553" s="112" t="str">
        <f>IF(Base!B551="","",Base!B551)</f>
        <v/>
      </c>
      <c r="B553" s="112" t="str">
        <f>IF(Base!F551="","",Base!F551)</f>
        <v/>
      </c>
      <c r="C553" s="112" t="str">
        <f>IF(Base!I551="","",Base!I551)</f>
        <v/>
      </c>
      <c r="D553" s="113" t="str">
        <f>IF(Base!J551="","",Base!J551)</f>
        <v/>
      </c>
      <c r="E553" s="112" t="str">
        <f>IF(Base!H551="","",Base!H551)</f>
        <v/>
      </c>
    </row>
    <row r="554" spans="1:5">
      <c r="A554" s="112" t="str">
        <f>IF(Base!B552="","",Base!B552)</f>
        <v/>
      </c>
      <c r="B554" s="112" t="str">
        <f>IF(Base!F552="","",Base!F552)</f>
        <v/>
      </c>
      <c r="C554" s="112" t="str">
        <f>IF(Base!I552="","",Base!I552)</f>
        <v/>
      </c>
      <c r="D554" s="113" t="str">
        <f>IF(Base!J552="","",Base!J552)</f>
        <v/>
      </c>
      <c r="E554" s="112" t="str">
        <f>IF(Base!H552="","",Base!H552)</f>
        <v/>
      </c>
    </row>
    <row r="555" spans="1:5">
      <c r="A555" s="112" t="str">
        <f>IF(Base!B553="","",Base!B553)</f>
        <v/>
      </c>
      <c r="B555" s="112" t="str">
        <f>IF(Base!F553="","",Base!F553)</f>
        <v/>
      </c>
      <c r="C555" s="112" t="str">
        <f>IF(Base!I553="","",Base!I553)</f>
        <v/>
      </c>
      <c r="D555" s="113" t="str">
        <f>IF(Base!J553="","",Base!J553)</f>
        <v/>
      </c>
      <c r="E555" s="112" t="str">
        <f>IF(Base!H553="","",Base!H553)</f>
        <v/>
      </c>
    </row>
    <row r="556" spans="1:5">
      <c r="A556" s="112" t="str">
        <f>IF(Base!B554="","",Base!B554)</f>
        <v/>
      </c>
      <c r="B556" s="112" t="str">
        <f>IF(Base!F554="","",Base!F554)</f>
        <v/>
      </c>
      <c r="C556" s="112" t="str">
        <f>IF(Base!I554="","",Base!I554)</f>
        <v/>
      </c>
      <c r="D556" s="113" t="str">
        <f>IF(Base!J554="","",Base!J554)</f>
        <v/>
      </c>
      <c r="E556" s="112" t="str">
        <f>IF(Base!H554="","",Base!H554)</f>
        <v/>
      </c>
    </row>
    <row r="557" spans="1:5">
      <c r="A557" s="112" t="str">
        <f>IF(Base!B555="","",Base!B555)</f>
        <v/>
      </c>
      <c r="B557" s="112" t="str">
        <f>IF(Base!F555="","",Base!F555)</f>
        <v/>
      </c>
      <c r="C557" s="112" t="str">
        <f>IF(Base!I555="","",Base!I555)</f>
        <v/>
      </c>
      <c r="D557" s="113" t="str">
        <f>IF(Base!J555="","",Base!J555)</f>
        <v/>
      </c>
      <c r="E557" s="112" t="str">
        <f>IF(Base!H555="","",Base!H555)</f>
        <v/>
      </c>
    </row>
    <row r="558" spans="1:5">
      <c r="A558" s="112" t="str">
        <f>IF(Base!B556="","",Base!B556)</f>
        <v/>
      </c>
      <c r="B558" s="112" t="str">
        <f>IF(Base!F556="","",Base!F556)</f>
        <v/>
      </c>
      <c r="C558" s="112" t="str">
        <f>IF(Base!I556="","",Base!I556)</f>
        <v/>
      </c>
      <c r="D558" s="113" t="str">
        <f>IF(Base!J556="","",Base!J556)</f>
        <v/>
      </c>
      <c r="E558" s="112" t="str">
        <f>IF(Base!H556="","",Base!H556)</f>
        <v/>
      </c>
    </row>
    <row r="559" spans="1:5">
      <c r="A559" s="112" t="str">
        <f>IF(Base!B557="","",Base!B557)</f>
        <v/>
      </c>
      <c r="B559" s="112" t="str">
        <f>IF(Base!F557="","",Base!F557)</f>
        <v/>
      </c>
      <c r="C559" s="112" t="str">
        <f>IF(Base!I557="","",Base!I557)</f>
        <v/>
      </c>
      <c r="D559" s="113" t="str">
        <f>IF(Base!J557="","",Base!J557)</f>
        <v/>
      </c>
      <c r="E559" s="112" t="str">
        <f>IF(Base!H557="","",Base!H557)</f>
        <v/>
      </c>
    </row>
    <row r="560" spans="1:5">
      <c r="A560" s="112" t="str">
        <f>IF(Base!B558="","",Base!B558)</f>
        <v/>
      </c>
      <c r="B560" s="112" t="str">
        <f>IF(Base!F558="","",Base!F558)</f>
        <v/>
      </c>
      <c r="C560" s="112" t="str">
        <f>IF(Base!I558="","",Base!I558)</f>
        <v/>
      </c>
      <c r="D560" s="113" t="str">
        <f>IF(Base!J558="","",Base!J558)</f>
        <v/>
      </c>
      <c r="E560" s="112" t="str">
        <f>IF(Base!H558="","",Base!H558)</f>
        <v/>
      </c>
    </row>
    <row r="561" spans="1:5">
      <c r="A561" s="112" t="str">
        <f>IF(Base!B559="","",Base!B559)</f>
        <v/>
      </c>
      <c r="B561" s="112" t="str">
        <f>IF(Base!F559="","",Base!F559)</f>
        <v/>
      </c>
      <c r="C561" s="112" t="str">
        <f>IF(Base!I559="","",Base!I559)</f>
        <v/>
      </c>
      <c r="D561" s="113" t="str">
        <f>IF(Base!J559="","",Base!J559)</f>
        <v/>
      </c>
      <c r="E561" s="112" t="str">
        <f>IF(Base!H559="","",Base!H559)</f>
        <v/>
      </c>
    </row>
    <row r="562" spans="1:5">
      <c r="A562" s="112" t="str">
        <f>IF(Base!B560="","",Base!B560)</f>
        <v/>
      </c>
      <c r="B562" s="112" t="str">
        <f>IF(Base!F560="","",Base!F560)</f>
        <v/>
      </c>
      <c r="C562" s="112" t="str">
        <f>IF(Base!I560="","",Base!I560)</f>
        <v/>
      </c>
      <c r="D562" s="113" t="str">
        <f>IF(Base!J560="","",Base!J560)</f>
        <v/>
      </c>
      <c r="E562" s="112" t="str">
        <f>IF(Base!H560="","",Base!H560)</f>
        <v/>
      </c>
    </row>
    <row r="563" spans="1:5">
      <c r="A563" s="112" t="str">
        <f>IF(Base!B561="","",Base!B561)</f>
        <v/>
      </c>
      <c r="B563" s="112" t="str">
        <f>IF(Base!F561="","",Base!F561)</f>
        <v/>
      </c>
      <c r="C563" s="112" t="str">
        <f>IF(Base!I561="","",Base!I561)</f>
        <v/>
      </c>
      <c r="D563" s="113" t="str">
        <f>IF(Base!J561="","",Base!J561)</f>
        <v/>
      </c>
      <c r="E563" s="112" t="str">
        <f>IF(Base!H561="","",Base!H561)</f>
        <v/>
      </c>
    </row>
    <row r="564" spans="1:5">
      <c r="A564" s="112" t="str">
        <f>IF(Base!B562="","",Base!B562)</f>
        <v/>
      </c>
      <c r="B564" s="112" t="str">
        <f>IF(Base!F562="","",Base!F562)</f>
        <v/>
      </c>
      <c r="C564" s="112" t="str">
        <f>IF(Base!I562="","",Base!I562)</f>
        <v/>
      </c>
      <c r="D564" s="113" t="str">
        <f>IF(Base!J562="","",Base!J562)</f>
        <v/>
      </c>
      <c r="E564" s="112" t="str">
        <f>IF(Base!H562="","",Base!H562)</f>
        <v/>
      </c>
    </row>
    <row r="565" spans="1:5">
      <c r="A565" s="112" t="str">
        <f>IF(Base!B563="","",Base!B563)</f>
        <v/>
      </c>
      <c r="B565" s="112" t="str">
        <f>IF(Base!F563="","",Base!F563)</f>
        <v/>
      </c>
      <c r="C565" s="112" t="str">
        <f>IF(Base!I563="","",Base!I563)</f>
        <v/>
      </c>
      <c r="D565" s="113" t="str">
        <f>IF(Base!J563="","",Base!J563)</f>
        <v/>
      </c>
      <c r="E565" s="112" t="str">
        <f>IF(Base!H563="","",Base!H563)</f>
        <v/>
      </c>
    </row>
    <row r="566" spans="1:5">
      <c r="A566" s="112" t="str">
        <f>IF(Base!B564="","",Base!B564)</f>
        <v/>
      </c>
      <c r="B566" s="112" t="str">
        <f>IF(Base!F564="","",Base!F564)</f>
        <v/>
      </c>
      <c r="C566" s="112" t="str">
        <f>IF(Base!I564="","",Base!I564)</f>
        <v/>
      </c>
      <c r="D566" s="113" t="str">
        <f>IF(Base!J564="","",Base!J564)</f>
        <v/>
      </c>
      <c r="E566" s="112" t="str">
        <f>IF(Base!H564="","",Base!H564)</f>
        <v/>
      </c>
    </row>
    <row r="567" spans="1:5">
      <c r="A567" s="112" t="str">
        <f>IF(Base!B565="","",Base!B565)</f>
        <v/>
      </c>
      <c r="B567" s="112" t="str">
        <f>IF(Base!F565="","",Base!F565)</f>
        <v/>
      </c>
      <c r="C567" s="112" t="str">
        <f>IF(Base!I565="","",Base!I565)</f>
        <v/>
      </c>
      <c r="D567" s="113" t="str">
        <f>IF(Base!J565="","",Base!J565)</f>
        <v/>
      </c>
      <c r="E567" s="112" t="str">
        <f>IF(Base!H565="","",Base!H565)</f>
        <v/>
      </c>
    </row>
    <row r="568" spans="1:5">
      <c r="A568" s="112" t="str">
        <f>IF(Base!B566="","",Base!B566)</f>
        <v/>
      </c>
      <c r="B568" s="112" t="str">
        <f>IF(Base!F566="","",Base!F566)</f>
        <v/>
      </c>
      <c r="C568" s="112" t="str">
        <f>IF(Base!I566="","",Base!I566)</f>
        <v/>
      </c>
      <c r="D568" s="113" t="str">
        <f>IF(Base!J566="","",Base!J566)</f>
        <v/>
      </c>
      <c r="E568" s="112" t="str">
        <f>IF(Base!H566="","",Base!H566)</f>
        <v/>
      </c>
    </row>
    <row r="569" spans="1:5">
      <c r="A569" s="112" t="str">
        <f>IF(Base!B567="","",Base!B567)</f>
        <v/>
      </c>
      <c r="B569" s="112" t="str">
        <f>IF(Base!F567="","",Base!F567)</f>
        <v/>
      </c>
      <c r="C569" s="112" t="str">
        <f>IF(Base!I567="","",Base!I567)</f>
        <v/>
      </c>
      <c r="D569" s="113" t="str">
        <f>IF(Base!J567="","",Base!J567)</f>
        <v/>
      </c>
      <c r="E569" s="112" t="str">
        <f>IF(Base!H567="","",Base!H567)</f>
        <v/>
      </c>
    </row>
    <row r="570" spans="1:5">
      <c r="A570" s="112" t="str">
        <f>IF(Base!B568="","",Base!B568)</f>
        <v/>
      </c>
      <c r="B570" s="112" t="str">
        <f>IF(Base!F568="","",Base!F568)</f>
        <v/>
      </c>
      <c r="C570" s="112" t="str">
        <f>IF(Base!I568="","",Base!I568)</f>
        <v/>
      </c>
      <c r="D570" s="113" t="str">
        <f>IF(Base!J568="","",Base!J568)</f>
        <v/>
      </c>
      <c r="E570" s="112" t="str">
        <f>IF(Base!H568="","",Base!H568)</f>
        <v/>
      </c>
    </row>
    <row r="571" spans="1:5">
      <c r="A571" s="112" t="str">
        <f>IF(Base!B569="","",Base!B569)</f>
        <v/>
      </c>
      <c r="B571" s="112" t="str">
        <f>IF(Base!F569="","",Base!F569)</f>
        <v/>
      </c>
      <c r="C571" s="112" t="str">
        <f>IF(Base!I569="","",Base!I569)</f>
        <v/>
      </c>
      <c r="D571" s="113" t="str">
        <f>IF(Base!J569="","",Base!J569)</f>
        <v/>
      </c>
      <c r="E571" s="112" t="str">
        <f>IF(Base!H569="","",Base!H569)</f>
        <v/>
      </c>
    </row>
    <row r="572" spans="1:5">
      <c r="A572" s="112" t="str">
        <f>IF(Base!B570="","",Base!B570)</f>
        <v/>
      </c>
      <c r="B572" s="112" t="str">
        <f>IF(Base!F570="","",Base!F570)</f>
        <v/>
      </c>
      <c r="C572" s="112" t="str">
        <f>IF(Base!I570="","",Base!I570)</f>
        <v/>
      </c>
      <c r="D572" s="113" t="str">
        <f>IF(Base!J570="","",Base!J570)</f>
        <v/>
      </c>
      <c r="E572" s="112" t="str">
        <f>IF(Base!H570="","",Base!H570)</f>
        <v/>
      </c>
    </row>
    <row r="573" spans="1:5">
      <c r="A573" s="112" t="str">
        <f>IF(Base!B571="","",Base!B571)</f>
        <v/>
      </c>
      <c r="B573" s="112" t="str">
        <f>IF(Base!F571="","",Base!F571)</f>
        <v/>
      </c>
      <c r="C573" s="112" t="str">
        <f>IF(Base!I571="","",Base!I571)</f>
        <v/>
      </c>
      <c r="D573" s="113" t="str">
        <f>IF(Base!J571="","",Base!J571)</f>
        <v/>
      </c>
      <c r="E573" s="112" t="str">
        <f>IF(Base!H571="","",Base!H571)</f>
        <v/>
      </c>
    </row>
    <row r="574" spans="1:5">
      <c r="A574" s="112" t="str">
        <f>IF(Base!B572="","",Base!B572)</f>
        <v/>
      </c>
      <c r="B574" s="112" t="str">
        <f>IF(Base!F572="","",Base!F572)</f>
        <v/>
      </c>
      <c r="C574" s="112" t="str">
        <f>IF(Base!I572="","",Base!I572)</f>
        <v/>
      </c>
      <c r="D574" s="113" t="str">
        <f>IF(Base!J572="","",Base!J572)</f>
        <v/>
      </c>
      <c r="E574" s="112" t="str">
        <f>IF(Base!H572="","",Base!H572)</f>
        <v/>
      </c>
    </row>
    <row r="575" spans="1:5">
      <c r="A575" s="112" t="str">
        <f>IF(Base!B573="","",Base!B573)</f>
        <v/>
      </c>
      <c r="B575" s="112" t="str">
        <f>IF(Base!F573="","",Base!F573)</f>
        <v/>
      </c>
      <c r="C575" s="112" t="str">
        <f>IF(Base!I573="","",Base!I573)</f>
        <v/>
      </c>
      <c r="D575" s="113" t="str">
        <f>IF(Base!J573="","",Base!J573)</f>
        <v/>
      </c>
      <c r="E575" s="112" t="str">
        <f>IF(Base!H573="","",Base!H573)</f>
        <v/>
      </c>
    </row>
    <row r="576" spans="1:5">
      <c r="A576" s="112" t="str">
        <f>IF(Base!B574="","",Base!B574)</f>
        <v/>
      </c>
      <c r="B576" s="112" t="str">
        <f>IF(Base!F574="","",Base!F574)</f>
        <v/>
      </c>
      <c r="C576" s="112" t="str">
        <f>IF(Base!I574="","",Base!I574)</f>
        <v/>
      </c>
      <c r="D576" s="113" t="str">
        <f>IF(Base!J574="","",Base!J574)</f>
        <v/>
      </c>
      <c r="E576" s="112" t="str">
        <f>IF(Base!H574="","",Base!H574)</f>
        <v/>
      </c>
    </row>
    <row r="577" spans="1:5">
      <c r="A577" s="112" t="str">
        <f>IF(Base!B575="","",Base!B575)</f>
        <v/>
      </c>
      <c r="B577" s="112" t="str">
        <f>IF(Base!F575="","",Base!F575)</f>
        <v/>
      </c>
      <c r="C577" s="112" t="str">
        <f>IF(Base!I575="","",Base!I575)</f>
        <v/>
      </c>
      <c r="D577" s="113" t="str">
        <f>IF(Base!J575="","",Base!J575)</f>
        <v/>
      </c>
      <c r="E577" s="112" t="str">
        <f>IF(Base!H575="","",Base!H575)</f>
        <v/>
      </c>
    </row>
    <row r="578" spans="1:5">
      <c r="A578" s="112" t="str">
        <f>IF(Base!B576="","",Base!B576)</f>
        <v/>
      </c>
      <c r="B578" s="112" t="str">
        <f>IF(Base!F576="","",Base!F576)</f>
        <v/>
      </c>
      <c r="C578" s="112" t="str">
        <f>IF(Base!I576="","",Base!I576)</f>
        <v/>
      </c>
      <c r="D578" s="113" t="str">
        <f>IF(Base!J576="","",Base!J576)</f>
        <v/>
      </c>
      <c r="E578" s="112" t="str">
        <f>IF(Base!H576="","",Base!H576)</f>
        <v/>
      </c>
    </row>
    <row r="579" spans="1:5">
      <c r="A579" s="112" t="str">
        <f>IF(Base!B577="","",Base!B577)</f>
        <v/>
      </c>
      <c r="B579" s="112" t="str">
        <f>IF(Base!F577="","",Base!F577)</f>
        <v/>
      </c>
      <c r="C579" s="112" t="str">
        <f>IF(Base!I577="","",Base!I577)</f>
        <v/>
      </c>
      <c r="D579" s="113" t="str">
        <f>IF(Base!J577="","",Base!J577)</f>
        <v/>
      </c>
      <c r="E579" s="112" t="str">
        <f>IF(Base!H577="","",Base!H577)</f>
        <v/>
      </c>
    </row>
    <row r="580" spans="1:5">
      <c r="A580" s="112" t="str">
        <f>IF(Base!B578="","",Base!B578)</f>
        <v/>
      </c>
      <c r="B580" s="112" t="str">
        <f>IF(Base!F578="","",Base!F578)</f>
        <v/>
      </c>
      <c r="C580" s="112" t="str">
        <f>IF(Base!I578="","",Base!I578)</f>
        <v/>
      </c>
      <c r="D580" s="113" t="str">
        <f>IF(Base!J578="","",Base!J578)</f>
        <v/>
      </c>
      <c r="E580" s="112" t="str">
        <f>IF(Base!H578="","",Base!H578)</f>
        <v/>
      </c>
    </row>
    <row r="581" spans="1:5">
      <c r="A581" s="112" t="str">
        <f>IF(Base!B579="","",Base!B579)</f>
        <v/>
      </c>
      <c r="B581" s="112" t="str">
        <f>IF(Base!F579="","",Base!F579)</f>
        <v/>
      </c>
      <c r="C581" s="112" t="str">
        <f>IF(Base!I579="","",Base!I579)</f>
        <v/>
      </c>
      <c r="D581" s="113" t="str">
        <f>IF(Base!J579="","",Base!J579)</f>
        <v/>
      </c>
      <c r="E581" s="112" t="str">
        <f>IF(Base!H579="","",Base!H579)</f>
        <v/>
      </c>
    </row>
    <row r="582" spans="1:5">
      <c r="A582" s="112" t="str">
        <f>IF(Base!B580="","",Base!B580)</f>
        <v/>
      </c>
      <c r="B582" s="112" t="str">
        <f>IF(Base!F580="","",Base!F580)</f>
        <v/>
      </c>
      <c r="C582" s="112" t="str">
        <f>IF(Base!I580="","",Base!I580)</f>
        <v/>
      </c>
      <c r="D582" s="113" t="str">
        <f>IF(Base!J580="","",Base!J580)</f>
        <v/>
      </c>
      <c r="E582" s="112" t="str">
        <f>IF(Base!H580="","",Base!H580)</f>
        <v/>
      </c>
    </row>
    <row r="583" spans="1:5">
      <c r="A583" s="112" t="str">
        <f>IF(Base!B581="","",Base!B581)</f>
        <v/>
      </c>
      <c r="B583" s="112" t="str">
        <f>IF(Base!F581="","",Base!F581)</f>
        <v/>
      </c>
      <c r="C583" s="112" t="str">
        <f>IF(Base!I581="","",Base!I581)</f>
        <v/>
      </c>
      <c r="D583" s="113" t="str">
        <f>IF(Base!J581="","",Base!J581)</f>
        <v/>
      </c>
      <c r="E583" s="112" t="str">
        <f>IF(Base!H581="","",Base!H581)</f>
        <v/>
      </c>
    </row>
    <row r="584" spans="1:5">
      <c r="A584" s="112" t="str">
        <f>IF(Base!B582="","",Base!B582)</f>
        <v/>
      </c>
      <c r="B584" s="112" t="str">
        <f>IF(Base!F582="","",Base!F582)</f>
        <v/>
      </c>
      <c r="C584" s="112" t="str">
        <f>IF(Base!I582="","",Base!I582)</f>
        <v/>
      </c>
      <c r="D584" s="113" t="str">
        <f>IF(Base!J582="","",Base!J582)</f>
        <v/>
      </c>
      <c r="E584" s="112" t="str">
        <f>IF(Base!H582="","",Base!H582)</f>
        <v/>
      </c>
    </row>
    <row r="585" spans="1:5">
      <c r="A585" s="112" t="str">
        <f>IF(Base!B583="","",Base!B583)</f>
        <v/>
      </c>
      <c r="B585" s="112" t="str">
        <f>IF(Base!F583="","",Base!F583)</f>
        <v/>
      </c>
      <c r="C585" s="112" t="str">
        <f>IF(Base!I583="","",Base!I583)</f>
        <v/>
      </c>
      <c r="D585" s="113" t="str">
        <f>IF(Base!J583="","",Base!J583)</f>
        <v/>
      </c>
      <c r="E585" s="112" t="str">
        <f>IF(Base!H583="","",Base!H583)</f>
        <v/>
      </c>
    </row>
    <row r="586" spans="1:5">
      <c r="A586" s="112" t="str">
        <f>IF(Base!B584="","",Base!B584)</f>
        <v/>
      </c>
      <c r="B586" s="112" t="str">
        <f>IF(Base!F584="","",Base!F584)</f>
        <v/>
      </c>
      <c r="C586" s="112" t="str">
        <f>IF(Base!I584="","",Base!I584)</f>
        <v/>
      </c>
      <c r="D586" s="113" t="str">
        <f>IF(Base!J584="","",Base!J584)</f>
        <v/>
      </c>
      <c r="E586" s="112" t="str">
        <f>IF(Base!H584="","",Base!H584)</f>
        <v/>
      </c>
    </row>
    <row r="587" spans="1:5">
      <c r="A587" s="112" t="str">
        <f>IF(Base!B585="","",Base!B585)</f>
        <v/>
      </c>
      <c r="B587" s="112" t="str">
        <f>IF(Base!F585="","",Base!F585)</f>
        <v/>
      </c>
      <c r="C587" s="112" t="str">
        <f>IF(Base!I585="","",Base!I585)</f>
        <v/>
      </c>
      <c r="D587" s="113" t="str">
        <f>IF(Base!J585="","",Base!J585)</f>
        <v/>
      </c>
      <c r="E587" s="112" t="str">
        <f>IF(Base!H585="","",Base!H585)</f>
        <v/>
      </c>
    </row>
    <row r="588" spans="1:5">
      <c r="A588" s="112" t="str">
        <f>IF(Base!B586="","",Base!B586)</f>
        <v/>
      </c>
      <c r="B588" s="112" t="str">
        <f>IF(Base!F586="","",Base!F586)</f>
        <v/>
      </c>
      <c r="C588" s="112" t="str">
        <f>IF(Base!I586="","",Base!I586)</f>
        <v/>
      </c>
      <c r="D588" s="113" t="str">
        <f>IF(Base!J586="","",Base!J586)</f>
        <v/>
      </c>
      <c r="E588" s="112" t="str">
        <f>IF(Base!H586="","",Base!H586)</f>
        <v/>
      </c>
    </row>
    <row r="589" spans="1:5">
      <c r="A589" s="112" t="str">
        <f>IF(Base!B587="","",Base!B587)</f>
        <v/>
      </c>
      <c r="B589" s="112" t="str">
        <f>IF(Base!F587="","",Base!F587)</f>
        <v/>
      </c>
      <c r="C589" s="112" t="str">
        <f>IF(Base!I587="","",Base!I587)</f>
        <v/>
      </c>
      <c r="D589" s="113" t="str">
        <f>IF(Base!J587="","",Base!J587)</f>
        <v/>
      </c>
      <c r="E589" s="112" t="str">
        <f>IF(Base!H587="","",Base!H587)</f>
        <v/>
      </c>
    </row>
    <row r="590" spans="1:5">
      <c r="A590" s="112" t="str">
        <f>IF(Base!B588="","",Base!B588)</f>
        <v/>
      </c>
      <c r="B590" s="112" t="str">
        <f>IF(Base!F588="","",Base!F588)</f>
        <v/>
      </c>
      <c r="C590" s="112" t="str">
        <f>IF(Base!I588="","",Base!I588)</f>
        <v/>
      </c>
      <c r="D590" s="113" t="str">
        <f>IF(Base!J588="","",Base!J588)</f>
        <v/>
      </c>
      <c r="E590" s="112" t="str">
        <f>IF(Base!H588="","",Base!H588)</f>
        <v/>
      </c>
    </row>
    <row r="591" spans="1:5">
      <c r="A591" s="112" t="str">
        <f>IF(Base!B589="","",Base!B589)</f>
        <v/>
      </c>
      <c r="B591" s="112" t="str">
        <f>IF(Base!F589="","",Base!F589)</f>
        <v/>
      </c>
      <c r="C591" s="112" t="str">
        <f>IF(Base!I589="","",Base!I589)</f>
        <v/>
      </c>
      <c r="D591" s="113" t="str">
        <f>IF(Base!J589="","",Base!J589)</f>
        <v/>
      </c>
      <c r="E591" s="112" t="str">
        <f>IF(Base!H589="","",Base!H589)</f>
        <v/>
      </c>
    </row>
    <row r="592" spans="1:5">
      <c r="A592" s="112" t="str">
        <f>IF(Base!B590="","",Base!B590)</f>
        <v/>
      </c>
      <c r="B592" s="112" t="str">
        <f>IF(Base!F590="","",Base!F590)</f>
        <v/>
      </c>
      <c r="C592" s="112" t="str">
        <f>IF(Base!I590="","",Base!I590)</f>
        <v/>
      </c>
      <c r="D592" s="113" t="str">
        <f>IF(Base!J590="","",Base!J590)</f>
        <v/>
      </c>
      <c r="E592" s="112" t="str">
        <f>IF(Base!H590="","",Base!H590)</f>
        <v/>
      </c>
    </row>
    <row r="593" spans="1:5">
      <c r="A593" s="112" t="str">
        <f>IF(Base!B591="","",Base!B591)</f>
        <v/>
      </c>
      <c r="B593" s="112" t="str">
        <f>IF(Base!F591="","",Base!F591)</f>
        <v/>
      </c>
      <c r="C593" s="112" t="str">
        <f>IF(Base!I591="","",Base!I591)</f>
        <v/>
      </c>
      <c r="D593" s="113" t="str">
        <f>IF(Base!J591="","",Base!J591)</f>
        <v/>
      </c>
      <c r="E593" s="112" t="str">
        <f>IF(Base!H591="","",Base!H591)</f>
        <v/>
      </c>
    </row>
    <row r="594" spans="1:5">
      <c r="A594" s="112" t="str">
        <f>IF(Base!B592="","",Base!B592)</f>
        <v/>
      </c>
      <c r="B594" s="112" t="str">
        <f>IF(Base!F592="","",Base!F592)</f>
        <v/>
      </c>
      <c r="C594" s="112" t="str">
        <f>IF(Base!I592="","",Base!I592)</f>
        <v/>
      </c>
      <c r="D594" s="113" t="str">
        <f>IF(Base!J592="","",Base!J592)</f>
        <v/>
      </c>
      <c r="E594" s="112" t="str">
        <f>IF(Base!H592="","",Base!H592)</f>
        <v/>
      </c>
    </row>
    <row r="595" spans="1:5">
      <c r="A595" s="112" t="str">
        <f>IF(Base!B593="","",Base!B593)</f>
        <v/>
      </c>
      <c r="B595" s="112" t="str">
        <f>IF(Base!F593="","",Base!F593)</f>
        <v/>
      </c>
      <c r="C595" s="112" t="str">
        <f>IF(Base!I593="","",Base!I593)</f>
        <v/>
      </c>
      <c r="D595" s="113" t="str">
        <f>IF(Base!J593="","",Base!J593)</f>
        <v/>
      </c>
      <c r="E595" s="112" t="str">
        <f>IF(Base!H593="","",Base!H593)</f>
        <v/>
      </c>
    </row>
    <row r="596" spans="1:5">
      <c r="A596" s="112" t="str">
        <f>IF(Base!B594="","",Base!B594)</f>
        <v/>
      </c>
      <c r="B596" s="112" t="str">
        <f>IF(Base!F594="","",Base!F594)</f>
        <v/>
      </c>
      <c r="C596" s="112" t="str">
        <f>IF(Base!I594="","",Base!I594)</f>
        <v/>
      </c>
      <c r="D596" s="113" t="str">
        <f>IF(Base!J594="","",Base!J594)</f>
        <v/>
      </c>
      <c r="E596" s="112" t="str">
        <f>IF(Base!H594="","",Base!H594)</f>
        <v/>
      </c>
    </row>
    <row r="597" spans="1:5">
      <c r="A597" s="112" t="str">
        <f>IF(Base!B595="","",Base!B595)</f>
        <v/>
      </c>
      <c r="B597" s="112" t="str">
        <f>IF(Base!F595="","",Base!F595)</f>
        <v/>
      </c>
      <c r="C597" s="112" t="str">
        <f>IF(Base!I595="","",Base!I595)</f>
        <v/>
      </c>
      <c r="D597" s="113" t="str">
        <f>IF(Base!J595="","",Base!J595)</f>
        <v/>
      </c>
      <c r="E597" s="112" t="str">
        <f>IF(Base!H595="","",Base!H595)</f>
        <v/>
      </c>
    </row>
    <row r="598" spans="1:5">
      <c r="A598" s="112" t="str">
        <f>IF(Base!B596="","",Base!B596)</f>
        <v/>
      </c>
      <c r="B598" s="112" t="str">
        <f>IF(Base!F596="","",Base!F596)</f>
        <v/>
      </c>
      <c r="C598" s="112" t="str">
        <f>IF(Base!I596="","",Base!I596)</f>
        <v/>
      </c>
      <c r="D598" s="113" t="str">
        <f>IF(Base!J596="","",Base!J596)</f>
        <v/>
      </c>
      <c r="E598" s="112" t="str">
        <f>IF(Base!H596="","",Base!H596)</f>
        <v/>
      </c>
    </row>
    <row r="599" spans="1:5">
      <c r="A599" s="112" t="str">
        <f>IF(Base!B597="","",Base!B597)</f>
        <v/>
      </c>
      <c r="B599" s="112" t="str">
        <f>IF(Base!F597="","",Base!F597)</f>
        <v/>
      </c>
      <c r="C599" s="112" t="str">
        <f>IF(Base!I597="","",Base!I597)</f>
        <v/>
      </c>
      <c r="D599" s="113" t="str">
        <f>IF(Base!J597="","",Base!J597)</f>
        <v/>
      </c>
      <c r="E599" s="112" t="str">
        <f>IF(Base!H597="","",Base!H597)</f>
        <v/>
      </c>
    </row>
    <row r="600" spans="1:5">
      <c r="A600" s="112" t="str">
        <f>IF(Base!B598="","",Base!B598)</f>
        <v/>
      </c>
      <c r="B600" s="112" t="str">
        <f>IF(Base!F598="","",Base!F598)</f>
        <v/>
      </c>
      <c r="C600" s="112" t="str">
        <f>IF(Base!I598="","",Base!I598)</f>
        <v/>
      </c>
      <c r="D600" s="113" t="str">
        <f>IF(Base!J598="","",Base!J598)</f>
        <v/>
      </c>
      <c r="E600" s="112" t="str">
        <f>IF(Base!H598="","",Base!H598)</f>
        <v/>
      </c>
    </row>
    <row r="601" spans="1:5">
      <c r="A601" s="112" t="str">
        <f>IF(Base!B599="","",Base!B599)</f>
        <v/>
      </c>
      <c r="B601" s="112" t="str">
        <f>IF(Base!F599="","",Base!F599)</f>
        <v/>
      </c>
      <c r="C601" s="112" t="str">
        <f>IF(Base!I599="","",Base!I599)</f>
        <v/>
      </c>
      <c r="D601" s="113" t="str">
        <f>IF(Base!J599="","",Base!J599)</f>
        <v/>
      </c>
      <c r="E601" s="112" t="str">
        <f>IF(Base!H599="","",Base!H599)</f>
        <v/>
      </c>
    </row>
    <row r="602" spans="1:5">
      <c r="A602" s="112" t="str">
        <f>IF(Base!B600="","",Base!B600)</f>
        <v/>
      </c>
      <c r="B602" s="112" t="str">
        <f>IF(Base!F600="","",Base!F600)</f>
        <v/>
      </c>
      <c r="C602" s="112" t="str">
        <f>IF(Base!I600="","",Base!I600)</f>
        <v/>
      </c>
      <c r="D602" s="113" t="str">
        <f>IF(Base!J600="","",Base!J600)</f>
        <v/>
      </c>
      <c r="E602" s="112" t="str">
        <f>IF(Base!H600="","",Base!H600)</f>
        <v/>
      </c>
    </row>
    <row r="603" spans="1:5">
      <c r="A603" s="112" t="str">
        <f>IF(Base!B601="","",Base!B601)</f>
        <v/>
      </c>
      <c r="B603" s="112" t="str">
        <f>IF(Base!F601="","",Base!F601)</f>
        <v/>
      </c>
      <c r="C603" s="112" t="str">
        <f>IF(Base!I601="","",Base!I601)</f>
        <v/>
      </c>
      <c r="D603" s="113" t="str">
        <f>IF(Base!J601="","",Base!J601)</f>
        <v/>
      </c>
      <c r="E603" s="112" t="str">
        <f>IF(Base!H601="","",Base!H601)</f>
        <v/>
      </c>
    </row>
    <row r="604" spans="1:5">
      <c r="A604" s="112" t="str">
        <f>IF(Base!B602="","",Base!B602)</f>
        <v/>
      </c>
      <c r="B604" s="112" t="str">
        <f>IF(Base!F602="","",Base!F602)</f>
        <v/>
      </c>
      <c r="C604" s="112" t="str">
        <f>IF(Base!I602="","",Base!I602)</f>
        <v/>
      </c>
      <c r="D604" s="113" t="str">
        <f>IF(Base!J602="","",Base!J602)</f>
        <v/>
      </c>
      <c r="E604" s="112" t="str">
        <f>IF(Base!H602="","",Base!H602)</f>
        <v/>
      </c>
    </row>
    <row r="605" spans="1:5">
      <c r="A605" s="112" t="str">
        <f>IF(Base!B603="","",Base!B603)</f>
        <v/>
      </c>
      <c r="B605" s="112" t="str">
        <f>IF(Base!F603="","",Base!F603)</f>
        <v/>
      </c>
      <c r="C605" s="112" t="str">
        <f>IF(Base!I603="","",Base!I603)</f>
        <v/>
      </c>
      <c r="D605" s="113" t="str">
        <f>IF(Base!J603="","",Base!J603)</f>
        <v/>
      </c>
      <c r="E605" s="112" t="str">
        <f>IF(Base!H603="","",Base!H603)</f>
        <v/>
      </c>
    </row>
    <row r="606" spans="1:5">
      <c r="A606" s="112" t="str">
        <f>IF(Base!B604="","",Base!B604)</f>
        <v/>
      </c>
      <c r="B606" s="112" t="str">
        <f>IF(Base!F604="","",Base!F604)</f>
        <v/>
      </c>
      <c r="C606" s="112" t="str">
        <f>IF(Base!I604="","",Base!I604)</f>
        <v/>
      </c>
      <c r="D606" s="113" t="str">
        <f>IF(Base!J604="","",Base!J604)</f>
        <v/>
      </c>
      <c r="E606" s="112" t="str">
        <f>IF(Base!H604="","",Base!H604)</f>
        <v/>
      </c>
    </row>
    <row r="607" spans="1:5">
      <c r="A607" s="112" t="str">
        <f>IF(Base!B605="","",Base!B605)</f>
        <v/>
      </c>
      <c r="B607" s="112" t="str">
        <f>IF(Base!F605="","",Base!F605)</f>
        <v/>
      </c>
      <c r="C607" s="112" t="str">
        <f>IF(Base!I605="","",Base!I605)</f>
        <v/>
      </c>
      <c r="D607" s="113" t="str">
        <f>IF(Base!J605="","",Base!J605)</f>
        <v/>
      </c>
      <c r="E607" s="112" t="str">
        <f>IF(Base!H605="","",Base!H605)</f>
        <v/>
      </c>
    </row>
    <row r="608" spans="1:5">
      <c r="A608" s="112" t="str">
        <f>IF(Base!B606="","",Base!B606)</f>
        <v/>
      </c>
      <c r="B608" s="112" t="str">
        <f>IF(Base!F606="","",Base!F606)</f>
        <v/>
      </c>
      <c r="C608" s="112" t="str">
        <f>IF(Base!I606="","",Base!I606)</f>
        <v/>
      </c>
      <c r="D608" s="113" t="str">
        <f>IF(Base!J606="","",Base!J606)</f>
        <v/>
      </c>
      <c r="E608" s="112" t="str">
        <f>IF(Base!H606="","",Base!H606)</f>
        <v/>
      </c>
    </row>
    <row r="609" spans="1:5">
      <c r="A609" s="112" t="str">
        <f>IF(Base!B607="","",Base!B607)</f>
        <v/>
      </c>
      <c r="B609" s="112" t="str">
        <f>IF(Base!F607="","",Base!F607)</f>
        <v/>
      </c>
      <c r="C609" s="112" t="str">
        <f>IF(Base!I607="","",Base!I607)</f>
        <v/>
      </c>
      <c r="D609" s="113" t="str">
        <f>IF(Base!J607="","",Base!J607)</f>
        <v/>
      </c>
      <c r="E609" s="112" t="str">
        <f>IF(Base!H607="","",Base!H607)</f>
        <v/>
      </c>
    </row>
    <row r="610" spans="1:5">
      <c r="A610" s="112" t="str">
        <f>IF(Base!B608="","",Base!B608)</f>
        <v/>
      </c>
      <c r="B610" s="112" t="str">
        <f>IF(Base!F608="","",Base!F608)</f>
        <v/>
      </c>
      <c r="C610" s="112" t="str">
        <f>IF(Base!I608="","",Base!I608)</f>
        <v/>
      </c>
      <c r="D610" s="113" t="str">
        <f>IF(Base!J608="","",Base!J608)</f>
        <v/>
      </c>
      <c r="E610" s="112" t="str">
        <f>IF(Base!H608="","",Base!H608)</f>
        <v/>
      </c>
    </row>
    <row r="611" spans="1:5">
      <c r="A611" s="112" t="str">
        <f>IF(Base!B609="","",Base!B609)</f>
        <v/>
      </c>
      <c r="B611" s="112" t="str">
        <f>IF(Base!F609="","",Base!F609)</f>
        <v/>
      </c>
      <c r="C611" s="112" t="str">
        <f>IF(Base!I609="","",Base!I609)</f>
        <v/>
      </c>
      <c r="D611" s="113" t="str">
        <f>IF(Base!J609="","",Base!J609)</f>
        <v/>
      </c>
      <c r="E611" s="112" t="str">
        <f>IF(Base!H609="","",Base!H609)</f>
        <v/>
      </c>
    </row>
    <row r="612" spans="1:5">
      <c r="A612" s="112" t="str">
        <f>IF(Base!B610="","",Base!B610)</f>
        <v/>
      </c>
      <c r="B612" s="112" t="str">
        <f>IF(Base!F610="","",Base!F610)</f>
        <v/>
      </c>
      <c r="C612" s="112" t="str">
        <f>IF(Base!I610="","",Base!I610)</f>
        <v/>
      </c>
      <c r="D612" s="113" t="str">
        <f>IF(Base!J610="","",Base!J610)</f>
        <v/>
      </c>
      <c r="E612" s="112" t="str">
        <f>IF(Base!H610="","",Base!H610)</f>
        <v/>
      </c>
    </row>
    <row r="613" spans="1:5">
      <c r="A613" s="112" t="str">
        <f>IF(Base!B611="","",Base!B611)</f>
        <v/>
      </c>
      <c r="B613" s="112" t="str">
        <f>IF(Base!F611="","",Base!F611)</f>
        <v/>
      </c>
      <c r="C613" s="112" t="str">
        <f>IF(Base!I611="","",Base!I611)</f>
        <v/>
      </c>
      <c r="D613" s="113" t="str">
        <f>IF(Base!J611="","",Base!J611)</f>
        <v/>
      </c>
      <c r="E613" s="112" t="str">
        <f>IF(Base!H611="","",Base!H611)</f>
        <v/>
      </c>
    </row>
    <row r="614" spans="1:5">
      <c r="A614" s="112" t="str">
        <f>IF(Base!B612="","",Base!B612)</f>
        <v/>
      </c>
      <c r="B614" s="112" t="str">
        <f>IF(Base!F612="","",Base!F612)</f>
        <v/>
      </c>
      <c r="C614" s="112" t="str">
        <f>IF(Base!I612="","",Base!I612)</f>
        <v/>
      </c>
      <c r="D614" s="113" t="str">
        <f>IF(Base!J612="","",Base!J612)</f>
        <v/>
      </c>
      <c r="E614" s="112" t="str">
        <f>IF(Base!H612="","",Base!H612)</f>
        <v/>
      </c>
    </row>
    <row r="615" spans="1:5">
      <c r="A615" s="112" t="str">
        <f>IF(Base!B613="","",Base!B613)</f>
        <v/>
      </c>
      <c r="B615" s="112" t="str">
        <f>IF(Base!F613="","",Base!F613)</f>
        <v/>
      </c>
      <c r="C615" s="112" t="str">
        <f>IF(Base!I613="","",Base!I613)</f>
        <v/>
      </c>
      <c r="D615" s="113" t="str">
        <f>IF(Base!J613="","",Base!J613)</f>
        <v/>
      </c>
      <c r="E615" s="112" t="str">
        <f>IF(Base!H613="","",Base!H613)</f>
        <v/>
      </c>
    </row>
    <row r="616" spans="1:5">
      <c r="A616" s="112" t="str">
        <f>IF(Base!B614="","",Base!B614)</f>
        <v/>
      </c>
      <c r="B616" s="112" t="str">
        <f>IF(Base!F614="","",Base!F614)</f>
        <v/>
      </c>
      <c r="C616" s="112" t="str">
        <f>IF(Base!I614="","",Base!I614)</f>
        <v/>
      </c>
      <c r="D616" s="113" t="str">
        <f>IF(Base!J614="","",Base!J614)</f>
        <v/>
      </c>
      <c r="E616" s="112" t="str">
        <f>IF(Base!H614="","",Base!H614)</f>
        <v/>
      </c>
    </row>
    <row r="617" spans="1:5">
      <c r="A617" s="112" t="str">
        <f>IF(Base!B615="","",Base!B615)</f>
        <v/>
      </c>
      <c r="B617" s="112" t="str">
        <f>IF(Base!F615="","",Base!F615)</f>
        <v/>
      </c>
      <c r="C617" s="112" t="str">
        <f>IF(Base!I615="","",Base!I615)</f>
        <v/>
      </c>
      <c r="D617" s="113" t="str">
        <f>IF(Base!J615="","",Base!J615)</f>
        <v/>
      </c>
      <c r="E617" s="112" t="str">
        <f>IF(Base!H615="","",Base!H615)</f>
        <v/>
      </c>
    </row>
    <row r="618" spans="1:5">
      <c r="A618" s="112" t="str">
        <f>IF(Base!B616="","",Base!B616)</f>
        <v/>
      </c>
      <c r="B618" s="112" t="str">
        <f>IF(Base!F616="","",Base!F616)</f>
        <v/>
      </c>
      <c r="C618" s="112" t="str">
        <f>IF(Base!I616="","",Base!I616)</f>
        <v/>
      </c>
      <c r="D618" s="113" t="str">
        <f>IF(Base!J616="","",Base!J616)</f>
        <v/>
      </c>
      <c r="E618" s="112" t="str">
        <f>IF(Base!H616="","",Base!H616)</f>
        <v/>
      </c>
    </row>
    <row r="619" spans="1:5">
      <c r="A619" s="112" t="str">
        <f>IF(Base!B617="","",Base!B617)</f>
        <v/>
      </c>
      <c r="B619" s="112" t="str">
        <f>IF(Base!F617="","",Base!F617)</f>
        <v/>
      </c>
      <c r="C619" s="112" t="str">
        <f>IF(Base!I617="","",Base!I617)</f>
        <v/>
      </c>
      <c r="D619" s="113" t="str">
        <f>IF(Base!J617="","",Base!J617)</f>
        <v/>
      </c>
      <c r="E619" s="112" t="str">
        <f>IF(Base!H617="","",Base!H617)</f>
        <v/>
      </c>
    </row>
    <row r="620" spans="1:5">
      <c r="A620" s="112" t="str">
        <f>IF(Base!B618="","",Base!B618)</f>
        <v/>
      </c>
      <c r="B620" s="112" t="str">
        <f>IF(Base!F618="","",Base!F618)</f>
        <v/>
      </c>
      <c r="C620" s="112" t="str">
        <f>IF(Base!I618="","",Base!I618)</f>
        <v/>
      </c>
      <c r="D620" s="113" t="str">
        <f>IF(Base!J618="","",Base!J618)</f>
        <v/>
      </c>
      <c r="E620" s="112" t="str">
        <f>IF(Base!H618="","",Base!H618)</f>
        <v/>
      </c>
    </row>
    <row r="621" spans="1:5">
      <c r="A621" s="112" t="str">
        <f>IF(Base!B619="","",Base!B619)</f>
        <v/>
      </c>
      <c r="B621" s="112" t="str">
        <f>IF(Base!F619="","",Base!F619)</f>
        <v/>
      </c>
      <c r="C621" s="112" t="str">
        <f>IF(Base!I619="","",Base!I619)</f>
        <v/>
      </c>
      <c r="D621" s="113" t="str">
        <f>IF(Base!J619="","",Base!J619)</f>
        <v/>
      </c>
      <c r="E621" s="112" t="str">
        <f>IF(Base!H619="","",Base!H619)</f>
        <v/>
      </c>
    </row>
    <row r="622" spans="1:5">
      <c r="A622" s="112" t="str">
        <f>IF(Base!B620="","",Base!B620)</f>
        <v/>
      </c>
      <c r="B622" s="112" t="str">
        <f>IF(Base!F620="","",Base!F620)</f>
        <v/>
      </c>
      <c r="C622" s="112" t="str">
        <f>IF(Base!I620="","",Base!I620)</f>
        <v/>
      </c>
      <c r="D622" s="113" t="str">
        <f>IF(Base!J620="","",Base!J620)</f>
        <v/>
      </c>
      <c r="E622" s="112" t="str">
        <f>IF(Base!H620="","",Base!H620)</f>
        <v/>
      </c>
    </row>
    <row r="623" spans="1:5">
      <c r="A623" s="112" t="str">
        <f>IF(Base!B621="","",Base!B621)</f>
        <v/>
      </c>
      <c r="B623" s="112" t="str">
        <f>IF(Base!F621="","",Base!F621)</f>
        <v/>
      </c>
      <c r="C623" s="112" t="str">
        <f>IF(Base!I621="","",Base!I621)</f>
        <v/>
      </c>
      <c r="D623" s="113" t="str">
        <f>IF(Base!J621="","",Base!J621)</f>
        <v/>
      </c>
      <c r="E623" s="112" t="str">
        <f>IF(Base!H621="","",Base!H621)</f>
        <v/>
      </c>
    </row>
    <row r="624" spans="1:5">
      <c r="A624" s="112" t="str">
        <f>IF(Base!B622="","",Base!B622)</f>
        <v/>
      </c>
      <c r="B624" s="112" t="str">
        <f>IF(Base!F622="","",Base!F622)</f>
        <v/>
      </c>
      <c r="C624" s="112" t="str">
        <f>IF(Base!I622="","",Base!I622)</f>
        <v/>
      </c>
      <c r="D624" s="113" t="str">
        <f>IF(Base!J622="","",Base!J622)</f>
        <v/>
      </c>
      <c r="E624" s="112" t="str">
        <f>IF(Base!H622="","",Base!H622)</f>
        <v/>
      </c>
    </row>
    <row r="625" spans="1:5">
      <c r="A625" s="112" t="str">
        <f>IF(Base!B623="","",Base!B623)</f>
        <v/>
      </c>
      <c r="B625" s="112" t="str">
        <f>IF(Base!F623="","",Base!F623)</f>
        <v/>
      </c>
      <c r="C625" s="112" t="str">
        <f>IF(Base!I623="","",Base!I623)</f>
        <v/>
      </c>
      <c r="D625" s="113" t="str">
        <f>IF(Base!J623="","",Base!J623)</f>
        <v/>
      </c>
      <c r="E625" s="112" t="str">
        <f>IF(Base!H623="","",Base!H623)</f>
        <v/>
      </c>
    </row>
    <row r="626" spans="1:5">
      <c r="A626" s="112" t="str">
        <f>IF(Base!B624="","",Base!B624)</f>
        <v/>
      </c>
      <c r="B626" s="112" t="str">
        <f>IF(Base!F624="","",Base!F624)</f>
        <v/>
      </c>
      <c r="C626" s="112" t="str">
        <f>IF(Base!I624="","",Base!I624)</f>
        <v/>
      </c>
      <c r="D626" s="113" t="str">
        <f>IF(Base!J624="","",Base!J624)</f>
        <v/>
      </c>
      <c r="E626" s="112" t="str">
        <f>IF(Base!H624="","",Base!H624)</f>
        <v/>
      </c>
    </row>
    <row r="627" spans="1:5">
      <c r="A627" s="112" t="str">
        <f>IF(Base!B625="","",Base!B625)</f>
        <v/>
      </c>
      <c r="B627" s="112" t="str">
        <f>IF(Base!F625="","",Base!F625)</f>
        <v/>
      </c>
      <c r="C627" s="112" t="str">
        <f>IF(Base!I625="","",Base!I625)</f>
        <v/>
      </c>
      <c r="D627" s="113" t="str">
        <f>IF(Base!J625="","",Base!J625)</f>
        <v/>
      </c>
      <c r="E627" s="112" t="str">
        <f>IF(Base!H625="","",Base!H625)</f>
        <v/>
      </c>
    </row>
    <row r="628" spans="1:5">
      <c r="A628" s="112" t="str">
        <f>IF(Base!B626="","",Base!B626)</f>
        <v/>
      </c>
      <c r="B628" s="112" t="str">
        <f>IF(Base!F626="","",Base!F626)</f>
        <v/>
      </c>
      <c r="C628" s="112" t="str">
        <f>IF(Base!I626="","",Base!I626)</f>
        <v/>
      </c>
      <c r="D628" s="113" t="str">
        <f>IF(Base!J626="","",Base!J626)</f>
        <v/>
      </c>
      <c r="E628" s="112" t="str">
        <f>IF(Base!H626="","",Base!H626)</f>
        <v/>
      </c>
    </row>
    <row r="629" spans="1:5">
      <c r="A629" s="112" t="str">
        <f>IF(Base!B627="","",Base!B627)</f>
        <v/>
      </c>
      <c r="B629" s="112" t="str">
        <f>IF(Base!F627="","",Base!F627)</f>
        <v/>
      </c>
      <c r="C629" s="112" t="str">
        <f>IF(Base!I627="","",Base!I627)</f>
        <v/>
      </c>
      <c r="D629" s="113" t="str">
        <f>IF(Base!J627="","",Base!J627)</f>
        <v/>
      </c>
      <c r="E629" s="112" t="str">
        <f>IF(Base!H627="","",Base!H627)</f>
        <v/>
      </c>
    </row>
    <row r="630" spans="1:5">
      <c r="A630" s="112" t="str">
        <f>IF(Base!B628="","",Base!B628)</f>
        <v/>
      </c>
      <c r="B630" s="112" t="str">
        <f>IF(Base!F628="","",Base!F628)</f>
        <v/>
      </c>
      <c r="C630" s="112" t="str">
        <f>IF(Base!I628="","",Base!I628)</f>
        <v/>
      </c>
      <c r="D630" s="113" t="str">
        <f>IF(Base!J628="","",Base!J628)</f>
        <v/>
      </c>
      <c r="E630" s="112" t="str">
        <f>IF(Base!H628="","",Base!H628)</f>
        <v/>
      </c>
    </row>
    <row r="631" spans="1:5">
      <c r="A631" s="112" t="str">
        <f>IF(Base!B629="","",Base!B629)</f>
        <v/>
      </c>
      <c r="B631" s="112" t="str">
        <f>IF(Base!F629="","",Base!F629)</f>
        <v/>
      </c>
      <c r="C631" s="112" t="str">
        <f>IF(Base!I629="","",Base!I629)</f>
        <v/>
      </c>
      <c r="D631" s="113" t="str">
        <f>IF(Base!J629="","",Base!J629)</f>
        <v/>
      </c>
      <c r="E631" s="112" t="str">
        <f>IF(Base!H629="","",Base!H629)</f>
        <v/>
      </c>
    </row>
    <row r="632" spans="1:5">
      <c r="A632" s="112" t="str">
        <f>IF(Base!B630="","",Base!B630)</f>
        <v/>
      </c>
      <c r="B632" s="112" t="str">
        <f>IF(Base!F630="","",Base!F630)</f>
        <v/>
      </c>
      <c r="C632" s="112" t="str">
        <f>IF(Base!I630="","",Base!I630)</f>
        <v/>
      </c>
      <c r="D632" s="113" t="str">
        <f>IF(Base!J630="","",Base!J630)</f>
        <v/>
      </c>
      <c r="E632" s="112" t="str">
        <f>IF(Base!H630="","",Base!H630)</f>
        <v/>
      </c>
    </row>
    <row r="633" spans="1:5">
      <c r="A633" s="112" t="str">
        <f>IF(Base!B631="","",Base!B631)</f>
        <v/>
      </c>
      <c r="B633" s="112" t="str">
        <f>IF(Base!F631="","",Base!F631)</f>
        <v/>
      </c>
      <c r="C633" s="112" t="str">
        <f>IF(Base!I631="","",Base!I631)</f>
        <v/>
      </c>
      <c r="D633" s="113" t="str">
        <f>IF(Base!J631="","",Base!J631)</f>
        <v/>
      </c>
      <c r="E633" s="112" t="str">
        <f>IF(Base!H631="","",Base!H631)</f>
        <v/>
      </c>
    </row>
    <row r="634" spans="1:5">
      <c r="A634" s="112" t="str">
        <f>IF(Base!B632="","",Base!B632)</f>
        <v/>
      </c>
      <c r="B634" s="112" t="str">
        <f>IF(Base!F632="","",Base!F632)</f>
        <v/>
      </c>
      <c r="C634" s="112" t="str">
        <f>IF(Base!I632="","",Base!I632)</f>
        <v/>
      </c>
      <c r="D634" s="113" t="str">
        <f>IF(Base!J632="","",Base!J632)</f>
        <v/>
      </c>
      <c r="E634" s="112" t="str">
        <f>IF(Base!H632="","",Base!H632)</f>
        <v/>
      </c>
    </row>
    <row r="635" spans="1:5">
      <c r="A635" s="112" t="str">
        <f>IF(Base!B633="","",Base!B633)</f>
        <v/>
      </c>
      <c r="B635" s="112" t="str">
        <f>IF(Base!F633="","",Base!F633)</f>
        <v/>
      </c>
      <c r="C635" s="112" t="str">
        <f>IF(Base!I633="","",Base!I633)</f>
        <v/>
      </c>
      <c r="D635" s="113" t="str">
        <f>IF(Base!J633="","",Base!J633)</f>
        <v/>
      </c>
      <c r="E635" s="112" t="str">
        <f>IF(Base!H633="","",Base!H633)</f>
        <v/>
      </c>
    </row>
    <row r="636" spans="1:5">
      <c r="A636" s="112" t="str">
        <f>IF(Base!B634="","",Base!B634)</f>
        <v/>
      </c>
      <c r="B636" s="112" t="str">
        <f>IF(Base!F634="","",Base!F634)</f>
        <v/>
      </c>
      <c r="C636" s="112" t="str">
        <f>IF(Base!I634="","",Base!I634)</f>
        <v/>
      </c>
      <c r="D636" s="113" t="str">
        <f>IF(Base!J634="","",Base!J634)</f>
        <v/>
      </c>
      <c r="E636" s="112" t="str">
        <f>IF(Base!H634="","",Base!H634)</f>
        <v/>
      </c>
    </row>
    <row r="637" spans="1:5">
      <c r="A637" s="112" t="str">
        <f>IF(Base!B635="","",Base!B635)</f>
        <v/>
      </c>
      <c r="B637" s="112" t="str">
        <f>IF(Base!F635="","",Base!F635)</f>
        <v/>
      </c>
      <c r="C637" s="112" t="str">
        <f>IF(Base!I635="","",Base!I635)</f>
        <v/>
      </c>
      <c r="D637" s="113" t="str">
        <f>IF(Base!J635="","",Base!J635)</f>
        <v/>
      </c>
      <c r="E637" s="112" t="str">
        <f>IF(Base!H635="","",Base!H635)</f>
        <v/>
      </c>
    </row>
    <row r="638" spans="1:5">
      <c r="A638" s="112" t="str">
        <f>IF(Base!B636="","",Base!B636)</f>
        <v/>
      </c>
      <c r="B638" s="112" t="str">
        <f>IF(Base!F636="","",Base!F636)</f>
        <v/>
      </c>
      <c r="C638" s="112" t="str">
        <f>IF(Base!I636="","",Base!I636)</f>
        <v/>
      </c>
      <c r="D638" s="113" t="str">
        <f>IF(Base!J636="","",Base!J636)</f>
        <v/>
      </c>
      <c r="E638" s="112" t="str">
        <f>IF(Base!H636="","",Base!H636)</f>
        <v/>
      </c>
    </row>
    <row r="639" spans="1:5">
      <c r="A639" s="112" t="str">
        <f>IF(Base!B637="","",Base!B637)</f>
        <v/>
      </c>
      <c r="B639" s="112" t="str">
        <f>IF(Base!F637="","",Base!F637)</f>
        <v/>
      </c>
      <c r="C639" s="112" t="str">
        <f>IF(Base!I637="","",Base!I637)</f>
        <v/>
      </c>
      <c r="D639" s="113" t="str">
        <f>IF(Base!J637="","",Base!J637)</f>
        <v/>
      </c>
      <c r="E639" s="112" t="str">
        <f>IF(Base!H637="","",Base!H637)</f>
        <v/>
      </c>
    </row>
    <row r="640" spans="1:5">
      <c r="A640" s="112" t="str">
        <f>IF(Base!B638="","",Base!B638)</f>
        <v/>
      </c>
      <c r="B640" s="112" t="str">
        <f>IF(Base!F638="","",Base!F638)</f>
        <v/>
      </c>
      <c r="C640" s="112" t="str">
        <f>IF(Base!I638="","",Base!I638)</f>
        <v/>
      </c>
      <c r="D640" s="113" t="str">
        <f>IF(Base!J638="","",Base!J638)</f>
        <v/>
      </c>
      <c r="E640" s="112" t="str">
        <f>IF(Base!H638="","",Base!H638)</f>
        <v/>
      </c>
    </row>
    <row r="641" spans="1:5">
      <c r="A641" s="112" t="str">
        <f>IF(Base!B639="","",Base!B639)</f>
        <v/>
      </c>
      <c r="B641" s="112" t="str">
        <f>IF(Base!F639="","",Base!F639)</f>
        <v/>
      </c>
      <c r="C641" s="112" t="str">
        <f>IF(Base!I639="","",Base!I639)</f>
        <v/>
      </c>
      <c r="D641" s="113" t="str">
        <f>IF(Base!J639="","",Base!J639)</f>
        <v/>
      </c>
      <c r="E641" s="112" t="str">
        <f>IF(Base!H639="","",Base!H639)</f>
        <v/>
      </c>
    </row>
    <row r="642" spans="1:5">
      <c r="A642" s="112" t="str">
        <f>IF(Base!B640="","",Base!B640)</f>
        <v/>
      </c>
      <c r="B642" s="112" t="str">
        <f>IF(Base!F640="","",Base!F640)</f>
        <v/>
      </c>
      <c r="C642" s="112" t="str">
        <f>IF(Base!I640="","",Base!I640)</f>
        <v/>
      </c>
      <c r="D642" s="113" t="str">
        <f>IF(Base!J640="","",Base!J640)</f>
        <v/>
      </c>
      <c r="E642" s="112" t="str">
        <f>IF(Base!H640="","",Base!H640)</f>
        <v/>
      </c>
    </row>
    <row r="643" spans="1:5">
      <c r="A643" s="112" t="str">
        <f>IF(Base!B641="","",Base!B641)</f>
        <v/>
      </c>
      <c r="B643" s="112" t="str">
        <f>IF(Base!F641="","",Base!F641)</f>
        <v/>
      </c>
      <c r="C643" s="112" t="str">
        <f>IF(Base!I641="","",Base!I641)</f>
        <v/>
      </c>
      <c r="D643" s="113" t="str">
        <f>IF(Base!J641="","",Base!J641)</f>
        <v/>
      </c>
      <c r="E643" s="112" t="str">
        <f>IF(Base!H641="","",Base!H641)</f>
        <v/>
      </c>
    </row>
    <row r="644" spans="1:5">
      <c r="A644" s="112" t="str">
        <f>IF(Base!B642="","",Base!B642)</f>
        <v/>
      </c>
      <c r="B644" s="112" t="str">
        <f>IF(Base!F642="","",Base!F642)</f>
        <v/>
      </c>
      <c r="C644" s="112" t="str">
        <f>IF(Base!I642="","",Base!I642)</f>
        <v/>
      </c>
      <c r="D644" s="113" t="str">
        <f>IF(Base!J642="","",Base!J642)</f>
        <v/>
      </c>
      <c r="E644" s="112" t="str">
        <f>IF(Base!H642="","",Base!H642)</f>
        <v/>
      </c>
    </row>
    <row r="645" spans="1:5">
      <c r="A645" s="112" t="str">
        <f>IF(Base!B643="","",Base!B643)</f>
        <v/>
      </c>
      <c r="B645" s="112" t="str">
        <f>IF(Base!F643="","",Base!F643)</f>
        <v/>
      </c>
      <c r="C645" s="112" t="str">
        <f>IF(Base!I643="","",Base!I643)</f>
        <v/>
      </c>
      <c r="D645" s="113" t="str">
        <f>IF(Base!J643="","",Base!J643)</f>
        <v/>
      </c>
      <c r="E645" s="112" t="str">
        <f>IF(Base!H643="","",Base!H643)</f>
        <v/>
      </c>
    </row>
    <row r="646" spans="1:5">
      <c r="A646" s="112" t="str">
        <f>IF(Base!B644="","",Base!B644)</f>
        <v/>
      </c>
      <c r="B646" s="112" t="str">
        <f>IF(Base!F644="","",Base!F644)</f>
        <v/>
      </c>
      <c r="C646" s="112" t="str">
        <f>IF(Base!I644="","",Base!I644)</f>
        <v/>
      </c>
      <c r="D646" s="113" t="str">
        <f>IF(Base!J644="","",Base!J644)</f>
        <v/>
      </c>
      <c r="E646" s="112" t="str">
        <f>IF(Base!H644="","",Base!H644)</f>
        <v/>
      </c>
    </row>
    <row r="647" spans="1:5">
      <c r="A647" s="112" t="str">
        <f>IF(Base!B645="","",Base!B645)</f>
        <v/>
      </c>
      <c r="B647" s="112" t="str">
        <f>IF(Base!F645="","",Base!F645)</f>
        <v/>
      </c>
      <c r="C647" s="112" t="str">
        <f>IF(Base!I645="","",Base!I645)</f>
        <v/>
      </c>
      <c r="D647" s="113" t="str">
        <f>IF(Base!J645="","",Base!J645)</f>
        <v/>
      </c>
      <c r="E647" s="112" t="str">
        <f>IF(Base!H645="","",Base!H645)</f>
        <v/>
      </c>
    </row>
    <row r="648" spans="1:5">
      <c r="A648" s="112" t="str">
        <f>IF(Base!B646="","",Base!B646)</f>
        <v/>
      </c>
      <c r="B648" s="112" t="str">
        <f>IF(Base!F646="","",Base!F646)</f>
        <v/>
      </c>
      <c r="C648" s="112" t="str">
        <f>IF(Base!I646="","",Base!I646)</f>
        <v/>
      </c>
      <c r="D648" s="113" t="str">
        <f>IF(Base!J646="","",Base!J646)</f>
        <v/>
      </c>
      <c r="E648" s="112" t="str">
        <f>IF(Base!H646="","",Base!H646)</f>
        <v/>
      </c>
    </row>
    <row r="649" spans="1:5">
      <c r="A649" s="112" t="str">
        <f>IF(Base!B647="","",Base!B647)</f>
        <v/>
      </c>
      <c r="B649" s="112" t="str">
        <f>IF(Base!F647="","",Base!F647)</f>
        <v/>
      </c>
      <c r="C649" s="112" t="str">
        <f>IF(Base!I647="","",Base!I647)</f>
        <v/>
      </c>
      <c r="D649" s="113" t="str">
        <f>IF(Base!J647="","",Base!J647)</f>
        <v/>
      </c>
      <c r="E649" s="112" t="str">
        <f>IF(Base!H647="","",Base!H647)</f>
        <v/>
      </c>
    </row>
    <row r="650" spans="1:5">
      <c r="A650" s="112" t="str">
        <f>IF(Base!B648="","",Base!B648)</f>
        <v/>
      </c>
      <c r="B650" s="112" t="str">
        <f>IF(Base!F648="","",Base!F648)</f>
        <v/>
      </c>
      <c r="C650" s="112" t="str">
        <f>IF(Base!I648="","",Base!I648)</f>
        <v/>
      </c>
      <c r="D650" s="113" t="str">
        <f>IF(Base!J648="","",Base!J648)</f>
        <v/>
      </c>
      <c r="E650" s="112" t="str">
        <f>IF(Base!H648="","",Base!H648)</f>
        <v/>
      </c>
    </row>
    <row r="651" spans="1:5">
      <c r="A651" s="112" t="str">
        <f>IF(Base!B649="","",Base!B649)</f>
        <v/>
      </c>
      <c r="B651" s="112" t="str">
        <f>IF(Base!F649="","",Base!F649)</f>
        <v/>
      </c>
      <c r="C651" s="112" t="str">
        <f>IF(Base!I649="","",Base!I649)</f>
        <v/>
      </c>
      <c r="D651" s="113" t="str">
        <f>IF(Base!J649="","",Base!J649)</f>
        <v/>
      </c>
      <c r="E651" s="112" t="str">
        <f>IF(Base!H649="","",Base!H649)</f>
        <v/>
      </c>
    </row>
    <row r="652" spans="1:5">
      <c r="A652" s="112" t="str">
        <f>IF(Base!B650="","",Base!B650)</f>
        <v/>
      </c>
      <c r="B652" s="112" t="str">
        <f>IF(Base!F650="","",Base!F650)</f>
        <v/>
      </c>
      <c r="C652" s="112" t="str">
        <f>IF(Base!I650="","",Base!I650)</f>
        <v/>
      </c>
      <c r="D652" s="113" t="str">
        <f>IF(Base!J650="","",Base!J650)</f>
        <v/>
      </c>
      <c r="E652" s="112" t="str">
        <f>IF(Base!H650="","",Base!H650)</f>
        <v/>
      </c>
    </row>
    <row r="653" spans="1:5">
      <c r="A653" s="112" t="str">
        <f>IF(Base!B651="","",Base!B651)</f>
        <v/>
      </c>
      <c r="B653" s="112" t="str">
        <f>IF(Base!F651="","",Base!F651)</f>
        <v/>
      </c>
      <c r="C653" s="112" t="str">
        <f>IF(Base!I651="","",Base!I651)</f>
        <v/>
      </c>
      <c r="D653" s="113" t="str">
        <f>IF(Base!J651="","",Base!J651)</f>
        <v/>
      </c>
      <c r="E653" s="112" t="str">
        <f>IF(Base!H651="","",Base!H651)</f>
        <v/>
      </c>
    </row>
    <row r="654" spans="1:5">
      <c r="A654" s="112" t="str">
        <f>IF(Base!B652="","",Base!B652)</f>
        <v/>
      </c>
      <c r="B654" s="112" t="str">
        <f>IF(Base!F652="","",Base!F652)</f>
        <v/>
      </c>
      <c r="C654" s="112" t="str">
        <f>IF(Base!I652="","",Base!I652)</f>
        <v/>
      </c>
      <c r="D654" s="113" t="str">
        <f>IF(Base!J652="","",Base!J652)</f>
        <v/>
      </c>
      <c r="E654" s="112" t="str">
        <f>IF(Base!H652="","",Base!H652)</f>
        <v/>
      </c>
    </row>
    <row r="655" spans="1:5">
      <c r="A655" s="112" t="str">
        <f>IF(Base!B653="","",Base!B653)</f>
        <v/>
      </c>
      <c r="B655" s="112" t="str">
        <f>IF(Base!F653="","",Base!F653)</f>
        <v/>
      </c>
      <c r="C655" s="112" t="str">
        <f>IF(Base!I653="","",Base!I653)</f>
        <v/>
      </c>
      <c r="D655" s="113" t="str">
        <f>IF(Base!J653="","",Base!J653)</f>
        <v/>
      </c>
      <c r="E655" s="112" t="str">
        <f>IF(Base!H653="","",Base!H653)</f>
        <v/>
      </c>
    </row>
    <row r="656" spans="1:5">
      <c r="A656" s="112" t="str">
        <f>IF(Base!B654="","",Base!B654)</f>
        <v/>
      </c>
      <c r="B656" s="112" t="str">
        <f>IF(Base!F654="","",Base!F654)</f>
        <v/>
      </c>
      <c r="C656" s="112" t="str">
        <f>IF(Base!I654="","",Base!I654)</f>
        <v/>
      </c>
      <c r="D656" s="113" t="str">
        <f>IF(Base!J654="","",Base!J654)</f>
        <v/>
      </c>
      <c r="E656" s="112" t="str">
        <f>IF(Base!H654="","",Base!H654)</f>
        <v/>
      </c>
    </row>
    <row r="657" spans="1:5">
      <c r="A657" s="112" t="str">
        <f>IF(Base!B655="","",Base!B655)</f>
        <v/>
      </c>
      <c r="B657" s="112" t="str">
        <f>IF(Base!F655="","",Base!F655)</f>
        <v/>
      </c>
      <c r="C657" s="112" t="str">
        <f>IF(Base!I655="","",Base!I655)</f>
        <v/>
      </c>
      <c r="D657" s="113" t="str">
        <f>IF(Base!J655="","",Base!J655)</f>
        <v/>
      </c>
      <c r="E657" s="112" t="str">
        <f>IF(Base!H655="","",Base!H655)</f>
        <v/>
      </c>
    </row>
    <row r="658" spans="1:5">
      <c r="A658" s="112" t="str">
        <f>IF(Base!B656="","",Base!B656)</f>
        <v/>
      </c>
      <c r="B658" s="112" t="str">
        <f>IF(Base!F656="","",Base!F656)</f>
        <v/>
      </c>
      <c r="C658" s="112" t="str">
        <f>IF(Base!I656="","",Base!I656)</f>
        <v/>
      </c>
      <c r="D658" s="113" t="str">
        <f>IF(Base!J656="","",Base!J656)</f>
        <v/>
      </c>
      <c r="E658" s="112" t="str">
        <f>IF(Base!H656="","",Base!H656)</f>
        <v/>
      </c>
    </row>
    <row r="659" spans="1:5">
      <c r="A659" s="112" t="str">
        <f>IF(Base!B657="","",Base!B657)</f>
        <v/>
      </c>
      <c r="B659" s="112" t="str">
        <f>IF(Base!F657="","",Base!F657)</f>
        <v/>
      </c>
      <c r="C659" s="112" t="str">
        <f>IF(Base!I657="","",Base!I657)</f>
        <v/>
      </c>
      <c r="D659" s="113" t="str">
        <f>IF(Base!J657="","",Base!J657)</f>
        <v/>
      </c>
      <c r="E659" s="112" t="str">
        <f>IF(Base!H657="","",Base!H657)</f>
        <v/>
      </c>
    </row>
    <row r="660" spans="1:5">
      <c r="A660" s="112" t="str">
        <f>IF(Base!B658="","",Base!B658)</f>
        <v/>
      </c>
      <c r="B660" s="112" t="str">
        <f>IF(Base!F658="","",Base!F658)</f>
        <v/>
      </c>
      <c r="C660" s="112" t="str">
        <f>IF(Base!I658="","",Base!I658)</f>
        <v/>
      </c>
      <c r="D660" s="113" t="str">
        <f>IF(Base!J658="","",Base!J658)</f>
        <v/>
      </c>
      <c r="E660" s="112" t="str">
        <f>IF(Base!H658="","",Base!H658)</f>
        <v/>
      </c>
    </row>
    <row r="661" spans="1:5">
      <c r="A661" s="112" t="str">
        <f>IF(Base!B659="","",Base!B659)</f>
        <v/>
      </c>
      <c r="B661" s="112" t="str">
        <f>IF(Base!F659="","",Base!F659)</f>
        <v/>
      </c>
      <c r="C661" s="112" t="str">
        <f>IF(Base!I659="","",Base!I659)</f>
        <v/>
      </c>
      <c r="D661" s="113" t="str">
        <f>IF(Base!J659="","",Base!J659)</f>
        <v/>
      </c>
      <c r="E661" s="112" t="str">
        <f>IF(Base!H659="","",Base!H659)</f>
        <v/>
      </c>
    </row>
    <row r="662" spans="1:5">
      <c r="A662" s="112" t="str">
        <f>IF(Base!B660="","",Base!B660)</f>
        <v/>
      </c>
      <c r="B662" s="112" t="str">
        <f>IF(Base!F660="","",Base!F660)</f>
        <v/>
      </c>
      <c r="C662" s="112" t="str">
        <f>IF(Base!I660="","",Base!I660)</f>
        <v/>
      </c>
      <c r="D662" s="113" t="str">
        <f>IF(Base!J660="","",Base!J660)</f>
        <v/>
      </c>
      <c r="E662" s="112" t="str">
        <f>IF(Base!H660="","",Base!H660)</f>
        <v/>
      </c>
    </row>
    <row r="663" spans="1:5">
      <c r="A663" s="112" t="str">
        <f>IF(Base!B661="","",Base!B661)</f>
        <v/>
      </c>
      <c r="B663" s="112" t="str">
        <f>IF(Base!F661="","",Base!F661)</f>
        <v/>
      </c>
      <c r="C663" s="112" t="str">
        <f>IF(Base!I661="","",Base!I661)</f>
        <v/>
      </c>
      <c r="D663" s="113" t="str">
        <f>IF(Base!J661="","",Base!J661)</f>
        <v/>
      </c>
      <c r="E663" s="112" t="str">
        <f>IF(Base!H661="","",Base!H661)</f>
        <v/>
      </c>
    </row>
    <row r="664" spans="1:5">
      <c r="A664" s="112" t="str">
        <f>IF(Base!B662="","",Base!B662)</f>
        <v/>
      </c>
      <c r="B664" s="112" t="str">
        <f>IF(Base!F662="","",Base!F662)</f>
        <v/>
      </c>
      <c r="C664" s="112" t="str">
        <f>IF(Base!I662="","",Base!I662)</f>
        <v/>
      </c>
      <c r="D664" s="113" t="str">
        <f>IF(Base!J662="","",Base!J662)</f>
        <v/>
      </c>
      <c r="E664" s="112" t="str">
        <f>IF(Base!H662="","",Base!H662)</f>
        <v/>
      </c>
    </row>
    <row r="665" spans="1:5">
      <c r="A665" s="112" t="str">
        <f>IF(Base!B663="","",Base!B663)</f>
        <v/>
      </c>
      <c r="B665" s="112" t="str">
        <f>IF(Base!F663="","",Base!F663)</f>
        <v/>
      </c>
      <c r="C665" s="112" t="str">
        <f>IF(Base!I663="","",Base!I663)</f>
        <v/>
      </c>
      <c r="D665" s="113" t="str">
        <f>IF(Base!J663="","",Base!J663)</f>
        <v/>
      </c>
      <c r="E665" s="112" t="str">
        <f>IF(Base!H663="","",Base!H663)</f>
        <v/>
      </c>
    </row>
    <row r="666" spans="1:5">
      <c r="A666" s="112" t="str">
        <f>IF(Base!B664="","",Base!B664)</f>
        <v/>
      </c>
      <c r="B666" s="112" t="str">
        <f>IF(Base!F664="","",Base!F664)</f>
        <v/>
      </c>
      <c r="C666" s="112" t="str">
        <f>IF(Base!I664="","",Base!I664)</f>
        <v/>
      </c>
      <c r="D666" s="113" t="str">
        <f>IF(Base!J664="","",Base!J664)</f>
        <v/>
      </c>
      <c r="E666" s="112" t="str">
        <f>IF(Base!H664="","",Base!H664)</f>
        <v/>
      </c>
    </row>
    <row r="667" spans="1:5">
      <c r="A667" s="112" t="str">
        <f>IF(Base!B665="","",Base!B665)</f>
        <v/>
      </c>
      <c r="B667" s="112" t="str">
        <f>IF(Base!F665="","",Base!F665)</f>
        <v/>
      </c>
      <c r="C667" s="112" t="str">
        <f>IF(Base!I665="","",Base!I665)</f>
        <v/>
      </c>
      <c r="D667" s="113" t="str">
        <f>IF(Base!J665="","",Base!J665)</f>
        <v/>
      </c>
      <c r="E667" s="112" t="str">
        <f>IF(Base!H665="","",Base!H665)</f>
        <v/>
      </c>
    </row>
    <row r="668" spans="1:5">
      <c r="A668" s="112" t="str">
        <f>IF(Base!B666="","",Base!B666)</f>
        <v/>
      </c>
      <c r="B668" s="112" t="str">
        <f>IF(Base!F666="","",Base!F666)</f>
        <v/>
      </c>
      <c r="C668" s="112" t="str">
        <f>IF(Base!I666="","",Base!I666)</f>
        <v/>
      </c>
      <c r="D668" s="113" t="str">
        <f>IF(Base!J666="","",Base!J666)</f>
        <v/>
      </c>
      <c r="E668" s="112" t="str">
        <f>IF(Base!H666="","",Base!H666)</f>
        <v/>
      </c>
    </row>
    <row r="669" spans="1:5">
      <c r="A669" s="112" t="str">
        <f>IF(Base!B667="","",Base!B667)</f>
        <v/>
      </c>
      <c r="B669" s="112" t="str">
        <f>IF(Base!F667="","",Base!F667)</f>
        <v/>
      </c>
      <c r="C669" s="112" t="str">
        <f>IF(Base!I667="","",Base!I667)</f>
        <v/>
      </c>
      <c r="D669" s="113" t="str">
        <f>IF(Base!J667="","",Base!J667)</f>
        <v/>
      </c>
      <c r="E669" s="112" t="str">
        <f>IF(Base!H667="","",Base!H667)</f>
        <v/>
      </c>
    </row>
    <row r="670" spans="1:5">
      <c r="A670" s="112" t="str">
        <f>IF(Base!B668="","",Base!B668)</f>
        <v/>
      </c>
      <c r="B670" s="112" t="str">
        <f>IF(Base!F668="","",Base!F668)</f>
        <v/>
      </c>
      <c r="C670" s="112" t="str">
        <f>IF(Base!I668="","",Base!I668)</f>
        <v/>
      </c>
      <c r="D670" s="113" t="str">
        <f>IF(Base!J668="","",Base!J668)</f>
        <v/>
      </c>
      <c r="E670" s="112" t="str">
        <f>IF(Base!H668="","",Base!H668)</f>
        <v/>
      </c>
    </row>
    <row r="671" spans="1:5">
      <c r="A671" s="112" t="str">
        <f>IF(Base!B669="","",Base!B669)</f>
        <v/>
      </c>
      <c r="B671" s="112" t="str">
        <f>IF(Base!F669="","",Base!F669)</f>
        <v/>
      </c>
      <c r="C671" s="112" t="str">
        <f>IF(Base!I669="","",Base!I669)</f>
        <v/>
      </c>
      <c r="D671" s="113" t="str">
        <f>IF(Base!J669="","",Base!J669)</f>
        <v/>
      </c>
      <c r="E671" s="112" t="str">
        <f>IF(Base!H669="","",Base!H669)</f>
        <v/>
      </c>
    </row>
    <row r="672" spans="1:5">
      <c r="A672" s="112" t="str">
        <f>IF(Base!B670="","",Base!B670)</f>
        <v/>
      </c>
      <c r="B672" s="112" t="str">
        <f>IF(Base!F670="","",Base!F670)</f>
        <v/>
      </c>
      <c r="C672" s="112" t="str">
        <f>IF(Base!I670="","",Base!I670)</f>
        <v/>
      </c>
      <c r="D672" s="113" t="str">
        <f>IF(Base!J670="","",Base!J670)</f>
        <v/>
      </c>
      <c r="E672" s="112" t="str">
        <f>IF(Base!H670="","",Base!H670)</f>
        <v/>
      </c>
    </row>
    <row r="673" spans="1:5">
      <c r="A673" s="112" t="str">
        <f>IF(Base!B671="","",Base!B671)</f>
        <v/>
      </c>
      <c r="B673" s="112" t="str">
        <f>IF(Base!F671="","",Base!F671)</f>
        <v/>
      </c>
      <c r="C673" s="112" t="str">
        <f>IF(Base!I671="","",Base!I671)</f>
        <v/>
      </c>
      <c r="D673" s="113" t="str">
        <f>IF(Base!J671="","",Base!J671)</f>
        <v/>
      </c>
      <c r="E673" s="112" t="str">
        <f>IF(Base!H671="","",Base!H671)</f>
        <v/>
      </c>
    </row>
    <row r="674" spans="1:5">
      <c r="A674" s="112" t="str">
        <f>IF(Base!B672="","",Base!B672)</f>
        <v/>
      </c>
      <c r="B674" s="112" t="str">
        <f>IF(Base!F672="","",Base!F672)</f>
        <v/>
      </c>
      <c r="C674" s="112" t="str">
        <f>IF(Base!I672="","",Base!I672)</f>
        <v/>
      </c>
      <c r="D674" s="113" t="str">
        <f>IF(Base!J672="","",Base!J672)</f>
        <v/>
      </c>
      <c r="E674" s="112" t="str">
        <f>IF(Base!H672="","",Base!H672)</f>
        <v/>
      </c>
    </row>
    <row r="675" spans="1:5">
      <c r="A675" s="112" t="str">
        <f>IF(Base!B673="","",Base!B673)</f>
        <v/>
      </c>
      <c r="B675" s="112" t="str">
        <f>IF(Base!F673="","",Base!F673)</f>
        <v/>
      </c>
      <c r="C675" s="112" t="str">
        <f>IF(Base!I673="","",Base!I673)</f>
        <v/>
      </c>
      <c r="D675" s="113" t="str">
        <f>IF(Base!J673="","",Base!J673)</f>
        <v/>
      </c>
      <c r="E675" s="112" t="str">
        <f>IF(Base!H673="","",Base!H673)</f>
        <v/>
      </c>
    </row>
    <row r="676" spans="1:5">
      <c r="A676" s="112" t="str">
        <f>IF(Base!B674="","",Base!B674)</f>
        <v/>
      </c>
      <c r="B676" s="112" t="str">
        <f>IF(Base!F674="","",Base!F674)</f>
        <v/>
      </c>
      <c r="C676" s="112" t="str">
        <f>IF(Base!I674="","",Base!I674)</f>
        <v/>
      </c>
      <c r="D676" s="113" t="str">
        <f>IF(Base!J674="","",Base!J674)</f>
        <v/>
      </c>
      <c r="E676" s="112" t="str">
        <f>IF(Base!H674="","",Base!H674)</f>
        <v/>
      </c>
    </row>
    <row r="677" spans="1:5">
      <c r="A677" s="112" t="str">
        <f>IF(Base!B675="","",Base!B675)</f>
        <v/>
      </c>
      <c r="B677" s="112" t="str">
        <f>IF(Base!F675="","",Base!F675)</f>
        <v/>
      </c>
      <c r="C677" s="112" t="str">
        <f>IF(Base!I675="","",Base!I675)</f>
        <v/>
      </c>
      <c r="D677" s="113" t="str">
        <f>IF(Base!J675="","",Base!J675)</f>
        <v/>
      </c>
      <c r="E677" s="112" t="str">
        <f>IF(Base!H675="","",Base!H675)</f>
        <v/>
      </c>
    </row>
    <row r="678" spans="1:5">
      <c r="A678" s="112" t="str">
        <f>IF(Base!B676="","",Base!B676)</f>
        <v/>
      </c>
      <c r="B678" s="112" t="str">
        <f>IF(Base!F676="","",Base!F676)</f>
        <v/>
      </c>
      <c r="C678" s="112" t="str">
        <f>IF(Base!I676="","",Base!I676)</f>
        <v/>
      </c>
      <c r="D678" s="113" t="str">
        <f>IF(Base!J676="","",Base!J676)</f>
        <v/>
      </c>
      <c r="E678" s="112" t="str">
        <f>IF(Base!H676="","",Base!H676)</f>
        <v/>
      </c>
    </row>
    <row r="679" spans="1:5">
      <c r="A679" s="112" t="str">
        <f>IF(Base!B677="","",Base!B677)</f>
        <v/>
      </c>
      <c r="B679" s="112" t="str">
        <f>IF(Base!F677="","",Base!F677)</f>
        <v/>
      </c>
      <c r="C679" s="112" t="str">
        <f>IF(Base!I677="","",Base!I677)</f>
        <v/>
      </c>
      <c r="D679" s="113" t="str">
        <f>IF(Base!J677="","",Base!J677)</f>
        <v/>
      </c>
      <c r="E679" s="112" t="str">
        <f>IF(Base!H677="","",Base!H677)</f>
        <v/>
      </c>
    </row>
    <row r="680" spans="1:5">
      <c r="A680" s="112" t="str">
        <f>IF(Base!B678="","",Base!B678)</f>
        <v/>
      </c>
      <c r="B680" s="112" t="str">
        <f>IF(Base!F678="","",Base!F678)</f>
        <v/>
      </c>
      <c r="C680" s="112" t="str">
        <f>IF(Base!I678="","",Base!I678)</f>
        <v/>
      </c>
      <c r="D680" s="113" t="str">
        <f>IF(Base!J678="","",Base!J678)</f>
        <v/>
      </c>
      <c r="E680" s="112" t="str">
        <f>IF(Base!H678="","",Base!H678)</f>
        <v/>
      </c>
    </row>
    <row r="681" spans="1:5">
      <c r="A681" s="112" t="str">
        <f>IF(Base!B679="","",Base!B679)</f>
        <v/>
      </c>
      <c r="B681" s="112" t="str">
        <f>IF(Base!F679="","",Base!F679)</f>
        <v/>
      </c>
      <c r="C681" s="112" t="str">
        <f>IF(Base!I679="","",Base!I679)</f>
        <v/>
      </c>
      <c r="D681" s="113" t="str">
        <f>IF(Base!J679="","",Base!J679)</f>
        <v/>
      </c>
      <c r="E681" s="112" t="str">
        <f>IF(Base!H679="","",Base!H679)</f>
        <v/>
      </c>
    </row>
    <row r="682" spans="1:5">
      <c r="A682" s="112" t="str">
        <f>IF(Base!B680="","",Base!B680)</f>
        <v/>
      </c>
      <c r="B682" s="112" t="str">
        <f>IF(Base!F680="","",Base!F680)</f>
        <v/>
      </c>
      <c r="C682" s="112" t="str">
        <f>IF(Base!I680="","",Base!I680)</f>
        <v/>
      </c>
      <c r="D682" s="113" t="str">
        <f>IF(Base!J680="","",Base!J680)</f>
        <v/>
      </c>
      <c r="E682" s="112" t="str">
        <f>IF(Base!H680="","",Base!H680)</f>
        <v/>
      </c>
    </row>
    <row r="683" spans="1:5">
      <c r="A683" s="112" t="str">
        <f>IF(Base!B681="","",Base!B681)</f>
        <v/>
      </c>
      <c r="B683" s="112" t="str">
        <f>IF(Base!F681="","",Base!F681)</f>
        <v/>
      </c>
      <c r="C683" s="112" t="str">
        <f>IF(Base!I681="","",Base!I681)</f>
        <v/>
      </c>
      <c r="D683" s="113" t="str">
        <f>IF(Base!J681="","",Base!J681)</f>
        <v/>
      </c>
      <c r="E683" s="112" t="str">
        <f>IF(Base!H681="","",Base!H681)</f>
        <v/>
      </c>
    </row>
    <row r="684" spans="1:5">
      <c r="A684" s="112" t="str">
        <f>IF(Base!B682="","",Base!B682)</f>
        <v/>
      </c>
      <c r="B684" s="112" t="str">
        <f>IF(Base!F682="","",Base!F682)</f>
        <v/>
      </c>
      <c r="C684" s="112" t="str">
        <f>IF(Base!I682="","",Base!I682)</f>
        <v/>
      </c>
      <c r="D684" s="113" t="str">
        <f>IF(Base!J682="","",Base!J682)</f>
        <v/>
      </c>
      <c r="E684" s="112" t="str">
        <f>IF(Base!H682="","",Base!H682)</f>
        <v/>
      </c>
    </row>
    <row r="685" spans="1:5">
      <c r="A685" s="112" t="str">
        <f>IF(Base!B683="","",Base!B683)</f>
        <v/>
      </c>
      <c r="B685" s="112" t="str">
        <f>IF(Base!F683="","",Base!F683)</f>
        <v/>
      </c>
      <c r="C685" s="112" t="str">
        <f>IF(Base!I683="","",Base!I683)</f>
        <v/>
      </c>
      <c r="D685" s="113" t="str">
        <f>IF(Base!J683="","",Base!J683)</f>
        <v/>
      </c>
      <c r="E685" s="112" t="str">
        <f>IF(Base!H683="","",Base!H683)</f>
        <v/>
      </c>
    </row>
    <row r="686" spans="1:5">
      <c r="A686" s="112" t="str">
        <f>IF(Base!B684="","",Base!B684)</f>
        <v/>
      </c>
      <c r="B686" s="112" t="str">
        <f>IF(Base!F684="","",Base!F684)</f>
        <v/>
      </c>
      <c r="C686" s="112" t="str">
        <f>IF(Base!I684="","",Base!I684)</f>
        <v/>
      </c>
      <c r="D686" s="113" t="str">
        <f>IF(Base!J684="","",Base!J684)</f>
        <v/>
      </c>
      <c r="E686" s="112" t="str">
        <f>IF(Base!H684="","",Base!H684)</f>
        <v/>
      </c>
    </row>
    <row r="687" spans="1:5">
      <c r="A687" s="112" t="str">
        <f>IF(Base!B685="","",Base!B685)</f>
        <v/>
      </c>
      <c r="B687" s="112" t="str">
        <f>IF(Base!F685="","",Base!F685)</f>
        <v/>
      </c>
      <c r="C687" s="112" t="str">
        <f>IF(Base!I685="","",Base!I685)</f>
        <v/>
      </c>
      <c r="D687" s="113" t="str">
        <f>IF(Base!J685="","",Base!J685)</f>
        <v/>
      </c>
      <c r="E687" s="112" t="str">
        <f>IF(Base!H685="","",Base!H685)</f>
        <v/>
      </c>
    </row>
    <row r="688" spans="1:5">
      <c r="A688" s="112" t="str">
        <f>IF(Base!B686="","",Base!B686)</f>
        <v/>
      </c>
      <c r="B688" s="112" t="str">
        <f>IF(Base!F686="","",Base!F686)</f>
        <v/>
      </c>
      <c r="C688" s="112" t="str">
        <f>IF(Base!I686="","",Base!I686)</f>
        <v/>
      </c>
      <c r="D688" s="113" t="str">
        <f>IF(Base!J686="","",Base!J686)</f>
        <v/>
      </c>
      <c r="E688" s="112" t="str">
        <f>IF(Base!H686="","",Base!H686)</f>
        <v/>
      </c>
    </row>
    <row r="689" spans="1:5">
      <c r="A689" s="112" t="str">
        <f>IF(Base!B687="","",Base!B687)</f>
        <v/>
      </c>
      <c r="B689" s="112" t="str">
        <f>IF(Base!F687="","",Base!F687)</f>
        <v/>
      </c>
      <c r="C689" s="112" t="str">
        <f>IF(Base!I687="","",Base!I687)</f>
        <v/>
      </c>
      <c r="D689" s="113" t="str">
        <f>IF(Base!J687="","",Base!J687)</f>
        <v/>
      </c>
      <c r="E689" s="112" t="str">
        <f>IF(Base!H687="","",Base!H687)</f>
        <v/>
      </c>
    </row>
    <row r="690" spans="1:5">
      <c r="A690" s="112" t="str">
        <f>IF(Base!B688="","",Base!B688)</f>
        <v/>
      </c>
      <c r="B690" s="112" t="str">
        <f>IF(Base!F688="","",Base!F688)</f>
        <v/>
      </c>
      <c r="C690" s="112" t="str">
        <f>IF(Base!I688="","",Base!I688)</f>
        <v/>
      </c>
      <c r="D690" s="113" t="str">
        <f>IF(Base!J688="","",Base!J688)</f>
        <v/>
      </c>
      <c r="E690" s="112" t="str">
        <f>IF(Base!H688="","",Base!H688)</f>
        <v/>
      </c>
    </row>
    <row r="691" spans="1:5">
      <c r="A691" s="112" t="str">
        <f>IF(Base!B689="","",Base!B689)</f>
        <v/>
      </c>
      <c r="B691" s="112" t="str">
        <f>IF(Base!F689="","",Base!F689)</f>
        <v/>
      </c>
      <c r="C691" s="112" t="str">
        <f>IF(Base!I689="","",Base!I689)</f>
        <v/>
      </c>
      <c r="D691" s="113" t="str">
        <f>IF(Base!J689="","",Base!J689)</f>
        <v/>
      </c>
      <c r="E691" s="112" t="str">
        <f>IF(Base!H689="","",Base!H689)</f>
        <v/>
      </c>
    </row>
    <row r="692" spans="1:5">
      <c r="A692" s="112" t="str">
        <f>IF(Base!B690="","",Base!B690)</f>
        <v/>
      </c>
      <c r="B692" s="112" t="str">
        <f>IF(Base!F690="","",Base!F690)</f>
        <v/>
      </c>
      <c r="C692" s="112" t="str">
        <f>IF(Base!I690="","",Base!I690)</f>
        <v/>
      </c>
      <c r="D692" s="113" t="str">
        <f>IF(Base!J690="","",Base!J690)</f>
        <v/>
      </c>
      <c r="E692" s="112" t="str">
        <f>IF(Base!H690="","",Base!H690)</f>
        <v/>
      </c>
    </row>
    <row r="693" spans="1:5">
      <c r="A693" s="112" t="str">
        <f>IF(Base!B691="","",Base!B691)</f>
        <v/>
      </c>
      <c r="B693" s="112" t="str">
        <f>IF(Base!F691="","",Base!F691)</f>
        <v/>
      </c>
      <c r="C693" s="112" t="str">
        <f>IF(Base!I691="","",Base!I691)</f>
        <v/>
      </c>
      <c r="D693" s="113" t="str">
        <f>IF(Base!J691="","",Base!J691)</f>
        <v/>
      </c>
      <c r="E693" s="112" t="str">
        <f>IF(Base!H691="","",Base!H691)</f>
        <v/>
      </c>
    </row>
    <row r="694" spans="1:5">
      <c r="A694" s="112" t="str">
        <f>IF(Base!B692="","",Base!B692)</f>
        <v/>
      </c>
      <c r="B694" s="112" t="str">
        <f>IF(Base!F692="","",Base!F692)</f>
        <v/>
      </c>
      <c r="C694" s="112" t="str">
        <f>IF(Base!I692="","",Base!I692)</f>
        <v/>
      </c>
      <c r="D694" s="113" t="str">
        <f>IF(Base!J692="","",Base!J692)</f>
        <v/>
      </c>
      <c r="E694" s="112" t="str">
        <f>IF(Base!H692="","",Base!H692)</f>
        <v/>
      </c>
    </row>
    <row r="695" spans="1:5">
      <c r="A695" s="112" t="str">
        <f>IF(Base!B693="","",Base!B693)</f>
        <v/>
      </c>
      <c r="B695" s="112" t="str">
        <f>IF(Base!F693="","",Base!F693)</f>
        <v/>
      </c>
      <c r="C695" s="112" t="str">
        <f>IF(Base!I693="","",Base!I693)</f>
        <v/>
      </c>
      <c r="D695" s="113" t="str">
        <f>IF(Base!J693="","",Base!J693)</f>
        <v/>
      </c>
      <c r="E695" s="112" t="str">
        <f>IF(Base!H693="","",Base!H693)</f>
        <v/>
      </c>
    </row>
    <row r="696" spans="1:5">
      <c r="A696" s="112" t="str">
        <f>IF(Base!B694="","",Base!B694)</f>
        <v/>
      </c>
      <c r="B696" s="112" t="str">
        <f>IF(Base!F694="","",Base!F694)</f>
        <v/>
      </c>
      <c r="C696" s="112" t="str">
        <f>IF(Base!I694="","",Base!I694)</f>
        <v/>
      </c>
      <c r="D696" s="113" t="str">
        <f>IF(Base!J694="","",Base!J694)</f>
        <v/>
      </c>
      <c r="E696" s="112" t="str">
        <f>IF(Base!H694="","",Base!H694)</f>
        <v/>
      </c>
    </row>
    <row r="697" spans="1:5">
      <c r="A697" s="112" t="str">
        <f>IF(Base!B695="","",Base!B695)</f>
        <v/>
      </c>
      <c r="B697" s="112" t="str">
        <f>IF(Base!F695="","",Base!F695)</f>
        <v/>
      </c>
      <c r="C697" s="112" t="str">
        <f>IF(Base!I695="","",Base!I695)</f>
        <v/>
      </c>
      <c r="D697" s="113" t="str">
        <f>IF(Base!J695="","",Base!J695)</f>
        <v/>
      </c>
      <c r="E697" s="112" t="str">
        <f>IF(Base!H695="","",Base!H695)</f>
        <v/>
      </c>
    </row>
    <row r="698" spans="1:5">
      <c r="A698" s="112" t="str">
        <f>IF(Base!B696="","",Base!B696)</f>
        <v/>
      </c>
      <c r="B698" s="112" t="str">
        <f>IF(Base!F696="","",Base!F696)</f>
        <v/>
      </c>
      <c r="C698" s="112" t="str">
        <f>IF(Base!I696="","",Base!I696)</f>
        <v/>
      </c>
      <c r="D698" s="113" t="str">
        <f>IF(Base!J696="","",Base!J696)</f>
        <v/>
      </c>
      <c r="E698" s="112" t="str">
        <f>IF(Base!H696="","",Base!H696)</f>
        <v/>
      </c>
    </row>
    <row r="699" spans="1:5">
      <c r="A699" s="112" t="str">
        <f>IF(Base!B697="","",Base!B697)</f>
        <v/>
      </c>
      <c r="B699" s="112" t="str">
        <f>IF(Base!F697="","",Base!F697)</f>
        <v/>
      </c>
      <c r="C699" s="112" t="str">
        <f>IF(Base!I697="","",Base!I697)</f>
        <v/>
      </c>
      <c r="D699" s="113" t="str">
        <f>IF(Base!J697="","",Base!J697)</f>
        <v/>
      </c>
      <c r="E699" s="112" t="str">
        <f>IF(Base!H697="","",Base!H697)</f>
        <v/>
      </c>
    </row>
    <row r="700" spans="1:5">
      <c r="A700" s="112" t="str">
        <f>IF(Base!B698="","",Base!B698)</f>
        <v/>
      </c>
      <c r="B700" s="112" t="str">
        <f>IF(Base!F698="","",Base!F698)</f>
        <v/>
      </c>
      <c r="C700" s="112" t="str">
        <f>IF(Base!I698="","",Base!I698)</f>
        <v/>
      </c>
      <c r="D700" s="113" t="str">
        <f>IF(Base!J698="","",Base!J698)</f>
        <v/>
      </c>
      <c r="E700" s="112" t="str">
        <f>IF(Base!H698="","",Base!H698)</f>
        <v/>
      </c>
    </row>
  </sheetData>
  <mergeCells count="9">
    <mergeCell ref="AC9:AD9"/>
    <mergeCell ref="AE9:AF9"/>
    <mergeCell ref="AG9:AG10"/>
    <mergeCell ref="Q9:R9"/>
    <mergeCell ref="S9:T9"/>
    <mergeCell ref="U9:V9"/>
    <mergeCell ref="W9:X9"/>
    <mergeCell ref="Y9:Z9"/>
    <mergeCell ref="AA9:AB9"/>
  </mergeCells>
  <dataValidations count="2">
    <dataValidation type="list" showInputMessage="1" showErrorMessage="1" errorTitle="Error en ingreso de datos" error="Seleccione los datos correctos desde la lista desplegable" sqref="K11:K260">
      <formula1>$A$4:$A$700</formula1>
    </dataValidation>
    <dataValidation type="list" allowBlank="1" showInputMessage="1" showErrorMessage="1" errorTitle="Datos" error="Use la lista desplegable para ingresar el turno" sqref="P11:P260">
      <formula1>$H$3:$H$5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7"/>
  <dimension ref="A1:H2394"/>
  <sheetViews>
    <sheetView workbookViewId="0">
      <selection activeCell="I30" sqref="I30"/>
    </sheetView>
  </sheetViews>
  <sheetFormatPr baseColWidth="10" defaultRowHeight="12.75"/>
  <cols>
    <col min="1" max="1" width="9" bestFit="1" customWidth="1"/>
    <col min="2" max="2" width="21.85546875" bestFit="1" customWidth="1"/>
    <col min="3" max="3" width="14.140625" bestFit="1" customWidth="1"/>
    <col min="4" max="4" width="14.7109375" bestFit="1" customWidth="1"/>
    <col min="5" max="5" width="9.85546875" bestFit="1" customWidth="1"/>
    <col min="6" max="6" width="7.85546875" bestFit="1" customWidth="1"/>
    <col min="7" max="7" width="4" bestFit="1" customWidth="1"/>
    <col min="8" max="8" width="18" bestFit="1" customWidth="1"/>
  </cols>
  <sheetData>
    <row r="1" spans="1:8" s="133" customFormat="1">
      <c r="A1" s="133" t="s">
        <v>30</v>
      </c>
      <c r="B1" s="133" t="s">
        <v>34</v>
      </c>
      <c r="C1" s="133" t="s">
        <v>32</v>
      </c>
      <c r="D1" s="133" t="s">
        <v>33</v>
      </c>
      <c r="E1" s="133" t="s">
        <v>1366</v>
      </c>
      <c r="F1" s="133" t="s">
        <v>1367</v>
      </c>
      <c r="G1" s="133" t="s">
        <v>1368</v>
      </c>
      <c r="H1" s="133" t="s">
        <v>1369</v>
      </c>
    </row>
    <row r="2" spans="1:8">
      <c r="A2">
        <v>4776546</v>
      </c>
      <c r="B2" t="s">
        <v>743</v>
      </c>
      <c r="C2" t="s">
        <v>741</v>
      </c>
      <c r="D2" t="s">
        <v>742</v>
      </c>
      <c r="E2" t="s">
        <v>1370</v>
      </c>
      <c r="F2" s="134">
        <v>0.60525462962962961</v>
      </c>
      <c r="G2" t="s">
        <v>1371</v>
      </c>
      <c r="H2" t="s">
        <v>1372</v>
      </c>
    </row>
    <row r="3" spans="1:8">
      <c r="A3">
        <v>4776546</v>
      </c>
      <c r="B3" t="s">
        <v>743</v>
      </c>
      <c r="C3" t="s">
        <v>741</v>
      </c>
      <c r="D3" t="s">
        <v>742</v>
      </c>
      <c r="E3" t="s">
        <v>1370</v>
      </c>
      <c r="F3" s="134">
        <v>0.94605324074074071</v>
      </c>
      <c r="G3" t="s">
        <v>1373</v>
      </c>
      <c r="H3" t="s">
        <v>1374</v>
      </c>
    </row>
    <row r="4" spans="1:8">
      <c r="A4">
        <v>4776546</v>
      </c>
      <c r="B4" t="s">
        <v>743</v>
      </c>
      <c r="C4" t="s">
        <v>741</v>
      </c>
      <c r="D4" t="s">
        <v>742</v>
      </c>
      <c r="E4" t="s">
        <v>1375</v>
      </c>
      <c r="F4" s="134">
        <v>0.60623842592592592</v>
      </c>
      <c r="G4" t="s">
        <v>1371</v>
      </c>
      <c r="H4" t="s">
        <v>1372</v>
      </c>
    </row>
    <row r="5" spans="1:8">
      <c r="A5">
        <v>4776546</v>
      </c>
      <c r="B5" t="s">
        <v>743</v>
      </c>
      <c r="C5" t="s">
        <v>741</v>
      </c>
      <c r="D5" t="s">
        <v>742</v>
      </c>
      <c r="E5" t="s">
        <v>1375</v>
      </c>
      <c r="F5" s="134">
        <v>0.94894675925925931</v>
      </c>
      <c r="G5" t="s">
        <v>1373</v>
      </c>
      <c r="H5" t="s">
        <v>1374</v>
      </c>
    </row>
    <row r="6" spans="1:8">
      <c r="A6">
        <v>4776546</v>
      </c>
      <c r="B6" t="s">
        <v>743</v>
      </c>
      <c r="C6" t="s">
        <v>741</v>
      </c>
      <c r="D6" t="s">
        <v>742</v>
      </c>
      <c r="E6" t="s">
        <v>1376</v>
      </c>
      <c r="F6" s="134">
        <v>0.94697916666666659</v>
      </c>
      <c r="G6" t="s">
        <v>1373</v>
      </c>
      <c r="H6" t="s">
        <v>1374</v>
      </c>
    </row>
    <row r="7" spans="1:8">
      <c r="A7">
        <v>4776546</v>
      </c>
      <c r="B7" t="s">
        <v>743</v>
      </c>
      <c r="C7" t="s">
        <v>741</v>
      </c>
      <c r="D7" t="s">
        <v>742</v>
      </c>
      <c r="E7" t="s">
        <v>1376</v>
      </c>
      <c r="F7" s="134">
        <v>0.60662037037037042</v>
      </c>
      <c r="G7" t="s">
        <v>1371</v>
      </c>
      <c r="H7" t="s">
        <v>1372</v>
      </c>
    </row>
    <row r="8" spans="1:8">
      <c r="A8">
        <v>4776546</v>
      </c>
      <c r="B8" t="s">
        <v>743</v>
      </c>
      <c r="C8" t="s">
        <v>741</v>
      </c>
      <c r="D8" t="s">
        <v>742</v>
      </c>
      <c r="E8" t="s">
        <v>1377</v>
      </c>
      <c r="F8" s="134">
        <v>0.60547453703703702</v>
      </c>
      <c r="G8" t="s">
        <v>1371</v>
      </c>
      <c r="H8" t="s">
        <v>1372</v>
      </c>
    </row>
    <row r="9" spans="1:8">
      <c r="A9">
        <v>4776546</v>
      </c>
      <c r="B9" t="s">
        <v>743</v>
      </c>
      <c r="C9" t="s">
        <v>741</v>
      </c>
      <c r="D9" t="s">
        <v>742</v>
      </c>
      <c r="E9" t="s">
        <v>1377</v>
      </c>
      <c r="F9" s="134">
        <v>0.94842592592592589</v>
      </c>
      <c r="G9" t="s">
        <v>1373</v>
      </c>
      <c r="H9" t="s">
        <v>1374</v>
      </c>
    </row>
    <row r="10" spans="1:8">
      <c r="A10">
        <v>4776546</v>
      </c>
      <c r="B10" t="s">
        <v>743</v>
      </c>
      <c r="C10" t="s">
        <v>741</v>
      </c>
      <c r="D10" t="s">
        <v>742</v>
      </c>
      <c r="E10" t="s">
        <v>1378</v>
      </c>
      <c r="F10" s="134">
        <v>0.60668981481481488</v>
      </c>
      <c r="G10" t="s">
        <v>1371</v>
      </c>
      <c r="H10" t="s">
        <v>1372</v>
      </c>
    </row>
    <row r="11" spans="1:8">
      <c r="A11">
        <v>4776546</v>
      </c>
      <c r="B11" t="s">
        <v>743</v>
      </c>
      <c r="C11" t="s">
        <v>741</v>
      </c>
      <c r="D11" t="s">
        <v>742</v>
      </c>
      <c r="E11" t="s">
        <v>1378</v>
      </c>
      <c r="F11" s="134">
        <v>0.94732638888888887</v>
      </c>
      <c r="G11" t="s">
        <v>1373</v>
      </c>
      <c r="H11" t="s">
        <v>1374</v>
      </c>
    </row>
    <row r="12" spans="1:8">
      <c r="A12">
        <v>4776546</v>
      </c>
      <c r="B12" t="s">
        <v>743</v>
      </c>
      <c r="C12" t="s">
        <v>741</v>
      </c>
      <c r="D12" t="s">
        <v>742</v>
      </c>
      <c r="E12" t="s">
        <v>1379</v>
      </c>
      <c r="F12" s="134">
        <v>0.61384259259259266</v>
      </c>
      <c r="G12" t="s">
        <v>1371</v>
      </c>
      <c r="H12" t="s">
        <v>1372</v>
      </c>
    </row>
    <row r="13" spans="1:8">
      <c r="A13">
        <v>4776546</v>
      </c>
      <c r="B13" t="s">
        <v>743</v>
      </c>
      <c r="C13" t="s">
        <v>741</v>
      </c>
      <c r="D13" t="s">
        <v>742</v>
      </c>
      <c r="E13" t="s">
        <v>1379</v>
      </c>
      <c r="F13" s="134">
        <v>0.94077546296296299</v>
      </c>
      <c r="G13" t="s">
        <v>1373</v>
      </c>
      <c r="H13" t="s">
        <v>1374</v>
      </c>
    </row>
    <row r="14" spans="1:8">
      <c r="A14">
        <v>5080993</v>
      </c>
      <c r="B14" t="s">
        <v>285</v>
      </c>
      <c r="C14" t="s">
        <v>406</v>
      </c>
      <c r="D14" t="s">
        <v>407</v>
      </c>
      <c r="E14" t="s">
        <v>1370</v>
      </c>
      <c r="F14" s="134">
        <v>0.28707175925925926</v>
      </c>
      <c r="G14" t="s">
        <v>1371</v>
      </c>
      <c r="H14" t="s">
        <v>1372</v>
      </c>
    </row>
    <row r="15" spans="1:8">
      <c r="A15">
        <v>5080993</v>
      </c>
      <c r="B15" t="s">
        <v>285</v>
      </c>
      <c r="C15" t="s">
        <v>406</v>
      </c>
      <c r="D15" t="s">
        <v>407</v>
      </c>
      <c r="E15" t="s">
        <v>1370</v>
      </c>
      <c r="F15" s="134">
        <v>0.62561342592592595</v>
      </c>
      <c r="G15" t="s">
        <v>1373</v>
      </c>
      <c r="H15" t="s">
        <v>1374</v>
      </c>
    </row>
    <row r="16" spans="1:8">
      <c r="A16">
        <v>5080993</v>
      </c>
      <c r="B16" t="s">
        <v>285</v>
      </c>
      <c r="C16" t="s">
        <v>406</v>
      </c>
      <c r="D16" t="s">
        <v>407</v>
      </c>
      <c r="E16" t="s">
        <v>1375</v>
      </c>
      <c r="F16" s="134">
        <v>0.28723379629629631</v>
      </c>
      <c r="G16" t="s">
        <v>1371</v>
      </c>
      <c r="H16" t="s">
        <v>1372</v>
      </c>
    </row>
    <row r="17" spans="1:8">
      <c r="A17">
        <v>5080993</v>
      </c>
      <c r="B17" t="s">
        <v>285</v>
      </c>
      <c r="C17" t="s">
        <v>406</v>
      </c>
      <c r="D17" t="s">
        <v>407</v>
      </c>
      <c r="E17" t="s">
        <v>1375</v>
      </c>
      <c r="F17" s="134">
        <v>0.62891203703703702</v>
      </c>
      <c r="G17" t="s">
        <v>1373</v>
      </c>
      <c r="H17" t="s">
        <v>1374</v>
      </c>
    </row>
    <row r="18" spans="1:8">
      <c r="A18">
        <v>5080993</v>
      </c>
      <c r="B18" t="s">
        <v>285</v>
      </c>
      <c r="C18" t="s">
        <v>406</v>
      </c>
      <c r="D18" t="s">
        <v>407</v>
      </c>
      <c r="E18" t="s">
        <v>1376</v>
      </c>
      <c r="F18" s="134">
        <v>0.62687499999999996</v>
      </c>
      <c r="G18" t="s">
        <v>1373</v>
      </c>
      <c r="H18" t="s">
        <v>1374</v>
      </c>
    </row>
    <row r="19" spans="1:8">
      <c r="A19">
        <v>5080993</v>
      </c>
      <c r="B19" t="s">
        <v>285</v>
      </c>
      <c r="C19" t="s">
        <v>406</v>
      </c>
      <c r="D19" t="s">
        <v>407</v>
      </c>
      <c r="E19" t="s">
        <v>1376</v>
      </c>
      <c r="F19" s="134">
        <v>0.28376157407407404</v>
      </c>
      <c r="G19" t="s">
        <v>1371</v>
      </c>
      <c r="H19" t="s">
        <v>1372</v>
      </c>
    </row>
    <row r="20" spans="1:8">
      <c r="A20">
        <v>5080993</v>
      </c>
      <c r="B20" t="s">
        <v>285</v>
      </c>
      <c r="C20" t="s">
        <v>406</v>
      </c>
      <c r="D20" t="s">
        <v>407</v>
      </c>
      <c r="E20" t="s">
        <v>1377</v>
      </c>
      <c r="F20" s="134">
        <v>0.28365740740740741</v>
      </c>
      <c r="G20" t="s">
        <v>1371</v>
      </c>
      <c r="H20" t="s">
        <v>1372</v>
      </c>
    </row>
    <row r="21" spans="1:8">
      <c r="A21">
        <v>5080993</v>
      </c>
      <c r="B21" t="s">
        <v>285</v>
      </c>
      <c r="C21" t="s">
        <v>406</v>
      </c>
      <c r="D21" t="s">
        <v>407</v>
      </c>
      <c r="E21" t="s">
        <v>1377</v>
      </c>
      <c r="F21" s="134">
        <v>0.62398148148148147</v>
      </c>
      <c r="G21" t="s">
        <v>1373</v>
      </c>
      <c r="H21" t="s">
        <v>1374</v>
      </c>
    </row>
    <row r="22" spans="1:8">
      <c r="A22">
        <v>5080993</v>
      </c>
      <c r="B22" t="s">
        <v>285</v>
      </c>
      <c r="C22" t="s">
        <v>406</v>
      </c>
      <c r="D22" t="s">
        <v>407</v>
      </c>
      <c r="E22" t="s">
        <v>1378</v>
      </c>
      <c r="F22" s="134">
        <v>0.28502314814814816</v>
      </c>
      <c r="G22" t="s">
        <v>1371</v>
      </c>
      <c r="H22" t="s">
        <v>1372</v>
      </c>
    </row>
    <row r="23" spans="1:8">
      <c r="A23">
        <v>5080993</v>
      </c>
      <c r="B23" t="s">
        <v>285</v>
      </c>
      <c r="C23" t="s">
        <v>406</v>
      </c>
      <c r="D23" t="s">
        <v>407</v>
      </c>
      <c r="E23" t="s">
        <v>1378</v>
      </c>
      <c r="F23" s="134">
        <v>0.62526620370370367</v>
      </c>
      <c r="G23" t="s">
        <v>1373</v>
      </c>
      <c r="H23" t="s">
        <v>1374</v>
      </c>
    </row>
    <row r="24" spans="1:8">
      <c r="A24">
        <v>5080993</v>
      </c>
      <c r="B24" t="s">
        <v>285</v>
      </c>
      <c r="C24" t="s">
        <v>406</v>
      </c>
      <c r="D24" t="s">
        <v>407</v>
      </c>
      <c r="E24" t="s">
        <v>1379</v>
      </c>
      <c r="F24" s="134">
        <v>0.30201388888888886</v>
      </c>
      <c r="G24" t="s">
        <v>1371</v>
      </c>
      <c r="H24" t="s">
        <v>1372</v>
      </c>
    </row>
    <row r="25" spans="1:8">
      <c r="A25">
        <v>5080993</v>
      </c>
      <c r="B25" t="s">
        <v>285</v>
      </c>
      <c r="C25" t="s">
        <v>406</v>
      </c>
      <c r="D25" t="s">
        <v>407</v>
      </c>
      <c r="E25" t="s">
        <v>1379</v>
      </c>
      <c r="F25" s="134">
        <v>0.62394675925925924</v>
      </c>
      <c r="G25" t="s">
        <v>1373</v>
      </c>
      <c r="H25" t="s">
        <v>1374</v>
      </c>
    </row>
    <row r="26" spans="1:8">
      <c r="A26">
        <v>5267317</v>
      </c>
      <c r="B26" t="s">
        <v>368</v>
      </c>
      <c r="C26" t="s">
        <v>367</v>
      </c>
      <c r="D26" t="s">
        <v>169</v>
      </c>
      <c r="E26" t="s">
        <v>1370</v>
      </c>
      <c r="F26" s="134">
        <v>0.28665509259259259</v>
      </c>
      <c r="G26" t="s">
        <v>1371</v>
      </c>
      <c r="H26" t="s">
        <v>1372</v>
      </c>
    </row>
    <row r="27" spans="1:8">
      <c r="A27">
        <v>5267317</v>
      </c>
      <c r="B27" t="s">
        <v>368</v>
      </c>
      <c r="C27" t="s">
        <v>367</v>
      </c>
      <c r="D27" t="s">
        <v>169</v>
      </c>
      <c r="E27" t="s">
        <v>1370</v>
      </c>
      <c r="F27" s="134">
        <v>0.72129629629629621</v>
      </c>
      <c r="G27" t="s">
        <v>1373</v>
      </c>
      <c r="H27" t="s">
        <v>1374</v>
      </c>
    </row>
    <row r="28" spans="1:8">
      <c r="A28">
        <v>5267317</v>
      </c>
      <c r="B28" t="s">
        <v>368</v>
      </c>
      <c r="C28" t="s">
        <v>367</v>
      </c>
      <c r="D28" t="s">
        <v>169</v>
      </c>
      <c r="E28" t="s">
        <v>1375</v>
      </c>
      <c r="F28" s="134">
        <v>0.28513888888888889</v>
      </c>
      <c r="G28" t="s">
        <v>1371</v>
      </c>
      <c r="H28" t="s">
        <v>1372</v>
      </c>
    </row>
    <row r="29" spans="1:8">
      <c r="A29">
        <v>5267317</v>
      </c>
      <c r="B29" t="s">
        <v>368</v>
      </c>
      <c r="C29" t="s">
        <v>367</v>
      </c>
      <c r="D29" t="s">
        <v>169</v>
      </c>
      <c r="E29" t="s">
        <v>1375</v>
      </c>
      <c r="F29" s="134">
        <v>0.72244212962962961</v>
      </c>
      <c r="G29" t="s">
        <v>1373</v>
      </c>
      <c r="H29" t="s">
        <v>1374</v>
      </c>
    </row>
    <row r="30" spans="1:8">
      <c r="A30">
        <v>5267317</v>
      </c>
      <c r="B30" t="s">
        <v>368</v>
      </c>
      <c r="C30" t="s">
        <v>367</v>
      </c>
      <c r="D30" t="s">
        <v>169</v>
      </c>
      <c r="E30" t="s">
        <v>1376</v>
      </c>
      <c r="F30" s="134">
        <v>0.72518518518518515</v>
      </c>
      <c r="G30" t="s">
        <v>1373</v>
      </c>
      <c r="H30" t="s">
        <v>1374</v>
      </c>
    </row>
    <row r="31" spans="1:8">
      <c r="A31">
        <v>5267317</v>
      </c>
      <c r="B31" t="s">
        <v>368</v>
      </c>
      <c r="C31" t="s">
        <v>367</v>
      </c>
      <c r="D31" t="s">
        <v>169</v>
      </c>
      <c r="E31" t="s">
        <v>1376</v>
      </c>
      <c r="F31" s="134">
        <v>0.28990740740740745</v>
      </c>
      <c r="G31" t="s">
        <v>1371</v>
      </c>
      <c r="H31" t="s">
        <v>1372</v>
      </c>
    </row>
    <row r="32" spans="1:8">
      <c r="A32">
        <v>5267317</v>
      </c>
      <c r="B32" t="s">
        <v>368</v>
      </c>
      <c r="C32" t="s">
        <v>367</v>
      </c>
      <c r="D32" t="s">
        <v>169</v>
      </c>
      <c r="E32" t="s">
        <v>1377</v>
      </c>
      <c r="F32" s="134">
        <v>0.28949074074074072</v>
      </c>
      <c r="G32" t="s">
        <v>1371</v>
      </c>
      <c r="H32" t="s">
        <v>1372</v>
      </c>
    </row>
    <row r="33" spans="1:8">
      <c r="A33">
        <v>5267317</v>
      </c>
      <c r="B33" t="s">
        <v>368</v>
      </c>
      <c r="C33" t="s">
        <v>367</v>
      </c>
      <c r="D33" t="s">
        <v>169</v>
      </c>
      <c r="E33" t="s">
        <v>1377</v>
      </c>
      <c r="F33" s="134">
        <v>0.71673611111111113</v>
      </c>
      <c r="G33" t="s">
        <v>1373</v>
      </c>
      <c r="H33" t="s">
        <v>1374</v>
      </c>
    </row>
    <row r="34" spans="1:8">
      <c r="A34">
        <v>5267317</v>
      </c>
      <c r="B34" t="s">
        <v>368</v>
      </c>
      <c r="C34" t="s">
        <v>367</v>
      </c>
      <c r="D34" t="s">
        <v>169</v>
      </c>
      <c r="E34" t="s">
        <v>1378</v>
      </c>
      <c r="F34" s="134">
        <v>0.28545138888888888</v>
      </c>
      <c r="G34" t="s">
        <v>1371</v>
      </c>
      <c r="H34" t="s">
        <v>1372</v>
      </c>
    </row>
    <row r="35" spans="1:8">
      <c r="A35">
        <v>5267317</v>
      </c>
      <c r="B35" t="s">
        <v>368</v>
      </c>
      <c r="C35" t="s">
        <v>367</v>
      </c>
      <c r="D35" t="s">
        <v>169</v>
      </c>
      <c r="E35" t="s">
        <v>1378</v>
      </c>
      <c r="F35" s="134">
        <v>0.71697916666666661</v>
      </c>
      <c r="G35" t="s">
        <v>1373</v>
      </c>
      <c r="H35" t="s">
        <v>1374</v>
      </c>
    </row>
    <row r="36" spans="1:8">
      <c r="A36">
        <v>5267317</v>
      </c>
      <c r="B36" t="s">
        <v>368</v>
      </c>
      <c r="C36" t="s">
        <v>367</v>
      </c>
      <c r="D36" t="s">
        <v>169</v>
      </c>
      <c r="E36" t="s">
        <v>1379</v>
      </c>
      <c r="F36" s="134">
        <v>0.31459490740740742</v>
      </c>
      <c r="G36" t="s">
        <v>1371</v>
      </c>
      <c r="H36" t="s">
        <v>1372</v>
      </c>
    </row>
    <row r="37" spans="1:8">
      <c r="A37">
        <v>5267317</v>
      </c>
      <c r="B37" t="s">
        <v>368</v>
      </c>
      <c r="C37" t="s">
        <v>367</v>
      </c>
      <c r="D37" t="s">
        <v>169</v>
      </c>
      <c r="E37" t="s">
        <v>1379</v>
      </c>
      <c r="F37" s="134">
        <v>0.56033564814814818</v>
      </c>
      <c r="G37" t="s">
        <v>1373</v>
      </c>
      <c r="H37" t="s">
        <v>1374</v>
      </c>
    </row>
    <row r="38" spans="1:8">
      <c r="A38">
        <v>5281950</v>
      </c>
      <c r="B38" t="s">
        <v>417</v>
      </c>
      <c r="C38" t="s">
        <v>142</v>
      </c>
      <c r="D38" t="s">
        <v>416</v>
      </c>
      <c r="E38" t="s">
        <v>1370</v>
      </c>
      <c r="F38" s="134">
        <v>0.29127314814814814</v>
      </c>
      <c r="G38" t="s">
        <v>1371</v>
      </c>
      <c r="H38" t="s">
        <v>1372</v>
      </c>
    </row>
    <row r="39" spans="1:8">
      <c r="A39">
        <v>5281950</v>
      </c>
      <c r="B39" t="s">
        <v>417</v>
      </c>
      <c r="C39" t="s">
        <v>142</v>
      </c>
      <c r="D39" t="s">
        <v>416</v>
      </c>
      <c r="E39" t="s">
        <v>1370</v>
      </c>
      <c r="F39" s="134">
        <v>0.63516203703703711</v>
      </c>
      <c r="G39" t="s">
        <v>1373</v>
      </c>
      <c r="H39" t="s">
        <v>1374</v>
      </c>
    </row>
    <row r="40" spans="1:8">
      <c r="A40">
        <v>5281950</v>
      </c>
      <c r="B40" t="s">
        <v>417</v>
      </c>
      <c r="C40" t="s">
        <v>142</v>
      </c>
      <c r="D40" t="s">
        <v>416</v>
      </c>
      <c r="E40" t="s">
        <v>1375</v>
      </c>
      <c r="F40" s="134">
        <v>0.29140046296296296</v>
      </c>
      <c r="G40" t="s">
        <v>1371</v>
      </c>
      <c r="H40" t="s">
        <v>1372</v>
      </c>
    </row>
    <row r="41" spans="1:8">
      <c r="A41">
        <v>5281950</v>
      </c>
      <c r="B41" t="s">
        <v>417</v>
      </c>
      <c r="C41" t="s">
        <v>142</v>
      </c>
      <c r="D41" t="s">
        <v>416</v>
      </c>
      <c r="E41" t="s">
        <v>1375</v>
      </c>
      <c r="F41" s="134">
        <v>0.63099537037037035</v>
      </c>
      <c r="G41" t="s">
        <v>1373</v>
      </c>
      <c r="H41" t="s">
        <v>1374</v>
      </c>
    </row>
    <row r="42" spans="1:8">
      <c r="A42">
        <v>5281950</v>
      </c>
      <c r="B42" t="s">
        <v>417</v>
      </c>
      <c r="C42" t="s">
        <v>142</v>
      </c>
      <c r="D42" t="s">
        <v>416</v>
      </c>
      <c r="E42" t="s">
        <v>1376</v>
      </c>
      <c r="F42" s="134">
        <v>0.63331018518518511</v>
      </c>
      <c r="G42" t="s">
        <v>1373</v>
      </c>
      <c r="H42" t="s">
        <v>1374</v>
      </c>
    </row>
    <row r="43" spans="1:8">
      <c r="A43">
        <v>5281950</v>
      </c>
      <c r="B43" t="s">
        <v>417</v>
      </c>
      <c r="C43" t="s">
        <v>142</v>
      </c>
      <c r="D43" t="s">
        <v>416</v>
      </c>
      <c r="E43" t="s">
        <v>1376</v>
      </c>
      <c r="F43" s="134">
        <v>0.29188657407407409</v>
      </c>
      <c r="G43" t="s">
        <v>1371</v>
      </c>
      <c r="H43" t="s">
        <v>1372</v>
      </c>
    </row>
    <row r="44" spans="1:8">
      <c r="A44">
        <v>5281950</v>
      </c>
      <c r="B44" t="s">
        <v>417</v>
      </c>
      <c r="C44" t="s">
        <v>142</v>
      </c>
      <c r="D44" t="s">
        <v>416</v>
      </c>
      <c r="E44" t="s">
        <v>1377</v>
      </c>
      <c r="F44" s="134">
        <v>0.29076388888888888</v>
      </c>
      <c r="G44" t="s">
        <v>1371</v>
      </c>
      <c r="H44" t="s">
        <v>1372</v>
      </c>
    </row>
    <row r="45" spans="1:8">
      <c r="A45">
        <v>5281950</v>
      </c>
      <c r="B45" t="s">
        <v>417</v>
      </c>
      <c r="C45" t="s">
        <v>142</v>
      </c>
      <c r="D45" t="s">
        <v>416</v>
      </c>
      <c r="E45" t="s">
        <v>1377</v>
      </c>
      <c r="F45" s="134">
        <v>0.63642361111111112</v>
      </c>
      <c r="G45" t="s">
        <v>1373</v>
      </c>
      <c r="H45" t="s">
        <v>1374</v>
      </c>
    </row>
    <row r="46" spans="1:8">
      <c r="A46">
        <v>5281950</v>
      </c>
      <c r="B46" t="s">
        <v>417</v>
      </c>
      <c r="C46" t="s">
        <v>142</v>
      </c>
      <c r="D46" t="s">
        <v>416</v>
      </c>
      <c r="E46" t="s">
        <v>1378</v>
      </c>
      <c r="F46" s="134">
        <v>0.29399305555555555</v>
      </c>
      <c r="G46" t="s">
        <v>1371</v>
      </c>
      <c r="H46" t="s">
        <v>1372</v>
      </c>
    </row>
    <row r="47" spans="1:8">
      <c r="A47">
        <v>5281950</v>
      </c>
      <c r="B47" t="s">
        <v>417</v>
      </c>
      <c r="C47" t="s">
        <v>142</v>
      </c>
      <c r="D47" t="s">
        <v>416</v>
      </c>
      <c r="E47" t="s">
        <v>1378</v>
      </c>
      <c r="F47" s="134">
        <v>0.63287037037037031</v>
      </c>
      <c r="G47" t="s">
        <v>1373</v>
      </c>
      <c r="H47" t="s">
        <v>1374</v>
      </c>
    </row>
    <row r="48" spans="1:8">
      <c r="A48">
        <v>5281950</v>
      </c>
      <c r="B48" t="s">
        <v>417</v>
      </c>
      <c r="C48" t="s">
        <v>142</v>
      </c>
      <c r="D48" t="s">
        <v>416</v>
      </c>
      <c r="E48" t="s">
        <v>1379</v>
      </c>
      <c r="F48" s="134">
        <v>0.29078703703703707</v>
      </c>
      <c r="G48" t="s">
        <v>1371</v>
      </c>
      <c r="H48" t="s">
        <v>1372</v>
      </c>
    </row>
    <row r="49" spans="1:8">
      <c r="A49">
        <v>5281950</v>
      </c>
      <c r="B49" t="s">
        <v>417</v>
      </c>
      <c r="C49" t="s">
        <v>142</v>
      </c>
      <c r="D49" t="s">
        <v>416</v>
      </c>
      <c r="E49" t="s">
        <v>1379</v>
      </c>
      <c r="F49" s="134">
        <v>0.63443287037037044</v>
      </c>
      <c r="G49" t="s">
        <v>1373</v>
      </c>
      <c r="H49" t="s">
        <v>1374</v>
      </c>
    </row>
    <row r="50" spans="1:8">
      <c r="A50">
        <v>5428350</v>
      </c>
      <c r="B50" t="s">
        <v>439</v>
      </c>
      <c r="C50" t="s">
        <v>437</v>
      </c>
      <c r="D50" t="s">
        <v>438</v>
      </c>
      <c r="E50" t="s">
        <v>1377</v>
      </c>
      <c r="F50" s="134">
        <v>0.29340277777777779</v>
      </c>
      <c r="G50" t="s">
        <v>1371</v>
      </c>
      <c r="H50" t="s">
        <v>1372</v>
      </c>
    </row>
    <row r="51" spans="1:8">
      <c r="A51">
        <v>5428350</v>
      </c>
      <c r="B51" t="s">
        <v>439</v>
      </c>
      <c r="C51" t="s">
        <v>437</v>
      </c>
      <c r="D51" t="s">
        <v>438</v>
      </c>
      <c r="E51" t="s">
        <v>1377</v>
      </c>
      <c r="F51" s="134">
        <v>0.62936342592592587</v>
      </c>
      <c r="G51" t="s">
        <v>1373</v>
      </c>
      <c r="H51" t="s">
        <v>1374</v>
      </c>
    </row>
    <row r="52" spans="1:8">
      <c r="A52">
        <v>5428350</v>
      </c>
      <c r="B52" t="s">
        <v>439</v>
      </c>
      <c r="C52" t="s">
        <v>437</v>
      </c>
      <c r="D52" t="s">
        <v>438</v>
      </c>
      <c r="E52" t="s">
        <v>1378</v>
      </c>
      <c r="F52" s="134">
        <v>0.30046296296296299</v>
      </c>
      <c r="G52" t="s">
        <v>1371</v>
      </c>
      <c r="H52" t="s">
        <v>1372</v>
      </c>
    </row>
    <row r="53" spans="1:8">
      <c r="A53">
        <v>5428350</v>
      </c>
      <c r="B53" t="s">
        <v>439</v>
      </c>
      <c r="C53" t="s">
        <v>437</v>
      </c>
      <c r="D53" t="s">
        <v>438</v>
      </c>
      <c r="E53" t="s">
        <v>1378</v>
      </c>
      <c r="F53" s="134">
        <v>0.62354166666666666</v>
      </c>
      <c r="G53" t="s">
        <v>1373</v>
      </c>
      <c r="H53" t="s">
        <v>1374</v>
      </c>
    </row>
    <row r="54" spans="1:8">
      <c r="A54">
        <v>5428350</v>
      </c>
      <c r="B54" t="s">
        <v>439</v>
      </c>
      <c r="C54" t="s">
        <v>437</v>
      </c>
      <c r="D54" t="s">
        <v>438</v>
      </c>
      <c r="E54" t="s">
        <v>1379</v>
      </c>
      <c r="F54" s="134">
        <v>0.29541666666666666</v>
      </c>
      <c r="G54" t="s">
        <v>1371</v>
      </c>
      <c r="H54" t="s">
        <v>1372</v>
      </c>
    </row>
    <row r="55" spans="1:8">
      <c r="A55">
        <v>5428350</v>
      </c>
      <c r="B55" t="s">
        <v>439</v>
      </c>
      <c r="C55" t="s">
        <v>437</v>
      </c>
      <c r="D55" t="s">
        <v>438</v>
      </c>
      <c r="E55" t="s">
        <v>1379</v>
      </c>
      <c r="F55" s="134">
        <v>0.62388888888888883</v>
      </c>
      <c r="G55" t="s">
        <v>1373</v>
      </c>
      <c r="H55" t="s">
        <v>1374</v>
      </c>
    </row>
    <row r="56" spans="1:8">
      <c r="A56">
        <v>5738427</v>
      </c>
      <c r="B56" t="s">
        <v>569</v>
      </c>
      <c r="C56" t="s">
        <v>51</v>
      </c>
      <c r="D56" t="s">
        <v>883</v>
      </c>
      <c r="E56" t="s">
        <v>1370</v>
      </c>
      <c r="F56" s="134">
        <v>0.29212962962962963</v>
      </c>
      <c r="G56" t="s">
        <v>1371</v>
      </c>
      <c r="H56" t="s">
        <v>1372</v>
      </c>
    </row>
    <row r="57" spans="1:8">
      <c r="A57">
        <v>5738427</v>
      </c>
      <c r="B57" t="s">
        <v>569</v>
      </c>
      <c r="C57" t="s">
        <v>51</v>
      </c>
      <c r="D57" t="s">
        <v>883</v>
      </c>
      <c r="E57" t="s">
        <v>1370</v>
      </c>
      <c r="F57" s="134">
        <v>0.62177083333333327</v>
      </c>
      <c r="G57" t="s">
        <v>1373</v>
      </c>
      <c r="H57" t="s">
        <v>1374</v>
      </c>
    </row>
    <row r="58" spans="1:8">
      <c r="A58">
        <v>5738427</v>
      </c>
      <c r="B58" t="s">
        <v>569</v>
      </c>
      <c r="C58" t="s">
        <v>51</v>
      </c>
      <c r="D58" t="s">
        <v>883</v>
      </c>
      <c r="E58" t="s">
        <v>1375</v>
      </c>
      <c r="F58" s="134">
        <v>0.29223379629629631</v>
      </c>
      <c r="G58" t="s">
        <v>1371</v>
      </c>
      <c r="H58" t="s">
        <v>1372</v>
      </c>
    </row>
    <row r="59" spans="1:8">
      <c r="A59">
        <v>5738427</v>
      </c>
      <c r="B59" t="s">
        <v>569</v>
      </c>
      <c r="C59" t="s">
        <v>51</v>
      </c>
      <c r="D59" t="s">
        <v>883</v>
      </c>
      <c r="E59" t="s">
        <v>1375</v>
      </c>
      <c r="F59" s="134">
        <v>0.62016203703703698</v>
      </c>
      <c r="G59" t="s">
        <v>1373</v>
      </c>
      <c r="H59" t="s">
        <v>1374</v>
      </c>
    </row>
    <row r="60" spans="1:8">
      <c r="A60">
        <v>5738427</v>
      </c>
      <c r="B60" t="s">
        <v>569</v>
      </c>
      <c r="C60" t="s">
        <v>51</v>
      </c>
      <c r="D60" t="s">
        <v>883</v>
      </c>
      <c r="E60" t="s">
        <v>1376</v>
      </c>
      <c r="F60" s="134">
        <v>0.62305555555555558</v>
      </c>
      <c r="G60" t="s">
        <v>1373</v>
      </c>
      <c r="H60" t="s">
        <v>1374</v>
      </c>
    </row>
    <row r="61" spans="1:8">
      <c r="A61">
        <v>5738427</v>
      </c>
      <c r="B61" t="s">
        <v>569</v>
      </c>
      <c r="C61" t="s">
        <v>51</v>
      </c>
      <c r="D61" t="s">
        <v>883</v>
      </c>
      <c r="E61" t="s">
        <v>1376</v>
      </c>
      <c r="F61" s="134">
        <v>0.29296296296296298</v>
      </c>
      <c r="G61" t="s">
        <v>1371</v>
      </c>
      <c r="H61" t="s">
        <v>1372</v>
      </c>
    </row>
    <row r="62" spans="1:8">
      <c r="A62">
        <v>5738427</v>
      </c>
      <c r="B62" t="s">
        <v>569</v>
      </c>
      <c r="C62" t="s">
        <v>51</v>
      </c>
      <c r="D62" t="s">
        <v>883</v>
      </c>
      <c r="E62" t="s">
        <v>1377</v>
      </c>
      <c r="F62" s="134">
        <v>0.29153935185185187</v>
      </c>
      <c r="G62" t="s">
        <v>1371</v>
      </c>
      <c r="H62" t="s">
        <v>1372</v>
      </c>
    </row>
    <row r="63" spans="1:8">
      <c r="A63">
        <v>5738427</v>
      </c>
      <c r="B63" t="s">
        <v>569</v>
      </c>
      <c r="C63" t="s">
        <v>51</v>
      </c>
      <c r="D63" t="s">
        <v>883</v>
      </c>
      <c r="E63" t="s">
        <v>1377</v>
      </c>
      <c r="F63" s="134">
        <v>0.62259259259259259</v>
      </c>
      <c r="G63" t="s">
        <v>1373</v>
      </c>
      <c r="H63" t="s">
        <v>1374</v>
      </c>
    </row>
    <row r="64" spans="1:8">
      <c r="A64">
        <v>5738427</v>
      </c>
      <c r="B64" t="s">
        <v>569</v>
      </c>
      <c r="C64" t="s">
        <v>51</v>
      </c>
      <c r="D64" t="s">
        <v>883</v>
      </c>
      <c r="E64" t="s">
        <v>1378</v>
      </c>
      <c r="F64" s="134">
        <v>0.29586805555555556</v>
      </c>
      <c r="G64" t="s">
        <v>1371</v>
      </c>
      <c r="H64" t="s">
        <v>1372</v>
      </c>
    </row>
    <row r="65" spans="1:8">
      <c r="A65">
        <v>5738427</v>
      </c>
      <c r="B65" t="s">
        <v>569</v>
      </c>
      <c r="C65" t="s">
        <v>51</v>
      </c>
      <c r="D65" t="s">
        <v>883</v>
      </c>
      <c r="E65" t="s">
        <v>1378</v>
      </c>
      <c r="F65" s="134">
        <v>0.62487268518518524</v>
      </c>
      <c r="G65" t="s">
        <v>1373</v>
      </c>
      <c r="H65" t="s">
        <v>1374</v>
      </c>
    </row>
    <row r="66" spans="1:8">
      <c r="A66">
        <v>5738427</v>
      </c>
      <c r="B66" t="s">
        <v>569</v>
      </c>
      <c r="C66" t="s">
        <v>51</v>
      </c>
      <c r="D66" t="s">
        <v>883</v>
      </c>
      <c r="E66" t="s">
        <v>1379</v>
      </c>
      <c r="F66" s="134">
        <v>0.29141203703703705</v>
      </c>
      <c r="G66" t="s">
        <v>1371</v>
      </c>
      <c r="H66" t="s">
        <v>1372</v>
      </c>
    </row>
    <row r="67" spans="1:8">
      <c r="A67">
        <v>5738427</v>
      </c>
      <c r="B67" t="s">
        <v>569</v>
      </c>
      <c r="C67" t="s">
        <v>51</v>
      </c>
      <c r="D67" t="s">
        <v>883</v>
      </c>
      <c r="E67" t="s">
        <v>1379</v>
      </c>
      <c r="F67" s="134">
        <v>0.61981481481481482</v>
      </c>
      <c r="G67" t="s">
        <v>1373</v>
      </c>
      <c r="H67" t="s">
        <v>1374</v>
      </c>
    </row>
    <row r="68" spans="1:8">
      <c r="A68">
        <v>5921603</v>
      </c>
      <c r="B68" t="s">
        <v>501</v>
      </c>
      <c r="C68" t="s">
        <v>499</v>
      </c>
      <c r="D68" t="s">
        <v>500</v>
      </c>
      <c r="E68" t="s">
        <v>1370</v>
      </c>
      <c r="F68" s="134">
        <v>0.29436342592592596</v>
      </c>
      <c r="G68" t="s">
        <v>1371</v>
      </c>
      <c r="H68" t="s">
        <v>1372</v>
      </c>
    </row>
    <row r="69" spans="1:8">
      <c r="A69">
        <v>5921603</v>
      </c>
      <c r="B69" t="s">
        <v>501</v>
      </c>
      <c r="C69" t="s">
        <v>499</v>
      </c>
      <c r="D69" t="s">
        <v>500</v>
      </c>
      <c r="E69" t="s">
        <v>1370</v>
      </c>
      <c r="F69" s="134">
        <v>0.72214120370370372</v>
      </c>
      <c r="G69" t="s">
        <v>1373</v>
      </c>
      <c r="H69" t="s">
        <v>1374</v>
      </c>
    </row>
    <row r="70" spans="1:8">
      <c r="A70">
        <v>5921603</v>
      </c>
      <c r="B70" t="s">
        <v>501</v>
      </c>
      <c r="C70" t="s">
        <v>499</v>
      </c>
      <c r="D70" t="s">
        <v>500</v>
      </c>
      <c r="E70" t="s">
        <v>1376</v>
      </c>
      <c r="F70" s="134">
        <v>0.29520833333333335</v>
      </c>
      <c r="G70" t="s">
        <v>1371</v>
      </c>
      <c r="H70" t="s">
        <v>1372</v>
      </c>
    </row>
    <row r="71" spans="1:8">
      <c r="A71">
        <v>5921603</v>
      </c>
      <c r="B71" t="s">
        <v>501</v>
      </c>
      <c r="C71" t="s">
        <v>499</v>
      </c>
      <c r="D71" t="s">
        <v>500</v>
      </c>
      <c r="E71" t="s">
        <v>1376</v>
      </c>
      <c r="F71" s="134">
        <v>0.73344907407407411</v>
      </c>
      <c r="G71" t="s">
        <v>1373</v>
      </c>
      <c r="H71" t="s">
        <v>1374</v>
      </c>
    </row>
    <row r="72" spans="1:8">
      <c r="A72">
        <v>5921603</v>
      </c>
      <c r="B72" t="s">
        <v>501</v>
      </c>
      <c r="C72" t="s">
        <v>499</v>
      </c>
      <c r="D72" t="s">
        <v>500</v>
      </c>
      <c r="E72" t="s">
        <v>1377</v>
      </c>
      <c r="F72" s="134">
        <v>0.2948958333333333</v>
      </c>
      <c r="G72" t="s">
        <v>1371</v>
      </c>
      <c r="H72" t="s">
        <v>1372</v>
      </c>
    </row>
    <row r="73" spans="1:8">
      <c r="A73">
        <v>5921603</v>
      </c>
      <c r="B73" t="s">
        <v>501</v>
      </c>
      <c r="C73" t="s">
        <v>499</v>
      </c>
      <c r="D73" t="s">
        <v>500</v>
      </c>
      <c r="E73" t="s">
        <v>1377</v>
      </c>
      <c r="F73" s="134">
        <v>0.73351851851851846</v>
      </c>
      <c r="G73" t="s">
        <v>1373</v>
      </c>
      <c r="H73" t="s">
        <v>1374</v>
      </c>
    </row>
    <row r="74" spans="1:8">
      <c r="A74">
        <v>5921603</v>
      </c>
      <c r="B74" t="s">
        <v>501</v>
      </c>
      <c r="C74" t="s">
        <v>499</v>
      </c>
      <c r="D74" t="s">
        <v>500</v>
      </c>
      <c r="E74" t="s">
        <v>1378</v>
      </c>
      <c r="F74" s="134">
        <v>0.2942939814814815</v>
      </c>
      <c r="G74" t="s">
        <v>1371</v>
      </c>
      <c r="H74" t="s">
        <v>1372</v>
      </c>
    </row>
    <row r="75" spans="1:8">
      <c r="A75">
        <v>5921603</v>
      </c>
      <c r="B75" t="s">
        <v>501</v>
      </c>
      <c r="C75" t="s">
        <v>499</v>
      </c>
      <c r="D75" t="s">
        <v>500</v>
      </c>
      <c r="E75" t="s">
        <v>1378</v>
      </c>
      <c r="F75" s="134">
        <v>0.73390046296296296</v>
      </c>
      <c r="G75" t="s">
        <v>1373</v>
      </c>
      <c r="H75" t="s">
        <v>1374</v>
      </c>
    </row>
    <row r="76" spans="1:8">
      <c r="A76">
        <v>5989878</v>
      </c>
      <c r="B76" t="s">
        <v>412</v>
      </c>
      <c r="C76" t="s">
        <v>406</v>
      </c>
      <c r="D76" t="s">
        <v>411</v>
      </c>
      <c r="E76" t="s">
        <v>1370</v>
      </c>
      <c r="F76" s="134">
        <v>0.37079861111111106</v>
      </c>
      <c r="G76" t="s">
        <v>1371</v>
      </c>
      <c r="H76" t="s">
        <v>1372</v>
      </c>
    </row>
    <row r="77" spans="1:8">
      <c r="A77">
        <v>5989878</v>
      </c>
      <c r="B77" t="s">
        <v>412</v>
      </c>
      <c r="C77" t="s">
        <v>406</v>
      </c>
      <c r="D77" t="s">
        <v>411</v>
      </c>
      <c r="E77" t="s">
        <v>1370</v>
      </c>
      <c r="F77" s="134">
        <v>0.63240740740740742</v>
      </c>
      <c r="G77" t="s">
        <v>1373</v>
      </c>
      <c r="H77" t="s">
        <v>1374</v>
      </c>
    </row>
    <row r="78" spans="1:8">
      <c r="A78">
        <v>5989878</v>
      </c>
      <c r="B78" t="s">
        <v>412</v>
      </c>
      <c r="C78" t="s">
        <v>406</v>
      </c>
      <c r="D78" t="s">
        <v>411</v>
      </c>
      <c r="E78" t="s">
        <v>1375</v>
      </c>
      <c r="F78" s="134">
        <v>0.29113425925925923</v>
      </c>
      <c r="G78" t="s">
        <v>1371</v>
      </c>
      <c r="H78" t="s">
        <v>1372</v>
      </c>
    </row>
    <row r="79" spans="1:8">
      <c r="A79">
        <v>5989878</v>
      </c>
      <c r="B79" t="s">
        <v>412</v>
      </c>
      <c r="C79" t="s">
        <v>406</v>
      </c>
      <c r="D79" t="s">
        <v>411</v>
      </c>
      <c r="E79" t="s">
        <v>1375</v>
      </c>
      <c r="F79" s="134">
        <v>0.63429398148148153</v>
      </c>
      <c r="G79" t="s">
        <v>1373</v>
      </c>
      <c r="H79" t="s">
        <v>1374</v>
      </c>
    </row>
    <row r="80" spans="1:8">
      <c r="A80">
        <v>5989878</v>
      </c>
      <c r="B80" t="s">
        <v>412</v>
      </c>
      <c r="C80" t="s">
        <v>406</v>
      </c>
      <c r="D80" t="s">
        <v>411</v>
      </c>
      <c r="E80" t="s">
        <v>1376</v>
      </c>
      <c r="F80" s="134">
        <v>0.63189814814814815</v>
      </c>
      <c r="G80" t="s">
        <v>1373</v>
      </c>
      <c r="H80" t="s">
        <v>1374</v>
      </c>
    </row>
    <row r="81" spans="1:8">
      <c r="A81">
        <v>5989878</v>
      </c>
      <c r="B81" t="s">
        <v>412</v>
      </c>
      <c r="C81" t="s">
        <v>406</v>
      </c>
      <c r="D81" t="s">
        <v>411</v>
      </c>
      <c r="E81" t="s">
        <v>1376</v>
      </c>
      <c r="F81" s="134">
        <v>0.29170138888888891</v>
      </c>
      <c r="G81" t="s">
        <v>1371</v>
      </c>
      <c r="H81" t="s">
        <v>1372</v>
      </c>
    </row>
    <row r="82" spans="1:8">
      <c r="A82">
        <v>5989878</v>
      </c>
      <c r="B82" t="s">
        <v>412</v>
      </c>
      <c r="C82" t="s">
        <v>406</v>
      </c>
      <c r="D82" t="s">
        <v>411</v>
      </c>
      <c r="E82" t="s">
        <v>1377</v>
      </c>
      <c r="F82" s="134">
        <v>0.29039351851851852</v>
      </c>
      <c r="G82" t="s">
        <v>1371</v>
      </c>
      <c r="H82" t="s">
        <v>1372</v>
      </c>
    </row>
    <row r="83" spans="1:8">
      <c r="A83">
        <v>5989878</v>
      </c>
      <c r="B83" t="s">
        <v>412</v>
      </c>
      <c r="C83" t="s">
        <v>406</v>
      </c>
      <c r="D83" t="s">
        <v>411</v>
      </c>
      <c r="E83" t="s">
        <v>1377</v>
      </c>
      <c r="F83" s="134">
        <v>0.63421296296296303</v>
      </c>
      <c r="G83" t="s">
        <v>1373</v>
      </c>
      <c r="H83" t="s">
        <v>1374</v>
      </c>
    </row>
    <row r="84" spans="1:8">
      <c r="A84">
        <v>5989878</v>
      </c>
      <c r="B84" t="s">
        <v>412</v>
      </c>
      <c r="C84" t="s">
        <v>406</v>
      </c>
      <c r="D84" t="s">
        <v>411</v>
      </c>
      <c r="E84" t="s">
        <v>1378</v>
      </c>
      <c r="F84" s="134">
        <v>0.2888425925925926</v>
      </c>
      <c r="G84" t="s">
        <v>1371</v>
      </c>
      <c r="H84" t="s">
        <v>1372</v>
      </c>
    </row>
    <row r="85" spans="1:8">
      <c r="A85">
        <v>5989878</v>
      </c>
      <c r="B85" t="s">
        <v>412</v>
      </c>
      <c r="C85" t="s">
        <v>406</v>
      </c>
      <c r="D85" t="s">
        <v>411</v>
      </c>
      <c r="E85" t="s">
        <v>1378</v>
      </c>
      <c r="F85" s="134">
        <v>0.72098379629629628</v>
      </c>
      <c r="G85" t="s">
        <v>1373</v>
      </c>
      <c r="H85" t="s">
        <v>1374</v>
      </c>
    </row>
    <row r="86" spans="1:8">
      <c r="A86">
        <v>5989878</v>
      </c>
      <c r="B86" t="s">
        <v>412</v>
      </c>
      <c r="C86" t="s">
        <v>406</v>
      </c>
      <c r="D86" t="s">
        <v>411</v>
      </c>
      <c r="E86" t="s">
        <v>1379</v>
      </c>
      <c r="F86" s="134">
        <v>0.29042824074074075</v>
      </c>
      <c r="G86" t="s">
        <v>1371</v>
      </c>
      <c r="H86" t="s">
        <v>1372</v>
      </c>
    </row>
    <row r="87" spans="1:8">
      <c r="A87">
        <v>5989878</v>
      </c>
      <c r="B87" t="s">
        <v>412</v>
      </c>
      <c r="C87" t="s">
        <v>406</v>
      </c>
      <c r="D87" t="s">
        <v>411</v>
      </c>
      <c r="E87" t="s">
        <v>1379</v>
      </c>
      <c r="F87" s="134">
        <v>0.60954861111111114</v>
      </c>
      <c r="G87" t="s">
        <v>1373</v>
      </c>
      <c r="H87" t="s">
        <v>1374</v>
      </c>
    </row>
    <row r="88" spans="1:8">
      <c r="A88">
        <v>6010169</v>
      </c>
      <c r="B88" t="s">
        <v>583</v>
      </c>
      <c r="C88" t="s">
        <v>836</v>
      </c>
      <c r="D88" t="s">
        <v>840</v>
      </c>
      <c r="E88" t="s">
        <v>1370</v>
      </c>
      <c r="F88" s="134">
        <v>0.29107638888888893</v>
      </c>
      <c r="G88" t="s">
        <v>1371</v>
      </c>
      <c r="H88" t="s">
        <v>1372</v>
      </c>
    </row>
    <row r="89" spans="1:8">
      <c r="A89">
        <v>6010169</v>
      </c>
      <c r="B89" t="s">
        <v>583</v>
      </c>
      <c r="C89" t="s">
        <v>836</v>
      </c>
      <c r="D89" t="s">
        <v>840</v>
      </c>
      <c r="E89" t="s">
        <v>1370</v>
      </c>
      <c r="F89" s="134">
        <v>0.63149305555555557</v>
      </c>
      <c r="G89" t="s">
        <v>1373</v>
      </c>
      <c r="H89" t="s">
        <v>1374</v>
      </c>
    </row>
    <row r="90" spans="1:8">
      <c r="A90">
        <v>6010169</v>
      </c>
      <c r="B90" t="s">
        <v>583</v>
      </c>
      <c r="C90" t="s">
        <v>836</v>
      </c>
      <c r="D90" t="s">
        <v>840</v>
      </c>
      <c r="E90" t="s">
        <v>1375</v>
      </c>
      <c r="F90" s="134">
        <v>0.29118055555555555</v>
      </c>
      <c r="G90" t="s">
        <v>1371</v>
      </c>
      <c r="H90" t="s">
        <v>1372</v>
      </c>
    </row>
    <row r="91" spans="1:8">
      <c r="A91">
        <v>6010169</v>
      </c>
      <c r="B91" t="s">
        <v>583</v>
      </c>
      <c r="C91" t="s">
        <v>836</v>
      </c>
      <c r="D91" t="s">
        <v>840</v>
      </c>
      <c r="E91" t="s">
        <v>1375</v>
      </c>
      <c r="F91" s="134">
        <v>0.63193287037037038</v>
      </c>
      <c r="G91" t="s">
        <v>1373</v>
      </c>
      <c r="H91" t="s">
        <v>1374</v>
      </c>
    </row>
    <row r="92" spans="1:8">
      <c r="A92">
        <v>6010169</v>
      </c>
      <c r="B92" t="s">
        <v>583</v>
      </c>
      <c r="C92" t="s">
        <v>836</v>
      </c>
      <c r="D92" t="s">
        <v>840</v>
      </c>
      <c r="E92" t="s">
        <v>1376</v>
      </c>
      <c r="F92" s="134">
        <v>0.93953703703703706</v>
      </c>
      <c r="G92" t="s">
        <v>1373</v>
      </c>
      <c r="H92" t="s">
        <v>1374</v>
      </c>
    </row>
    <row r="93" spans="1:8">
      <c r="A93">
        <v>6010169</v>
      </c>
      <c r="B93" t="s">
        <v>583</v>
      </c>
      <c r="C93" t="s">
        <v>836</v>
      </c>
      <c r="D93" t="s">
        <v>840</v>
      </c>
      <c r="E93" t="s">
        <v>1376</v>
      </c>
      <c r="F93" s="134">
        <v>0.59226851851851847</v>
      </c>
      <c r="G93" t="s">
        <v>1371</v>
      </c>
      <c r="H93" t="s">
        <v>1372</v>
      </c>
    </row>
    <row r="94" spans="1:8">
      <c r="A94">
        <v>6010169</v>
      </c>
      <c r="B94" t="s">
        <v>583</v>
      </c>
      <c r="C94" t="s">
        <v>836</v>
      </c>
      <c r="D94" t="s">
        <v>840</v>
      </c>
      <c r="E94" t="s">
        <v>1377</v>
      </c>
      <c r="F94" s="134">
        <v>0.29043981481481479</v>
      </c>
      <c r="G94" t="s">
        <v>1371</v>
      </c>
      <c r="H94" t="s">
        <v>1372</v>
      </c>
    </row>
    <row r="95" spans="1:8">
      <c r="A95">
        <v>6010169</v>
      </c>
      <c r="B95" t="s">
        <v>583</v>
      </c>
      <c r="C95" t="s">
        <v>836</v>
      </c>
      <c r="D95" t="s">
        <v>840</v>
      </c>
      <c r="E95" t="s">
        <v>1377</v>
      </c>
      <c r="F95" s="134">
        <v>0.62887731481481479</v>
      </c>
      <c r="G95" t="s">
        <v>1373</v>
      </c>
      <c r="H95" t="s">
        <v>1374</v>
      </c>
    </row>
    <row r="96" spans="1:8">
      <c r="A96">
        <v>6010169</v>
      </c>
      <c r="B96" t="s">
        <v>583</v>
      </c>
      <c r="C96" t="s">
        <v>836</v>
      </c>
      <c r="D96" t="s">
        <v>840</v>
      </c>
      <c r="E96" t="s">
        <v>1378</v>
      </c>
      <c r="F96" s="134">
        <v>0.29358796296296297</v>
      </c>
      <c r="G96" t="s">
        <v>1371</v>
      </c>
      <c r="H96" t="s">
        <v>1372</v>
      </c>
    </row>
    <row r="97" spans="1:8">
      <c r="A97">
        <v>6010169</v>
      </c>
      <c r="B97" t="s">
        <v>583</v>
      </c>
      <c r="C97" t="s">
        <v>836</v>
      </c>
      <c r="D97" t="s">
        <v>840</v>
      </c>
      <c r="E97" t="s">
        <v>1378</v>
      </c>
      <c r="F97" s="134">
        <v>0.62878472222222226</v>
      </c>
      <c r="G97" t="s">
        <v>1373</v>
      </c>
      <c r="H97" t="s">
        <v>1374</v>
      </c>
    </row>
    <row r="98" spans="1:8">
      <c r="A98">
        <v>6010169</v>
      </c>
      <c r="B98" t="s">
        <v>583</v>
      </c>
      <c r="C98" t="s">
        <v>836</v>
      </c>
      <c r="D98" t="s">
        <v>840</v>
      </c>
      <c r="E98" t="s">
        <v>1379</v>
      </c>
      <c r="F98" s="134">
        <v>0.29038194444444443</v>
      </c>
      <c r="G98" t="s">
        <v>1371</v>
      </c>
      <c r="H98" t="s">
        <v>1372</v>
      </c>
    </row>
    <row r="99" spans="1:8">
      <c r="A99">
        <v>6010169</v>
      </c>
      <c r="B99" t="s">
        <v>583</v>
      </c>
      <c r="C99" t="s">
        <v>836</v>
      </c>
      <c r="D99" t="s">
        <v>840</v>
      </c>
      <c r="E99" t="s">
        <v>1379</v>
      </c>
      <c r="F99" s="134">
        <v>0.62982638888888887</v>
      </c>
      <c r="G99" t="s">
        <v>1373</v>
      </c>
      <c r="H99" t="s">
        <v>1374</v>
      </c>
    </row>
    <row r="100" spans="1:8">
      <c r="A100">
        <v>6143912</v>
      </c>
      <c r="B100" t="s">
        <v>325</v>
      </c>
      <c r="C100" t="s">
        <v>323</v>
      </c>
      <c r="D100" t="s">
        <v>324</v>
      </c>
      <c r="E100" t="s">
        <v>1370</v>
      </c>
      <c r="F100" s="134">
        <v>0.29493055555555553</v>
      </c>
      <c r="G100" t="s">
        <v>1371</v>
      </c>
      <c r="H100" t="s">
        <v>1372</v>
      </c>
    </row>
    <row r="101" spans="1:8">
      <c r="A101">
        <v>6143912</v>
      </c>
      <c r="B101" t="s">
        <v>325</v>
      </c>
      <c r="C101" t="s">
        <v>323</v>
      </c>
      <c r="D101" t="s">
        <v>324</v>
      </c>
      <c r="E101" t="s">
        <v>1370</v>
      </c>
      <c r="F101" s="134">
        <v>0.73490740740740745</v>
      </c>
      <c r="G101" t="s">
        <v>1373</v>
      </c>
      <c r="H101" t="s">
        <v>1374</v>
      </c>
    </row>
    <row r="102" spans="1:8">
      <c r="A102">
        <v>6143912</v>
      </c>
      <c r="B102" t="s">
        <v>325</v>
      </c>
      <c r="C102" t="s">
        <v>323</v>
      </c>
      <c r="D102" t="s">
        <v>324</v>
      </c>
      <c r="E102" t="s">
        <v>1375</v>
      </c>
      <c r="F102" s="134">
        <v>0.29501157407407408</v>
      </c>
      <c r="G102" t="s">
        <v>1371</v>
      </c>
      <c r="H102" t="s">
        <v>1372</v>
      </c>
    </row>
    <row r="103" spans="1:8">
      <c r="A103">
        <v>6143912</v>
      </c>
      <c r="B103" t="s">
        <v>325</v>
      </c>
      <c r="C103" t="s">
        <v>323</v>
      </c>
      <c r="D103" t="s">
        <v>324</v>
      </c>
      <c r="E103" t="s">
        <v>1375</v>
      </c>
      <c r="F103" s="134">
        <v>0.73555555555555552</v>
      </c>
      <c r="G103" t="s">
        <v>1373</v>
      </c>
      <c r="H103" t="s">
        <v>1374</v>
      </c>
    </row>
    <row r="104" spans="1:8">
      <c r="A104">
        <v>6143912</v>
      </c>
      <c r="B104" t="s">
        <v>325</v>
      </c>
      <c r="C104" t="s">
        <v>323</v>
      </c>
      <c r="D104" t="s">
        <v>324</v>
      </c>
      <c r="E104" t="s">
        <v>1376</v>
      </c>
      <c r="F104" s="134">
        <v>0.29225694444444444</v>
      </c>
      <c r="G104" t="s">
        <v>1371</v>
      </c>
      <c r="H104" t="s">
        <v>1372</v>
      </c>
    </row>
    <row r="105" spans="1:8">
      <c r="A105">
        <v>6143912</v>
      </c>
      <c r="B105" t="s">
        <v>325</v>
      </c>
      <c r="C105" t="s">
        <v>323</v>
      </c>
      <c r="D105" t="s">
        <v>324</v>
      </c>
      <c r="E105" t="s">
        <v>1376</v>
      </c>
      <c r="F105" s="134">
        <v>0.73375000000000001</v>
      </c>
      <c r="G105" t="s">
        <v>1373</v>
      </c>
      <c r="H105" t="s">
        <v>1374</v>
      </c>
    </row>
    <row r="106" spans="1:8">
      <c r="A106">
        <v>6143912</v>
      </c>
      <c r="B106" t="s">
        <v>325</v>
      </c>
      <c r="C106" t="s">
        <v>323</v>
      </c>
      <c r="D106" t="s">
        <v>324</v>
      </c>
      <c r="E106" t="s">
        <v>1377</v>
      </c>
      <c r="F106" s="134">
        <v>0.29548611111111112</v>
      </c>
      <c r="G106" t="s">
        <v>1371</v>
      </c>
      <c r="H106" t="s">
        <v>1372</v>
      </c>
    </row>
    <row r="107" spans="1:8">
      <c r="A107">
        <v>6143912</v>
      </c>
      <c r="B107" t="s">
        <v>325</v>
      </c>
      <c r="C107" t="s">
        <v>323</v>
      </c>
      <c r="D107" t="s">
        <v>324</v>
      </c>
      <c r="E107" t="s">
        <v>1377</v>
      </c>
      <c r="F107" s="134">
        <v>0.7308217592592593</v>
      </c>
      <c r="G107" t="s">
        <v>1373</v>
      </c>
      <c r="H107" t="s">
        <v>1374</v>
      </c>
    </row>
    <row r="108" spans="1:8">
      <c r="A108">
        <v>6143912</v>
      </c>
      <c r="B108" t="s">
        <v>325</v>
      </c>
      <c r="C108" t="s">
        <v>323</v>
      </c>
      <c r="D108" t="s">
        <v>324</v>
      </c>
      <c r="E108" t="s">
        <v>1378</v>
      </c>
      <c r="F108" s="134">
        <v>0.2961111111111111</v>
      </c>
      <c r="G108" t="s">
        <v>1371</v>
      </c>
      <c r="H108" t="s">
        <v>1372</v>
      </c>
    </row>
    <row r="109" spans="1:8">
      <c r="A109">
        <v>6143912</v>
      </c>
      <c r="B109" t="s">
        <v>325</v>
      </c>
      <c r="C109" t="s">
        <v>323</v>
      </c>
      <c r="D109" t="s">
        <v>324</v>
      </c>
      <c r="E109" t="s">
        <v>1378</v>
      </c>
      <c r="F109" s="134">
        <v>0.73503472222222221</v>
      </c>
      <c r="G109" t="s">
        <v>1373</v>
      </c>
      <c r="H109" t="s">
        <v>1374</v>
      </c>
    </row>
    <row r="110" spans="1:8">
      <c r="A110">
        <v>6187914</v>
      </c>
      <c r="B110" t="s">
        <v>422</v>
      </c>
      <c r="C110" t="s">
        <v>142</v>
      </c>
      <c r="D110" t="s">
        <v>416</v>
      </c>
      <c r="E110" t="s">
        <v>1370</v>
      </c>
      <c r="F110" s="134">
        <v>0.9196875000000001</v>
      </c>
      <c r="G110" t="s">
        <v>1371</v>
      </c>
      <c r="H110" t="s">
        <v>1372</v>
      </c>
    </row>
    <row r="111" spans="1:8">
      <c r="A111">
        <v>6187914</v>
      </c>
      <c r="B111" t="s">
        <v>422</v>
      </c>
      <c r="C111" t="s">
        <v>142</v>
      </c>
      <c r="D111" t="s">
        <v>416</v>
      </c>
      <c r="E111" t="s">
        <v>1375</v>
      </c>
      <c r="F111" s="134">
        <v>0.31975694444444441</v>
      </c>
      <c r="G111" t="s">
        <v>1373</v>
      </c>
      <c r="H111" t="s">
        <v>1374</v>
      </c>
    </row>
    <row r="112" spans="1:8">
      <c r="A112">
        <v>6187914</v>
      </c>
      <c r="B112" t="s">
        <v>422</v>
      </c>
      <c r="C112" t="s">
        <v>142</v>
      </c>
      <c r="D112" t="s">
        <v>416</v>
      </c>
      <c r="E112" t="s">
        <v>1375</v>
      </c>
      <c r="F112" s="134">
        <v>0.91876157407407411</v>
      </c>
      <c r="G112" t="s">
        <v>1371</v>
      </c>
      <c r="H112" t="s">
        <v>1372</v>
      </c>
    </row>
    <row r="113" spans="1:8">
      <c r="A113">
        <v>6187914</v>
      </c>
      <c r="B113" t="s">
        <v>422</v>
      </c>
      <c r="C113" t="s">
        <v>142</v>
      </c>
      <c r="D113" t="s">
        <v>416</v>
      </c>
      <c r="E113" t="s">
        <v>1376</v>
      </c>
      <c r="F113" s="134">
        <v>0.32292824074074072</v>
      </c>
      <c r="G113" t="s">
        <v>1373</v>
      </c>
      <c r="H113" t="s">
        <v>1374</v>
      </c>
    </row>
    <row r="114" spans="1:8">
      <c r="A114">
        <v>6187914</v>
      </c>
      <c r="B114" t="s">
        <v>422</v>
      </c>
      <c r="C114" t="s">
        <v>142</v>
      </c>
      <c r="D114" t="s">
        <v>416</v>
      </c>
      <c r="E114" t="s">
        <v>1376</v>
      </c>
      <c r="F114" s="134">
        <v>0.91927083333333337</v>
      </c>
      <c r="G114" t="s">
        <v>1371</v>
      </c>
      <c r="H114" t="s">
        <v>1372</v>
      </c>
    </row>
    <row r="115" spans="1:8">
      <c r="A115">
        <v>6187914</v>
      </c>
      <c r="B115" t="s">
        <v>422</v>
      </c>
      <c r="C115" t="s">
        <v>142</v>
      </c>
      <c r="D115" t="s">
        <v>416</v>
      </c>
      <c r="E115" t="s">
        <v>1377</v>
      </c>
      <c r="F115" s="134">
        <v>0.3225115740740741</v>
      </c>
      <c r="G115" t="s">
        <v>1373</v>
      </c>
      <c r="H115" t="s">
        <v>1374</v>
      </c>
    </row>
    <row r="116" spans="1:8">
      <c r="A116">
        <v>6187914</v>
      </c>
      <c r="B116" t="s">
        <v>422</v>
      </c>
      <c r="C116" t="s">
        <v>142</v>
      </c>
      <c r="D116" t="s">
        <v>416</v>
      </c>
      <c r="E116" t="s">
        <v>1377</v>
      </c>
      <c r="F116" s="134">
        <v>0.9205092592592593</v>
      </c>
      <c r="G116" t="s">
        <v>1371</v>
      </c>
      <c r="H116" t="s">
        <v>1372</v>
      </c>
    </row>
    <row r="117" spans="1:8">
      <c r="A117">
        <v>6187914</v>
      </c>
      <c r="B117" t="s">
        <v>422</v>
      </c>
      <c r="C117" t="s">
        <v>142</v>
      </c>
      <c r="D117" t="s">
        <v>416</v>
      </c>
      <c r="E117" t="s">
        <v>1378</v>
      </c>
      <c r="F117" s="134">
        <v>0.32077546296296294</v>
      </c>
      <c r="G117" t="s">
        <v>1373</v>
      </c>
      <c r="H117" t="s">
        <v>1374</v>
      </c>
    </row>
    <row r="118" spans="1:8">
      <c r="A118">
        <v>6187914</v>
      </c>
      <c r="B118" t="s">
        <v>422</v>
      </c>
      <c r="C118" t="s">
        <v>142</v>
      </c>
      <c r="D118" t="s">
        <v>416</v>
      </c>
      <c r="E118" t="s">
        <v>1378</v>
      </c>
      <c r="F118" s="134">
        <v>0.9197685185185186</v>
      </c>
      <c r="G118" t="s">
        <v>1371</v>
      </c>
      <c r="H118" t="s">
        <v>1372</v>
      </c>
    </row>
    <row r="119" spans="1:8">
      <c r="A119">
        <v>6187914</v>
      </c>
      <c r="B119" t="s">
        <v>422</v>
      </c>
      <c r="C119" t="s">
        <v>142</v>
      </c>
      <c r="D119" t="s">
        <v>416</v>
      </c>
      <c r="E119" t="s">
        <v>1379</v>
      </c>
      <c r="F119" s="134">
        <v>0.32148148148148148</v>
      </c>
      <c r="G119" t="s">
        <v>1373</v>
      </c>
      <c r="H119" t="s">
        <v>1374</v>
      </c>
    </row>
    <row r="120" spans="1:8">
      <c r="A120">
        <v>6326657</v>
      </c>
      <c r="B120" t="s">
        <v>382</v>
      </c>
      <c r="C120" t="s">
        <v>372</v>
      </c>
      <c r="D120" t="s">
        <v>381</v>
      </c>
      <c r="E120" t="s">
        <v>1370</v>
      </c>
      <c r="F120" s="134">
        <v>0.29679398148148145</v>
      </c>
      <c r="G120" t="s">
        <v>1371</v>
      </c>
      <c r="H120" t="s">
        <v>1372</v>
      </c>
    </row>
    <row r="121" spans="1:8">
      <c r="A121">
        <v>6326657</v>
      </c>
      <c r="B121" t="s">
        <v>382</v>
      </c>
      <c r="C121" t="s">
        <v>372</v>
      </c>
      <c r="D121" t="s">
        <v>381</v>
      </c>
      <c r="E121" t="s">
        <v>1370</v>
      </c>
      <c r="F121" s="134">
        <v>0.62386574074074075</v>
      </c>
      <c r="G121" t="s">
        <v>1373</v>
      </c>
      <c r="H121" t="s">
        <v>1374</v>
      </c>
    </row>
    <row r="122" spans="1:8">
      <c r="A122">
        <v>6326657</v>
      </c>
      <c r="B122" t="s">
        <v>382</v>
      </c>
      <c r="C122" t="s">
        <v>372</v>
      </c>
      <c r="D122" t="s">
        <v>381</v>
      </c>
      <c r="E122" t="s">
        <v>1375</v>
      </c>
      <c r="F122" s="134">
        <v>0.29615740740740742</v>
      </c>
      <c r="G122" t="s">
        <v>1371</v>
      </c>
      <c r="H122" t="s">
        <v>1372</v>
      </c>
    </row>
    <row r="123" spans="1:8">
      <c r="A123">
        <v>6326657</v>
      </c>
      <c r="B123" t="s">
        <v>382</v>
      </c>
      <c r="C123" t="s">
        <v>372</v>
      </c>
      <c r="D123" t="s">
        <v>381</v>
      </c>
      <c r="E123" t="s">
        <v>1375</v>
      </c>
      <c r="F123" s="134">
        <v>0.62317129629629631</v>
      </c>
      <c r="G123" t="s">
        <v>1373</v>
      </c>
      <c r="H123" t="s">
        <v>1374</v>
      </c>
    </row>
    <row r="124" spans="1:8">
      <c r="A124">
        <v>6326657</v>
      </c>
      <c r="B124" t="s">
        <v>382</v>
      </c>
      <c r="C124" t="s">
        <v>372</v>
      </c>
      <c r="D124" t="s">
        <v>381</v>
      </c>
      <c r="E124" t="s">
        <v>1376</v>
      </c>
      <c r="F124" s="134">
        <v>0.62370370370370376</v>
      </c>
      <c r="G124" t="s">
        <v>1373</v>
      </c>
      <c r="H124" t="s">
        <v>1374</v>
      </c>
    </row>
    <row r="125" spans="1:8">
      <c r="A125">
        <v>6326657</v>
      </c>
      <c r="B125" t="s">
        <v>382</v>
      </c>
      <c r="C125" t="s">
        <v>372</v>
      </c>
      <c r="D125" t="s">
        <v>381</v>
      </c>
      <c r="E125" t="s">
        <v>1376</v>
      </c>
      <c r="F125" s="134">
        <v>0.29552083333333334</v>
      </c>
      <c r="G125" t="s">
        <v>1371</v>
      </c>
      <c r="H125" t="s">
        <v>1372</v>
      </c>
    </row>
    <row r="126" spans="1:8">
      <c r="A126">
        <v>6326657</v>
      </c>
      <c r="B126" t="s">
        <v>382</v>
      </c>
      <c r="C126" t="s">
        <v>372</v>
      </c>
      <c r="D126" t="s">
        <v>381</v>
      </c>
      <c r="E126" t="s">
        <v>1377</v>
      </c>
      <c r="F126" s="134">
        <v>0.29684027777777777</v>
      </c>
      <c r="G126" t="s">
        <v>1371</v>
      </c>
      <c r="H126" t="s">
        <v>1372</v>
      </c>
    </row>
    <row r="127" spans="1:8">
      <c r="A127">
        <v>6326657</v>
      </c>
      <c r="B127" t="s">
        <v>382</v>
      </c>
      <c r="C127" t="s">
        <v>372</v>
      </c>
      <c r="D127" t="s">
        <v>381</v>
      </c>
      <c r="E127" t="s">
        <v>1377</v>
      </c>
      <c r="F127" s="134">
        <v>0.62438657407407405</v>
      </c>
      <c r="G127" t="s">
        <v>1373</v>
      </c>
      <c r="H127" t="s">
        <v>1374</v>
      </c>
    </row>
    <row r="128" spans="1:8">
      <c r="A128">
        <v>6326657</v>
      </c>
      <c r="B128" t="s">
        <v>382</v>
      </c>
      <c r="C128" t="s">
        <v>372</v>
      </c>
      <c r="D128" t="s">
        <v>381</v>
      </c>
      <c r="E128" t="s">
        <v>1378</v>
      </c>
      <c r="F128" s="134">
        <v>0.29684027777777777</v>
      </c>
      <c r="G128" t="s">
        <v>1371</v>
      </c>
      <c r="H128" t="s">
        <v>1372</v>
      </c>
    </row>
    <row r="129" spans="1:8">
      <c r="A129">
        <v>6326657</v>
      </c>
      <c r="B129" t="s">
        <v>382</v>
      </c>
      <c r="C129" t="s">
        <v>372</v>
      </c>
      <c r="D129" t="s">
        <v>381</v>
      </c>
      <c r="E129" t="s">
        <v>1378</v>
      </c>
      <c r="F129" s="134">
        <v>0.62359953703703697</v>
      </c>
      <c r="G129" t="s">
        <v>1373</v>
      </c>
      <c r="H129" t="s">
        <v>1374</v>
      </c>
    </row>
    <row r="130" spans="1:8">
      <c r="A130">
        <v>6326657</v>
      </c>
      <c r="B130" t="s">
        <v>382</v>
      </c>
      <c r="C130" t="s">
        <v>372</v>
      </c>
      <c r="D130" t="s">
        <v>381</v>
      </c>
      <c r="E130" t="s">
        <v>1379</v>
      </c>
      <c r="F130" s="134">
        <v>0.29670138888888892</v>
      </c>
      <c r="G130" t="s">
        <v>1371</v>
      </c>
      <c r="H130" t="s">
        <v>1372</v>
      </c>
    </row>
    <row r="131" spans="1:8">
      <c r="A131">
        <v>6326657</v>
      </c>
      <c r="B131" t="s">
        <v>382</v>
      </c>
      <c r="C131" t="s">
        <v>372</v>
      </c>
      <c r="D131" t="s">
        <v>381</v>
      </c>
      <c r="E131" t="s">
        <v>1379</v>
      </c>
      <c r="F131" s="134">
        <v>0.62402777777777774</v>
      </c>
      <c r="G131" t="s">
        <v>1373</v>
      </c>
      <c r="H131" t="s">
        <v>1374</v>
      </c>
    </row>
    <row r="132" spans="1:8">
      <c r="A132">
        <v>6434911</v>
      </c>
      <c r="B132" t="s">
        <v>1380</v>
      </c>
      <c r="C132" t="s">
        <v>42</v>
      </c>
      <c r="D132" t="s">
        <v>43</v>
      </c>
      <c r="E132" t="s">
        <v>1370</v>
      </c>
      <c r="F132" s="134">
        <v>0.60792824074074081</v>
      </c>
      <c r="G132" t="s">
        <v>1371</v>
      </c>
      <c r="H132" t="s">
        <v>1372</v>
      </c>
    </row>
    <row r="133" spans="1:8">
      <c r="A133">
        <v>6434911</v>
      </c>
      <c r="B133" t="s">
        <v>1380</v>
      </c>
      <c r="C133" t="s">
        <v>42</v>
      </c>
      <c r="D133" t="s">
        <v>43</v>
      </c>
      <c r="E133" t="s">
        <v>1370</v>
      </c>
      <c r="F133" s="134">
        <v>0.94090277777777775</v>
      </c>
      <c r="G133" t="s">
        <v>1373</v>
      </c>
      <c r="H133" t="s">
        <v>1374</v>
      </c>
    </row>
    <row r="134" spans="1:8">
      <c r="A134">
        <v>6434911</v>
      </c>
      <c r="B134" t="s">
        <v>1380</v>
      </c>
      <c r="C134" t="s">
        <v>42</v>
      </c>
      <c r="D134" t="s">
        <v>43</v>
      </c>
      <c r="E134" t="s">
        <v>1375</v>
      </c>
      <c r="F134" s="134">
        <v>0.61050925925925925</v>
      </c>
      <c r="G134" t="s">
        <v>1371</v>
      </c>
      <c r="H134" t="s">
        <v>1372</v>
      </c>
    </row>
    <row r="135" spans="1:8">
      <c r="A135">
        <v>6434911</v>
      </c>
      <c r="B135" t="s">
        <v>1380</v>
      </c>
      <c r="C135" t="s">
        <v>42</v>
      </c>
      <c r="D135" t="s">
        <v>43</v>
      </c>
      <c r="E135" t="s">
        <v>1375</v>
      </c>
      <c r="F135" s="134">
        <v>0.94640046296296287</v>
      </c>
      <c r="G135" t="s">
        <v>1373</v>
      </c>
      <c r="H135" t="s">
        <v>1374</v>
      </c>
    </row>
    <row r="136" spans="1:8">
      <c r="A136">
        <v>6434911</v>
      </c>
      <c r="B136" t="s">
        <v>1380</v>
      </c>
      <c r="C136" t="s">
        <v>42</v>
      </c>
      <c r="D136" t="s">
        <v>43</v>
      </c>
      <c r="E136" t="s">
        <v>1376</v>
      </c>
      <c r="F136" s="134">
        <v>0.94193287037037043</v>
      </c>
      <c r="G136" t="s">
        <v>1373</v>
      </c>
      <c r="H136" t="s">
        <v>1374</v>
      </c>
    </row>
    <row r="137" spans="1:8">
      <c r="A137">
        <v>6434911</v>
      </c>
      <c r="B137" t="s">
        <v>1380</v>
      </c>
      <c r="C137" t="s">
        <v>42</v>
      </c>
      <c r="D137" t="s">
        <v>43</v>
      </c>
      <c r="E137" t="s">
        <v>1376</v>
      </c>
      <c r="F137" s="134">
        <v>0.60678240740740741</v>
      </c>
      <c r="G137" t="s">
        <v>1371</v>
      </c>
      <c r="H137" t="s">
        <v>1372</v>
      </c>
    </row>
    <row r="138" spans="1:8">
      <c r="A138">
        <v>6434911</v>
      </c>
      <c r="B138" t="s">
        <v>1380</v>
      </c>
      <c r="C138" t="s">
        <v>42</v>
      </c>
      <c r="D138" t="s">
        <v>43</v>
      </c>
      <c r="E138" t="s">
        <v>1377</v>
      </c>
      <c r="F138" s="134">
        <v>0.60792824074074081</v>
      </c>
      <c r="G138" t="s">
        <v>1371</v>
      </c>
      <c r="H138" t="s">
        <v>1372</v>
      </c>
    </row>
    <row r="139" spans="1:8">
      <c r="A139">
        <v>6434911</v>
      </c>
      <c r="B139" t="s">
        <v>1380</v>
      </c>
      <c r="C139" t="s">
        <v>42</v>
      </c>
      <c r="D139" t="s">
        <v>43</v>
      </c>
      <c r="E139" t="s">
        <v>1377</v>
      </c>
      <c r="F139" s="134">
        <v>0.94915509259259256</v>
      </c>
      <c r="G139" t="s">
        <v>1373</v>
      </c>
      <c r="H139" t="s">
        <v>1374</v>
      </c>
    </row>
    <row r="140" spans="1:8">
      <c r="A140">
        <v>6434911</v>
      </c>
      <c r="B140" t="s">
        <v>1380</v>
      </c>
      <c r="C140" t="s">
        <v>42</v>
      </c>
      <c r="D140" t="s">
        <v>43</v>
      </c>
      <c r="E140" t="s">
        <v>1378</v>
      </c>
      <c r="F140" s="134">
        <v>0.60833333333333328</v>
      </c>
      <c r="G140" t="s">
        <v>1371</v>
      </c>
      <c r="H140" t="s">
        <v>1372</v>
      </c>
    </row>
    <row r="141" spans="1:8">
      <c r="A141">
        <v>6434911</v>
      </c>
      <c r="B141" t="s">
        <v>1380</v>
      </c>
      <c r="C141" t="s">
        <v>42</v>
      </c>
      <c r="D141" t="s">
        <v>43</v>
      </c>
      <c r="E141" t="s">
        <v>1378</v>
      </c>
      <c r="F141" s="134">
        <v>0.94644675925925925</v>
      </c>
      <c r="G141" t="s">
        <v>1373</v>
      </c>
      <c r="H141" t="s">
        <v>1374</v>
      </c>
    </row>
    <row r="142" spans="1:8">
      <c r="A142">
        <v>6434911</v>
      </c>
      <c r="B142" t="s">
        <v>1380</v>
      </c>
      <c r="C142" t="s">
        <v>42</v>
      </c>
      <c r="D142" t="s">
        <v>43</v>
      </c>
      <c r="E142" t="s">
        <v>1379</v>
      </c>
      <c r="F142" s="134">
        <v>0.29125000000000001</v>
      </c>
      <c r="G142" t="s">
        <v>1371</v>
      </c>
      <c r="H142" t="s">
        <v>1372</v>
      </c>
    </row>
    <row r="143" spans="1:8">
      <c r="A143">
        <v>6434911</v>
      </c>
      <c r="B143" t="s">
        <v>1380</v>
      </c>
      <c r="C143" t="s">
        <v>42</v>
      </c>
      <c r="D143" t="s">
        <v>43</v>
      </c>
      <c r="E143" t="s">
        <v>1379</v>
      </c>
      <c r="F143" s="134">
        <v>0.62581018518518516</v>
      </c>
      <c r="G143" t="s">
        <v>1373</v>
      </c>
      <c r="H143" t="s">
        <v>1374</v>
      </c>
    </row>
    <row r="144" spans="1:8">
      <c r="A144">
        <v>6467952</v>
      </c>
      <c r="B144" t="s">
        <v>1059</v>
      </c>
      <c r="C144" t="s">
        <v>1050</v>
      </c>
      <c r="D144" t="s">
        <v>747</v>
      </c>
      <c r="E144" t="s">
        <v>1370</v>
      </c>
      <c r="F144" s="134">
        <v>0.60896990740740742</v>
      </c>
      <c r="G144" t="s">
        <v>1371</v>
      </c>
      <c r="H144" t="s">
        <v>1372</v>
      </c>
    </row>
    <row r="145" spans="1:8">
      <c r="A145">
        <v>6467952</v>
      </c>
      <c r="B145" t="s">
        <v>1059</v>
      </c>
      <c r="C145" t="s">
        <v>1050</v>
      </c>
      <c r="D145" t="s">
        <v>747</v>
      </c>
      <c r="E145" t="s">
        <v>1370</v>
      </c>
      <c r="F145" s="134">
        <v>0.94773148148148145</v>
      </c>
      <c r="G145" t="s">
        <v>1373</v>
      </c>
      <c r="H145" t="s">
        <v>1374</v>
      </c>
    </row>
    <row r="146" spans="1:8">
      <c r="A146">
        <v>6467952</v>
      </c>
      <c r="B146" t="s">
        <v>1059</v>
      </c>
      <c r="C146" t="s">
        <v>1050</v>
      </c>
      <c r="D146" t="s">
        <v>747</v>
      </c>
      <c r="E146" t="s">
        <v>1375</v>
      </c>
      <c r="F146" s="134">
        <v>0.6118865740740741</v>
      </c>
      <c r="G146" t="s">
        <v>1371</v>
      </c>
      <c r="H146" t="s">
        <v>1372</v>
      </c>
    </row>
    <row r="147" spans="1:8">
      <c r="A147">
        <v>6467952</v>
      </c>
      <c r="B147" t="s">
        <v>1059</v>
      </c>
      <c r="C147" t="s">
        <v>1050</v>
      </c>
      <c r="D147" t="s">
        <v>747</v>
      </c>
      <c r="E147" t="s">
        <v>1375</v>
      </c>
      <c r="F147" s="134">
        <v>0.94760416666666669</v>
      </c>
      <c r="G147" t="s">
        <v>1373</v>
      </c>
      <c r="H147" t="s">
        <v>1374</v>
      </c>
    </row>
    <row r="148" spans="1:8">
      <c r="A148">
        <v>6467952</v>
      </c>
      <c r="B148" t="s">
        <v>1059</v>
      </c>
      <c r="C148" t="s">
        <v>1050</v>
      </c>
      <c r="D148" t="s">
        <v>747</v>
      </c>
      <c r="E148" t="s">
        <v>1376</v>
      </c>
      <c r="F148" s="134">
        <v>0.94811342592592596</v>
      </c>
      <c r="G148" t="s">
        <v>1373</v>
      </c>
      <c r="H148" t="s">
        <v>1374</v>
      </c>
    </row>
    <row r="149" spans="1:8">
      <c r="A149">
        <v>6467952</v>
      </c>
      <c r="B149" t="s">
        <v>1059</v>
      </c>
      <c r="C149" t="s">
        <v>1050</v>
      </c>
      <c r="D149" t="s">
        <v>747</v>
      </c>
      <c r="E149" t="s">
        <v>1376</v>
      </c>
      <c r="F149" s="134">
        <v>0.6080902777777778</v>
      </c>
      <c r="G149" t="s">
        <v>1371</v>
      </c>
      <c r="H149" t="s">
        <v>1372</v>
      </c>
    </row>
    <row r="150" spans="1:8">
      <c r="A150">
        <v>6467952</v>
      </c>
      <c r="B150" t="s">
        <v>1059</v>
      </c>
      <c r="C150" t="s">
        <v>1050</v>
      </c>
      <c r="D150" t="s">
        <v>747</v>
      </c>
      <c r="E150" t="s">
        <v>1377</v>
      </c>
      <c r="F150" s="134">
        <v>0.60763888888888895</v>
      </c>
      <c r="G150" t="s">
        <v>1371</v>
      </c>
      <c r="H150" t="s">
        <v>1372</v>
      </c>
    </row>
    <row r="151" spans="1:8">
      <c r="A151">
        <v>6467952</v>
      </c>
      <c r="B151" t="s">
        <v>1059</v>
      </c>
      <c r="C151" t="s">
        <v>1050</v>
      </c>
      <c r="D151" t="s">
        <v>747</v>
      </c>
      <c r="E151" t="s">
        <v>1377</v>
      </c>
      <c r="F151" s="134">
        <v>0.94944444444444442</v>
      </c>
      <c r="G151" t="s">
        <v>1373</v>
      </c>
      <c r="H151" t="s">
        <v>1374</v>
      </c>
    </row>
    <row r="152" spans="1:8">
      <c r="A152">
        <v>6467952</v>
      </c>
      <c r="B152" t="s">
        <v>1059</v>
      </c>
      <c r="C152" t="s">
        <v>1050</v>
      </c>
      <c r="D152" t="s">
        <v>747</v>
      </c>
      <c r="E152" t="s">
        <v>1378</v>
      </c>
      <c r="F152" s="134">
        <v>0.60802083333333334</v>
      </c>
      <c r="G152" t="s">
        <v>1371</v>
      </c>
      <c r="H152" t="s">
        <v>1372</v>
      </c>
    </row>
    <row r="153" spans="1:8">
      <c r="A153">
        <v>6467952</v>
      </c>
      <c r="B153" t="s">
        <v>1059</v>
      </c>
      <c r="C153" t="s">
        <v>1050</v>
      </c>
      <c r="D153" t="s">
        <v>747</v>
      </c>
      <c r="E153" t="s">
        <v>1378</v>
      </c>
      <c r="F153" s="134">
        <v>0.94959490740740737</v>
      </c>
      <c r="G153" t="s">
        <v>1373</v>
      </c>
      <c r="H153" t="s">
        <v>1374</v>
      </c>
    </row>
    <row r="154" spans="1:8">
      <c r="A154">
        <v>6467952</v>
      </c>
      <c r="B154" t="s">
        <v>1059</v>
      </c>
      <c r="C154" t="s">
        <v>1050</v>
      </c>
      <c r="D154" t="s">
        <v>747</v>
      </c>
      <c r="E154" t="s">
        <v>1379</v>
      </c>
      <c r="F154" s="134">
        <v>0.61100694444444448</v>
      </c>
      <c r="G154" t="s">
        <v>1371</v>
      </c>
      <c r="H154" t="s">
        <v>1372</v>
      </c>
    </row>
    <row r="155" spans="1:8">
      <c r="A155">
        <v>6467952</v>
      </c>
      <c r="B155" t="s">
        <v>1059</v>
      </c>
      <c r="C155" t="s">
        <v>1050</v>
      </c>
      <c r="D155" t="s">
        <v>747</v>
      </c>
      <c r="E155" t="s">
        <v>1379</v>
      </c>
      <c r="F155" s="134">
        <v>0.94156249999999997</v>
      </c>
      <c r="G155" t="s">
        <v>1373</v>
      </c>
      <c r="H155" t="s">
        <v>1374</v>
      </c>
    </row>
    <row r="156" spans="1:8">
      <c r="A156">
        <v>6528911</v>
      </c>
      <c r="B156" t="s">
        <v>285</v>
      </c>
      <c r="C156" t="s">
        <v>836</v>
      </c>
      <c r="D156" t="s">
        <v>51</v>
      </c>
      <c r="E156" t="s">
        <v>1370</v>
      </c>
      <c r="F156" s="134">
        <v>0.29252314814814812</v>
      </c>
      <c r="G156" t="s">
        <v>1371</v>
      </c>
      <c r="H156" t="s">
        <v>1372</v>
      </c>
    </row>
    <row r="157" spans="1:8">
      <c r="A157">
        <v>6528911</v>
      </c>
      <c r="B157" t="s">
        <v>285</v>
      </c>
      <c r="C157" t="s">
        <v>836</v>
      </c>
      <c r="D157" t="s">
        <v>51</v>
      </c>
      <c r="E157" t="s">
        <v>1370</v>
      </c>
      <c r="F157" s="134">
        <v>0.62908564814814816</v>
      </c>
      <c r="G157" t="s">
        <v>1373</v>
      </c>
      <c r="H157" t="s">
        <v>1374</v>
      </c>
    </row>
    <row r="158" spans="1:8">
      <c r="A158">
        <v>6528911</v>
      </c>
      <c r="B158" t="s">
        <v>285</v>
      </c>
      <c r="C158" t="s">
        <v>836</v>
      </c>
      <c r="D158" t="s">
        <v>51</v>
      </c>
      <c r="E158" t="s">
        <v>1375</v>
      </c>
      <c r="F158" s="134">
        <v>0.29170138888888891</v>
      </c>
      <c r="G158" t="s">
        <v>1371</v>
      </c>
      <c r="H158" t="s">
        <v>1372</v>
      </c>
    </row>
    <row r="159" spans="1:8">
      <c r="A159">
        <v>6528911</v>
      </c>
      <c r="B159" t="s">
        <v>285</v>
      </c>
      <c r="C159" t="s">
        <v>836</v>
      </c>
      <c r="D159" t="s">
        <v>51</v>
      </c>
      <c r="E159" t="s">
        <v>1375</v>
      </c>
      <c r="F159" s="134">
        <v>0.62811342592592589</v>
      </c>
      <c r="G159" t="s">
        <v>1373</v>
      </c>
      <c r="H159" t="s">
        <v>1374</v>
      </c>
    </row>
    <row r="160" spans="1:8">
      <c r="A160">
        <v>6528911</v>
      </c>
      <c r="B160" t="s">
        <v>285</v>
      </c>
      <c r="C160" t="s">
        <v>836</v>
      </c>
      <c r="D160" t="s">
        <v>51</v>
      </c>
      <c r="E160" t="s">
        <v>1376</v>
      </c>
      <c r="F160" s="134">
        <v>0.63056712962962969</v>
      </c>
      <c r="G160" t="s">
        <v>1373</v>
      </c>
      <c r="H160" t="s">
        <v>1374</v>
      </c>
    </row>
    <row r="161" spans="1:8">
      <c r="A161">
        <v>6528911</v>
      </c>
      <c r="B161" t="s">
        <v>285</v>
      </c>
      <c r="C161" t="s">
        <v>836</v>
      </c>
      <c r="D161" t="s">
        <v>51</v>
      </c>
      <c r="E161" t="s">
        <v>1376</v>
      </c>
      <c r="F161" s="134">
        <v>0.29230324074074071</v>
      </c>
      <c r="G161" t="s">
        <v>1371</v>
      </c>
      <c r="H161" t="s">
        <v>1372</v>
      </c>
    </row>
    <row r="162" spans="1:8">
      <c r="A162">
        <v>6528911</v>
      </c>
      <c r="B162" t="s">
        <v>285</v>
      </c>
      <c r="C162" t="s">
        <v>836</v>
      </c>
      <c r="D162" t="s">
        <v>51</v>
      </c>
      <c r="E162" t="s">
        <v>1377</v>
      </c>
      <c r="F162" s="134">
        <v>0.29354166666666665</v>
      </c>
      <c r="G162" t="s">
        <v>1371</v>
      </c>
      <c r="H162" t="s">
        <v>1372</v>
      </c>
    </row>
    <row r="163" spans="1:8">
      <c r="A163">
        <v>6528911</v>
      </c>
      <c r="B163" t="s">
        <v>285</v>
      </c>
      <c r="C163" t="s">
        <v>836</v>
      </c>
      <c r="D163" t="s">
        <v>51</v>
      </c>
      <c r="E163" t="s">
        <v>1377</v>
      </c>
      <c r="F163" s="134">
        <v>0.63799768518518518</v>
      </c>
      <c r="G163" t="s">
        <v>1373</v>
      </c>
      <c r="H163" t="s">
        <v>1374</v>
      </c>
    </row>
    <row r="164" spans="1:8">
      <c r="A164">
        <v>6528911</v>
      </c>
      <c r="B164" t="s">
        <v>285</v>
      </c>
      <c r="C164" t="s">
        <v>836</v>
      </c>
      <c r="D164" t="s">
        <v>51</v>
      </c>
      <c r="E164" t="s">
        <v>1378</v>
      </c>
      <c r="F164" s="134">
        <v>0.2928587962962963</v>
      </c>
      <c r="G164" t="s">
        <v>1371</v>
      </c>
      <c r="H164" t="s">
        <v>1372</v>
      </c>
    </row>
    <row r="165" spans="1:8">
      <c r="A165">
        <v>6528911</v>
      </c>
      <c r="B165" t="s">
        <v>285</v>
      </c>
      <c r="C165" t="s">
        <v>836</v>
      </c>
      <c r="D165" t="s">
        <v>51</v>
      </c>
      <c r="E165" t="s">
        <v>1378</v>
      </c>
      <c r="F165" s="134">
        <v>0.63337962962962957</v>
      </c>
      <c r="G165" t="s">
        <v>1373</v>
      </c>
      <c r="H165" t="s">
        <v>1374</v>
      </c>
    </row>
    <row r="166" spans="1:8">
      <c r="A166">
        <v>6528911</v>
      </c>
      <c r="B166" t="s">
        <v>285</v>
      </c>
      <c r="C166" t="s">
        <v>836</v>
      </c>
      <c r="D166" t="s">
        <v>51</v>
      </c>
      <c r="E166" t="s">
        <v>1379</v>
      </c>
      <c r="F166" s="134">
        <v>0.29327546296296297</v>
      </c>
      <c r="G166" t="s">
        <v>1371</v>
      </c>
      <c r="H166" t="s">
        <v>1372</v>
      </c>
    </row>
    <row r="167" spans="1:8">
      <c r="A167">
        <v>6528911</v>
      </c>
      <c r="B167" t="s">
        <v>285</v>
      </c>
      <c r="C167" t="s">
        <v>836</v>
      </c>
      <c r="D167" t="s">
        <v>51</v>
      </c>
      <c r="E167" t="s">
        <v>1379</v>
      </c>
      <c r="F167" s="134">
        <v>0.62883101851851853</v>
      </c>
      <c r="G167" t="s">
        <v>1373</v>
      </c>
      <c r="H167" t="s">
        <v>1374</v>
      </c>
    </row>
    <row r="168" spans="1:8">
      <c r="A168">
        <v>6646724</v>
      </c>
      <c r="B168" t="s">
        <v>207</v>
      </c>
      <c r="C168" t="s">
        <v>153</v>
      </c>
      <c r="D168" t="s">
        <v>800</v>
      </c>
      <c r="E168" t="s">
        <v>1370</v>
      </c>
      <c r="F168" s="134">
        <v>0.61575231481481485</v>
      </c>
      <c r="G168" t="s">
        <v>1371</v>
      </c>
      <c r="H168" t="s">
        <v>1372</v>
      </c>
    </row>
    <row r="169" spans="1:8">
      <c r="A169">
        <v>6646724</v>
      </c>
      <c r="B169" t="s">
        <v>207</v>
      </c>
      <c r="C169" t="s">
        <v>153</v>
      </c>
      <c r="D169" t="s">
        <v>800</v>
      </c>
      <c r="E169" t="s">
        <v>1370</v>
      </c>
      <c r="F169" s="134">
        <v>0.94113425925925931</v>
      </c>
      <c r="G169" t="s">
        <v>1373</v>
      </c>
      <c r="H169" t="s">
        <v>1374</v>
      </c>
    </row>
    <row r="170" spans="1:8">
      <c r="A170">
        <v>6646724</v>
      </c>
      <c r="B170" t="s">
        <v>207</v>
      </c>
      <c r="C170" t="s">
        <v>153</v>
      </c>
      <c r="D170" t="s">
        <v>800</v>
      </c>
      <c r="E170" t="s">
        <v>1375</v>
      </c>
      <c r="F170" s="134">
        <v>0.6146759259259259</v>
      </c>
      <c r="G170" t="s">
        <v>1371</v>
      </c>
      <c r="H170" t="s">
        <v>1372</v>
      </c>
    </row>
    <row r="171" spans="1:8">
      <c r="A171">
        <v>6646724</v>
      </c>
      <c r="B171" t="s">
        <v>207</v>
      </c>
      <c r="C171" t="s">
        <v>153</v>
      </c>
      <c r="D171" t="s">
        <v>800</v>
      </c>
      <c r="E171" t="s">
        <v>1375</v>
      </c>
      <c r="F171" s="134">
        <v>0.94488425925925934</v>
      </c>
      <c r="G171" t="s">
        <v>1373</v>
      </c>
      <c r="H171" t="s">
        <v>1374</v>
      </c>
    </row>
    <row r="172" spans="1:8">
      <c r="A172">
        <v>6646724</v>
      </c>
      <c r="B172" t="s">
        <v>207</v>
      </c>
      <c r="C172" t="s">
        <v>153</v>
      </c>
      <c r="D172" t="s">
        <v>800</v>
      </c>
      <c r="E172" t="s">
        <v>1376</v>
      </c>
      <c r="F172" s="134">
        <v>0.94489583333333327</v>
      </c>
      <c r="G172" t="s">
        <v>1373</v>
      </c>
      <c r="H172" t="s">
        <v>1374</v>
      </c>
    </row>
    <row r="173" spans="1:8">
      <c r="A173">
        <v>6646724</v>
      </c>
      <c r="B173" t="s">
        <v>207</v>
      </c>
      <c r="C173" t="s">
        <v>153</v>
      </c>
      <c r="D173" t="s">
        <v>800</v>
      </c>
      <c r="E173" t="s">
        <v>1376</v>
      </c>
      <c r="F173" s="134">
        <v>0.61469907407407409</v>
      </c>
      <c r="G173" t="s">
        <v>1371</v>
      </c>
      <c r="H173" t="s">
        <v>1372</v>
      </c>
    </row>
    <row r="174" spans="1:8">
      <c r="A174">
        <v>6646724</v>
      </c>
      <c r="B174" t="s">
        <v>207</v>
      </c>
      <c r="C174" t="s">
        <v>153</v>
      </c>
      <c r="D174" t="s">
        <v>800</v>
      </c>
      <c r="E174" t="s">
        <v>1377</v>
      </c>
      <c r="F174" s="134">
        <v>0.61552083333333341</v>
      </c>
      <c r="G174" t="s">
        <v>1371</v>
      </c>
      <c r="H174" t="s">
        <v>1372</v>
      </c>
    </row>
    <row r="175" spans="1:8">
      <c r="A175">
        <v>6646724</v>
      </c>
      <c r="B175" t="s">
        <v>207</v>
      </c>
      <c r="C175" t="s">
        <v>153</v>
      </c>
      <c r="D175" t="s">
        <v>800</v>
      </c>
      <c r="E175" t="s">
        <v>1377</v>
      </c>
      <c r="F175" s="134">
        <v>0.94055555555555559</v>
      </c>
      <c r="G175" t="s">
        <v>1373</v>
      </c>
      <c r="H175" t="s">
        <v>1374</v>
      </c>
    </row>
    <row r="176" spans="1:8">
      <c r="A176">
        <v>6646724</v>
      </c>
      <c r="B176" t="s">
        <v>207</v>
      </c>
      <c r="C176" t="s">
        <v>153</v>
      </c>
      <c r="D176" t="s">
        <v>800</v>
      </c>
      <c r="E176" t="s">
        <v>1378</v>
      </c>
      <c r="F176" s="134">
        <v>0.61682870370370368</v>
      </c>
      <c r="G176" t="s">
        <v>1371</v>
      </c>
      <c r="H176" t="s">
        <v>1372</v>
      </c>
    </row>
    <row r="177" spans="1:8">
      <c r="A177">
        <v>6646724</v>
      </c>
      <c r="B177" t="s">
        <v>207</v>
      </c>
      <c r="C177" t="s">
        <v>153</v>
      </c>
      <c r="D177" t="s">
        <v>800</v>
      </c>
      <c r="E177" t="s">
        <v>1378</v>
      </c>
      <c r="F177" s="134">
        <v>0.94263888888888892</v>
      </c>
      <c r="G177" t="s">
        <v>1373</v>
      </c>
      <c r="H177" t="s">
        <v>1374</v>
      </c>
    </row>
    <row r="178" spans="1:8">
      <c r="A178">
        <v>6646724</v>
      </c>
      <c r="B178" t="s">
        <v>207</v>
      </c>
      <c r="C178" t="s">
        <v>153</v>
      </c>
      <c r="D178" t="s">
        <v>800</v>
      </c>
      <c r="E178" t="s">
        <v>1379</v>
      </c>
      <c r="F178" s="134">
        <v>0.61648148148148152</v>
      </c>
      <c r="G178" t="s">
        <v>1371</v>
      </c>
      <c r="H178" t="s">
        <v>1372</v>
      </c>
    </row>
    <row r="179" spans="1:8">
      <c r="A179">
        <v>6646724</v>
      </c>
      <c r="B179" t="s">
        <v>207</v>
      </c>
      <c r="C179" t="s">
        <v>153</v>
      </c>
      <c r="D179" t="s">
        <v>800</v>
      </c>
      <c r="E179" t="s">
        <v>1379</v>
      </c>
      <c r="F179" s="134">
        <v>0.93741898148148151</v>
      </c>
      <c r="G179" t="s">
        <v>1373</v>
      </c>
      <c r="H179" t="s">
        <v>1374</v>
      </c>
    </row>
    <row r="180" spans="1:8">
      <c r="A180">
        <v>6933508</v>
      </c>
      <c r="B180" t="s">
        <v>207</v>
      </c>
      <c r="C180" t="s">
        <v>205</v>
      </c>
      <c r="D180" t="s">
        <v>206</v>
      </c>
      <c r="E180" t="s">
        <v>1370</v>
      </c>
      <c r="F180" s="134">
        <v>0.29181712962962963</v>
      </c>
      <c r="G180" t="s">
        <v>1371</v>
      </c>
      <c r="H180" t="s">
        <v>1372</v>
      </c>
    </row>
    <row r="181" spans="1:8">
      <c r="A181">
        <v>6933508</v>
      </c>
      <c r="B181" t="s">
        <v>207</v>
      </c>
      <c r="C181" t="s">
        <v>205</v>
      </c>
      <c r="D181" t="s">
        <v>206</v>
      </c>
      <c r="E181" t="s">
        <v>1370</v>
      </c>
      <c r="F181" s="134">
        <v>0.62782407407407403</v>
      </c>
      <c r="G181" t="s">
        <v>1373</v>
      </c>
      <c r="H181" t="s">
        <v>1374</v>
      </c>
    </row>
    <row r="182" spans="1:8">
      <c r="A182">
        <v>6933508</v>
      </c>
      <c r="B182" t="s">
        <v>207</v>
      </c>
      <c r="C182" t="s">
        <v>205</v>
      </c>
      <c r="D182" t="s">
        <v>206</v>
      </c>
      <c r="E182" t="s">
        <v>1375</v>
      </c>
      <c r="F182" s="134">
        <v>0.29200231481481481</v>
      </c>
      <c r="G182" t="s">
        <v>1371</v>
      </c>
      <c r="H182" t="s">
        <v>1372</v>
      </c>
    </row>
    <row r="183" spans="1:8">
      <c r="A183">
        <v>6933508</v>
      </c>
      <c r="B183" t="s">
        <v>207</v>
      </c>
      <c r="C183" t="s">
        <v>205</v>
      </c>
      <c r="D183" t="s">
        <v>206</v>
      </c>
      <c r="E183" t="s">
        <v>1375</v>
      </c>
      <c r="F183" s="134">
        <v>0.62384259259259256</v>
      </c>
      <c r="G183" t="s">
        <v>1373</v>
      </c>
      <c r="H183" t="s">
        <v>1374</v>
      </c>
    </row>
    <row r="184" spans="1:8">
      <c r="A184">
        <v>6933508</v>
      </c>
      <c r="B184" t="s">
        <v>207</v>
      </c>
      <c r="C184" t="s">
        <v>205</v>
      </c>
      <c r="D184" t="s">
        <v>206</v>
      </c>
      <c r="E184" t="s">
        <v>1376</v>
      </c>
      <c r="F184" s="134">
        <v>0.62364583333333334</v>
      </c>
      <c r="G184" t="s">
        <v>1373</v>
      </c>
      <c r="H184" t="s">
        <v>1374</v>
      </c>
    </row>
    <row r="185" spans="1:8">
      <c r="A185">
        <v>6933508</v>
      </c>
      <c r="B185" t="s">
        <v>207</v>
      </c>
      <c r="C185" t="s">
        <v>205</v>
      </c>
      <c r="D185" t="s">
        <v>206</v>
      </c>
      <c r="E185" t="s">
        <v>1376</v>
      </c>
      <c r="F185" s="134">
        <v>0.29281249999999998</v>
      </c>
      <c r="G185" t="s">
        <v>1371</v>
      </c>
      <c r="H185" t="s">
        <v>1372</v>
      </c>
    </row>
    <row r="186" spans="1:8">
      <c r="A186">
        <v>6933508</v>
      </c>
      <c r="B186" t="s">
        <v>207</v>
      </c>
      <c r="C186" t="s">
        <v>205</v>
      </c>
      <c r="D186" t="s">
        <v>206</v>
      </c>
      <c r="E186" t="s">
        <v>1377</v>
      </c>
      <c r="F186" s="134">
        <v>0.29130787037037037</v>
      </c>
      <c r="G186" t="s">
        <v>1371</v>
      </c>
      <c r="H186" t="s">
        <v>1372</v>
      </c>
    </row>
    <row r="187" spans="1:8">
      <c r="A187">
        <v>6933508</v>
      </c>
      <c r="B187" t="s">
        <v>207</v>
      </c>
      <c r="C187" t="s">
        <v>205</v>
      </c>
      <c r="D187" t="s">
        <v>206</v>
      </c>
      <c r="E187" t="s">
        <v>1377</v>
      </c>
      <c r="F187" s="134">
        <v>0.62434027777777779</v>
      </c>
      <c r="G187" t="s">
        <v>1373</v>
      </c>
      <c r="H187" t="s">
        <v>1374</v>
      </c>
    </row>
    <row r="188" spans="1:8">
      <c r="A188">
        <v>6933508</v>
      </c>
      <c r="B188" t="s">
        <v>207</v>
      </c>
      <c r="C188" t="s">
        <v>205</v>
      </c>
      <c r="D188" t="s">
        <v>206</v>
      </c>
      <c r="E188" t="s">
        <v>1378</v>
      </c>
      <c r="F188" s="134">
        <v>0.29517361111111112</v>
      </c>
      <c r="G188" t="s">
        <v>1371</v>
      </c>
      <c r="H188" t="s">
        <v>1372</v>
      </c>
    </row>
    <row r="189" spans="1:8">
      <c r="A189">
        <v>6933508</v>
      </c>
      <c r="B189" t="s">
        <v>207</v>
      </c>
      <c r="C189" t="s">
        <v>205</v>
      </c>
      <c r="D189" t="s">
        <v>206</v>
      </c>
      <c r="E189" t="s">
        <v>1378</v>
      </c>
      <c r="F189" s="134">
        <v>0.62434027777777779</v>
      </c>
      <c r="G189" t="s">
        <v>1371</v>
      </c>
      <c r="H189" t="s">
        <v>1372</v>
      </c>
    </row>
    <row r="190" spans="1:8">
      <c r="A190">
        <v>6933508</v>
      </c>
      <c r="B190" t="s">
        <v>207</v>
      </c>
      <c r="C190" t="s">
        <v>205</v>
      </c>
      <c r="D190" t="s">
        <v>206</v>
      </c>
      <c r="E190" t="s">
        <v>1379</v>
      </c>
      <c r="F190" s="134">
        <v>0.2911111111111111</v>
      </c>
      <c r="G190" t="s">
        <v>1371</v>
      </c>
      <c r="H190" t="s">
        <v>1372</v>
      </c>
    </row>
    <row r="191" spans="1:8">
      <c r="A191">
        <v>6933508</v>
      </c>
      <c r="B191" t="s">
        <v>207</v>
      </c>
      <c r="C191" t="s">
        <v>205</v>
      </c>
      <c r="D191" t="s">
        <v>206</v>
      </c>
      <c r="E191" t="s">
        <v>1379</v>
      </c>
      <c r="F191" s="134">
        <v>0.62512731481481476</v>
      </c>
      <c r="G191" t="s">
        <v>1373</v>
      </c>
      <c r="H191" t="s">
        <v>1374</v>
      </c>
    </row>
    <row r="192" spans="1:8">
      <c r="A192">
        <v>6940813</v>
      </c>
      <c r="B192" t="s">
        <v>846</v>
      </c>
      <c r="C192" t="s">
        <v>844</v>
      </c>
      <c r="D192" t="s">
        <v>845</v>
      </c>
      <c r="E192" t="s">
        <v>1370</v>
      </c>
      <c r="F192" s="134">
        <v>0.29334490740740743</v>
      </c>
      <c r="G192" t="s">
        <v>1371</v>
      </c>
      <c r="H192" t="s">
        <v>1372</v>
      </c>
    </row>
    <row r="193" spans="1:8">
      <c r="A193">
        <v>6940813</v>
      </c>
      <c r="B193" t="s">
        <v>846</v>
      </c>
      <c r="C193" t="s">
        <v>844</v>
      </c>
      <c r="D193" t="s">
        <v>845</v>
      </c>
      <c r="E193" t="s">
        <v>1370</v>
      </c>
      <c r="F193" s="134">
        <v>0.63966435185185189</v>
      </c>
      <c r="G193" t="s">
        <v>1373</v>
      </c>
      <c r="H193" t="s">
        <v>1374</v>
      </c>
    </row>
    <row r="194" spans="1:8">
      <c r="A194">
        <v>6940813</v>
      </c>
      <c r="B194" t="s">
        <v>846</v>
      </c>
      <c r="C194" t="s">
        <v>844</v>
      </c>
      <c r="D194" t="s">
        <v>845</v>
      </c>
      <c r="E194" t="s">
        <v>1375</v>
      </c>
      <c r="F194" s="134">
        <v>0.29368055555555556</v>
      </c>
      <c r="G194" t="s">
        <v>1371</v>
      </c>
      <c r="H194" t="s">
        <v>1372</v>
      </c>
    </row>
    <row r="195" spans="1:8">
      <c r="A195">
        <v>6940813</v>
      </c>
      <c r="B195" t="s">
        <v>846</v>
      </c>
      <c r="C195" t="s">
        <v>844</v>
      </c>
      <c r="D195" t="s">
        <v>845</v>
      </c>
      <c r="E195" t="s">
        <v>1375</v>
      </c>
      <c r="F195" s="134">
        <v>0.6411458333333333</v>
      </c>
      <c r="G195" t="s">
        <v>1373</v>
      </c>
      <c r="H195" t="s">
        <v>1374</v>
      </c>
    </row>
    <row r="196" spans="1:8">
      <c r="A196">
        <v>6940813</v>
      </c>
      <c r="B196" t="s">
        <v>846</v>
      </c>
      <c r="C196" t="s">
        <v>844</v>
      </c>
      <c r="D196" t="s">
        <v>845</v>
      </c>
      <c r="E196" t="s">
        <v>1376</v>
      </c>
      <c r="F196" s="134">
        <v>0.63667824074074075</v>
      </c>
      <c r="G196" t="s">
        <v>1373</v>
      </c>
      <c r="H196" t="s">
        <v>1374</v>
      </c>
    </row>
    <row r="197" spans="1:8">
      <c r="A197">
        <v>6940813</v>
      </c>
      <c r="B197" t="s">
        <v>846</v>
      </c>
      <c r="C197" t="s">
        <v>844</v>
      </c>
      <c r="D197" t="s">
        <v>845</v>
      </c>
      <c r="E197" t="s">
        <v>1376</v>
      </c>
      <c r="F197" s="134">
        <v>0.29410879629629633</v>
      </c>
      <c r="G197" t="s">
        <v>1371</v>
      </c>
      <c r="H197" t="s">
        <v>1372</v>
      </c>
    </row>
    <row r="198" spans="1:8">
      <c r="A198">
        <v>6940813</v>
      </c>
      <c r="B198" t="s">
        <v>846</v>
      </c>
      <c r="C198" t="s">
        <v>844</v>
      </c>
      <c r="D198" t="s">
        <v>845</v>
      </c>
      <c r="E198" t="s">
        <v>1377</v>
      </c>
      <c r="F198" s="134">
        <v>0.29638888888888887</v>
      </c>
      <c r="G198" t="s">
        <v>1371</v>
      </c>
      <c r="H198" t="s">
        <v>1372</v>
      </c>
    </row>
    <row r="199" spans="1:8">
      <c r="A199">
        <v>6940813</v>
      </c>
      <c r="B199" t="s">
        <v>846</v>
      </c>
      <c r="C199" t="s">
        <v>844</v>
      </c>
      <c r="D199" t="s">
        <v>845</v>
      </c>
      <c r="E199" t="s">
        <v>1377</v>
      </c>
      <c r="F199" s="134">
        <v>0.63771990740740747</v>
      </c>
      <c r="G199" t="s">
        <v>1373</v>
      </c>
      <c r="H199" t="s">
        <v>1374</v>
      </c>
    </row>
    <row r="200" spans="1:8">
      <c r="A200">
        <v>6940813</v>
      </c>
      <c r="B200" t="s">
        <v>846</v>
      </c>
      <c r="C200" t="s">
        <v>844</v>
      </c>
      <c r="D200" t="s">
        <v>845</v>
      </c>
      <c r="E200" t="s">
        <v>1378</v>
      </c>
      <c r="F200" s="134">
        <v>0.29643518518518519</v>
      </c>
      <c r="G200" t="s">
        <v>1371</v>
      </c>
      <c r="H200" t="s">
        <v>1372</v>
      </c>
    </row>
    <row r="201" spans="1:8">
      <c r="A201">
        <v>6940813</v>
      </c>
      <c r="B201" t="s">
        <v>846</v>
      </c>
      <c r="C201" t="s">
        <v>844</v>
      </c>
      <c r="D201" t="s">
        <v>845</v>
      </c>
      <c r="E201" t="s">
        <v>1378</v>
      </c>
      <c r="F201" s="134">
        <v>0.63944444444444448</v>
      </c>
      <c r="G201" t="s">
        <v>1373</v>
      </c>
      <c r="H201" t="s">
        <v>1374</v>
      </c>
    </row>
    <row r="202" spans="1:8">
      <c r="A202">
        <v>6940813</v>
      </c>
      <c r="B202" t="s">
        <v>846</v>
      </c>
      <c r="C202" t="s">
        <v>844</v>
      </c>
      <c r="D202" t="s">
        <v>845</v>
      </c>
      <c r="E202" t="s">
        <v>1379</v>
      </c>
      <c r="F202" s="134">
        <v>0.29427083333333331</v>
      </c>
      <c r="G202" t="s">
        <v>1371</v>
      </c>
      <c r="H202" t="s">
        <v>1372</v>
      </c>
    </row>
    <row r="203" spans="1:8">
      <c r="A203">
        <v>6940813</v>
      </c>
      <c r="B203" t="s">
        <v>846</v>
      </c>
      <c r="C203" t="s">
        <v>844</v>
      </c>
      <c r="D203" t="s">
        <v>845</v>
      </c>
      <c r="E203" t="s">
        <v>1379</v>
      </c>
      <c r="F203" s="134">
        <v>0.64282407407407405</v>
      </c>
      <c r="G203" t="s">
        <v>1373</v>
      </c>
      <c r="H203" t="s">
        <v>1374</v>
      </c>
    </row>
    <row r="204" spans="1:8">
      <c r="A204">
        <v>7009784</v>
      </c>
      <c r="B204" t="s">
        <v>987</v>
      </c>
      <c r="C204" t="s">
        <v>821</v>
      </c>
      <c r="D204" t="s">
        <v>986</v>
      </c>
      <c r="E204" t="s">
        <v>1370</v>
      </c>
      <c r="F204" s="134">
        <v>0.91973379629629637</v>
      </c>
      <c r="G204" t="s">
        <v>1371</v>
      </c>
      <c r="H204" t="s">
        <v>1372</v>
      </c>
    </row>
    <row r="205" spans="1:8">
      <c r="A205">
        <v>7009784</v>
      </c>
      <c r="B205" t="s">
        <v>987</v>
      </c>
      <c r="C205" t="s">
        <v>821</v>
      </c>
      <c r="D205" t="s">
        <v>986</v>
      </c>
      <c r="E205" t="s">
        <v>1375</v>
      </c>
      <c r="F205" s="134">
        <v>0.31498842592592591</v>
      </c>
      <c r="G205" t="s">
        <v>1373</v>
      </c>
      <c r="H205" t="s">
        <v>1374</v>
      </c>
    </row>
    <row r="206" spans="1:8">
      <c r="A206">
        <v>7009784</v>
      </c>
      <c r="B206" t="s">
        <v>987</v>
      </c>
      <c r="C206" t="s">
        <v>821</v>
      </c>
      <c r="D206" t="s">
        <v>986</v>
      </c>
      <c r="E206" t="s">
        <v>1375</v>
      </c>
      <c r="F206" s="134">
        <v>0.91880787037037026</v>
      </c>
      <c r="G206" t="s">
        <v>1371</v>
      </c>
      <c r="H206" t="s">
        <v>1372</v>
      </c>
    </row>
    <row r="207" spans="1:8">
      <c r="A207">
        <v>7009784</v>
      </c>
      <c r="B207" t="s">
        <v>987</v>
      </c>
      <c r="C207" t="s">
        <v>821</v>
      </c>
      <c r="D207" t="s">
        <v>986</v>
      </c>
      <c r="E207" t="s">
        <v>1376</v>
      </c>
      <c r="F207" s="134">
        <v>0.31283564814814818</v>
      </c>
      <c r="G207" t="s">
        <v>1373</v>
      </c>
      <c r="H207" t="s">
        <v>1374</v>
      </c>
    </row>
    <row r="208" spans="1:8">
      <c r="A208">
        <v>7009784</v>
      </c>
      <c r="B208" t="s">
        <v>987</v>
      </c>
      <c r="C208" t="s">
        <v>821</v>
      </c>
      <c r="D208" t="s">
        <v>986</v>
      </c>
      <c r="E208" t="s">
        <v>1376</v>
      </c>
      <c r="F208" s="134">
        <v>0.91932870370370379</v>
      </c>
      <c r="G208" t="s">
        <v>1371</v>
      </c>
      <c r="H208" t="s">
        <v>1372</v>
      </c>
    </row>
    <row r="209" spans="1:8">
      <c r="A209">
        <v>7009784</v>
      </c>
      <c r="B209" t="s">
        <v>987</v>
      </c>
      <c r="C209" t="s">
        <v>821</v>
      </c>
      <c r="D209" t="s">
        <v>986</v>
      </c>
      <c r="E209" t="s">
        <v>1377</v>
      </c>
      <c r="F209" s="134">
        <v>0.31409722222222219</v>
      </c>
      <c r="G209" t="s">
        <v>1373</v>
      </c>
      <c r="H209" t="s">
        <v>1374</v>
      </c>
    </row>
    <row r="210" spans="1:8">
      <c r="A210">
        <v>7009784</v>
      </c>
      <c r="B210" t="s">
        <v>987</v>
      </c>
      <c r="C210" t="s">
        <v>821</v>
      </c>
      <c r="D210" t="s">
        <v>986</v>
      </c>
      <c r="E210" t="s">
        <v>1377</v>
      </c>
      <c r="F210" s="134">
        <v>0.92085648148148147</v>
      </c>
      <c r="G210" t="s">
        <v>1371</v>
      </c>
      <c r="H210" t="s">
        <v>1372</v>
      </c>
    </row>
    <row r="211" spans="1:8">
      <c r="A211">
        <v>7009784</v>
      </c>
      <c r="B211" t="s">
        <v>987</v>
      </c>
      <c r="C211" t="s">
        <v>821</v>
      </c>
      <c r="D211" t="s">
        <v>986</v>
      </c>
      <c r="E211" t="s">
        <v>1378</v>
      </c>
      <c r="F211" s="134">
        <v>0.31482638888888886</v>
      </c>
      <c r="G211" t="s">
        <v>1373</v>
      </c>
      <c r="H211" t="s">
        <v>1374</v>
      </c>
    </row>
    <row r="212" spans="1:8">
      <c r="A212">
        <v>7009784</v>
      </c>
      <c r="B212" t="s">
        <v>987</v>
      </c>
      <c r="C212" t="s">
        <v>821</v>
      </c>
      <c r="D212" t="s">
        <v>986</v>
      </c>
      <c r="E212" t="s">
        <v>1378</v>
      </c>
      <c r="F212" s="134">
        <v>0.91972222222222222</v>
      </c>
      <c r="G212" t="s">
        <v>1371</v>
      </c>
      <c r="H212" t="s">
        <v>1372</v>
      </c>
    </row>
    <row r="213" spans="1:8">
      <c r="A213">
        <v>7009784</v>
      </c>
      <c r="B213" t="s">
        <v>987</v>
      </c>
      <c r="C213" t="s">
        <v>821</v>
      </c>
      <c r="D213" t="s">
        <v>986</v>
      </c>
      <c r="E213" t="s">
        <v>1379</v>
      </c>
      <c r="F213" s="134">
        <v>0.31291666666666668</v>
      </c>
      <c r="G213" t="s">
        <v>1373</v>
      </c>
      <c r="H213" t="s">
        <v>1374</v>
      </c>
    </row>
    <row r="214" spans="1:8">
      <c r="A214">
        <v>7023216</v>
      </c>
      <c r="B214" t="s">
        <v>428</v>
      </c>
      <c r="C214" t="s">
        <v>426</v>
      </c>
      <c r="D214" t="s">
        <v>427</v>
      </c>
      <c r="E214" t="s">
        <v>1381</v>
      </c>
      <c r="F214" s="134">
        <v>0</v>
      </c>
    </row>
    <row r="215" spans="1:8">
      <c r="A215">
        <v>7481602</v>
      </c>
      <c r="B215" t="s">
        <v>731</v>
      </c>
      <c r="C215" t="s">
        <v>717</v>
      </c>
      <c r="D215" t="s">
        <v>730</v>
      </c>
      <c r="E215" t="s">
        <v>1370</v>
      </c>
      <c r="F215" s="134">
        <v>0.29145833333333332</v>
      </c>
      <c r="G215" t="s">
        <v>1371</v>
      </c>
      <c r="H215" t="s">
        <v>1372</v>
      </c>
    </row>
    <row r="216" spans="1:8">
      <c r="A216">
        <v>7481602</v>
      </c>
      <c r="B216" t="s">
        <v>731</v>
      </c>
      <c r="C216" t="s">
        <v>717</v>
      </c>
      <c r="D216" t="s">
        <v>730</v>
      </c>
      <c r="E216" t="s">
        <v>1370</v>
      </c>
      <c r="F216" s="134">
        <v>0.63348379629629636</v>
      </c>
      <c r="G216" t="s">
        <v>1373</v>
      </c>
      <c r="H216" t="s">
        <v>1374</v>
      </c>
    </row>
    <row r="217" spans="1:8">
      <c r="A217">
        <v>7481602</v>
      </c>
      <c r="B217" t="s">
        <v>731</v>
      </c>
      <c r="C217" t="s">
        <v>717</v>
      </c>
      <c r="D217" t="s">
        <v>730</v>
      </c>
      <c r="E217" t="s">
        <v>1375</v>
      </c>
      <c r="F217" s="134">
        <v>0.29208333333333331</v>
      </c>
      <c r="G217" t="s">
        <v>1371</v>
      </c>
      <c r="H217" t="s">
        <v>1372</v>
      </c>
    </row>
    <row r="218" spans="1:8">
      <c r="A218">
        <v>7481602</v>
      </c>
      <c r="B218" t="s">
        <v>731</v>
      </c>
      <c r="C218" t="s">
        <v>717</v>
      </c>
      <c r="D218" t="s">
        <v>730</v>
      </c>
      <c r="E218" t="s">
        <v>1375</v>
      </c>
      <c r="F218" s="134">
        <v>0.63201388888888888</v>
      </c>
      <c r="G218" t="s">
        <v>1373</v>
      </c>
      <c r="H218" t="s">
        <v>1374</v>
      </c>
    </row>
    <row r="219" spans="1:8">
      <c r="A219">
        <v>7481602</v>
      </c>
      <c r="B219" t="s">
        <v>731</v>
      </c>
      <c r="C219" t="s">
        <v>717</v>
      </c>
      <c r="D219" t="s">
        <v>730</v>
      </c>
      <c r="E219" t="s">
        <v>1376</v>
      </c>
      <c r="F219" s="134">
        <v>0.63392361111111117</v>
      </c>
      <c r="G219" t="s">
        <v>1373</v>
      </c>
      <c r="H219" t="s">
        <v>1374</v>
      </c>
    </row>
    <row r="220" spans="1:8">
      <c r="A220">
        <v>7481602</v>
      </c>
      <c r="B220" t="s">
        <v>731</v>
      </c>
      <c r="C220" t="s">
        <v>717</v>
      </c>
      <c r="D220" t="s">
        <v>730</v>
      </c>
      <c r="E220" t="s">
        <v>1376</v>
      </c>
      <c r="F220" s="134">
        <v>0.29238425925925926</v>
      </c>
      <c r="G220" t="s">
        <v>1371</v>
      </c>
      <c r="H220" t="s">
        <v>1372</v>
      </c>
    </row>
    <row r="221" spans="1:8">
      <c r="A221">
        <v>7481602</v>
      </c>
      <c r="B221" t="s">
        <v>731</v>
      </c>
      <c r="C221" t="s">
        <v>717</v>
      </c>
      <c r="D221" t="s">
        <v>730</v>
      </c>
      <c r="E221" t="s">
        <v>1377</v>
      </c>
      <c r="F221" s="134">
        <v>0.29065972222222219</v>
      </c>
      <c r="G221" t="s">
        <v>1371</v>
      </c>
      <c r="H221" t="s">
        <v>1372</v>
      </c>
    </row>
    <row r="222" spans="1:8">
      <c r="A222">
        <v>7481602</v>
      </c>
      <c r="B222" t="s">
        <v>731</v>
      </c>
      <c r="C222" t="s">
        <v>717</v>
      </c>
      <c r="D222" t="s">
        <v>730</v>
      </c>
      <c r="E222" t="s">
        <v>1377</v>
      </c>
      <c r="F222" s="134">
        <v>0.63148148148148142</v>
      </c>
      <c r="G222" t="s">
        <v>1373</v>
      </c>
      <c r="H222" t="s">
        <v>1374</v>
      </c>
    </row>
    <row r="223" spans="1:8">
      <c r="A223">
        <v>7481602</v>
      </c>
      <c r="B223" t="s">
        <v>731</v>
      </c>
      <c r="C223" t="s">
        <v>717</v>
      </c>
      <c r="D223" t="s">
        <v>730</v>
      </c>
      <c r="E223" t="s">
        <v>1378</v>
      </c>
      <c r="F223" s="134">
        <v>0.29390046296296296</v>
      </c>
      <c r="G223" t="s">
        <v>1371</v>
      </c>
      <c r="H223" t="s">
        <v>1372</v>
      </c>
    </row>
    <row r="224" spans="1:8">
      <c r="A224">
        <v>7481602</v>
      </c>
      <c r="B224" t="s">
        <v>731</v>
      </c>
      <c r="C224" t="s">
        <v>717</v>
      </c>
      <c r="D224" t="s">
        <v>730</v>
      </c>
      <c r="E224" t="s">
        <v>1378</v>
      </c>
      <c r="F224" s="134">
        <v>0.63273148148148151</v>
      </c>
      <c r="G224" t="s">
        <v>1373</v>
      </c>
      <c r="H224" t="s">
        <v>1374</v>
      </c>
    </row>
    <row r="225" spans="1:8">
      <c r="A225">
        <v>7481602</v>
      </c>
      <c r="B225" t="s">
        <v>731</v>
      </c>
      <c r="C225" t="s">
        <v>717</v>
      </c>
      <c r="D225" t="s">
        <v>730</v>
      </c>
      <c r="E225" t="s">
        <v>1379</v>
      </c>
      <c r="F225" s="134">
        <v>0.29106481481481478</v>
      </c>
      <c r="G225" t="s">
        <v>1371</v>
      </c>
      <c r="H225" t="s">
        <v>1372</v>
      </c>
    </row>
    <row r="226" spans="1:8">
      <c r="A226">
        <v>7481602</v>
      </c>
      <c r="B226" t="s">
        <v>731</v>
      </c>
      <c r="C226" t="s">
        <v>717</v>
      </c>
      <c r="D226" t="s">
        <v>730</v>
      </c>
      <c r="E226" t="s">
        <v>1379</v>
      </c>
      <c r="F226" s="134">
        <v>0.63150462962962961</v>
      </c>
      <c r="G226" t="s">
        <v>1373</v>
      </c>
      <c r="H226" t="s">
        <v>1374</v>
      </c>
    </row>
    <row r="227" spans="1:8">
      <c r="A227">
        <v>7717451</v>
      </c>
      <c r="B227" t="s">
        <v>273</v>
      </c>
      <c r="C227" t="s">
        <v>272</v>
      </c>
      <c r="D227" t="s">
        <v>96</v>
      </c>
      <c r="E227" t="s">
        <v>1370</v>
      </c>
      <c r="F227" s="134">
        <v>0.27261574074074074</v>
      </c>
      <c r="G227" t="s">
        <v>1371</v>
      </c>
      <c r="H227" t="s">
        <v>1372</v>
      </c>
    </row>
    <row r="228" spans="1:8">
      <c r="A228">
        <v>7717451</v>
      </c>
      <c r="B228" t="s">
        <v>273</v>
      </c>
      <c r="C228" t="s">
        <v>272</v>
      </c>
      <c r="D228" t="s">
        <v>96</v>
      </c>
      <c r="E228" t="s">
        <v>1370</v>
      </c>
      <c r="F228" s="134">
        <v>0.72590277777777779</v>
      </c>
      <c r="G228" t="s">
        <v>1373</v>
      </c>
      <c r="H228" t="s">
        <v>1374</v>
      </c>
    </row>
    <row r="229" spans="1:8">
      <c r="A229">
        <v>7717451</v>
      </c>
      <c r="B229" t="s">
        <v>273</v>
      </c>
      <c r="C229" t="s">
        <v>272</v>
      </c>
      <c r="D229" t="s">
        <v>96</v>
      </c>
      <c r="E229" t="s">
        <v>1375</v>
      </c>
      <c r="F229" s="134">
        <v>0.27018518518518519</v>
      </c>
      <c r="G229" t="s">
        <v>1371</v>
      </c>
      <c r="H229" t="s">
        <v>1372</v>
      </c>
    </row>
    <row r="230" spans="1:8">
      <c r="A230">
        <v>7717451</v>
      </c>
      <c r="B230" t="s">
        <v>273</v>
      </c>
      <c r="C230" t="s">
        <v>272</v>
      </c>
      <c r="D230" t="s">
        <v>96</v>
      </c>
      <c r="E230" t="s">
        <v>1375</v>
      </c>
      <c r="F230" s="134">
        <v>0.72094907407407405</v>
      </c>
      <c r="G230" t="s">
        <v>1373</v>
      </c>
      <c r="H230" t="s">
        <v>1374</v>
      </c>
    </row>
    <row r="231" spans="1:8">
      <c r="A231">
        <v>7717451</v>
      </c>
      <c r="B231" t="s">
        <v>273</v>
      </c>
      <c r="C231" t="s">
        <v>272</v>
      </c>
      <c r="D231" t="s">
        <v>96</v>
      </c>
      <c r="E231" t="s">
        <v>1376</v>
      </c>
      <c r="F231" s="134">
        <v>0.27401620370370372</v>
      </c>
      <c r="G231" t="s">
        <v>1371</v>
      </c>
      <c r="H231" t="s">
        <v>1372</v>
      </c>
    </row>
    <row r="232" spans="1:8">
      <c r="A232">
        <v>7717451</v>
      </c>
      <c r="B232" t="s">
        <v>273</v>
      </c>
      <c r="C232" t="s">
        <v>272</v>
      </c>
      <c r="D232" t="s">
        <v>96</v>
      </c>
      <c r="E232" t="s">
        <v>1376</v>
      </c>
      <c r="F232" s="134">
        <v>0.7203356481481481</v>
      </c>
      <c r="G232" t="s">
        <v>1373</v>
      </c>
      <c r="H232" t="s">
        <v>1374</v>
      </c>
    </row>
    <row r="233" spans="1:8">
      <c r="A233">
        <v>7717451</v>
      </c>
      <c r="B233" t="s">
        <v>273</v>
      </c>
      <c r="C233" t="s">
        <v>272</v>
      </c>
      <c r="D233" t="s">
        <v>96</v>
      </c>
      <c r="E233" t="s">
        <v>1377</v>
      </c>
      <c r="F233" s="134">
        <v>0.27384259259259258</v>
      </c>
      <c r="G233" t="s">
        <v>1371</v>
      </c>
      <c r="H233" t="s">
        <v>1372</v>
      </c>
    </row>
    <row r="234" spans="1:8">
      <c r="A234">
        <v>7717451</v>
      </c>
      <c r="B234" t="s">
        <v>273</v>
      </c>
      <c r="C234" t="s">
        <v>272</v>
      </c>
      <c r="D234" t="s">
        <v>96</v>
      </c>
      <c r="E234" t="s">
        <v>1377</v>
      </c>
      <c r="F234" s="134">
        <v>0.7208564814814814</v>
      </c>
      <c r="G234" t="s">
        <v>1373</v>
      </c>
      <c r="H234" t="s">
        <v>1374</v>
      </c>
    </row>
    <row r="235" spans="1:8">
      <c r="A235">
        <v>7717451</v>
      </c>
      <c r="B235" t="s">
        <v>273</v>
      </c>
      <c r="C235" t="s">
        <v>272</v>
      </c>
      <c r="D235" t="s">
        <v>96</v>
      </c>
      <c r="E235" t="s">
        <v>1378</v>
      </c>
      <c r="F235" s="134">
        <v>0.27457175925925925</v>
      </c>
      <c r="G235" t="s">
        <v>1371</v>
      </c>
      <c r="H235" t="s">
        <v>1372</v>
      </c>
    </row>
    <row r="236" spans="1:8">
      <c r="A236">
        <v>7717451</v>
      </c>
      <c r="B236" t="s">
        <v>273</v>
      </c>
      <c r="C236" t="s">
        <v>272</v>
      </c>
      <c r="D236" t="s">
        <v>96</v>
      </c>
      <c r="E236" t="s">
        <v>1378</v>
      </c>
      <c r="F236" s="134">
        <v>0.72386574074074073</v>
      </c>
      <c r="G236" t="s">
        <v>1373</v>
      </c>
      <c r="H236" t="s">
        <v>1374</v>
      </c>
    </row>
    <row r="237" spans="1:8">
      <c r="A237">
        <v>7721223</v>
      </c>
      <c r="B237" t="s">
        <v>869</v>
      </c>
      <c r="C237" t="s">
        <v>868</v>
      </c>
      <c r="D237" t="s">
        <v>778</v>
      </c>
      <c r="E237" t="s">
        <v>1370</v>
      </c>
      <c r="F237" s="134">
        <v>0.28098379629629627</v>
      </c>
      <c r="G237" t="s">
        <v>1371</v>
      </c>
      <c r="H237" t="s">
        <v>1372</v>
      </c>
    </row>
    <row r="238" spans="1:8">
      <c r="A238">
        <v>7721223</v>
      </c>
      <c r="B238" t="s">
        <v>869</v>
      </c>
      <c r="C238" t="s">
        <v>868</v>
      </c>
      <c r="D238" t="s">
        <v>778</v>
      </c>
      <c r="E238" t="s">
        <v>1370</v>
      </c>
      <c r="F238" s="134">
        <v>0.63140046296296293</v>
      </c>
      <c r="G238" t="s">
        <v>1373</v>
      </c>
      <c r="H238" t="s">
        <v>1374</v>
      </c>
    </row>
    <row r="239" spans="1:8">
      <c r="A239">
        <v>7721223</v>
      </c>
      <c r="B239" t="s">
        <v>869</v>
      </c>
      <c r="C239" t="s">
        <v>868</v>
      </c>
      <c r="D239" t="s">
        <v>778</v>
      </c>
      <c r="E239" t="s">
        <v>1375</v>
      </c>
      <c r="F239" s="134">
        <v>0.28312500000000002</v>
      </c>
      <c r="G239" t="s">
        <v>1371</v>
      </c>
      <c r="H239" t="s">
        <v>1372</v>
      </c>
    </row>
    <row r="240" spans="1:8">
      <c r="A240">
        <v>7721223</v>
      </c>
      <c r="B240" t="s">
        <v>869</v>
      </c>
      <c r="C240" t="s">
        <v>868</v>
      </c>
      <c r="D240" t="s">
        <v>778</v>
      </c>
      <c r="E240" t="s">
        <v>1375</v>
      </c>
      <c r="F240" s="134">
        <v>0.63067129629629626</v>
      </c>
      <c r="G240" t="s">
        <v>1373</v>
      </c>
      <c r="H240" t="s">
        <v>1374</v>
      </c>
    </row>
    <row r="241" spans="1:8">
      <c r="A241">
        <v>7721223</v>
      </c>
      <c r="B241" t="s">
        <v>869</v>
      </c>
      <c r="C241" t="s">
        <v>868</v>
      </c>
      <c r="D241" t="s">
        <v>778</v>
      </c>
      <c r="E241" t="s">
        <v>1376</v>
      </c>
      <c r="F241" s="134">
        <v>0.27908564814814812</v>
      </c>
      <c r="G241" t="s">
        <v>1371</v>
      </c>
      <c r="H241" t="s">
        <v>1372</v>
      </c>
    </row>
    <row r="242" spans="1:8">
      <c r="A242">
        <v>7721223</v>
      </c>
      <c r="B242" t="s">
        <v>869</v>
      </c>
      <c r="C242" t="s">
        <v>868</v>
      </c>
      <c r="D242" t="s">
        <v>778</v>
      </c>
      <c r="E242" t="s">
        <v>1376</v>
      </c>
      <c r="F242" s="134">
        <v>0.63103009259259257</v>
      </c>
      <c r="G242" t="s">
        <v>1373</v>
      </c>
      <c r="H242" t="s">
        <v>1374</v>
      </c>
    </row>
    <row r="243" spans="1:8">
      <c r="A243">
        <v>7721223</v>
      </c>
      <c r="B243" t="s">
        <v>869</v>
      </c>
      <c r="C243" t="s">
        <v>868</v>
      </c>
      <c r="D243" t="s">
        <v>778</v>
      </c>
      <c r="E243" t="s">
        <v>1377</v>
      </c>
      <c r="F243" s="134">
        <v>0.62944444444444447</v>
      </c>
      <c r="G243" t="s">
        <v>1373</v>
      </c>
      <c r="H243" t="s">
        <v>1374</v>
      </c>
    </row>
    <row r="244" spans="1:8">
      <c r="A244">
        <v>7721223</v>
      </c>
      <c r="B244" t="s">
        <v>869</v>
      </c>
      <c r="C244" t="s">
        <v>868</v>
      </c>
      <c r="D244" t="s">
        <v>778</v>
      </c>
      <c r="E244" t="s">
        <v>1377</v>
      </c>
      <c r="F244" s="134">
        <v>0.28358796296296296</v>
      </c>
      <c r="G244" t="s">
        <v>1371</v>
      </c>
      <c r="H244" t="s">
        <v>1372</v>
      </c>
    </row>
    <row r="245" spans="1:8">
      <c r="A245">
        <v>7721223</v>
      </c>
      <c r="B245" t="s">
        <v>869</v>
      </c>
      <c r="C245" t="s">
        <v>868</v>
      </c>
      <c r="D245" t="s">
        <v>778</v>
      </c>
      <c r="E245" t="s">
        <v>1378</v>
      </c>
      <c r="F245" s="134">
        <v>0.283287037037037</v>
      </c>
      <c r="G245" t="s">
        <v>1371</v>
      </c>
      <c r="H245" t="s">
        <v>1372</v>
      </c>
    </row>
    <row r="246" spans="1:8">
      <c r="A246">
        <v>7721223</v>
      </c>
      <c r="B246" t="s">
        <v>869</v>
      </c>
      <c r="C246" t="s">
        <v>868</v>
      </c>
      <c r="D246" t="s">
        <v>778</v>
      </c>
      <c r="E246" t="s">
        <v>1378</v>
      </c>
      <c r="F246" s="134">
        <v>0.63035879629629632</v>
      </c>
      <c r="G246" t="s">
        <v>1373</v>
      </c>
      <c r="H246" t="s">
        <v>1374</v>
      </c>
    </row>
    <row r="247" spans="1:8">
      <c r="A247">
        <v>7721223</v>
      </c>
      <c r="B247" t="s">
        <v>869</v>
      </c>
      <c r="C247" t="s">
        <v>868</v>
      </c>
      <c r="D247" t="s">
        <v>778</v>
      </c>
      <c r="E247" t="s">
        <v>1379</v>
      </c>
      <c r="F247" s="134">
        <v>0.28403935185185186</v>
      </c>
      <c r="G247" t="s">
        <v>1371</v>
      </c>
      <c r="H247" t="s">
        <v>1372</v>
      </c>
    </row>
    <row r="248" spans="1:8">
      <c r="A248">
        <v>7721223</v>
      </c>
      <c r="B248" t="s">
        <v>869</v>
      </c>
      <c r="C248" t="s">
        <v>868</v>
      </c>
      <c r="D248" t="s">
        <v>778</v>
      </c>
      <c r="E248" t="s">
        <v>1379</v>
      </c>
      <c r="F248" s="134">
        <v>0.63019675925925933</v>
      </c>
      <c r="G248" t="s">
        <v>1373</v>
      </c>
      <c r="H248" t="s">
        <v>1374</v>
      </c>
    </row>
    <row r="249" spans="1:8">
      <c r="A249">
        <v>7760886</v>
      </c>
      <c r="B249" t="s">
        <v>83</v>
      </c>
      <c r="C249" t="s">
        <v>81</v>
      </c>
      <c r="D249" t="s">
        <v>82</v>
      </c>
      <c r="E249" t="s">
        <v>1370</v>
      </c>
      <c r="F249" s="134">
        <v>0.31113425925925925</v>
      </c>
      <c r="G249" t="s">
        <v>1371</v>
      </c>
      <c r="H249" t="s">
        <v>1372</v>
      </c>
    </row>
    <row r="250" spans="1:8">
      <c r="A250">
        <v>7760886</v>
      </c>
      <c r="B250" t="s">
        <v>83</v>
      </c>
      <c r="C250" t="s">
        <v>81</v>
      </c>
      <c r="D250" t="s">
        <v>82</v>
      </c>
      <c r="E250" t="s">
        <v>1370</v>
      </c>
      <c r="F250" s="134">
        <v>0.81156249999999996</v>
      </c>
      <c r="G250" t="s">
        <v>1373</v>
      </c>
      <c r="H250" t="s">
        <v>1374</v>
      </c>
    </row>
    <row r="251" spans="1:8">
      <c r="A251">
        <v>7760886</v>
      </c>
      <c r="B251" t="s">
        <v>83</v>
      </c>
      <c r="C251" t="s">
        <v>81</v>
      </c>
      <c r="D251" t="s">
        <v>82</v>
      </c>
      <c r="E251" t="s">
        <v>1375</v>
      </c>
      <c r="F251" s="134">
        <v>0.31262731481481482</v>
      </c>
      <c r="G251" t="s">
        <v>1371</v>
      </c>
      <c r="H251" t="s">
        <v>1372</v>
      </c>
    </row>
    <row r="252" spans="1:8">
      <c r="A252">
        <v>7760886</v>
      </c>
      <c r="B252" t="s">
        <v>83</v>
      </c>
      <c r="C252" t="s">
        <v>81</v>
      </c>
      <c r="D252" t="s">
        <v>82</v>
      </c>
      <c r="E252" t="s">
        <v>1375</v>
      </c>
      <c r="F252" s="134">
        <v>0.8162962962962963</v>
      </c>
      <c r="G252" t="s">
        <v>1373</v>
      </c>
      <c r="H252" t="s">
        <v>1374</v>
      </c>
    </row>
    <row r="253" spans="1:8">
      <c r="A253">
        <v>7760886</v>
      </c>
      <c r="B253" t="s">
        <v>83</v>
      </c>
      <c r="C253" t="s">
        <v>81</v>
      </c>
      <c r="D253" t="s">
        <v>82</v>
      </c>
      <c r="E253" t="s">
        <v>1376</v>
      </c>
      <c r="F253" s="134">
        <v>0.30836805555555552</v>
      </c>
      <c r="G253" t="s">
        <v>1371</v>
      </c>
      <c r="H253" t="s">
        <v>1372</v>
      </c>
    </row>
    <row r="254" spans="1:8">
      <c r="A254">
        <v>7760886</v>
      </c>
      <c r="B254" t="s">
        <v>83</v>
      </c>
      <c r="C254" t="s">
        <v>81</v>
      </c>
      <c r="D254" t="s">
        <v>82</v>
      </c>
      <c r="E254" t="s">
        <v>1376</v>
      </c>
      <c r="F254" s="134">
        <v>0.80835648148148154</v>
      </c>
      <c r="G254" t="s">
        <v>1373</v>
      </c>
      <c r="H254" t="s">
        <v>1374</v>
      </c>
    </row>
    <row r="255" spans="1:8">
      <c r="A255">
        <v>7760886</v>
      </c>
      <c r="B255" t="s">
        <v>83</v>
      </c>
      <c r="C255" t="s">
        <v>81</v>
      </c>
      <c r="D255" t="s">
        <v>82</v>
      </c>
      <c r="E255" t="s">
        <v>1377</v>
      </c>
      <c r="F255" s="134">
        <v>0.30886574074074075</v>
      </c>
      <c r="G255" t="s">
        <v>1371</v>
      </c>
      <c r="H255" t="s">
        <v>1372</v>
      </c>
    </row>
    <row r="256" spans="1:8">
      <c r="A256">
        <v>7760886</v>
      </c>
      <c r="B256" t="s">
        <v>83</v>
      </c>
      <c r="C256" t="s">
        <v>81</v>
      </c>
      <c r="D256" t="s">
        <v>82</v>
      </c>
      <c r="E256" t="s">
        <v>1377</v>
      </c>
      <c r="F256" s="134">
        <v>0.81048611111111113</v>
      </c>
      <c r="G256" t="s">
        <v>1373</v>
      </c>
      <c r="H256" t="s">
        <v>1374</v>
      </c>
    </row>
    <row r="257" spans="1:8">
      <c r="A257">
        <v>7760886</v>
      </c>
      <c r="B257" t="s">
        <v>83</v>
      </c>
      <c r="C257" t="s">
        <v>81</v>
      </c>
      <c r="D257" t="s">
        <v>82</v>
      </c>
      <c r="E257" t="s">
        <v>1378</v>
      </c>
      <c r="F257" s="134">
        <v>0.30868055555555557</v>
      </c>
      <c r="G257" t="s">
        <v>1371</v>
      </c>
      <c r="H257" t="s">
        <v>1372</v>
      </c>
    </row>
    <row r="258" spans="1:8">
      <c r="A258">
        <v>7760886</v>
      </c>
      <c r="B258" t="s">
        <v>83</v>
      </c>
      <c r="C258" t="s">
        <v>81</v>
      </c>
      <c r="D258" t="s">
        <v>82</v>
      </c>
      <c r="E258" t="s">
        <v>1378</v>
      </c>
      <c r="F258" s="134">
        <v>0.81578703703703714</v>
      </c>
      <c r="G258" t="s">
        <v>1373</v>
      </c>
      <c r="H258" t="s">
        <v>1374</v>
      </c>
    </row>
    <row r="259" spans="1:8">
      <c r="A259">
        <v>7807741</v>
      </c>
      <c r="B259" t="s">
        <v>1124</v>
      </c>
      <c r="C259" t="s">
        <v>974</v>
      </c>
      <c r="D259" t="s">
        <v>212</v>
      </c>
      <c r="E259" t="s">
        <v>1370</v>
      </c>
      <c r="F259" s="134">
        <v>0.61313657407407407</v>
      </c>
      <c r="G259" t="s">
        <v>1371</v>
      </c>
      <c r="H259" t="s">
        <v>1372</v>
      </c>
    </row>
    <row r="260" spans="1:8">
      <c r="A260">
        <v>7807741</v>
      </c>
      <c r="B260" t="s">
        <v>1124</v>
      </c>
      <c r="C260" t="s">
        <v>974</v>
      </c>
      <c r="D260" t="s">
        <v>212</v>
      </c>
      <c r="E260" t="s">
        <v>1370</v>
      </c>
      <c r="F260" s="134">
        <v>0.93961805555555555</v>
      </c>
      <c r="G260" t="s">
        <v>1373</v>
      </c>
      <c r="H260" t="s">
        <v>1374</v>
      </c>
    </row>
    <row r="261" spans="1:8">
      <c r="A261">
        <v>7807741</v>
      </c>
      <c r="B261" t="s">
        <v>1124</v>
      </c>
      <c r="C261" t="s">
        <v>974</v>
      </c>
      <c r="D261" t="s">
        <v>212</v>
      </c>
      <c r="E261" t="s">
        <v>1375</v>
      </c>
      <c r="F261" s="134">
        <v>0.6132291666666666</v>
      </c>
      <c r="G261" t="s">
        <v>1371</v>
      </c>
      <c r="H261" t="s">
        <v>1372</v>
      </c>
    </row>
    <row r="262" spans="1:8">
      <c r="A262">
        <v>7807741</v>
      </c>
      <c r="B262" t="s">
        <v>1124</v>
      </c>
      <c r="C262" t="s">
        <v>974</v>
      </c>
      <c r="D262" t="s">
        <v>212</v>
      </c>
      <c r="E262" t="s">
        <v>1375</v>
      </c>
      <c r="F262" s="134">
        <v>0.93881944444444443</v>
      </c>
      <c r="G262" t="s">
        <v>1373</v>
      </c>
      <c r="H262" t="s">
        <v>1374</v>
      </c>
    </row>
    <row r="263" spans="1:8">
      <c r="A263">
        <v>7807741</v>
      </c>
      <c r="B263" t="s">
        <v>1124</v>
      </c>
      <c r="C263" t="s">
        <v>974</v>
      </c>
      <c r="D263" t="s">
        <v>212</v>
      </c>
      <c r="E263" t="s">
        <v>1376</v>
      </c>
      <c r="F263" s="134">
        <v>0.93693287037037043</v>
      </c>
      <c r="G263" t="s">
        <v>1373</v>
      </c>
      <c r="H263" t="s">
        <v>1374</v>
      </c>
    </row>
    <row r="264" spans="1:8">
      <c r="A264">
        <v>7807741</v>
      </c>
      <c r="B264" t="s">
        <v>1124</v>
      </c>
      <c r="C264" t="s">
        <v>974</v>
      </c>
      <c r="D264" t="s">
        <v>212</v>
      </c>
      <c r="E264" t="s">
        <v>1376</v>
      </c>
      <c r="F264" s="134">
        <v>0.61453703703703699</v>
      </c>
      <c r="G264" t="s">
        <v>1371</v>
      </c>
      <c r="H264" t="s">
        <v>1372</v>
      </c>
    </row>
    <row r="265" spans="1:8">
      <c r="A265">
        <v>7807741</v>
      </c>
      <c r="B265" t="s">
        <v>1124</v>
      </c>
      <c r="C265" t="s">
        <v>974</v>
      </c>
      <c r="D265" t="s">
        <v>212</v>
      </c>
      <c r="E265" t="s">
        <v>1377</v>
      </c>
      <c r="F265" s="134">
        <v>0.61259259259259258</v>
      </c>
      <c r="G265" t="s">
        <v>1371</v>
      </c>
      <c r="H265" t="s">
        <v>1372</v>
      </c>
    </row>
    <row r="266" spans="1:8">
      <c r="A266">
        <v>7807741</v>
      </c>
      <c r="B266" t="s">
        <v>1124</v>
      </c>
      <c r="C266" t="s">
        <v>974</v>
      </c>
      <c r="D266" t="s">
        <v>212</v>
      </c>
      <c r="E266" t="s">
        <v>1377</v>
      </c>
      <c r="F266" s="134">
        <v>0.93994212962962964</v>
      </c>
      <c r="G266" t="s">
        <v>1373</v>
      </c>
      <c r="H266" t="s">
        <v>1374</v>
      </c>
    </row>
    <row r="267" spans="1:8">
      <c r="A267">
        <v>7807741</v>
      </c>
      <c r="B267" t="s">
        <v>1124</v>
      </c>
      <c r="C267" t="s">
        <v>974</v>
      </c>
      <c r="D267" t="s">
        <v>212</v>
      </c>
      <c r="E267" t="s">
        <v>1378</v>
      </c>
      <c r="F267" s="134">
        <v>0.6166666666666667</v>
      </c>
      <c r="G267" t="s">
        <v>1371</v>
      </c>
      <c r="H267" t="s">
        <v>1372</v>
      </c>
    </row>
    <row r="268" spans="1:8">
      <c r="A268">
        <v>7807741</v>
      </c>
      <c r="B268" t="s">
        <v>1124</v>
      </c>
      <c r="C268" t="s">
        <v>974</v>
      </c>
      <c r="D268" t="s">
        <v>212</v>
      </c>
      <c r="E268" t="s">
        <v>1378</v>
      </c>
      <c r="F268" s="134">
        <v>0.93922453703703701</v>
      </c>
      <c r="G268" t="s">
        <v>1373</v>
      </c>
      <c r="H268" t="s">
        <v>1374</v>
      </c>
    </row>
    <row r="269" spans="1:8">
      <c r="A269">
        <v>7807741</v>
      </c>
      <c r="B269" t="s">
        <v>1124</v>
      </c>
      <c r="C269" t="s">
        <v>974</v>
      </c>
      <c r="D269" t="s">
        <v>212</v>
      </c>
      <c r="E269" t="s">
        <v>1379</v>
      </c>
      <c r="F269" s="134">
        <v>0.61483796296296289</v>
      </c>
      <c r="G269" t="s">
        <v>1371</v>
      </c>
      <c r="H269" t="s">
        <v>1372</v>
      </c>
    </row>
    <row r="270" spans="1:8">
      <c r="A270">
        <v>7807741</v>
      </c>
      <c r="B270" t="s">
        <v>1124</v>
      </c>
      <c r="C270" t="s">
        <v>974</v>
      </c>
      <c r="D270" t="s">
        <v>212</v>
      </c>
      <c r="E270" t="s">
        <v>1379</v>
      </c>
      <c r="F270" s="134">
        <v>0.93068287037037034</v>
      </c>
      <c r="G270" t="s">
        <v>1373</v>
      </c>
      <c r="H270" t="s">
        <v>1374</v>
      </c>
    </row>
    <row r="271" spans="1:8">
      <c r="A271">
        <v>7815068</v>
      </c>
      <c r="B271" t="s">
        <v>1203</v>
      </c>
      <c r="C271" t="s">
        <v>1202</v>
      </c>
      <c r="D271" t="s">
        <v>372</v>
      </c>
      <c r="E271" t="s">
        <v>1370</v>
      </c>
      <c r="F271" s="134">
        <v>0.9180787037037037</v>
      </c>
      <c r="G271" t="s">
        <v>1371</v>
      </c>
      <c r="H271" t="s">
        <v>1372</v>
      </c>
    </row>
    <row r="272" spans="1:8">
      <c r="A272">
        <v>7815068</v>
      </c>
      <c r="B272" t="s">
        <v>1203</v>
      </c>
      <c r="C272" t="s">
        <v>1202</v>
      </c>
      <c r="D272" t="s">
        <v>372</v>
      </c>
      <c r="E272" t="s">
        <v>1375</v>
      </c>
      <c r="F272" s="134">
        <v>0.32094907407407408</v>
      </c>
      <c r="G272" t="s">
        <v>1373</v>
      </c>
      <c r="H272" t="s">
        <v>1374</v>
      </c>
    </row>
    <row r="273" spans="1:8">
      <c r="A273">
        <v>7815068</v>
      </c>
      <c r="B273" t="s">
        <v>1203</v>
      </c>
      <c r="C273" t="s">
        <v>1202</v>
      </c>
      <c r="D273" t="s">
        <v>372</v>
      </c>
      <c r="E273" t="s">
        <v>1375</v>
      </c>
      <c r="F273" s="134">
        <v>0.93052083333333335</v>
      </c>
      <c r="G273" t="s">
        <v>1371</v>
      </c>
      <c r="H273" t="s">
        <v>1372</v>
      </c>
    </row>
    <row r="274" spans="1:8">
      <c r="A274">
        <v>7815068</v>
      </c>
      <c r="B274" t="s">
        <v>1203</v>
      </c>
      <c r="C274" t="s">
        <v>1202</v>
      </c>
      <c r="D274" t="s">
        <v>372</v>
      </c>
      <c r="E274" t="s">
        <v>1376</v>
      </c>
      <c r="F274" s="134">
        <v>0.32118055555555552</v>
      </c>
      <c r="G274" t="s">
        <v>1373</v>
      </c>
      <c r="H274" t="s">
        <v>1374</v>
      </c>
    </row>
    <row r="275" spans="1:8">
      <c r="A275">
        <v>7815068</v>
      </c>
      <c r="B275" t="s">
        <v>1203</v>
      </c>
      <c r="C275" t="s">
        <v>1202</v>
      </c>
      <c r="D275" t="s">
        <v>372</v>
      </c>
      <c r="E275" t="s">
        <v>1376</v>
      </c>
      <c r="F275" s="134">
        <v>0.92726851851851855</v>
      </c>
      <c r="G275" t="s">
        <v>1371</v>
      </c>
      <c r="H275" t="s">
        <v>1372</v>
      </c>
    </row>
    <row r="276" spans="1:8">
      <c r="A276">
        <v>7815068</v>
      </c>
      <c r="B276" t="s">
        <v>1203</v>
      </c>
      <c r="C276" t="s">
        <v>1202</v>
      </c>
      <c r="D276" t="s">
        <v>372</v>
      </c>
      <c r="E276" t="s">
        <v>1377</v>
      </c>
      <c r="F276" s="134">
        <v>0.32230324074074074</v>
      </c>
      <c r="G276" t="s">
        <v>1373</v>
      </c>
      <c r="H276" t="s">
        <v>1374</v>
      </c>
    </row>
    <row r="277" spans="1:8">
      <c r="A277">
        <v>7815068</v>
      </c>
      <c r="B277" t="s">
        <v>1203</v>
      </c>
      <c r="C277" t="s">
        <v>1202</v>
      </c>
      <c r="D277" t="s">
        <v>372</v>
      </c>
      <c r="E277" t="s">
        <v>1377</v>
      </c>
      <c r="F277" s="134">
        <v>0.92289351851851853</v>
      </c>
      <c r="G277" t="s">
        <v>1371</v>
      </c>
      <c r="H277" t="s">
        <v>1372</v>
      </c>
    </row>
    <row r="278" spans="1:8">
      <c r="A278">
        <v>7815068</v>
      </c>
      <c r="B278" t="s">
        <v>1203</v>
      </c>
      <c r="C278" t="s">
        <v>1202</v>
      </c>
      <c r="D278" t="s">
        <v>372</v>
      </c>
      <c r="E278" t="s">
        <v>1378</v>
      </c>
      <c r="F278" s="134">
        <v>0.32326388888888885</v>
      </c>
      <c r="G278" t="s">
        <v>1373</v>
      </c>
      <c r="H278" t="s">
        <v>1374</v>
      </c>
    </row>
    <row r="279" spans="1:8">
      <c r="A279">
        <v>7815068</v>
      </c>
      <c r="B279" t="s">
        <v>1203</v>
      </c>
      <c r="C279" t="s">
        <v>1202</v>
      </c>
      <c r="D279" t="s">
        <v>372</v>
      </c>
      <c r="E279" t="s">
        <v>1378</v>
      </c>
      <c r="F279" s="134">
        <v>0.92035879629629624</v>
      </c>
      <c r="G279" t="s">
        <v>1371</v>
      </c>
      <c r="H279" t="s">
        <v>1372</v>
      </c>
    </row>
    <row r="280" spans="1:8">
      <c r="A280">
        <v>7815068</v>
      </c>
      <c r="B280" t="s">
        <v>1203</v>
      </c>
      <c r="C280" t="s">
        <v>1202</v>
      </c>
      <c r="D280" t="s">
        <v>372</v>
      </c>
      <c r="E280" t="s">
        <v>1379</v>
      </c>
      <c r="F280" s="134">
        <v>0.3215277777777778</v>
      </c>
      <c r="G280" t="s">
        <v>1373</v>
      </c>
      <c r="H280" t="s">
        <v>1374</v>
      </c>
    </row>
    <row r="281" spans="1:8">
      <c r="A281">
        <v>7815083</v>
      </c>
      <c r="B281" t="s">
        <v>801</v>
      </c>
      <c r="C281" t="s">
        <v>153</v>
      </c>
      <c r="D281" t="s">
        <v>800</v>
      </c>
      <c r="E281" t="s">
        <v>1370</v>
      </c>
      <c r="F281" s="134">
        <v>0.93065972222222226</v>
      </c>
      <c r="G281" t="s">
        <v>1371</v>
      </c>
      <c r="H281" t="s">
        <v>1372</v>
      </c>
    </row>
    <row r="282" spans="1:8">
      <c r="A282">
        <v>7815083</v>
      </c>
      <c r="B282" t="s">
        <v>801</v>
      </c>
      <c r="C282" t="s">
        <v>153</v>
      </c>
      <c r="D282" t="s">
        <v>800</v>
      </c>
      <c r="E282" t="s">
        <v>1375</v>
      </c>
      <c r="F282" s="134">
        <v>0.3144675925925926</v>
      </c>
      <c r="G282" t="s">
        <v>1373</v>
      </c>
      <c r="H282" t="s">
        <v>1374</v>
      </c>
    </row>
    <row r="283" spans="1:8">
      <c r="A283">
        <v>7815083</v>
      </c>
      <c r="B283" t="s">
        <v>801</v>
      </c>
      <c r="C283" t="s">
        <v>153</v>
      </c>
      <c r="D283" t="s">
        <v>800</v>
      </c>
      <c r="E283" t="s">
        <v>1375</v>
      </c>
      <c r="F283" s="134">
        <v>0.93201388888888881</v>
      </c>
      <c r="G283" t="s">
        <v>1371</v>
      </c>
      <c r="H283" t="s">
        <v>1372</v>
      </c>
    </row>
    <row r="284" spans="1:8">
      <c r="A284">
        <v>7815083</v>
      </c>
      <c r="B284" t="s">
        <v>801</v>
      </c>
      <c r="C284" t="s">
        <v>153</v>
      </c>
      <c r="D284" t="s">
        <v>800</v>
      </c>
      <c r="E284" t="s">
        <v>1376</v>
      </c>
      <c r="F284" s="134">
        <v>0.31428240740740737</v>
      </c>
      <c r="G284" t="s">
        <v>1373</v>
      </c>
      <c r="H284" t="s">
        <v>1374</v>
      </c>
    </row>
    <row r="285" spans="1:8">
      <c r="A285">
        <v>7815083</v>
      </c>
      <c r="B285" t="s">
        <v>801</v>
      </c>
      <c r="C285" t="s">
        <v>153</v>
      </c>
      <c r="D285" t="s">
        <v>800</v>
      </c>
      <c r="E285" t="s">
        <v>1376</v>
      </c>
      <c r="F285" s="134">
        <v>0.92980324074074072</v>
      </c>
      <c r="G285" t="s">
        <v>1371</v>
      </c>
      <c r="H285" t="s">
        <v>1372</v>
      </c>
    </row>
    <row r="286" spans="1:8">
      <c r="A286">
        <v>7815083</v>
      </c>
      <c r="B286" t="s">
        <v>801</v>
      </c>
      <c r="C286" t="s">
        <v>153</v>
      </c>
      <c r="D286" t="s">
        <v>800</v>
      </c>
      <c r="E286" t="s">
        <v>1377</v>
      </c>
      <c r="F286" s="134">
        <v>0.31362268518518516</v>
      </c>
      <c r="G286" t="s">
        <v>1373</v>
      </c>
      <c r="H286" t="s">
        <v>1374</v>
      </c>
    </row>
    <row r="287" spans="1:8">
      <c r="A287">
        <v>7815083</v>
      </c>
      <c r="B287" t="s">
        <v>801</v>
      </c>
      <c r="C287" t="s">
        <v>153</v>
      </c>
      <c r="D287" t="s">
        <v>800</v>
      </c>
      <c r="E287" t="s">
        <v>1377</v>
      </c>
      <c r="F287" s="134">
        <v>0.93166666666666664</v>
      </c>
      <c r="G287" t="s">
        <v>1371</v>
      </c>
      <c r="H287" t="s">
        <v>1372</v>
      </c>
    </row>
    <row r="288" spans="1:8">
      <c r="A288">
        <v>7815083</v>
      </c>
      <c r="B288" t="s">
        <v>801</v>
      </c>
      <c r="C288" t="s">
        <v>153</v>
      </c>
      <c r="D288" t="s">
        <v>800</v>
      </c>
      <c r="E288" t="s">
        <v>1378</v>
      </c>
      <c r="F288" s="134">
        <v>0.31366898148148148</v>
      </c>
      <c r="G288" t="s">
        <v>1373</v>
      </c>
      <c r="H288" t="s">
        <v>1374</v>
      </c>
    </row>
    <row r="289" spans="1:8">
      <c r="A289">
        <v>7815083</v>
      </c>
      <c r="B289" t="s">
        <v>801</v>
      </c>
      <c r="C289" t="s">
        <v>153</v>
      </c>
      <c r="D289" t="s">
        <v>800</v>
      </c>
      <c r="E289" t="s">
        <v>1378</v>
      </c>
      <c r="F289" s="134">
        <v>0.93167824074074079</v>
      </c>
      <c r="G289" t="s">
        <v>1371</v>
      </c>
      <c r="H289" t="s">
        <v>1372</v>
      </c>
    </row>
    <row r="290" spans="1:8">
      <c r="A290">
        <v>7815083</v>
      </c>
      <c r="B290" t="s">
        <v>801</v>
      </c>
      <c r="C290" t="s">
        <v>153</v>
      </c>
      <c r="D290" t="s">
        <v>800</v>
      </c>
      <c r="E290" t="s">
        <v>1379</v>
      </c>
      <c r="F290" s="134">
        <v>0.31523148148148145</v>
      </c>
      <c r="G290" t="s">
        <v>1373</v>
      </c>
      <c r="H290" t="s">
        <v>1374</v>
      </c>
    </row>
    <row r="291" spans="1:8">
      <c r="A291">
        <v>7815607</v>
      </c>
      <c r="B291" t="s">
        <v>319</v>
      </c>
      <c r="C291" t="s">
        <v>317</v>
      </c>
      <c r="D291" t="s">
        <v>318</v>
      </c>
      <c r="E291" t="s">
        <v>1370</v>
      </c>
      <c r="F291" s="134">
        <v>0.60393518518518519</v>
      </c>
      <c r="G291" t="s">
        <v>1371</v>
      </c>
      <c r="H291" t="s">
        <v>1372</v>
      </c>
    </row>
    <row r="292" spans="1:8">
      <c r="A292">
        <v>7815607</v>
      </c>
      <c r="B292" t="s">
        <v>319</v>
      </c>
      <c r="C292" t="s">
        <v>317</v>
      </c>
      <c r="D292" t="s">
        <v>318</v>
      </c>
      <c r="E292" t="s">
        <v>1370</v>
      </c>
      <c r="F292" s="134">
        <v>0.94688657407407406</v>
      </c>
      <c r="G292" t="s">
        <v>1373</v>
      </c>
      <c r="H292" t="s">
        <v>1374</v>
      </c>
    </row>
    <row r="293" spans="1:8">
      <c r="A293">
        <v>7815607</v>
      </c>
      <c r="B293" t="s">
        <v>319</v>
      </c>
      <c r="C293" t="s">
        <v>317</v>
      </c>
      <c r="D293" t="s">
        <v>318</v>
      </c>
      <c r="E293" t="s">
        <v>1375</v>
      </c>
      <c r="F293" s="134">
        <v>0.60606481481481478</v>
      </c>
      <c r="G293" t="s">
        <v>1371</v>
      </c>
      <c r="H293" t="s">
        <v>1372</v>
      </c>
    </row>
    <row r="294" spans="1:8">
      <c r="A294">
        <v>7815607</v>
      </c>
      <c r="B294" t="s">
        <v>319</v>
      </c>
      <c r="C294" t="s">
        <v>317</v>
      </c>
      <c r="D294" t="s">
        <v>318</v>
      </c>
      <c r="E294" t="s">
        <v>1375</v>
      </c>
      <c r="F294" s="134">
        <v>0.94554398148148155</v>
      </c>
      <c r="G294" t="s">
        <v>1373</v>
      </c>
      <c r="H294" t="s">
        <v>1374</v>
      </c>
    </row>
    <row r="295" spans="1:8">
      <c r="A295">
        <v>7815607</v>
      </c>
      <c r="B295" t="s">
        <v>319</v>
      </c>
      <c r="C295" t="s">
        <v>317</v>
      </c>
      <c r="D295" t="s">
        <v>318</v>
      </c>
      <c r="E295" t="s">
        <v>1376</v>
      </c>
      <c r="F295" s="134">
        <v>0.94630787037037034</v>
      </c>
      <c r="G295" t="s">
        <v>1373</v>
      </c>
      <c r="H295" t="s">
        <v>1374</v>
      </c>
    </row>
    <row r="296" spans="1:8">
      <c r="A296">
        <v>7815607</v>
      </c>
      <c r="B296" t="s">
        <v>319</v>
      </c>
      <c r="C296" t="s">
        <v>317</v>
      </c>
      <c r="D296" t="s">
        <v>318</v>
      </c>
      <c r="E296" t="s">
        <v>1376</v>
      </c>
      <c r="F296" s="134">
        <v>0.60298611111111111</v>
      </c>
      <c r="G296" t="s">
        <v>1371</v>
      </c>
      <c r="H296" t="s">
        <v>1372</v>
      </c>
    </row>
    <row r="297" spans="1:8">
      <c r="A297">
        <v>7815607</v>
      </c>
      <c r="B297" t="s">
        <v>319</v>
      </c>
      <c r="C297" t="s">
        <v>317</v>
      </c>
      <c r="D297" t="s">
        <v>318</v>
      </c>
      <c r="E297" t="s">
        <v>1377</v>
      </c>
      <c r="F297" s="134">
        <v>0.60521990740740739</v>
      </c>
      <c r="G297" t="s">
        <v>1371</v>
      </c>
      <c r="H297" t="s">
        <v>1372</v>
      </c>
    </row>
    <row r="298" spans="1:8">
      <c r="A298">
        <v>7815607</v>
      </c>
      <c r="B298" t="s">
        <v>319</v>
      </c>
      <c r="C298" t="s">
        <v>317</v>
      </c>
      <c r="D298" t="s">
        <v>318</v>
      </c>
      <c r="E298" t="s">
        <v>1377</v>
      </c>
      <c r="F298" s="134">
        <v>0.94604166666666656</v>
      </c>
      <c r="G298" t="s">
        <v>1373</v>
      </c>
      <c r="H298" t="s">
        <v>1374</v>
      </c>
    </row>
    <row r="299" spans="1:8">
      <c r="A299">
        <v>7815607</v>
      </c>
      <c r="B299" t="s">
        <v>319</v>
      </c>
      <c r="C299" t="s">
        <v>317</v>
      </c>
      <c r="D299" t="s">
        <v>318</v>
      </c>
      <c r="E299" t="s">
        <v>1378</v>
      </c>
      <c r="F299" s="134">
        <v>0.60096064814814809</v>
      </c>
      <c r="G299" t="s">
        <v>1371</v>
      </c>
      <c r="H299" t="s">
        <v>1372</v>
      </c>
    </row>
    <row r="300" spans="1:8">
      <c r="A300">
        <v>7815607</v>
      </c>
      <c r="B300" t="s">
        <v>319</v>
      </c>
      <c r="C300" t="s">
        <v>317</v>
      </c>
      <c r="D300" t="s">
        <v>318</v>
      </c>
      <c r="E300" t="s">
        <v>1378</v>
      </c>
      <c r="F300" s="134">
        <v>0.9453125</v>
      </c>
      <c r="G300" t="s">
        <v>1373</v>
      </c>
      <c r="H300" t="s">
        <v>1374</v>
      </c>
    </row>
    <row r="301" spans="1:8">
      <c r="A301">
        <v>7815607</v>
      </c>
      <c r="B301" t="s">
        <v>319</v>
      </c>
      <c r="C301" t="s">
        <v>317</v>
      </c>
      <c r="D301" t="s">
        <v>318</v>
      </c>
      <c r="E301" t="s">
        <v>1379</v>
      </c>
      <c r="F301" s="134">
        <v>0.60144675925925928</v>
      </c>
      <c r="G301" t="s">
        <v>1371</v>
      </c>
      <c r="H301" t="s">
        <v>1372</v>
      </c>
    </row>
    <row r="302" spans="1:8">
      <c r="A302">
        <v>7815607</v>
      </c>
      <c r="B302" t="s">
        <v>319</v>
      </c>
      <c r="C302" t="s">
        <v>317</v>
      </c>
      <c r="D302" t="s">
        <v>318</v>
      </c>
      <c r="E302" t="s">
        <v>1379</v>
      </c>
      <c r="F302" s="134">
        <v>0.93759259259259264</v>
      </c>
      <c r="G302" t="s">
        <v>1373</v>
      </c>
      <c r="H302" t="s">
        <v>1374</v>
      </c>
    </row>
    <row r="303" spans="1:8">
      <c r="A303">
        <v>7816535</v>
      </c>
      <c r="B303" t="s">
        <v>285</v>
      </c>
      <c r="C303" t="s">
        <v>283</v>
      </c>
      <c r="D303" t="s">
        <v>284</v>
      </c>
      <c r="E303" t="s">
        <v>1370</v>
      </c>
      <c r="F303" s="134">
        <v>0.6131712962962963</v>
      </c>
      <c r="G303" t="s">
        <v>1371</v>
      </c>
      <c r="H303" t="s">
        <v>1372</v>
      </c>
    </row>
    <row r="304" spans="1:8">
      <c r="A304">
        <v>7816535</v>
      </c>
      <c r="B304" t="s">
        <v>285</v>
      </c>
      <c r="C304" t="s">
        <v>283</v>
      </c>
      <c r="D304" t="s">
        <v>284</v>
      </c>
      <c r="E304" t="s">
        <v>1370</v>
      </c>
      <c r="F304" s="134">
        <v>0.94130787037037045</v>
      </c>
      <c r="G304" t="s">
        <v>1373</v>
      </c>
      <c r="H304" t="s">
        <v>1374</v>
      </c>
    </row>
    <row r="305" spans="1:8">
      <c r="A305">
        <v>7816535</v>
      </c>
      <c r="B305" t="s">
        <v>285</v>
      </c>
      <c r="C305" t="s">
        <v>283</v>
      </c>
      <c r="D305" t="s">
        <v>284</v>
      </c>
      <c r="E305" t="s">
        <v>1375</v>
      </c>
      <c r="F305" s="134">
        <v>0.61750000000000005</v>
      </c>
      <c r="G305" t="s">
        <v>1371</v>
      </c>
      <c r="H305" t="s">
        <v>1372</v>
      </c>
    </row>
    <row r="306" spans="1:8">
      <c r="A306">
        <v>7816535</v>
      </c>
      <c r="B306" t="s">
        <v>285</v>
      </c>
      <c r="C306" t="s">
        <v>283</v>
      </c>
      <c r="D306" t="s">
        <v>284</v>
      </c>
      <c r="E306" t="s">
        <v>1375</v>
      </c>
      <c r="F306" s="134">
        <v>0.94005787037037036</v>
      </c>
      <c r="G306" t="s">
        <v>1373</v>
      </c>
      <c r="H306" t="s">
        <v>1374</v>
      </c>
    </row>
    <row r="307" spans="1:8">
      <c r="A307">
        <v>7816535</v>
      </c>
      <c r="B307" t="s">
        <v>285</v>
      </c>
      <c r="C307" t="s">
        <v>283</v>
      </c>
      <c r="D307" t="s">
        <v>284</v>
      </c>
      <c r="E307" t="s">
        <v>1376</v>
      </c>
      <c r="F307" s="134">
        <v>0.93997685185185187</v>
      </c>
      <c r="G307" t="s">
        <v>1373</v>
      </c>
      <c r="H307" t="s">
        <v>1374</v>
      </c>
    </row>
    <row r="308" spans="1:8">
      <c r="A308">
        <v>7816535</v>
      </c>
      <c r="B308" t="s">
        <v>285</v>
      </c>
      <c r="C308" t="s">
        <v>283</v>
      </c>
      <c r="D308" t="s">
        <v>284</v>
      </c>
      <c r="E308" t="s">
        <v>1376</v>
      </c>
      <c r="F308" s="134">
        <v>0.61460648148148145</v>
      </c>
      <c r="G308" t="s">
        <v>1371</v>
      </c>
      <c r="H308" t="s">
        <v>1372</v>
      </c>
    </row>
    <row r="309" spans="1:8">
      <c r="A309">
        <v>7816535</v>
      </c>
      <c r="B309" t="s">
        <v>285</v>
      </c>
      <c r="C309" t="s">
        <v>283</v>
      </c>
      <c r="D309" t="s">
        <v>284</v>
      </c>
      <c r="E309" t="s">
        <v>1377</v>
      </c>
      <c r="F309" s="134">
        <v>0.61547453703703703</v>
      </c>
      <c r="G309" t="s">
        <v>1371</v>
      </c>
      <c r="H309" t="s">
        <v>1372</v>
      </c>
    </row>
    <row r="310" spans="1:8">
      <c r="A310">
        <v>7816535</v>
      </c>
      <c r="B310" t="s">
        <v>285</v>
      </c>
      <c r="C310" t="s">
        <v>283</v>
      </c>
      <c r="D310" t="s">
        <v>284</v>
      </c>
      <c r="E310" t="s">
        <v>1377</v>
      </c>
      <c r="F310" s="134">
        <v>0.93863425925925925</v>
      </c>
      <c r="G310" t="s">
        <v>1373</v>
      </c>
      <c r="H310" t="s">
        <v>1374</v>
      </c>
    </row>
    <row r="311" spans="1:8">
      <c r="A311">
        <v>7816535</v>
      </c>
      <c r="B311" t="s">
        <v>285</v>
      </c>
      <c r="C311" t="s">
        <v>283</v>
      </c>
      <c r="D311" t="s">
        <v>284</v>
      </c>
      <c r="E311" t="s">
        <v>1378</v>
      </c>
      <c r="F311" s="134">
        <v>0.616724537037037</v>
      </c>
      <c r="G311" t="s">
        <v>1371</v>
      </c>
      <c r="H311" t="s">
        <v>1372</v>
      </c>
    </row>
    <row r="312" spans="1:8">
      <c r="A312">
        <v>7816535</v>
      </c>
      <c r="B312" t="s">
        <v>285</v>
      </c>
      <c r="C312" t="s">
        <v>283</v>
      </c>
      <c r="D312" t="s">
        <v>284</v>
      </c>
      <c r="E312" t="s">
        <v>1378</v>
      </c>
      <c r="F312" s="134">
        <v>0.94081018518518522</v>
      </c>
      <c r="G312" t="s">
        <v>1373</v>
      </c>
      <c r="H312" t="s">
        <v>1374</v>
      </c>
    </row>
    <row r="313" spans="1:8">
      <c r="A313">
        <v>7816535</v>
      </c>
      <c r="B313" t="s">
        <v>285</v>
      </c>
      <c r="C313" t="s">
        <v>283</v>
      </c>
      <c r="D313" t="s">
        <v>284</v>
      </c>
      <c r="E313" t="s">
        <v>1379</v>
      </c>
      <c r="F313" s="134">
        <v>0.61488425925925927</v>
      </c>
      <c r="G313" t="s">
        <v>1371</v>
      </c>
      <c r="H313" t="s">
        <v>1372</v>
      </c>
    </row>
    <row r="314" spans="1:8">
      <c r="A314">
        <v>7816535</v>
      </c>
      <c r="B314" t="s">
        <v>285</v>
      </c>
      <c r="C314" t="s">
        <v>283</v>
      </c>
      <c r="D314" t="s">
        <v>284</v>
      </c>
      <c r="E314" t="s">
        <v>1379</v>
      </c>
      <c r="F314" s="134">
        <v>0.9307523148148148</v>
      </c>
      <c r="G314" t="s">
        <v>1373</v>
      </c>
      <c r="H314" t="s">
        <v>1374</v>
      </c>
    </row>
    <row r="315" spans="1:8">
      <c r="A315">
        <v>7816805</v>
      </c>
      <c r="B315" t="s">
        <v>1238</v>
      </c>
      <c r="C315" t="s">
        <v>599</v>
      </c>
      <c r="D315" t="s">
        <v>443</v>
      </c>
      <c r="E315" t="s">
        <v>1370</v>
      </c>
      <c r="F315" s="134">
        <v>0.28768518518518521</v>
      </c>
      <c r="G315" t="s">
        <v>1371</v>
      </c>
      <c r="H315" t="s">
        <v>1372</v>
      </c>
    </row>
    <row r="316" spans="1:8">
      <c r="A316">
        <v>7816805</v>
      </c>
      <c r="B316" t="s">
        <v>1238</v>
      </c>
      <c r="C316" t="s">
        <v>599</v>
      </c>
      <c r="D316" t="s">
        <v>443</v>
      </c>
      <c r="E316" t="s">
        <v>1370</v>
      </c>
      <c r="F316" s="134">
        <v>0.72741898148148154</v>
      </c>
      <c r="G316" t="s">
        <v>1373</v>
      </c>
      <c r="H316" t="s">
        <v>1374</v>
      </c>
    </row>
    <row r="317" spans="1:8">
      <c r="A317">
        <v>7816805</v>
      </c>
      <c r="B317" t="s">
        <v>1238</v>
      </c>
      <c r="C317" t="s">
        <v>599</v>
      </c>
      <c r="D317" t="s">
        <v>443</v>
      </c>
      <c r="E317" t="s">
        <v>1375</v>
      </c>
      <c r="F317" s="134">
        <v>0.29025462962962961</v>
      </c>
      <c r="G317" t="s">
        <v>1371</v>
      </c>
      <c r="H317" t="s">
        <v>1372</v>
      </c>
    </row>
    <row r="318" spans="1:8">
      <c r="A318">
        <v>7816805</v>
      </c>
      <c r="B318" t="s">
        <v>1238</v>
      </c>
      <c r="C318" t="s">
        <v>599</v>
      </c>
      <c r="D318" t="s">
        <v>443</v>
      </c>
      <c r="E318" t="s">
        <v>1375</v>
      </c>
      <c r="F318" s="134">
        <v>0.7257986111111111</v>
      </c>
      <c r="G318" t="s">
        <v>1373</v>
      </c>
      <c r="H318" t="s">
        <v>1374</v>
      </c>
    </row>
    <row r="319" spans="1:8">
      <c r="A319">
        <v>7816805</v>
      </c>
      <c r="B319" t="s">
        <v>1238</v>
      </c>
      <c r="C319" t="s">
        <v>599</v>
      </c>
      <c r="D319" t="s">
        <v>443</v>
      </c>
      <c r="E319" t="s">
        <v>1376</v>
      </c>
      <c r="F319" s="134">
        <v>0.72440972222222222</v>
      </c>
      <c r="G319" t="s">
        <v>1373</v>
      </c>
      <c r="H319" t="s">
        <v>1374</v>
      </c>
    </row>
    <row r="320" spans="1:8">
      <c r="A320">
        <v>7816805</v>
      </c>
      <c r="B320" t="s">
        <v>1238</v>
      </c>
      <c r="C320" t="s">
        <v>599</v>
      </c>
      <c r="D320" t="s">
        <v>443</v>
      </c>
      <c r="E320" t="s">
        <v>1376</v>
      </c>
      <c r="F320" s="134">
        <v>0.29131944444444446</v>
      </c>
      <c r="G320" t="s">
        <v>1371</v>
      </c>
      <c r="H320" t="s">
        <v>1372</v>
      </c>
    </row>
    <row r="321" spans="1:8">
      <c r="A321">
        <v>7816805</v>
      </c>
      <c r="B321" t="s">
        <v>1238</v>
      </c>
      <c r="C321" t="s">
        <v>599</v>
      </c>
      <c r="D321" t="s">
        <v>443</v>
      </c>
      <c r="E321" t="s">
        <v>1377</v>
      </c>
      <c r="F321" s="134">
        <v>0.2895949074074074</v>
      </c>
      <c r="G321" t="s">
        <v>1371</v>
      </c>
      <c r="H321" t="s">
        <v>1372</v>
      </c>
    </row>
    <row r="322" spans="1:8">
      <c r="A322">
        <v>7816805</v>
      </c>
      <c r="B322" t="s">
        <v>1238</v>
      </c>
      <c r="C322" t="s">
        <v>599</v>
      </c>
      <c r="D322" t="s">
        <v>443</v>
      </c>
      <c r="E322" t="s">
        <v>1377</v>
      </c>
      <c r="F322" s="134">
        <v>0.71650462962962969</v>
      </c>
      <c r="G322" t="s">
        <v>1373</v>
      </c>
      <c r="H322" t="s">
        <v>1374</v>
      </c>
    </row>
    <row r="323" spans="1:8">
      <c r="A323">
        <v>7816805</v>
      </c>
      <c r="B323" t="s">
        <v>1238</v>
      </c>
      <c r="C323" t="s">
        <v>599</v>
      </c>
      <c r="D323" t="s">
        <v>443</v>
      </c>
      <c r="E323" t="s">
        <v>1378</v>
      </c>
      <c r="F323" s="134">
        <v>0.28870370370370368</v>
      </c>
      <c r="G323" t="s">
        <v>1371</v>
      </c>
      <c r="H323" t="s">
        <v>1372</v>
      </c>
    </row>
    <row r="324" spans="1:8">
      <c r="A324">
        <v>7816805</v>
      </c>
      <c r="B324" t="s">
        <v>1238</v>
      </c>
      <c r="C324" t="s">
        <v>599</v>
      </c>
      <c r="D324" t="s">
        <v>443</v>
      </c>
      <c r="E324" t="s">
        <v>1378</v>
      </c>
      <c r="F324" s="134">
        <v>0.64210648148148153</v>
      </c>
      <c r="G324" t="s">
        <v>1373</v>
      </c>
      <c r="H324" t="s">
        <v>1374</v>
      </c>
    </row>
    <row r="325" spans="1:8">
      <c r="A325">
        <v>7816805</v>
      </c>
      <c r="B325" t="s">
        <v>1238</v>
      </c>
      <c r="C325" t="s">
        <v>599</v>
      </c>
      <c r="D325" t="s">
        <v>443</v>
      </c>
      <c r="E325" t="s">
        <v>1379</v>
      </c>
      <c r="F325" s="134">
        <v>0.28924768518518518</v>
      </c>
      <c r="G325" t="s">
        <v>1371</v>
      </c>
      <c r="H325" t="s">
        <v>1372</v>
      </c>
    </row>
    <row r="326" spans="1:8">
      <c r="A326">
        <v>7816805</v>
      </c>
      <c r="B326" t="s">
        <v>1238</v>
      </c>
      <c r="C326" t="s">
        <v>599</v>
      </c>
      <c r="D326" t="s">
        <v>443</v>
      </c>
      <c r="E326" t="s">
        <v>1379</v>
      </c>
      <c r="F326" s="134">
        <v>0.63826388888888885</v>
      </c>
      <c r="G326" t="s">
        <v>1373</v>
      </c>
      <c r="H326" t="s">
        <v>1374</v>
      </c>
    </row>
    <row r="327" spans="1:8">
      <c r="A327">
        <v>7832770</v>
      </c>
      <c r="B327" t="s">
        <v>480</v>
      </c>
      <c r="C327" t="s">
        <v>888</v>
      </c>
      <c r="D327" t="s">
        <v>432</v>
      </c>
      <c r="E327" t="s">
        <v>1370</v>
      </c>
      <c r="F327" s="134">
        <v>0.89917824074074071</v>
      </c>
      <c r="G327" t="s">
        <v>1371</v>
      </c>
      <c r="H327" t="s">
        <v>1372</v>
      </c>
    </row>
    <row r="328" spans="1:8">
      <c r="A328">
        <v>7832770</v>
      </c>
      <c r="B328" t="s">
        <v>480</v>
      </c>
      <c r="C328" t="s">
        <v>888</v>
      </c>
      <c r="D328" t="s">
        <v>432</v>
      </c>
      <c r="E328" t="s">
        <v>1375</v>
      </c>
      <c r="F328" s="134">
        <v>0.31318287037037035</v>
      </c>
      <c r="G328" t="s">
        <v>1373</v>
      </c>
      <c r="H328" t="s">
        <v>1374</v>
      </c>
    </row>
    <row r="329" spans="1:8">
      <c r="A329">
        <v>7832770</v>
      </c>
      <c r="B329" t="s">
        <v>480</v>
      </c>
      <c r="C329" t="s">
        <v>888</v>
      </c>
      <c r="D329" t="s">
        <v>432</v>
      </c>
      <c r="E329" t="s">
        <v>1375</v>
      </c>
      <c r="F329" s="134">
        <v>0.89613425925925927</v>
      </c>
      <c r="G329" t="s">
        <v>1371</v>
      </c>
      <c r="H329" t="s">
        <v>1372</v>
      </c>
    </row>
    <row r="330" spans="1:8">
      <c r="A330">
        <v>7832770</v>
      </c>
      <c r="B330" t="s">
        <v>480</v>
      </c>
      <c r="C330" t="s">
        <v>888</v>
      </c>
      <c r="D330" t="s">
        <v>432</v>
      </c>
      <c r="E330" t="s">
        <v>1376</v>
      </c>
      <c r="F330" s="134">
        <v>0.31910879629629629</v>
      </c>
      <c r="G330" t="s">
        <v>1373</v>
      </c>
      <c r="H330" t="s">
        <v>1374</v>
      </c>
    </row>
    <row r="331" spans="1:8">
      <c r="A331">
        <v>7832770</v>
      </c>
      <c r="B331" t="s">
        <v>480</v>
      </c>
      <c r="C331" t="s">
        <v>888</v>
      </c>
      <c r="D331" t="s">
        <v>432</v>
      </c>
      <c r="E331" t="s">
        <v>1376</v>
      </c>
      <c r="F331" s="134">
        <v>0.89098379629629632</v>
      </c>
      <c r="G331" t="s">
        <v>1371</v>
      </c>
      <c r="H331" t="s">
        <v>1372</v>
      </c>
    </row>
    <row r="332" spans="1:8">
      <c r="A332">
        <v>7832770</v>
      </c>
      <c r="B332" t="s">
        <v>480</v>
      </c>
      <c r="C332" t="s">
        <v>888</v>
      </c>
      <c r="D332" t="s">
        <v>432</v>
      </c>
      <c r="E332" t="s">
        <v>1377</v>
      </c>
      <c r="F332" s="134">
        <v>0.32023148148148145</v>
      </c>
      <c r="G332" t="s">
        <v>1373</v>
      </c>
      <c r="H332" t="s">
        <v>1374</v>
      </c>
    </row>
    <row r="333" spans="1:8">
      <c r="A333">
        <v>7832770</v>
      </c>
      <c r="B333" t="s">
        <v>480</v>
      </c>
      <c r="C333" t="s">
        <v>888</v>
      </c>
      <c r="D333" t="s">
        <v>432</v>
      </c>
      <c r="E333" t="s">
        <v>1377</v>
      </c>
      <c r="F333" s="134">
        <v>0.89322916666666663</v>
      </c>
      <c r="G333" t="s">
        <v>1371</v>
      </c>
      <c r="H333" t="s">
        <v>1372</v>
      </c>
    </row>
    <row r="334" spans="1:8">
      <c r="A334">
        <v>7832770</v>
      </c>
      <c r="B334" t="s">
        <v>480</v>
      </c>
      <c r="C334" t="s">
        <v>888</v>
      </c>
      <c r="D334" t="s">
        <v>432</v>
      </c>
      <c r="E334" t="s">
        <v>1378</v>
      </c>
      <c r="F334" s="134">
        <v>0.31957175925925924</v>
      </c>
      <c r="G334" t="s">
        <v>1373</v>
      </c>
      <c r="H334" t="s">
        <v>1374</v>
      </c>
    </row>
    <row r="335" spans="1:8">
      <c r="A335">
        <v>7832770</v>
      </c>
      <c r="B335" t="s">
        <v>480</v>
      </c>
      <c r="C335" t="s">
        <v>888</v>
      </c>
      <c r="D335" t="s">
        <v>432</v>
      </c>
      <c r="E335" t="s">
        <v>1378</v>
      </c>
      <c r="F335" s="134">
        <v>0.90391203703703704</v>
      </c>
      <c r="G335" t="s">
        <v>1371</v>
      </c>
      <c r="H335" t="s">
        <v>1372</v>
      </c>
    </row>
    <row r="336" spans="1:8">
      <c r="A336">
        <v>7832770</v>
      </c>
      <c r="B336" t="s">
        <v>480</v>
      </c>
      <c r="C336" t="s">
        <v>888</v>
      </c>
      <c r="D336" t="s">
        <v>432</v>
      </c>
      <c r="E336" t="s">
        <v>1379</v>
      </c>
      <c r="F336" s="134">
        <v>0.31678240740740743</v>
      </c>
      <c r="G336" t="s">
        <v>1373</v>
      </c>
      <c r="H336" t="s">
        <v>1374</v>
      </c>
    </row>
    <row r="337" spans="1:8">
      <c r="A337">
        <v>7913597</v>
      </c>
      <c r="B337" t="s">
        <v>879</v>
      </c>
      <c r="C337" t="s">
        <v>610</v>
      </c>
      <c r="D337" t="s">
        <v>878</v>
      </c>
      <c r="E337" t="s">
        <v>1370</v>
      </c>
      <c r="F337" s="134">
        <v>0.60719907407407414</v>
      </c>
      <c r="G337" t="s">
        <v>1371</v>
      </c>
      <c r="H337" t="s">
        <v>1372</v>
      </c>
    </row>
    <row r="338" spans="1:8">
      <c r="A338">
        <v>7913597</v>
      </c>
      <c r="B338" t="s">
        <v>879</v>
      </c>
      <c r="C338" t="s">
        <v>610</v>
      </c>
      <c r="D338" t="s">
        <v>878</v>
      </c>
      <c r="E338" t="s">
        <v>1370</v>
      </c>
      <c r="F338" s="134">
        <v>0.94620370370370377</v>
      </c>
      <c r="G338" t="s">
        <v>1373</v>
      </c>
      <c r="H338" t="s">
        <v>1374</v>
      </c>
    </row>
    <row r="339" spans="1:8">
      <c r="A339">
        <v>7913597</v>
      </c>
      <c r="B339" t="s">
        <v>879</v>
      </c>
      <c r="C339" t="s">
        <v>610</v>
      </c>
      <c r="D339" t="s">
        <v>878</v>
      </c>
      <c r="E339" t="s">
        <v>1375</v>
      </c>
      <c r="F339" s="134">
        <v>0.52148148148148155</v>
      </c>
      <c r="G339" t="s">
        <v>1371</v>
      </c>
      <c r="H339" t="s">
        <v>1372</v>
      </c>
    </row>
    <row r="340" spans="1:8">
      <c r="A340">
        <v>7913597</v>
      </c>
      <c r="B340" t="s">
        <v>879</v>
      </c>
      <c r="C340" t="s">
        <v>610</v>
      </c>
      <c r="D340" t="s">
        <v>878</v>
      </c>
      <c r="E340" t="s">
        <v>1375</v>
      </c>
      <c r="F340" s="134">
        <v>0.94680555555555557</v>
      </c>
      <c r="G340" t="s">
        <v>1373</v>
      </c>
      <c r="H340" t="s">
        <v>1374</v>
      </c>
    </row>
    <row r="341" spans="1:8">
      <c r="A341">
        <v>7913597</v>
      </c>
      <c r="B341" t="s">
        <v>879</v>
      </c>
      <c r="C341" t="s">
        <v>610</v>
      </c>
      <c r="D341" t="s">
        <v>878</v>
      </c>
      <c r="E341" t="s">
        <v>1376</v>
      </c>
      <c r="F341" s="134">
        <v>0.94642361111111117</v>
      </c>
      <c r="G341" t="s">
        <v>1373</v>
      </c>
      <c r="H341" t="s">
        <v>1374</v>
      </c>
    </row>
    <row r="342" spans="1:8">
      <c r="A342">
        <v>7913597</v>
      </c>
      <c r="B342" t="s">
        <v>879</v>
      </c>
      <c r="C342" t="s">
        <v>610</v>
      </c>
      <c r="D342" t="s">
        <v>878</v>
      </c>
      <c r="E342" t="s">
        <v>1376</v>
      </c>
      <c r="F342" s="134">
        <v>0.51959490740740744</v>
      </c>
      <c r="G342" t="s">
        <v>1371</v>
      </c>
      <c r="H342" t="s">
        <v>1372</v>
      </c>
    </row>
    <row r="343" spans="1:8">
      <c r="A343">
        <v>7913597</v>
      </c>
      <c r="B343" t="s">
        <v>879</v>
      </c>
      <c r="C343" t="s">
        <v>610</v>
      </c>
      <c r="D343" t="s">
        <v>878</v>
      </c>
      <c r="E343" t="s">
        <v>1377</v>
      </c>
      <c r="F343" s="134">
        <v>0.60708333333333331</v>
      </c>
      <c r="G343" t="s">
        <v>1371</v>
      </c>
      <c r="H343" t="s">
        <v>1372</v>
      </c>
    </row>
    <row r="344" spans="1:8">
      <c r="A344">
        <v>7913597</v>
      </c>
      <c r="B344" t="s">
        <v>879</v>
      </c>
      <c r="C344" t="s">
        <v>610</v>
      </c>
      <c r="D344" t="s">
        <v>878</v>
      </c>
      <c r="E344" t="s">
        <v>1377</v>
      </c>
      <c r="F344" s="134">
        <v>0.94873842592592583</v>
      </c>
      <c r="G344" t="s">
        <v>1373</v>
      </c>
      <c r="H344" t="s">
        <v>1374</v>
      </c>
    </row>
    <row r="345" spans="1:8">
      <c r="A345">
        <v>7913597</v>
      </c>
      <c r="B345" t="s">
        <v>879</v>
      </c>
      <c r="C345" t="s">
        <v>610</v>
      </c>
      <c r="D345" t="s">
        <v>878</v>
      </c>
      <c r="E345" t="s">
        <v>1378</v>
      </c>
      <c r="F345" s="134">
        <v>0.60737268518518517</v>
      </c>
      <c r="G345" t="s">
        <v>1371</v>
      </c>
      <c r="H345" t="s">
        <v>1372</v>
      </c>
    </row>
    <row r="346" spans="1:8">
      <c r="A346">
        <v>7913597</v>
      </c>
      <c r="B346" t="s">
        <v>879</v>
      </c>
      <c r="C346" t="s">
        <v>610</v>
      </c>
      <c r="D346" t="s">
        <v>878</v>
      </c>
      <c r="E346" t="s">
        <v>1378</v>
      </c>
      <c r="F346" s="134">
        <v>0.9490277777777778</v>
      </c>
      <c r="G346" t="s">
        <v>1373</v>
      </c>
      <c r="H346" t="s">
        <v>1374</v>
      </c>
    </row>
    <row r="347" spans="1:8">
      <c r="A347">
        <v>7913597</v>
      </c>
      <c r="B347" t="s">
        <v>879</v>
      </c>
      <c r="C347" t="s">
        <v>610</v>
      </c>
      <c r="D347" t="s">
        <v>878</v>
      </c>
      <c r="E347" t="s">
        <v>1379</v>
      </c>
      <c r="F347" s="134">
        <v>0.60914351851851845</v>
      </c>
      <c r="G347" t="s">
        <v>1371</v>
      </c>
      <c r="H347" t="s">
        <v>1372</v>
      </c>
    </row>
    <row r="348" spans="1:8">
      <c r="A348">
        <v>7913597</v>
      </c>
      <c r="B348" t="s">
        <v>879</v>
      </c>
      <c r="C348" t="s">
        <v>610</v>
      </c>
      <c r="D348" t="s">
        <v>878</v>
      </c>
      <c r="E348" t="s">
        <v>1379</v>
      </c>
      <c r="F348" s="134">
        <v>0.94145833333333329</v>
      </c>
      <c r="G348" t="s">
        <v>1373</v>
      </c>
      <c r="H348" t="s">
        <v>1374</v>
      </c>
    </row>
    <row r="349" spans="1:8">
      <c r="A349">
        <v>7916907</v>
      </c>
      <c r="B349" t="s">
        <v>964</v>
      </c>
      <c r="C349" t="s">
        <v>558</v>
      </c>
      <c r="D349" t="s">
        <v>336</v>
      </c>
      <c r="E349" t="s">
        <v>1370</v>
      </c>
      <c r="F349" s="134">
        <v>0.33346064814814813</v>
      </c>
      <c r="G349" t="s">
        <v>1373</v>
      </c>
      <c r="H349" t="s">
        <v>1374</v>
      </c>
    </row>
    <row r="350" spans="1:8">
      <c r="A350">
        <v>7916907</v>
      </c>
      <c r="B350" t="s">
        <v>964</v>
      </c>
      <c r="C350" t="s">
        <v>558</v>
      </c>
      <c r="D350" t="s">
        <v>336</v>
      </c>
      <c r="E350" t="s">
        <v>1375</v>
      </c>
      <c r="F350" s="134">
        <v>0.30158564814814814</v>
      </c>
      <c r="G350" t="s">
        <v>1371</v>
      </c>
      <c r="H350" t="s">
        <v>1372</v>
      </c>
    </row>
    <row r="351" spans="1:8">
      <c r="A351">
        <v>7916907</v>
      </c>
      <c r="B351" t="s">
        <v>964</v>
      </c>
      <c r="C351" t="s">
        <v>558</v>
      </c>
      <c r="D351" t="s">
        <v>336</v>
      </c>
      <c r="E351" t="s">
        <v>1375</v>
      </c>
      <c r="F351" s="134">
        <v>0.80519675925925915</v>
      </c>
      <c r="G351" t="s">
        <v>1373</v>
      </c>
      <c r="H351" t="s">
        <v>1374</v>
      </c>
    </row>
    <row r="352" spans="1:8">
      <c r="A352">
        <v>7916907</v>
      </c>
      <c r="B352" t="s">
        <v>964</v>
      </c>
      <c r="C352" t="s">
        <v>558</v>
      </c>
      <c r="D352" t="s">
        <v>336</v>
      </c>
      <c r="E352" t="s">
        <v>1376</v>
      </c>
      <c r="F352" s="134">
        <v>0.30690972222222224</v>
      </c>
      <c r="G352" t="s">
        <v>1371</v>
      </c>
      <c r="H352" t="s">
        <v>1372</v>
      </c>
    </row>
    <row r="353" spans="1:8">
      <c r="A353">
        <v>7916907</v>
      </c>
      <c r="B353" t="s">
        <v>964</v>
      </c>
      <c r="C353" t="s">
        <v>558</v>
      </c>
      <c r="D353" t="s">
        <v>336</v>
      </c>
      <c r="E353" t="s">
        <v>1376</v>
      </c>
      <c r="F353" s="134">
        <v>0.76890046296296299</v>
      </c>
      <c r="G353" t="s">
        <v>1373</v>
      </c>
      <c r="H353" t="s">
        <v>1374</v>
      </c>
    </row>
    <row r="354" spans="1:8">
      <c r="A354">
        <v>7916907</v>
      </c>
      <c r="B354" t="s">
        <v>964</v>
      </c>
      <c r="C354" t="s">
        <v>558</v>
      </c>
      <c r="D354" t="s">
        <v>336</v>
      </c>
      <c r="E354" t="s">
        <v>1377</v>
      </c>
      <c r="F354" s="134">
        <v>0.3079513888888889</v>
      </c>
      <c r="G354" t="s">
        <v>1371</v>
      </c>
      <c r="H354" t="s">
        <v>1372</v>
      </c>
    </row>
    <row r="355" spans="1:8">
      <c r="A355">
        <v>7916907</v>
      </c>
      <c r="B355" t="s">
        <v>964</v>
      </c>
      <c r="C355" t="s">
        <v>558</v>
      </c>
      <c r="D355" t="s">
        <v>336</v>
      </c>
      <c r="E355" t="s">
        <v>1377</v>
      </c>
      <c r="F355" s="134">
        <v>0.77596064814814814</v>
      </c>
      <c r="G355" t="s">
        <v>1373</v>
      </c>
      <c r="H355" t="s">
        <v>1374</v>
      </c>
    </row>
    <row r="356" spans="1:8">
      <c r="A356">
        <v>7916907</v>
      </c>
      <c r="B356" t="s">
        <v>964</v>
      </c>
      <c r="C356" t="s">
        <v>558</v>
      </c>
      <c r="D356" t="s">
        <v>336</v>
      </c>
      <c r="E356" t="s">
        <v>1382</v>
      </c>
      <c r="F356" s="134">
        <v>0.99604166666666671</v>
      </c>
      <c r="G356" t="s">
        <v>1371</v>
      </c>
      <c r="H356" t="s">
        <v>1372</v>
      </c>
    </row>
    <row r="357" spans="1:8">
      <c r="A357">
        <v>7944613</v>
      </c>
      <c r="B357" t="s">
        <v>337</v>
      </c>
      <c r="C357" t="s">
        <v>206</v>
      </c>
      <c r="D357" t="s">
        <v>336</v>
      </c>
      <c r="E357" t="s">
        <v>1370</v>
      </c>
      <c r="F357" s="134">
        <v>0.60678240740740741</v>
      </c>
      <c r="G357" t="s">
        <v>1371</v>
      </c>
      <c r="H357" t="s">
        <v>1372</v>
      </c>
    </row>
    <row r="358" spans="1:8">
      <c r="A358">
        <v>7944613</v>
      </c>
      <c r="B358" t="s">
        <v>337</v>
      </c>
      <c r="C358" t="s">
        <v>206</v>
      </c>
      <c r="D358" t="s">
        <v>336</v>
      </c>
      <c r="E358" t="s">
        <v>1370</v>
      </c>
      <c r="F358" s="134">
        <v>0.94447916666666665</v>
      </c>
      <c r="G358" t="s">
        <v>1373</v>
      </c>
      <c r="H358" t="s">
        <v>1374</v>
      </c>
    </row>
    <row r="359" spans="1:8">
      <c r="A359">
        <v>7944613</v>
      </c>
      <c r="B359" t="s">
        <v>337</v>
      </c>
      <c r="C359" t="s">
        <v>206</v>
      </c>
      <c r="D359" t="s">
        <v>336</v>
      </c>
      <c r="E359" t="s">
        <v>1375</v>
      </c>
      <c r="F359" s="134">
        <v>0.60939814814814819</v>
      </c>
      <c r="G359" t="s">
        <v>1371</v>
      </c>
      <c r="H359" t="s">
        <v>1372</v>
      </c>
    </row>
    <row r="360" spans="1:8">
      <c r="A360">
        <v>7944613</v>
      </c>
      <c r="B360" t="s">
        <v>337</v>
      </c>
      <c r="C360" t="s">
        <v>206</v>
      </c>
      <c r="D360" t="s">
        <v>336</v>
      </c>
      <c r="E360" t="s">
        <v>1375</v>
      </c>
      <c r="F360" s="134">
        <v>0.94828703703703709</v>
      </c>
      <c r="G360" t="s">
        <v>1373</v>
      </c>
      <c r="H360" t="s">
        <v>1374</v>
      </c>
    </row>
    <row r="361" spans="1:8">
      <c r="A361">
        <v>7944613</v>
      </c>
      <c r="B361" t="s">
        <v>337</v>
      </c>
      <c r="C361" t="s">
        <v>206</v>
      </c>
      <c r="D361" t="s">
        <v>336</v>
      </c>
      <c r="E361" t="s">
        <v>1376</v>
      </c>
      <c r="F361" s="134">
        <v>0.60682870370370368</v>
      </c>
      <c r="G361" t="s">
        <v>1371</v>
      </c>
      <c r="H361" t="s">
        <v>1372</v>
      </c>
    </row>
    <row r="362" spans="1:8">
      <c r="A362">
        <v>7944613</v>
      </c>
      <c r="B362" t="s">
        <v>337</v>
      </c>
      <c r="C362" t="s">
        <v>206</v>
      </c>
      <c r="D362" t="s">
        <v>336</v>
      </c>
      <c r="E362" t="s">
        <v>1376</v>
      </c>
      <c r="F362" s="134">
        <v>0.94101851851851848</v>
      </c>
      <c r="G362" t="s">
        <v>1373</v>
      </c>
      <c r="H362" t="s">
        <v>1374</v>
      </c>
    </row>
    <row r="363" spans="1:8">
      <c r="A363">
        <v>7944613</v>
      </c>
      <c r="B363" t="s">
        <v>337</v>
      </c>
      <c r="C363" t="s">
        <v>206</v>
      </c>
      <c r="D363" t="s">
        <v>336</v>
      </c>
      <c r="E363" t="s">
        <v>1377</v>
      </c>
      <c r="F363" s="134">
        <v>0.60744212962962962</v>
      </c>
      <c r="G363" t="s">
        <v>1371</v>
      </c>
      <c r="H363" t="s">
        <v>1372</v>
      </c>
    </row>
    <row r="364" spans="1:8">
      <c r="A364">
        <v>7944613</v>
      </c>
      <c r="B364" t="s">
        <v>337</v>
      </c>
      <c r="C364" t="s">
        <v>206</v>
      </c>
      <c r="D364" t="s">
        <v>336</v>
      </c>
      <c r="E364" t="s">
        <v>1377</v>
      </c>
      <c r="F364" s="134">
        <v>0.93755787037037042</v>
      </c>
      <c r="G364" t="s">
        <v>1373</v>
      </c>
      <c r="H364" t="s">
        <v>1374</v>
      </c>
    </row>
    <row r="365" spans="1:8">
      <c r="A365">
        <v>7944613</v>
      </c>
      <c r="B365" t="s">
        <v>337</v>
      </c>
      <c r="C365" t="s">
        <v>206</v>
      </c>
      <c r="D365" t="s">
        <v>336</v>
      </c>
      <c r="E365" t="s">
        <v>1378</v>
      </c>
      <c r="F365" s="134">
        <v>0.60837962962962966</v>
      </c>
      <c r="G365" t="s">
        <v>1371</v>
      </c>
      <c r="H365" t="s">
        <v>1372</v>
      </c>
    </row>
    <row r="366" spans="1:8">
      <c r="A366">
        <v>7944613</v>
      </c>
      <c r="B366" t="s">
        <v>337</v>
      </c>
      <c r="C366" t="s">
        <v>206</v>
      </c>
      <c r="D366" t="s">
        <v>336</v>
      </c>
      <c r="E366" t="s">
        <v>1378</v>
      </c>
      <c r="F366" s="134">
        <v>0.94028935185185192</v>
      </c>
      <c r="G366" t="s">
        <v>1373</v>
      </c>
      <c r="H366" t="s">
        <v>1374</v>
      </c>
    </row>
    <row r="367" spans="1:8">
      <c r="A367">
        <v>7974375</v>
      </c>
      <c r="B367" t="s">
        <v>1198</v>
      </c>
      <c r="C367" t="s">
        <v>1197</v>
      </c>
      <c r="D367" t="s">
        <v>50</v>
      </c>
      <c r="E367" t="s">
        <v>1370</v>
      </c>
      <c r="F367" s="134">
        <v>0.30909722222222219</v>
      </c>
      <c r="G367" t="s">
        <v>1371</v>
      </c>
      <c r="H367" t="s">
        <v>1372</v>
      </c>
    </row>
    <row r="368" spans="1:8">
      <c r="A368">
        <v>7974375</v>
      </c>
      <c r="B368" t="s">
        <v>1198</v>
      </c>
      <c r="C368" t="s">
        <v>1197</v>
      </c>
      <c r="D368" t="s">
        <v>50</v>
      </c>
      <c r="E368" t="s">
        <v>1370</v>
      </c>
      <c r="F368" s="134">
        <v>0.63496527777777778</v>
      </c>
      <c r="G368" t="s">
        <v>1373</v>
      </c>
      <c r="H368" t="s">
        <v>1374</v>
      </c>
    </row>
    <row r="369" spans="1:8">
      <c r="A369">
        <v>7974375</v>
      </c>
      <c r="B369" t="s">
        <v>1198</v>
      </c>
      <c r="C369" t="s">
        <v>1197</v>
      </c>
      <c r="D369" t="s">
        <v>50</v>
      </c>
      <c r="E369" t="s">
        <v>1375</v>
      </c>
      <c r="F369" s="134">
        <v>0.30574074074074076</v>
      </c>
      <c r="G369" t="s">
        <v>1371</v>
      </c>
      <c r="H369" t="s">
        <v>1372</v>
      </c>
    </row>
    <row r="370" spans="1:8">
      <c r="A370">
        <v>7974375</v>
      </c>
      <c r="B370" t="s">
        <v>1198</v>
      </c>
      <c r="C370" t="s">
        <v>1197</v>
      </c>
      <c r="D370" t="s">
        <v>50</v>
      </c>
      <c r="E370" t="s">
        <v>1375</v>
      </c>
      <c r="F370" s="134">
        <v>0.74711805555555555</v>
      </c>
      <c r="G370" t="s">
        <v>1373</v>
      </c>
      <c r="H370" t="s">
        <v>1374</v>
      </c>
    </row>
    <row r="371" spans="1:8">
      <c r="A371">
        <v>7974375</v>
      </c>
      <c r="B371" t="s">
        <v>1198</v>
      </c>
      <c r="C371" t="s">
        <v>1197</v>
      </c>
      <c r="D371" t="s">
        <v>50</v>
      </c>
      <c r="E371" t="s">
        <v>1376</v>
      </c>
      <c r="F371" s="134">
        <v>0.30978009259259259</v>
      </c>
      <c r="G371" t="s">
        <v>1371</v>
      </c>
      <c r="H371" t="s">
        <v>1372</v>
      </c>
    </row>
    <row r="372" spans="1:8">
      <c r="A372">
        <v>7974375</v>
      </c>
      <c r="B372" t="s">
        <v>1198</v>
      </c>
      <c r="C372" t="s">
        <v>1197</v>
      </c>
      <c r="D372" t="s">
        <v>50</v>
      </c>
      <c r="E372" t="s">
        <v>1376</v>
      </c>
      <c r="F372" s="134">
        <v>0.73868055555555545</v>
      </c>
      <c r="G372" t="s">
        <v>1373</v>
      </c>
      <c r="H372" t="s">
        <v>1374</v>
      </c>
    </row>
    <row r="373" spans="1:8">
      <c r="A373">
        <v>7974375</v>
      </c>
      <c r="B373" t="s">
        <v>1198</v>
      </c>
      <c r="C373" t="s">
        <v>1197</v>
      </c>
      <c r="D373" t="s">
        <v>50</v>
      </c>
      <c r="E373" t="s">
        <v>1377</v>
      </c>
      <c r="F373" s="134">
        <v>0.3069560185185185</v>
      </c>
      <c r="G373" t="s">
        <v>1371</v>
      </c>
      <c r="H373" t="s">
        <v>1372</v>
      </c>
    </row>
    <row r="374" spans="1:8">
      <c r="A374">
        <v>7974375</v>
      </c>
      <c r="B374" t="s">
        <v>1198</v>
      </c>
      <c r="C374" t="s">
        <v>1197</v>
      </c>
      <c r="D374" t="s">
        <v>50</v>
      </c>
      <c r="E374" t="s">
        <v>1377</v>
      </c>
      <c r="F374" s="134">
        <v>0.74343750000000008</v>
      </c>
      <c r="G374" t="s">
        <v>1373</v>
      </c>
      <c r="H374" t="s">
        <v>1374</v>
      </c>
    </row>
    <row r="375" spans="1:8">
      <c r="A375">
        <v>7974375</v>
      </c>
      <c r="B375" t="s">
        <v>1198</v>
      </c>
      <c r="C375" t="s">
        <v>1197</v>
      </c>
      <c r="D375" t="s">
        <v>50</v>
      </c>
      <c r="E375" t="s">
        <v>1378</v>
      </c>
      <c r="F375" s="134">
        <v>0.3137962962962963</v>
      </c>
      <c r="G375" t="s">
        <v>1371</v>
      </c>
      <c r="H375" t="s">
        <v>1372</v>
      </c>
    </row>
    <row r="376" spans="1:8">
      <c r="A376">
        <v>7974375</v>
      </c>
      <c r="B376" t="s">
        <v>1198</v>
      </c>
      <c r="C376" t="s">
        <v>1197</v>
      </c>
      <c r="D376" t="s">
        <v>50</v>
      </c>
      <c r="E376" t="s">
        <v>1378</v>
      </c>
      <c r="F376" s="134">
        <v>0.80311342592592594</v>
      </c>
      <c r="G376" t="s">
        <v>1373</v>
      </c>
      <c r="H376" t="s">
        <v>1374</v>
      </c>
    </row>
    <row r="377" spans="1:8">
      <c r="A377">
        <v>8025043</v>
      </c>
      <c r="B377" t="s">
        <v>569</v>
      </c>
      <c r="C377" t="s">
        <v>568</v>
      </c>
      <c r="D377" t="s">
        <v>264</v>
      </c>
      <c r="E377" t="s">
        <v>1370</v>
      </c>
      <c r="F377" s="134">
        <v>0.91847222222222225</v>
      </c>
      <c r="G377" t="s">
        <v>1371</v>
      </c>
      <c r="H377" t="s">
        <v>1372</v>
      </c>
    </row>
    <row r="378" spans="1:8">
      <c r="A378">
        <v>8025043</v>
      </c>
      <c r="B378" t="s">
        <v>569</v>
      </c>
      <c r="C378" t="s">
        <v>568</v>
      </c>
      <c r="D378" t="s">
        <v>264</v>
      </c>
      <c r="E378" t="s">
        <v>1375</v>
      </c>
      <c r="F378" s="134">
        <v>0.32765046296296296</v>
      </c>
      <c r="G378" t="s">
        <v>1373</v>
      </c>
      <c r="H378" t="s">
        <v>1374</v>
      </c>
    </row>
    <row r="379" spans="1:8">
      <c r="A379">
        <v>8025043</v>
      </c>
      <c r="B379" t="s">
        <v>569</v>
      </c>
      <c r="C379" t="s">
        <v>568</v>
      </c>
      <c r="D379" t="s">
        <v>264</v>
      </c>
      <c r="E379" t="s">
        <v>1375</v>
      </c>
      <c r="F379" s="134">
        <v>0.91918981481481488</v>
      </c>
      <c r="G379" t="s">
        <v>1371</v>
      </c>
      <c r="H379" t="s">
        <v>1372</v>
      </c>
    </row>
    <row r="380" spans="1:8">
      <c r="A380">
        <v>8025043</v>
      </c>
      <c r="B380" t="s">
        <v>569</v>
      </c>
      <c r="C380" t="s">
        <v>568</v>
      </c>
      <c r="D380" t="s">
        <v>264</v>
      </c>
      <c r="E380" t="s">
        <v>1376</v>
      </c>
      <c r="F380" s="134">
        <v>0.32699074074074075</v>
      </c>
      <c r="G380" t="s">
        <v>1373</v>
      </c>
      <c r="H380" t="s">
        <v>1374</v>
      </c>
    </row>
    <row r="381" spans="1:8">
      <c r="A381">
        <v>8025043</v>
      </c>
      <c r="B381" t="s">
        <v>569</v>
      </c>
      <c r="C381" t="s">
        <v>568</v>
      </c>
      <c r="D381" t="s">
        <v>264</v>
      </c>
      <c r="E381" t="s">
        <v>1376</v>
      </c>
      <c r="F381" s="134">
        <v>0.92730324074074078</v>
      </c>
      <c r="G381" t="s">
        <v>1371</v>
      </c>
      <c r="H381" t="s">
        <v>1372</v>
      </c>
    </row>
    <row r="382" spans="1:8">
      <c r="A382">
        <v>8025043</v>
      </c>
      <c r="B382" t="s">
        <v>569</v>
      </c>
      <c r="C382" t="s">
        <v>568</v>
      </c>
      <c r="D382" t="s">
        <v>264</v>
      </c>
      <c r="E382" t="s">
        <v>1377</v>
      </c>
      <c r="F382" s="134">
        <v>0.32506944444444447</v>
      </c>
      <c r="G382" t="s">
        <v>1373</v>
      </c>
      <c r="H382" t="s">
        <v>1374</v>
      </c>
    </row>
    <row r="383" spans="1:8">
      <c r="A383">
        <v>8025043</v>
      </c>
      <c r="B383" t="s">
        <v>569</v>
      </c>
      <c r="C383" t="s">
        <v>568</v>
      </c>
      <c r="D383" t="s">
        <v>264</v>
      </c>
      <c r="E383" t="s">
        <v>1377</v>
      </c>
      <c r="F383" s="134">
        <v>0.91937500000000005</v>
      </c>
      <c r="G383" t="s">
        <v>1371</v>
      </c>
      <c r="H383" t="s">
        <v>1372</v>
      </c>
    </row>
    <row r="384" spans="1:8">
      <c r="A384">
        <v>8025043</v>
      </c>
      <c r="B384" t="s">
        <v>569</v>
      </c>
      <c r="C384" t="s">
        <v>568</v>
      </c>
      <c r="D384" t="s">
        <v>264</v>
      </c>
      <c r="E384" t="s">
        <v>1378</v>
      </c>
      <c r="F384" s="134">
        <v>0.32396990740740739</v>
      </c>
      <c r="G384" t="s">
        <v>1373</v>
      </c>
      <c r="H384" t="s">
        <v>1374</v>
      </c>
    </row>
    <row r="385" spans="1:8">
      <c r="A385">
        <v>8025043</v>
      </c>
      <c r="B385" t="s">
        <v>569</v>
      </c>
      <c r="C385" t="s">
        <v>568</v>
      </c>
      <c r="D385" t="s">
        <v>264</v>
      </c>
      <c r="E385" t="s">
        <v>1378</v>
      </c>
      <c r="F385" s="134">
        <v>0.92075231481481479</v>
      </c>
      <c r="G385" t="s">
        <v>1371</v>
      </c>
      <c r="H385" t="s">
        <v>1372</v>
      </c>
    </row>
    <row r="386" spans="1:8">
      <c r="A386">
        <v>8025043</v>
      </c>
      <c r="B386" t="s">
        <v>569</v>
      </c>
      <c r="C386" t="s">
        <v>568</v>
      </c>
      <c r="D386" t="s">
        <v>264</v>
      </c>
      <c r="E386" t="s">
        <v>1379</v>
      </c>
      <c r="F386" s="134">
        <v>0.3253819444444444</v>
      </c>
      <c r="G386" t="s">
        <v>1373</v>
      </c>
      <c r="H386" t="s">
        <v>1374</v>
      </c>
    </row>
    <row r="387" spans="1:8">
      <c r="A387">
        <v>8085825</v>
      </c>
      <c r="B387" t="s">
        <v>1028</v>
      </c>
      <c r="C387" t="s">
        <v>259</v>
      </c>
      <c r="D387" t="s">
        <v>1027</v>
      </c>
      <c r="E387" t="s">
        <v>1370</v>
      </c>
      <c r="F387" s="134">
        <v>0.29475694444444445</v>
      </c>
      <c r="G387" t="s">
        <v>1371</v>
      </c>
      <c r="H387" t="s">
        <v>1372</v>
      </c>
    </row>
    <row r="388" spans="1:8">
      <c r="A388">
        <v>8085825</v>
      </c>
      <c r="B388" t="s">
        <v>1028</v>
      </c>
      <c r="C388" t="s">
        <v>259</v>
      </c>
      <c r="D388" t="s">
        <v>1027</v>
      </c>
      <c r="E388" t="s">
        <v>1370</v>
      </c>
      <c r="F388" s="134">
        <v>0.63657407407407407</v>
      </c>
      <c r="G388" t="s">
        <v>1373</v>
      </c>
      <c r="H388" t="s">
        <v>1374</v>
      </c>
    </row>
    <row r="389" spans="1:8">
      <c r="A389">
        <v>8085825</v>
      </c>
      <c r="B389" t="s">
        <v>1028</v>
      </c>
      <c r="C389" t="s">
        <v>259</v>
      </c>
      <c r="D389" t="s">
        <v>1027</v>
      </c>
      <c r="E389" t="s">
        <v>1375</v>
      </c>
      <c r="F389" s="134">
        <v>0.29442129629629626</v>
      </c>
      <c r="G389" t="s">
        <v>1371</v>
      </c>
      <c r="H389" t="s">
        <v>1372</v>
      </c>
    </row>
    <row r="390" spans="1:8">
      <c r="A390">
        <v>8085825</v>
      </c>
      <c r="B390" t="s">
        <v>1028</v>
      </c>
      <c r="C390" t="s">
        <v>259</v>
      </c>
      <c r="D390" t="s">
        <v>1027</v>
      </c>
      <c r="E390" t="s">
        <v>1375</v>
      </c>
      <c r="F390" s="134">
        <v>0.63917824074074081</v>
      </c>
      <c r="G390" t="s">
        <v>1373</v>
      </c>
      <c r="H390" t="s">
        <v>1374</v>
      </c>
    </row>
    <row r="391" spans="1:8">
      <c r="A391">
        <v>8085825</v>
      </c>
      <c r="B391" t="s">
        <v>1028</v>
      </c>
      <c r="C391" t="s">
        <v>259</v>
      </c>
      <c r="D391" t="s">
        <v>1027</v>
      </c>
      <c r="E391" t="s">
        <v>1376</v>
      </c>
      <c r="F391" s="134">
        <v>0.63753472222222218</v>
      </c>
      <c r="G391" t="s">
        <v>1373</v>
      </c>
      <c r="H391" t="s">
        <v>1374</v>
      </c>
    </row>
    <row r="392" spans="1:8">
      <c r="A392">
        <v>8085825</v>
      </c>
      <c r="B392" t="s">
        <v>1028</v>
      </c>
      <c r="C392" t="s">
        <v>259</v>
      </c>
      <c r="D392" t="s">
        <v>1027</v>
      </c>
      <c r="E392" t="s">
        <v>1376</v>
      </c>
      <c r="F392" s="134">
        <v>0.29548611111111112</v>
      </c>
      <c r="G392" t="s">
        <v>1371</v>
      </c>
      <c r="H392" t="s">
        <v>1372</v>
      </c>
    </row>
    <row r="393" spans="1:8">
      <c r="A393">
        <v>8085825</v>
      </c>
      <c r="B393" t="s">
        <v>1028</v>
      </c>
      <c r="C393" t="s">
        <v>259</v>
      </c>
      <c r="D393" t="s">
        <v>1027</v>
      </c>
      <c r="E393" t="s">
        <v>1377</v>
      </c>
      <c r="F393" s="134">
        <v>0.29526620370370371</v>
      </c>
      <c r="G393" t="s">
        <v>1371</v>
      </c>
      <c r="H393" t="s">
        <v>1372</v>
      </c>
    </row>
    <row r="394" spans="1:8">
      <c r="A394">
        <v>8085825</v>
      </c>
      <c r="B394" t="s">
        <v>1028</v>
      </c>
      <c r="C394" t="s">
        <v>259</v>
      </c>
      <c r="D394" t="s">
        <v>1027</v>
      </c>
      <c r="E394" t="s">
        <v>1377</v>
      </c>
      <c r="F394" s="134">
        <v>0.63637731481481474</v>
      </c>
      <c r="G394" t="s">
        <v>1373</v>
      </c>
      <c r="H394" t="s">
        <v>1374</v>
      </c>
    </row>
    <row r="395" spans="1:8">
      <c r="A395">
        <v>8085825</v>
      </c>
      <c r="B395" t="s">
        <v>1028</v>
      </c>
      <c r="C395" t="s">
        <v>259</v>
      </c>
      <c r="D395" t="s">
        <v>1027</v>
      </c>
      <c r="E395" t="s">
        <v>1378</v>
      </c>
      <c r="F395" s="134">
        <v>0.2949074074074074</v>
      </c>
      <c r="G395" t="s">
        <v>1371</v>
      </c>
      <c r="H395" t="s">
        <v>1372</v>
      </c>
    </row>
    <row r="396" spans="1:8">
      <c r="A396">
        <v>8085825</v>
      </c>
      <c r="B396" t="s">
        <v>1028</v>
      </c>
      <c r="C396" t="s">
        <v>259</v>
      </c>
      <c r="D396" t="s">
        <v>1027</v>
      </c>
      <c r="E396" t="s">
        <v>1378</v>
      </c>
      <c r="F396" s="134">
        <v>0.63708333333333333</v>
      </c>
      <c r="G396" t="s">
        <v>1373</v>
      </c>
      <c r="H396" t="s">
        <v>1374</v>
      </c>
    </row>
    <row r="397" spans="1:8">
      <c r="A397">
        <v>8085825</v>
      </c>
      <c r="B397" t="s">
        <v>1028</v>
      </c>
      <c r="C397" t="s">
        <v>259</v>
      </c>
      <c r="D397" t="s">
        <v>1027</v>
      </c>
      <c r="E397" t="s">
        <v>1379</v>
      </c>
      <c r="F397" s="134">
        <v>0.29442129629629626</v>
      </c>
      <c r="G397" t="s">
        <v>1371</v>
      </c>
      <c r="H397" t="s">
        <v>1372</v>
      </c>
    </row>
    <row r="398" spans="1:8">
      <c r="A398">
        <v>8085825</v>
      </c>
      <c r="B398" t="s">
        <v>1028</v>
      </c>
      <c r="C398" t="s">
        <v>259</v>
      </c>
      <c r="D398" t="s">
        <v>1027</v>
      </c>
      <c r="E398" t="s">
        <v>1379</v>
      </c>
      <c r="F398" s="134">
        <v>0.63921296296296293</v>
      </c>
      <c r="G398" t="s">
        <v>1373</v>
      </c>
      <c r="H398" t="s">
        <v>1374</v>
      </c>
    </row>
    <row r="399" spans="1:8">
      <c r="A399">
        <v>8110698</v>
      </c>
      <c r="B399" t="s">
        <v>1278</v>
      </c>
      <c r="C399" t="s">
        <v>969</v>
      </c>
      <c r="D399" t="s">
        <v>258</v>
      </c>
      <c r="E399" t="s">
        <v>1370</v>
      </c>
      <c r="F399" s="134">
        <v>0.61061342592592593</v>
      </c>
      <c r="G399" t="s">
        <v>1371</v>
      </c>
      <c r="H399" t="s">
        <v>1372</v>
      </c>
    </row>
    <row r="400" spans="1:8">
      <c r="A400">
        <v>8110698</v>
      </c>
      <c r="B400" t="s">
        <v>1278</v>
      </c>
      <c r="C400" t="s">
        <v>969</v>
      </c>
      <c r="D400" t="s">
        <v>258</v>
      </c>
      <c r="E400" t="s">
        <v>1370</v>
      </c>
      <c r="F400" s="134">
        <v>0.94633101851851853</v>
      </c>
      <c r="G400" t="s">
        <v>1373</v>
      </c>
      <c r="H400" t="s">
        <v>1374</v>
      </c>
    </row>
    <row r="401" spans="1:8">
      <c r="A401">
        <v>8110698</v>
      </c>
      <c r="B401" t="s">
        <v>1278</v>
      </c>
      <c r="C401" t="s">
        <v>969</v>
      </c>
      <c r="D401" t="s">
        <v>258</v>
      </c>
      <c r="E401" t="s">
        <v>1375</v>
      </c>
      <c r="F401" s="134">
        <v>0.60629629629629633</v>
      </c>
      <c r="G401" t="s">
        <v>1371</v>
      </c>
      <c r="H401" t="s">
        <v>1372</v>
      </c>
    </row>
    <row r="402" spans="1:8">
      <c r="A402">
        <v>8110698</v>
      </c>
      <c r="B402" t="s">
        <v>1278</v>
      </c>
      <c r="C402" t="s">
        <v>969</v>
      </c>
      <c r="D402" t="s">
        <v>258</v>
      </c>
      <c r="E402" t="s">
        <v>1375</v>
      </c>
      <c r="F402" s="134">
        <v>0.94888888888888889</v>
      </c>
      <c r="G402" t="s">
        <v>1373</v>
      </c>
      <c r="H402" t="s">
        <v>1374</v>
      </c>
    </row>
    <row r="403" spans="1:8">
      <c r="A403">
        <v>8110698</v>
      </c>
      <c r="B403" t="s">
        <v>1278</v>
      </c>
      <c r="C403" t="s">
        <v>969</v>
      </c>
      <c r="D403" t="s">
        <v>258</v>
      </c>
      <c r="E403" t="s">
        <v>1376</v>
      </c>
      <c r="F403" s="134">
        <v>0.94682870370370376</v>
      </c>
      <c r="G403" t="s">
        <v>1373</v>
      </c>
      <c r="H403" t="s">
        <v>1374</v>
      </c>
    </row>
    <row r="404" spans="1:8">
      <c r="A404">
        <v>8110698</v>
      </c>
      <c r="B404" t="s">
        <v>1278</v>
      </c>
      <c r="C404" t="s">
        <v>969</v>
      </c>
      <c r="D404" t="s">
        <v>258</v>
      </c>
      <c r="E404" t="s">
        <v>1376</v>
      </c>
      <c r="F404" s="134">
        <v>0.6065625</v>
      </c>
      <c r="G404" t="s">
        <v>1371</v>
      </c>
      <c r="H404" t="s">
        <v>1372</v>
      </c>
    </row>
    <row r="405" spans="1:8">
      <c r="A405">
        <v>8110698</v>
      </c>
      <c r="B405" t="s">
        <v>1278</v>
      </c>
      <c r="C405" t="s">
        <v>969</v>
      </c>
      <c r="D405" t="s">
        <v>258</v>
      </c>
      <c r="E405" t="s">
        <v>1377</v>
      </c>
      <c r="F405" s="134">
        <v>0.60581018518518526</v>
      </c>
      <c r="G405" t="s">
        <v>1371</v>
      </c>
      <c r="H405" t="s">
        <v>1372</v>
      </c>
    </row>
    <row r="406" spans="1:8">
      <c r="A406">
        <v>8110698</v>
      </c>
      <c r="B406" t="s">
        <v>1278</v>
      </c>
      <c r="C406" t="s">
        <v>969</v>
      </c>
      <c r="D406" t="s">
        <v>258</v>
      </c>
      <c r="E406" t="s">
        <v>1377</v>
      </c>
      <c r="F406" s="134">
        <v>0.94813657407407403</v>
      </c>
      <c r="G406" t="s">
        <v>1373</v>
      </c>
      <c r="H406" t="s">
        <v>1374</v>
      </c>
    </row>
    <row r="407" spans="1:8">
      <c r="A407">
        <v>8110698</v>
      </c>
      <c r="B407" t="s">
        <v>1278</v>
      </c>
      <c r="C407" t="s">
        <v>969</v>
      </c>
      <c r="D407" t="s">
        <v>258</v>
      </c>
      <c r="E407" t="s">
        <v>1378</v>
      </c>
      <c r="F407" s="134">
        <v>0.60846064814814815</v>
      </c>
      <c r="G407" t="s">
        <v>1371</v>
      </c>
      <c r="H407" t="s">
        <v>1372</v>
      </c>
    </row>
    <row r="408" spans="1:8">
      <c r="A408">
        <v>8110698</v>
      </c>
      <c r="B408" t="s">
        <v>1278</v>
      </c>
      <c r="C408" t="s">
        <v>969</v>
      </c>
      <c r="D408" t="s">
        <v>258</v>
      </c>
      <c r="E408" t="s">
        <v>1378</v>
      </c>
      <c r="F408" s="134">
        <v>0.94768518518518519</v>
      </c>
      <c r="G408" t="s">
        <v>1373</v>
      </c>
      <c r="H408" t="s">
        <v>1374</v>
      </c>
    </row>
    <row r="409" spans="1:8">
      <c r="A409">
        <v>8110698</v>
      </c>
      <c r="B409" t="s">
        <v>1278</v>
      </c>
      <c r="C409" t="s">
        <v>969</v>
      </c>
      <c r="D409" t="s">
        <v>258</v>
      </c>
      <c r="E409" t="s">
        <v>1379</v>
      </c>
      <c r="F409" s="134">
        <v>0.62204861111111109</v>
      </c>
      <c r="G409" t="s">
        <v>1371</v>
      </c>
      <c r="H409" t="s">
        <v>1372</v>
      </c>
    </row>
    <row r="410" spans="1:8">
      <c r="A410">
        <v>8110698</v>
      </c>
      <c r="B410" t="s">
        <v>1278</v>
      </c>
      <c r="C410" t="s">
        <v>969</v>
      </c>
      <c r="D410" t="s">
        <v>258</v>
      </c>
      <c r="E410" t="s">
        <v>1379</v>
      </c>
      <c r="F410" s="134">
        <v>0.94302083333333331</v>
      </c>
      <c r="G410" t="s">
        <v>1373</v>
      </c>
      <c r="H410" t="s">
        <v>1374</v>
      </c>
    </row>
    <row r="411" spans="1:8">
      <c r="A411">
        <v>8224093</v>
      </c>
      <c r="B411" t="s">
        <v>52</v>
      </c>
      <c r="C411" t="s">
        <v>50</v>
      </c>
      <c r="D411" t="s">
        <v>51</v>
      </c>
      <c r="E411" t="s">
        <v>1370</v>
      </c>
      <c r="F411" s="134">
        <v>0.6072453703703703</v>
      </c>
      <c r="G411" t="s">
        <v>1371</v>
      </c>
      <c r="H411" t="s">
        <v>1372</v>
      </c>
    </row>
    <row r="412" spans="1:8">
      <c r="A412">
        <v>8224093</v>
      </c>
      <c r="B412" t="s">
        <v>52</v>
      </c>
      <c r="C412" t="s">
        <v>50</v>
      </c>
      <c r="D412" t="s">
        <v>51</v>
      </c>
      <c r="E412" t="s">
        <v>1370</v>
      </c>
      <c r="F412" s="134">
        <v>0.94442129629629623</v>
      </c>
      <c r="G412" t="s">
        <v>1373</v>
      </c>
      <c r="H412" t="s">
        <v>1374</v>
      </c>
    </row>
    <row r="413" spans="1:8">
      <c r="A413">
        <v>8224093</v>
      </c>
      <c r="B413" t="s">
        <v>52</v>
      </c>
      <c r="C413" t="s">
        <v>50</v>
      </c>
      <c r="D413" t="s">
        <v>51</v>
      </c>
      <c r="E413" t="s">
        <v>1375</v>
      </c>
      <c r="F413" s="134">
        <v>0.609837962962963</v>
      </c>
      <c r="G413" t="s">
        <v>1371</v>
      </c>
      <c r="H413" t="s">
        <v>1372</v>
      </c>
    </row>
    <row r="414" spans="1:8">
      <c r="A414">
        <v>8224093</v>
      </c>
      <c r="B414" t="s">
        <v>52</v>
      </c>
      <c r="C414" t="s">
        <v>50</v>
      </c>
      <c r="D414" t="s">
        <v>51</v>
      </c>
      <c r="E414" t="s">
        <v>1375</v>
      </c>
      <c r="F414" s="134">
        <v>0.93629629629629629</v>
      </c>
      <c r="G414" t="s">
        <v>1373</v>
      </c>
      <c r="H414" t="s">
        <v>1374</v>
      </c>
    </row>
    <row r="415" spans="1:8">
      <c r="A415">
        <v>8224093</v>
      </c>
      <c r="B415" t="s">
        <v>52</v>
      </c>
      <c r="C415" t="s">
        <v>50</v>
      </c>
      <c r="D415" t="s">
        <v>51</v>
      </c>
      <c r="E415" t="s">
        <v>1376</v>
      </c>
      <c r="F415" s="134">
        <v>0.94003472222222229</v>
      </c>
      <c r="G415" t="s">
        <v>1373</v>
      </c>
      <c r="H415" t="s">
        <v>1374</v>
      </c>
    </row>
    <row r="416" spans="1:8">
      <c r="A416">
        <v>8224093</v>
      </c>
      <c r="B416" t="s">
        <v>52</v>
      </c>
      <c r="C416" t="s">
        <v>50</v>
      </c>
      <c r="D416" t="s">
        <v>51</v>
      </c>
      <c r="E416" t="s">
        <v>1376</v>
      </c>
      <c r="F416" s="134">
        <v>0.62415509259259261</v>
      </c>
      <c r="G416" t="s">
        <v>1371</v>
      </c>
      <c r="H416" t="s">
        <v>1372</v>
      </c>
    </row>
    <row r="417" spans="1:8">
      <c r="A417">
        <v>8224093</v>
      </c>
      <c r="B417" t="s">
        <v>52</v>
      </c>
      <c r="C417" t="s">
        <v>50</v>
      </c>
      <c r="D417" t="s">
        <v>51</v>
      </c>
      <c r="E417" t="s">
        <v>1377</v>
      </c>
      <c r="F417" s="134">
        <v>0.62289351851851849</v>
      </c>
      <c r="G417" t="s">
        <v>1371</v>
      </c>
      <c r="H417" t="s">
        <v>1372</v>
      </c>
    </row>
    <row r="418" spans="1:8">
      <c r="A418">
        <v>8224093</v>
      </c>
      <c r="B418" t="s">
        <v>52</v>
      </c>
      <c r="C418" t="s">
        <v>50</v>
      </c>
      <c r="D418" t="s">
        <v>51</v>
      </c>
      <c r="E418" t="s">
        <v>1377</v>
      </c>
      <c r="F418" s="134">
        <v>0.93762731481481476</v>
      </c>
      <c r="G418" t="s">
        <v>1373</v>
      </c>
      <c r="H418" t="s">
        <v>1374</v>
      </c>
    </row>
    <row r="419" spans="1:8">
      <c r="A419">
        <v>8224093</v>
      </c>
      <c r="B419" t="s">
        <v>52</v>
      </c>
      <c r="C419" t="s">
        <v>50</v>
      </c>
      <c r="D419" t="s">
        <v>51</v>
      </c>
      <c r="E419" t="s">
        <v>1378</v>
      </c>
      <c r="F419" s="134">
        <v>0.62719907407407405</v>
      </c>
      <c r="G419" t="s">
        <v>1371</v>
      </c>
      <c r="H419" t="s">
        <v>1372</v>
      </c>
    </row>
    <row r="420" spans="1:8">
      <c r="A420">
        <v>8224093</v>
      </c>
      <c r="B420" t="s">
        <v>52</v>
      </c>
      <c r="C420" t="s">
        <v>50</v>
      </c>
      <c r="D420" t="s">
        <v>51</v>
      </c>
      <c r="E420" t="s">
        <v>1378</v>
      </c>
      <c r="F420" s="134">
        <v>0.94034722222222233</v>
      </c>
      <c r="G420" t="s">
        <v>1373</v>
      </c>
      <c r="H420" t="s">
        <v>1374</v>
      </c>
    </row>
    <row r="421" spans="1:8">
      <c r="A421">
        <v>8224093</v>
      </c>
      <c r="B421" t="s">
        <v>52</v>
      </c>
      <c r="C421" t="s">
        <v>50</v>
      </c>
      <c r="D421" t="s">
        <v>51</v>
      </c>
      <c r="E421" t="s">
        <v>1379</v>
      </c>
      <c r="F421" s="134">
        <v>0.62194444444444441</v>
      </c>
      <c r="G421" t="s">
        <v>1371</v>
      </c>
      <c r="H421" t="s">
        <v>1372</v>
      </c>
    </row>
    <row r="422" spans="1:8">
      <c r="A422">
        <v>8224093</v>
      </c>
      <c r="B422" t="s">
        <v>52</v>
      </c>
      <c r="C422" t="s">
        <v>50</v>
      </c>
      <c r="D422" t="s">
        <v>51</v>
      </c>
      <c r="E422" t="s">
        <v>1379</v>
      </c>
      <c r="F422" s="134">
        <v>0.93421296296296286</v>
      </c>
      <c r="G422" t="s">
        <v>1373</v>
      </c>
      <c r="H422" t="s">
        <v>1374</v>
      </c>
    </row>
    <row r="423" spans="1:8">
      <c r="A423">
        <v>8245727</v>
      </c>
      <c r="B423" t="s">
        <v>148</v>
      </c>
      <c r="C423" t="s">
        <v>991</v>
      </c>
      <c r="D423" t="s">
        <v>317</v>
      </c>
      <c r="E423" t="s">
        <v>1370</v>
      </c>
      <c r="F423" s="134">
        <v>0.6212037037037037</v>
      </c>
      <c r="G423" t="s">
        <v>1371</v>
      </c>
      <c r="H423" t="s">
        <v>1372</v>
      </c>
    </row>
    <row r="424" spans="1:8">
      <c r="A424">
        <v>8245727</v>
      </c>
      <c r="B424" t="s">
        <v>148</v>
      </c>
      <c r="C424" t="s">
        <v>991</v>
      </c>
      <c r="D424" t="s">
        <v>317</v>
      </c>
      <c r="E424" t="s">
        <v>1370</v>
      </c>
      <c r="F424" s="134">
        <v>0.94648148148148137</v>
      </c>
      <c r="G424" t="s">
        <v>1373</v>
      </c>
      <c r="H424" t="s">
        <v>1374</v>
      </c>
    </row>
    <row r="425" spans="1:8">
      <c r="A425">
        <v>8245727</v>
      </c>
      <c r="B425" t="s">
        <v>148</v>
      </c>
      <c r="C425" t="s">
        <v>991</v>
      </c>
      <c r="D425" t="s">
        <v>317</v>
      </c>
      <c r="E425" t="s">
        <v>1375</v>
      </c>
      <c r="F425" s="134">
        <v>0.60649305555555555</v>
      </c>
      <c r="G425" t="s">
        <v>1371</v>
      </c>
      <c r="H425" t="s">
        <v>1372</v>
      </c>
    </row>
    <row r="426" spans="1:8">
      <c r="A426">
        <v>8245727</v>
      </c>
      <c r="B426" t="s">
        <v>148</v>
      </c>
      <c r="C426" t="s">
        <v>991</v>
      </c>
      <c r="D426" t="s">
        <v>317</v>
      </c>
      <c r="E426" t="s">
        <v>1375</v>
      </c>
      <c r="F426" s="134">
        <v>0.94737268518518514</v>
      </c>
      <c r="G426" t="s">
        <v>1373</v>
      </c>
      <c r="H426" t="s">
        <v>1374</v>
      </c>
    </row>
    <row r="427" spans="1:8">
      <c r="A427">
        <v>8245727</v>
      </c>
      <c r="B427" t="s">
        <v>148</v>
      </c>
      <c r="C427" t="s">
        <v>991</v>
      </c>
      <c r="D427" t="s">
        <v>317</v>
      </c>
      <c r="E427" t="s">
        <v>1376</v>
      </c>
      <c r="F427" s="134">
        <v>0.94734953703703706</v>
      </c>
      <c r="G427" t="s">
        <v>1373</v>
      </c>
      <c r="H427" t="s">
        <v>1374</v>
      </c>
    </row>
    <row r="428" spans="1:8">
      <c r="A428">
        <v>8245727</v>
      </c>
      <c r="B428" t="s">
        <v>148</v>
      </c>
      <c r="C428" t="s">
        <v>991</v>
      </c>
      <c r="D428" t="s">
        <v>317</v>
      </c>
      <c r="E428" t="s">
        <v>1376</v>
      </c>
      <c r="F428" s="134">
        <v>0.60671296296296295</v>
      </c>
      <c r="G428" t="s">
        <v>1371</v>
      </c>
      <c r="H428" t="s">
        <v>1372</v>
      </c>
    </row>
    <row r="429" spans="1:8">
      <c r="A429">
        <v>8245727</v>
      </c>
      <c r="B429" t="s">
        <v>148</v>
      </c>
      <c r="C429" t="s">
        <v>991</v>
      </c>
      <c r="D429" t="s">
        <v>317</v>
      </c>
      <c r="E429" t="s">
        <v>1377</v>
      </c>
      <c r="F429" s="134">
        <v>0.60570601851851846</v>
      </c>
      <c r="G429" t="s">
        <v>1371</v>
      </c>
      <c r="H429" t="s">
        <v>1372</v>
      </c>
    </row>
    <row r="430" spans="1:8">
      <c r="A430">
        <v>8245727</v>
      </c>
      <c r="B430" t="s">
        <v>148</v>
      </c>
      <c r="C430" t="s">
        <v>991</v>
      </c>
      <c r="D430" t="s">
        <v>317</v>
      </c>
      <c r="E430" t="s">
        <v>1377</v>
      </c>
      <c r="F430" s="134">
        <v>0.94863425925925926</v>
      </c>
      <c r="G430" t="s">
        <v>1373</v>
      </c>
      <c r="H430" t="s">
        <v>1374</v>
      </c>
    </row>
    <row r="431" spans="1:8">
      <c r="A431">
        <v>8245727</v>
      </c>
      <c r="B431" t="s">
        <v>148</v>
      </c>
      <c r="C431" t="s">
        <v>991</v>
      </c>
      <c r="D431" t="s">
        <v>317</v>
      </c>
      <c r="E431" t="s">
        <v>1378</v>
      </c>
      <c r="F431" s="134">
        <v>0.60681712962962964</v>
      </c>
      <c r="G431" t="s">
        <v>1371</v>
      </c>
      <c r="H431" t="s">
        <v>1372</v>
      </c>
    </row>
    <row r="432" spans="1:8">
      <c r="A432">
        <v>8245727</v>
      </c>
      <c r="B432" t="s">
        <v>148</v>
      </c>
      <c r="C432" t="s">
        <v>991</v>
      </c>
      <c r="D432" t="s">
        <v>317</v>
      </c>
      <c r="E432" t="s">
        <v>1378</v>
      </c>
      <c r="F432" s="134">
        <v>0.94890046296296304</v>
      </c>
      <c r="G432" t="s">
        <v>1373</v>
      </c>
      <c r="H432" t="s">
        <v>1374</v>
      </c>
    </row>
    <row r="433" spans="1:8">
      <c r="A433">
        <v>8245727</v>
      </c>
      <c r="B433" t="s">
        <v>148</v>
      </c>
      <c r="C433" t="s">
        <v>991</v>
      </c>
      <c r="D433" t="s">
        <v>317</v>
      </c>
      <c r="E433" t="s">
        <v>1379</v>
      </c>
      <c r="F433" s="134">
        <v>0.61392361111111116</v>
      </c>
      <c r="G433" t="s">
        <v>1371</v>
      </c>
      <c r="H433" t="s">
        <v>1372</v>
      </c>
    </row>
    <row r="434" spans="1:8">
      <c r="A434">
        <v>8245727</v>
      </c>
      <c r="B434" t="s">
        <v>148</v>
      </c>
      <c r="C434" t="s">
        <v>991</v>
      </c>
      <c r="D434" t="s">
        <v>317</v>
      </c>
      <c r="E434" t="s">
        <v>1379</v>
      </c>
      <c r="F434" s="134">
        <v>0.94314814814814818</v>
      </c>
      <c r="G434" t="s">
        <v>1373</v>
      </c>
      <c r="H434" t="s">
        <v>1374</v>
      </c>
    </row>
    <row r="435" spans="1:8">
      <c r="A435">
        <v>8247677</v>
      </c>
      <c r="B435" t="s">
        <v>1189</v>
      </c>
      <c r="C435" t="s">
        <v>1187</v>
      </c>
      <c r="D435" t="s">
        <v>1188</v>
      </c>
      <c r="E435" t="s">
        <v>1370</v>
      </c>
      <c r="F435" s="134">
        <v>0.60548611111111106</v>
      </c>
      <c r="G435" t="s">
        <v>1371</v>
      </c>
      <c r="H435" t="s">
        <v>1372</v>
      </c>
    </row>
    <row r="436" spans="1:8">
      <c r="A436">
        <v>8247677</v>
      </c>
      <c r="B436" t="s">
        <v>1189</v>
      </c>
      <c r="C436" t="s">
        <v>1187</v>
      </c>
      <c r="D436" t="s">
        <v>1188</v>
      </c>
      <c r="E436" t="s">
        <v>1370</v>
      </c>
      <c r="F436" s="134">
        <v>0.9478240740740741</v>
      </c>
      <c r="G436" t="s">
        <v>1373</v>
      </c>
      <c r="H436" t="s">
        <v>1374</v>
      </c>
    </row>
    <row r="437" spans="1:8">
      <c r="A437">
        <v>8247677</v>
      </c>
      <c r="B437" t="s">
        <v>1189</v>
      </c>
      <c r="C437" t="s">
        <v>1187</v>
      </c>
      <c r="D437" t="s">
        <v>1188</v>
      </c>
      <c r="E437" t="s">
        <v>1375</v>
      </c>
      <c r="F437" s="134">
        <v>0.60658564814814808</v>
      </c>
      <c r="G437" t="s">
        <v>1371</v>
      </c>
      <c r="H437" t="s">
        <v>1372</v>
      </c>
    </row>
    <row r="438" spans="1:8">
      <c r="A438">
        <v>8247677</v>
      </c>
      <c r="B438" t="s">
        <v>1189</v>
      </c>
      <c r="C438" t="s">
        <v>1187</v>
      </c>
      <c r="D438" t="s">
        <v>1188</v>
      </c>
      <c r="E438" t="s">
        <v>1375</v>
      </c>
      <c r="F438" s="134">
        <v>0.94721064814814815</v>
      </c>
      <c r="G438" t="s">
        <v>1373</v>
      </c>
      <c r="H438" t="s">
        <v>1374</v>
      </c>
    </row>
    <row r="439" spans="1:8">
      <c r="A439">
        <v>8247677</v>
      </c>
      <c r="B439" t="s">
        <v>1189</v>
      </c>
      <c r="C439" t="s">
        <v>1187</v>
      </c>
      <c r="D439" t="s">
        <v>1188</v>
      </c>
      <c r="E439" t="s">
        <v>1376</v>
      </c>
      <c r="F439" s="134">
        <v>0.94649305555555552</v>
      </c>
      <c r="G439" t="s">
        <v>1373</v>
      </c>
      <c r="H439" t="s">
        <v>1374</v>
      </c>
    </row>
    <row r="440" spans="1:8">
      <c r="A440">
        <v>8247677</v>
      </c>
      <c r="B440" t="s">
        <v>1189</v>
      </c>
      <c r="C440" t="s">
        <v>1187</v>
      </c>
      <c r="D440" t="s">
        <v>1188</v>
      </c>
      <c r="E440" t="s">
        <v>1376</v>
      </c>
      <c r="F440" s="134">
        <v>0.60700231481481481</v>
      </c>
      <c r="G440" t="s">
        <v>1371</v>
      </c>
      <c r="H440" t="s">
        <v>1372</v>
      </c>
    </row>
    <row r="441" spans="1:8">
      <c r="A441">
        <v>8247677</v>
      </c>
      <c r="B441" t="s">
        <v>1189</v>
      </c>
      <c r="C441" t="s">
        <v>1187</v>
      </c>
      <c r="D441" t="s">
        <v>1188</v>
      </c>
      <c r="E441" t="s">
        <v>1377</v>
      </c>
      <c r="F441" s="134">
        <v>0.60567129629629635</v>
      </c>
      <c r="G441" t="s">
        <v>1371</v>
      </c>
      <c r="H441" t="s">
        <v>1372</v>
      </c>
    </row>
    <row r="442" spans="1:8">
      <c r="A442">
        <v>8247677</v>
      </c>
      <c r="B442" t="s">
        <v>1189</v>
      </c>
      <c r="C442" t="s">
        <v>1187</v>
      </c>
      <c r="D442" t="s">
        <v>1188</v>
      </c>
      <c r="E442" t="s">
        <v>1377</v>
      </c>
      <c r="F442" s="134">
        <v>0.94589120370370372</v>
      </c>
      <c r="G442" t="s">
        <v>1373</v>
      </c>
      <c r="H442" t="s">
        <v>1374</v>
      </c>
    </row>
    <row r="443" spans="1:8">
      <c r="A443">
        <v>8247677</v>
      </c>
      <c r="B443" t="s">
        <v>1189</v>
      </c>
      <c r="C443" t="s">
        <v>1187</v>
      </c>
      <c r="D443" t="s">
        <v>1188</v>
      </c>
      <c r="E443" t="s">
        <v>1378</v>
      </c>
      <c r="F443" s="134">
        <v>0.60697916666666674</v>
      </c>
      <c r="G443" t="s">
        <v>1371</v>
      </c>
      <c r="H443" t="s">
        <v>1372</v>
      </c>
    </row>
    <row r="444" spans="1:8">
      <c r="A444">
        <v>8247677</v>
      </c>
      <c r="B444" t="s">
        <v>1189</v>
      </c>
      <c r="C444" t="s">
        <v>1187</v>
      </c>
      <c r="D444" t="s">
        <v>1188</v>
      </c>
      <c r="E444" t="s">
        <v>1378</v>
      </c>
      <c r="F444" s="134">
        <v>0.94835648148148144</v>
      </c>
      <c r="G444" t="s">
        <v>1373</v>
      </c>
      <c r="H444" t="s">
        <v>1374</v>
      </c>
    </row>
    <row r="445" spans="1:8">
      <c r="A445">
        <v>8247677</v>
      </c>
      <c r="B445" t="s">
        <v>1189</v>
      </c>
      <c r="C445" t="s">
        <v>1187</v>
      </c>
      <c r="D445" t="s">
        <v>1188</v>
      </c>
      <c r="E445" t="s">
        <v>1379</v>
      </c>
      <c r="F445" s="134">
        <v>0.61403935185185188</v>
      </c>
      <c r="G445" t="s">
        <v>1371</v>
      </c>
      <c r="H445" t="s">
        <v>1372</v>
      </c>
    </row>
    <row r="446" spans="1:8">
      <c r="A446">
        <v>8247677</v>
      </c>
      <c r="B446" t="s">
        <v>1189</v>
      </c>
      <c r="C446" t="s">
        <v>1187</v>
      </c>
      <c r="D446" t="s">
        <v>1188</v>
      </c>
      <c r="E446" t="s">
        <v>1379</v>
      </c>
      <c r="F446" s="134">
        <v>0.93915509259259267</v>
      </c>
      <c r="G446" t="s">
        <v>1373</v>
      </c>
      <c r="H446" t="s">
        <v>1374</v>
      </c>
    </row>
    <row r="447" spans="1:8">
      <c r="A447">
        <v>8272509</v>
      </c>
      <c r="B447" t="s">
        <v>763</v>
      </c>
      <c r="C447" t="s">
        <v>762</v>
      </c>
      <c r="D447" t="s">
        <v>762</v>
      </c>
      <c r="E447" t="s">
        <v>1370</v>
      </c>
      <c r="F447" s="134">
        <v>0.60734953703703709</v>
      </c>
      <c r="G447" t="s">
        <v>1371</v>
      </c>
      <c r="H447" t="s">
        <v>1372</v>
      </c>
    </row>
    <row r="448" spans="1:8">
      <c r="A448">
        <v>8272509</v>
      </c>
      <c r="B448" t="s">
        <v>763</v>
      </c>
      <c r="C448" t="s">
        <v>762</v>
      </c>
      <c r="D448" t="s">
        <v>762</v>
      </c>
      <c r="E448" t="s">
        <v>1370</v>
      </c>
      <c r="F448" s="134">
        <v>0.94657407407407401</v>
      </c>
      <c r="G448" t="s">
        <v>1373</v>
      </c>
      <c r="H448" t="s">
        <v>1374</v>
      </c>
    </row>
    <row r="449" spans="1:8">
      <c r="A449">
        <v>8272509</v>
      </c>
      <c r="B449" t="s">
        <v>763</v>
      </c>
      <c r="C449" t="s">
        <v>762</v>
      </c>
      <c r="D449" t="s">
        <v>762</v>
      </c>
      <c r="E449" t="s">
        <v>1375</v>
      </c>
      <c r="F449" s="134">
        <v>0.60960648148148155</v>
      </c>
      <c r="G449" t="s">
        <v>1371</v>
      </c>
      <c r="H449" t="s">
        <v>1372</v>
      </c>
    </row>
    <row r="450" spans="1:8">
      <c r="A450">
        <v>8272509</v>
      </c>
      <c r="B450" t="s">
        <v>763</v>
      </c>
      <c r="C450" t="s">
        <v>762</v>
      </c>
      <c r="D450" t="s">
        <v>762</v>
      </c>
      <c r="E450" t="s">
        <v>1375</v>
      </c>
      <c r="F450" s="134">
        <v>0.94768518518518519</v>
      </c>
      <c r="G450" t="s">
        <v>1373</v>
      </c>
      <c r="H450" t="s">
        <v>1374</v>
      </c>
    </row>
    <row r="451" spans="1:8">
      <c r="A451">
        <v>8272509</v>
      </c>
      <c r="B451" t="s">
        <v>763</v>
      </c>
      <c r="C451" t="s">
        <v>762</v>
      </c>
      <c r="D451" t="s">
        <v>762</v>
      </c>
      <c r="E451" t="s">
        <v>1376</v>
      </c>
      <c r="F451" s="134">
        <v>0.94899305555555558</v>
      </c>
      <c r="G451" t="s">
        <v>1373</v>
      </c>
      <c r="H451" t="s">
        <v>1374</v>
      </c>
    </row>
    <row r="452" spans="1:8">
      <c r="A452">
        <v>8272509</v>
      </c>
      <c r="B452" t="s">
        <v>763</v>
      </c>
      <c r="C452" t="s">
        <v>762</v>
      </c>
      <c r="D452" t="s">
        <v>762</v>
      </c>
      <c r="E452" t="s">
        <v>1376</v>
      </c>
      <c r="F452" s="134">
        <v>0.60719907407407414</v>
      </c>
      <c r="G452" t="s">
        <v>1371</v>
      </c>
      <c r="H452" t="s">
        <v>1372</v>
      </c>
    </row>
    <row r="453" spans="1:8">
      <c r="A453">
        <v>8272509</v>
      </c>
      <c r="B453" t="s">
        <v>763</v>
      </c>
      <c r="C453" t="s">
        <v>762</v>
      </c>
      <c r="D453" t="s">
        <v>762</v>
      </c>
      <c r="E453" t="s">
        <v>1377</v>
      </c>
      <c r="F453" s="134">
        <v>0.60703703703703704</v>
      </c>
      <c r="G453" t="s">
        <v>1371</v>
      </c>
      <c r="H453" t="s">
        <v>1372</v>
      </c>
    </row>
    <row r="454" spans="1:8">
      <c r="A454">
        <v>8272509</v>
      </c>
      <c r="B454" t="s">
        <v>763</v>
      </c>
      <c r="C454" t="s">
        <v>762</v>
      </c>
      <c r="D454" t="s">
        <v>762</v>
      </c>
      <c r="E454" t="s">
        <v>1377</v>
      </c>
      <c r="F454" s="134">
        <v>0.94824074074074083</v>
      </c>
      <c r="G454" t="s">
        <v>1373</v>
      </c>
      <c r="H454" t="s">
        <v>1374</v>
      </c>
    </row>
    <row r="455" spans="1:8">
      <c r="A455">
        <v>8272509</v>
      </c>
      <c r="B455" t="s">
        <v>763</v>
      </c>
      <c r="C455" t="s">
        <v>762</v>
      </c>
      <c r="D455" t="s">
        <v>762</v>
      </c>
      <c r="E455" t="s">
        <v>1378</v>
      </c>
      <c r="F455" s="134">
        <v>0.60741898148148155</v>
      </c>
      <c r="G455" t="s">
        <v>1371</v>
      </c>
      <c r="H455" t="s">
        <v>1372</v>
      </c>
    </row>
    <row r="456" spans="1:8">
      <c r="A456">
        <v>8272509</v>
      </c>
      <c r="B456" t="s">
        <v>763</v>
      </c>
      <c r="C456" t="s">
        <v>762</v>
      </c>
      <c r="D456" t="s">
        <v>762</v>
      </c>
      <c r="E456" t="s">
        <v>1378</v>
      </c>
      <c r="F456" s="134">
        <v>0.94914351851851853</v>
      </c>
      <c r="G456" t="s">
        <v>1373</v>
      </c>
      <c r="H456" t="s">
        <v>1374</v>
      </c>
    </row>
    <row r="457" spans="1:8">
      <c r="A457">
        <v>8272509</v>
      </c>
      <c r="B457" t="s">
        <v>763</v>
      </c>
      <c r="C457" t="s">
        <v>762</v>
      </c>
      <c r="D457" t="s">
        <v>762</v>
      </c>
      <c r="E457" t="s">
        <v>1379</v>
      </c>
      <c r="F457" s="134">
        <v>0.60910879629629633</v>
      </c>
      <c r="G457" t="s">
        <v>1371</v>
      </c>
      <c r="H457" t="s">
        <v>1372</v>
      </c>
    </row>
    <row r="458" spans="1:8">
      <c r="A458">
        <v>8272509</v>
      </c>
      <c r="B458" t="s">
        <v>763</v>
      </c>
      <c r="C458" t="s">
        <v>762</v>
      </c>
      <c r="D458" t="s">
        <v>762</v>
      </c>
      <c r="E458" t="s">
        <v>1379</v>
      </c>
      <c r="F458" s="134">
        <v>0.94512731481481482</v>
      </c>
      <c r="G458" t="s">
        <v>1373</v>
      </c>
      <c r="H458" t="s">
        <v>1374</v>
      </c>
    </row>
    <row r="459" spans="1:8">
      <c r="A459">
        <v>8283277</v>
      </c>
      <c r="B459" t="s">
        <v>130</v>
      </c>
      <c r="C459" t="s">
        <v>117</v>
      </c>
      <c r="D459" t="s">
        <v>129</v>
      </c>
      <c r="E459" t="s">
        <v>1370</v>
      </c>
      <c r="F459" s="134">
        <v>0.30273148148148149</v>
      </c>
      <c r="G459" t="s">
        <v>1371</v>
      </c>
      <c r="H459" t="s">
        <v>1372</v>
      </c>
    </row>
    <row r="460" spans="1:8">
      <c r="A460">
        <v>8283277</v>
      </c>
      <c r="B460" t="s">
        <v>130</v>
      </c>
      <c r="C460" t="s">
        <v>117</v>
      </c>
      <c r="D460" t="s">
        <v>129</v>
      </c>
      <c r="E460" t="s">
        <v>1370</v>
      </c>
      <c r="F460" s="134">
        <v>0.7336111111111111</v>
      </c>
      <c r="G460" t="s">
        <v>1373</v>
      </c>
      <c r="H460" t="s">
        <v>1374</v>
      </c>
    </row>
    <row r="461" spans="1:8">
      <c r="A461">
        <v>8283277</v>
      </c>
      <c r="B461" t="s">
        <v>130</v>
      </c>
      <c r="C461" t="s">
        <v>117</v>
      </c>
      <c r="D461" t="s">
        <v>129</v>
      </c>
      <c r="E461" t="s">
        <v>1375</v>
      </c>
      <c r="F461" s="134">
        <v>0.30075231481481485</v>
      </c>
      <c r="G461" t="s">
        <v>1371</v>
      </c>
      <c r="H461" t="s">
        <v>1372</v>
      </c>
    </row>
    <row r="462" spans="1:8">
      <c r="A462">
        <v>8283277</v>
      </c>
      <c r="B462" t="s">
        <v>130</v>
      </c>
      <c r="C462" t="s">
        <v>117</v>
      </c>
      <c r="D462" t="s">
        <v>129</v>
      </c>
      <c r="E462" t="s">
        <v>1375</v>
      </c>
      <c r="F462" s="134">
        <v>0.73635416666666664</v>
      </c>
      <c r="G462" t="s">
        <v>1373</v>
      </c>
      <c r="H462" t="s">
        <v>1374</v>
      </c>
    </row>
    <row r="463" spans="1:8">
      <c r="A463">
        <v>8283277</v>
      </c>
      <c r="B463" t="s">
        <v>130</v>
      </c>
      <c r="C463" t="s">
        <v>117</v>
      </c>
      <c r="D463" t="s">
        <v>129</v>
      </c>
      <c r="E463" t="s">
        <v>1376</v>
      </c>
      <c r="F463" s="134">
        <v>0.73277777777777775</v>
      </c>
      <c r="G463" t="s">
        <v>1373</v>
      </c>
      <c r="H463" t="s">
        <v>1374</v>
      </c>
    </row>
    <row r="464" spans="1:8">
      <c r="A464">
        <v>8283277</v>
      </c>
      <c r="B464" t="s">
        <v>130</v>
      </c>
      <c r="C464" t="s">
        <v>117</v>
      </c>
      <c r="D464" t="s">
        <v>129</v>
      </c>
      <c r="E464" t="s">
        <v>1376</v>
      </c>
      <c r="F464" s="134">
        <v>0.29212962962962963</v>
      </c>
      <c r="G464" t="s">
        <v>1371</v>
      </c>
      <c r="H464" t="s">
        <v>1372</v>
      </c>
    </row>
    <row r="465" spans="1:8">
      <c r="A465">
        <v>8283277</v>
      </c>
      <c r="B465" t="s">
        <v>130</v>
      </c>
      <c r="C465" t="s">
        <v>117</v>
      </c>
      <c r="D465" t="s">
        <v>129</v>
      </c>
      <c r="E465" t="s">
        <v>1377</v>
      </c>
      <c r="F465" s="134">
        <v>0.29413194444444446</v>
      </c>
      <c r="G465" t="s">
        <v>1371</v>
      </c>
      <c r="H465" t="s">
        <v>1372</v>
      </c>
    </row>
    <row r="466" spans="1:8">
      <c r="A466">
        <v>8283277</v>
      </c>
      <c r="B466" t="s">
        <v>130</v>
      </c>
      <c r="C466" t="s">
        <v>117</v>
      </c>
      <c r="D466" t="s">
        <v>129</v>
      </c>
      <c r="E466" t="s">
        <v>1377</v>
      </c>
      <c r="F466" s="134">
        <v>0.73071759259259261</v>
      </c>
      <c r="G466" t="s">
        <v>1373</v>
      </c>
      <c r="H466" t="s">
        <v>1374</v>
      </c>
    </row>
    <row r="467" spans="1:8">
      <c r="A467">
        <v>8283277</v>
      </c>
      <c r="B467" t="s">
        <v>130</v>
      </c>
      <c r="C467" t="s">
        <v>117</v>
      </c>
      <c r="D467" t="s">
        <v>129</v>
      </c>
      <c r="E467" t="s">
        <v>1378</v>
      </c>
      <c r="F467" s="134">
        <v>0.29302083333333334</v>
      </c>
      <c r="G467" t="s">
        <v>1371</v>
      </c>
      <c r="H467" t="s">
        <v>1372</v>
      </c>
    </row>
    <row r="468" spans="1:8">
      <c r="A468">
        <v>8283277</v>
      </c>
      <c r="B468" t="s">
        <v>130</v>
      </c>
      <c r="C468" t="s">
        <v>117</v>
      </c>
      <c r="D468" t="s">
        <v>129</v>
      </c>
      <c r="E468" t="s">
        <v>1378</v>
      </c>
      <c r="F468" s="134">
        <v>0.73605324074074074</v>
      </c>
      <c r="G468" t="s">
        <v>1373</v>
      </c>
      <c r="H468" t="s">
        <v>1374</v>
      </c>
    </row>
    <row r="469" spans="1:8">
      <c r="A469">
        <v>8283277</v>
      </c>
      <c r="B469" t="s">
        <v>130</v>
      </c>
      <c r="C469" t="s">
        <v>117</v>
      </c>
      <c r="D469" t="s">
        <v>129</v>
      </c>
      <c r="E469" t="s">
        <v>1379</v>
      </c>
      <c r="F469" s="134">
        <v>0.29348379629629628</v>
      </c>
      <c r="G469" t="s">
        <v>1371</v>
      </c>
      <c r="H469" t="s">
        <v>1372</v>
      </c>
    </row>
    <row r="470" spans="1:8">
      <c r="A470">
        <v>8283277</v>
      </c>
      <c r="B470" t="s">
        <v>130</v>
      </c>
      <c r="C470" t="s">
        <v>117</v>
      </c>
      <c r="D470" t="s">
        <v>129</v>
      </c>
      <c r="E470" t="s">
        <v>1379</v>
      </c>
      <c r="F470" s="134">
        <v>0.63214120370370364</v>
      </c>
      <c r="G470" t="s">
        <v>1373</v>
      </c>
      <c r="H470" t="s">
        <v>1374</v>
      </c>
    </row>
    <row r="471" spans="1:8">
      <c r="A471">
        <v>8332629</v>
      </c>
      <c r="B471" t="s">
        <v>148</v>
      </c>
      <c r="C471" t="s">
        <v>147</v>
      </c>
      <c r="D471" t="s">
        <v>43</v>
      </c>
      <c r="E471" t="s">
        <v>1370</v>
      </c>
      <c r="F471" s="134">
        <v>0.91813657407407412</v>
      </c>
      <c r="G471" t="s">
        <v>1371</v>
      </c>
      <c r="H471" t="s">
        <v>1372</v>
      </c>
    </row>
    <row r="472" spans="1:8">
      <c r="A472">
        <v>8332629</v>
      </c>
      <c r="B472" t="s">
        <v>148</v>
      </c>
      <c r="C472" t="s">
        <v>147</v>
      </c>
      <c r="D472" t="s">
        <v>43</v>
      </c>
      <c r="E472" t="s">
        <v>1375</v>
      </c>
      <c r="F472" s="134">
        <v>0.31254629629629632</v>
      </c>
      <c r="G472" t="s">
        <v>1373</v>
      </c>
      <c r="H472" t="s">
        <v>1374</v>
      </c>
    </row>
    <row r="473" spans="1:8">
      <c r="A473">
        <v>8332629</v>
      </c>
      <c r="B473" t="s">
        <v>148</v>
      </c>
      <c r="C473" t="s">
        <v>147</v>
      </c>
      <c r="D473" t="s">
        <v>43</v>
      </c>
      <c r="E473" t="s">
        <v>1375</v>
      </c>
      <c r="F473" s="134">
        <v>0.91863425925925923</v>
      </c>
      <c r="G473" t="s">
        <v>1371</v>
      </c>
      <c r="H473" t="s">
        <v>1372</v>
      </c>
    </row>
    <row r="474" spans="1:8">
      <c r="A474">
        <v>8332629</v>
      </c>
      <c r="B474" t="s">
        <v>148</v>
      </c>
      <c r="C474" t="s">
        <v>147</v>
      </c>
      <c r="D474" t="s">
        <v>43</v>
      </c>
      <c r="E474" t="s">
        <v>1376</v>
      </c>
      <c r="F474" s="134">
        <v>0.31252314814814813</v>
      </c>
      <c r="G474" t="s">
        <v>1373</v>
      </c>
      <c r="H474" t="s">
        <v>1374</v>
      </c>
    </row>
    <row r="475" spans="1:8">
      <c r="A475">
        <v>8332629</v>
      </c>
      <c r="B475" t="s">
        <v>148</v>
      </c>
      <c r="C475" t="s">
        <v>147</v>
      </c>
      <c r="D475" t="s">
        <v>43</v>
      </c>
      <c r="E475" t="s">
        <v>1376</v>
      </c>
      <c r="F475" s="134">
        <v>0.91967592592592595</v>
      </c>
      <c r="G475" t="s">
        <v>1371</v>
      </c>
      <c r="H475" t="s">
        <v>1372</v>
      </c>
    </row>
    <row r="476" spans="1:8">
      <c r="A476">
        <v>8332629</v>
      </c>
      <c r="B476" t="s">
        <v>148</v>
      </c>
      <c r="C476" t="s">
        <v>147</v>
      </c>
      <c r="D476" t="s">
        <v>43</v>
      </c>
      <c r="E476" t="s">
        <v>1377</v>
      </c>
      <c r="F476" s="134">
        <v>0.31357638888888889</v>
      </c>
      <c r="G476" t="s">
        <v>1373</v>
      </c>
      <c r="H476" t="s">
        <v>1374</v>
      </c>
    </row>
    <row r="477" spans="1:8">
      <c r="A477">
        <v>8332629</v>
      </c>
      <c r="B477" t="s">
        <v>148</v>
      </c>
      <c r="C477" t="s">
        <v>147</v>
      </c>
      <c r="D477" t="s">
        <v>43</v>
      </c>
      <c r="E477" t="s">
        <v>1377</v>
      </c>
      <c r="F477" s="134">
        <v>0.92003472222222227</v>
      </c>
      <c r="G477" t="s">
        <v>1371</v>
      </c>
      <c r="H477" t="s">
        <v>1372</v>
      </c>
    </row>
    <row r="478" spans="1:8">
      <c r="A478">
        <v>8332629</v>
      </c>
      <c r="B478" t="s">
        <v>148</v>
      </c>
      <c r="C478" t="s">
        <v>147</v>
      </c>
      <c r="D478" t="s">
        <v>43</v>
      </c>
      <c r="E478" t="s">
        <v>1378</v>
      </c>
      <c r="F478" s="134">
        <v>0.31506944444444446</v>
      </c>
      <c r="G478" t="s">
        <v>1373</v>
      </c>
      <c r="H478" t="s">
        <v>1374</v>
      </c>
    </row>
    <row r="479" spans="1:8">
      <c r="A479">
        <v>8332629</v>
      </c>
      <c r="B479" t="s">
        <v>148</v>
      </c>
      <c r="C479" t="s">
        <v>147</v>
      </c>
      <c r="D479" t="s">
        <v>43</v>
      </c>
      <c r="E479" t="s">
        <v>1378</v>
      </c>
      <c r="F479" s="134">
        <v>0.91953703703703704</v>
      </c>
      <c r="G479" t="s">
        <v>1371</v>
      </c>
      <c r="H479" t="s">
        <v>1372</v>
      </c>
    </row>
    <row r="480" spans="1:8">
      <c r="A480">
        <v>8332629</v>
      </c>
      <c r="B480" t="s">
        <v>148</v>
      </c>
      <c r="C480" t="s">
        <v>147</v>
      </c>
      <c r="D480" t="s">
        <v>43</v>
      </c>
      <c r="E480" t="s">
        <v>1379</v>
      </c>
      <c r="F480" s="134">
        <v>0.31258101851851855</v>
      </c>
      <c r="G480" t="s">
        <v>1373</v>
      </c>
      <c r="H480" t="s">
        <v>1374</v>
      </c>
    </row>
    <row r="481" spans="1:8">
      <c r="A481">
        <v>8360971</v>
      </c>
      <c r="B481" t="s">
        <v>248</v>
      </c>
      <c r="C481" t="s">
        <v>246</v>
      </c>
      <c r="D481" t="s">
        <v>247</v>
      </c>
      <c r="E481" t="s">
        <v>1370</v>
      </c>
      <c r="F481" s="134">
        <v>0.29608796296296297</v>
      </c>
      <c r="G481" t="s">
        <v>1371</v>
      </c>
      <c r="H481" t="s">
        <v>1372</v>
      </c>
    </row>
    <row r="482" spans="1:8">
      <c r="A482">
        <v>8360971</v>
      </c>
      <c r="B482" t="s">
        <v>248</v>
      </c>
      <c r="C482" t="s">
        <v>246</v>
      </c>
      <c r="D482" t="s">
        <v>247</v>
      </c>
      <c r="E482" t="s">
        <v>1370</v>
      </c>
      <c r="F482" s="134">
        <v>0.64090277777777771</v>
      </c>
      <c r="G482" t="s">
        <v>1373</v>
      </c>
      <c r="H482" t="s">
        <v>1374</v>
      </c>
    </row>
    <row r="483" spans="1:8">
      <c r="A483">
        <v>8360971</v>
      </c>
      <c r="B483" t="s">
        <v>248</v>
      </c>
      <c r="C483" t="s">
        <v>246</v>
      </c>
      <c r="D483" t="s">
        <v>247</v>
      </c>
      <c r="E483" t="s">
        <v>1375</v>
      </c>
      <c r="F483" s="134">
        <v>0.29496527777777776</v>
      </c>
      <c r="G483" t="s">
        <v>1371</v>
      </c>
      <c r="H483" t="s">
        <v>1372</v>
      </c>
    </row>
    <row r="484" spans="1:8">
      <c r="A484">
        <v>8360971</v>
      </c>
      <c r="B484" t="s">
        <v>248</v>
      </c>
      <c r="C484" t="s">
        <v>246</v>
      </c>
      <c r="D484" t="s">
        <v>247</v>
      </c>
      <c r="E484" t="s">
        <v>1375</v>
      </c>
      <c r="F484" s="134">
        <v>0.64628472222222222</v>
      </c>
      <c r="G484" t="s">
        <v>1373</v>
      </c>
      <c r="H484" t="s">
        <v>1374</v>
      </c>
    </row>
    <row r="485" spans="1:8">
      <c r="A485">
        <v>8360971</v>
      </c>
      <c r="B485" t="s">
        <v>248</v>
      </c>
      <c r="C485" t="s">
        <v>246</v>
      </c>
      <c r="D485" t="s">
        <v>247</v>
      </c>
      <c r="E485" t="s">
        <v>1376</v>
      </c>
      <c r="F485" s="134">
        <v>0.63768518518518513</v>
      </c>
      <c r="G485" t="s">
        <v>1373</v>
      </c>
      <c r="H485" t="s">
        <v>1374</v>
      </c>
    </row>
    <row r="486" spans="1:8">
      <c r="A486">
        <v>8360971</v>
      </c>
      <c r="B486" t="s">
        <v>248</v>
      </c>
      <c r="C486" t="s">
        <v>246</v>
      </c>
      <c r="D486" t="s">
        <v>247</v>
      </c>
      <c r="E486" t="s">
        <v>1376</v>
      </c>
      <c r="F486" s="134">
        <v>0.29423611111111109</v>
      </c>
      <c r="G486" t="s">
        <v>1371</v>
      </c>
      <c r="H486" t="s">
        <v>1372</v>
      </c>
    </row>
    <row r="487" spans="1:8">
      <c r="A487">
        <v>8360971</v>
      </c>
      <c r="B487" t="s">
        <v>248</v>
      </c>
      <c r="C487" t="s">
        <v>246</v>
      </c>
      <c r="D487" t="s">
        <v>247</v>
      </c>
      <c r="E487" t="s">
        <v>1377</v>
      </c>
      <c r="F487" s="134">
        <v>0.29469907407407409</v>
      </c>
      <c r="G487" t="s">
        <v>1371</v>
      </c>
      <c r="H487" t="s">
        <v>1372</v>
      </c>
    </row>
    <row r="488" spans="1:8">
      <c r="A488">
        <v>8360971</v>
      </c>
      <c r="B488" t="s">
        <v>248</v>
      </c>
      <c r="C488" t="s">
        <v>246</v>
      </c>
      <c r="D488" t="s">
        <v>247</v>
      </c>
      <c r="E488" t="s">
        <v>1377</v>
      </c>
      <c r="F488" s="134">
        <v>0.64122685185185191</v>
      </c>
      <c r="G488" t="s">
        <v>1373</v>
      </c>
      <c r="H488" t="s">
        <v>1374</v>
      </c>
    </row>
    <row r="489" spans="1:8">
      <c r="A489">
        <v>8360971</v>
      </c>
      <c r="B489" t="s">
        <v>248</v>
      </c>
      <c r="C489" t="s">
        <v>246</v>
      </c>
      <c r="D489" t="s">
        <v>247</v>
      </c>
      <c r="E489" t="s">
        <v>1378</v>
      </c>
      <c r="F489" s="134">
        <v>0.29688657407407409</v>
      </c>
      <c r="G489" t="s">
        <v>1371</v>
      </c>
      <c r="H489" t="s">
        <v>1372</v>
      </c>
    </row>
    <row r="490" spans="1:8">
      <c r="A490">
        <v>8360971</v>
      </c>
      <c r="B490" t="s">
        <v>248</v>
      </c>
      <c r="C490" t="s">
        <v>246</v>
      </c>
      <c r="D490" t="s">
        <v>247</v>
      </c>
      <c r="E490" t="s">
        <v>1378</v>
      </c>
      <c r="F490" s="134">
        <v>0.64060185185185181</v>
      </c>
      <c r="G490" t="s">
        <v>1373</v>
      </c>
      <c r="H490" t="s">
        <v>1374</v>
      </c>
    </row>
    <row r="491" spans="1:8">
      <c r="A491">
        <v>8360971</v>
      </c>
      <c r="B491" t="s">
        <v>248</v>
      </c>
      <c r="C491" t="s">
        <v>246</v>
      </c>
      <c r="D491" t="s">
        <v>247</v>
      </c>
      <c r="E491" t="s">
        <v>1379</v>
      </c>
      <c r="F491" s="134">
        <v>0.29471064814814812</v>
      </c>
      <c r="G491" t="s">
        <v>1371</v>
      </c>
      <c r="H491" t="s">
        <v>1372</v>
      </c>
    </row>
    <row r="492" spans="1:8">
      <c r="A492">
        <v>8360971</v>
      </c>
      <c r="B492" t="s">
        <v>248</v>
      </c>
      <c r="C492" t="s">
        <v>246</v>
      </c>
      <c r="D492" t="s">
        <v>247</v>
      </c>
      <c r="E492" t="s">
        <v>1379</v>
      </c>
      <c r="F492" s="134">
        <v>0.64839120370370373</v>
      </c>
      <c r="G492" t="s">
        <v>1373</v>
      </c>
      <c r="H492" t="s">
        <v>1374</v>
      </c>
    </row>
    <row r="493" spans="1:8">
      <c r="A493">
        <v>8406841</v>
      </c>
      <c r="B493" t="s">
        <v>1161</v>
      </c>
      <c r="C493" t="s">
        <v>1160</v>
      </c>
      <c r="D493" t="s">
        <v>991</v>
      </c>
      <c r="E493" t="s">
        <v>1378</v>
      </c>
      <c r="F493" s="134">
        <v>0.2948263888888889</v>
      </c>
      <c r="G493" t="s">
        <v>1371</v>
      </c>
      <c r="H493" t="s">
        <v>1372</v>
      </c>
    </row>
    <row r="494" spans="1:8">
      <c r="A494">
        <v>8406841</v>
      </c>
      <c r="B494" t="s">
        <v>1161</v>
      </c>
      <c r="C494" t="s">
        <v>1160</v>
      </c>
      <c r="D494" t="s">
        <v>991</v>
      </c>
      <c r="E494" t="s">
        <v>1378</v>
      </c>
      <c r="F494" s="134">
        <v>0.64034722222222229</v>
      </c>
      <c r="G494" t="s">
        <v>1373</v>
      </c>
      <c r="H494" t="s">
        <v>1374</v>
      </c>
    </row>
    <row r="495" spans="1:8">
      <c r="A495">
        <v>8406841</v>
      </c>
      <c r="B495" t="s">
        <v>1161</v>
      </c>
      <c r="C495" t="s">
        <v>1160</v>
      </c>
      <c r="D495" t="s">
        <v>991</v>
      </c>
      <c r="E495" t="s">
        <v>1379</v>
      </c>
      <c r="F495" s="134">
        <v>0.29410879629629633</v>
      </c>
      <c r="G495" t="s">
        <v>1371</v>
      </c>
      <c r="H495" t="s">
        <v>1372</v>
      </c>
    </row>
    <row r="496" spans="1:8">
      <c r="A496">
        <v>8406841</v>
      </c>
      <c r="B496" t="s">
        <v>1161</v>
      </c>
      <c r="C496" t="s">
        <v>1160</v>
      </c>
      <c r="D496" t="s">
        <v>991</v>
      </c>
      <c r="E496" t="s">
        <v>1379</v>
      </c>
      <c r="F496" s="134">
        <v>0.64026620370370368</v>
      </c>
      <c r="G496" t="s">
        <v>1373</v>
      </c>
      <c r="H496" t="s">
        <v>1374</v>
      </c>
    </row>
    <row r="497" spans="1:8">
      <c r="A497">
        <v>8454836</v>
      </c>
      <c r="B497" t="s">
        <v>230</v>
      </c>
      <c r="C497" t="s">
        <v>229</v>
      </c>
      <c r="D497" t="s">
        <v>177</v>
      </c>
      <c r="E497" t="s">
        <v>1370</v>
      </c>
      <c r="F497" s="134">
        <v>0.91748842592592583</v>
      </c>
      <c r="G497" t="s">
        <v>1371</v>
      </c>
      <c r="H497" t="s">
        <v>1372</v>
      </c>
    </row>
    <row r="498" spans="1:8">
      <c r="A498">
        <v>8454836</v>
      </c>
      <c r="B498" t="s">
        <v>230</v>
      </c>
      <c r="C498" t="s">
        <v>229</v>
      </c>
      <c r="D498" t="s">
        <v>177</v>
      </c>
      <c r="E498" t="s">
        <v>1375</v>
      </c>
      <c r="F498" s="134">
        <v>0.32414351851851853</v>
      </c>
      <c r="G498" t="s">
        <v>1373</v>
      </c>
      <c r="H498" t="s">
        <v>1374</v>
      </c>
    </row>
    <row r="499" spans="1:8">
      <c r="A499">
        <v>8454836</v>
      </c>
      <c r="B499" t="s">
        <v>230</v>
      </c>
      <c r="C499" t="s">
        <v>229</v>
      </c>
      <c r="D499" t="s">
        <v>177</v>
      </c>
      <c r="E499" t="s">
        <v>1375</v>
      </c>
      <c r="F499" s="134">
        <v>0.91780092592592588</v>
      </c>
      <c r="G499" t="s">
        <v>1371</v>
      </c>
      <c r="H499" t="s">
        <v>1372</v>
      </c>
    </row>
    <row r="500" spans="1:8">
      <c r="A500">
        <v>8454836</v>
      </c>
      <c r="B500" t="s">
        <v>230</v>
      </c>
      <c r="C500" t="s">
        <v>229</v>
      </c>
      <c r="D500" t="s">
        <v>177</v>
      </c>
      <c r="E500" t="s">
        <v>1376</v>
      </c>
      <c r="F500" s="134">
        <v>0.32553240740740741</v>
      </c>
      <c r="G500" t="s">
        <v>1373</v>
      </c>
      <c r="H500" t="s">
        <v>1374</v>
      </c>
    </row>
    <row r="501" spans="1:8">
      <c r="A501">
        <v>8454836</v>
      </c>
      <c r="B501" t="s">
        <v>230</v>
      </c>
      <c r="C501" t="s">
        <v>229</v>
      </c>
      <c r="D501" t="s">
        <v>177</v>
      </c>
      <c r="E501" t="s">
        <v>1376</v>
      </c>
      <c r="F501" s="134">
        <v>0.91843750000000002</v>
      </c>
      <c r="G501" t="s">
        <v>1371</v>
      </c>
      <c r="H501" t="s">
        <v>1372</v>
      </c>
    </row>
    <row r="502" spans="1:8">
      <c r="A502">
        <v>8454836</v>
      </c>
      <c r="B502" t="s">
        <v>230</v>
      </c>
      <c r="C502" t="s">
        <v>229</v>
      </c>
      <c r="D502" t="s">
        <v>177</v>
      </c>
      <c r="E502" t="s">
        <v>1377</v>
      </c>
      <c r="F502" s="134">
        <v>0.32511574074074073</v>
      </c>
      <c r="G502" t="s">
        <v>1373</v>
      </c>
      <c r="H502" t="s">
        <v>1374</v>
      </c>
    </row>
    <row r="503" spans="1:8">
      <c r="A503">
        <v>8454836</v>
      </c>
      <c r="B503" t="s">
        <v>230</v>
      </c>
      <c r="C503" t="s">
        <v>229</v>
      </c>
      <c r="D503" t="s">
        <v>177</v>
      </c>
      <c r="E503" t="s">
        <v>1377</v>
      </c>
      <c r="F503" s="134">
        <v>0.9186805555555555</v>
      </c>
      <c r="G503" t="s">
        <v>1371</v>
      </c>
      <c r="H503" t="s">
        <v>1372</v>
      </c>
    </row>
    <row r="504" spans="1:8">
      <c r="A504">
        <v>8454836</v>
      </c>
      <c r="B504" t="s">
        <v>230</v>
      </c>
      <c r="C504" t="s">
        <v>229</v>
      </c>
      <c r="D504" t="s">
        <v>177</v>
      </c>
      <c r="E504" t="s">
        <v>1378</v>
      </c>
      <c r="F504" s="134">
        <v>0.32478009259259261</v>
      </c>
      <c r="G504" t="s">
        <v>1373</v>
      </c>
      <c r="H504" t="s">
        <v>1374</v>
      </c>
    </row>
    <row r="505" spans="1:8">
      <c r="A505">
        <v>8454836</v>
      </c>
      <c r="B505" t="s">
        <v>230</v>
      </c>
      <c r="C505" t="s">
        <v>229</v>
      </c>
      <c r="D505" t="s">
        <v>177</v>
      </c>
      <c r="E505" t="s">
        <v>1378</v>
      </c>
      <c r="F505" s="134">
        <v>0.91878472222222218</v>
      </c>
      <c r="G505" t="s">
        <v>1371</v>
      </c>
      <c r="H505" t="s">
        <v>1372</v>
      </c>
    </row>
    <row r="506" spans="1:8">
      <c r="A506">
        <v>8454836</v>
      </c>
      <c r="B506" t="s">
        <v>230</v>
      </c>
      <c r="C506" t="s">
        <v>229</v>
      </c>
      <c r="D506" t="s">
        <v>177</v>
      </c>
      <c r="E506" t="s">
        <v>1379</v>
      </c>
      <c r="F506" s="134">
        <v>0.32396990740740739</v>
      </c>
      <c r="G506" t="s">
        <v>1373</v>
      </c>
      <c r="H506" t="s">
        <v>1374</v>
      </c>
    </row>
    <row r="507" spans="1:8">
      <c r="A507">
        <v>8465592</v>
      </c>
      <c r="B507" t="s">
        <v>260</v>
      </c>
      <c r="C507" t="s">
        <v>258</v>
      </c>
      <c r="D507" t="s">
        <v>259</v>
      </c>
      <c r="E507" t="s">
        <v>1370</v>
      </c>
      <c r="F507" s="134">
        <v>0.29355324074074074</v>
      </c>
      <c r="G507" t="s">
        <v>1371</v>
      </c>
      <c r="H507" t="s">
        <v>1372</v>
      </c>
    </row>
    <row r="508" spans="1:8">
      <c r="A508">
        <v>8465592</v>
      </c>
      <c r="B508" t="s">
        <v>260</v>
      </c>
      <c r="C508" t="s">
        <v>258</v>
      </c>
      <c r="D508" t="s">
        <v>259</v>
      </c>
      <c r="E508" t="s">
        <v>1370</v>
      </c>
      <c r="F508" s="134">
        <v>0.63388888888888884</v>
      </c>
      <c r="G508" t="s">
        <v>1373</v>
      </c>
      <c r="H508" t="s">
        <v>1374</v>
      </c>
    </row>
    <row r="509" spans="1:8">
      <c r="A509">
        <v>8465592</v>
      </c>
      <c r="B509" t="s">
        <v>260</v>
      </c>
      <c r="C509" t="s">
        <v>258</v>
      </c>
      <c r="D509" t="s">
        <v>259</v>
      </c>
      <c r="E509" t="s">
        <v>1375</v>
      </c>
      <c r="F509" s="134">
        <v>0.29363425925925929</v>
      </c>
      <c r="G509" t="s">
        <v>1371</v>
      </c>
      <c r="H509" t="s">
        <v>1372</v>
      </c>
    </row>
    <row r="510" spans="1:8">
      <c r="A510">
        <v>8465592</v>
      </c>
      <c r="B510" t="s">
        <v>260</v>
      </c>
      <c r="C510" t="s">
        <v>258</v>
      </c>
      <c r="D510" t="s">
        <v>259</v>
      </c>
      <c r="E510" t="s">
        <v>1375</v>
      </c>
      <c r="F510" s="134">
        <v>0.6346180555555555</v>
      </c>
      <c r="G510" t="s">
        <v>1373</v>
      </c>
      <c r="H510" t="s">
        <v>1374</v>
      </c>
    </row>
    <row r="511" spans="1:8">
      <c r="A511">
        <v>8465592</v>
      </c>
      <c r="B511" t="s">
        <v>260</v>
      </c>
      <c r="C511" t="s">
        <v>258</v>
      </c>
      <c r="D511" t="s">
        <v>259</v>
      </c>
      <c r="E511" t="s">
        <v>1376</v>
      </c>
      <c r="F511" s="134">
        <v>0.29398148148148145</v>
      </c>
      <c r="G511" t="s">
        <v>1371</v>
      </c>
      <c r="H511" t="s">
        <v>1372</v>
      </c>
    </row>
    <row r="512" spans="1:8">
      <c r="A512">
        <v>8465592</v>
      </c>
      <c r="B512" t="s">
        <v>260</v>
      </c>
      <c r="C512" t="s">
        <v>258</v>
      </c>
      <c r="D512" t="s">
        <v>259</v>
      </c>
      <c r="E512" t="s">
        <v>1376</v>
      </c>
      <c r="F512" s="134">
        <v>0.63497685185185182</v>
      </c>
      <c r="G512" t="s">
        <v>1373</v>
      </c>
      <c r="H512" t="s">
        <v>1374</v>
      </c>
    </row>
    <row r="513" spans="1:8">
      <c r="A513">
        <v>8465592</v>
      </c>
      <c r="B513" t="s">
        <v>260</v>
      </c>
      <c r="C513" t="s">
        <v>258</v>
      </c>
      <c r="D513" t="s">
        <v>259</v>
      </c>
      <c r="E513" t="s">
        <v>1377</v>
      </c>
      <c r="F513" s="134">
        <v>0.63299768518518518</v>
      </c>
      <c r="G513" t="s">
        <v>1373</v>
      </c>
      <c r="H513" t="s">
        <v>1374</v>
      </c>
    </row>
    <row r="514" spans="1:8">
      <c r="A514">
        <v>8465592</v>
      </c>
      <c r="B514" t="s">
        <v>260</v>
      </c>
      <c r="C514" t="s">
        <v>258</v>
      </c>
      <c r="D514" t="s">
        <v>259</v>
      </c>
      <c r="E514" t="s">
        <v>1377</v>
      </c>
      <c r="F514" s="134">
        <v>0.29358796296296297</v>
      </c>
      <c r="G514" t="s">
        <v>1371</v>
      </c>
      <c r="H514" t="s">
        <v>1372</v>
      </c>
    </row>
    <row r="515" spans="1:8">
      <c r="A515">
        <v>8465592</v>
      </c>
      <c r="B515" t="s">
        <v>260</v>
      </c>
      <c r="C515" t="s">
        <v>258</v>
      </c>
      <c r="D515" t="s">
        <v>259</v>
      </c>
      <c r="E515" t="s">
        <v>1378</v>
      </c>
      <c r="F515" s="134">
        <v>0.2946759259259259</v>
      </c>
      <c r="G515" t="s">
        <v>1371</v>
      </c>
      <c r="H515" t="s">
        <v>1372</v>
      </c>
    </row>
    <row r="516" spans="1:8">
      <c r="A516">
        <v>8465592</v>
      </c>
      <c r="B516" t="s">
        <v>260</v>
      </c>
      <c r="C516" t="s">
        <v>258</v>
      </c>
      <c r="D516" t="s">
        <v>259</v>
      </c>
      <c r="E516" t="s">
        <v>1378</v>
      </c>
      <c r="F516" s="134">
        <v>0.63446759259259256</v>
      </c>
      <c r="G516" t="s">
        <v>1373</v>
      </c>
      <c r="H516" t="s">
        <v>1374</v>
      </c>
    </row>
    <row r="517" spans="1:8">
      <c r="A517">
        <v>8465592</v>
      </c>
      <c r="B517" t="s">
        <v>260</v>
      </c>
      <c r="C517" t="s">
        <v>258</v>
      </c>
      <c r="D517" t="s">
        <v>259</v>
      </c>
      <c r="E517" t="s">
        <v>1379</v>
      </c>
      <c r="F517" s="134">
        <v>0.29431712962962964</v>
      </c>
      <c r="G517" t="s">
        <v>1371</v>
      </c>
      <c r="H517" t="s">
        <v>1372</v>
      </c>
    </row>
    <row r="518" spans="1:8">
      <c r="A518">
        <v>8465592</v>
      </c>
      <c r="B518" t="s">
        <v>260</v>
      </c>
      <c r="C518" t="s">
        <v>258</v>
      </c>
      <c r="D518" t="s">
        <v>259</v>
      </c>
      <c r="E518" t="s">
        <v>1379</v>
      </c>
      <c r="F518" s="134">
        <v>0.63516203703703711</v>
      </c>
      <c r="G518" t="s">
        <v>1373</v>
      </c>
      <c r="H518" t="s">
        <v>1374</v>
      </c>
    </row>
    <row r="519" spans="1:8">
      <c r="A519">
        <v>8465592</v>
      </c>
      <c r="B519" t="s">
        <v>260</v>
      </c>
      <c r="C519" t="s">
        <v>258</v>
      </c>
      <c r="D519" t="s">
        <v>259</v>
      </c>
      <c r="E519" t="s">
        <v>1382</v>
      </c>
      <c r="F519" s="134">
        <v>0.99428240740740748</v>
      </c>
      <c r="G519" t="s">
        <v>1371</v>
      </c>
      <c r="H519" t="s">
        <v>1372</v>
      </c>
    </row>
    <row r="520" spans="1:8">
      <c r="A520">
        <v>8618882</v>
      </c>
      <c r="B520" t="s">
        <v>1018</v>
      </c>
      <c r="C520" t="s">
        <v>637</v>
      </c>
      <c r="D520" t="s">
        <v>894</v>
      </c>
      <c r="E520" t="s">
        <v>1370</v>
      </c>
      <c r="F520" s="134">
        <v>0.92936342592592591</v>
      </c>
      <c r="G520" t="s">
        <v>1371</v>
      </c>
      <c r="H520" t="s">
        <v>1372</v>
      </c>
    </row>
    <row r="521" spans="1:8">
      <c r="A521">
        <v>8618882</v>
      </c>
      <c r="B521" t="s">
        <v>1018</v>
      </c>
      <c r="C521" t="s">
        <v>637</v>
      </c>
      <c r="D521" t="s">
        <v>894</v>
      </c>
      <c r="E521" t="s">
        <v>1375</v>
      </c>
      <c r="F521" s="134">
        <v>0.32188657407407406</v>
      </c>
      <c r="G521" t="s">
        <v>1373</v>
      </c>
      <c r="H521" t="s">
        <v>1374</v>
      </c>
    </row>
    <row r="522" spans="1:8">
      <c r="A522">
        <v>8618882</v>
      </c>
      <c r="B522" t="s">
        <v>1018</v>
      </c>
      <c r="C522" t="s">
        <v>637</v>
      </c>
      <c r="D522" t="s">
        <v>894</v>
      </c>
      <c r="E522" t="s">
        <v>1375</v>
      </c>
      <c r="F522" s="134">
        <v>0.92849537037037033</v>
      </c>
      <c r="G522" t="s">
        <v>1371</v>
      </c>
      <c r="H522" t="s">
        <v>1372</v>
      </c>
    </row>
    <row r="523" spans="1:8">
      <c r="A523">
        <v>8618882</v>
      </c>
      <c r="B523" t="s">
        <v>1018</v>
      </c>
      <c r="C523" t="s">
        <v>637</v>
      </c>
      <c r="D523" t="s">
        <v>894</v>
      </c>
      <c r="E523" t="s">
        <v>1376</v>
      </c>
      <c r="F523" s="134">
        <v>0.31622685185185184</v>
      </c>
      <c r="G523" t="s">
        <v>1373</v>
      </c>
      <c r="H523" t="s">
        <v>1374</v>
      </c>
    </row>
    <row r="524" spans="1:8">
      <c r="A524">
        <v>8618882</v>
      </c>
      <c r="B524" t="s">
        <v>1018</v>
      </c>
      <c r="C524" t="s">
        <v>637</v>
      </c>
      <c r="D524" t="s">
        <v>894</v>
      </c>
      <c r="E524" t="s">
        <v>1376</v>
      </c>
      <c r="F524" s="134">
        <v>0.92700231481481488</v>
      </c>
      <c r="G524" t="s">
        <v>1371</v>
      </c>
      <c r="H524" t="s">
        <v>1372</v>
      </c>
    </row>
    <row r="525" spans="1:8">
      <c r="A525">
        <v>8618882</v>
      </c>
      <c r="B525" t="s">
        <v>1018</v>
      </c>
      <c r="C525" t="s">
        <v>637</v>
      </c>
      <c r="D525" t="s">
        <v>894</v>
      </c>
      <c r="E525" t="s">
        <v>1377</v>
      </c>
      <c r="F525" s="134">
        <v>0.31679398148148147</v>
      </c>
      <c r="G525" t="s">
        <v>1373</v>
      </c>
      <c r="H525" t="s">
        <v>1374</v>
      </c>
    </row>
    <row r="526" spans="1:8">
      <c r="A526">
        <v>8618882</v>
      </c>
      <c r="B526" t="s">
        <v>1018</v>
      </c>
      <c r="C526" t="s">
        <v>637</v>
      </c>
      <c r="D526" t="s">
        <v>894</v>
      </c>
      <c r="E526" t="s">
        <v>1377</v>
      </c>
      <c r="F526" s="134">
        <v>0.93006944444444439</v>
      </c>
      <c r="G526" t="s">
        <v>1371</v>
      </c>
      <c r="H526" t="s">
        <v>1372</v>
      </c>
    </row>
    <row r="527" spans="1:8">
      <c r="A527">
        <v>8618882</v>
      </c>
      <c r="B527" t="s">
        <v>1018</v>
      </c>
      <c r="C527" t="s">
        <v>637</v>
      </c>
      <c r="D527" t="s">
        <v>894</v>
      </c>
      <c r="E527" t="s">
        <v>1378</v>
      </c>
      <c r="F527" s="134">
        <v>0.3147800925925926</v>
      </c>
      <c r="G527" t="s">
        <v>1373</v>
      </c>
      <c r="H527" t="s">
        <v>1374</v>
      </c>
    </row>
    <row r="528" spans="1:8">
      <c r="A528">
        <v>8618882</v>
      </c>
      <c r="B528" t="s">
        <v>1018</v>
      </c>
      <c r="C528" t="s">
        <v>637</v>
      </c>
      <c r="D528" t="s">
        <v>894</v>
      </c>
      <c r="E528" t="s">
        <v>1378</v>
      </c>
      <c r="F528" s="134">
        <v>0.93089120370370371</v>
      </c>
      <c r="G528" t="s">
        <v>1371</v>
      </c>
      <c r="H528" t="s">
        <v>1372</v>
      </c>
    </row>
    <row r="529" spans="1:8">
      <c r="A529">
        <v>8618882</v>
      </c>
      <c r="B529" t="s">
        <v>1018</v>
      </c>
      <c r="C529" t="s">
        <v>637</v>
      </c>
      <c r="D529" t="s">
        <v>894</v>
      </c>
      <c r="E529" t="s">
        <v>1379</v>
      </c>
      <c r="F529" s="134">
        <v>0.31916666666666665</v>
      </c>
      <c r="G529" t="s">
        <v>1373</v>
      </c>
      <c r="H529" t="s">
        <v>1374</v>
      </c>
    </row>
    <row r="530" spans="1:8">
      <c r="A530">
        <v>8634737</v>
      </c>
      <c r="B530" t="s">
        <v>949</v>
      </c>
      <c r="C530" t="s">
        <v>235</v>
      </c>
      <c r="D530" t="s">
        <v>948</v>
      </c>
      <c r="E530" t="s">
        <v>1370</v>
      </c>
      <c r="F530" s="134">
        <v>0.29744212962962963</v>
      </c>
      <c r="G530" t="s">
        <v>1371</v>
      </c>
      <c r="H530" t="s">
        <v>1372</v>
      </c>
    </row>
    <row r="531" spans="1:8">
      <c r="A531">
        <v>8634737</v>
      </c>
      <c r="B531" t="s">
        <v>949</v>
      </c>
      <c r="C531" t="s">
        <v>235</v>
      </c>
      <c r="D531" t="s">
        <v>948</v>
      </c>
      <c r="E531" t="s">
        <v>1370</v>
      </c>
      <c r="F531" s="134">
        <v>0.63200231481481484</v>
      </c>
      <c r="G531" t="s">
        <v>1373</v>
      </c>
      <c r="H531" t="s">
        <v>1374</v>
      </c>
    </row>
    <row r="532" spans="1:8">
      <c r="A532">
        <v>8634737</v>
      </c>
      <c r="B532" t="s">
        <v>949</v>
      </c>
      <c r="C532" t="s">
        <v>235</v>
      </c>
      <c r="D532" t="s">
        <v>948</v>
      </c>
      <c r="E532" t="s">
        <v>1375</v>
      </c>
      <c r="F532" s="134">
        <v>0.29835648148148147</v>
      </c>
      <c r="G532" t="s">
        <v>1371</v>
      </c>
      <c r="H532" t="s">
        <v>1372</v>
      </c>
    </row>
    <row r="533" spans="1:8">
      <c r="A533">
        <v>8634737</v>
      </c>
      <c r="B533" t="s">
        <v>949</v>
      </c>
      <c r="C533" t="s">
        <v>235</v>
      </c>
      <c r="D533" t="s">
        <v>948</v>
      </c>
      <c r="E533" t="s">
        <v>1375</v>
      </c>
      <c r="F533" s="134">
        <v>0.62862268518518516</v>
      </c>
      <c r="G533" t="s">
        <v>1373</v>
      </c>
      <c r="H533" t="s">
        <v>1374</v>
      </c>
    </row>
    <row r="534" spans="1:8">
      <c r="A534">
        <v>8634737</v>
      </c>
      <c r="B534" t="s">
        <v>949</v>
      </c>
      <c r="C534" t="s">
        <v>235</v>
      </c>
      <c r="D534" t="s">
        <v>948</v>
      </c>
      <c r="E534" t="s">
        <v>1376</v>
      </c>
      <c r="F534" s="134">
        <v>0.62543981481481481</v>
      </c>
      <c r="G534" t="s">
        <v>1373</v>
      </c>
      <c r="H534" t="s">
        <v>1374</v>
      </c>
    </row>
    <row r="535" spans="1:8">
      <c r="A535">
        <v>8634737</v>
      </c>
      <c r="B535" t="s">
        <v>949</v>
      </c>
      <c r="C535" t="s">
        <v>235</v>
      </c>
      <c r="D535" t="s">
        <v>948</v>
      </c>
      <c r="E535" t="s">
        <v>1376</v>
      </c>
      <c r="F535" s="134">
        <v>0.29700231481481482</v>
      </c>
      <c r="G535" t="s">
        <v>1371</v>
      </c>
      <c r="H535" t="s">
        <v>1372</v>
      </c>
    </row>
    <row r="536" spans="1:8">
      <c r="A536">
        <v>8634737</v>
      </c>
      <c r="B536" t="s">
        <v>949</v>
      </c>
      <c r="C536" t="s">
        <v>235</v>
      </c>
      <c r="D536" t="s">
        <v>948</v>
      </c>
      <c r="E536" t="s">
        <v>1377</v>
      </c>
      <c r="F536" s="134">
        <v>0.2963425925925926</v>
      </c>
      <c r="G536" t="s">
        <v>1371</v>
      </c>
      <c r="H536" t="s">
        <v>1372</v>
      </c>
    </row>
    <row r="537" spans="1:8">
      <c r="A537">
        <v>8634737</v>
      </c>
      <c r="B537" t="s">
        <v>949</v>
      </c>
      <c r="C537" t="s">
        <v>235</v>
      </c>
      <c r="D537" t="s">
        <v>948</v>
      </c>
      <c r="E537" t="s">
        <v>1377</v>
      </c>
      <c r="F537" s="134">
        <v>0.62893518518518521</v>
      </c>
      <c r="G537" t="s">
        <v>1373</v>
      </c>
      <c r="H537" t="s">
        <v>1374</v>
      </c>
    </row>
    <row r="538" spans="1:8">
      <c r="A538">
        <v>8634737</v>
      </c>
      <c r="B538" t="s">
        <v>949</v>
      </c>
      <c r="C538" t="s">
        <v>235</v>
      </c>
      <c r="D538" t="s">
        <v>948</v>
      </c>
      <c r="E538" t="s">
        <v>1378</v>
      </c>
      <c r="F538" s="134">
        <v>0.29640046296296296</v>
      </c>
      <c r="G538" t="s">
        <v>1371</v>
      </c>
      <c r="H538" t="s">
        <v>1372</v>
      </c>
    </row>
    <row r="539" spans="1:8">
      <c r="A539">
        <v>8634737</v>
      </c>
      <c r="B539" t="s">
        <v>949</v>
      </c>
      <c r="C539" t="s">
        <v>235</v>
      </c>
      <c r="D539" t="s">
        <v>948</v>
      </c>
      <c r="E539" t="s">
        <v>1378</v>
      </c>
      <c r="F539" s="134">
        <v>0.63627314814814817</v>
      </c>
      <c r="G539" t="s">
        <v>1373</v>
      </c>
      <c r="H539" t="s">
        <v>1374</v>
      </c>
    </row>
    <row r="540" spans="1:8">
      <c r="A540">
        <v>8634737</v>
      </c>
      <c r="B540" t="s">
        <v>949</v>
      </c>
      <c r="C540" t="s">
        <v>235</v>
      </c>
      <c r="D540" t="s">
        <v>948</v>
      </c>
      <c r="E540" t="s">
        <v>1379</v>
      </c>
      <c r="F540" s="134">
        <v>0.60865740740740748</v>
      </c>
      <c r="G540" t="s">
        <v>1371</v>
      </c>
      <c r="H540" t="s">
        <v>1372</v>
      </c>
    </row>
    <row r="541" spans="1:8">
      <c r="A541">
        <v>8634737</v>
      </c>
      <c r="B541" t="s">
        <v>949</v>
      </c>
      <c r="C541" t="s">
        <v>235</v>
      </c>
      <c r="D541" t="s">
        <v>948</v>
      </c>
      <c r="E541" t="s">
        <v>1379</v>
      </c>
      <c r="F541" s="134">
        <v>0.93210648148148145</v>
      </c>
      <c r="G541" t="s">
        <v>1373</v>
      </c>
      <c r="H541" t="s">
        <v>1374</v>
      </c>
    </row>
    <row r="542" spans="1:8">
      <c r="A542">
        <v>8733235</v>
      </c>
      <c r="B542" t="s">
        <v>433</v>
      </c>
      <c r="C542" t="s">
        <v>426</v>
      </c>
      <c r="D542" t="s">
        <v>432</v>
      </c>
      <c r="E542" t="s">
        <v>1370</v>
      </c>
      <c r="F542" s="134">
        <v>0.29421296296296295</v>
      </c>
      <c r="G542" t="s">
        <v>1371</v>
      </c>
      <c r="H542" t="s">
        <v>1372</v>
      </c>
    </row>
    <row r="543" spans="1:8">
      <c r="A543">
        <v>8733235</v>
      </c>
      <c r="B543" t="s">
        <v>433</v>
      </c>
      <c r="C543" t="s">
        <v>426</v>
      </c>
      <c r="D543" t="s">
        <v>432</v>
      </c>
      <c r="E543" t="s">
        <v>1370</v>
      </c>
      <c r="F543" s="134">
        <v>0.64321759259259259</v>
      </c>
      <c r="G543" t="s">
        <v>1373</v>
      </c>
      <c r="H543" t="s">
        <v>1374</v>
      </c>
    </row>
    <row r="544" spans="1:8">
      <c r="A544">
        <v>8733235</v>
      </c>
      <c r="B544" t="s">
        <v>433</v>
      </c>
      <c r="C544" t="s">
        <v>426</v>
      </c>
      <c r="D544" t="s">
        <v>432</v>
      </c>
      <c r="E544" t="s">
        <v>1375</v>
      </c>
      <c r="F544" s="134">
        <v>0.28912037037037036</v>
      </c>
      <c r="G544" t="s">
        <v>1371</v>
      </c>
      <c r="H544" t="s">
        <v>1372</v>
      </c>
    </row>
    <row r="545" spans="1:8">
      <c r="A545">
        <v>8733235</v>
      </c>
      <c r="B545" t="s">
        <v>433</v>
      </c>
      <c r="C545" t="s">
        <v>426</v>
      </c>
      <c r="D545" t="s">
        <v>432</v>
      </c>
      <c r="E545" t="s">
        <v>1375</v>
      </c>
      <c r="F545" s="134">
        <v>0.64482638888888888</v>
      </c>
      <c r="G545" t="s">
        <v>1373</v>
      </c>
      <c r="H545" t="s">
        <v>1374</v>
      </c>
    </row>
    <row r="546" spans="1:8">
      <c r="A546">
        <v>8733235</v>
      </c>
      <c r="B546" t="s">
        <v>433</v>
      </c>
      <c r="C546" t="s">
        <v>426</v>
      </c>
      <c r="D546" t="s">
        <v>432</v>
      </c>
      <c r="E546" t="s">
        <v>1376</v>
      </c>
      <c r="F546" s="134">
        <v>0.64892361111111108</v>
      </c>
      <c r="G546" t="s">
        <v>1373</v>
      </c>
      <c r="H546" t="s">
        <v>1374</v>
      </c>
    </row>
    <row r="547" spans="1:8">
      <c r="A547">
        <v>8733235</v>
      </c>
      <c r="B547" t="s">
        <v>433</v>
      </c>
      <c r="C547" t="s">
        <v>426</v>
      </c>
      <c r="D547" t="s">
        <v>432</v>
      </c>
      <c r="E547" t="s">
        <v>1376</v>
      </c>
      <c r="F547" s="134">
        <v>0.28478009259259257</v>
      </c>
      <c r="G547" t="s">
        <v>1371</v>
      </c>
      <c r="H547" t="s">
        <v>1372</v>
      </c>
    </row>
    <row r="548" spans="1:8">
      <c r="A548">
        <v>8733235</v>
      </c>
      <c r="B548" t="s">
        <v>433</v>
      </c>
      <c r="C548" t="s">
        <v>426</v>
      </c>
      <c r="D548" t="s">
        <v>432</v>
      </c>
      <c r="E548" t="s">
        <v>1377</v>
      </c>
      <c r="F548" s="134">
        <v>0.29008101851851853</v>
      </c>
      <c r="G548" t="s">
        <v>1371</v>
      </c>
      <c r="H548" t="s">
        <v>1372</v>
      </c>
    </row>
    <row r="549" spans="1:8">
      <c r="A549">
        <v>8733235</v>
      </c>
      <c r="B549" t="s">
        <v>433</v>
      </c>
      <c r="C549" t="s">
        <v>426</v>
      </c>
      <c r="D549" t="s">
        <v>432</v>
      </c>
      <c r="E549" t="s">
        <v>1377</v>
      </c>
      <c r="F549" s="134">
        <v>0.63832175925925927</v>
      </c>
      <c r="G549" t="s">
        <v>1373</v>
      </c>
      <c r="H549" t="s">
        <v>1374</v>
      </c>
    </row>
    <row r="550" spans="1:8">
      <c r="A550">
        <v>8733235</v>
      </c>
      <c r="B550" t="s">
        <v>433</v>
      </c>
      <c r="C550" t="s">
        <v>426</v>
      </c>
      <c r="D550" t="s">
        <v>432</v>
      </c>
      <c r="E550" t="s">
        <v>1378</v>
      </c>
      <c r="F550" s="134">
        <v>0.29951388888888891</v>
      </c>
      <c r="G550" t="s">
        <v>1371</v>
      </c>
      <c r="H550" t="s">
        <v>1372</v>
      </c>
    </row>
    <row r="551" spans="1:8">
      <c r="A551">
        <v>8733235</v>
      </c>
      <c r="B551" t="s">
        <v>433</v>
      </c>
      <c r="C551" t="s">
        <v>426</v>
      </c>
      <c r="D551" t="s">
        <v>432</v>
      </c>
      <c r="E551" t="s">
        <v>1378</v>
      </c>
      <c r="F551" s="134">
        <v>0.64089120370370367</v>
      </c>
      <c r="G551" t="s">
        <v>1373</v>
      </c>
      <c r="H551" t="s">
        <v>1374</v>
      </c>
    </row>
    <row r="552" spans="1:8">
      <c r="A552">
        <v>8733235</v>
      </c>
      <c r="B552" t="s">
        <v>433</v>
      </c>
      <c r="C552" t="s">
        <v>426</v>
      </c>
      <c r="D552" t="s">
        <v>432</v>
      </c>
      <c r="E552" t="s">
        <v>1379</v>
      </c>
      <c r="F552" s="134">
        <v>0.28569444444444442</v>
      </c>
      <c r="G552" t="s">
        <v>1371</v>
      </c>
      <c r="H552" t="s">
        <v>1372</v>
      </c>
    </row>
    <row r="553" spans="1:8">
      <c r="A553">
        <v>8733235</v>
      </c>
      <c r="B553" t="s">
        <v>433</v>
      </c>
      <c r="C553" t="s">
        <v>426</v>
      </c>
      <c r="D553" t="s">
        <v>432</v>
      </c>
      <c r="E553" t="s">
        <v>1379</v>
      </c>
      <c r="F553" s="134">
        <v>0.64501157407407406</v>
      </c>
      <c r="G553" t="s">
        <v>1373</v>
      </c>
      <c r="H553" t="s">
        <v>1374</v>
      </c>
    </row>
    <row r="554" spans="1:8">
      <c r="A554">
        <v>8771787</v>
      </c>
      <c r="B554" t="s">
        <v>553</v>
      </c>
      <c r="C554" t="s">
        <v>551</v>
      </c>
      <c r="D554" t="s">
        <v>552</v>
      </c>
      <c r="E554" t="s">
        <v>1370</v>
      </c>
      <c r="F554" s="134">
        <v>0.91875000000000007</v>
      </c>
      <c r="G554" t="s">
        <v>1371</v>
      </c>
      <c r="H554" t="s">
        <v>1372</v>
      </c>
    </row>
    <row r="555" spans="1:8">
      <c r="A555">
        <v>8771787</v>
      </c>
      <c r="B555" t="s">
        <v>553</v>
      </c>
      <c r="C555" t="s">
        <v>551</v>
      </c>
      <c r="D555" t="s">
        <v>552</v>
      </c>
      <c r="E555" t="s">
        <v>1375</v>
      </c>
      <c r="F555" s="134">
        <v>0.32428240740740738</v>
      </c>
      <c r="G555" t="s">
        <v>1373</v>
      </c>
      <c r="H555" t="s">
        <v>1374</v>
      </c>
    </row>
    <row r="556" spans="1:8">
      <c r="A556">
        <v>8771787</v>
      </c>
      <c r="B556" t="s">
        <v>553</v>
      </c>
      <c r="C556" t="s">
        <v>551</v>
      </c>
      <c r="D556" t="s">
        <v>552</v>
      </c>
      <c r="E556" t="s">
        <v>1375</v>
      </c>
      <c r="F556" s="134">
        <v>0.91939814814814813</v>
      </c>
      <c r="G556" t="s">
        <v>1371</v>
      </c>
      <c r="H556" t="s">
        <v>1372</v>
      </c>
    </row>
    <row r="557" spans="1:8">
      <c r="A557">
        <v>8771787</v>
      </c>
      <c r="B557" t="s">
        <v>553</v>
      </c>
      <c r="C557" t="s">
        <v>551</v>
      </c>
      <c r="D557" t="s">
        <v>552</v>
      </c>
      <c r="E557" t="s">
        <v>1376</v>
      </c>
      <c r="F557" s="134">
        <v>0.3245601851851852</v>
      </c>
      <c r="G557" t="s">
        <v>1373</v>
      </c>
      <c r="H557" t="s">
        <v>1374</v>
      </c>
    </row>
    <row r="558" spans="1:8">
      <c r="A558">
        <v>8771787</v>
      </c>
      <c r="B558" t="s">
        <v>553</v>
      </c>
      <c r="C558" t="s">
        <v>551</v>
      </c>
      <c r="D558" t="s">
        <v>552</v>
      </c>
      <c r="E558" t="s">
        <v>1376</v>
      </c>
      <c r="F558" s="134">
        <v>0.92019675925925926</v>
      </c>
      <c r="G558" t="s">
        <v>1371</v>
      </c>
      <c r="H558" t="s">
        <v>1372</v>
      </c>
    </row>
    <row r="559" spans="1:8">
      <c r="A559">
        <v>8771787</v>
      </c>
      <c r="B559" t="s">
        <v>553</v>
      </c>
      <c r="C559" t="s">
        <v>551</v>
      </c>
      <c r="D559" t="s">
        <v>552</v>
      </c>
      <c r="E559" t="s">
        <v>1377</v>
      </c>
      <c r="F559" s="134">
        <v>0.32624999999999998</v>
      </c>
      <c r="G559" t="s">
        <v>1373</v>
      </c>
      <c r="H559" t="s">
        <v>1374</v>
      </c>
    </row>
    <row r="560" spans="1:8">
      <c r="A560">
        <v>8771787</v>
      </c>
      <c r="B560" t="s">
        <v>553</v>
      </c>
      <c r="C560" t="s">
        <v>551</v>
      </c>
      <c r="D560" t="s">
        <v>552</v>
      </c>
      <c r="E560" t="s">
        <v>1377</v>
      </c>
      <c r="F560" s="134">
        <v>0.919988425925926</v>
      </c>
      <c r="G560" t="s">
        <v>1371</v>
      </c>
      <c r="H560" t="s">
        <v>1372</v>
      </c>
    </row>
    <row r="561" spans="1:8">
      <c r="A561">
        <v>8771787</v>
      </c>
      <c r="B561" t="s">
        <v>553</v>
      </c>
      <c r="C561" t="s">
        <v>551</v>
      </c>
      <c r="D561" t="s">
        <v>552</v>
      </c>
      <c r="E561" t="s">
        <v>1378</v>
      </c>
      <c r="F561" s="134">
        <v>0.32442129629629629</v>
      </c>
      <c r="G561" t="s">
        <v>1373</v>
      </c>
      <c r="H561" t="s">
        <v>1374</v>
      </c>
    </row>
    <row r="562" spans="1:8">
      <c r="A562">
        <v>8771787</v>
      </c>
      <c r="B562" t="s">
        <v>553</v>
      </c>
      <c r="C562" t="s">
        <v>551</v>
      </c>
      <c r="D562" t="s">
        <v>552</v>
      </c>
      <c r="E562" t="s">
        <v>1378</v>
      </c>
      <c r="F562" s="134">
        <v>0.92103009259259261</v>
      </c>
      <c r="G562" t="s">
        <v>1371</v>
      </c>
      <c r="H562" t="s">
        <v>1372</v>
      </c>
    </row>
    <row r="563" spans="1:8">
      <c r="A563">
        <v>8771787</v>
      </c>
      <c r="B563" t="s">
        <v>553</v>
      </c>
      <c r="C563" t="s">
        <v>551</v>
      </c>
      <c r="D563" t="s">
        <v>552</v>
      </c>
      <c r="E563" t="s">
        <v>1379</v>
      </c>
      <c r="F563" s="134">
        <v>0.3222800925925926</v>
      </c>
      <c r="G563" t="s">
        <v>1373</v>
      </c>
      <c r="H563" t="s">
        <v>1374</v>
      </c>
    </row>
    <row r="564" spans="1:8">
      <c r="A564">
        <v>8809784</v>
      </c>
      <c r="B564" t="s">
        <v>68</v>
      </c>
      <c r="C564" t="s">
        <v>66</v>
      </c>
      <c r="D564" t="s">
        <v>67</v>
      </c>
      <c r="E564" t="s">
        <v>1370</v>
      </c>
      <c r="F564" s="134">
        <v>0.31960648148148146</v>
      </c>
      <c r="G564" t="s">
        <v>1373</v>
      </c>
      <c r="H564" t="s">
        <v>1374</v>
      </c>
    </row>
    <row r="565" spans="1:8">
      <c r="A565">
        <v>8809784</v>
      </c>
      <c r="B565" t="s">
        <v>68</v>
      </c>
      <c r="C565" t="s">
        <v>66</v>
      </c>
      <c r="D565" t="s">
        <v>67</v>
      </c>
      <c r="E565" t="s">
        <v>1370</v>
      </c>
      <c r="F565" s="134">
        <v>0.92011574074074076</v>
      </c>
      <c r="G565" t="s">
        <v>1371</v>
      </c>
      <c r="H565" t="s">
        <v>1372</v>
      </c>
    </row>
    <row r="566" spans="1:8">
      <c r="A566">
        <v>8809784</v>
      </c>
      <c r="B566" t="s">
        <v>68</v>
      </c>
      <c r="C566" t="s">
        <v>66</v>
      </c>
      <c r="D566" t="s">
        <v>67</v>
      </c>
      <c r="E566" t="s">
        <v>1375</v>
      </c>
      <c r="F566" s="134">
        <v>0.32248842592592591</v>
      </c>
      <c r="G566" t="s">
        <v>1373</v>
      </c>
      <c r="H566" t="s">
        <v>1374</v>
      </c>
    </row>
    <row r="567" spans="1:8">
      <c r="A567">
        <v>8809784</v>
      </c>
      <c r="B567" t="s">
        <v>68</v>
      </c>
      <c r="C567" t="s">
        <v>66</v>
      </c>
      <c r="D567" t="s">
        <v>67</v>
      </c>
      <c r="E567" t="s">
        <v>1375</v>
      </c>
      <c r="F567" s="134">
        <v>0.91766203703703697</v>
      </c>
      <c r="G567" t="s">
        <v>1371</v>
      </c>
      <c r="H567" t="s">
        <v>1372</v>
      </c>
    </row>
    <row r="568" spans="1:8">
      <c r="A568">
        <v>8809784</v>
      </c>
      <c r="B568" t="s">
        <v>68</v>
      </c>
      <c r="C568" t="s">
        <v>66</v>
      </c>
      <c r="D568" t="s">
        <v>67</v>
      </c>
      <c r="E568" t="s">
        <v>1376</v>
      </c>
      <c r="F568" s="134">
        <v>0.32209490740740737</v>
      </c>
      <c r="G568" t="s">
        <v>1373</v>
      </c>
      <c r="H568" t="s">
        <v>1374</v>
      </c>
    </row>
    <row r="569" spans="1:8">
      <c r="A569">
        <v>8809784</v>
      </c>
      <c r="B569" t="s">
        <v>68</v>
      </c>
      <c r="C569" t="s">
        <v>66</v>
      </c>
      <c r="D569" t="s">
        <v>67</v>
      </c>
      <c r="E569" t="s">
        <v>1376</v>
      </c>
      <c r="F569" s="134">
        <v>0.91540509259259262</v>
      </c>
      <c r="G569" t="s">
        <v>1371</v>
      </c>
      <c r="H569" t="s">
        <v>1372</v>
      </c>
    </row>
    <row r="570" spans="1:8">
      <c r="A570">
        <v>8809784</v>
      </c>
      <c r="B570" t="s">
        <v>68</v>
      </c>
      <c r="C570" t="s">
        <v>66</v>
      </c>
      <c r="D570" t="s">
        <v>67</v>
      </c>
      <c r="E570" t="s">
        <v>1377</v>
      </c>
      <c r="F570" s="134">
        <v>0.32190972222222219</v>
      </c>
      <c r="G570" t="s">
        <v>1373</v>
      </c>
      <c r="H570" t="s">
        <v>1374</v>
      </c>
    </row>
    <row r="571" spans="1:8">
      <c r="A571">
        <v>8809784</v>
      </c>
      <c r="B571" t="s">
        <v>68</v>
      </c>
      <c r="C571" t="s">
        <v>66</v>
      </c>
      <c r="D571" t="s">
        <v>67</v>
      </c>
      <c r="E571" t="s">
        <v>1377</v>
      </c>
      <c r="F571" s="134">
        <v>0.91758101851851848</v>
      </c>
      <c r="G571" t="s">
        <v>1371</v>
      </c>
      <c r="H571" t="s">
        <v>1372</v>
      </c>
    </row>
    <row r="572" spans="1:8">
      <c r="A572">
        <v>8809784</v>
      </c>
      <c r="B572" t="s">
        <v>68</v>
      </c>
      <c r="C572" t="s">
        <v>66</v>
      </c>
      <c r="D572" t="s">
        <v>67</v>
      </c>
      <c r="E572" t="s">
        <v>1378</v>
      </c>
      <c r="F572" s="134">
        <v>0.3222800925925926</v>
      </c>
      <c r="G572" t="s">
        <v>1373</v>
      </c>
      <c r="H572" t="s">
        <v>1374</v>
      </c>
    </row>
    <row r="573" spans="1:8">
      <c r="A573">
        <v>8809784</v>
      </c>
      <c r="B573" t="s">
        <v>68</v>
      </c>
      <c r="C573" t="s">
        <v>66</v>
      </c>
      <c r="D573" t="s">
        <v>67</v>
      </c>
      <c r="E573" t="s">
        <v>1378</v>
      </c>
      <c r="F573" s="134">
        <v>0.91773148148148154</v>
      </c>
      <c r="G573" t="s">
        <v>1371</v>
      </c>
      <c r="H573" t="s">
        <v>1372</v>
      </c>
    </row>
    <row r="574" spans="1:8">
      <c r="A574">
        <v>8809784</v>
      </c>
      <c r="B574" t="s">
        <v>68</v>
      </c>
      <c r="C574" t="s">
        <v>66</v>
      </c>
      <c r="D574" t="s">
        <v>67</v>
      </c>
      <c r="E574" t="s">
        <v>1379</v>
      </c>
      <c r="F574" s="134">
        <v>0.32099537037037035</v>
      </c>
      <c r="G574" t="s">
        <v>1373</v>
      </c>
      <c r="H574" t="s">
        <v>1374</v>
      </c>
    </row>
    <row r="575" spans="1:8">
      <c r="A575">
        <v>8881760</v>
      </c>
      <c r="B575" t="s">
        <v>1102</v>
      </c>
      <c r="C575" t="s">
        <v>1041</v>
      </c>
      <c r="D575" t="s">
        <v>1101</v>
      </c>
      <c r="E575" t="s">
        <v>1370</v>
      </c>
      <c r="F575" s="134">
        <v>0.29392361111111109</v>
      </c>
      <c r="G575" t="s">
        <v>1371</v>
      </c>
      <c r="H575" t="s">
        <v>1372</v>
      </c>
    </row>
    <row r="576" spans="1:8">
      <c r="A576">
        <v>8881760</v>
      </c>
      <c r="B576" t="s">
        <v>1102</v>
      </c>
      <c r="C576" t="s">
        <v>1041</v>
      </c>
      <c r="D576" t="s">
        <v>1101</v>
      </c>
      <c r="E576" t="s">
        <v>1370</v>
      </c>
      <c r="F576" s="134">
        <v>0.63355324074074071</v>
      </c>
      <c r="G576" t="s">
        <v>1373</v>
      </c>
      <c r="H576" t="s">
        <v>1374</v>
      </c>
    </row>
    <row r="577" spans="1:8">
      <c r="A577">
        <v>8881760</v>
      </c>
      <c r="B577" t="s">
        <v>1102</v>
      </c>
      <c r="C577" t="s">
        <v>1041</v>
      </c>
      <c r="D577" t="s">
        <v>1101</v>
      </c>
      <c r="E577" t="s">
        <v>1375</v>
      </c>
      <c r="F577" s="134">
        <v>0.29418981481481482</v>
      </c>
      <c r="G577" t="s">
        <v>1371</v>
      </c>
      <c r="H577" t="s">
        <v>1372</v>
      </c>
    </row>
    <row r="578" spans="1:8">
      <c r="A578">
        <v>8881760</v>
      </c>
      <c r="B578" t="s">
        <v>1102</v>
      </c>
      <c r="C578" t="s">
        <v>1041</v>
      </c>
      <c r="D578" t="s">
        <v>1101</v>
      </c>
      <c r="E578" t="s">
        <v>1375</v>
      </c>
      <c r="F578" s="134">
        <v>0.6345601851851852</v>
      </c>
      <c r="G578" t="s">
        <v>1373</v>
      </c>
      <c r="H578" t="s">
        <v>1374</v>
      </c>
    </row>
    <row r="579" spans="1:8">
      <c r="A579">
        <v>8881760</v>
      </c>
      <c r="B579" t="s">
        <v>1102</v>
      </c>
      <c r="C579" t="s">
        <v>1041</v>
      </c>
      <c r="D579" t="s">
        <v>1101</v>
      </c>
      <c r="E579" t="s">
        <v>1376</v>
      </c>
      <c r="F579" s="134">
        <v>0.63488425925925929</v>
      </c>
      <c r="G579" t="s">
        <v>1373</v>
      </c>
      <c r="H579" t="s">
        <v>1374</v>
      </c>
    </row>
    <row r="580" spans="1:8">
      <c r="A580">
        <v>8881760</v>
      </c>
      <c r="B580" t="s">
        <v>1102</v>
      </c>
      <c r="C580" t="s">
        <v>1041</v>
      </c>
      <c r="D580" t="s">
        <v>1101</v>
      </c>
      <c r="E580" t="s">
        <v>1376</v>
      </c>
      <c r="F580" s="134">
        <v>0.29484953703703703</v>
      </c>
      <c r="G580" t="s">
        <v>1371</v>
      </c>
      <c r="H580" t="s">
        <v>1372</v>
      </c>
    </row>
    <row r="581" spans="1:8">
      <c r="A581">
        <v>8881760</v>
      </c>
      <c r="B581" t="s">
        <v>1102</v>
      </c>
      <c r="C581" t="s">
        <v>1041</v>
      </c>
      <c r="D581" t="s">
        <v>1101</v>
      </c>
      <c r="E581" t="s">
        <v>1377</v>
      </c>
      <c r="F581" s="134">
        <v>0.29445601851851849</v>
      </c>
      <c r="G581" t="s">
        <v>1371</v>
      </c>
      <c r="H581" t="s">
        <v>1372</v>
      </c>
    </row>
    <row r="582" spans="1:8">
      <c r="A582">
        <v>8881760</v>
      </c>
      <c r="B582" t="s">
        <v>1102</v>
      </c>
      <c r="C582" t="s">
        <v>1041</v>
      </c>
      <c r="D582" t="s">
        <v>1101</v>
      </c>
      <c r="E582" t="s">
        <v>1377</v>
      </c>
      <c r="F582" s="134">
        <v>0.63424768518518515</v>
      </c>
      <c r="G582" t="s">
        <v>1373</v>
      </c>
      <c r="H582" t="s">
        <v>1374</v>
      </c>
    </row>
    <row r="583" spans="1:8">
      <c r="A583">
        <v>8881760</v>
      </c>
      <c r="B583" t="s">
        <v>1102</v>
      </c>
      <c r="C583" t="s">
        <v>1041</v>
      </c>
      <c r="D583" t="s">
        <v>1101</v>
      </c>
      <c r="E583" t="s">
        <v>1378</v>
      </c>
      <c r="F583" s="134">
        <v>0.29594907407407406</v>
      </c>
      <c r="G583" t="s">
        <v>1371</v>
      </c>
      <c r="H583" t="s">
        <v>1372</v>
      </c>
    </row>
    <row r="584" spans="1:8">
      <c r="A584">
        <v>8881760</v>
      </c>
      <c r="B584" t="s">
        <v>1102</v>
      </c>
      <c r="C584" t="s">
        <v>1041</v>
      </c>
      <c r="D584" t="s">
        <v>1101</v>
      </c>
      <c r="E584" t="s">
        <v>1378</v>
      </c>
      <c r="F584" s="134">
        <v>0.63646990740740739</v>
      </c>
      <c r="G584" t="s">
        <v>1373</v>
      </c>
      <c r="H584" t="s">
        <v>1374</v>
      </c>
    </row>
    <row r="585" spans="1:8">
      <c r="A585">
        <v>8881760</v>
      </c>
      <c r="B585" t="s">
        <v>1102</v>
      </c>
      <c r="C585" t="s">
        <v>1041</v>
      </c>
      <c r="D585" t="s">
        <v>1101</v>
      </c>
      <c r="E585" t="s">
        <v>1379</v>
      </c>
      <c r="F585" s="134">
        <v>0.29520833333333335</v>
      </c>
      <c r="G585" t="s">
        <v>1371</v>
      </c>
      <c r="H585" t="s">
        <v>1372</v>
      </c>
    </row>
    <row r="586" spans="1:8">
      <c r="A586">
        <v>8881760</v>
      </c>
      <c r="B586" t="s">
        <v>1102</v>
      </c>
      <c r="C586" t="s">
        <v>1041</v>
      </c>
      <c r="D586" t="s">
        <v>1101</v>
      </c>
      <c r="E586" t="s">
        <v>1379</v>
      </c>
      <c r="F586" s="134">
        <v>0.6371296296296296</v>
      </c>
      <c r="G586" t="s">
        <v>1373</v>
      </c>
      <c r="H586" t="s">
        <v>1374</v>
      </c>
    </row>
    <row r="587" spans="1:8">
      <c r="A587">
        <v>8962599</v>
      </c>
      <c r="B587" t="s">
        <v>495</v>
      </c>
      <c r="C587" t="s">
        <v>110</v>
      </c>
      <c r="D587" t="s">
        <v>60</v>
      </c>
      <c r="E587" t="s">
        <v>1370</v>
      </c>
      <c r="F587" s="134">
        <v>0.29527777777777781</v>
      </c>
      <c r="G587" t="s">
        <v>1371</v>
      </c>
      <c r="H587" t="s">
        <v>1372</v>
      </c>
    </row>
    <row r="588" spans="1:8">
      <c r="A588">
        <v>8962599</v>
      </c>
      <c r="B588" t="s">
        <v>495</v>
      </c>
      <c r="C588" t="s">
        <v>110</v>
      </c>
      <c r="D588" t="s">
        <v>60</v>
      </c>
      <c r="E588" t="s">
        <v>1370</v>
      </c>
      <c r="F588" s="134">
        <v>0.63938657407407407</v>
      </c>
      <c r="G588" t="s">
        <v>1373</v>
      </c>
      <c r="H588" t="s">
        <v>1374</v>
      </c>
    </row>
    <row r="589" spans="1:8">
      <c r="A589">
        <v>8962599</v>
      </c>
      <c r="B589" t="s">
        <v>495</v>
      </c>
      <c r="C589" t="s">
        <v>110</v>
      </c>
      <c r="D589" t="s">
        <v>60</v>
      </c>
      <c r="E589" t="s">
        <v>1375</v>
      </c>
      <c r="F589" s="134">
        <v>0.29135416666666664</v>
      </c>
      <c r="G589" t="s">
        <v>1371</v>
      </c>
      <c r="H589" t="s">
        <v>1372</v>
      </c>
    </row>
    <row r="590" spans="1:8">
      <c r="A590">
        <v>8962599</v>
      </c>
      <c r="B590" t="s">
        <v>495</v>
      </c>
      <c r="C590" t="s">
        <v>110</v>
      </c>
      <c r="D590" t="s">
        <v>60</v>
      </c>
      <c r="E590" t="s">
        <v>1375</v>
      </c>
      <c r="F590" s="134">
        <v>0.63961805555555562</v>
      </c>
      <c r="G590" t="s">
        <v>1373</v>
      </c>
      <c r="H590" t="s">
        <v>1374</v>
      </c>
    </row>
    <row r="591" spans="1:8">
      <c r="A591">
        <v>8962599</v>
      </c>
      <c r="B591" t="s">
        <v>495</v>
      </c>
      <c r="C591" t="s">
        <v>110</v>
      </c>
      <c r="D591" t="s">
        <v>60</v>
      </c>
      <c r="E591" t="s">
        <v>1376</v>
      </c>
      <c r="F591" s="134">
        <v>0.63790509259259254</v>
      </c>
      <c r="G591" t="s">
        <v>1373</v>
      </c>
      <c r="H591" t="s">
        <v>1374</v>
      </c>
    </row>
    <row r="592" spans="1:8">
      <c r="A592">
        <v>8962599</v>
      </c>
      <c r="B592" t="s">
        <v>495</v>
      </c>
      <c r="C592" t="s">
        <v>110</v>
      </c>
      <c r="D592" t="s">
        <v>60</v>
      </c>
      <c r="E592" t="s">
        <v>1376</v>
      </c>
      <c r="F592" s="134">
        <v>0.29233796296296294</v>
      </c>
      <c r="G592" t="s">
        <v>1371</v>
      </c>
      <c r="H592" t="s">
        <v>1372</v>
      </c>
    </row>
    <row r="593" spans="1:8">
      <c r="A593">
        <v>8962599</v>
      </c>
      <c r="B593" t="s">
        <v>495</v>
      </c>
      <c r="C593" t="s">
        <v>110</v>
      </c>
      <c r="D593" t="s">
        <v>60</v>
      </c>
      <c r="E593" t="s">
        <v>1377</v>
      </c>
      <c r="F593" s="134">
        <v>0.29106481481481478</v>
      </c>
      <c r="G593" t="s">
        <v>1371</v>
      </c>
      <c r="H593" t="s">
        <v>1372</v>
      </c>
    </row>
    <row r="594" spans="1:8">
      <c r="A594">
        <v>8962599</v>
      </c>
      <c r="B594" t="s">
        <v>495</v>
      </c>
      <c r="C594" t="s">
        <v>110</v>
      </c>
      <c r="D594" t="s">
        <v>60</v>
      </c>
      <c r="E594" t="s">
        <v>1377</v>
      </c>
      <c r="F594" s="134">
        <v>0.63858796296296294</v>
      </c>
      <c r="G594" t="s">
        <v>1373</v>
      </c>
      <c r="H594" t="s">
        <v>1374</v>
      </c>
    </row>
    <row r="595" spans="1:8">
      <c r="A595">
        <v>8962599</v>
      </c>
      <c r="B595" t="s">
        <v>495</v>
      </c>
      <c r="C595" t="s">
        <v>110</v>
      </c>
      <c r="D595" t="s">
        <v>60</v>
      </c>
      <c r="E595" t="s">
        <v>1378</v>
      </c>
      <c r="F595" s="134">
        <v>0.29530092592592594</v>
      </c>
      <c r="G595" t="s">
        <v>1371</v>
      </c>
      <c r="H595" t="s">
        <v>1372</v>
      </c>
    </row>
    <row r="596" spans="1:8">
      <c r="A596">
        <v>8962599</v>
      </c>
      <c r="B596" t="s">
        <v>495</v>
      </c>
      <c r="C596" t="s">
        <v>110</v>
      </c>
      <c r="D596" t="s">
        <v>60</v>
      </c>
      <c r="E596" t="s">
        <v>1378</v>
      </c>
      <c r="F596" s="134">
        <v>0.64043981481481482</v>
      </c>
      <c r="G596" t="s">
        <v>1373</v>
      </c>
      <c r="H596" t="s">
        <v>1374</v>
      </c>
    </row>
    <row r="597" spans="1:8">
      <c r="A597">
        <v>8962599</v>
      </c>
      <c r="B597" t="s">
        <v>495</v>
      </c>
      <c r="C597" t="s">
        <v>110</v>
      </c>
      <c r="D597" t="s">
        <v>60</v>
      </c>
      <c r="E597" t="s">
        <v>1379</v>
      </c>
      <c r="F597" s="134">
        <v>0.29546296296296298</v>
      </c>
      <c r="G597" t="s">
        <v>1371</v>
      </c>
      <c r="H597" t="s">
        <v>1372</v>
      </c>
    </row>
    <row r="598" spans="1:8">
      <c r="A598">
        <v>8962599</v>
      </c>
      <c r="B598" t="s">
        <v>495</v>
      </c>
      <c r="C598" t="s">
        <v>110</v>
      </c>
      <c r="D598" t="s">
        <v>60</v>
      </c>
      <c r="E598" t="s">
        <v>1379</v>
      </c>
      <c r="F598" s="134">
        <v>0.63769675925925928</v>
      </c>
      <c r="G598" t="s">
        <v>1373</v>
      </c>
      <c r="H598" t="s">
        <v>1374</v>
      </c>
    </row>
    <row r="599" spans="1:8">
      <c r="A599">
        <v>9048185</v>
      </c>
      <c r="B599" t="s">
        <v>475</v>
      </c>
      <c r="C599" t="s">
        <v>474</v>
      </c>
      <c r="D599" t="s">
        <v>206</v>
      </c>
      <c r="E599" t="s">
        <v>1381</v>
      </c>
      <c r="F599" s="134">
        <v>0</v>
      </c>
    </row>
    <row r="600" spans="1:8">
      <c r="A600">
        <v>9068490</v>
      </c>
      <c r="B600" t="s">
        <v>486</v>
      </c>
      <c r="C600" t="s">
        <v>110</v>
      </c>
      <c r="D600" t="s">
        <v>485</v>
      </c>
      <c r="E600" t="s">
        <v>1370</v>
      </c>
      <c r="F600" s="134">
        <v>0.60572916666666665</v>
      </c>
      <c r="G600" t="s">
        <v>1371</v>
      </c>
      <c r="H600" t="s">
        <v>1372</v>
      </c>
    </row>
    <row r="601" spans="1:8">
      <c r="A601">
        <v>9068490</v>
      </c>
      <c r="B601" t="s">
        <v>486</v>
      </c>
      <c r="C601" t="s">
        <v>110</v>
      </c>
      <c r="D601" t="s">
        <v>485</v>
      </c>
      <c r="E601" t="s">
        <v>1370</v>
      </c>
      <c r="F601" s="134">
        <v>0.93842592592592589</v>
      </c>
      <c r="G601" t="s">
        <v>1373</v>
      </c>
      <c r="H601" t="s">
        <v>1374</v>
      </c>
    </row>
    <row r="602" spans="1:8">
      <c r="A602">
        <v>9068490</v>
      </c>
      <c r="B602" t="s">
        <v>486</v>
      </c>
      <c r="C602" t="s">
        <v>110</v>
      </c>
      <c r="D602" t="s">
        <v>485</v>
      </c>
      <c r="E602" t="s">
        <v>1375</v>
      </c>
      <c r="F602" s="134">
        <v>0.60701388888888885</v>
      </c>
      <c r="G602" t="s">
        <v>1371</v>
      </c>
      <c r="H602" t="s">
        <v>1372</v>
      </c>
    </row>
    <row r="603" spans="1:8">
      <c r="A603">
        <v>9068490</v>
      </c>
      <c r="B603" t="s">
        <v>486</v>
      </c>
      <c r="C603" t="s">
        <v>110</v>
      </c>
      <c r="D603" t="s">
        <v>485</v>
      </c>
      <c r="E603" t="s">
        <v>1375</v>
      </c>
      <c r="F603" s="134">
        <v>0.94451388888888888</v>
      </c>
      <c r="G603" t="s">
        <v>1373</v>
      </c>
      <c r="H603" t="s">
        <v>1374</v>
      </c>
    </row>
    <row r="604" spans="1:8">
      <c r="A604">
        <v>9068490</v>
      </c>
      <c r="B604" t="s">
        <v>486</v>
      </c>
      <c r="C604" t="s">
        <v>110</v>
      </c>
      <c r="D604" t="s">
        <v>485</v>
      </c>
      <c r="E604" t="s">
        <v>1376</v>
      </c>
      <c r="F604" s="134">
        <v>0.94160879629629635</v>
      </c>
      <c r="G604" t="s">
        <v>1373</v>
      </c>
      <c r="H604" t="s">
        <v>1374</v>
      </c>
    </row>
    <row r="605" spans="1:8">
      <c r="A605">
        <v>9068490</v>
      </c>
      <c r="B605" t="s">
        <v>486</v>
      </c>
      <c r="C605" t="s">
        <v>110</v>
      </c>
      <c r="D605" t="s">
        <v>485</v>
      </c>
      <c r="E605" t="s">
        <v>1376</v>
      </c>
      <c r="F605" s="134">
        <v>0.60703703703703704</v>
      </c>
      <c r="G605" t="s">
        <v>1371</v>
      </c>
      <c r="H605" t="s">
        <v>1372</v>
      </c>
    </row>
    <row r="606" spans="1:8">
      <c r="A606">
        <v>9068490</v>
      </c>
      <c r="B606" t="s">
        <v>486</v>
      </c>
      <c r="C606" t="s">
        <v>110</v>
      </c>
      <c r="D606" t="s">
        <v>485</v>
      </c>
      <c r="E606" t="s">
        <v>1377</v>
      </c>
      <c r="F606" s="134">
        <v>0.60594907407407406</v>
      </c>
      <c r="G606" t="s">
        <v>1371</v>
      </c>
      <c r="H606" t="s">
        <v>1372</v>
      </c>
    </row>
    <row r="607" spans="1:8">
      <c r="A607">
        <v>9068490</v>
      </c>
      <c r="B607" t="s">
        <v>486</v>
      </c>
      <c r="C607" t="s">
        <v>110</v>
      </c>
      <c r="D607" t="s">
        <v>485</v>
      </c>
      <c r="E607" t="s">
        <v>1377</v>
      </c>
      <c r="F607" s="134">
        <v>0.94670138888888899</v>
      </c>
      <c r="G607" t="s">
        <v>1373</v>
      </c>
      <c r="H607" t="s">
        <v>1374</v>
      </c>
    </row>
    <row r="608" spans="1:8">
      <c r="A608">
        <v>9068490</v>
      </c>
      <c r="B608" t="s">
        <v>486</v>
      </c>
      <c r="C608" t="s">
        <v>110</v>
      </c>
      <c r="D608" t="s">
        <v>485</v>
      </c>
      <c r="E608" t="s">
        <v>1378</v>
      </c>
      <c r="F608" s="134">
        <v>0.60703703703703704</v>
      </c>
      <c r="G608" t="s">
        <v>1371</v>
      </c>
      <c r="H608" t="s">
        <v>1372</v>
      </c>
    </row>
    <row r="609" spans="1:8">
      <c r="A609">
        <v>9068490</v>
      </c>
      <c r="B609" t="s">
        <v>486</v>
      </c>
      <c r="C609" t="s">
        <v>110</v>
      </c>
      <c r="D609" t="s">
        <v>485</v>
      </c>
      <c r="E609" t="s">
        <v>1378</v>
      </c>
      <c r="F609" s="134">
        <v>0.93851851851851853</v>
      </c>
      <c r="G609" t="s">
        <v>1373</v>
      </c>
      <c r="H609" t="s">
        <v>1374</v>
      </c>
    </row>
    <row r="610" spans="1:8">
      <c r="A610">
        <v>9068490</v>
      </c>
      <c r="B610" t="s">
        <v>486</v>
      </c>
      <c r="C610" t="s">
        <v>110</v>
      </c>
      <c r="D610" t="s">
        <v>485</v>
      </c>
      <c r="E610" t="s">
        <v>1379</v>
      </c>
      <c r="F610" s="134">
        <v>0.6141550925925926</v>
      </c>
      <c r="G610" t="s">
        <v>1371</v>
      </c>
      <c r="H610" t="s">
        <v>1372</v>
      </c>
    </row>
    <row r="611" spans="1:8">
      <c r="A611">
        <v>9068490</v>
      </c>
      <c r="B611" t="s">
        <v>486</v>
      </c>
      <c r="C611" t="s">
        <v>110</v>
      </c>
      <c r="D611" t="s">
        <v>485</v>
      </c>
      <c r="E611" t="s">
        <v>1379</v>
      </c>
      <c r="F611" s="134">
        <v>0.94032407407407403</v>
      </c>
      <c r="G611" t="s">
        <v>1373</v>
      </c>
      <c r="H611" t="s">
        <v>1374</v>
      </c>
    </row>
    <row r="612" spans="1:8">
      <c r="A612">
        <v>9081025</v>
      </c>
      <c r="B612" t="s">
        <v>620</v>
      </c>
      <c r="C612" t="s">
        <v>615</v>
      </c>
      <c r="D612" t="s">
        <v>159</v>
      </c>
      <c r="E612" t="s">
        <v>1370</v>
      </c>
      <c r="F612" s="134">
        <v>0.61017361111111112</v>
      </c>
      <c r="G612" t="s">
        <v>1371</v>
      </c>
      <c r="H612" t="s">
        <v>1372</v>
      </c>
    </row>
    <row r="613" spans="1:8">
      <c r="A613">
        <v>9081025</v>
      </c>
      <c r="B613" t="s">
        <v>620</v>
      </c>
      <c r="C613" t="s">
        <v>615</v>
      </c>
      <c r="D613" t="s">
        <v>159</v>
      </c>
      <c r="E613" t="s">
        <v>1370</v>
      </c>
      <c r="F613" s="134">
        <v>0.93917824074074074</v>
      </c>
      <c r="G613" t="s">
        <v>1373</v>
      </c>
      <c r="H613" t="s">
        <v>1374</v>
      </c>
    </row>
    <row r="614" spans="1:8">
      <c r="A614">
        <v>9081025</v>
      </c>
      <c r="B614" t="s">
        <v>620</v>
      </c>
      <c r="C614" t="s">
        <v>615</v>
      </c>
      <c r="D614" t="s">
        <v>159</v>
      </c>
      <c r="E614" t="s">
        <v>1375</v>
      </c>
      <c r="F614" s="134">
        <v>0.60789351851851847</v>
      </c>
      <c r="G614" t="s">
        <v>1371</v>
      </c>
      <c r="H614" t="s">
        <v>1372</v>
      </c>
    </row>
    <row r="615" spans="1:8">
      <c r="A615">
        <v>9081025</v>
      </c>
      <c r="B615" t="s">
        <v>620</v>
      </c>
      <c r="C615" t="s">
        <v>615</v>
      </c>
      <c r="D615" t="s">
        <v>159</v>
      </c>
      <c r="E615" t="s">
        <v>1375</v>
      </c>
      <c r="F615" s="134">
        <v>0.93984953703703711</v>
      </c>
      <c r="G615" t="s">
        <v>1373</v>
      </c>
      <c r="H615" t="s">
        <v>1374</v>
      </c>
    </row>
    <row r="616" spans="1:8">
      <c r="A616">
        <v>9081025</v>
      </c>
      <c r="B616" t="s">
        <v>620</v>
      </c>
      <c r="C616" t="s">
        <v>615</v>
      </c>
      <c r="D616" t="s">
        <v>159</v>
      </c>
      <c r="E616" t="s">
        <v>1376</v>
      </c>
      <c r="F616" s="134">
        <v>0.93777777777777782</v>
      </c>
      <c r="G616" t="s">
        <v>1373</v>
      </c>
      <c r="H616" t="s">
        <v>1374</v>
      </c>
    </row>
    <row r="617" spans="1:8">
      <c r="A617">
        <v>9081025</v>
      </c>
      <c r="B617" t="s">
        <v>620</v>
      </c>
      <c r="C617" t="s">
        <v>615</v>
      </c>
      <c r="D617" t="s">
        <v>159</v>
      </c>
      <c r="E617" t="s">
        <v>1376</v>
      </c>
      <c r="F617" s="134">
        <v>0.60646990740740747</v>
      </c>
      <c r="G617" t="s">
        <v>1371</v>
      </c>
      <c r="H617" t="s">
        <v>1372</v>
      </c>
    </row>
    <row r="618" spans="1:8">
      <c r="A618">
        <v>9081025</v>
      </c>
      <c r="B618" t="s">
        <v>620</v>
      </c>
      <c r="C618" t="s">
        <v>615</v>
      </c>
      <c r="D618" t="s">
        <v>159</v>
      </c>
      <c r="E618" t="s">
        <v>1377</v>
      </c>
      <c r="F618" s="134">
        <v>0.60532407407407407</v>
      </c>
      <c r="G618" t="s">
        <v>1371</v>
      </c>
      <c r="H618" t="s">
        <v>1372</v>
      </c>
    </row>
    <row r="619" spans="1:8">
      <c r="A619">
        <v>9081025</v>
      </c>
      <c r="B619" t="s">
        <v>620</v>
      </c>
      <c r="C619" t="s">
        <v>615</v>
      </c>
      <c r="D619" t="s">
        <v>159</v>
      </c>
      <c r="E619" t="s">
        <v>1377</v>
      </c>
      <c r="F619" s="134">
        <v>0.93781250000000005</v>
      </c>
      <c r="G619" t="s">
        <v>1373</v>
      </c>
      <c r="H619" t="s">
        <v>1374</v>
      </c>
    </row>
    <row r="620" spans="1:8">
      <c r="A620">
        <v>9081025</v>
      </c>
      <c r="B620" t="s">
        <v>620</v>
      </c>
      <c r="C620" t="s">
        <v>615</v>
      </c>
      <c r="D620" t="s">
        <v>159</v>
      </c>
      <c r="E620" t="s">
        <v>1378</v>
      </c>
      <c r="F620" s="134">
        <v>0.60652777777777778</v>
      </c>
      <c r="G620" t="s">
        <v>1371</v>
      </c>
      <c r="H620" t="s">
        <v>1372</v>
      </c>
    </row>
    <row r="621" spans="1:8">
      <c r="A621">
        <v>9081025</v>
      </c>
      <c r="B621" t="s">
        <v>620</v>
      </c>
      <c r="C621" t="s">
        <v>615</v>
      </c>
      <c r="D621" t="s">
        <v>159</v>
      </c>
      <c r="E621" t="s">
        <v>1378</v>
      </c>
      <c r="F621" s="134">
        <v>0.94075231481481481</v>
      </c>
      <c r="G621" t="s">
        <v>1373</v>
      </c>
      <c r="H621" t="s">
        <v>1374</v>
      </c>
    </row>
    <row r="622" spans="1:8">
      <c r="A622">
        <v>9081025</v>
      </c>
      <c r="B622" t="s">
        <v>620</v>
      </c>
      <c r="C622" t="s">
        <v>615</v>
      </c>
      <c r="D622" t="s">
        <v>159</v>
      </c>
      <c r="E622" t="s">
        <v>1379</v>
      </c>
      <c r="F622" s="134">
        <v>0.60870370370370364</v>
      </c>
      <c r="G622" t="s">
        <v>1371</v>
      </c>
      <c r="H622" t="s">
        <v>1372</v>
      </c>
    </row>
    <row r="623" spans="1:8">
      <c r="A623">
        <v>9081025</v>
      </c>
      <c r="B623" t="s">
        <v>620</v>
      </c>
      <c r="C623" t="s">
        <v>615</v>
      </c>
      <c r="D623" t="s">
        <v>159</v>
      </c>
      <c r="E623" t="s">
        <v>1379</v>
      </c>
      <c r="F623" s="134">
        <v>0.94194444444444436</v>
      </c>
      <c r="G623" t="s">
        <v>1373</v>
      </c>
      <c r="H623" t="s">
        <v>1374</v>
      </c>
    </row>
    <row r="624" spans="1:8">
      <c r="A624">
        <v>9148214</v>
      </c>
      <c r="B624" t="s">
        <v>165</v>
      </c>
      <c r="C624" t="s">
        <v>164</v>
      </c>
      <c r="D624" t="s">
        <v>103</v>
      </c>
      <c r="E624" t="s">
        <v>1370</v>
      </c>
      <c r="F624" s="134">
        <v>0.91729166666666673</v>
      </c>
      <c r="G624" t="s">
        <v>1371</v>
      </c>
      <c r="H624" t="s">
        <v>1372</v>
      </c>
    </row>
    <row r="625" spans="1:8">
      <c r="A625">
        <v>9148214</v>
      </c>
      <c r="B625" t="s">
        <v>165</v>
      </c>
      <c r="C625" t="s">
        <v>164</v>
      </c>
      <c r="D625" t="s">
        <v>103</v>
      </c>
      <c r="E625" t="s">
        <v>1375</v>
      </c>
      <c r="F625" s="134">
        <v>0.3162847222222222</v>
      </c>
      <c r="G625" t="s">
        <v>1373</v>
      </c>
      <c r="H625" t="s">
        <v>1374</v>
      </c>
    </row>
    <row r="626" spans="1:8">
      <c r="A626">
        <v>9148214</v>
      </c>
      <c r="B626" t="s">
        <v>165</v>
      </c>
      <c r="C626" t="s">
        <v>164</v>
      </c>
      <c r="D626" t="s">
        <v>103</v>
      </c>
      <c r="E626" t="s">
        <v>1375</v>
      </c>
      <c r="F626" s="134">
        <v>0.91774305555555558</v>
      </c>
      <c r="G626" t="s">
        <v>1371</v>
      </c>
      <c r="H626" t="s">
        <v>1372</v>
      </c>
    </row>
    <row r="627" spans="1:8">
      <c r="A627">
        <v>9148214</v>
      </c>
      <c r="B627" t="s">
        <v>165</v>
      </c>
      <c r="C627" t="s">
        <v>164</v>
      </c>
      <c r="D627" t="s">
        <v>103</v>
      </c>
      <c r="E627" t="s">
        <v>1376</v>
      </c>
      <c r="F627" s="134">
        <v>0.31662037037037033</v>
      </c>
      <c r="G627" t="s">
        <v>1373</v>
      </c>
      <c r="H627" t="s">
        <v>1374</v>
      </c>
    </row>
    <row r="628" spans="1:8">
      <c r="A628">
        <v>9148214</v>
      </c>
      <c r="B628" t="s">
        <v>165</v>
      </c>
      <c r="C628" t="s">
        <v>164</v>
      </c>
      <c r="D628" t="s">
        <v>103</v>
      </c>
      <c r="E628" t="s">
        <v>1376</v>
      </c>
      <c r="F628" s="134">
        <v>0.91833333333333333</v>
      </c>
      <c r="G628" t="s">
        <v>1371</v>
      </c>
      <c r="H628" t="s">
        <v>1372</v>
      </c>
    </row>
    <row r="629" spans="1:8">
      <c r="A629">
        <v>9148214</v>
      </c>
      <c r="B629" t="s">
        <v>165</v>
      </c>
      <c r="C629" t="s">
        <v>164</v>
      </c>
      <c r="D629" t="s">
        <v>103</v>
      </c>
      <c r="E629" t="s">
        <v>1377</v>
      </c>
      <c r="F629" s="134">
        <v>0.31545138888888885</v>
      </c>
      <c r="G629" t="s">
        <v>1373</v>
      </c>
      <c r="H629" t="s">
        <v>1374</v>
      </c>
    </row>
    <row r="630" spans="1:8">
      <c r="A630">
        <v>9148214</v>
      </c>
      <c r="B630" t="s">
        <v>165</v>
      </c>
      <c r="C630" t="s">
        <v>164</v>
      </c>
      <c r="D630" t="s">
        <v>103</v>
      </c>
      <c r="E630" t="s">
        <v>1377</v>
      </c>
      <c r="F630" s="134">
        <v>0.91872685185185177</v>
      </c>
      <c r="G630" t="s">
        <v>1371</v>
      </c>
      <c r="H630" t="s">
        <v>1372</v>
      </c>
    </row>
    <row r="631" spans="1:8">
      <c r="A631">
        <v>9148214</v>
      </c>
      <c r="B631" t="s">
        <v>165</v>
      </c>
      <c r="C631" t="s">
        <v>164</v>
      </c>
      <c r="D631" t="s">
        <v>103</v>
      </c>
      <c r="E631" t="s">
        <v>1378</v>
      </c>
      <c r="F631" s="134">
        <v>0.31545138888888885</v>
      </c>
      <c r="G631" t="s">
        <v>1373</v>
      </c>
      <c r="H631" t="s">
        <v>1374</v>
      </c>
    </row>
    <row r="632" spans="1:8">
      <c r="A632">
        <v>9148214</v>
      </c>
      <c r="B632" t="s">
        <v>165</v>
      </c>
      <c r="C632" t="s">
        <v>164</v>
      </c>
      <c r="D632" t="s">
        <v>103</v>
      </c>
      <c r="E632" t="s">
        <v>1378</v>
      </c>
      <c r="F632" s="134">
        <v>0.91892361111111109</v>
      </c>
      <c r="G632" t="s">
        <v>1371</v>
      </c>
      <c r="H632" t="s">
        <v>1372</v>
      </c>
    </row>
    <row r="633" spans="1:8">
      <c r="A633">
        <v>9148214</v>
      </c>
      <c r="B633" t="s">
        <v>165</v>
      </c>
      <c r="C633" t="s">
        <v>164</v>
      </c>
      <c r="D633" t="s">
        <v>103</v>
      </c>
      <c r="E633" t="s">
        <v>1379</v>
      </c>
      <c r="F633" s="134">
        <v>0.33030092592592591</v>
      </c>
      <c r="G633" t="s">
        <v>1373</v>
      </c>
      <c r="H633" t="s">
        <v>1374</v>
      </c>
    </row>
    <row r="634" spans="1:8">
      <c r="A634">
        <v>9253701</v>
      </c>
      <c r="B634" t="s">
        <v>588</v>
      </c>
      <c r="C634" t="s">
        <v>582</v>
      </c>
      <c r="D634" t="s">
        <v>587</v>
      </c>
      <c r="E634" t="s">
        <v>1370</v>
      </c>
      <c r="F634" s="134">
        <v>0.60267361111111117</v>
      </c>
      <c r="G634" t="s">
        <v>1371</v>
      </c>
      <c r="H634" t="s">
        <v>1372</v>
      </c>
    </row>
    <row r="635" spans="1:8">
      <c r="A635">
        <v>9253701</v>
      </c>
      <c r="B635" t="s">
        <v>588</v>
      </c>
      <c r="C635" t="s">
        <v>582</v>
      </c>
      <c r="D635" t="s">
        <v>587</v>
      </c>
      <c r="E635" t="s">
        <v>1370</v>
      </c>
      <c r="F635" s="134">
        <v>0.94578703703703704</v>
      </c>
      <c r="G635" t="s">
        <v>1373</v>
      </c>
      <c r="H635" t="s">
        <v>1374</v>
      </c>
    </row>
    <row r="636" spans="1:8">
      <c r="A636">
        <v>9253701</v>
      </c>
      <c r="B636" t="s">
        <v>588</v>
      </c>
      <c r="C636" t="s">
        <v>582</v>
      </c>
      <c r="D636" t="s">
        <v>587</v>
      </c>
      <c r="E636" t="s">
        <v>1375</v>
      </c>
      <c r="F636" s="134">
        <v>0.59725694444444444</v>
      </c>
      <c r="G636" t="s">
        <v>1371</v>
      </c>
      <c r="H636" t="s">
        <v>1372</v>
      </c>
    </row>
    <row r="637" spans="1:8">
      <c r="A637">
        <v>9253701</v>
      </c>
      <c r="B637" t="s">
        <v>588</v>
      </c>
      <c r="C637" t="s">
        <v>582</v>
      </c>
      <c r="D637" t="s">
        <v>587</v>
      </c>
      <c r="E637" t="s">
        <v>1375</v>
      </c>
      <c r="F637" s="134">
        <v>0.9422800925925926</v>
      </c>
      <c r="G637" t="s">
        <v>1373</v>
      </c>
      <c r="H637" t="s">
        <v>1374</v>
      </c>
    </row>
    <row r="638" spans="1:8">
      <c r="A638">
        <v>9253701</v>
      </c>
      <c r="B638" t="s">
        <v>588</v>
      </c>
      <c r="C638" t="s">
        <v>582</v>
      </c>
      <c r="D638" t="s">
        <v>587</v>
      </c>
      <c r="E638" t="s">
        <v>1376</v>
      </c>
      <c r="F638" s="134">
        <v>0.59638888888888886</v>
      </c>
      <c r="G638" t="s">
        <v>1371</v>
      </c>
      <c r="H638" t="s">
        <v>1372</v>
      </c>
    </row>
    <row r="639" spans="1:8">
      <c r="A639">
        <v>9253701</v>
      </c>
      <c r="B639" t="s">
        <v>588</v>
      </c>
      <c r="C639" t="s">
        <v>582</v>
      </c>
      <c r="D639" t="s">
        <v>587</v>
      </c>
      <c r="E639" t="s">
        <v>1376</v>
      </c>
      <c r="F639" s="134">
        <v>0.94422453703703713</v>
      </c>
      <c r="G639" t="s">
        <v>1373</v>
      </c>
      <c r="H639" t="s">
        <v>1374</v>
      </c>
    </row>
    <row r="640" spans="1:8">
      <c r="A640">
        <v>9253701</v>
      </c>
      <c r="B640" t="s">
        <v>588</v>
      </c>
      <c r="C640" t="s">
        <v>582</v>
      </c>
      <c r="D640" t="s">
        <v>587</v>
      </c>
      <c r="E640" t="s">
        <v>1377</v>
      </c>
      <c r="F640" s="134">
        <v>0.59613425925925922</v>
      </c>
      <c r="G640" t="s">
        <v>1371</v>
      </c>
      <c r="H640" t="s">
        <v>1372</v>
      </c>
    </row>
    <row r="641" spans="1:8">
      <c r="A641">
        <v>9253701</v>
      </c>
      <c r="B641" t="s">
        <v>588</v>
      </c>
      <c r="C641" t="s">
        <v>582</v>
      </c>
      <c r="D641" t="s">
        <v>587</v>
      </c>
      <c r="E641" t="s">
        <v>1377</v>
      </c>
      <c r="F641" s="134">
        <v>0.94559027777777782</v>
      </c>
      <c r="G641" t="s">
        <v>1373</v>
      </c>
      <c r="H641" t="s">
        <v>1374</v>
      </c>
    </row>
    <row r="642" spans="1:8">
      <c r="A642">
        <v>9471557</v>
      </c>
      <c r="B642" t="s">
        <v>136</v>
      </c>
      <c r="C642" t="s">
        <v>134</v>
      </c>
      <c r="D642" t="s">
        <v>135</v>
      </c>
      <c r="E642" t="s">
        <v>1370</v>
      </c>
      <c r="F642" s="134">
        <v>0.29523148148148148</v>
      </c>
      <c r="G642" t="s">
        <v>1371</v>
      </c>
      <c r="H642" t="s">
        <v>1372</v>
      </c>
    </row>
    <row r="643" spans="1:8">
      <c r="A643">
        <v>9471557</v>
      </c>
      <c r="B643" t="s">
        <v>136</v>
      </c>
      <c r="C643" t="s">
        <v>134</v>
      </c>
      <c r="D643" t="s">
        <v>135</v>
      </c>
      <c r="E643" t="s">
        <v>1370</v>
      </c>
      <c r="F643" s="134">
        <v>0.63901620370370371</v>
      </c>
      <c r="G643" t="s">
        <v>1373</v>
      </c>
      <c r="H643" t="s">
        <v>1374</v>
      </c>
    </row>
    <row r="644" spans="1:8">
      <c r="A644">
        <v>9471557</v>
      </c>
      <c r="B644" t="s">
        <v>136</v>
      </c>
      <c r="C644" t="s">
        <v>134</v>
      </c>
      <c r="D644" t="s">
        <v>135</v>
      </c>
      <c r="E644" t="s">
        <v>1375</v>
      </c>
      <c r="F644" s="134">
        <v>0.29456018518518517</v>
      </c>
      <c r="G644" t="s">
        <v>1371</v>
      </c>
      <c r="H644" t="s">
        <v>1372</v>
      </c>
    </row>
    <row r="645" spans="1:8">
      <c r="A645">
        <v>9471557</v>
      </c>
      <c r="B645" t="s">
        <v>136</v>
      </c>
      <c r="C645" t="s">
        <v>134</v>
      </c>
      <c r="D645" t="s">
        <v>135</v>
      </c>
      <c r="E645" t="s">
        <v>1375</v>
      </c>
      <c r="F645" s="134">
        <v>0.63805555555555549</v>
      </c>
      <c r="G645" t="s">
        <v>1373</v>
      </c>
      <c r="H645" t="s">
        <v>1374</v>
      </c>
    </row>
    <row r="646" spans="1:8">
      <c r="A646">
        <v>9471557</v>
      </c>
      <c r="B646" t="s">
        <v>136</v>
      </c>
      <c r="C646" t="s">
        <v>134</v>
      </c>
      <c r="D646" t="s">
        <v>135</v>
      </c>
      <c r="E646" t="s">
        <v>1376</v>
      </c>
      <c r="F646" s="134">
        <v>0.63556712962962958</v>
      </c>
      <c r="G646" t="s">
        <v>1373</v>
      </c>
      <c r="H646" t="s">
        <v>1374</v>
      </c>
    </row>
    <row r="647" spans="1:8">
      <c r="A647">
        <v>9471557</v>
      </c>
      <c r="B647" t="s">
        <v>136</v>
      </c>
      <c r="C647" t="s">
        <v>134</v>
      </c>
      <c r="D647" t="s">
        <v>135</v>
      </c>
      <c r="E647" t="s">
        <v>1376</v>
      </c>
      <c r="F647" s="134">
        <v>0.29530092592592594</v>
      </c>
      <c r="G647" t="s">
        <v>1371</v>
      </c>
      <c r="H647" t="s">
        <v>1372</v>
      </c>
    </row>
    <row r="648" spans="1:8">
      <c r="A648">
        <v>9471557</v>
      </c>
      <c r="B648" t="s">
        <v>136</v>
      </c>
      <c r="C648" t="s">
        <v>134</v>
      </c>
      <c r="D648" t="s">
        <v>135</v>
      </c>
      <c r="E648" t="s">
        <v>1377</v>
      </c>
      <c r="F648" s="134">
        <v>0.29503472222222221</v>
      </c>
      <c r="G648" t="s">
        <v>1371</v>
      </c>
      <c r="H648" t="s">
        <v>1372</v>
      </c>
    </row>
    <row r="649" spans="1:8">
      <c r="A649">
        <v>9471557</v>
      </c>
      <c r="B649" t="s">
        <v>136</v>
      </c>
      <c r="C649" t="s">
        <v>134</v>
      </c>
      <c r="D649" t="s">
        <v>135</v>
      </c>
      <c r="E649" t="s">
        <v>1377</v>
      </c>
      <c r="F649" s="134">
        <v>0.63634259259259263</v>
      </c>
      <c r="G649" t="s">
        <v>1373</v>
      </c>
      <c r="H649" t="s">
        <v>1374</v>
      </c>
    </row>
    <row r="650" spans="1:8">
      <c r="A650">
        <v>9471557</v>
      </c>
      <c r="B650" t="s">
        <v>136</v>
      </c>
      <c r="C650" t="s">
        <v>134</v>
      </c>
      <c r="D650" t="s">
        <v>135</v>
      </c>
      <c r="E650" t="s">
        <v>1378</v>
      </c>
      <c r="F650" s="134">
        <v>0.29458333333333336</v>
      </c>
      <c r="G650" t="s">
        <v>1371</v>
      </c>
      <c r="H650" t="s">
        <v>1372</v>
      </c>
    </row>
    <row r="651" spans="1:8">
      <c r="A651">
        <v>9471557</v>
      </c>
      <c r="B651" t="s">
        <v>136</v>
      </c>
      <c r="C651" t="s">
        <v>134</v>
      </c>
      <c r="D651" t="s">
        <v>135</v>
      </c>
      <c r="E651" t="s">
        <v>1378</v>
      </c>
      <c r="F651" s="134">
        <v>0.63392361111111117</v>
      </c>
      <c r="G651" t="s">
        <v>1373</v>
      </c>
      <c r="H651" t="s">
        <v>1374</v>
      </c>
    </row>
    <row r="652" spans="1:8">
      <c r="A652">
        <v>9471557</v>
      </c>
      <c r="B652" t="s">
        <v>136</v>
      </c>
      <c r="C652" t="s">
        <v>134</v>
      </c>
      <c r="D652" t="s">
        <v>135</v>
      </c>
      <c r="E652" t="s">
        <v>1379</v>
      </c>
      <c r="F652" s="134">
        <v>0.29416666666666663</v>
      </c>
      <c r="G652" t="s">
        <v>1371</v>
      </c>
      <c r="H652" t="s">
        <v>1372</v>
      </c>
    </row>
    <row r="653" spans="1:8">
      <c r="A653">
        <v>9471557</v>
      </c>
      <c r="B653" t="s">
        <v>136</v>
      </c>
      <c r="C653" t="s">
        <v>134</v>
      </c>
      <c r="D653" t="s">
        <v>135</v>
      </c>
      <c r="E653" t="s">
        <v>1379</v>
      </c>
      <c r="F653" s="134">
        <v>0.63684027777777785</v>
      </c>
      <c r="G653" t="s">
        <v>1373</v>
      </c>
      <c r="H653" t="s">
        <v>1374</v>
      </c>
    </row>
    <row r="654" spans="1:8">
      <c r="A654">
        <v>9485526</v>
      </c>
      <c r="B654" t="s">
        <v>160</v>
      </c>
      <c r="C654" t="s">
        <v>878</v>
      </c>
      <c r="D654" t="s">
        <v>110</v>
      </c>
      <c r="E654" t="s">
        <v>1370</v>
      </c>
      <c r="F654" s="134">
        <v>0.32417824074074075</v>
      </c>
      <c r="G654" t="s">
        <v>1373</v>
      </c>
      <c r="H654" t="s">
        <v>1374</v>
      </c>
    </row>
    <row r="655" spans="1:8">
      <c r="A655">
        <v>9485526</v>
      </c>
      <c r="B655" t="s">
        <v>160</v>
      </c>
      <c r="C655" t="s">
        <v>878</v>
      </c>
      <c r="D655" t="s">
        <v>110</v>
      </c>
      <c r="E655" t="s">
        <v>1370</v>
      </c>
      <c r="F655" s="134">
        <v>0.91981481481481486</v>
      </c>
      <c r="G655" t="s">
        <v>1371</v>
      </c>
      <c r="H655" t="s">
        <v>1372</v>
      </c>
    </row>
    <row r="656" spans="1:8">
      <c r="A656">
        <v>9485526</v>
      </c>
      <c r="B656" t="s">
        <v>160</v>
      </c>
      <c r="C656" t="s">
        <v>878</v>
      </c>
      <c r="D656" t="s">
        <v>110</v>
      </c>
      <c r="E656" t="s">
        <v>1375</v>
      </c>
      <c r="F656" s="134">
        <v>0.32436342592592593</v>
      </c>
      <c r="G656" t="s">
        <v>1373</v>
      </c>
      <c r="H656" t="s">
        <v>1374</v>
      </c>
    </row>
    <row r="657" spans="1:8">
      <c r="A657">
        <v>9485526</v>
      </c>
      <c r="B657" t="s">
        <v>160</v>
      </c>
      <c r="C657" t="s">
        <v>878</v>
      </c>
      <c r="D657" t="s">
        <v>110</v>
      </c>
      <c r="E657" t="s">
        <v>1375</v>
      </c>
      <c r="F657" s="134">
        <v>0.91902777777777789</v>
      </c>
      <c r="G657" t="s">
        <v>1371</v>
      </c>
      <c r="H657" t="s">
        <v>1372</v>
      </c>
    </row>
    <row r="658" spans="1:8">
      <c r="A658">
        <v>9485526</v>
      </c>
      <c r="B658" t="s">
        <v>160</v>
      </c>
      <c r="C658" t="s">
        <v>878</v>
      </c>
      <c r="D658" t="s">
        <v>110</v>
      </c>
      <c r="E658" t="s">
        <v>1376</v>
      </c>
      <c r="F658" s="134">
        <v>0.31439814814814815</v>
      </c>
      <c r="G658" t="s">
        <v>1373</v>
      </c>
      <c r="H658" t="s">
        <v>1374</v>
      </c>
    </row>
    <row r="659" spans="1:8">
      <c r="A659">
        <v>9485526</v>
      </c>
      <c r="B659" t="s">
        <v>160</v>
      </c>
      <c r="C659" t="s">
        <v>878</v>
      </c>
      <c r="D659" t="s">
        <v>110</v>
      </c>
      <c r="E659" t="s">
        <v>1376</v>
      </c>
      <c r="F659" s="134">
        <v>0.91954861111111119</v>
      </c>
      <c r="G659" t="s">
        <v>1371</v>
      </c>
      <c r="H659" t="s">
        <v>1372</v>
      </c>
    </row>
    <row r="660" spans="1:8">
      <c r="A660">
        <v>9485526</v>
      </c>
      <c r="B660" t="s">
        <v>160</v>
      </c>
      <c r="C660" t="s">
        <v>878</v>
      </c>
      <c r="D660" t="s">
        <v>110</v>
      </c>
      <c r="E660" t="s">
        <v>1377</v>
      </c>
      <c r="F660" s="134">
        <v>0.31886574074074076</v>
      </c>
      <c r="G660" t="s">
        <v>1373</v>
      </c>
      <c r="H660" t="s">
        <v>1374</v>
      </c>
    </row>
    <row r="661" spans="1:8">
      <c r="A661">
        <v>9485526</v>
      </c>
      <c r="B661" t="s">
        <v>160</v>
      </c>
      <c r="C661" t="s">
        <v>878</v>
      </c>
      <c r="D661" t="s">
        <v>110</v>
      </c>
      <c r="E661" t="s">
        <v>1377</v>
      </c>
      <c r="F661" s="134">
        <v>0.93025462962962957</v>
      </c>
      <c r="G661" t="s">
        <v>1371</v>
      </c>
      <c r="H661" t="s">
        <v>1372</v>
      </c>
    </row>
    <row r="662" spans="1:8">
      <c r="A662">
        <v>9485526</v>
      </c>
      <c r="B662" t="s">
        <v>160</v>
      </c>
      <c r="C662" t="s">
        <v>878</v>
      </c>
      <c r="D662" t="s">
        <v>110</v>
      </c>
      <c r="E662" t="s">
        <v>1378</v>
      </c>
      <c r="F662" s="134">
        <v>0.32593749999999999</v>
      </c>
      <c r="G662" t="s">
        <v>1373</v>
      </c>
      <c r="H662" t="s">
        <v>1374</v>
      </c>
    </row>
    <row r="663" spans="1:8">
      <c r="A663">
        <v>9485526</v>
      </c>
      <c r="B663" t="s">
        <v>160</v>
      </c>
      <c r="C663" t="s">
        <v>878</v>
      </c>
      <c r="D663" t="s">
        <v>110</v>
      </c>
      <c r="E663" t="s">
        <v>1378</v>
      </c>
      <c r="F663" s="134">
        <v>0.92049768518518515</v>
      </c>
      <c r="G663" t="s">
        <v>1371</v>
      </c>
      <c r="H663" t="s">
        <v>1372</v>
      </c>
    </row>
    <row r="664" spans="1:8">
      <c r="A664">
        <v>9485526</v>
      </c>
      <c r="B664" t="s">
        <v>160</v>
      </c>
      <c r="C664" t="s">
        <v>878</v>
      </c>
      <c r="D664" t="s">
        <v>110</v>
      </c>
      <c r="E664" t="s">
        <v>1379</v>
      </c>
      <c r="F664" s="134">
        <v>0.32094907407407408</v>
      </c>
      <c r="G664" t="s">
        <v>1373</v>
      </c>
      <c r="H664" t="s">
        <v>1374</v>
      </c>
    </row>
    <row r="665" spans="1:8">
      <c r="A665">
        <v>9488801</v>
      </c>
      <c r="B665" t="s">
        <v>808</v>
      </c>
      <c r="C665" t="s">
        <v>153</v>
      </c>
      <c r="D665" t="s">
        <v>800</v>
      </c>
      <c r="E665" t="s">
        <v>1370</v>
      </c>
      <c r="F665" s="134">
        <v>0.92815972222222232</v>
      </c>
      <c r="G665" t="s">
        <v>1371</v>
      </c>
      <c r="H665" t="s">
        <v>1372</v>
      </c>
    </row>
    <row r="666" spans="1:8">
      <c r="A666">
        <v>9488801</v>
      </c>
      <c r="B666" t="s">
        <v>808</v>
      </c>
      <c r="C666" t="s">
        <v>153</v>
      </c>
      <c r="D666" t="s">
        <v>800</v>
      </c>
      <c r="E666" t="s">
        <v>1375</v>
      </c>
      <c r="F666" s="134">
        <v>0.32285879629629627</v>
      </c>
      <c r="G666" t="s">
        <v>1373</v>
      </c>
      <c r="H666" t="s">
        <v>1374</v>
      </c>
    </row>
    <row r="667" spans="1:8">
      <c r="A667">
        <v>9488801</v>
      </c>
      <c r="B667" t="s">
        <v>808</v>
      </c>
      <c r="C667" t="s">
        <v>153</v>
      </c>
      <c r="D667" t="s">
        <v>800</v>
      </c>
      <c r="E667" t="s">
        <v>1375</v>
      </c>
      <c r="F667" s="134">
        <v>0.93079861111111117</v>
      </c>
      <c r="G667" t="s">
        <v>1371</v>
      </c>
      <c r="H667" t="s">
        <v>1372</v>
      </c>
    </row>
    <row r="668" spans="1:8">
      <c r="A668">
        <v>9488801</v>
      </c>
      <c r="B668" t="s">
        <v>808</v>
      </c>
      <c r="C668" t="s">
        <v>153</v>
      </c>
      <c r="D668" t="s">
        <v>800</v>
      </c>
      <c r="E668" t="s">
        <v>1376</v>
      </c>
      <c r="F668" s="134">
        <v>0.32406249999999998</v>
      </c>
      <c r="G668" t="s">
        <v>1373</v>
      </c>
      <c r="H668" t="s">
        <v>1374</v>
      </c>
    </row>
    <row r="669" spans="1:8">
      <c r="A669">
        <v>9488801</v>
      </c>
      <c r="B669" t="s">
        <v>808</v>
      </c>
      <c r="C669" t="s">
        <v>153</v>
      </c>
      <c r="D669" t="s">
        <v>800</v>
      </c>
      <c r="E669" t="s">
        <v>1376</v>
      </c>
      <c r="F669" s="134">
        <v>0.92943287037037037</v>
      </c>
      <c r="G669" t="s">
        <v>1371</v>
      </c>
      <c r="H669" t="s">
        <v>1372</v>
      </c>
    </row>
    <row r="670" spans="1:8">
      <c r="A670">
        <v>9488801</v>
      </c>
      <c r="B670" t="s">
        <v>808</v>
      </c>
      <c r="C670" t="s">
        <v>153</v>
      </c>
      <c r="D670" t="s">
        <v>800</v>
      </c>
      <c r="E670" t="s">
        <v>1377</v>
      </c>
      <c r="F670" s="134">
        <v>0.3220601851851852</v>
      </c>
      <c r="G670" t="s">
        <v>1373</v>
      </c>
      <c r="H670" t="s">
        <v>1374</v>
      </c>
    </row>
    <row r="671" spans="1:8">
      <c r="A671">
        <v>9488801</v>
      </c>
      <c r="B671" t="s">
        <v>808</v>
      </c>
      <c r="C671" t="s">
        <v>153</v>
      </c>
      <c r="D671" t="s">
        <v>800</v>
      </c>
      <c r="E671" t="s">
        <v>1377</v>
      </c>
      <c r="F671" s="134">
        <v>0.93053240740740739</v>
      </c>
      <c r="G671" t="s">
        <v>1371</v>
      </c>
      <c r="H671" t="s">
        <v>1372</v>
      </c>
    </row>
    <row r="672" spans="1:8">
      <c r="A672">
        <v>9488801</v>
      </c>
      <c r="B672" t="s">
        <v>808</v>
      </c>
      <c r="C672" t="s">
        <v>153</v>
      </c>
      <c r="D672" t="s">
        <v>800</v>
      </c>
      <c r="E672" t="s">
        <v>1378</v>
      </c>
      <c r="F672" s="134">
        <v>0.31840277777777776</v>
      </c>
      <c r="G672" t="s">
        <v>1373</v>
      </c>
      <c r="H672" t="s">
        <v>1374</v>
      </c>
    </row>
    <row r="673" spans="1:8">
      <c r="A673">
        <v>9488801</v>
      </c>
      <c r="B673" t="s">
        <v>808</v>
      </c>
      <c r="C673" t="s">
        <v>153</v>
      </c>
      <c r="D673" t="s">
        <v>800</v>
      </c>
      <c r="E673" t="s">
        <v>1378</v>
      </c>
      <c r="F673" s="134">
        <v>0.93001157407407409</v>
      </c>
      <c r="G673" t="s">
        <v>1371</v>
      </c>
      <c r="H673" t="s">
        <v>1372</v>
      </c>
    </row>
    <row r="674" spans="1:8">
      <c r="A674">
        <v>9488801</v>
      </c>
      <c r="B674" t="s">
        <v>808</v>
      </c>
      <c r="C674" t="s">
        <v>153</v>
      </c>
      <c r="D674" t="s">
        <v>800</v>
      </c>
      <c r="E674" t="s">
        <v>1379</v>
      </c>
      <c r="F674" s="134">
        <v>0.33085648148148145</v>
      </c>
      <c r="G674" t="s">
        <v>1373</v>
      </c>
      <c r="H674" t="s">
        <v>1374</v>
      </c>
    </row>
    <row r="675" spans="1:8">
      <c r="A675">
        <v>9488820</v>
      </c>
      <c r="B675" t="s">
        <v>192</v>
      </c>
      <c r="C675" t="s">
        <v>60</v>
      </c>
      <c r="D675" t="s">
        <v>183</v>
      </c>
      <c r="E675" t="s">
        <v>1370</v>
      </c>
      <c r="F675" s="134">
        <v>0.91959490740740746</v>
      </c>
      <c r="G675" t="s">
        <v>1371</v>
      </c>
      <c r="H675" t="s">
        <v>1372</v>
      </c>
    </row>
    <row r="676" spans="1:8">
      <c r="A676">
        <v>9488820</v>
      </c>
      <c r="B676" t="s">
        <v>192</v>
      </c>
      <c r="C676" t="s">
        <v>60</v>
      </c>
      <c r="D676" t="s">
        <v>183</v>
      </c>
      <c r="E676" t="s">
        <v>1375</v>
      </c>
      <c r="F676" s="134">
        <v>0.32032407407407409</v>
      </c>
      <c r="G676" t="s">
        <v>1373</v>
      </c>
      <c r="H676" t="s">
        <v>1374</v>
      </c>
    </row>
    <row r="677" spans="1:8">
      <c r="A677">
        <v>9488820</v>
      </c>
      <c r="B677" t="s">
        <v>192</v>
      </c>
      <c r="C677" t="s">
        <v>60</v>
      </c>
      <c r="D677" t="s">
        <v>183</v>
      </c>
      <c r="E677" t="s">
        <v>1375</v>
      </c>
      <c r="F677" s="134">
        <v>0.9188425925925926</v>
      </c>
      <c r="G677" t="s">
        <v>1371</v>
      </c>
      <c r="H677" t="s">
        <v>1372</v>
      </c>
    </row>
    <row r="678" spans="1:8">
      <c r="A678">
        <v>9488820</v>
      </c>
      <c r="B678" t="s">
        <v>192</v>
      </c>
      <c r="C678" t="s">
        <v>60</v>
      </c>
      <c r="D678" t="s">
        <v>183</v>
      </c>
      <c r="E678" t="s">
        <v>1376</v>
      </c>
      <c r="F678" s="134">
        <v>0.32123842592592594</v>
      </c>
      <c r="G678" t="s">
        <v>1373</v>
      </c>
      <c r="H678" t="s">
        <v>1374</v>
      </c>
    </row>
    <row r="679" spans="1:8">
      <c r="A679">
        <v>9488820</v>
      </c>
      <c r="B679" t="s">
        <v>192</v>
      </c>
      <c r="C679" t="s">
        <v>60</v>
      </c>
      <c r="D679" t="s">
        <v>183</v>
      </c>
      <c r="E679" t="s">
        <v>1376</v>
      </c>
      <c r="F679" s="134">
        <v>0.91901620370370374</v>
      </c>
      <c r="G679" t="s">
        <v>1371</v>
      </c>
      <c r="H679" t="s">
        <v>1372</v>
      </c>
    </row>
    <row r="680" spans="1:8">
      <c r="A680">
        <v>9488820</v>
      </c>
      <c r="B680" t="s">
        <v>192</v>
      </c>
      <c r="C680" t="s">
        <v>60</v>
      </c>
      <c r="D680" t="s">
        <v>183</v>
      </c>
      <c r="E680" t="s">
        <v>1377</v>
      </c>
      <c r="F680" s="134">
        <v>0.31938657407407406</v>
      </c>
      <c r="G680" t="s">
        <v>1373</v>
      </c>
      <c r="H680" t="s">
        <v>1374</v>
      </c>
    </row>
    <row r="681" spans="1:8">
      <c r="A681">
        <v>9488820</v>
      </c>
      <c r="B681" t="s">
        <v>192</v>
      </c>
      <c r="C681" t="s">
        <v>60</v>
      </c>
      <c r="D681" t="s">
        <v>183</v>
      </c>
      <c r="E681" t="s">
        <v>1377</v>
      </c>
      <c r="F681" s="134">
        <v>0.92035879629629624</v>
      </c>
      <c r="G681" t="s">
        <v>1371</v>
      </c>
      <c r="H681" t="s">
        <v>1372</v>
      </c>
    </row>
    <row r="682" spans="1:8">
      <c r="A682">
        <v>9488820</v>
      </c>
      <c r="B682" t="s">
        <v>192</v>
      </c>
      <c r="C682" t="s">
        <v>60</v>
      </c>
      <c r="D682" t="s">
        <v>183</v>
      </c>
      <c r="E682" t="s">
        <v>1378</v>
      </c>
      <c r="F682" s="134">
        <v>0.32331018518518517</v>
      </c>
      <c r="G682" t="s">
        <v>1373</v>
      </c>
      <c r="H682" t="s">
        <v>1374</v>
      </c>
    </row>
    <row r="683" spans="1:8">
      <c r="A683">
        <v>9488820</v>
      </c>
      <c r="B683" t="s">
        <v>192</v>
      </c>
      <c r="C683" t="s">
        <v>60</v>
      </c>
      <c r="D683" t="s">
        <v>183</v>
      </c>
      <c r="E683" t="s">
        <v>1378</v>
      </c>
      <c r="F683" s="134">
        <v>0.91964120370370372</v>
      </c>
      <c r="G683" t="s">
        <v>1371</v>
      </c>
      <c r="H683" t="s">
        <v>1372</v>
      </c>
    </row>
    <row r="684" spans="1:8">
      <c r="A684">
        <v>9488820</v>
      </c>
      <c r="B684" t="s">
        <v>192</v>
      </c>
      <c r="C684" t="s">
        <v>60</v>
      </c>
      <c r="D684" t="s">
        <v>183</v>
      </c>
      <c r="E684" t="s">
        <v>1379</v>
      </c>
      <c r="F684" s="134">
        <v>0.31988425925925928</v>
      </c>
      <c r="G684" t="s">
        <v>1373</v>
      </c>
      <c r="H684" t="s">
        <v>1374</v>
      </c>
    </row>
    <row r="685" spans="1:8">
      <c r="A685" s="135">
        <v>9503712</v>
      </c>
      <c r="B685" s="135" t="s">
        <v>758</v>
      </c>
      <c r="C685" s="135" t="s">
        <v>757</v>
      </c>
      <c r="D685" s="135" t="s">
        <v>96</v>
      </c>
      <c r="E685" s="135" t="s">
        <v>1370</v>
      </c>
      <c r="F685" s="136">
        <v>0.2928587962962963</v>
      </c>
      <c r="G685" s="135" t="s">
        <v>1371</v>
      </c>
      <c r="H685" s="135" t="s">
        <v>1372</v>
      </c>
    </row>
    <row r="686" spans="1:8">
      <c r="A686" s="135">
        <v>9503712</v>
      </c>
      <c r="B686" s="135" t="s">
        <v>758</v>
      </c>
      <c r="C686" s="135" t="s">
        <v>757</v>
      </c>
      <c r="D686" s="135" t="s">
        <v>96</v>
      </c>
      <c r="E686" s="135" t="s">
        <v>1370</v>
      </c>
      <c r="F686" s="136">
        <v>0.73439814814814808</v>
      </c>
      <c r="G686" s="135" t="s">
        <v>1373</v>
      </c>
      <c r="H686" s="135" t="s">
        <v>1374</v>
      </c>
    </row>
    <row r="687" spans="1:8">
      <c r="A687" s="135">
        <v>9503712</v>
      </c>
      <c r="B687" s="135" t="s">
        <v>758</v>
      </c>
      <c r="C687" s="135" t="s">
        <v>757</v>
      </c>
      <c r="D687" s="135" t="s">
        <v>96</v>
      </c>
      <c r="E687" s="135" t="s">
        <v>1375</v>
      </c>
      <c r="F687" s="136">
        <v>0.29010416666666666</v>
      </c>
      <c r="G687" s="135" t="s">
        <v>1371</v>
      </c>
      <c r="H687" s="135" t="s">
        <v>1372</v>
      </c>
    </row>
    <row r="688" spans="1:8">
      <c r="A688" s="135">
        <v>9503712</v>
      </c>
      <c r="B688" s="135" t="s">
        <v>758</v>
      </c>
      <c r="C688" s="135" t="s">
        <v>757</v>
      </c>
      <c r="D688" s="135" t="s">
        <v>96</v>
      </c>
      <c r="E688" s="135" t="s">
        <v>1375</v>
      </c>
      <c r="F688" s="136">
        <v>0.7212615740740741</v>
      </c>
      <c r="G688" s="135" t="s">
        <v>1373</v>
      </c>
      <c r="H688" s="135" t="s">
        <v>1374</v>
      </c>
    </row>
    <row r="689" spans="1:8">
      <c r="A689" s="135">
        <v>9503712</v>
      </c>
      <c r="B689" s="135" t="s">
        <v>758</v>
      </c>
      <c r="C689" s="135" t="s">
        <v>757</v>
      </c>
      <c r="D689" s="135" t="s">
        <v>96</v>
      </c>
      <c r="E689" s="135" t="s">
        <v>1376</v>
      </c>
      <c r="F689" s="136">
        <v>0.62981481481481483</v>
      </c>
      <c r="G689" s="135" t="s">
        <v>1373</v>
      </c>
      <c r="H689" s="135" t="s">
        <v>1374</v>
      </c>
    </row>
    <row r="690" spans="1:8">
      <c r="A690" s="135">
        <v>9503712</v>
      </c>
      <c r="B690" s="135" t="s">
        <v>758</v>
      </c>
      <c r="C690" s="135" t="s">
        <v>757</v>
      </c>
      <c r="D690" s="135" t="s">
        <v>96</v>
      </c>
      <c r="E690" s="135" t="s">
        <v>1376</v>
      </c>
      <c r="F690" s="136">
        <v>0.29136574074074073</v>
      </c>
      <c r="G690" s="135" t="s">
        <v>1371</v>
      </c>
      <c r="H690" s="135" t="s">
        <v>1372</v>
      </c>
    </row>
    <row r="691" spans="1:8">
      <c r="A691" s="135">
        <v>9503712</v>
      </c>
      <c r="B691" s="135" t="s">
        <v>758</v>
      </c>
      <c r="C691" s="135" t="s">
        <v>757</v>
      </c>
      <c r="D691" s="135" t="s">
        <v>96</v>
      </c>
      <c r="E691" s="135" t="s">
        <v>1377</v>
      </c>
      <c r="F691" s="136">
        <v>0.28962962962962963</v>
      </c>
      <c r="G691" s="135" t="s">
        <v>1371</v>
      </c>
      <c r="H691" s="135" t="s">
        <v>1372</v>
      </c>
    </row>
    <row r="692" spans="1:8">
      <c r="A692" s="135">
        <v>9503712</v>
      </c>
      <c r="B692" s="135" t="s">
        <v>758</v>
      </c>
      <c r="C692" s="135" t="s">
        <v>757</v>
      </c>
      <c r="D692" s="135" t="s">
        <v>96</v>
      </c>
      <c r="E692" s="135" t="s">
        <v>1377</v>
      </c>
      <c r="F692" s="136">
        <v>0.72046296296296297</v>
      </c>
      <c r="G692" s="135" t="s">
        <v>1373</v>
      </c>
      <c r="H692" s="135" t="s">
        <v>1374</v>
      </c>
    </row>
    <row r="693" spans="1:8">
      <c r="A693" s="135">
        <v>9503712</v>
      </c>
      <c r="B693" s="135" t="s">
        <v>758</v>
      </c>
      <c r="C693" s="135" t="s">
        <v>757</v>
      </c>
      <c r="D693" s="135" t="s">
        <v>96</v>
      </c>
      <c r="E693" s="135" t="s">
        <v>1378</v>
      </c>
      <c r="F693" s="136">
        <v>0.28854166666666664</v>
      </c>
      <c r="G693" s="135" t="s">
        <v>1371</v>
      </c>
      <c r="H693" s="135" t="s">
        <v>1372</v>
      </c>
    </row>
    <row r="694" spans="1:8">
      <c r="A694" s="135">
        <v>9503712</v>
      </c>
      <c r="B694" s="135" t="s">
        <v>758</v>
      </c>
      <c r="C694" s="135" t="s">
        <v>757</v>
      </c>
      <c r="D694" s="135" t="s">
        <v>96</v>
      </c>
      <c r="E694" s="135" t="s">
        <v>1378</v>
      </c>
      <c r="F694" s="136">
        <v>0.72372685185185182</v>
      </c>
      <c r="G694" s="135" t="s">
        <v>1373</v>
      </c>
      <c r="H694" s="135" t="s">
        <v>1374</v>
      </c>
    </row>
    <row r="695" spans="1:8">
      <c r="A695" s="135">
        <v>9503712</v>
      </c>
      <c r="B695" s="135" t="s">
        <v>758</v>
      </c>
      <c r="C695" s="135" t="s">
        <v>757</v>
      </c>
      <c r="D695" s="135" t="s">
        <v>96</v>
      </c>
      <c r="E695" s="135" t="s">
        <v>1379</v>
      </c>
      <c r="F695" s="136">
        <v>0.28908564814814813</v>
      </c>
      <c r="G695" s="135" t="s">
        <v>1371</v>
      </c>
      <c r="H695" s="135" t="s">
        <v>1372</v>
      </c>
    </row>
    <row r="696" spans="1:8">
      <c r="A696" s="135">
        <v>9503712</v>
      </c>
      <c r="B696" s="135" t="s">
        <v>758</v>
      </c>
      <c r="C696" s="135" t="s">
        <v>757</v>
      </c>
      <c r="D696" s="135" t="s">
        <v>96</v>
      </c>
      <c r="E696" s="135" t="s">
        <v>1379</v>
      </c>
      <c r="F696" s="136">
        <v>0.59339120370370368</v>
      </c>
      <c r="G696" s="135" t="s">
        <v>1373</v>
      </c>
      <c r="H696" s="135" t="s">
        <v>1374</v>
      </c>
    </row>
    <row r="697" spans="1:8">
      <c r="A697">
        <v>9571017</v>
      </c>
      <c r="B697" t="s">
        <v>450</v>
      </c>
      <c r="C697" t="s">
        <v>449</v>
      </c>
      <c r="D697" t="s">
        <v>336</v>
      </c>
      <c r="E697" t="s">
        <v>1370</v>
      </c>
      <c r="F697" s="134">
        <v>0.61956018518518519</v>
      </c>
      <c r="G697" t="s">
        <v>1371</v>
      </c>
      <c r="H697" t="s">
        <v>1372</v>
      </c>
    </row>
    <row r="698" spans="1:8">
      <c r="A698">
        <v>9571017</v>
      </c>
      <c r="B698" t="s">
        <v>450</v>
      </c>
      <c r="C698" t="s">
        <v>449</v>
      </c>
      <c r="D698" t="s">
        <v>336</v>
      </c>
      <c r="E698" t="s">
        <v>1370</v>
      </c>
      <c r="F698" s="134">
        <v>0.95202546296296298</v>
      </c>
      <c r="G698" t="s">
        <v>1373</v>
      </c>
      <c r="H698" t="s">
        <v>1374</v>
      </c>
    </row>
    <row r="699" spans="1:8">
      <c r="A699">
        <v>9571017</v>
      </c>
      <c r="B699" t="s">
        <v>450</v>
      </c>
      <c r="C699" t="s">
        <v>449</v>
      </c>
      <c r="D699" t="s">
        <v>336</v>
      </c>
      <c r="E699" t="s">
        <v>1375</v>
      </c>
      <c r="F699" s="134">
        <v>0.61182870370370368</v>
      </c>
      <c r="G699" t="s">
        <v>1371</v>
      </c>
      <c r="H699" t="s">
        <v>1372</v>
      </c>
    </row>
    <row r="700" spans="1:8">
      <c r="A700">
        <v>9571017</v>
      </c>
      <c r="B700" t="s">
        <v>450</v>
      </c>
      <c r="C700" t="s">
        <v>449</v>
      </c>
      <c r="D700" t="s">
        <v>336</v>
      </c>
      <c r="E700" t="s">
        <v>1375</v>
      </c>
      <c r="F700" s="134">
        <v>0.95483796296296297</v>
      </c>
      <c r="G700" t="s">
        <v>1373</v>
      </c>
      <c r="H700" t="s">
        <v>1374</v>
      </c>
    </row>
    <row r="701" spans="1:8">
      <c r="A701">
        <v>9571017</v>
      </c>
      <c r="B701" t="s">
        <v>450</v>
      </c>
      <c r="C701" t="s">
        <v>449</v>
      </c>
      <c r="D701" t="s">
        <v>336</v>
      </c>
      <c r="E701" t="s">
        <v>1376</v>
      </c>
      <c r="F701" s="134">
        <v>0.95187499999999992</v>
      </c>
      <c r="G701" t="s">
        <v>1373</v>
      </c>
      <c r="H701" t="s">
        <v>1374</v>
      </c>
    </row>
    <row r="702" spans="1:8">
      <c r="A702">
        <v>9571017</v>
      </c>
      <c r="B702" t="s">
        <v>450</v>
      </c>
      <c r="C702" t="s">
        <v>449</v>
      </c>
      <c r="D702" t="s">
        <v>336</v>
      </c>
      <c r="E702" t="s">
        <v>1376</v>
      </c>
      <c r="F702" s="134">
        <v>0.6293171296296296</v>
      </c>
      <c r="G702" t="s">
        <v>1371</v>
      </c>
      <c r="H702" t="s">
        <v>1372</v>
      </c>
    </row>
    <row r="703" spans="1:8">
      <c r="A703">
        <v>9571017</v>
      </c>
      <c r="B703" t="s">
        <v>450</v>
      </c>
      <c r="C703" t="s">
        <v>449</v>
      </c>
      <c r="D703" t="s">
        <v>336</v>
      </c>
      <c r="E703" t="s">
        <v>1377</v>
      </c>
      <c r="F703" s="134">
        <v>0.60711805555555554</v>
      </c>
      <c r="G703" t="s">
        <v>1371</v>
      </c>
      <c r="H703" t="s">
        <v>1372</v>
      </c>
    </row>
    <row r="704" spans="1:8">
      <c r="A704">
        <v>9571017</v>
      </c>
      <c r="B704" t="s">
        <v>450</v>
      </c>
      <c r="C704" t="s">
        <v>449</v>
      </c>
      <c r="D704" t="s">
        <v>336</v>
      </c>
      <c r="E704" t="s">
        <v>1377</v>
      </c>
      <c r="F704" s="134">
        <v>0.94927083333333329</v>
      </c>
      <c r="G704" t="s">
        <v>1373</v>
      </c>
      <c r="H704" t="s">
        <v>1374</v>
      </c>
    </row>
    <row r="705" spans="1:8">
      <c r="A705">
        <v>9571017</v>
      </c>
      <c r="B705" t="s">
        <v>450</v>
      </c>
      <c r="C705" t="s">
        <v>449</v>
      </c>
      <c r="D705" t="s">
        <v>336</v>
      </c>
      <c r="E705" t="s">
        <v>1378</v>
      </c>
      <c r="F705" s="134">
        <v>0.62331018518518522</v>
      </c>
      <c r="G705" t="s">
        <v>1371</v>
      </c>
      <c r="H705" t="s">
        <v>1372</v>
      </c>
    </row>
    <row r="706" spans="1:8">
      <c r="A706">
        <v>9571017</v>
      </c>
      <c r="B706" t="s">
        <v>450</v>
      </c>
      <c r="C706" t="s">
        <v>449</v>
      </c>
      <c r="D706" t="s">
        <v>336</v>
      </c>
      <c r="E706" t="s">
        <v>1378</v>
      </c>
      <c r="F706" s="134">
        <v>0.95193287037037033</v>
      </c>
      <c r="G706" t="s">
        <v>1373</v>
      </c>
      <c r="H706" t="s">
        <v>1374</v>
      </c>
    </row>
    <row r="707" spans="1:8">
      <c r="A707">
        <v>9571017</v>
      </c>
      <c r="B707" t="s">
        <v>450</v>
      </c>
      <c r="C707" t="s">
        <v>449</v>
      </c>
      <c r="D707" t="s">
        <v>336</v>
      </c>
      <c r="E707" t="s">
        <v>1379</v>
      </c>
      <c r="F707" s="134">
        <v>0.63089120370370366</v>
      </c>
      <c r="G707" t="s">
        <v>1371</v>
      </c>
      <c r="H707" t="s">
        <v>1372</v>
      </c>
    </row>
    <row r="708" spans="1:8">
      <c r="A708">
        <v>9571017</v>
      </c>
      <c r="B708" t="s">
        <v>450</v>
      </c>
      <c r="C708" t="s">
        <v>449</v>
      </c>
      <c r="D708" t="s">
        <v>336</v>
      </c>
      <c r="E708" t="s">
        <v>1379</v>
      </c>
      <c r="F708" s="134">
        <v>0.91258101851851858</v>
      </c>
      <c r="G708" t="s">
        <v>1373</v>
      </c>
      <c r="H708" t="s">
        <v>1374</v>
      </c>
    </row>
    <row r="709" spans="1:8">
      <c r="A709">
        <v>9613720</v>
      </c>
      <c r="B709" t="s">
        <v>693</v>
      </c>
      <c r="C709" t="s">
        <v>60</v>
      </c>
      <c r="D709" t="s">
        <v>110</v>
      </c>
      <c r="E709" t="s">
        <v>1370</v>
      </c>
      <c r="F709" s="134">
        <v>0.60853009259259261</v>
      </c>
      <c r="G709" t="s">
        <v>1371</v>
      </c>
      <c r="H709" t="s">
        <v>1372</v>
      </c>
    </row>
    <row r="710" spans="1:8">
      <c r="A710">
        <v>9613720</v>
      </c>
      <c r="B710" t="s">
        <v>693</v>
      </c>
      <c r="C710" t="s">
        <v>60</v>
      </c>
      <c r="D710" t="s">
        <v>110</v>
      </c>
      <c r="E710" t="s">
        <v>1370</v>
      </c>
      <c r="F710" s="134">
        <v>0.94638888888888895</v>
      </c>
      <c r="G710" t="s">
        <v>1373</v>
      </c>
      <c r="H710" t="s">
        <v>1374</v>
      </c>
    </row>
    <row r="711" spans="1:8">
      <c r="A711">
        <v>9613720</v>
      </c>
      <c r="B711" t="s">
        <v>693</v>
      </c>
      <c r="C711" t="s">
        <v>60</v>
      </c>
      <c r="D711" t="s">
        <v>110</v>
      </c>
      <c r="E711" t="s">
        <v>1375</v>
      </c>
      <c r="F711" s="134">
        <v>0.61178240740740741</v>
      </c>
      <c r="G711" t="s">
        <v>1371</v>
      </c>
      <c r="H711" t="s">
        <v>1372</v>
      </c>
    </row>
    <row r="712" spans="1:8">
      <c r="A712">
        <v>9613720</v>
      </c>
      <c r="B712" t="s">
        <v>693</v>
      </c>
      <c r="C712" t="s">
        <v>60</v>
      </c>
      <c r="D712" t="s">
        <v>110</v>
      </c>
      <c r="E712" t="s">
        <v>1375</v>
      </c>
      <c r="F712" s="134">
        <v>0.94710648148148147</v>
      </c>
      <c r="G712" t="s">
        <v>1373</v>
      </c>
      <c r="H712" t="s">
        <v>1374</v>
      </c>
    </row>
    <row r="713" spans="1:8">
      <c r="A713">
        <v>9613720</v>
      </c>
      <c r="B713" t="s">
        <v>693</v>
      </c>
      <c r="C713" t="s">
        <v>60</v>
      </c>
      <c r="D713" t="s">
        <v>110</v>
      </c>
      <c r="E713" t="s">
        <v>1376</v>
      </c>
      <c r="F713" s="134">
        <v>0.94469907407407405</v>
      </c>
      <c r="G713" t="s">
        <v>1373</v>
      </c>
      <c r="H713" t="s">
        <v>1374</v>
      </c>
    </row>
    <row r="714" spans="1:8">
      <c r="A714">
        <v>9613720</v>
      </c>
      <c r="B714" t="s">
        <v>693</v>
      </c>
      <c r="C714" t="s">
        <v>60</v>
      </c>
      <c r="D714" t="s">
        <v>110</v>
      </c>
      <c r="E714" t="s">
        <v>1376</v>
      </c>
      <c r="F714" s="134">
        <v>0.60725694444444445</v>
      </c>
      <c r="G714" t="s">
        <v>1371</v>
      </c>
      <c r="H714" t="s">
        <v>1372</v>
      </c>
    </row>
    <row r="715" spans="1:8">
      <c r="A715">
        <v>9613720</v>
      </c>
      <c r="B715" t="s">
        <v>693</v>
      </c>
      <c r="C715" t="s">
        <v>60</v>
      </c>
      <c r="D715" t="s">
        <v>110</v>
      </c>
      <c r="E715" t="s">
        <v>1377</v>
      </c>
      <c r="F715" s="134">
        <v>0.6071643518518518</v>
      </c>
      <c r="G715" t="s">
        <v>1371</v>
      </c>
      <c r="H715" t="s">
        <v>1372</v>
      </c>
    </row>
    <row r="716" spans="1:8">
      <c r="A716">
        <v>9613720</v>
      </c>
      <c r="B716" t="s">
        <v>693</v>
      </c>
      <c r="C716" t="s">
        <v>60</v>
      </c>
      <c r="D716" t="s">
        <v>110</v>
      </c>
      <c r="E716" t="s">
        <v>1377</v>
      </c>
      <c r="F716" s="134">
        <v>0.94703703703703701</v>
      </c>
      <c r="G716" t="s">
        <v>1373</v>
      </c>
      <c r="H716" t="s">
        <v>1374</v>
      </c>
    </row>
    <row r="717" spans="1:8">
      <c r="A717">
        <v>9613720</v>
      </c>
      <c r="B717" t="s">
        <v>693</v>
      </c>
      <c r="C717" t="s">
        <v>60</v>
      </c>
      <c r="D717" t="s">
        <v>110</v>
      </c>
      <c r="E717" t="s">
        <v>1378</v>
      </c>
      <c r="F717" s="134">
        <v>0.60746527777777781</v>
      </c>
      <c r="G717" t="s">
        <v>1371</v>
      </c>
      <c r="H717" t="s">
        <v>1372</v>
      </c>
    </row>
    <row r="718" spans="1:8">
      <c r="A718">
        <v>9613720</v>
      </c>
      <c r="B718" t="s">
        <v>693</v>
      </c>
      <c r="C718" t="s">
        <v>60</v>
      </c>
      <c r="D718" t="s">
        <v>110</v>
      </c>
      <c r="E718" t="s">
        <v>1378</v>
      </c>
      <c r="F718" s="134">
        <v>0.94474537037037043</v>
      </c>
      <c r="G718" t="s">
        <v>1373</v>
      </c>
      <c r="H718" t="s">
        <v>1374</v>
      </c>
    </row>
    <row r="719" spans="1:8">
      <c r="A719">
        <v>9613720</v>
      </c>
      <c r="B719" t="s">
        <v>693</v>
      </c>
      <c r="C719" t="s">
        <v>60</v>
      </c>
      <c r="D719" t="s">
        <v>110</v>
      </c>
      <c r="E719" t="s">
        <v>1379</v>
      </c>
      <c r="F719" s="134">
        <v>0.61077546296296303</v>
      </c>
      <c r="G719" t="s">
        <v>1371</v>
      </c>
      <c r="H719" t="s">
        <v>1372</v>
      </c>
    </row>
    <row r="720" spans="1:8">
      <c r="A720">
        <v>9613720</v>
      </c>
      <c r="B720" t="s">
        <v>693</v>
      </c>
      <c r="C720" t="s">
        <v>60</v>
      </c>
      <c r="D720" t="s">
        <v>110</v>
      </c>
      <c r="E720" t="s">
        <v>1379</v>
      </c>
      <c r="F720" s="134">
        <v>0.93665509259259261</v>
      </c>
      <c r="G720" t="s">
        <v>1373</v>
      </c>
      <c r="H720" t="s">
        <v>1374</v>
      </c>
    </row>
    <row r="721" spans="1:8">
      <c r="A721">
        <v>9741880</v>
      </c>
      <c r="B721" t="s">
        <v>889</v>
      </c>
      <c r="C721" t="s">
        <v>887</v>
      </c>
      <c r="D721" t="s">
        <v>888</v>
      </c>
      <c r="E721" t="s">
        <v>1370</v>
      </c>
      <c r="F721" s="134">
        <v>0.77116898148148139</v>
      </c>
      <c r="G721" t="s">
        <v>1371</v>
      </c>
      <c r="H721" t="s">
        <v>1372</v>
      </c>
    </row>
    <row r="722" spans="1:8">
      <c r="A722">
        <v>9741880</v>
      </c>
      <c r="B722" t="s">
        <v>889</v>
      </c>
      <c r="C722" t="s">
        <v>887</v>
      </c>
      <c r="D722" t="s">
        <v>888</v>
      </c>
      <c r="E722" t="s">
        <v>1370</v>
      </c>
      <c r="F722" s="134">
        <v>0.77116898148148139</v>
      </c>
      <c r="G722" t="s">
        <v>1371</v>
      </c>
      <c r="H722" t="s">
        <v>1372</v>
      </c>
    </row>
    <row r="723" spans="1:8">
      <c r="A723">
        <v>9741880</v>
      </c>
      <c r="B723" t="s">
        <v>889</v>
      </c>
      <c r="C723" t="s">
        <v>887</v>
      </c>
      <c r="D723" t="s">
        <v>888</v>
      </c>
      <c r="E723" t="s">
        <v>1370</v>
      </c>
      <c r="F723" s="134">
        <v>0.95023148148148151</v>
      </c>
      <c r="G723" t="s">
        <v>1373</v>
      </c>
      <c r="H723" t="s">
        <v>1374</v>
      </c>
    </row>
    <row r="724" spans="1:8">
      <c r="A724">
        <v>9741880</v>
      </c>
      <c r="B724" t="s">
        <v>889</v>
      </c>
      <c r="C724" t="s">
        <v>887</v>
      </c>
      <c r="D724" t="s">
        <v>888</v>
      </c>
      <c r="E724" t="s">
        <v>1375</v>
      </c>
      <c r="F724" s="134">
        <v>0.62049768518518522</v>
      </c>
      <c r="G724" t="s">
        <v>1371</v>
      </c>
      <c r="H724" t="s">
        <v>1372</v>
      </c>
    </row>
    <row r="725" spans="1:8">
      <c r="A725">
        <v>9741880</v>
      </c>
      <c r="B725" t="s">
        <v>889</v>
      </c>
      <c r="C725" t="s">
        <v>887</v>
      </c>
      <c r="D725" t="s">
        <v>888</v>
      </c>
      <c r="E725" t="s">
        <v>1375</v>
      </c>
      <c r="F725" s="134">
        <v>0.95256944444444447</v>
      </c>
      <c r="G725" t="s">
        <v>1373</v>
      </c>
      <c r="H725" t="s">
        <v>1374</v>
      </c>
    </row>
    <row r="726" spans="1:8">
      <c r="A726">
        <v>9741880</v>
      </c>
      <c r="B726" t="s">
        <v>889</v>
      </c>
      <c r="C726" t="s">
        <v>887</v>
      </c>
      <c r="D726" t="s">
        <v>888</v>
      </c>
      <c r="E726" t="s">
        <v>1376</v>
      </c>
      <c r="F726" s="134">
        <v>0.9509953703703703</v>
      </c>
      <c r="G726" t="s">
        <v>1373</v>
      </c>
      <c r="H726" t="s">
        <v>1374</v>
      </c>
    </row>
    <row r="727" spans="1:8">
      <c r="A727">
        <v>9741880</v>
      </c>
      <c r="B727" t="s">
        <v>889</v>
      </c>
      <c r="C727" t="s">
        <v>887</v>
      </c>
      <c r="D727" t="s">
        <v>888</v>
      </c>
      <c r="E727" t="s">
        <v>1376</v>
      </c>
      <c r="F727" s="134">
        <v>0.62408564814814815</v>
      </c>
      <c r="G727" t="s">
        <v>1371</v>
      </c>
      <c r="H727" t="s">
        <v>1372</v>
      </c>
    </row>
    <row r="728" spans="1:8">
      <c r="A728">
        <v>9741880</v>
      </c>
      <c r="B728" t="s">
        <v>889</v>
      </c>
      <c r="C728" t="s">
        <v>887</v>
      </c>
      <c r="D728" t="s">
        <v>888</v>
      </c>
      <c r="E728" t="s">
        <v>1377</v>
      </c>
      <c r="F728" s="134">
        <v>0.61174768518518519</v>
      </c>
      <c r="G728" t="s">
        <v>1371</v>
      </c>
      <c r="H728" t="s">
        <v>1372</v>
      </c>
    </row>
    <row r="729" spans="1:8">
      <c r="A729">
        <v>9741880</v>
      </c>
      <c r="B729" t="s">
        <v>889</v>
      </c>
      <c r="C729" t="s">
        <v>887</v>
      </c>
      <c r="D729" t="s">
        <v>888</v>
      </c>
      <c r="E729" t="s">
        <v>1377</v>
      </c>
      <c r="F729" s="134">
        <v>0.95083333333333331</v>
      </c>
      <c r="G729" t="s">
        <v>1373</v>
      </c>
      <c r="H729" t="s">
        <v>1374</v>
      </c>
    </row>
    <row r="730" spans="1:8">
      <c r="A730">
        <v>9741880</v>
      </c>
      <c r="B730" t="s">
        <v>889</v>
      </c>
      <c r="C730" t="s">
        <v>887</v>
      </c>
      <c r="D730" t="s">
        <v>888</v>
      </c>
      <c r="E730" t="s">
        <v>1378</v>
      </c>
      <c r="F730" s="134">
        <v>0.59528935185185183</v>
      </c>
      <c r="G730" t="s">
        <v>1371</v>
      </c>
      <c r="H730" t="s">
        <v>1372</v>
      </c>
    </row>
    <row r="731" spans="1:8">
      <c r="A731">
        <v>9741880</v>
      </c>
      <c r="B731" t="s">
        <v>889</v>
      </c>
      <c r="C731" t="s">
        <v>887</v>
      </c>
      <c r="D731" t="s">
        <v>888</v>
      </c>
      <c r="E731" t="s">
        <v>1378</v>
      </c>
      <c r="F731" s="134">
        <v>0.93906250000000002</v>
      </c>
      <c r="G731" t="s">
        <v>1373</v>
      </c>
      <c r="H731" t="s">
        <v>1374</v>
      </c>
    </row>
    <row r="732" spans="1:8">
      <c r="A732">
        <v>9741880</v>
      </c>
      <c r="B732" t="s">
        <v>889</v>
      </c>
      <c r="C732" t="s">
        <v>887</v>
      </c>
      <c r="D732" t="s">
        <v>888</v>
      </c>
      <c r="E732" t="s">
        <v>1379</v>
      </c>
      <c r="F732" s="134">
        <v>0.86553240740740733</v>
      </c>
      <c r="G732" t="s">
        <v>1371</v>
      </c>
      <c r="H732" t="s">
        <v>1372</v>
      </c>
    </row>
    <row r="733" spans="1:8">
      <c r="A733">
        <v>9741880</v>
      </c>
      <c r="B733" t="s">
        <v>889</v>
      </c>
      <c r="C733" t="s">
        <v>887</v>
      </c>
      <c r="D733" t="s">
        <v>888</v>
      </c>
      <c r="E733" t="s">
        <v>1379</v>
      </c>
      <c r="F733" s="134">
        <v>0.90959490740740734</v>
      </c>
      <c r="G733" t="s">
        <v>1373</v>
      </c>
      <c r="H733" t="s">
        <v>1374</v>
      </c>
    </row>
    <row r="734" spans="1:8">
      <c r="A734">
        <v>9748915</v>
      </c>
      <c r="B734" t="s">
        <v>505</v>
      </c>
      <c r="C734" t="s">
        <v>346</v>
      </c>
      <c r="D734" t="s">
        <v>443</v>
      </c>
      <c r="E734" t="s">
        <v>1370</v>
      </c>
      <c r="F734" s="134">
        <v>0.32616898148148149</v>
      </c>
      <c r="G734" t="s">
        <v>1371</v>
      </c>
      <c r="H734" t="s">
        <v>1372</v>
      </c>
    </row>
    <row r="735" spans="1:8">
      <c r="A735">
        <v>9748915</v>
      </c>
      <c r="B735" t="s">
        <v>505</v>
      </c>
      <c r="C735" t="s">
        <v>346</v>
      </c>
      <c r="D735" t="s">
        <v>443</v>
      </c>
      <c r="E735" t="s">
        <v>1370</v>
      </c>
      <c r="F735" s="134">
        <v>0.62997685185185182</v>
      </c>
      <c r="G735" t="s">
        <v>1373</v>
      </c>
      <c r="H735" t="s">
        <v>1374</v>
      </c>
    </row>
    <row r="736" spans="1:8">
      <c r="A736">
        <v>9748915</v>
      </c>
      <c r="B736" t="s">
        <v>505</v>
      </c>
      <c r="C736" t="s">
        <v>346</v>
      </c>
      <c r="D736" t="s">
        <v>443</v>
      </c>
      <c r="E736" t="s">
        <v>1375</v>
      </c>
      <c r="F736" s="134">
        <v>0.32503472222222224</v>
      </c>
      <c r="G736" t="s">
        <v>1371</v>
      </c>
      <c r="H736" t="s">
        <v>1372</v>
      </c>
    </row>
    <row r="737" spans="1:8">
      <c r="A737">
        <v>9748915</v>
      </c>
      <c r="B737" t="s">
        <v>505</v>
      </c>
      <c r="C737" t="s">
        <v>346</v>
      </c>
      <c r="D737" t="s">
        <v>443</v>
      </c>
      <c r="E737" t="s">
        <v>1375</v>
      </c>
      <c r="F737" s="134">
        <v>0.63885416666666661</v>
      </c>
      <c r="G737" t="s">
        <v>1373</v>
      </c>
      <c r="H737" t="s">
        <v>1374</v>
      </c>
    </row>
    <row r="738" spans="1:8">
      <c r="A738">
        <v>9748915</v>
      </c>
      <c r="B738" t="s">
        <v>505</v>
      </c>
      <c r="C738" t="s">
        <v>346</v>
      </c>
      <c r="D738" t="s">
        <v>443</v>
      </c>
      <c r="E738" t="s">
        <v>1376</v>
      </c>
      <c r="F738" s="134">
        <v>0.65869212962962964</v>
      </c>
      <c r="G738" t="s">
        <v>1373</v>
      </c>
      <c r="H738" t="s">
        <v>1374</v>
      </c>
    </row>
    <row r="739" spans="1:8">
      <c r="A739">
        <v>9748915</v>
      </c>
      <c r="B739" t="s">
        <v>505</v>
      </c>
      <c r="C739" t="s">
        <v>346</v>
      </c>
      <c r="D739" t="s">
        <v>443</v>
      </c>
      <c r="E739" t="s">
        <v>1376</v>
      </c>
      <c r="F739" s="134">
        <v>0.65857638888888892</v>
      </c>
      <c r="G739" t="s">
        <v>1373</v>
      </c>
      <c r="H739" t="s">
        <v>1374</v>
      </c>
    </row>
    <row r="740" spans="1:8">
      <c r="A740">
        <v>9748915</v>
      </c>
      <c r="B740" t="s">
        <v>505</v>
      </c>
      <c r="C740" t="s">
        <v>346</v>
      </c>
      <c r="D740" t="s">
        <v>443</v>
      </c>
      <c r="E740" t="s">
        <v>1376</v>
      </c>
      <c r="F740" s="134">
        <v>0.32748842592592592</v>
      </c>
      <c r="G740" t="s">
        <v>1371</v>
      </c>
      <c r="H740" t="s">
        <v>1372</v>
      </c>
    </row>
    <row r="741" spans="1:8">
      <c r="A741">
        <v>9748915</v>
      </c>
      <c r="B741" t="s">
        <v>505</v>
      </c>
      <c r="C741" t="s">
        <v>346</v>
      </c>
      <c r="D741" t="s">
        <v>443</v>
      </c>
      <c r="E741" t="s">
        <v>1377</v>
      </c>
      <c r="F741" s="134">
        <v>0.32811342592592591</v>
      </c>
      <c r="G741" t="s">
        <v>1371</v>
      </c>
      <c r="H741" t="s">
        <v>1372</v>
      </c>
    </row>
    <row r="742" spans="1:8">
      <c r="A742">
        <v>9748915</v>
      </c>
      <c r="B742" t="s">
        <v>505</v>
      </c>
      <c r="C742" t="s">
        <v>346</v>
      </c>
      <c r="D742" t="s">
        <v>443</v>
      </c>
      <c r="E742" t="s">
        <v>1377</v>
      </c>
      <c r="F742" s="134">
        <v>0.62896990740740744</v>
      </c>
      <c r="G742" t="s">
        <v>1373</v>
      </c>
      <c r="H742" t="s">
        <v>1374</v>
      </c>
    </row>
    <row r="743" spans="1:8">
      <c r="A743">
        <v>9748915</v>
      </c>
      <c r="B743" t="s">
        <v>505</v>
      </c>
      <c r="C743" t="s">
        <v>346</v>
      </c>
      <c r="D743" t="s">
        <v>443</v>
      </c>
      <c r="E743" t="s">
        <v>1378</v>
      </c>
      <c r="F743" s="134">
        <v>0.3374537037037037</v>
      </c>
      <c r="G743" t="s">
        <v>1371</v>
      </c>
      <c r="H743" t="s">
        <v>1372</v>
      </c>
    </row>
    <row r="744" spans="1:8">
      <c r="A744">
        <v>9748915</v>
      </c>
      <c r="B744" t="s">
        <v>505</v>
      </c>
      <c r="C744" t="s">
        <v>346</v>
      </c>
      <c r="D744" t="s">
        <v>443</v>
      </c>
      <c r="E744" t="s">
        <v>1378</v>
      </c>
      <c r="F744" s="134">
        <v>0.62853009259259263</v>
      </c>
      <c r="G744" t="s">
        <v>1373</v>
      </c>
      <c r="H744" t="s">
        <v>1374</v>
      </c>
    </row>
    <row r="745" spans="1:8">
      <c r="A745">
        <v>9748915</v>
      </c>
      <c r="B745" t="s">
        <v>505</v>
      </c>
      <c r="C745" t="s">
        <v>346</v>
      </c>
      <c r="D745" t="s">
        <v>443</v>
      </c>
      <c r="E745" t="s">
        <v>1379</v>
      </c>
      <c r="F745" s="134">
        <v>0.64089120370370367</v>
      </c>
      <c r="G745" t="s">
        <v>1371</v>
      </c>
      <c r="H745" t="s">
        <v>1372</v>
      </c>
    </row>
    <row r="746" spans="1:8">
      <c r="A746">
        <v>9748915</v>
      </c>
      <c r="B746" t="s">
        <v>505</v>
      </c>
      <c r="C746" t="s">
        <v>346</v>
      </c>
      <c r="D746" t="s">
        <v>443</v>
      </c>
      <c r="E746" t="s">
        <v>1379</v>
      </c>
      <c r="F746" s="134">
        <v>0.93986111111111104</v>
      </c>
      <c r="G746" t="s">
        <v>1373</v>
      </c>
      <c r="H746" t="s">
        <v>1374</v>
      </c>
    </row>
    <row r="747" spans="1:8">
      <c r="A747">
        <v>9774031</v>
      </c>
      <c r="B747" t="s">
        <v>911</v>
      </c>
      <c r="C747" t="s">
        <v>211</v>
      </c>
      <c r="D747" t="s">
        <v>883</v>
      </c>
      <c r="E747" t="s">
        <v>1370</v>
      </c>
      <c r="F747" s="134">
        <v>0.33341435185185181</v>
      </c>
      <c r="G747" t="s">
        <v>1373</v>
      </c>
      <c r="H747" t="s">
        <v>1374</v>
      </c>
    </row>
    <row r="748" spans="1:8">
      <c r="A748">
        <v>9774031</v>
      </c>
      <c r="B748" t="s">
        <v>911</v>
      </c>
      <c r="C748" t="s">
        <v>211</v>
      </c>
      <c r="D748" t="s">
        <v>883</v>
      </c>
      <c r="E748" t="s">
        <v>1370</v>
      </c>
      <c r="F748" s="134">
        <v>0.91778935185185195</v>
      </c>
      <c r="G748" t="s">
        <v>1371</v>
      </c>
      <c r="H748" t="s">
        <v>1372</v>
      </c>
    </row>
    <row r="749" spans="1:8">
      <c r="A749">
        <v>9774031</v>
      </c>
      <c r="B749" t="s">
        <v>911</v>
      </c>
      <c r="C749" t="s">
        <v>211</v>
      </c>
      <c r="D749" t="s">
        <v>883</v>
      </c>
      <c r="E749" t="s">
        <v>1375</v>
      </c>
      <c r="F749" s="134">
        <v>0.32211805555555556</v>
      </c>
      <c r="G749" t="s">
        <v>1373</v>
      </c>
      <c r="H749" t="s">
        <v>1374</v>
      </c>
    </row>
    <row r="750" spans="1:8">
      <c r="A750">
        <v>9774031</v>
      </c>
      <c r="B750" t="s">
        <v>911</v>
      </c>
      <c r="C750" t="s">
        <v>211</v>
      </c>
      <c r="D750" t="s">
        <v>883</v>
      </c>
      <c r="E750" t="s">
        <v>1376</v>
      </c>
      <c r="F750" s="134">
        <v>0.91863425925925923</v>
      </c>
      <c r="G750" t="s">
        <v>1371</v>
      </c>
      <c r="H750" t="s">
        <v>1372</v>
      </c>
    </row>
    <row r="751" spans="1:8">
      <c r="A751">
        <v>9774031</v>
      </c>
      <c r="B751" t="s">
        <v>911</v>
      </c>
      <c r="C751" t="s">
        <v>211</v>
      </c>
      <c r="D751" t="s">
        <v>883</v>
      </c>
      <c r="E751" t="s">
        <v>1377</v>
      </c>
      <c r="F751" s="134">
        <v>0.32570601851851849</v>
      </c>
      <c r="G751" t="s">
        <v>1373</v>
      </c>
      <c r="H751" t="s">
        <v>1374</v>
      </c>
    </row>
    <row r="752" spans="1:8">
      <c r="A752">
        <v>9774031</v>
      </c>
      <c r="B752" t="s">
        <v>911</v>
      </c>
      <c r="C752" t="s">
        <v>211</v>
      </c>
      <c r="D752" t="s">
        <v>883</v>
      </c>
      <c r="E752" t="s">
        <v>1377</v>
      </c>
      <c r="F752" s="134">
        <v>0.91929398148148145</v>
      </c>
      <c r="G752" t="s">
        <v>1371</v>
      </c>
      <c r="H752" t="s">
        <v>1372</v>
      </c>
    </row>
    <row r="753" spans="1:8">
      <c r="A753">
        <v>9774031</v>
      </c>
      <c r="B753" t="s">
        <v>911</v>
      </c>
      <c r="C753" t="s">
        <v>211</v>
      </c>
      <c r="D753" t="s">
        <v>883</v>
      </c>
      <c r="E753" t="s">
        <v>1378</v>
      </c>
      <c r="F753" s="134">
        <v>0.32599537037037035</v>
      </c>
      <c r="G753" t="s">
        <v>1373</v>
      </c>
      <c r="H753" t="s">
        <v>1374</v>
      </c>
    </row>
    <row r="754" spans="1:8">
      <c r="A754">
        <v>9774031</v>
      </c>
      <c r="B754" t="s">
        <v>911</v>
      </c>
      <c r="C754" t="s">
        <v>211</v>
      </c>
      <c r="D754" t="s">
        <v>883</v>
      </c>
      <c r="E754" t="s">
        <v>1378</v>
      </c>
      <c r="F754" s="134">
        <v>0.91905092592592597</v>
      </c>
      <c r="G754" t="s">
        <v>1371</v>
      </c>
      <c r="H754" t="s">
        <v>1372</v>
      </c>
    </row>
    <row r="755" spans="1:8">
      <c r="A755">
        <v>9774031</v>
      </c>
      <c r="B755" t="s">
        <v>911</v>
      </c>
      <c r="C755" t="s">
        <v>211</v>
      </c>
      <c r="D755" t="s">
        <v>883</v>
      </c>
      <c r="E755" t="s">
        <v>1379</v>
      </c>
      <c r="F755" s="134">
        <v>0.32436342592592593</v>
      </c>
      <c r="G755" t="s">
        <v>1373</v>
      </c>
      <c r="H755" t="s">
        <v>1374</v>
      </c>
    </row>
    <row r="756" spans="1:8">
      <c r="A756">
        <v>9806171</v>
      </c>
      <c r="B756" t="s">
        <v>505</v>
      </c>
      <c r="C756" t="s">
        <v>925</v>
      </c>
      <c r="D756" t="s">
        <v>795</v>
      </c>
      <c r="E756" t="s">
        <v>1370</v>
      </c>
      <c r="F756" s="134">
        <v>0.91276620370370365</v>
      </c>
      <c r="G756" t="s">
        <v>1371</v>
      </c>
      <c r="H756" t="s">
        <v>1372</v>
      </c>
    </row>
    <row r="757" spans="1:8">
      <c r="A757">
        <v>9806171</v>
      </c>
      <c r="B757" t="s">
        <v>505</v>
      </c>
      <c r="C757" t="s">
        <v>925</v>
      </c>
      <c r="D757" t="s">
        <v>795</v>
      </c>
      <c r="E757" t="s">
        <v>1375</v>
      </c>
      <c r="F757" s="134">
        <v>0.32534722222222223</v>
      </c>
      <c r="G757" t="s">
        <v>1373</v>
      </c>
      <c r="H757" t="s">
        <v>1374</v>
      </c>
    </row>
    <row r="758" spans="1:8">
      <c r="A758">
        <v>9806171</v>
      </c>
      <c r="B758" t="s">
        <v>505</v>
      </c>
      <c r="C758" t="s">
        <v>925</v>
      </c>
      <c r="D758" t="s">
        <v>795</v>
      </c>
      <c r="E758" t="s">
        <v>1375</v>
      </c>
      <c r="F758" s="134">
        <v>0.91423611111111114</v>
      </c>
      <c r="G758" t="s">
        <v>1371</v>
      </c>
      <c r="H758" t="s">
        <v>1372</v>
      </c>
    </row>
    <row r="759" spans="1:8">
      <c r="A759">
        <v>9806171</v>
      </c>
      <c r="B759" t="s">
        <v>505</v>
      </c>
      <c r="C759" t="s">
        <v>925</v>
      </c>
      <c r="D759" t="s">
        <v>795</v>
      </c>
      <c r="E759" t="s">
        <v>1376</v>
      </c>
      <c r="F759" s="134">
        <v>0.32445601851851852</v>
      </c>
      <c r="G759" t="s">
        <v>1373</v>
      </c>
      <c r="H759" t="s">
        <v>1374</v>
      </c>
    </row>
    <row r="760" spans="1:8">
      <c r="A760">
        <v>9806171</v>
      </c>
      <c r="B760" t="s">
        <v>505</v>
      </c>
      <c r="C760" t="s">
        <v>925</v>
      </c>
      <c r="D760" t="s">
        <v>795</v>
      </c>
      <c r="E760" t="s">
        <v>1376</v>
      </c>
      <c r="F760" s="134">
        <v>0.91528935185185178</v>
      </c>
      <c r="G760" t="s">
        <v>1371</v>
      </c>
      <c r="H760" t="s">
        <v>1372</v>
      </c>
    </row>
    <row r="761" spans="1:8">
      <c r="A761">
        <v>9806171</v>
      </c>
      <c r="B761" t="s">
        <v>505</v>
      </c>
      <c r="C761" t="s">
        <v>925</v>
      </c>
      <c r="D761" t="s">
        <v>795</v>
      </c>
      <c r="E761" t="s">
        <v>1377</v>
      </c>
      <c r="F761" s="134">
        <v>0.32517361111111115</v>
      </c>
      <c r="G761" t="s">
        <v>1373</v>
      </c>
      <c r="H761" t="s">
        <v>1374</v>
      </c>
    </row>
    <row r="762" spans="1:8">
      <c r="A762">
        <v>9806171</v>
      </c>
      <c r="B762" t="s">
        <v>505</v>
      </c>
      <c r="C762" t="s">
        <v>925</v>
      </c>
      <c r="D762" t="s">
        <v>795</v>
      </c>
      <c r="E762" t="s">
        <v>1377</v>
      </c>
      <c r="F762" s="134">
        <v>0.91158564814814813</v>
      </c>
      <c r="G762" t="s">
        <v>1371</v>
      </c>
      <c r="H762" t="s">
        <v>1372</v>
      </c>
    </row>
    <row r="763" spans="1:8">
      <c r="A763">
        <v>9806171</v>
      </c>
      <c r="B763" t="s">
        <v>505</v>
      </c>
      <c r="C763" t="s">
        <v>925</v>
      </c>
      <c r="D763" t="s">
        <v>795</v>
      </c>
      <c r="E763" t="s">
        <v>1378</v>
      </c>
      <c r="F763" s="134">
        <v>0.32373842592592594</v>
      </c>
      <c r="G763" t="s">
        <v>1373</v>
      </c>
      <c r="H763" t="s">
        <v>1374</v>
      </c>
    </row>
    <row r="764" spans="1:8">
      <c r="A764">
        <v>9806171</v>
      </c>
      <c r="B764" t="s">
        <v>505</v>
      </c>
      <c r="C764" t="s">
        <v>925</v>
      </c>
      <c r="D764" t="s">
        <v>795</v>
      </c>
      <c r="E764" t="s">
        <v>1378</v>
      </c>
      <c r="F764" s="134">
        <v>0.91184027777777776</v>
      </c>
      <c r="G764" t="s">
        <v>1371</v>
      </c>
      <c r="H764" t="s">
        <v>1372</v>
      </c>
    </row>
    <row r="765" spans="1:8">
      <c r="A765">
        <v>9806171</v>
      </c>
      <c r="B765" t="s">
        <v>505</v>
      </c>
      <c r="C765" t="s">
        <v>925</v>
      </c>
      <c r="D765" t="s">
        <v>795</v>
      </c>
      <c r="E765" t="s">
        <v>1379</v>
      </c>
      <c r="F765" s="134">
        <v>0.3238773148148148</v>
      </c>
      <c r="G765" t="s">
        <v>1373</v>
      </c>
      <c r="H765" t="s">
        <v>1374</v>
      </c>
    </row>
    <row r="766" spans="1:8">
      <c r="A766">
        <v>9832710</v>
      </c>
      <c r="B766" t="s">
        <v>236</v>
      </c>
      <c r="C766" t="s">
        <v>234</v>
      </c>
      <c r="D766" t="s">
        <v>235</v>
      </c>
      <c r="E766" t="s">
        <v>1370</v>
      </c>
      <c r="F766" s="134">
        <v>0.30832175925925925</v>
      </c>
      <c r="G766" t="s">
        <v>1371</v>
      </c>
      <c r="H766" t="s">
        <v>1372</v>
      </c>
    </row>
    <row r="767" spans="1:8">
      <c r="A767">
        <v>9832710</v>
      </c>
      <c r="B767" t="s">
        <v>236</v>
      </c>
      <c r="C767" t="s">
        <v>234</v>
      </c>
      <c r="D767" t="s">
        <v>235</v>
      </c>
      <c r="E767" t="s">
        <v>1370</v>
      </c>
      <c r="F767" s="134">
        <v>0.7330902777777778</v>
      </c>
      <c r="G767" t="s">
        <v>1373</v>
      </c>
      <c r="H767" t="s">
        <v>1374</v>
      </c>
    </row>
    <row r="768" spans="1:8">
      <c r="A768">
        <v>9832710</v>
      </c>
      <c r="B768" t="s">
        <v>236</v>
      </c>
      <c r="C768" t="s">
        <v>234</v>
      </c>
      <c r="D768" t="s">
        <v>235</v>
      </c>
      <c r="E768" t="s">
        <v>1375</v>
      </c>
      <c r="F768" s="134">
        <v>0.30356481481481484</v>
      </c>
      <c r="G768" t="s">
        <v>1371</v>
      </c>
      <c r="H768" t="s">
        <v>1372</v>
      </c>
    </row>
    <row r="769" spans="1:8">
      <c r="A769">
        <v>9832710</v>
      </c>
      <c r="B769" t="s">
        <v>236</v>
      </c>
      <c r="C769" t="s">
        <v>234</v>
      </c>
      <c r="D769" t="s">
        <v>235</v>
      </c>
      <c r="E769" t="s">
        <v>1375</v>
      </c>
      <c r="F769" s="134">
        <v>0.72753472222222226</v>
      </c>
      <c r="G769" t="s">
        <v>1373</v>
      </c>
      <c r="H769" t="s">
        <v>1374</v>
      </c>
    </row>
    <row r="770" spans="1:8">
      <c r="A770">
        <v>9832710</v>
      </c>
      <c r="B770" t="s">
        <v>236</v>
      </c>
      <c r="C770" t="s">
        <v>234</v>
      </c>
      <c r="D770" t="s">
        <v>235</v>
      </c>
      <c r="E770" t="s">
        <v>1376</v>
      </c>
      <c r="F770" s="134">
        <v>0.30059027777777775</v>
      </c>
      <c r="G770" t="s">
        <v>1371</v>
      </c>
      <c r="H770" t="s">
        <v>1372</v>
      </c>
    </row>
    <row r="771" spans="1:8">
      <c r="A771">
        <v>9832710</v>
      </c>
      <c r="B771" t="s">
        <v>236</v>
      </c>
      <c r="C771" t="s">
        <v>234</v>
      </c>
      <c r="D771" t="s">
        <v>235</v>
      </c>
      <c r="E771" t="s">
        <v>1376</v>
      </c>
      <c r="F771" s="134">
        <v>0.72376157407407404</v>
      </c>
      <c r="G771" t="s">
        <v>1373</v>
      </c>
      <c r="H771" t="s">
        <v>1374</v>
      </c>
    </row>
    <row r="772" spans="1:8">
      <c r="A772">
        <v>9832710</v>
      </c>
      <c r="B772" t="s">
        <v>236</v>
      </c>
      <c r="C772" t="s">
        <v>234</v>
      </c>
      <c r="D772" t="s">
        <v>235</v>
      </c>
      <c r="E772" t="s">
        <v>1377</v>
      </c>
      <c r="F772" s="134">
        <v>0.30233796296296295</v>
      </c>
      <c r="G772" t="s">
        <v>1371</v>
      </c>
      <c r="H772" t="s">
        <v>1372</v>
      </c>
    </row>
    <row r="773" spans="1:8">
      <c r="A773">
        <v>9832710</v>
      </c>
      <c r="B773" t="s">
        <v>236</v>
      </c>
      <c r="C773" t="s">
        <v>234</v>
      </c>
      <c r="D773" t="s">
        <v>235</v>
      </c>
      <c r="E773" t="s">
        <v>1377</v>
      </c>
      <c r="F773" s="134">
        <v>0.72857638888888887</v>
      </c>
      <c r="G773" t="s">
        <v>1373</v>
      </c>
      <c r="H773" t="s">
        <v>1374</v>
      </c>
    </row>
    <row r="774" spans="1:8">
      <c r="A774">
        <v>9832710</v>
      </c>
      <c r="B774" t="s">
        <v>236</v>
      </c>
      <c r="C774" t="s">
        <v>234</v>
      </c>
      <c r="D774" t="s">
        <v>235</v>
      </c>
      <c r="E774" t="s">
        <v>1378</v>
      </c>
      <c r="F774" s="134">
        <v>0.30350694444444443</v>
      </c>
      <c r="G774" t="s">
        <v>1371</v>
      </c>
      <c r="H774" t="s">
        <v>1372</v>
      </c>
    </row>
    <row r="775" spans="1:8">
      <c r="A775">
        <v>9832710</v>
      </c>
      <c r="B775" t="s">
        <v>236</v>
      </c>
      <c r="C775" t="s">
        <v>234</v>
      </c>
      <c r="D775" t="s">
        <v>235</v>
      </c>
      <c r="E775" t="s">
        <v>1378</v>
      </c>
      <c r="F775" s="134">
        <v>0.72528935185185184</v>
      </c>
      <c r="G775" t="s">
        <v>1373</v>
      </c>
      <c r="H775" t="s">
        <v>1374</v>
      </c>
    </row>
    <row r="776" spans="1:8">
      <c r="A776">
        <v>9878189</v>
      </c>
      <c r="B776" t="s">
        <v>583</v>
      </c>
      <c r="C776" t="s">
        <v>582</v>
      </c>
      <c r="D776" t="s">
        <v>341</v>
      </c>
      <c r="E776" t="s">
        <v>1370</v>
      </c>
      <c r="F776" s="134">
        <v>0.2946064814814815</v>
      </c>
      <c r="G776" t="s">
        <v>1371</v>
      </c>
      <c r="H776" t="s">
        <v>1372</v>
      </c>
    </row>
    <row r="777" spans="1:8">
      <c r="A777">
        <v>9878189</v>
      </c>
      <c r="B777" t="s">
        <v>583</v>
      </c>
      <c r="C777" t="s">
        <v>582</v>
      </c>
      <c r="D777" t="s">
        <v>341</v>
      </c>
      <c r="E777" t="s">
        <v>1370</v>
      </c>
      <c r="F777" s="134">
        <v>0.63453703703703701</v>
      </c>
      <c r="G777" t="s">
        <v>1373</v>
      </c>
      <c r="H777" t="s">
        <v>1374</v>
      </c>
    </row>
    <row r="778" spans="1:8">
      <c r="A778">
        <v>9878189</v>
      </c>
      <c r="B778" t="s">
        <v>583</v>
      </c>
      <c r="C778" t="s">
        <v>582</v>
      </c>
      <c r="D778" t="s">
        <v>341</v>
      </c>
      <c r="E778" t="s">
        <v>1375</v>
      </c>
      <c r="F778" s="134">
        <v>0.29166666666666669</v>
      </c>
      <c r="G778" t="s">
        <v>1371</v>
      </c>
      <c r="H778" t="s">
        <v>1372</v>
      </c>
    </row>
    <row r="779" spans="1:8">
      <c r="A779">
        <v>9878189</v>
      </c>
      <c r="B779" t="s">
        <v>583</v>
      </c>
      <c r="C779" t="s">
        <v>582</v>
      </c>
      <c r="D779" t="s">
        <v>341</v>
      </c>
      <c r="E779" t="s">
        <v>1375</v>
      </c>
      <c r="F779" s="134">
        <v>0.63424768518518515</v>
      </c>
      <c r="G779" t="s">
        <v>1373</v>
      </c>
      <c r="H779" t="s">
        <v>1374</v>
      </c>
    </row>
    <row r="780" spans="1:8">
      <c r="A780">
        <v>9878189</v>
      </c>
      <c r="B780" t="s">
        <v>583</v>
      </c>
      <c r="C780" t="s">
        <v>582</v>
      </c>
      <c r="D780" t="s">
        <v>341</v>
      </c>
      <c r="E780" t="s">
        <v>1376</v>
      </c>
      <c r="F780" s="134">
        <v>0.29268518518518521</v>
      </c>
      <c r="G780" t="s">
        <v>1371</v>
      </c>
      <c r="H780" t="s">
        <v>1372</v>
      </c>
    </row>
    <row r="781" spans="1:8">
      <c r="A781">
        <v>9878189</v>
      </c>
      <c r="B781" t="s">
        <v>583</v>
      </c>
      <c r="C781" t="s">
        <v>582</v>
      </c>
      <c r="D781" t="s">
        <v>341</v>
      </c>
      <c r="E781" t="s">
        <v>1376</v>
      </c>
      <c r="F781" s="134">
        <v>0.63622685185185179</v>
      </c>
      <c r="G781" t="s">
        <v>1373</v>
      </c>
      <c r="H781" t="s">
        <v>1374</v>
      </c>
    </row>
    <row r="782" spans="1:8">
      <c r="A782">
        <v>9878189</v>
      </c>
      <c r="B782" t="s">
        <v>583</v>
      </c>
      <c r="C782" t="s">
        <v>582</v>
      </c>
      <c r="D782" t="s">
        <v>341</v>
      </c>
      <c r="E782" t="s">
        <v>1377</v>
      </c>
      <c r="F782" s="134">
        <v>0.62809027777777782</v>
      </c>
      <c r="G782" t="s">
        <v>1373</v>
      </c>
      <c r="H782" t="s">
        <v>1374</v>
      </c>
    </row>
    <row r="783" spans="1:8">
      <c r="A783">
        <v>9878189</v>
      </c>
      <c r="B783" t="s">
        <v>583</v>
      </c>
      <c r="C783" t="s">
        <v>582</v>
      </c>
      <c r="D783" t="s">
        <v>341</v>
      </c>
      <c r="E783" t="s">
        <v>1377</v>
      </c>
      <c r="F783" s="134">
        <v>0.29101851851851851</v>
      </c>
      <c r="G783" t="s">
        <v>1371</v>
      </c>
      <c r="H783" t="s">
        <v>1372</v>
      </c>
    </row>
    <row r="784" spans="1:8">
      <c r="A784">
        <v>9878189</v>
      </c>
      <c r="B784" t="s">
        <v>583</v>
      </c>
      <c r="C784" t="s">
        <v>582</v>
      </c>
      <c r="D784" t="s">
        <v>341</v>
      </c>
      <c r="E784" t="s">
        <v>1378</v>
      </c>
      <c r="F784" s="134">
        <v>0.29425925925925928</v>
      </c>
      <c r="G784" t="s">
        <v>1371</v>
      </c>
      <c r="H784" t="s">
        <v>1372</v>
      </c>
    </row>
    <row r="785" spans="1:8">
      <c r="A785">
        <v>9878189</v>
      </c>
      <c r="B785" t="s">
        <v>583</v>
      </c>
      <c r="C785" t="s">
        <v>582</v>
      </c>
      <c r="D785" t="s">
        <v>341</v>
      </c>
      <c r="E785" t="s">
        <v>1378</v>
      </c>
      <c r="F785" s="134">
        <v>0.40753472222222226</v>
      </c>
      <c r="G785" t="s">
        <v>1373</v>
      </c>
      <c r="H785" t="s">
        <v>1374</v>
      </c>
    </row>
    <row r="786" spans="1:8">
      <c r="A786">
        <v>9878189</v>
      </c>
      <c r="B786" t="s">
        <v>583</v>
      </c>
      <c r="C786" t="s">
        <v>582</v>
      </c>
      <c r="D786" t="s">
        <v>341</v>
      </c>
      <c r="E786" t="s">
        <v>1378</v>
      </c>
      <c r="F786" s="134">
        <v>0.44202546296296297</v>
      </c>
      <c r="G786" t="s">
        <v>1371</v>
      </c>
      <c r="H786" t="s">
        <v>1372</v>
      </c>
    </row>
    <row r="787" spans="1:8">
      <c r="A787">
        <v>9878189</v>
      </c>
      <c r="B787" t="s">
        <v>583</v>
      </c>
      <c r="C787" t="s">
        <v>582</v>
      </c>
      <c r="D787" t="s">
        <v>341</v>
      </c>
      <c r="E787" t="s">
        <v>1378</v>
      </c>
      <c r="F787" s="134">
        <v>0.63723379629629628</v>
      </c>
      <c r="G787" t="s">
        <v>1373</v>
      </c>
      <c r="H787" t="s">
        <v>1374</v>
      </c>
    </row>
    <row r="788" spans="1:8">
      <c r="A788">
        <v>9878189</v>
      </c>
      <c r="B788" t="s">
        <v>583</v>
      </c>
      <c r="C788" t="s">
        <v>582</v>
      </c>
      <c r="D788" t="s">
        <v>341</v>
      </c>
      <c r="E788" t="s">
        <v>1379</v>
      </c>
      <c r="F788" s="134">
        <v>0.29098379629629628</v>
      </c>
      <c r="G788" t="s">
        <v>1371</v>
      </c>
      <c r="H788" t="s">
        <v>1372</v>
      </c>
    </row>
    <row r="789" spans="1:8">
      <c r="A789">
        <v>9878189</v>
      </c>
      <c r="B789" t="s">
        <v>583</v>
      </c>
      <c r="C789" t="s">
        <v>582</v>
      </c>
      <c r="D789" t="s">
        <v>341</v>
      </c>
      <c r="E789" t="s">
        <v>1379</v>
      </c>
      <c r="F789" s="134">
        <v>0.63300925925925922</v>
      </c>
      <c r="G789" t="s">
        <v>1373</v>
      </c>
      <c r="H789" t="s">
        <v>1374</v>
      </c>
    </row>
    <row r="790" spans="1:8">
      <c r="A790">
        <v>9957527</v>
      </c>
      <c r="B790" t="s">
        <v>377</v>
      </c>
      <c r="C790" t="s">
        <v>372</v>
      </c>
      <c r="D790" t="s">
        <v>60</v>
      </c>
      <c r="E790" t="s">
        <v>1370</v>
      </c>
      <c r="F790" s="134">
        <v>0.89913194444444444</v>
      </c>
      <c r="G790" t="s">
        <v>1371</v>
      </c>
      <c r="H790" t="s">
        <v>1372</v>
      </c>
    </row>
    <row r="791" spans="1:8">
      <c r="A791">
        <v>9957527</v>
      </c>
      <c r="B791" t="s">
        <v>377</v>
      </c>
      <c r="C791" t="s">
        <v>372</v>
      </c>
      <c r="D791" t="s">
        <v>60</v>
      </c>
      <c r="E791" t="s">
        <v>1375</v>
      </c>
      <c r="F791" s="134">
        <v>0.3132523148148148</v>
      </c>
      <c r="G791" t="s">
        <v>1373</v>
      </c>
      <c r="H791" t="s">
        <v>1374</v>
      </c>
    </row>
    <row r="792" spans="1:8">
      <c r="A792">
        <v>9957527</v>
      </c>
      <c r="B792" t="s">
        <v>377</v>
      </c>
      <c r="C792" t="s">
        <v>372</v>
      </c>
      <c r="D792" t="s">
        <v>60</v>
      </c>
      <c r="E792" t="s">
        <v>1375</v>
      </c>
      <c r="F792" s="134">
        <v>0.89609953703703704</v>
      </c>
      <c r="G792" t="s">
        <v>1371</v>
      </c>
      <c r="H792" t="s">
        <v>1372</v>
      </c>
    </row>
    <row r="793" spans="1:8">
      <c r="A793">
        <v>9957527</v>
      </c>
      <c r="B793" t="s">
        <v>377</v>
      </c>
      <c r="C793" t="s">
        <v>372</v>
      </c>
      <c r="D793" t="s">
        <v>60</v>
      </c>
      <c r="E793" t="s">
        <v>1376</v>
      </c>
      <c r="F793" s="134">
        <v>0.31905092592592593</v>
      </c>
      <c r="G793" t="s">
        <v>1373</v>
      </c>
      <c r="H793" t="s">
        <v>1374</v>
      </c>
    </row>
    <row r="794" spans="1:8">
      <c r="A794">
        <v>9957527</v>
      </c>
      <c r="B794" t="s">
        <v>377</v>
      </c>
      <c r="C794" t="s">
        <v>372</v>
      </c>
      <c r="D794" t="s">
        <v>60</v>
      </c>
      <c r="E794" t="s">
        <v>1376</v>
      </c>
      <c r="F794" s="134">
        <v>0.89093750000000005</v>
      </c>
      <c r="G794" t="s">
        <v>1371</v>
      </c>
      <c r="H794" t="s">
        <v>1372</v>
      </c>
    </row>
    <row r="795" spans="1:8">
      <c r="A795">
        <v>9957527</v>
      </c>
      <c r="B795" t="s">
        <v>377</v>
      </c>
      <c r="C795" t="s">
        <v>372</v>
      </c>
      <c r="D795" t="s">
        <v>60</v>
      </c>
      <c r="E795" t="s">
        <v>1377</v>
      </c>
      <c r="F795" s="134">
        <v>0.31984953703703706</v>
      </c>
      <c r="G795" t="s">
        <v>1373</v>
      </c>
      <c r="H795" t="s">
        <v>1374</v>
      </c>
    </row>
    <row r="796" spans="1:8">
      <c r="A796">
        <v>9957527</v>
      </c>
      <c r="B796" t="s">
        <v>377</v>
      </c>
      <c r="C796" t="s">
        <v>372</v>
      </c>
      <c r="D796" t="s">
        <v>60</v>
      </c>
      <c r="E796" t="s">
        <v>1377</v>
      </c>
      <c r="F796" s="134">
        <v>0.89314814814814814</v>
      </c>
      <c r="G796" t="s">
        <v>1371</v>
      </c>
      <c r="H796" t="s">
        <v>1372</v>
      </c>
    </row>
    <row r="797" spans="1:8">
      <c r="A797">
        <v>9957527</v>
      </c>
      <c r="B797" t="s">
        <v>377</v>
      </c>
      <c r="C797" t="s">
        <v>372</v>
      </c>
      <c r="D797" t="s">
        <v>60</v>
      </c>
      <c r="E797" t="s">
        <v>1378</v>
      </c>
      <c r="F797" s="134">
        <v>0.31983796296296296</v>
      </c>
      <c r="G797" t="s">
        <v>1373</v>
      </c>
      <c r="H797" t="s">
        <v>1374</v>
      </c>
    </row>
    <row r="798" spans="1:8">
      <c r="A798">
        <v>9957527</v>
      </c>
      <c r="B798" t="s">
        <v>377</v>
      </c>
      <c r="C798" t="s">
        <v>372</v>
      </c>
      <c r="D798" t="s">
        <v>60</v>
      </c>
      <c r="E798" t="s">
        <v>1378</v>
      </c>
      <c r="F798" s="134">
        <v>0.90386574074074078</v>
      </c>
      <c r="G798" t="s">
        <v>1371</v>
      </c>
      <c r="H798" t="s">
        <v>1372</v>
      </c>
    </row>
    <row r="799" spans="1:8">
      <c r="A799">
        <v>9957527</v>
      </c>
      <c r="B799" t="s">
        <v>377</v>
      </c>
      <c r="C799" t="s">
        <v>372</v>
      </c>
      <c r="D799" t="s">
        <v>60</v>
      </c>
      <c r="E799" t="s">
        <v>1379</v>
      </c>
      <c r="F799" s="134">
        <v>0.3168287037037037</v>
      </c>
      <c r="G799" t="s">
        <v>1373</v>
      </c>
      <c r="H799" t="s">
        <v>1374</v>
      </c>
    </row>
    <row r="800" spans="1:8">
      <c r="A800">
        <v>9989723</v>
      </c>
      <c r="B800" t="s">
        <v>511</v>
      </c>
      <c r="C800" t="s">
        <v>509</v>
      </c>
      <c r="D800" t="s">
        <v>510</v>
      </c>
      <c r="E800" t="s">
        <v>1370</v>
      </c>
      <c r="F800" s="134">
        <v>0.60594907407407406</v>
      </c>
      <c r="G800" t="s">
        <v>1371</v>
      </c>
      <c r="H800" t="s">
        <v>1372</v>
      </c>
    </row>
    <row r="801" spans="1:8">
      <c r="A801">
        <v>9989723</v>
      </c>
      <c r="B801" t="s">
        <v>511</v>
      </c>
      <c r="C801" t="s">
        <v>509</v>
      </c>
      <c r="D801" t="s">
        <v>510</v>
      </c>
      <c r="E801" t="s">
        <v>1370</v>
      </c>
      <c r="F801" s="134">
        <v>0.93899305555555557</v>
      </c>
      <c r="G801" t="s">
        <v>1373</v>
      </c>
      <c r="H801" t="s">
        <v>1374</v>
      </c>
    </row>
    <row r="802" spans="1:8">
      <c r="A802">
        <v>9989723</v>
      </c>
      <c r="B802" t="s">
        <v>511</v>
      </c>
      <c r="C802" t="s">
        <v>509</v>
      </c>
      <c r="D802" t="s">
        <v>510</v>
      </c>
      <c r="E802" t="s">
        <v>1375</v>
      </c>
      <c r="F802" s="134">
        <v>0.6071643518518518</v>
      </c>
      <c r="G802" t="s">
        <v>1371</v>
      </c>
      <c r="H802" t="s">
        <v>1372</v>
      </c>
    </row>
    <row r="803" spans="1:8">
      <c r="A803">
        <v>9989723</v>
      </c>
      <c r="B803" t="s">
        <v>511</v>
      </c>
      <c r="C803" t="s">
        <v>509</v>
      </c>
      <c r="D803" t="s">
        <v>510</v>
      </c>
      <c r="E803" t="s">
        <v>1375</v>
      </c>
      <c r="F803" s="134">
        <v>0.95063657407407398</v>
      </c>
      <c r="G803" t="s">
        <v>1373</v>
      </c>
      <c r="H803" t="s">
        <v>1374</v>
      </c>
    </row>
    <row r="804" spans="1:8">
      <c r="A804">
        <v>9989723</v>
      </c>
      <c r="B804" t="s">
        <v>511</v>
      </c>
      <c r="C804" t="s">
        <v>509</v>
      </c>
      <c r="D804" t="s">
        <v>510</v>
      </c>
      <c r="E804" t="s">
        <v>1376</v>
      </c>
      <c r="F804" s="134">
        <v>0.95219907407407411</v>
      </c>
      <c r="G804" t="s">
        <v>1373</v>
      </c>
      <c r="H804" t="s">
        <v>1374</v>
      </c>
    </row>
    <row r="805" spans="1:8">
      <c r="A805">
        <v>9989723</v>
      </c>
      <c r="B805" t="s">
        <v>511</v>
      </c>
      <c r="C805" t="s">
        <v>509</v>
      </c>
      <c r="D805" t="s">
        <v>510</v>
      </c>
      <c r="E805" t="s">
        <v>1376</v>
      </c>
      <c r="F805" s="134">
        <v>0.60782407407407402</v>
      </c>
      <c r="G805" t="s">
        <v>1371</v>
      </c>
      <c r="H805" t="s">
        <v>1372</v>
      </c>
    </row>
    <row r="806" spans="1:8">
      <c r="A806">
        <v>9989723</v>
      </c>
      <c r="B806" t="s">
        <v>511</v>
      </c>
      <c r="C806" t="s">
        <v>509</v>
      </c>
      <c r="D806" t="s">
        <v>510</v>
      </c>
      <c r="E806" t="s">
        <v>1377</v>
      </c>
      <c r="F806" s="134">
        <v>0.60555555555555551</v>
      </c>
      <c r="G806" t="s">
        <v>1371</v>
      </c>
      <c r="H806" t="s">
        <v>1372</v>
      </c>
    </row>
    <row r="807" spans="1:8">
      <c r="A807">
        <v>9989723</v>
      </c>
      <c r="B807" t="s">
        <v>511</v>
      </c>
      <c r="C807" t="s">
        <v>509</v>
      </c>
      <c r="D807" t="s">
        <v>510</v>
      </c>
      <c r="E807" t="s">
        <v>1377</v>
      </c>
      <c r="F807" s="134">
        <v>0.94802083333333342</v>
      </c>
      <c r="G807" t="s">
        <v>1373</v>
      </c>
      <c r="H807" t="s">
        <v>1374</v>
      </c>
    </row>
    <row r="808" spans="1:8">
      <c r="A808">
        <v>9989723</v>
      </c>
      <c r="B808" t="s">
        <v>511</v>
      </c>
      <c r="C808" t="s">
        <v>509</v>
      </c>
      <c r="D808" t="s">
        <v>510</v>
      </c>
      <c r="E808" t="s">
        <v>1378</v>
      </c>
      <c r="F808" s="134">
        <v>0.57892361111111112</v>
      </c>
      <c r="G808" t="s">
        <v>1371</v>
      </c>
      <c r="H808" t="s">
        <v>1372</v>
      </c>
    </row>
    <row r="809" spans="1:8">
      <c r="A809">
        <v>9989723</v>
      </c>
      <c r="B809" t="s">
        <v>511</v>
      </c>
      <c r="C809" t="s">
        <v>509</v>
      </c>
      <c r="D809" t="s">
        <v>510</v>
      </c>
      <c r="E809" t="s">
        <v>1378</v>
      </c>
      <c r="F809" s="134">
        <v>0.94354166666666661</v>
      </c>
      <c r="G809" t="s">
        <v>1373</v>
      </c>
      <c r="H809" t="s">
        <v>1374</v>
      </c>
    </row>
    <row r="810" spans="1:8">
      <c r="A810">
        <v>9989723</v>
      </c>
      <c r="B810" t="s">
        <v>511</v>
      </c>
      <c r="C810" t="s">
        <v>509</v>
      </c>
      <c r="D810" t="s">
        <v>510</v>
      </c>
      <c r="E810" t="s">
        <v>1379</v>
      </c>
      <c r="F810" s="134">
        <v>0.62666666666666659</v>
      </c>
      <c r="G810" t="s">
        <v>1371</v>
      </c>
      <c r="H810" t="s">
        <v>1372</v>
      </c>
    </row>
    <row r="811" spans="1:8">
      <c r="A811">
        <v>9989723</v>
      </c>
      <c r="B811" t="s">
        <v>511</v>
      </c>
      <c r="C811" t="s">
        <v>509</v>
      </c>
      <c r="D811" t="s">
        <v>510</v>
      </c>
      <c r="E811" t="s">
        <v>1379</v>
      </c>
      <c r="F811" s="134">
        <v>0.90689814814814806</v>
      </c>
      <c r="G811" t="s">
        <v>1373</v>
      </c>
      <c r="H811" t="s">
        <v>1374</v>
      </c>
    </row>
    <row r="812" spans="1:8">
      <c r="A812">
        <v>10033627</v>
      </c>
      <c r="B812" t="s">
        <v>225</v>
      </c>
      <c r="C812" t="s">
        <v>1218</v>
      </c>
      <c r="D812" t="s">
        <v>397</v>
      </c>
      <c r="E812" t="s">
        <v>1370</v>
      </c>
      <c r="F812" s="134">
        <v>0.91870370370370369</v>
      </c>
      <c r="G812" t="s">
        <v>1371</v>
      </c>
      <c r="H812" t="s">
        <v>1372</v>
      </c>
    </row>
    <row r="813" spans="1:8">
      <c r="A813">
        <v>10033627</v>
      </c>
      <c r="B813" t="s">
        <v>225</v>
      </c>
      <c r="C813" t="s">
        <v>1218</v>
      </c>
      <c r="D813" t="s">
        <v>397</v>
      </c>
      <c r="E813" t="s">
        <v>1375</v>
      </c>
      <c r="F813" s="134">
        <v>0.32467592592592592</v>
      </c>
      <c r="G813" t="s">
        <v>1373</v>
      </c>
      <c r="H813" t="s">
        <v>1374</v>
      </c>
    </row>
    <row r="814" spans="1:8">
      <c r="A814">
        <v>10033627</v>
      </c>
      <c r="B814" t="s">
        <v>225</v>
      </c>
      <c r="C814" t="s">
        <v>1218</v>
      </c>
      <c r="D814" t="s">
        <v>397</v>
      </c>
      <c r="E814" t="s">
        <v>1375</v>
      </c>
      <c r="F814" s="134">
        <v>0.91949074074074078</v>
      </c>
      <c r="G814" t="s">
        <v>1371</v>
      </c>
      <c r="H814" t="s">
        <v>1372</v>
      </c>
    </row>
    <row r="815" spans="1:8">
      <c r="A815">
        <v>10033627</v>
      </c>
      <c r="B815" t="s">
        <v>225</v>
      </c>
      <c r="C815" t="s">
        <v>1218</v>
      </c>
      <c r="D815" t="s">
        <v>397</v>
      </c>
      <c r="E815" t="s">
        <v>1376</v>
      </c>
      <c r="F815" s="134">
        <v>0.32179398148148147</v>
      </c>
      <c r="G815" t="s">
        <v>1373</v>
      </c>
      <c r="H815" t="s">
        <v>1374</v>
      </c>
    </row>
    <row r="816" spans="1:8">
      <c r="A816">
        <v>10033627</v>
      </c>
      <c r="B816" t="s">
        <v>225</v>
      </c>
      <c r="C816" t="s">
        <v>1218</v>
      </c>
      <c r="D816" t="s">
        <v>397</v>
      </c>
      <c r="E816" t="s">
        <v>1376</v>
      </c>
      <c r="F816" s="134">
        <v>0.9202893518518519</v>
      </c>
      <c r="G816" t="s">
        <v>1371</v>
      </c>
      <c r="H816" t="s">
        <v>1372</v>
      </c>
    </row>
    <row r="817" spans="1:8">
      <c r="A817">
        <v>10033627</v>
      </c>
      <c r="B817" t="s">
        <v>225</v>
      </c>
      <c r="C817" t="s">
        <v>1218</v>
      </c>
      <c r="D817" t="s">
        <v>397</v>
      </c>
      <c r="E817" t="s">
        <v>1377</v>
      </c>
      <c r="F817" s="134">
        <v>0.31892361111111112</v>
      </c>
      <c r="G817" t="s">
        <v>1373</v>
      </c>
      <c r="H817" t="s">
        <v>1374</v>
      </c>
    </row>
    <row r="818" spans="1:8">
      <c r="A818">
        <v>10033627</v>
      </c>
      <c r="B818" t="s">
        <v>225</v>
      </c>
      <c r="C818" t="s">
        <v>1218</v>
      </c>
      <c r="D818" t="s">
        <v>397</v>
      </c>
      <c r="E818" t="s">
        <v>1377</v>
      </c>
      <c r="F818" s="134">
        <v>0.92064814814814822</v>
      </c>
      <c r="G818" t="s">
        <v>1371</v>
      </c>
      <c r="H818" t="s">
        <v>1372</v>
      </c>
    </row>
    <row r="819" spans="1:8">
      <c r="A819">
        <v>10033627</v>
      </c>
      <c r="B819" t="s">
        <v>225</v>
      </c>
      <c r="C819" t="s">
        <v>1218</v>
      </c>
      <c r="D819" t="s">
        <v>397</v>
      </c>
      <c r="E819" t="s">
        <v>1378</v>
      </c>
      <c r="F819" s="134">
        <v>0.31934027777777779</v>
      </c>
      <c r="G819" t="s">
        <v>1373</v>
      </c>
      <c r="H819" t="s">
        <v>1374</v>
      </c>
    </row>
    <row r="820" spans="1:8">
      <c r="A820">
        <v>10033627</v>
      </c>
      <c r="B820" t="s">
        <v>225</v>
      </c>
      <c r="C820" t="s">
        <v>1218</v>
      </c>
      <c r="D820" t="s">
        <v>397</v>
      </c>
      <c r="E820" t="s">
        <v>1378</v>
      </c>
      <c r="F820" s="134">
        <v>0.92098379629629623</v>
      </c>
      <c r="G820" t="s">
        <v>1371</v>
      </c>
      <c r="H820" t="s">
        <v>1372</v>
      </c>
    </row>
    <row r="821" spans="1:8">
      <c r="A821">
        <v>10033627</v>
      </c>
      <c r="B821" t="s">
        <v>225</v>
      </c>
      <c r="C821" t="s">
        <v>1218</v>
      </c>
      <c r="D821" t="s">
        <v>397</v>
      </c>
      <c r="E821" t="s">
        <v>1379</v>
      </c>
      <c r="F821" s="134">
        <v>0.32001157407407405</v>
      </c>
      <c r="G821" t="s">
        <v>1373</v>
      </c>
      <c r="H821" t="s">
        <v>1374</v>
      </c>
    </row>
    <row r="822" spans="1:8">
      <c r="A822">
        <v>10042860</v>
      </c>
      <c r="B822" t="s">
        <v>1243</v>
      </c>
      <c r="C822" t="s">
        <v>1242</v>
      </c>
      <c r="D822" t="s">
        <v>474</v>
      </c>
      <c r="E822" t="s">
        <v>1370</v>
      </c>
      <c r="F822" s="134">
        <v>0.60586805555555556</v>
      </c>
      <c r="G822" t="s">
        <v>1371</v>
      </c>
      <c r="H822" t="s">
        <v>1372</v>
      </c>
    </row>
    <row r="823" spans="1:8">
      <c r="A823">
        <v>10042860</v>
      </c>
      <c r="B823" t="s">
        <v>1243</v>
      </c>
      <c r="C823" t="s">
        <v>1242</v>
      </c>
      <c r="D823" t="s">
        <v>474</v>
      </c>
      <c r="E823" t="s">
        <v>1370</v>
      </c>
      <c r="F823" s="134">
        <v>0.94912037037037045</v>
      </c>
      <c r="G823" t="s">
        <v>1373</v>
      </c>
      <c r="H823" t="s">
        <v>1374</v>
      </c>
    </row>
    <row r="824" spans="1:8">
      <c r="A824">
        <v>10042860</v>
      </c>
      <c r="B824" t="s">
        <v>1243</v>
      </c>
      <c r="C824" t="s">
        <v>1242</v>
      </c>
      <c r="D824" t="s">
        <v>474</v>
      </c>
      <c r="E824" t="s">
        <v>1375</v>
      </c>
      <c r="F824" s="134">
        <v>0.60696759259259259</v>
      </c>
      <c r="G824" t="s">
        <v>1371</v>
      </c>
      <c r="H824" t="s">
        <v>1372</v>
      </c>
    </row>
    <row r="825" spans="1:8">
      <c r="A825">
        <v>10042860</v>
      </c>
      <c r="B825" t="s">
        <v>1243</v>
      </c>
      <c r="C825" t="s">
        <v>1242</v>
      </c>
      <c r="D825" t="s">
        <v>474</v>
      </c>
      <c r="E825" t="s">
        <v>1375</v>
      </c>
      <c r="F825" s="134">
        <v>0.94956018518518526</v>
      </c>
      <c r="G825" t="s">
        <v>1373</v>
      </c>
      <c r="H825" t="s">
        <v>1374</v>
      </c>
    </row>
    <row r="826" spans="1:8">
      <c r="A826">
        <v>10042860</v>
      </c>
      <c r="B826" t="s">
        <v>1243</v>
      </c>
      <c r="C826" t="s">
        <v>1242</v>
      </c>
      <c r="D826" t="s">
        <v>474</v>
      </c>
      <c r="E826" t="s">
        <v>1376</v>
      </c>
      <c r="F826" s="134">
        <v>0.94790509259259259</v>
      </c>
      <c r="G826" t="s">
        <v>1373</v>
      </c>
      <c r="H826" t="s">
        <v>1374</v>
      </c>
    </row>
    <row r="827" spans="1:8">
      <c r="A827">
        <v>10042860</v>
      </c>
      <c r="B827" t="s">
        <v>1243</v>
      </c>
      <c r="C827" t="s">
        <v>1242</v>
      </c>
      <c r="D827" t="s">
        <v>474</v>
      </c>
      <c r="E827" t="s">
        <v>1376</v>
      </c>
      <c r="F827" s="134">
        <v>0.60774305555555552</v>
      </c>
      <c r="G827" t="s">
        <v>1371</v>
      </c>
      <c r="H827" t="s">
        <v>1372</v>
      </c>
    </row>
    <row r="828" spans="1:8">
      <c r="A828">
        <v>10042860</v>
      </c>
      <c r="B828" t="s">
        <v>1243</v>
      </c>
      <c r="C828" t="s">
        <v>1242</v>
      </c>
      <c r="D828" t="s">
        <v>474</v>
      </c>
      <c r="E828" t="s">
        <v>1377</v>
      </c>
      <c r="F828" s="134">
        <v>0.60608796296296297</v>
      </c>
      <c r="G828" t="s">
        <v>1371</v>
      </c>
      <c r="H828" t="s">
        <v>1372</v>
      </c>
    </row>
    <row r="829" spans="1:8">
      <c r="A829">
        <v>10042860</v>
      </c>
      <c r="B829" t="s">
        <v>1243</v>
      </c>
      <c r="C829" t="s">
        <v>1242</v>
      </c>
      <c r="D829" t="s">
        <v>474</v>
      </c>
      <c r="E829" t="s">
        <v>1377</v>
      </c>
      <c r="F829" s="134">
        <v>0.94906250000000003</v>
      </c>
      <c r="G829" t="s">
        <v>1373</v>
      </c>
      <c r="H829" t="s">
        <v>1374</v>
      </c>
    </row>
    <row r="830" spans="1:8">
      <c r="A830">
        <v>10042860</v>
      </c>
      <c r="B830" t="s">
        <v>1243</v>
      </c>
      <c r="C830" t="s">
        <v>1242</v>
      </c>
      <c r="D830" t="s">
        <v>474</v>
      </c>
      <c r="E830" t="s">
        <v>1378</v>
      </c>
      <c r="F830" s="134">
        <v>0.60725694444444445</v>
      </c>
      <c r="G830" t="s">
        <v>1371</v>
      </c>
      <c r="H830" t="s">
        <v>1372</v>
      </c>
    </row>
    <row r="831" spans="1:8">
      <c r="A831">
        <v>10042860</v>
      </c>
      <c r="B831" t="s">
        <v>1243</v>
      </c>
      <c r="C831" t="s">
        <v>1242</v>
      </c>
      <c r="D831" t="s">
        <v>474</v>
      </c>
      <c r="E831" t="s">
        <v>1378</v>
      </c>
      <c r="F831" s="134">
        <v>0.94856481481481481</v>
      </c>
      <c r="G831" t="s">
        <v>1373</v>
      </c>
      <c r="H831" t="s">
        <v>1374</v>
      </c>
    </row>
    <row r="832" spans="1:8">
      <c r="A832">
        <v>10042860</v>
      </c>
      <c r="B832" t="s">
        <v>1243</v>
      </c>
      <c r="C832" t="s">
        <v>1242</v>
      </c>
      <c r="D832" t="s">
        <v>474</v>
      </c>
      <c r="E832" t="s">
        <v>1379</v>
      </c>
      <c r="F832" s="134">
        <v>0.61424768518518513</v>
      </c>
      <c r="G832" t="s">
        <v>1371</v>
      </c>
      <c r="H832" t="s">
        <v>1372</v>
      </c>
    </row>
    <row r="833" spans="1:8">
      <c r="A833">
        <v>10042860</v>
      </c>
      <c r="B833" t="s">
        <v>1243</v>
      </c>
      <c r="C833" t="s">
        <v>1242</v>
      </c>
      <c r="D833" t="s">
        <v>474</v>
      </c>
      <c r="E833" t="s">
        <v>1379</v>
      </c>
      <c r="F833" s="134">
        <v>0.94891203703703697</v>
      </c>
      <c r="G833" t="s">
        <v>1373</v>
      </c>
      <c r="H833" t="s">
        <v>1374</v>
      </c>
    </row>
    <row r="834" spans="1:8">
      <c r="A834">
        <v>10042994</v>
      </c>
      <c r="B834" t="s">
        <v>1167</v>
      </c>
      <c r="C834" t="s">
        <v>1165</v>
      </c>
      <c r="D834" t="s">
        <v>1166</v>
      </c>
      <c r="E834" t="s">
        <v>1370</v>
      </c>
      <c r="F834" s="134">
        <v>0.29547453703703702</v>
      </c>
      <c r="G834" t="s">
        <v>1371</v>
      </c>
      <c r="H834" t="s">
        <v>1372</v>
      </c>
    </row>
    <row r="835" spans="1:8">
      <c r="A835">
        <v>10042994</v>
      </c>
      <c r="B835" t="s">
        <v>1167</v>
      </c>
      <c r="C835" t="s">
        <v>1165</v>
      </c>
      <c r="D835" t="s">
        <v>1166</v>
      </c>
      <c r="E835" t="s">
        <v>1370</v>
      </c>
      <c r="F835" s="134">
        <v>0.63884259259259257</v>
      </c>
      <c r="G835" t="s">
        <v>1373</v>
      </c>
      <c r="H835" t="s">
        <v>1374</v>
      </c>
    </row>
    <row r="836" spans="1:8">
      <c r="A836">
        <v>10042994</v>
      </c>
      <c r="B836" t="s">
        <v>1167</v>
      </c>
      <c r="C836" t="s">
        <v>1165</v>
      </c>
      <c r="D836" t="s">
        <v>1166</v>
      </c>
      <c r="E836" t="s">
        <v>1375</v>
      </c>
      <c r="F836" s="134">
        <v>0.29534722222222221</v>
      </c>
      <c r="G836" t="s">
        <v>1371</v>
      </c>
      <c r="H836" t="s">
        <v>1372</v>
      </c>
    </row>
    <row r="837" spans="1:8">
      <c r="A837">
        <v>10042994</v>
      </c>
      <c r="B837" t="s">
        <v>1167</v>
      </c>
      <c r="C837" t="s">
        <v>1165</v>
      </c>
      <c r="D837" t="s">
        <v>1166</v>
      </c>
      <c r="E837" t="s">
        <v>1375</v>
      </c>
      <c r="F837" s="134">
        <v>0.64109953703703704</v>
      </c>
      <c r="G837" t="s">
        <v>1373</v>
      </c>
      <c r="H837" t="s">
        <v>1374</v>
      </c>
    </row>
    <row r="838" spans="1:8">
      <c r="A838">
        <v>10042994</v>
      </c>
      <c r="B838" t="s">
        <v>1167</v>
      </c>
      <c r="C838" t="s">
        <v>1165</v>
      </c>
      <c r="D838" t="s">
        <v>1166</v>
      </c>
      <c r="E838" t="s">
        <v>1376</v>
      </c>
      <c r="F838" s="134">
        <v>0.63944444444444448</v>
      </c>
      <c r="G838" t="s">
        <v>1373</v>
      </c>
      <c r="H838" t="s">
        <v>1374</v>
      </c>
    </row>
    <row r="839" spans="1:8">
      <c r="A839">
        <v>10042994</v>
      </c>
      <c r="B839" t="s">
        <v>1167</v>
      </c>
      <c r="C839" t="s">
        <v>1165</v>
      </c>
      <c r="D839" t="s">
        <v>1166</v>
      </c>
      <c r="E839" t="s">
        <v>1376</v>
      </c>
      <c r="F839" s="134">
        <v>0.29657407407407405</v>
      </c>
      <c r="G839" t="s">
        <v>1371</v>
      </c>
      <c r="H839" t="s">
        <v>1372</v>
      </c>
    </row>
    <row r="840" spans="1:8">
      <c r="A840">
        <v>10042994</v>
      </c>
      <c r="B840" t="s">
        <v>1167</v>
      </c>
      <c r="C840" t="s">
        <v>1165</v>
      </c>
      <c r="D840" t="s">
        <v>1166</v>
      </c>
      <c r="E840" t="s">
        <v>1377</v>
      </c>
      <c r="F840" s="134">
        <v>0.29930555555555555</v>
      </c>
      <c r="G840" t="s">
        <v>1371</v>
      </c>
      <c r="H840" t="s">
        <v>1372</v>
      </c>
    </row>
    <row r="841" spans="1:8">
      <c r="A841">
        <v>10042994</v>
      </c>
      <c r="B841" t="s">
        <v>1167</v>
      </c>
      <c r="C841" t="s">
        <v>1165</v>
      </c>
      <c r="D841" t="s">
        <v>1166</v>
      </c>
      <c r="E841" t="s">
        <v>1377</v>
      </c>
      <c r="F841" s="134">
        <v>0.64018518518518519</v>
      </c>
      <c r="G841" t="s">
        <v>1373</v>
      </c>
      <c r="H841" t="s">
        <v>1374</v>
      </c>
    </row>
    <row r="842" spans="1:8">
      <c r="A842">
        <v>10042994</v>
      </c>
      <c r="B842" t="s">
        <v>1167</v>
      </c>
      <c r="C842" t="s">
        <v>1165</v>
      </c>
      <c r="D842" t="s">
        <v>1166</v>
      </c>
      <c r="E842" t="s">
        <v>1378</v>
      </c>
      <c r="F842" s="134">
        <v>0.29670138888888892</v>
      </c>
      <c r="G842" t="s">
        <v>1371</v>
      </c>
      <c r="H842" t="s">
        <v>1372</v>
      </c>
    </row>
    <row r="843" spans="1:8">
      <c r="A843">
        <v>10042994</v>
      </c>
      <c r="B843" t="s">
        <v>1167</v>
      </c>
      <c r="C843" t="s">
        <v>1165</v>
      </c>
      <c r="D843" t="s">
        <v>1166</v>
      </c>
      <c r="E843" t="s">
        <v>1378</v>
      </c>
      <c r="F843" s="134">
        <v>0.63954861111111116</v>
      </c>
      <c r="G843" t="s">
        <v>1373</v>
      </c>
      <c r="H843" t="s">
        <v>1374</v>
      </c>
    </row>
    <row r="844" spans="1:8">
      <c r="A844">
        <v>10042994</v>
      </c>
      <c r="B844" t="s">
        <v>1167</v>
      </c>
      <c r="C844" t="s">
        <v>1165</v>
      </c>
      <c r="D844" t="s">
        <v>1166</v>
      </c>
      <c r="E844" t="s">
        <v>1379</v>
      </c>
      <c r="F844" s="134">
        <v>0.30349537037037039</v>
      </c>
      <c r="G844" t="s">
        <v>1371</v>
      </c>
      <c r="H844" t="s">
        <v>1372</v>
      </c>
    </row>
    <row r="845" spans="1:8">
      <c r="A845">
        <v>10042994</v>
      </c>
      <c r="B845" t="s">
        <v>1167</v>
      </c>
      <c r="C845" t="s">
        <v>1165</v>
      </c>
      <c r="D845" t="s">
        <v>1166</v>
      </c>
      <c r="E845" t="s">
        <v>1379</v>
      </c>
      <c r="F845" s="134">
        <v>0.57150462962962967</v>
      </c>
      <c r="G845" t="s">
        <v>1373</v>
      </c>
      <c r="H845" t="s">
        <v>1374</v>
      </c>
    </row>
    <row r="846" spans="1:8">
      <c r="A846">
        <v>10116815</v>
      </c>
      <c r="B846" t="s">
        <v>201</v>
      </c>
      <c r="C846" t="s">
        <v>200</v>
      </c>
      <c r="D846" t="s">
        <v>43</v>
      </c>
      <c r="E846" t="s">
        <v>1370</v>
      </c>
      <c r="F846" s="134">
        <v>0.6074074074074074</v>
      </c>
      <c r="G846" t="s">
        <v>1371</v>
      </c>
      <c r="H846" t="s">
        <v>1372</v>
      </c>
    </row>
    <row r="847" spans="1:8">
      <c r="A847">
        <v>10116815</v>
      </c>
      <c r="B847" t="s">
        <v>201</v>
      </c>
      <c r="C847" t="s">
        <v>200</v>
      </c>
      <c r="D847" t="s">
        <v>43</v>
      </c>
      <c r="E847" t="s">
        <v>1370</v>
      </c>
      <c r="F847" s="134">
        <v>0.94666666666666666</v>
      </c>
      <c r="G847" t="s">
        <v>1373</v>
      </c>
      <c r="H847" t="s">
        <v>1374</v>
      </c>
    </row>
    <row r="848" spans="1:8">
      <c r="A848">
        <v>10116815</v>
      </c>
      <c r="B848" t="s">
        <v>201</v>
      </c>
      <c r="C848" t="s">
        <v>200</v>
      </c>
      <c r="D848" t="s">
        <v>43</v>
      </c>
      <c r="E848" t="s">
        <v>1375</v>
      </c>
      <c r="F848" s="134">
        <v>0.6100578703703704</v>
      </c>
      <c r="G848" t="s">
        <v>1371</v>
      </c>
      <c r="H848" t="s">
        <v>1372</v>
      </c>
    </row>
    <row r="849" spans="1:8">
      <c r="A849">
        <v>10116815</v>
      </c>
      <c r="B849" t="s">
        <v>201</v>
      </c>
      <c r="C849" t="s">
        <v>200</v>
      </c>
      <c r="D849" t="s">
        <v>43</v>
      </c>
      <c r="E849" t="s">
        <v>1375</v>
      </c>
      <c r="F849" s="134">
        <v>0.94706018518518509</v>
      </c>
      <c r="G849" t="s">
        <v>1373</v>
      </c>
      <c r="H849" t="s">
        <v>1374</v>
      </c>
    </row>
    <row r="850" spans="1:8">
      <c r="A850">
        <v>10116815</v>
      </c>
      <c r="B850" t="s">
        <v>201</v>
      </c>
      <c r="C850" t="s">
        <v>200</v>
      </c>
      <c r="D850" t="s">
        <v>43</v>
      </c>
      <c r="E850" t="s">
        <v>1376</v>
      </c>
      <c r="F850" s="134">
        <v>0.94464120370370364</v>
      </c>
      <c r="G850" t="s">
        <v>1373</v>
      </c>
      <c r="H850" t="s">
        <v>1374</v>
      </c>
    </row>
    <row r="851" spans="1:8">
      <c r="A851">
        <v>10116815</v>
      </c>
      <c r="B851" t="s">
        <v>201</v>
      </c>
      <c r="C851" t="s">
        <v>200</v>
      </c>
      <c r="D851" t="s">
        <v>43</v>
      </c>
      <c r="E851" t="s">
        <v>1376</v>
      </c>
      <c r="F851" s="134">
        <v>0.60758101851851853</v>
      </c>
      <c r="G851" t="s">
        <v>1371</v>
      </c>
      <c r="H851" t="s">
        <v>1372</v>
      </c>
    </row>
    <row r="852" spans="1:8">
      <c r="A852">
        <v>10116815</v>
      </c>
      <c r="B852" t="s">
        <v>201</v>
      </c>
      <c r="C852" t="s">
        <v>200</v>
      </c>
      <c r="D852" t="s">
        <v>43</v>
      </c>
      <c r="E852" t="s">
        <v>1377</v>
      </c>
      <c r="F852" s="134">
        <v>0.6074074074074074</v>
      </c>
      <c r="G852" t="s">
        <v>1371</v>
      </c>
      <c r="H852" t="s">
        <v>1372</v>
      </c>
    </row>
    <row r="853" spans="1:8">
      <c r="A853">
        <v>10116815</v>
      </c>
      <c r="B853" t="s">
        <v>201</v>
      </c>
      <c r="C853" t="s">
        <v>200</v>
      </c>
      <c r="D853" t="s">
        <v>43</v>
      </c>
      <c r="E853" t="s">
        <v>1377</v>
      </c>
      <c r="F853" s="134">
        <v>0.94696759259259267</v>
      </c>
      <c r="G853" t="s">
        <v>1373</v>
      </c>
      <c r="H853" t="s">
        <v>1374</v>
      </c>
    </row>
    <row r="854" spans="1:8">
      <c r="A854">
        <v>10116815</v>
      </c>
      <c r="B854" t="s">
        <v>201</v>
      </c>
      <c r="C854" t="s">
        <v>200</v>
      </c>
      <c r="D854" t="s">
        <v>43</v>
      </c>
      <c r="E854" t="s">
        <v>1378</v>
      </c>
      <c r="F854" s="134">
        <v>0.60862268518518514</v>
      </c>
      <c r="G854" t="s">
        <v>1371</v>
      </c>
      <c r="H854" t="s">
        <v>1372</v>
      </c>
    </row>
    <row r="855" spans="1:8">
      <c r="A855">
        <v>10116815</v>
      </c>
      <c r="B855" t="s">
        <v>201</v>
      </c>
      <c r="C855" t="s">
        <v>200</v>
      </c>
      <c r="D855" t="s">
        <v>43</v>
      </c>
      <c r="E855" t="s">
        <v>1378</v>
      </c>
      <c r="F855" s="134">
        <v>0.9447106481481482</v>
      </c>
      <c r="G855" t="s">
        <v>1373</v>
      </c>
      <c r="H855" t="s">
        <v>1374</v>
      </c>
    </row>
    <row r="856" spans="1:8">
      <c r="A856">
        <v>10116815</v>
      </c>
      <c r="B856" t="s">
        <v>201</v>
      </c>
      <c r="C856" t="s">
        <v>200</v>
      </c>
      <c r="D856" t="s">
        <v>43</v>
      </c>
      <c r="E856" t="s">
        <v>1379</v>
      </c>
      <c r="F856" s="134">
        <v>0.60906249999999995</v>
      </c>
      <c r="G856" t="s">
        <v>1371</v>
      </c>
      <c r="H856" t="s">
        <v>1372</v>
      </c>
    </row>
    <row r="857" spans="1:8">
      <c r="A857">
        <v>10116815</v>
      </c>
      <c r="B857" t="s">
        <v>201</v>
      </c>
      <c r="C857" t="s">
        <v>200</v>
      </c>
      <c r="D857" t="s">
        <v>43</v>
      </c>
      <c r="E857" t="s">
        <v>1379</v>
      </c>
      <c r="F857" s="134">
        <v>0.9367361111111111</v>
      </c>
      <c r="G857" t="s">
        <v>1373</v>
      </c>
      <c r="H857" t="s">
        <v>1374</v>
      </c>
    </row>
    <row r="858" spans="1:8">
      <c r="A858">
        <v>10157067</v>
      </c>
      <c r="B858" t="s">
        <v>642</v>
      </c>
      <c r="C858" t="s">
        <v>398</v>
      </c>
      <c r="D858" t="s">
        <v>641</v>
      </c>
      <c r="E858" t="s">
        <v>1370</v>
      </c>
      <c r="F858" s="134">
        <v>0.2940740740740741</v>
      </c>
      <c r="G858" t="s">
        <v>1371</v>
      </c>
      <c r="H858" t="s">
        <v>1372</v>
      </c>
    </row>
    <row r="859" spans="1:8">
      <c r="A859">
        <v>10157067</v>
      </c>
      <c r="B859" t="s">
        <v>642</v>
      </c>
      <c r="C859" t="s">
        <v>398</v>
      </c>
      <c r="D859" t="s">
        <v>641</v>
      </c>
      <c r="E859" t="s">
        <v>1370</v>
      </c>
      <c r="F859" s="134">
        <v>0.63672453703703702</v>
      </c>
      <c r="G859" t="s">
        <v>1373</v>
      </c>
      <c r="H859" t="s">
        <v>1374</v>
      </c>
    </row>
    <row r="860" spans="1:8">
      <c r="A860">
        <v>10157067</v>
      </c>
      <c r="B860" t="s">
        <v>642</v>
      </c>
      <c r="C860" t="s">
        <v>398</v>
      </c>
      <c r="D860" t="s">
        <v>641</v>
      </c>
      <c r="E860" t="s">
        <v>1375</v>
      </c>
      <c r="F860" s="134">
        <v>0.29447916666666668</v>
      </c>
      <c r="G860" t="s">
        <v>1371</v>
      </c>
      <c r="H860" t="s">
        <v>1372</v>
      </c>
    </row>
    <row r="861" spans="1:8">
      <c r="A861">
        <v>10157067</v>
      </c>
      <c r="B861" t="s">
        <v>642</v>
      </c>
      <c r="C861" t="s">
        <v>398</v>
      </c>
      <c r="D861" t="s">
        <v>641</v>
      </c>
      <c r="E861" t="s">
        <v>1375</v>
      </c>
      <c r="F861" s="134">
        <v>0.63718750000000002</v>
      </c>
      <c r="G861" t="s">
        <v>1373</v>
      </c>
      <c r="H861" t="s">
        <v>1374</v>
      </c>
    </row>
    <row r="862" spans="1:8">
      <c r="A862">
        <v>10157067</v>
      </c>
      <c r="B862" t="s">
        <v>642</v>
      </c>
      <c r="C862" t="s">
        <v>398</v>
      </c>
      <c r="D862" t="s">
        <v>641</v>
      </c>
      <c r="E862" t="s">
        <v>1376</v>
      </c>
      <c r="F862" s="134">
        <v>0.63928240740740738</v>
      </c>
      <c r="G862" t="s">
        <v>1373</v>
      </c>
      <c r="H862" t="s">
        <v>1374</v>
      </c>
    </row>
    <row r="863" spans="1:8">
      <c r="A863">
        <v>10157067</v>
      </c>
      <c r="B863" t="s">
        <v>642</v>
      </c>
      <c r="C863" t="s">
        <v>398</v>
      </c>
      <c r="D863" t="s">
        <v>641</v>
      </c>
      <c r="E863" t="s">
        <v>1376</v>
      </c>
      <c r="F863" s="134">
        <v>0.29458333333333336</v>
      </c>
      <c r="G863" t="s">
        <v>1371</v>
      </c>
      <c r="H863" t="s">
        <v>1372</v>
      </c>
    </row>
    <row r="864" spans="1:8">
      <c r="A864">
        <v>10157067</v>
      </c>
      <c r="B864" t="s">
        <v>642</v>
      </c>
      <c r="C864" t="s">
        <v>398</v>
      </c>
      <c r="D864" t="s">
        <v>641</v>
      </c>
      <c r="E864" t="s">
        <v>1377</v>
      </c>
      <c r="F864" s="134">
        <v>0.29450231481481481</v>
      </c>
      <c r="G864" t="s">
        <v>1371</v>
      </c>
      <c r="H864" t="s">
        <v>1372</v>
      </c>
    </row>
    <row r="865" spans="1:8">
      <c r="A865">
        <v>10157067</v>
      </c>
      <c r="B865" t="s">
        <v>642</v>
      </c>
      <c r="C865" t="s">
        <v>398</v>
      </c>
      <c r="D865" t="s">
        <v>641</v>
      </c>
      <c r="E865" t="s">
        <v>1377</v>
      </c>
      <c r="F865" s="134">
        <v>0.63608796296296299</v>
      </c>
      <c r="G865" t="s">
        <v>1373</v>
      </c>
      <c r="H865" t="s">
        <v>1374</v>
      </c>
    </row>
    <row r="866" spans="1:8">
      <c r="A866">
        <v>10157067</v>
      </c>
      <c r="B866" t="s">
        <v>642</v>
      </c>
      <c r="C866" t="s">
        <v>398</v>
      </c>
      <c r="D866" t="s">
        <v>641</v>
      </c>
      <c r="E866" t="s">
        <v>1378</v>
      </c>
      <c r="F866" s="134">
        <v>0.29567129629629629</v>
      </c>
      <c r="G866" t="s">
        <v>1371</v>
      </c>
      <c r="H866" t="s">
        <v>1372</v>
      </c>
    </row>
    <row r="867" spans="1:8">
      <c r="A867">
        <v>10157067</v>
      </c>
      <c r="B867" t="s">
        <v>642</v>
      </c>
      <c r="C867" t="s">
        <v>398</v>
      </c>
      <c r="D867" t="s">
        <v>641</v>
      </c>
      <c r="E867" t="s">
        <v>1378</v>
      </c>
      <c r="F867" s="134">
        <v>0.6371296296296296</v>
      </c>
      <c r="G867" t="s">
        <v>1373</v>
      </c>
      <c r="H867" t="s">
        <v>1374</v>
      </c>
    </row>
    <row r="868" spans="1:8">
      <c r="A868">
        <v>10157067</v>
      </c>
      <c r="B868" t="s">
        <v>642</v>
      </c>
      <c r="C868" t="s">
        <v>398</v>
      </c>
      <c r="D868" t="s">
        <v>641</v>
      </c>
      <c r="E868" t="s">
        <v>1379</v>
      </c>
      <c r="F868" s="134">
        <v>0.29476851851851854</v>
      </c>
      <c r="G868" t="s">
        <v>1371</v>
      </c>
      <c r="H868" t="s">
        <v>1372</v>
      </c>
    </row>
    <row r="869" spans="1:8">
      <c r="A869">
        <v>10157067</v>
      </c>
      <c r="B869" t="s">
        <v>642</v>
      </c>
      <c r="C869" t="s">
        <v>398</v>
      </c>
      <c r="D869" t="s">
        <v>641</v>
      </c>
      <c r="E869" t="s">
        <v>1379</v>
      </c>
      <c r="F869" s="134">
        <v>0.63953703703703701</v>
      </c>
      <c r="G869" t="s">
        <v>1373</v>
      </c>
      <c r="H869" t="s">
        <v>1374</v>
      </c>
    </row>
    <row r="870" spans="1:8">
      <c r="A870">
        <v>10168958</v>
      </c>
      <c r="B870" t="s">
        <v>569</v>
      </c>
      <c r="C870" t="s">
        <v>610</v>
      </c>
      <c r="D870" t="s">
        <v>883</v>
      </c>
      <c r="E870" t="s">
        <v>1370</v>
      </c>
      <c r="F870" s="134">
        <v>0.9191435185185185</v>
      </c>
      <c r="G870" t="s">
        <v>1371</v>
      </c>
      <c r="H870" t="s">
        <v>1372</v>
      </c>
    </row>
    <row r="871" spans="1:8">
      <c r="A871">
        <v>10168958</v>
      </c>
      <c r="B871" t="s">
        <v>569</v>
      </c>
      <c r="C871" t="s">
        <v>610</v>
      </c>
      <c r="D871" t="s">
        <v>883</v>
      </c>
      <c r="E871" t="s">
        <v>1375</v>
      </c>
      <c r="F871" s="134">
        <v>0.32457175925925924</v>
      </c>
      <c r="G871" t="s">
        <v>1373</v>
      </c>
      <c r="H871" t="s">
        <v>1374</v>
      </c>
    </row>
    <row r="872" spans="1:8">
      <c r="A872">
        <v>10168958</v>
      </c>
      <c r="B872" t="s">
        <v>569</v>
      </c>
      <c r="C872" t="s">
        <v>610</v>
      </c>
      <c r="D872" t="s">
        <v>883</v>
      </c>
      <c r="E872" t="s">
        <v>1375</v>
      </c>
      <c r="F872" s="134">
        <v>0.91964120370370372</v>
      </c>
      <c r="G872" t="s">
        <v>1371</v>
      </c>
      <c r="H872" t="s">
        <v>1372</v>
      </c>
    </row>
    <row r="873" spans="1:8">
      <c r="A873">
        <v>10168958</v>
      </c>
      <c r="B873" t="s">
        <v>569</v>
      </c>
      <c r="C873" t="s">
        <v>610</v>
      </c>
      <c r="D873" t="s">
        <v>883</v>
      </c>
      <c r="E873" t="s">
        <v>1376</v>
      </c>
      <c r="F873" s="134">
        <v>0.32451388888888888</v>
      </c>
      <c r="G873" t="s">
        <v>1373</v>
      </c>
      <c r="H873" t="s">
        <v>1374</v>
      </c>
    </row>
    <row r="874" spans="1:8">
      <c r="A874">
        <v>10168958</v>
      </c>
      <c r="B874" t="s">
        <v>569</v>
      </c>
      <c r="C874" t="s">
        <v>610</v>
      </c>
      <c r="D874" t="s">
        <v>883</v>
      </c>
      <c r="E874" t="s">
        <v>1376</v>
      </c>
      <c r="F874" s="134">
        <v>0.93928240740740743</v>
      </c>
      <c r="G874" t="s">
        <v>1371</v>
      </c>
      <c r="H874" t="s">
        <v>1372</v>
      </c>
    </row>
    <row r="875" spans="1:8">
      <c r="A875">
        <v>10168958</v>
      </c>
      <c r="B875" t="s">
        <v>569</v>
      </c>
      <c r="C875" t="s">
        <v>610</v>
      </c>
      <c r="D875" t="s">
        <v>883</v>
      </c>
      <c r="E875" t="s">
        <v>1377</v>
      </c>
      <c r="F875" s="134">
        <v>0.32343749999999999</v>
      </c>
      <c r="G875" t="s">
        <v>1373</v>
      </c>
      <c r="H875" t="s">
        <v>1374</v>
      </c>
    </row>
    <row r="876" spans="1:8">
      <c r="A876">
        <v>10168958</v>
      </c>
      <c r="B876" t="s">
        <v>569</v>
      </c>
      <c r="C876" t="s">
        <v>610</v>
      </c>
      <c r="D876" t="s">
        <v>883</v>
      </c>
      <c r="E876" t="s">
        <v>1377</v>
      </c>
      <c r="F876" s="134">
        <v>0.9205902777777778</v>
      </c>
      <c r="G876" t="s">
        <v>1371</v>
      </c>
      <c r="H876" t="s">
        <v>1372</v>
      </c>
    </row>
    <row r="877" spans="1:8">
      <c r="A877">
        <v>10168958</v>
      </c>
      <c r="B877" t="s">
        <v>569</v>
      </c>
      <c r="C877" t="s">
        <v>610</v>
      </c>
      <c r="D877" t="s">
        <v>883</v>
      </c>
      <c r="E877" t="s">
        <v>1378</v>
      </c>
      <c r="F877" s="134">
        <v>0.3213657407407407</v>
      </c>
      <c r="G877" t="s">
        <v>1373</v>
      </c>
      <c r="H877" t="s">
        <v>1374</v>
      </c>
    </row>
    <row r="878" spans="1:8">
      <c r="A878">
        <v>10168958</v>
      </c>
      <c r="B878" t="s">
        <v>569</v>
      </c>
      <c r="C878" t="s">
        <v>610</v>
      </c>
      <c r="D878" t="s">
        <v>883</v>
      </c>
      <c r="E878" t="s">
        <v>1378</v>
      </c>
      <c r="F878" s="134">
        <v>0.93770833333333325</v>
      </c>
      <c r="G878" t="s">
        <v>1371</v>
      </c>
      <c r="H878" t="s">
        <v>1372</v>
      </c>
    </row>
    <row r="879" spans="1:8">
      <c r="A879">
        <v>10168958</v>
      </c>
      <c r="B879" t="s">
        <v>569</v>
      </c>
      <c r="C879" t="s">
        <v>610</v>
      </c>
      <c r="D879" t="s">
        <v>883</v>
      </c>
      <c r="E879" t="s">
        <v>1379</v>
      </c>
      <c r="F879" s="134">
        <v>0.32329861111111108</v>
      </c>
      <c r="G879" t="s">
        <v>1373</v>
      </c>
      <c r="H879" t="s">
        <v>1374</v>
      </c>
    </row>
    <row r="880" spans="1:8">
      <c r="A880">
        <v>10173910</v>
      </c>
      <c r="B880" t="s">
        <v>154</v>
      </c>
      <c r="C880" t="s">
        <v>152</v>
      </c>
      <c r="D880" t="s">
        <v>153</v>
      </c>
      <c r="E880" t="s">
        <v>1370</v>
      </c>
      <c r="F880" s="134">
        <v>0.29090277777777779</v>
      </c>
      <c r="G880" t="s">
        <v>1373</v>
      </c>
      <c r="H880" t="s">
        <v>1374</v>
      </c>
    </row>
    <row r="881" spans="1:8">
      <c r="A881">
        <v>10173910</v>
      </c>
      <c r="B881" t="s">
        <v>154</v>
      </c>
      <c r="C881" t="s">
        <v>152</v>
      </c>
      <c r="D881" t="s">
        <v>153</v>
      </c>
      <c r="E881" t="s">
        <v>1370</v>
      </c>
      <c r="F881" s="134">
        <v>0.93071759259259268</v>
      </c>
      <c r="G881" t="s">
        <v>1371</v>
      </c>
      <c r="H881" t="s">
        <v>1372</v>
      </c>
    </row>
    <row r="882" spans="1:8">
      <c r="A882">
        <v>10173910</v>
      </c>
      <c r="B882" t="s">
        <v>154</v>
      </c>
      <c r="C882" t="s">
        <v>152</v>
      </c>
      <c r="D882" t="s">
        <v>153</v>
      </c>
      <c r="E882" t="s">
        <v>1375</v>
      </c>
      <c r="F882" s="134">
        <v>0.30762731481481481</v>
      </c>
      <c r="G882" t="s">
        <v>1373</v>
      </c>
      <c r="H882" t="s">
        <v>1374</v>
      </c>
    </row>
    <row r="883" spans="1:8">
      <c r="A883">
        <v>10173910</v>
      </c>
      <c r="B883" t="s">
        <v>154</v>
      </c>
      <c r="C883" t="s">
        <v>152</v>
      </c>
      <c r="D883" t="s">
        <v>153</v>
      </c>
      <c r="E883" t="s">
        <v>1375</v>
      </c>
      <c r="F883" s="134">
        <v>0.9309722222222222</v>
      </c>
      <c r="G883" t="s">
        <v>1371</v>
      </c>
      <c r="H883" t="s">
        <v>1372</v>
      </c>
    </row>
    <row r="884" spans="1:8">
      <c r="A884">
        <v>10173910</v>
      </c>
      <c r="B884" t="s">
        <v>154</v>
      </c>
      <c r="C884" t="s">
        <v>152</v>
      </c>
      <c r="D884" t="s">
        <v>153</v>
      </c>
      <c r="E884" t="s">
        <v>1376</v>
      </c>
      <c r="F884" s="134">
        <v>0.92959490740740736</v>
      </c>
      <c r="G884" t="s">
        <v>1371</v>
      </c>
      <c r="H884" t="s">
        <v>1372</v>
      </c>
    </row>
    <row r="885" spans="1:8">
      <c r="A885">
        <v>10173910</v>
      </c>
      <c r="B885" t="s">
        <v>154</v>
      </c>
      <c r="C885" t="s">
        <v>152</v>
      </c>
      <c r="D885" t="s">
        <v>153</v>
      </c>
      <c r="E885" t="s">
        <v>1377</v>
      </c>
      <c r="F885" s="134">
        <v>0.31667824074074075</v>
      </c>
      <c r="G885" t="s">
        <v>1373</v>
      </c>
      <c r="H885" t="s">
        <v>1374</v>
      </c>
    </row>
    <row r="886" spans="1:8">
      <c r="A886">
        <v>10173910</v>
      </c>
      <c r="B886" t="s">
        <v>154</v>
      </c>
      <c r="C886" t="s">
        <v>152</v>
      </c>
      <c r="D886" t="s">
        <v>153</v>
      </c>
      <c r="E886" t="s">
        <v>1377</v>
      </c>
      <c r="F886" s="134">
        <v>0.93172453703703706</v>
      </c>
      <c r="G886" t="s">
        <v>1371</v>
      </c>
      <c r="H886" t="s">
        <v>1372</v>
      </c>
    </row>
    <row r="887" spans="1:8">
      <c r="A887">
        <v>10173910</v>
      </c>
      <c r="B887" t="s">
        <v>154</v>
      </c>
      <c r="C887" t="s">
        <v>152</v>
      </c>
      <c r="D887" t="s">
        <v>153</v>
      </c>
      <c r="E887" t="s">
        <v>1378</v>
      </c>
      <c r="F887" s="134">
        <v>0.31487268518518519</v>
      </c>
      <c r="G887" t="s">
        <v>1373</v>
      </c>
      <c r="H887" t="s">
        <v>1374</v>
      </c>
    </row>
    <row r="888" spans="1:8">
      <c r="A888">
        <v>10173910</v>
      </c>
      <c r="B888" t="s">
        <v>154</v>
      </c>
      <c r="C888" t="s">
        <v>152</v>
      </c>
      <c r="D888" t="s">
        <v>153</v>
      </c>
      <c r="E888" t="s">
        <v>1378</v>
      </c>
      <c r="F888" s="134">
        <v>0.93172453703703706</v>
      </c>
      <c r="G888" t="s">
        <v>1371</v>
      </c>
      <c r="H888" t="s">
        <v>1372</v>
      </c>
    </row>
    <row r="889" spans="1:8">
      <c r="A889">
        <v>10173910</v>
      </c>
      <c r="B889" t="s">
        <v>154</v>
      </c>
      <c r="C889" t="s">
        <v>152</v>
      </c>
      <c r="D889" t="s">
        <v>153</v>
      </c>
      <c r="E889" t="s">
        <v>1379</v>
      </c>
      <c r="F889" s="134">
        <v>0.30995370370370373</v>
      </c>
      <c r="G889" t="s">
        <v>1373</v>
      </c>
      <c r="H889" t="s">
        <v>1374</v>
      </c>
    </row>
    <row r="890" spans="1:8">
      <c r="A890">
        <v>10199755</v>
      </c>
      <c r="B890" t="s">
        <v>515</v>
      </c>
      <c r="C890" t="s">
        <v>509</v>
      </c>
      <c r="D890" t="s">
        <v>110</v>
      </c>
      <c r="E890" t="s">
        <v>1370</v>
      </c>
      <c r="F890" s="134">
        <v>0.29295138888888889</v>
      </c>
      <c r="G890" t="s">
        <v>1371</v>
      </c>
      <c r="H890" t="s">
        <v>1372</v>
      </c>
    </row>
    <row r="891" spans="1:8">
      <c r="A891">
        <v>10199755</v>
      </c>
      <c r="B891" t="s">
        <v>515</v>
      </c>
      <c r="C891" t="s">
        <v>509</v>
      </c>
      <c r="D891" t="s">
        <v>110</v>
      </c>
      <c r="E891" t="s">
        <v>1370</v>
      </c>
      <c r="F891" s="134">
        <v>0.63493055555555555</v>
      </c>
      <c r="G891" t="s">
        <v>1373</v>
      </c>
      <c r="H891" t="s">
        <v>1374</v>
      </c>
    </row>
    <row r="892" spans="1:8">
      <c r="A892">
        <v>10199755</v>
      </c>
      <c r="B892" t="s">
        <v>515</v>
      </c>
      <c r="C892" t="s">
        <v>509</v>
      </c>
      <c r="D892" t="s">
        <v>110</v>
      </c>
      <c r="E892" t="s">
        <v>1375</v>
      </c>
      <c r="F892" s="134">
        <v>0.29121527777777778</v>
      </c>
      <c r="G892" t="s">
        <v>1371</v>
      </c>
      <c r="H892" t="s">
        <v>1372</v>
      </c>
    </row>
    <row r="893" spans="1:8">
      <c r="A893">
        <v>10199755</v>
      </c>
      <c r="B893" t="s">
        <v>515</v>
      </c>
      <c r="C893" t="s">
        <v>509</v>
      </c>
      <c r="D893" t="s">
        <v>110</v>
      </c>
      <c r="E893" t="s">
        <v>1375</v>
      </c>
      <c r="F893" s="134">
        <v>0.63232638888888892</v>
      </c>
      <c r="G893" t="s">
        <v>1373</v>
      </c>
      <c r="H893" t="s">
        <v>1374</v>
      </c>
    </row>
    <row r="894" spans="1:8">
      <c r="A894">
        <v>10199755</v>
      </c>
      <c r="B894" t="s">
        <v>515</v>
      </c>
      <c r="C894" t="s">
        <v>509</v>
      </c>
      <c r="D894" t="s">
        <v>110</v>
      </c>
      <c r="E894" t="s">
        <v>1376</v>
      </c>
      <c r="F894" s="134">
        <v>0.63743055555555561</v>
      </c>
      <c r="G894" t="s">
        <v>1373</v>
      </c>
      <c r="H894" t="s">
        <v>1374</v>
      </c>
    </row>
    <row r="895" spans="1:8">
      <c r="A895">
        <v>10199755</v>
      </c>
      <c r="B895" t="s">
        <v>515</v>
      </c>
      <c r="C895" t="s">
        <v>509</v>
      </c>
      <c r="D895" t="s">
        <v>110</v>
      </c>
      <c r="E895" t="s">
        <v>1376</v>
      </c>
      <c r="F895" s="134">
        <v>0.29480324074074077</v>
      </c>
      <c r="G895" t="s">
        <v>1371</v>
      </c>
      <c r="H895" t="s">
        <v>1372</v>
      </c>
    </row>
    <row r="896" spans="1:8">
      <c r="A896">
        <v>10199755</v>
      </c>
      <c r="B896" t="s">
        <v>515</v>
      </c>
      <c r="C896" t="s">
        <v>509</v>
      </c>
      <c r="D896" t="s">
        <v>110</v>
      </c>
      <c r="E896" t="s">
        <v>1377</v>
      </c>
      <c r="F896" s="134">
        <v>0.29119212962962965</v>
      </c>
      <c r="G896" t="s">
        <v>1371</v>
      </c>
      <c r="H896" t="s">
        <v>1372</v>
      </c>
    </row>
    <row r="897" spans="1:8">
      <c r="A897">
        <v>10199755</v>
      </c>
      <c r="B897" t="s">
        <v>515</v>
      </c>
      <c r="C897" t="s">
        <v>509</v>
      </c>
      <c r="D897" t="s">
        <v>110</v>
      </c>
      <c r="E897" t="s">
        <v>1377</v>
      </c>
      <c r="F897" s="134">
        <v>0.63247685185185187</v>
      </c>
      <c r="G897" t="s">
        <v>1373</v>
      </c>
      <c r="H897" t="s">
        <v>1374</v>
      </c>
    </row>
    <row r="898" spans="1:8">
      <c r="A898">
        <v>10199755</v>
      </c>
      <c r="B898" t="s">
        <v>515</v>
      </c>
      <c r="C898" t="s">
        <v>509</v>
      </c>
      <c r="D898" t="s">
        <v>110</v>
      </c>
      <c r="E898" t="s">
        <v>1378</v>
      </c>
      <c r="F898" s="134">
        <v>0.29306712962962961</v>
      </c>
      <c r="G898" t="s">
        <v>1371</v>
      </c>
      <c r="H898" t="s">
        <v>1372</v>
      </c>
    </row>
    <row r="899" spans="1:8">
      <c r="A899">
        <v>10199755</v>
      </c>
      <c r="B899" t="s">
        <v>515</v>
      </c>
      <c r="C899" t="s">
        <v>509</v>
      </c>
      <c r="D899" t="s">
        <v>110</v>
      </c>
      <c r="E899" t="s">
        <v>1378</v>
      </c>
      <c r="F899" s="134">
        <v>0.63821759259259259</v>
      </c>
      <c r="G899" t="s">
        <v>1373</v>
      </c>
      <c r="H899" t="s">
        <v>1374</v>
      </c>
    </row>
    <row r="900" spans="1:8">
      <c r="A900">
        <v>10199755</v>
      </c>
      <c r="B900" t="s">
        <v>515</v>
      </c>
      <c r="C900" t="s">
        <v>509</v>
      </c>
      <c r="D900" t="s">
        <v>110</v>
      </c>
      <c r="E900" t="s">
        <v>1379</v>
      </c>
      <c r="F900" s="134">
        <v>0.29318287037037039</v>
      </c>
      <c r="G900" t="s">
        <v>1371</v>
      </c>
      <c r="H900" t="s">
        <v>1372</v>
      </c>
    </row>
    <row r="901" spans="1:8">
      <c r="A901">
        <v>10199755</v>
      </c>
      <c r="B901" t="s">
        <v>515</v>
      </c>
      <c r="C901" t="s">
        <v>509</v>
      </c>
      <c r="D901" t="s">
        <v>110</v>
      </c>
      <c r="E901" t="s">
        <v>1379</v>
      </c>
      <c r="F901" s="134">
        <v>0.6154398148148148</v>
      </c>
      <c r="G901" t="s">
        <v>1373</v>
      </c>
      <c r="H901" t="s">
        <v>1374</v>
      </c>
    </row>
    <row r="902" spans="1:8">
      <c r="A902">
        <v>10309203</v>
      </c>
      <c r="B902" t="s">
        <v>916</v>
      </c>
      <c r="C902" t="s">
        <v>103</v>
      </c>
      <c r="D902" t="s">
        <v>915</v>
      </c>
      <c r="E902" t="s">
        <v>1370</v>
      </c>
      <c r="F902" s="134">
        <v>0.32377314814814812</v>
      </c>
      <c r="G902" t="s">
        <v>1371</v>
      </c>
      <c r="H902" t="s">
        <v>1372</v>
      </c>
    </row>
    <row r="903" spans="1:8">
      <c r="A903">
        <v>10309203</v>
      </c>
      <c r="B903" t="s">
        <v>916</v>
      </c>
      <c r="C903" t="s">
        <v>103</v>
      </c>
      <c r="D903" t="s">
        <v>915</v>
      </c>
      <c r="E903" t="s">
        <v>1370</v>
      </c>
      <c r="F903" s="134">
        <v>0.73616898148148147</v>
      </c>
      <c r="G903" t="s">
        <v>1373</v>
      </c>
      <c r="H903" t="s">
        <v>1374</v>
      </c>
    </row>
    <row r="904" spans="1:8">
      <c r="A904">
        <v>10309203</v>
      </c>
      <c r="B904" t="s">
        <v>916</v>
      </c>
      <c r="C904" t="s">
        <v>103</v>
      </c>
      <c r="D904" t="s">
        <v>915</v>
      </c>
      <c r="E904" t="s">
        <v>1375</v>
      </c>
      <c r="F904" s="134">
        <v>0.32280092592592591</v>
      </c>
      <c r="G904" t="s">
        <v>1371</v>
      </c>
      <c r="H904" t="s">
        <v>1372</v>
      </c>
    </row>
    <row r="905" spans="1:8">
      <c r="A905">
        <v>10309203</v>
      </c>
      <c r="B905" t="s">
        <v>916</v>
      </c>
      <c r="C905" t="s">
        <v>103</v>
      </c>
      <c r="D905" t="s">
        <v>915</v>
      </c>
      <c r="E905" t="s">
        <v>1375</v>
      </c>
      <c r="F905" s="134">
        <v>0.73187500000000005</v>
      </c>
      <c r="G905" t="s">
        <v>1373</v>
      </c>
      <c r="H905" t="s">
        <v>1374</v>
      </c>
    </row>
    <row r="906" spans="1:8">
      <c r="A906">
        <v>10309203</v>
      </c>
      <c r="B906" t="s">
        <v>916</v>
      </c>
      <c r="C906" t="s">
        <v>103</v>
      </c>
      <c r="D906" t="s">
        <v>915</v>
      </c>
      <c r="E906" t="s">
        <v>1376</v>
      </c>
      <c r="F906" s="134">
        <v>0.32398148148148148</v>
      </c>
      <c r="G906" t="s">
        <v>1371</v>
      </c>
      <c r="H906" t="s">
        <v>1372</v>
      </c>
    </row>
    <row r="907" spans="1:8">
      <c r="A907">
        <v>10309203</v>
      </c>
      <c r="B907" t="s">
        <v>916</v>
      </c>
      <c r="C907" t="s">
        <v>103</v>
      </c>
      <c r="D907" t="s">
        <v>915</v>
      </c>
      <c r="E907" t="s">
        <v>1376</v>
      </c>
      <c r="F907" s="134">
        <v>0.73644675925925929</v>
      </c>
      <c r="G907" t="s">
        <v>1373</v>
      </c>
      <c r="H907" t="s">
        <v>1374</v>
      </c>
    </row>
    <row r="908" spans="1:8">
      <c r="A908">
        <v>10309203</v>
      </c>
      <c r="B908" t="s">
        <v>916</v>
      </c>
      <c r="C908" t="s">
        <v>103</v>
      </c>
      <c r="D908" t="s">
        <v>915</v>
      </c>
      <c r="E908" t="s">
        <v>1377</v>
      </c>
      <c r="F908" s="134">
        <v>0.32065972222222222</v>
      </c>
      <c r="G908" t="s">
        <v>1371</v>
      </c>
      <c r="H908" t="s">
        <v>1372</v>
      </c>
    </row>
    <row r="909" spans="1:8">
      <c r="A909">
        <v>10309203</v>
      </c>
      <c r="B909" t="s">
        <v>916</v>
      </c>
      <c r="C909" t="s">
        <v>103</v>
      </c>
      <c r="D909" t="s">
        <v>915</v>
      </c>
      <c r="E909" t="s">
        <v>1377</v>
      </c>
      <c r="F909" s="134">
        <v>0.73265046296296299</v>
      </c>
      <c r="G909" t="s">
        <v>1373</v>
      </c>
      <c r="H909" t="s">
        <v>1374</v>
      </c>
    </row>
    <row r="910" spans="1:8">
      <c r="A910">
        <v>10309203</v>
      </c>
      <c r="B910" t="s">
        <v>916</v>
      </c>
      <c r="C910" t="s">
        <v>103</v>
      </c>
      <c r="D910" t="s">
        <v>915</v>
      </c>
      <c r="E910" t="s">
        <v>1378</v>
      </c>
      <c r="F910" s="134">
        <v>0.3220486111111111</v>
      </c>
      <c r="G910" t="s">
        <v>1371</v>
      </c>
      <c r="H910" t="s">
        <v>1372</v>
      </c>
    </row>
    <row r="911" spans="1:8">
      <c r="A911">
        <v>10309203</v>
      </c>
      <c r="B911" t="s">
        <v>916</v>
      </c>
      <c r="C911" t="s">
        <v>103</v>
      </c>
      <c r="D911" t="s">
        <v>915</v>
      </c>
      <c r="E911" t="s">
        <v>1378</v>
      </c>
      <c r="F911" s="134">
        <v>0.73409722222222218</v>
      </c>
      <c r="G911" t="s">
        <v>1373</v>
      </c>
      <c r="H911" t="s">
        <v>1374</v>
      </c>
    </row>
    <row r="912" spans="1:8">
      <c r="A912">
        <v>10311290</v>
      </c>
      <c r="B912" t="s">
        <v>1120</v>
      </c>
      <c r="C912" t="s">
        <v>974</v>
      </c>
      <c r="D912" t="s">
        <v>1119</v>
      </c>
      <c r="E912" t="s">
        <v>1370</v>
      </c>
      <c r="F912" s="134">
        <v>0.31921296296296298</v>
      </c>
      <c r="G912" t="s">
        <v>1373</v>
      </c>
      <c r="H912" t="s">
        <v>1374</v>
      </c>
    </row>
    <row r="913" spans="1:8">
      <c r="A913">
        <v>10311290</v>
      </c>
      <c r="B913" t="s">
        <v>1120</v>
      </c>
      <c r="C913" t="s">
        <v>974</v>
      </c>
      <c r="D913" t="s">
        <v>1119</v>
      </c>
      <c r="E913" t="s">
        <v>1370</v>
      </c>
      <c r="F913" s="134">
        <v>0.91858796296296286</v>
      </c>
      <c r="G913" t="s">
        <v>1371</v>
      </c>
      <c r="H913" t="s">
        <v>1372</v>
      </c>
    </row>
    <row r="914" spans="1:8">
      <c r="A914">
        <v>10311290</v>
      </c>
      <c r="B914" t="s">
        <v>1120</v>
      </c>
      <c r="C914" t="s">
        <v>974</v>
      </c>
      <c r="D914" t="s">
        <v>1119</v>
      </c>
      <c r="E914" t="s">
        <v>1375</v>
      </c>
      <c r="F914" s="134">
        <v>0.31938657407407406</v>
      </c>
      <c r="G914" t="s">
        <v>1373</v>
      </c>
      <c r="H914" t="s">
        <v>1374</v>
      </c>
    </row>
    <row r="915" spans="1:8">
      <c r="A915">
        <v>10311290</v>
      </c>
      <c r="B915" t="s">
        <v>1120</v>
      </c>
      <c r="C915" t="s">
        <v>974</v>
      </c>
      <c r="D915" t="s">
        <v>1119</v>
      </c>
      <c r="E915" t="s">
        <v>1375</v>
      </c>
      <c r="F915" s="134">
        <v>0.91927083333333337</v>
      </c>
      <c r="G915" t="s">
        <v>1371</v>
      </c>
      <c r="H915" t="s">
        <v>1372</v>
      </c>
    </row>
    <row r="916" spans="1:8">
      <c r="A916">
        <v>10311290</v>
      </c>
      <c r="B916" t="s">
        <v>1120</v>
      </c>
      <c r="C916" t="s">
        <v>974</v>
      </c>
      <c r="D916" t="s">
        <v>1119</v>
      </c>
      <c r="E916" t="s">
        <v>1376</v>
      </c>
      <c r="F916" s="134">
        <v>0.32048611111111108</v>
      </c>
      <c r="G916" t="s">
        <v>1373</v>
      </c>
      <c r="H916" t="s">
        <v>1374</v>
      </c>
    </row>
    <row r="917" spans="1:8">
      <c r="A917">
        <v>10311290</v>
      </c>
      <c r="B917" t="s">
        <v>1120</v>
      </c>
      <c r="C917" t="s">
        <v>974</v>
      </c>
      <c r="D917" t="s">
        <v>1119</v>
      </c>
      <c r="E917" t="s">
        <v>1376</v>
      </c>
      <c r="F917" s="134">
        <v>0.91991898148148143</v>
      </c>
      <c r="G917" t="s">
        <v>1371</v>
      </c>
      <c r="H917" t="s">
        <v>1372</v>
      </c>
    </row>
    <row r="918" spans="1:8">
      <c r="A918">
        <v>10311290</v>
      </c>
      <c r="B918" t="s">
        <v>1120</v>
      </c>
      <c r="C918" t="s">
        <v>974</v>
      </c>
      <c r="D918" t="s">
        <v>1119</v>
      </c>
      <c r="E918" t="s">
        <v>1377</v>
      </c>
      <c r="F918" s="134">
        <v>0.32077546296296294</v>
      </c>
      <c r="G918" t="s">
        <v>1373</v>
      </c>
      <c r="H918" t="s">
        <v>1374</v>
      </c>
    </row>
    <row r="919" spans="1:8">
      <c r="A919">
        <v>10311290</v>
      </c>
      <c r="B919" t="s">
        <v>1120</v>
      </c>
      <c r="C919" t="s">
        <v>974</v>
      </c>
      <c r="D919" t="s">
        <v>1119</v>
      </c>
      <c r="E919" t="s">
        <v>1377</v>
      </c>
      <c r="F919" s="134">
        <v>0.91943287037037036</v>
      </c>
      <c r="G919" t="s">
        <v>1371</v>
      </c>
      <c r="H919" t="s">
        <v>1372</v>
      </c>
    </row>
    <row r="920" spans="1:8">
      <c r="A920">
        <v>10311290</v>
      </c>
      <c r="B920" t="s">
        <v>1120</v>
      </c>
      <c r="C920" t="s">
        <v>974</v>
      </c>
      <c r="D920" t="s">
        <v>1119</v>
      </c>
      <c r="E920" t="s">
        <v>1378</v>
      </c>
      <c r="F920" s="134">
        <v>0.32064814814814818</v>
      </c>
      <c r="G920" t="s">
        <v>1373</v>
      </c>
      <c r="H920" t="s">
        <v>1374</v>
      </c>
    </row>
    <row r="921" spans="1:8">
      <c r="A921">
        <v>10311290</v>
      </c>
      <c r="B921" t="s">
        <v>1120</v>
      </c>
      <c r="C921" t="s">
        <v>974</v>
      </c>
      <c r="D921" t="s">
        <v>1119</v>
      </c>
      <c r="E921" t="s">
        <v>1378</v>
      </c>
      <c r="F921" s="134">
        <v>0.92069444444444448</v>
      </c>
      <c r="G921" t="s">
        <v>1371</v>
      </c>
      <c r="H921" t="s">
        <v>1372</v>
      </c>
    </row>
    <row r="922" spans="1:8">
      <c r="A922">
        <v>10311290</v>
      </c>
      <c r="B922" t="s">
        <v>1120</v>
      </c>
      <c r="C922" t="s">
        <v>974</v>
      </c>
      <c r="D922" t="s">
        <v>1119</v>
      </c>
      <c r="E922" t="s">
        <v>1379</v>
      </c>
      <c r="F922" s="134">
        <v>0.32083333333333336</v>
      </c>
      <c r="G922" t="s">
        <v>1373</v>
      </c>
      <c r="H922" t="s">
        <v>1374</v>
      </c>
    </row>
    <row r="923" spans="1:8">
      <c r="A923">
        <v>10407614</v>
      </c>
      <c r="B923" t="s">
        <v>660</v>
      </c>
      <c r="C923" t="s">
        <v>659</v>
      </c>
      <c r="D923" t="s">
        <v>659</v>
      </c>
      <c r="E923" t="s">
        <v>1370</v>
      </c>
      <c r="F923" s="134">
        <v>0.2926273148148148</v>
      </c>
      <c r="G923" t="s">
        <v>1371</v>
      </c>
      <c r="H923" t="s">
        <v>1372</v>
      </c>
    </row>
    <row r="924" spans="1:8">
      <c r="A924">
        <v>10407614</v>
      </c>
      <c r="B924" t="s">
        <v>660</v>
      </c>
      <c r="C924" t="s">
        <v>659</v>
      </c>
      <c r="D924" t="s">
        <v>659</v>
      </c>
      <c r="E924" t="s">
        <v>1370</v>
      </c>
      <c r="F924" s="134">
        <v>0.63545138888888886</v>
      </c>
      <c r="G924" t="s">
        <v>1373</v>
      </c>
      <c r="H924" t="s">
        <v>1374</v>
      </c>
    </row>
    <row r="925" spans="1:8">
      <c r="A925">
        <v>10407614</v>
      </c>
      <c r="B925" t="s">
        <v>660</v>
      </c>
      <c r="C925" t="s">
        <v>659</v>
      </c>
      <c r="D925" t="s">
        <v>659</v>
      </c>
      <c r="E925" t="s">
        <v>1375</v>
      </c>
      <c r="F925" s="134">
        <v>0.28943287037037035</v>
      </c>
      <c r="G925" t="s">
        <v>1371</v>
      </c>
      <c r="H925" t="s">
        <v>1372</v>
      </c>
    </row>
    <row r="926" spans="1:8">
      <c r="A926">
        <v>10407614</v>
      </c>
      <c r="B926" t="s">
        <v>660</v>
      </c>
      <c r="C926" t="s">
        <v>659</v>
      </c>
      <c r="D926" t="s">
        <v>659</v>
      </c>
      <c r="E926" t="s">
        <v>1375</v>
      </c>
      <c r="F926" s="134">
        <v>0.63766203703703705</v>
      </c>
      <c r="G926" t="s">
        <v>1373</v>
      </c>
      <c r="H926" t="s">
        <v>1374</v>
      </c>
    </row>
    <row r="927" spans="1:8">
      <c r="A927">
        <v>10407614</v>
      </c>
      <c r="B927" t="s">
        <v>660</v>
      </c>
      <c r="C927" t="s">
        <v>659</v>
      </c>
      <c r="D927" t="s">
        <v>659</v>
      </c>
      <c r="E927" t="s">
        <v>1376</v>
      </c>
      <c r="F927" s="134">
        <v>0.63775462962962959</v>
      </c>
      <c r="G927" t="s">
        <v>1373</v>
      </c>
      <c r="H927" t="s">
        <v>1374</v>
      </c>
    </row>
    <row r="928" spans="1:8">
      <c r="A928">
        <v>10407614</v>
      </c>
      <c r="B928" t="s">
        <v>660</v>
      </c>
      <c r="C928" t="s">
        <v>659</v>
      </c>
      <c r="D928" t="s">
        <v>659</v>
      </c>
      <c r="E928" t="s">
        <v>1376</v>
      </c>
      <c r="F928" s="134">
        <v>0.28855324074074074</v>
      </c>
      <c r="G928" t="s">
        <v>1371</v>
      </c>
      <c r="H928" t="s">
        <v>1372</v>
      </c>
    </row>
    <row r="929" spans="1:8">
      <c r="A929">
        <v>10407614</v>
      </c>
      <c r="B929" t="s">
        <v>660</v>
      </c>
      <c r="C929" t="s">
        <v>659</v>
      </c>
      <c r="D929" t="s">
        <v>659</v>
      </c>
      <c r="E929" t="s">
        <v>1377</v>
      </c>
      <c r="F929" s="134">
        <v>0.28891203703703705</v>
      </c>
      <c r="G929" t="s">
        <v>1371</v>
      </c>
      <c r="H929" t="s">
        <v>1372</v>
      </c>
    </row>
    <row r="930" spans="1:8">
      <c r="A930">
        <v>10407614</v>
      </c>
      <c r="B930" t="s">
        <v>660</v>
      </c>
      <c r="C930" t="s">
        <v>659</v>
      </c>
      <c r="D930" t="s">
        <v>659</v>
      </c>
      <c r="E930" t="s">
        <v>1377</v>
      </c>
      <c r="F930" s="134">
        <v>0.63528935185185187</v>
      </c>
      <c r="G930" t="s">
        <v>1373</v>
      </c>
      <c r="H930" t="s">
        <v>1374</v>
      </c>
    </row>
    <row r="931" spans="1:8">
      <c r="A931">
        <v>10407614</v>
      </c>
      <c r="B931" t="s">
        <v>660</v>
      </c>
      <c r="C931" t="s">
        <v>659</v>
      </c>
      <c r="D931" t="s">
        <v>659</v>
      </c>
      <c r="E931" t="s">
        <v>1378</v>
      </c>
      <c r="F931" s="134">
        <v>0.28880787037037037</v>
      </c>
      <c r="G931" t="s">
        <v>1371</v>
      </c>
      <c r="H931" t="s">
        <v>1372</v>
      </c>
    </row>
    <row r="932" spans="1:8">
      <c r="A932">
        <v>10407614</v>
      </c>
      <c r="B932" t="s">
        <v>660</v>
      </c>
      <c r="C932" t="s">
        <v>659</v>
      </c>
      <c r="D932" t="s">
        <v>659</v>
      </c>
      <c r="E932" t="s">
        <v>1378</v>
      </c>
      <c r="F932" s="134">
        <v>0.63353009259259252</v>
      </c>
      <c r="G932" t="s">
        <v>1373</v>
      </c>
      <c r="H932" t="s">
        <v>1374</v>
      </c>
    </row>
    <row r="933" spans="1:8">
      <c r="A933">
        <v>10407614</v>
      </c>
      <c r="B933" t="s">
        <v>660</v>
      </c>
      <c r="C933" t="s">
        <v>659</v>
      </c>
      <c r="D933" t="s">
        <v>659</v>
      </c>
      <c r="E933" t="s">
        <v>1379</v>
      </c>
      <c r="F933" s="134">
        <v>0.29344907407407406</v>
      </c>
      <c r="G933" t="s">
        <v>1371</v>
      </c>
      <c r="H933" t="s">
        <v>1372</v>
      </c>
    </row>
    <row r="934" spans="1:8">
      <c r="A934">
        <v>10407614</v>
      </c>
      <c r="B934" t="s">
        <v>660</v>
      </c>
      <c r="C934" t="s">
        <v>659</v>
      </c>
      <c r="D934" t="s">
        <v>659</v>
      </c>
      <c r="E934" t="s">
        <v>1379</v>
      </c>
      <c r="F934" s="134">
        <v>0.63611111111111118</v>
      </c>
      <c r="G934" t="s">
        <v>1373</v>
      </c>
      <c r="H934" t="s">
        <v>1374</v>
      </c>
    </row>
    <row r="935" spans="1:8">
      <c r="A935">
        <v>10572816</v>
      </c>
      <c r="B935" t="s">
        <v>192</v>
      </c>
      <c r="C935" t="s">
        <v>88</v>
      </c>
      <c r="D935" t="s">
        <v>387</v>
      </c>
      <c r="E935" t="s">
        <v>1370</v>
      </c>
      <c r="F935" s="134">
        <v>0.91909722222222223</v>
      </c>
      <c r="G935" t="s">
        <v>1371</v>
      </c>
      <c r="H935" t="s">
        <v>1372</v>
      </c>
    </row>
    <row r="936" spans="1:8">
      <c r="A936">
        <v>10572816</v>
      </c>
      <c r="B936" t="s">
        <v>192</v>
      </c>
      <c r="C936" t="s">
        <v>88</v>
      </c>
      <c r="D936" t="s">
        <v>387</v>
      </c>
      <c r="E936" t="s">
        <v>1375</v>
      </c>
      <c r="F936" s="134">
        <v>0.32303240740740741</v>
      </c>
      <c r="G936" t="s">
        <v>1373</v>
      </c>
      <c r="H936" t="s">
        <v>1374</v>
      </c>
    </row>
    <row r="937" spans="1:8">
      <c r="A937">
        <v>10572816</v>
      </c>
      <c r="B937" t="s">
        <v>192</v>
      </c>
      <c r="C937" t="s">
        <v>88</v>
      </c>
      <c r="D937" t="s">
        <v>387</v>
      </c>
      <c r="E937" t="s">
        <v>1375</v>
      </c>
      <c r="F937" s="134">
        <v>0.91930555555555549</v>
      </c>
      <c r="G937" t="s">
        <v>1371</v>
      </c>
      <c r="H937" t="s">
        <v>1372</v>
      </c>
    </row>
    <row r="938" spans="1:8">
      <c r="A938">
        <v>10572816</v>
      </c>
      <c r="B938" t="s">
        <v>192</v>
      </c>
      <c r="C938" t="s">
        <v>88</v>
      </c>
      <c r="D938" t="s">
        <v>387</v>
      </c>
      <c r="E938" t="s">
        <v>1376</v>
      </c>
      <c r="F938" s="134">
        <v>0.32670138888888889</v>
      </c>
      <c r="G938" t="s">
        <v>1373</v>
      </c>
      <c r="H938" t="s">
        <v>1374</v>
      </c>
    </row>
    <row r="939" spans="1:8">
      <c r="A939">
        <v>10572816</v>
      </c>
      <c r="B939" t="s">
        <v>192</v>
      </c>
      <c r="C939" t="s">
        <v>88</v>
      </c>
      <c r="D939" t="s">
        <v>387</v>
      </c>
      <c r="E939" t="s">
        <v>1376</v>
      </c>
      <c r="F939" s="134">
        <v>0.92002314814814812</v>
      </c>
      <c r="G939" t="s">
        <v>1371</v>
      </c>
      <c r="H939" t="s">
        <v>1372</v>
      </c>
    </row>
    <row r="940" spans="1:8">
      <c r="A940">
        <v>10572816</v>
      </c>
      <c r="B940" t="s">
        <v>192</v>
      </c>
      <c r="C940" t="s">
        <v>88</v>
      </c>
      <c r="D940" t="s">
        <v>387</v>
      </c>
      <c r="E940" t="s">
        <v>1377</v>
      </c>
      <c r="F940" s="134">
        <v>0.325625</v>
      </c>
      <c r="G940" t="s">
        <v>1373</v>
      </c>
      <c r="H940" t="s">
        <v>1374</v>
      </c>
    </row>
    <row r="941" spans="1:8">
      <c r="A941">
        <v>10572816</v>
      </c>
      <c r="B941" t="s">
        <v>192</v>
      </c>
      <c r="C941" t="s">
        <v>88</v>
      </c>
      <c r="D941" t="s">
        <v>387</v>
      </c>
      <c r="E941" t="s">
        <v>1377</v>
      </c>
      <c r="F941" s="134">
        <v>0.92055555555555557</v>
      </c>
      <c r="G941" t="s">
        <v>1371</v>
      </c>
      <c r="H941" t="s">
        <v>1372</v>
      </c>
    </row>
    <row r="942" spans="1:8">
      <c r="A942">
        <v>10572816</v>
      </c>
      <c r="B942" t="s">
        <v>192</v>
      </c>
      <c r="C942" t="s">
        <v>88</v>
      </c>
      <c r="D942" t="s">
        <v>387</v>
      </c>
      <c r="E942" t="s">
        <v>1378</v>
      </c>
      <c r="F942" s="134">
        <v>0.32778935185185182</v>
      </c>
      <c r="G942" t="s">
        <v>1373</v>
      </c>
      <c r="H942" t="s">
        <v>1374</v>
      </c>
    </row>
    <row r="943" spans="1:8">
      <c r="A943">
        <v>10572816</v>
      </c>
      <c r="B943" t="s">
        <v>192</v>
      </c>
      <c r="C943" t="s">
        <v>88</v>
      </c>
      <c r="D943" t="s">
        <v>387</v>
      </c>
      <c r="E943" t="s">
        <v>1378</v>
      </c>
      <c r="F943" s="134">
        <v>0.92093749999999996</v>
      </c>
      <c r="G943" t="s">
        <v>1371</v>
      </c>
      <c r="H943" t="s">
        <v>1372</v>
      </c>
    </row>
    <row r="944" spans="1:8">
      <c r="A944">
        <v>10572816</v>
      </c>
      <c r="B944" t="s">
        <v>192</v>
      </c>
      <c r="C944" t="s">
        <v>88</v>
      </c>
      <c r="D944" t="s">
        <v>387</v>
      </c>
      <c r="E944" t="s">
        <v>1379</v>
      </c>
      <c r="F944" s="134">
        <v>0.32526620370370368</v>
      </c>
      <c r="G944" t="s">
        <v>1373</v>
      </c>
      <c r="H944" t="s">
        <v>1374</v>
      </c>
    </row>
    <row r="945" spans="1:8">
      <c r="A945">
        <v>10746078</v>
      </c>
      <c r="B945" t="s">
        <v>748</v>
      </c>
      <c r="C945" t="s">
        <v>539</v>
      </c>
      <c r="D945" t="s">
        <v>747</v>
      </c>
      <c r="E945" t="s">
        <v>1370</v>
      </c>
      <c r="F945" s="134">
        <v>0.60055555555555562</v>
      </c>
      <c r="G945" t="s">
        <v>1371</v>
      </c>
      <c r="H945" t="s">
        <v>1372</v>
      </c>
    </row>
    <row r="946" spans="1:8">
      <c r="A946">
        <v>10746078</v>
      </c>
      <c r="B946" t="s">
        <v>748</v>
      </c>
      <c r="C946" t="s">
        <v>539</v>
      </c>
      <c r="D946" t="s">
        <v>747</v>
      </c>
      <c r="E946" t="s">
        <v>1370</v>
      </c>
      <c r="F946" s="134">
        <v>0.95296296296296301</v>
      </c>
      <c r="G946" t="s">
        <v>1373</v>
      </c>
      <c r="H946" t="s">
        <v>1374</v>
      </c>
    </row>
    <row r="947" spans="1:8">
      <c r="A947">
        <v>10746078</v>
      </c>
      <c r="B947" t="s">
        <v>748</v>
      </c>
      <c r="C947" t="s">
        <v>539</v>
      </c>
      <c r="D947" t="s">
        <v>747</v>
      </c>
      <c r="E947" t="s">
        <v>1375</v>
      </c>
      <c r="F947" s="134">
        <v>0.60114583333333338</v>
      </c>
      <c r="G947" t="s">
        <v>1371</v>
      </c>
      <c r="H947" t="s">
        <v>1372</v>
      </c>
    </row>
    <row r="948" spans="1:8">
      <c r="A948">
        <v>10746078</v>
      </c>
      <c r="B948" t="s">
        <v>748</v>
      </c>
      <c r="C948" t="s">
        <v>539</v>
      </c>
      <c r="D948" t="s">
        <v>747</v>
      </c>
      <c r="E948" t="s">
        <v>1375</v>
      </c>
      <c r="F948" s="134">
        <v>0.95369212962962957</v>
      </c>
      <c r="G948" t="s">
        <v>1373</v>
      </c>
      <c r="H948" t="s">
        <v>1374</v>
      </c>
    </row>
    <row r="949" spans="1:8">
      <c r="A949">
        <v>10746078</v>
      </c>
      <c r="B949" t="s">
        <v>748</v>
      </c>
      <c r="C949" t="s">
        <v>539</v>
      </c>
      <c r="D949" t="s">
        <v>747</v>
      </c>
      <c r="E949" t="s">
        <v>1376</v>
      </c>
      <c r="F949" s="134">
        <v>0.95423611111111117</v>
      </c>
      <c r="G949" t="s">
        <v>1373</v>
      </c>
      <c r="H949" t="s">
        <v>1374</v>
      </c>
    </row>
    <row r="950" spans="1:8">
      <c r="A950">
        <v>10746078</v>
      </c>
      <c r="B950" t="s">
        <v>748</v>
      </c>
      <c r="C950" t="s">
        <v>539</v>
      </c>
      <c r="D950" t="s">
        <v>747</v>
      </c>
      <c r="E950" t="s">
        <v>1376</v>
      </c>
      <c r="F950" s="134">
        <v>0.59944444444444445</v>
      </c>
      <c r="G950" t="s">
        <v>1371</v>
      </c>
      <c r="H950" t="s">
        <v>1372</v>
      </c>
    </row>
    <row r="951" spans="1:8">
      <c r="A951">
        <v>10746078</v>
      </c>
      <c r="B951" t="s">
        <v>748</v>
      </c>
      <c r="C951" t="s">
        <v>539</v>
      </c>
      <c r="D951" t="s">
        <v>747</v>
      </c>
      <c r="E951" t="s">
        <v>1377</v>
      </c>
      <c r="F951" s="134">
        <v>0.60158564814814819</v>
      </c>
      <c r="G951" t="s">
        <v>1371</v>
      </c>
      <c r="H951" t="s">
        <v>1372</v>
      </c>
    </row>
    <row r="952" spans="1:8">
      <c r="A952">
        <v>10746078</v>
      </c>
      <c r="B952" t="s">
        <v>748</v>
      </c>
      <c r="C952" t="s">
        <v>539</v>
      </c>
      <c r="D952" t="s">
        <v>747</v>
      </c>
      <c r="E952" t="s">
        <v>1377</v>
      </c>
      <c r="F952" s="134">
        <v>0.95241898148148152</v>
      </c>
      <c r="G952" t="s">
        <v>1373</v>
      </c>
      <c r="H952" t="s">
        <v>1374</v>
      </c>
    </row>
    <row r="953" spans="1:8">
      <c r="A953">
        <v>10746078</v>
      </c>
      <c r="B953" t="s">
        <v>748</v>
      </c>
      <c r="C953" t="s">
        <v>539</v>
      </c>
      <c r="D953" t="s">
        <v>747</v>
      </c>
      <c r="E953" t="s">
        <v>1378</v>
      </c>
      <c r="F953" s="134">
        <v>0.60045138888888883</v>
      </c>
      <c r="G953" t="s">
        <v>1371</v>
      </c>
      <c r="H953" t="s">
        <v>1372</v>
      </c>
    </row>
    <row r="954" spans="1:8">
      <c r="A954">
        <v>10746078</v>
      </c>
      <c r="B954" t="s">
        <v>748</v>
      </c>
      <c r="C954" t="s">
        <v>539</v>
      </c>
      <c r="D954" t="s">
        <v>747</v>
      </c>
      <c r="E954" t="s">
        <v>1378</v>
      </c>
      <c r="F954" s="134">
        <v>0.95401620370370377</v>
      </c>
      <c r="G954" t="s">
        <v>1373</v>
      </c>
      <c r="H954" t="s">
        <v>1374</v>
      </c>
    </row>
    <row r="955" spans="1:8">
      <c r="A955">
        <v>10746078</v>
      </c>
      <c r="B955" t="s">
        <v>748</v>
      </c>
      <c r="C955" t="s">
        <v>539</v>
      </c>
      <c r="D955" t="s">
        <v>747</v>
      </c>
      <c r="E955" t="s">
        <v>1379</v>
      </c>
      <c r="F955" s="134">
        <v>0.6014004629629629</v>
      </c>
      <c r="G955" t="s">
        <v>1371</v>
      </c>
      <c r="H955" t="s">
        <v>1372</v>
      </c>
    </row>
    <row r="956" spans="1:8">
      <c r="A956">
        <v>10746078</v>
      </c>
      <c r="B956" t="s">
        <v>748</v>
      </c>
      <c r="C956" t="s">
        <v>539</v>
      </c>
      <c r="D956" t="s">
        <v>747</v>
      </c>
      <c r="E956" t="s">
        <v>1379</v>
      </c>
      <c r="F956" s="134">
        <v>0.94934027777777785</v>
      </c>
      <c r="G956" t="s">
        <v>1373</v>
      </c>
      <c r="H956" t="s">
        <v>1374</v>
      </c>
    </row>
    <row r="957" spans="1:8">
      <c r="A957">
        <v>10835391</v>
      </c>
      <c r="B957" t="s">
        <v>1014</v>
      </c>
      <c r="C957" t="s">
        <v>1005</v>
      </c>
      <c r="D957" t="s">
        <v>883</v>
      </c>
      <c r="E957" t="s">
        <v>1370</v>
      </c>
      <c r="F957" s="134">
        <v>0.93606481481481485</v>
      </c>
      <c r="G957" t="s">
        <v>1371</v>
      </c>
      <c r="H957" t="s">
        <v>1372</v>
      </c>
    </row>
    <row r="958" spans="1:8">
      <c r="A958">
        <v>10835391</v>
      </c>
      <c r="B958" t="s">
        <v>1014</v>
      </c>
      <c r="C958" t="s">
        <v>1005</v>
      </c>
      <c r="D958" t="s">
        <v>883</v>
      </c>
      <c r="E958" t="s">
        <v>1375</v>
      </c>
      <c r="F958" s="134">
        <v>0.31336805555555552</v>
      </c>
      <c r="G958" t="s">
        <v>1373</v>
      </c>
      <c r="H958" t="s">
        <v>1374</v>
      </c>
    </row>
    <row r="959" spans="1:8">
      <c r="A959">
        <v>10835391</v>
      </c>
      <c r="B959" t="s">
        <v>1014</v>
      </c>
      <c r="C959" t="s">
        <v>1005</v>
      </c>
      <c r="D959" t="s">
        <v>883</v>
      </c>
      <c r="E959" t="s">
        <v>1375</v>
      </c>
      <c r="F959" s="134">
        <v>0.94868055555555564</v>
      </c>
      <c r="G959" t="s">
        <v>1371</v>
      </c>
      <c r="H959" t="s">
        <v>1372</v>
      </c>
    </row>
    <row r="960" spans="1:8">
      <c r="A960">
        <v>10835391</v>
      </c>
      <c r="B960" t="s">
        <v>1014</v>
      </c>
      <c r="C960" t="s">
        <v>1005</v>
      </c>
      <c r="D960" t="s">
        <v>883</v>
      </c>
      <c r="E960" t="s">
        <v>1376</v>
      </c>
      <c r="F960" s="134">
        <v>0.3107523148148148</v>
      </c>
      <c r="G960" t="s">
        <v>1373</v>
      </c>
      <c r="H960" t="s">
        <v>1374</v>
      </c>
    </row>
    <row r="961" spans="1:8">
      <c r="A961">
        <v>10835391</v>
      </c>
      <c r="B961" t="s">
        <v>1014</v>
      </c>
      <c r="C961" t="s">
        <v>1005</v>
      </c>
      <c r="D961" t="s">
        <v>883</v>
      </c>
      <c r="E961" t="s">
        <v>1376</v>
      </c>
      <c r="F961" s="134">
        <v>0.94601851851851848</v>
      </c>
      <c r="G961" t="s">
        <v>1371</v>
      </c>
      <c r="H961" t="s">
        <v>1372</v>
      </c>
    </row>
    <row r="962" spans="1:8">
      <c r="A962">
        <v>10835391</v>
      </c>
      <c r="B962" t="s">
        <v>1014</v>
      </c>
      <c r="C962" t="s">
        <v>1005</v>
      </c>
      <c r="D962" t="s">
        <v>883</v>
      </c>
      <c r="E962" t="s">
        <v>1377</v>
      </c>
      <c r="F962" s="134">
        <v>0.29324074074074075</v>
      </c>
      <c r="G962" t="s">
        <v>1373</v>
      </c>
      <c r="H962" t="s">
        <v>1374</v>
      </c>
    </row>
    <row r="963" spans="1:8">
      <c r="A963">
        <v>10835391</v>
      </c>
      <c r="B963" t="s">
        <v>1014</v>
      </c>
      <c r="C963" t="s">
        <v>1005</v>
      </c>
      <c r="D963" t="s">
        <v>883</v>
      </c>
      <c r="E963" t="s">
        <v>1377</v>
      </c>
      <c r="F963" s="134">
        <v>0.92570601851851853</v>
      </c>
      <c r="G963" t="s">
        <v>1371</v>
      </c>
      <c r="H963" t="s">
        <v>1372</v>
      </c>
    </row>
    <row r="964" spans="1:8">
      <c r="A964">
        <v>10835391</v>
      </c>
      <c r="B964" t="s">
        <v>1014</v>
      </c>
      <c r="C964" t="s">
        <v>1005</v>
      </c>
      <c r="D964" t="s">
        <v>883</v>
      </c>
      <c r="E964" t="s">
        <v>1378</v>
      </c>
      <c r="F964" s="134">
        <v>0.32589120370370367</v>
      </c>
      <c r="G964" t="s">
        <v>1373</v>
      </c>
      <c r="H964" t="s">
        <v>1374</v>
      </c>
    </row>
    <row r="965" spans="1:8">
      <c r="A965">
        <v>10835391</v>
      </c>
      <c r="B965" t="s">
        <v>1014</v>
      </c>
      <c r="C965" t="s">
        <v>1005</v>
      </c>
      <c r="D965" t="s">
        <v>883</v>
      </c>
      <c r="E965" t="s">
        <v>1378</v>
      </c>
      <c r="F965" s="134">
        <v>0.93459490740740747</v>
      </c>
      <c r="G965" t="s">
        <v>1371</v>
      </c>
      <c r="H965" t="s">
        <v>1372</v>
      </c>
    </row>
    <row r="966" spans="1:8">
      <c r="A966">
        <v>10835391</v>
      </c>
      <c r="B966" t="s">
        <v>1014</v>
      </c>
      <c r="C966" t="s">
        <v>1005</v>
      </c>
      <c r="D966" t="s">
        <v>883</v>
      </c>
      <c r="E966" t="s">
        <v>1379</v>
      </c>
      <c r="F966" s="134">
        <v>0.31305555555555559</v>
      </c>
      <c r="G966" t="s">
        <v>1373</v>
      </c>
      <c r="H966" t="s">
        <v>1374</v>
      </c>
    </row>
    <row r="967" spans="1:8">
      <c r="A967">
        <v>10846598</v>
      </c>
      <c r="B967" t="s">
        <v>111</v>
      </c>
      <c r="C967" t="s">
        <v>109</v>
      </c>
      <c r="D967" t="s">
        <v>110</v>
      </c>
      <c r="E967" t="s">
        <v>1370</v>
      </c>
      <c r="F967" s="134">
        <v>0.9183796296296296</v>
      </c>
      <c r="G967" t="s">
        <v>1371</v>
      </c>
      <c r="H967" t="s">
        <v>1372</v>
      </c>
    </row>
    <row r="968" spans="1:8">
      <c r="A968">
        <v>10846598</v>
      </c>
      <c r="B968" t="s">
        <v>111</v>
      </c>
      <c r="C968" t="s">
        <v>109</v>
      </c>
      <c r="D968" t="s">
        <v>110</v>
      </c>
      <c r="E968" t="s">
        <v>1375</v>
      </c>
      <c r="F968" s="134">
        <v>0.32219907407407405</v>
      </c>
      <c r="G968" t="s">
        <v>1373</v>
      </c>
      <c r="H968" t="s">
        <v>1374</v>
      </c>
    </row>
    <row r="969" spans="1:8">
      <c r="A969">
        <v>10846598</v>
      </c>
      <c r="B969" t="s">
        <v>111</v>
      </c>
      <c r="C969" t="s">
        <v>109</v>
      </c>
      <c r="D969" t="s">
        <v>110</v>
      </c>
      <c r="E969" t="s">
        <v>1375</v>
      </c>
      <c r="F969" s="134">
        <v>0.9190625</v>
      </c>
      <c r="G969" t="s">
        <v>1371</v>
      </c>
      <c r="H969" t="s">
        <v>1372</v>
      </c>
    </row>
    <row r="970" spans="1:8">
      <c r="A970">
        <v>10846598</v>
      </c>
      <c r="B970" t="s">
        <v>111</v>
      </c>
      <c r="C970" t="s">
        <v>109</v>
      </c>
      <c r="D970" t="s">
        <v>110</v>
      </c>
      <c r="E970" t="s">
        <v>1376</v>
      </c>
      <c r="F970" s="134">
        <v>0.32543981481481482</v>
      </c>
      <c r="G970" t="s">
        <v>1373</v>
      </c>
      <c r="H970" t="s">
        <v>1374</v>
      </c>
    </row>
    <row r="971" spans="1:8">
      <c r="A971">
        <v>10846598</v>
      </c>
      <c r="B971" t="s">
        <v>111</v>
      </c>
      <c r="C971" t="s">
        <v>109</v>
      </c>
      <c r="D971" t="s">
        <v>110</v>
      </c>
      <c r="E971" t="s">
        <v>1376</v>
      </c>
      <c r="F971" s="134">
        <v>0.91981481481481486</v>
      </c>
      <c r="G971" t="s">
        <v>1371</v>
      </c>
      <c r="H971" t="s">
        <v>1372</v>
      </c>
    </row>
    <row r="972" spans="1:8">
      <c r="A972">
        <v>10846598</v>
      </c>
      <c r="B972" t="s">
        <v>111</v>
      </c>
      <c r="C972" t="s">
        <v>109</v>
      </c>
      <c r="D972" t="s">
        <v>110</v>
      </c>
      <c r="E972" t="s">
        <v>1377</v>
      </c>
      <c r="F972" s="134">
        <v>0.32553240740740741</v>
      </c>
      <c r="G972" t="s">
        <v>1373</v>
      </c>
      <c r="H972" t="s">
        <v>1374</v>
      </c>
    </row>
    <row r="973" spans="1:8">
      <c r="A973">
        <v>10846598</v>
      </c>
      <c r="B973" t="s">
        <v>111</v>
      </c>
      <c r="C973" t="s">
        <v>109</v>
      </c>
      <c r="D973" t="s">
        <v>110</v>
      </c>
      <c r="E973" t="s">
        <v>1377</v>
      </c>
      <c r="F973" s="134">
        <v>0.91918981481481488</v>
      </c>
      <c r="G973" t="s">
        <v>1371</v>
      </c>
      <c r="H973" t="s">
        <v>1372</v>
      </c>
    </row>
    <row r="974" spans="1:8">
      <c r="A974">
        <v>10846598</v>
      </c>
      <c r="B974" t="s">
        <v>111</v>
      </c>
      <c r="C974" t="s">
        <v>109</v>
      </c>
      <c r="D974" t="s">
        <v>110</v>
      </c>
      <c r="E974" t="s">
        <v>1378</v>
      </c>
      <c r="F974" s="134">
        <v>0.32604166666666667</v>
      </c>
      <c r="G974" t="s">
        <v>1373</v>
      </c>
      <c r="H974" t="s">
        <v>1374</v>
      </c>
    </row>
    <row r="975" spans="1:8">
      <c r="A975">
        <v>10846598</v>
      </c>
      <c r="B975" t="s">
        <v>111</v>
      </c>
      <c r="C975" t="s">
        <v>109</v>
      </c>
      <c r="D975" t="s">
        <v>110</v>
      </c>
      <c r="E975" t="s">
        <v>1378</v>
      </c>
      <c r="F975" s="134">
        <v>0.92064814814814822</v>
      </c>
      <c r="G975" t="s">
        <v>1371</v>
      </c>
      <c r="H975" t="s">
        <v>1372</v>
      </c>
    </row>
    <row r="976" spans="1:8">
      <c r="A976">
        <v>10846598</v>
      </c>
      <c r="B976" t="s">
        <v>111</v>
      </c>
      <c r="C976" t="s">
        <v>109</v>
      </c>
      <c r="D976" t="s">
        <v>110</v>
      </c>
      <c r="E976" t="s">
        <v>1379</v>
      </c>
      <c r="F976" s="134">
        <v>0.32454861111111111</v>
      </c>
      <c r="G976" t="s">
        <v>1373</v>
      </c>
      <c r="H976" t="s">
        <v>1374</v>
      </c>
    </row>
    <row r="977" spans="1:8">
      <c r="A977">
        <v>10849076</v>
      </c>
      <c r="B977" t="s">
        <v>291</v>
      </c>
      <c r="C977" t="s">
        <v>1032</v>
      </c>
      <c r="D977" t="s">
        <v>815</v>
      </c>
      <c r="E977" t="s">
        <v>1370</v>
      </c>
      <c r="F977" s="134">
        <v>0.29424768518518518</v>
      </c>
      <c r="G977" t="s">
        <v>1371</v>
      </c>
      <c r="H977" t="s">
        <v>1372</v>
      </c>
    </row>
    <row r="978" spans="1:8">
      <c r="A978">
        <v>10849076</v>
      </c>
      <c r="B978" t="s">
        <v>291</v>
      </c>
      <c r="C978" t="s">
        <v>1032</v>
      </c>
      <c r="D978" t="s">
        <v>815</v>
      </c>
      <c r="E978" t="s">
        <v>1370</v>
      </c>
      <c r="F978" s="134">
        <v>0.6427546296296297</v>
      </c>
      <c r="G978" t="s">
        <v>1373</v>
      </c>
      <c r="H978" t="s">
        <v>1374</v>
      </c>
    </row>
    <row r="979" spans="1:8">
      <c r="A979">
        <v>10849076</v>
      </c>
      <c r="B979" t="s">
        <v>291</v>
      </c>
      <c r="C979" t="s">
        <v>1032</v>
      </c>
      <c r="D979" t="s">
        <v>815</v>
      </c>
      <c r="E979" t="s">
        <v>1376</v>
      </c>
      <c r="F979" s="134">
        <v>0.29440972222222223</v>
      </c>
      <c r="G979" t="s">
        <v>1371</v>
      </c>
      <c r="H979" t="s">
        <v>1372</v>
      </c>
    </row>
    <row r="980" spans="1:8">
      <c r="A980">
        <v>10849076</v>
      </c>
      <c r="B980" t="s">
        <v>291</v>
      </c>
      <c r="C980" t="s">
        <v>1032</v>
      </c>
      <c r="D980" t="s">
        <v>815</v>
      </c>
      <c r="E980" t="s">
        <v>1376</v>
      </c>
      <c r="F980" s="134">
        <v>0.63954861111111116</v>
      </c>
      <c r="G980" t="s">
        <v>1373</v>
      </c>
      <c r="H980" t="s">
        <v>1374</v>
      </c>
    </row>
    <row r="981" spans="1:8">
      <c r="A981">
        <v>10849076</v>
      </c>
      <c r="B981" t="s">
        <v>291</v>
      </c>
      <c r="C981" t="s">
        <v>1032</v>
      </c>
      <c r="D981" t="s">
        <v>815</v>
      </c>
      <c r="E981" t="s">
        <v>1377</v>
      </c>
      <c r="F981" s="134">
        <v>0.29403935185185187</v>
      </c>
      <c r="G981" t="s">
        <v>1371</v>
      </c>
      <c r="H981" t="s">
        <v>1372</v>
      </c>
    </row>
    <row r="982" spans="1:8">
      <c r="A982">
        <v>10849076</v>
      </c>
      <c r="B982" t="s">
        <v>291</v>
      </c>
      <c r="C982" t="s">
        <v>1032</v>
      </c>
      <c r="D982" t="s">
        <v>815</v>
      </c>
      <c r="E982" t="s">
        <v>1377</v>
      </c>
      <c r="F982" s="134">
        <v>0.69704861111111116</v>
      </c>
      <c r="G982" t="s">
        <v>1373</v>
      </c>
      <c r="H982" t="s">
        <v>1374</v>
      </c>
    </row>
    <row r="983" spans="1:8">
      <c r="A983">
        <v>10849076</v>
      </c>
      <c r="B983" t="s">
        <v>291</v>
      </c>
      <c r="C983" t="s">
        <v>1032</v>
      </c>
      <c r="D983" t="s">
        <v>815</v>
      </c>
      <c r="E983" t="s">
        <v>1378</v>
      </c>
      <c r="F983" s="134">
        <v>0.29552083333333334</v>
      </c>
      <c r="G983" t="s">
        <v>1371</v>
      </c>
      <c r="H983" t="s">
        <v>1372</v>
      </c>
    </row>
    <row r="984" spans="1:8">
      <c r="A984">
        <v>10849076</v>
      </c>
      <c r="B984" t="s">
        <v>291</v>
      </c>
      <c r="C984" t="s">
        <v>1032</v>
      </c>
      <c r="D984" t="s">
        <v>815</v>
      </c>
      <c r="E984" t="s">
        <v>1378</v>
      </c>
      <c r="F984" s="134">
        <v>0.64719907407407407</v>
      </c>
      <c r="G984" t="s">
        <v>1373</v>
      </c>
      <c r="H984" t="s">
        <v>1374</v>
      </c>
    </row>
    <row r="985" spans="1:8">
      <c r="A985">
        <v>10849076</v>
      </c>
      <c r="B985" t="s">
        <v>291</v>
      </c>
      <c r="C985" t="s">
        <v>1032</v>
      </c>
      <c r="D985" t="s">
        <v>815</v>
      </c>
      <c r="E985" t="s">
        <v>1379</v>
      </c>
      <c r="F985" s="134">
        <v>0.29480324074074077</v>
      </c>
      <c r="G985" t="s">
        <v>1371</v>
      </c>
      <c r="H985" t="s">
        <v>1372</v>
      </c>
    </row>
    <row r="986" spans="1:8">
      <c r="A986">
        <v>10849076</v>
      </c>
      <c r="B986" t="s">
        <v>291</v>
      </c>
      <c r="C986" t="s">
        <v>1032</v>
      </c>
      <c r="D986" t="s">
        <v>815</v>
      </c>
      <c r="E986" t="s">
        <v>1379</v>
      </c>
      <c r="F986" s="134">
        <v>0.64060185185185181</v>
      </c>
      <c r="G986" t="s">
        <v>1373</v>
      </c>
      <c r="H986" t="s">
        <v>1374</v>
      </c>
    </row>
    <row r="987" spans="1:8">
      <c r="A987">
        <v>10849486</v>
      </c>
      <c r="B987" t="s">
        <v>1264</v>
      </c>
      <c r="C987" t="s">
        <v>1263</v>
      </c>
      <c r="D987" t="s">
        <v>1197</v>
      </c>
      <c r="E987" t="s">
        <v>1370</v>
      </c>
      <c r="F987" s="134">
        <v>0.92189814814814808</v>
      </c>
      <c r="G987" t="s">
        <v>1371</v>
      </c>
      <c r="H987" t="s">
        <v>1372</v>
      </c>
    </row>
    <row r="988" spans="1:8">
      <c r="A988">
        <v>10849486</v>
      </c>
      <c r="B988" t="s">
        <v>1264</v>
      </c>
      <c r="C988" t="s">
        <v>1263</v>
      </c>
      <c r="D988" t="s">
        <v>1197</v>
      </c>
      <c r="E988" t="s">
        <v>1375</v>
      </c>
      <c r="F988" s="134">
        <v>0.34190972222222221</v>
      </c>
      <c r="G988" t="s">
        <v>1373</v>
      </c>
      <c r="H988" t="s">
        <v>1374</v>
      </c>
    </row>
    <row r="989" spans="1:8">
      <c r="A989">
        <v>10849486</v>
      </c>
      <c r="B989" t="s">
        <v>1264</v>
      </c>
      <c r="C989" t="s">
        <v>1263</v>
      </c>
      <c r="D989" t="s">
        <v>1197</v>
      </c>
      <c r="E989" t="s">
        <v>1375</v>
      </c>
      <c r="F989" s="134">
        <v>0.91769675925925931</v>
      </c>
      <c r="G989" t="s">
        <v>1371</v>
      </c>
      <c r="H989" t="s">
        <v>1372</v>
      </c>
    </row>
    <row r="990" spans="1:8">
      <c r="A990">
        <v>10849486</v>
      </c>
      <c r="B990" t="s">
        <v>1264</v>
      </c>
      <c r="C990" t="s">
        <v>1263</v>
      </c>
      <c r="D990" t="s">
        <v>1197</v>
      </c>
      <c r="E990" t="s">
        <v>1376</v>
      </c>
      <c r="F990" s="134">
        <v>0.32748842592592592</v>
      </c>
      <c r="G990" t="s">
        <v>1373</v>
      </c>
      <c r="H990" t="s">
        <v>1374</v>
      </c>
    </row>
    <row r="991" spans="1:8">
      <c r="A991">
        <v>10849486</v>
      </c>
      <c r="B991" t="s">
        <v>1264</v>
      </c>
      <c r="C991" t="s">
        <v>1263</v>
      </c>
      <c r="D991" t="s">
        <v>1197</v>
      </c>
      <c r="E991" t="s">
        <v>1376</v>
      </c>
      <c r="F991" s="134">
        <v>0.91545138888888899</v>
      </c>
      <c r="G991" t="s">
        <v>1371</v>
      </c>
      <c r="H991" t="s">
        <v>1372</v>
      </c>
    </row>
    <row r="992" spans="1:8">
      <c r="A992">
        <v>10849486</v>
      </c>
      <c r="B992" t="s">
        <v>1264</v>
      </c>
      <c r="C992" t="s">
        <v>1263</v>
      </c>
      <c r="D992" t="s">
        <v>1197</v>
      </c>
      <c r="E992" t="s">
        <v>1377</v>
      </c>
      <c r="F992" s="134">
        <v>0.32706018518518515</v>
      </c>
      <c r="G992" t="s">
        <v>1373</v>
      </c>
      <c r="H992" t="s">
        <v>1374</v>
      </c>
    </row>
    <row r="993" spans="1:8">
      <c r="A993">
        <v>10849486</v>
      </c>
      <c r="B993" t="s">
        <v>1264</v>
      </c>
      <c r="C993" t="s">
        <v>1263</v>
      </c>
      <c r="D993" t="s">
        <v>1197</v>
      </c>
      <c r="E993" t="s">
        <v>1378</v>
      </c>
      <c r="F993" s="134">
        <v>0.29510416666666667</v>
      </c>
      <c r="G993" t="s">
        <v>1371</v>
      </c>
      <c r="H993" t="s">
        <v>1372</v>
      </c>
    </row>
    <row r="994" spans="1:8">
      <c r="A994">
        <v>10849486</v>
      </c>
      <c r="B994" t="s">
        <v>1264</v>
      </c>
      <c r="C994" t="s">
        <v>1263</v>
      </c>
      <c r="D994" t="s">
        <v>1197</v>
      </c>
      <c r="E994" t="s">
        <v>1378</v>
      </c>
      <c r="F994" s="134">
        <v>0.63296296296296295</v>
      </c>
      <c r="G994" t="s">
        <v>1373</v>
      </c>
      <c r="H994" t="s">
        <v>1374</v>
      </c>
    </row>
    <row r="995" spans="1:8">
      <c r="A995">
        <v>10849486</v>
      </c>
      <c r="B995" t="s">
        <v>1264</v>
      </c>
      <c r="C995" t="s">
        <v>1263</v>
      </c>
      <c r="D995" t="s">
        <v>1197</v>
      </c>
      <c r="E995" t="s">
        <v>1378</v>
      </c>
      <c r="F995" s="134">
        <v>0.91795138888888894</v>
      </c>
      <c r="G995" t="s">
        <v>1371</v>
      </c>
      <c r="H995" t="s">
        <v>1372</v>
      </c>
    </row>
    <row r="996" spans="1:8">
      <c r="A996">
        <v>10849486</v>
      </c>
      <c r="B996" t="s">
        <v>1264</v>
      </c>
      <c r="C996" t="s">
        <v>1263</v>
      </c>
      <c r="D996" t="s">
        <v>1197</v>
      </c>
      <c r="E996" t="s">
        <v>1379</v>
      </c>
      <c r="F996" s="134">
        <v>0.32505787037037037</v>
      </c>
      <c r="G996" t="s">
        <v>1373</v>
      </c>
      <c r="H996" t="s">
        <v>1374</v>
      </c>
    </row>
    <row r="997" spans="1:8">
      <c r="A997">
        <v>10869222</v>
      </c>
      <c r="B997" t="s">
        <v>192</v>
      </c>
      <c r="C997" t="s">
        <v>598</v>
      </c>
      <c r="D997" t="s">
        <v>599</v>
      </c>
      <c r="E997" t="s">
        <v>1370</v>
      </c>
      <c r="F997" s="134">
        <v>0.93076388888888895</v>
      </c>
      <c r="G997" t="s">
        <v>1371</v>
      </c>
      <c r="H997" t="s">
        <v>1372</v>
      </c>
    </row>
    <row r="998" spans="1:8">
      <c r="A998">
        <v>10869222</v>
      </c>
      <c r="B998" t="s">
        <v>192</v>
      </c>
      <c r="C998" t="s">
        <v>598</v>
      </c>
      <c r="D998" t="s">
        <v>599</v>
      </c>
      <c r="E998" t="s">
        <v>1375</v>
      </c>
      <c r="F998" s="134">
        <v>0.30774305555555553</v>
      </c>
      <c r="G998" t="s">
        <v>1373</v>
      </c>
      <c r="H998" t="s">
        <v>1374</v>
      </c>
    </row>
    <row r="999" spans="1:8">
      <c r="A999">
        <v>10869222</v>
      </c>
      <c r="B999" t="s">
        <v>192</v>
      </c>
      <c r="C999" t="s">
        <v>598</v>
      </c>
      <c r="D999" t="s">
        <v>599</v>
      </c>
      <c r="E999" t="s">
        <v>1375</v>
      </c>
      <c r="F999" s="134">
        <v>0.94662037037037028</v>
      </c>
      <c r="G999" t="s">
        <v>1371</v>
      </c>
      <c r="H999" t="s">
        <v>1372</v>
      </c>
    </row>
    <row r="1000" spans="1:8">
      <c r="A1000">
        <v>10869222</v>
      </c>
      <c r="B1000" t="s">
        <v>192</v>
      </c>
      <c r="C1000" t="s">
        <v>598</v>
      </c>
      <c r="D1000" t="s">
        <v>599</v>
      </c>
      <c r="E1000" t="s">
        <v>1376</v>
      </c>
      <c r="F1000" s="134">
        <v>0.31278935185185186</v>
      </c>
      <c r="G1000" t="s">
        <v>1373</v>
      </c>
      <c r="H1000" t="s">
        <v>1374</v>
      </c>
    </row>
    <row r="1001" spans="1:8">
      <c r="A1001">
        <v>10869222</v>
      </c>
      <c r="B1001" t="s">
        <v>192</v>
      </c>
      <c r="C1001" t="s">
        <v>598</v>
      </c>
      <c r="D1001" t="s">
        <v>599</v>
      </c>
      <c r="E1001" t="s">
        <v>1376</v>
      </c>
      <c r="F1001" s="134">
        <v>0.92973379629629627</v>
      </c>
      <c r="G1001" t="s">
        <v>1371</v>
      </c>
      <c r="H1001" t="s">
        <v>1372</v>
      </c>
    </row>
    <row r="1002" spans="1:8">
      <c r="A1002">
        <v>10869222</v>
      </c>
      <c r="B1002" t="s">
        <v>192</v>
      </c>
      <c r="C1002" t="s">
        <v>598</v>
      </c>
      <c r="D1002" t="s">
        <v>599</v>
      </c>
      <c r="E1002" t="s">
        <v>1377</v>
      </c>
      <c r="F1002" s="134">
        <v>0.3167476851851852</v>
      </c>
      <c r="G1002" t="s">
        <v>1373</v>
      </c>
      <c r="H1002" t="s">
        <v>1374</v>
      </c>
    </row>
    <row r="1003" spans="1:8">
      <c r="A1003">
        <v>10869222</v>
      </c>
      <c r="B1003" t="s">
        <v>192</v>
      </c>
      <c r="C1003" t="s">
        <v>598</v>
      </c>
      <c r="D1003" t="s">
        <v>599</v>
      </c>
      <c r="E1003" t="s">
        <v>1377</v>
      </c>
      <c r="F1003" s="134">
        <v>0.93177083333333333</v>
      </c>
      <c r="G1003" t="s">
        <v>1371</v>
      </c>
      <c r="H1003" t="s">
        <v>1372</v>
      </c>
    </row>
    <row r="1004" spans="1:8">
      <c r="A1004">
        <v>10869222</v>
      </c>
      <c r="B1004" t="s">
        <v>192</v>
      </c>
      <c r="C1004" t="s">
        <v>598</v>
      </c>
      <c r="D1004" t="s">
        <v>599</v>
      </c>
      <c r="E1004" t="s">
        <v>1378</v>
      </c>
      <c r="F1004" s="134">
        <v>0.31081018518518516</v>
      </c>
      <c r="G1004" t="s">
        <v>1373</v>
      </c>
      <c r="H1004" t="s">
        <v>1374</v>
      </c>
    </row>
    <row r="1005" spans="1:8">
      <c r="A1005">
        <v>10869222</v>
      </c>
      <c r="B1005" t="s">
        <v>192</v>
      </c>
      <c r="C1005" t="s">
        <v>598</v>
      </c>
      <c r="D1005" t="s">
        <v>599</v>
      </c>
      <c r="E1005" t="s">
        <v>1378</v>
      </c>
      <c r="F1005" s="134">
        <v>0.93178240740740748</v>
      </c>
      <c r="G1005" t="s">
        <v>1371</v>
      </c>
      <c r="H1005" t="s">
        <v>1372</v>
      </c>
    </row>
    <row r="1006" spans="1:8">
      <c r="A1006">
        <v>10869222</v>
      </c>
      <c r="B1006" t="s">
        <v>192</v>
      </c>
      <c r="C1006" t="s">
        <v>598</v>
      </c>
      <c r="D1006" t="s">
        <v>599</v>
      </c>
      <c r="E1006" t="s">
        <v>1379</v>
      </c>
      <c r="F1006" s="134">
        <v>0.31009259259259259</v>
      </c>
      <c r="G1006" t="s">
        <v>1373</v>
      </c>
      <c r="H1006" t="s">
        <v>1374</v>
      </c>
    </row>
    <row r="1007" spans="1:8">
      <c r="A1007">
        <v>10874066</v>
      </c>
      <c r="B1007" t="s">
        <v>119</v>
      </c>
      <c r="C1007" t="s">
        <v>206</v>
      </c>
      <c r="D1007" t="s">
        <v>346</v>
      </c>
      <c r="E1007" t="s">
        <v>1370</v>
      </c>
      <c r="F1007" s="134">
        <v>0.60771990740740744</v>
      </c>
      <c r="G1007" t="s">
        <v>1371</v>
      </c>
      <c r="H1007" t="s">
        <v>1372</v>
      </c>
    </row>
    <row r="1008" spans="1:8">
      <c r="A1008">
        <v>10874066</v>
      </c>
      <c r="B1008" t="s">
        <v>119</v>
      </c>
      <c r="C1008" t="s">
        <v>206</v>
      </c>
      <c r="D1008" t="s">
        <v>346</v>
      </c>
      <c r="E1008" t="s">
        <v>1370</v>
      </c>
      <c r="F1008" s="134">
        <v>0.94680555555555557</v>
      </c>
      <c r="G1008" t="s">
        <v>1373</v>
      </c>
      <c r="H1008" t="s">
        <v>1374</v>
      </c>
    </row>
    <row r="1009" spans="1:8">
      <c r="A1009">
        <v>10874066</v>
      </c>
      <c r="B1009" t="s">
        <v>119</v>
      </c>
      <c r="C1009" t="s">
        <v>206</v>
      </c>
      <c r="D1009" t="s">
        <v>346</v>
      </c>
      <c r="E1009" t="s">
        <v>1375</v>
      </c>
      <c r="F1009" s="134">
        <v>0.61027777777777781</v>
      </c>
      <c r="G1009" t="s">
        <v>1371</v>
      </c>
      <c r="H1009" t="s">
        <v>1372</v>
      </c>
    </row>
    <row r="1010" spans="1:8">
      <c r="A1010">
        <v>10874066</v>
      </c>
      <c r="B1010" t="s">
        <v>119</v>
      </c>
      <c r="C1010" t="s">
        <v>206</v>
      </c>
      <c r="D1010" t="s">
        <v>346</v>
      </c>
      <c r="E1010" t="s">
        <v>1375</v>
      </c>
      <c r="F1010" s="134">
        <v>0.94773148148148145</v>
      </c>
      <c r="G1010" t="s">
        <v>1373</v>
      </c>
      <c r="H1010" t="s">
        <v>1374</v>
      </c>
    </row>
    <row r="1011" spans="1:8">
      <c r="A1011">
        <v>10874066</v>
      </c>
      <c r="B1011" t="s">
        <v>119</v>
      </c>
      <c r="C1011" t="s">
        <v>206</v>
      </c>
      <c r="D1011" t="s">
        <v>346</v>
      </c>
      <c r="E1011" t="s">
        <v>1376</v>
      </c>
      <c r="F1011" s="134">
        <v>0.94709490740740743</v>
      </c>
      <c r="G1011" t="s">
        <v>1373</v>
      </c>
      <c r="H1011" t="s">
        <v>1374</v>
      </c>
    </row>
    <row r="1012" spans="1:8">
      <c r="A1012">
        <v>10874066</v>
      </c>
      <c r="B1012" t="s">
        <v>119</v>
      </c>
      <c r="C1012" t="s">
        <v>206</v>
      </c>
      <c r="D1012" t="s">
        <v>346</v>
      </c>
      <c r="E1012" t="s">
        <v>1376</v>
      </c>
      <c r="F1012" s="134">
        <v>0.6083912037037037</v>
      </c>
      <c r="G1012" t="s">
        <v>1371</v>
      </c>
      <c r="H1012" t="s">
        <v>1372</v>
      </c>
    </row>
    <row r="1013" spans="1:8">
      <c r="A1013">
        <v>10874066</v>
      </c>
      <c r="B1013" t="s">
        <v>119</v>
      </c>
      <c r="C1013" t="s">
        <v>206</v>
      </c>
      <c r="D1013" t="s">
        <v>346</v>
      </c>
      <c r="E1013" t="s">
        <v>1377</v>
      </c>
      <c r="F1013" s="134">
        <v>0.60844907407407411</v>
      </c>
      <c r="G1013" t="s">
        <v>1371</v>
      </c>
      <c r="H1013" t="s">
        <v>1372</v>
      </c>
    </row>
    <row r="1014" spans="1:8">
      <c r="A1014">
        <v>10874066</v>
      </c>
      <c r="B1014" t="s">
        <v>119</v>
      </c>
      <c r="C1014" t="s">
        <v>206</v>
      </c>
      <c r="D1014" t="s">
        <v>346</v>
      </c>
      <c r="E1014" t="s">
        <v>1377</v>
      </c>
      <c r="F1014" s="134">
        <v>0.94778935185185187</v>
      </c>
      <c r="G1014" t="s">
        <v>1373</v>
      </c>
      <c r="H1014" t="s">
        <v>1374</v>
      </c>
    </row>
    <row r="1015" spans="1:8">
      <c r="A1015">
        <v>10874066</v>
      </c>
      <c r="B1015" t="s">
        <v>119</v>
      </c>
      <c r="C1015" t="s">
        <v>206</v>
      </c>
      <c r="D1015" t="s">
        <v>346</v>
      </c>
      <c r="E1015" t="s">
        <v>1378</v>
      </c>
      <c r="F1015" s="134">
        <v>0.60895833333333338</v>
      </c>
      <c r="G1015" t="s">
        <v>1371</v>
      </c>
      <c r="H1015" t="s">
        <v>1372</v>
      </c>
    </row>
    <row r="1016" spans="1:8">
      <c r="A1016">
        <v>10874066</v>
      </c>
      <c r="B1016" t="s">
        <v>119</v>
      </c>
      <c r="C1016" t="s">
        <v>206</v>
      </c>
      <c r="D1016" t="s">
        <v>346</v>
      </c>
      <c r="E1016" t="s">
        <v>1378</v>
      </c>
      <c r="F1016" s="134">
        <v>0.94665509259259262</v>
      </c>
      <c r="G1016" t="s">
        <v>1373</v>
      </c>
      <c r="H1016" t="s">
        <v>1374</v>
      </c>
    </row>
    <row r="1017" spans="1:8">
      <c r="A1017">
        <v>10874066</v>
      </c>
      <c r="B1017" t="s">
        <v>119</v>
      </c>
      <c r="C1017" t="s">
        <v>206</v>
      </c>
      <c r="D1017" t="s">
        <v>346</v>
      </c>
      <c r="E1017" t="s">
        <v>1379</v>
      </c>
      <c r="F1017" s="134">
        <v>0.60993055555555553</v>
      </c>
      <c r="G1017" t="s">
        <v>1371</v>
      </c>
      <c r="H1017" t="s">
        <v>1372</v>
      </c>
    </row>
    <row r="1018" spans="1:8">
      <c r="A1018">
        <v>10874066</v>
      </c>
      <c r="B1018" t="s">
        <v>119</v>
      </c>
      <c r="C1018" t="s">
        <v>206</v>
      </c>
      <c r="D1018" t="s">
        <v>346</v>
      </c>
      <c r="E1018" t="s">
        <v>1379</v>
      </c>
      <c r="F1018" s="134">
        <v>0.94085648148148149</v>
      </c>
      <c r="G1018" t="s">
        <v>1373</v>
      </c>
      <c r="H1018" t="s">
        <v>1374</v>
      </c>
    </row>
    <row r="1019" spans="1:8">
      <c r="A1019">
        <v>10876404</v>
      </c>
      <c r="B1019" t="s">
        <v>796</v>
      </c>
      <c r="C1019" t="s">
        <v>153</v>
      </c>
      <c r="D1019" t="s">
        <v>795</v>
      </c>
      <c r="E1019" t="s">
        <v>1370</v>
      </c>
      <c r="F1019" s="134">
        <v>0.60568287037037039</v>
      </c>
      <c r="G1019" t="s">
        <v>1371</v>
      </c>
      <c r="H1019" t="s">
        <v>1372</v>
      </c>
    </row>
    <row r="1020" spans="1:8">
      <c r="A1020">
        <v>10876404</v>
      </c>
      <c r="B1020" t="s">
        <v>796</v>
      </c>
      <c r="C1020" t="s">
        <v>153</v>
      </c>
      <c r="D1020" t="s">
        <v>795</v>
      </c>
      <c r="E1020" t="s">
        <v>1370</v>
      </c>
      <c r="F1020" s="134">
        <v>0.94627314814814811</v>
      </c>
      <c r="G1020" t="s">
        <v>1373</v>
      </c>
      <c r="H1020" t="s">
        <v>1374</v>
      </c>
    </row>
    <row r="1021" spans="1:8">
      <c r="A1021">
        <v>10876404</v>
      </c>
      <c r="B1021" t="s">
        <v>796</v>
      </c>
      <c r="C1021" t="s">
        <v>153</v>
      </c>
      <c r="D1021" t="s">
        <v>795</v>
      </c>
      <c r="E1021" t="s">
        <v>1375</v>
      </c>
      <c r="F1021" s="134">
        <v>0.60666666666666669</v>
      </c>
      <c r="G1021" t="s">
        <v>1371</v>
      </c>
      <c r="H1021" t="s">
        <v>1372</v>
      </c>
    </row>
    <row r="1022" spans="1:8">
      <c r="A1022">
        <v>10876404</v>
      </c>
      <c r="B1022" t="s">
        <v>796</v>
      </c>
      <c r="C1022" t="s">
        <v>153</v>
      </c>
      <c r="D1022" t="s">
        <v>795</v>
      </c>
      <c r="E1022" t="s">
        <v>1375</v>
      </c>
      <c r="F1022" s="134">
        <v>0.94906250000000003</v>
      </c>
      <c r="G1022" t="s">
        <v>1373</v>
      </c>
      <c r="H1022" t="s">
        <v>1374</v>
      </c>
    </row>
    <row r="1023" spans="1:8">
      <c r="A1023">
        <v>10876404</v>
      </c>
      <c r="B1023" t="s">
        <v>796</v>
      </c>
      <c r="C1023" t="s">
        <v>153</v>
      </c>
      <c r="D1023" t="s">
        <v>795</v>
      </c>
      <c r="E1023" t="s">
        <v>1376</v>
      </c>
      <c r="F1023" s="134">
        <v>0.94906250000000003</v>
      </c>
      <c r="G1023" t="s">
        <v>1373</v>
      </c>
      <c r="H1023" t="s">
        <v>1374</v>
      </c>
    </row>
    <row r="1024" spans="1:8">
      <c r="A1024">
        <v>10876404</v>
      </c>
      <c r="B1024" t="s">
        <v>796</v>
      </c>
      <c r="C1024" t="s">
        <v>153</v>
      </c>
      <c r="D1024" t="s">
        <v>795</v>
      </c>
      <c r="E1024" t="s">
        <v>1376</v>
      </c>
      <c r="F1024" s="134">
        <v>0.60707175925925927</v>
      </c>
      <c r="G1024" t="s">
        <v>1371</v>
      </c>
      <c r="H1024" t="s">
        <v>1372</v>
      </c>
    </row>
    <row r="1025" spans="1:8">
      <c r="A1025">
        <v>10876404</v>
      </c>
      <c r="B1025" t="s">
        <v>796</v>
      </c>
      <c r="C1025" t="s">
        <v>153</v>
      </c>
      <c r="D1025" t="s">
        <v>795</v>
      </c>
      <c r="E1025" t="s">
        <v>1377</v>
      </c>
      <c r="F1025" s="134">
        <v>0.60576388888888888</v>
      </c>
      <c r="G1025" t="s">
        <v>1371</v>
      </c>
      <c r="H1025" t="s">
        <v>1372</v>
      </c>
    </row>
    <row r="1026" spans="1:8">
      <c r="A1026">
        <v>10876404</v>
      </c>
      <c r="B1026" t="s">
        <v>796</v>
      </c>
      <c r="C1026" t="s">
        <v>153</v>
      </c>
      <c r="D1026" t="s">
        <v>795</v>
      </c>
      <c r="E1026" t="s">
        <v>1377</v>
      </c>
      <c r="F1026" s="134">
        <v>0.94956018518518526</v>
      </c>
      <c r="G1026" t="s">
        <v>1373</v>
      </c>
      <c r="H1026" t="s">
        <v>1374</v>
      </c>
    </row>
    <row r="1027" spans="1:8">
      <c r="A1027">
        <v>10876404</v>
      </c>
      <c r="B1027" t="s">
        <v>796</v>
      </c>
      <c r="C1027" t="s">
        <v>153</v>
      </c>
      <c r="D1027" t="s">
        <v>795</v>
      </c>
      <c r="E1027" t="s">
        <v>1378</v>
      </c>
      <c r="F1027" s="134">
        <v>0.60689814814814813</v>
      </c>
      <c r="G1027" t="s">
        <v>1371</v>
      </c>
      <c r="H1027" t="s">
        <v>1372</v>
      </c>
    </row>
    <row r="1028" spans="1:8">
      <c r="A1028">
        <v>10876404</v>
      </c>
      <c r="B1028" t="s">
        <v>796</v>
      </c>
      <c r="C1028" t="s">
        <v>153</v>
      </c>
      <c r="D1028" t="s">
        <v>795</v>
      </c>
      <c r="E1028" t="s">
        <v>1378</v>
      </c>
      <c r="F1028" s="134">
        <v>0.95172453703703708</v>
      </c>
      <c r="G1028" t="s">
        <v>1373</v>
      </c>
      <c r="H1028" t="s">
        <v>1374</v>
      </c>
    </row>
    <row r="1029" spans="1:8">
      <c r="A1029">
        <v>10876404</v>
      </c>
      <c r="B1029" t="s">
        <v>796</v>
      </c>
      <c r="C1029" t="s">
        <v>153</v>
      </c>
      <c r="D1029" t="s">
        <v>795</v>
      </c>
      <c r="E1029" t="s">
        <v>1379</v>
      </c>
      <c r="F1029" s="134">
        <v>0.61408564814814814</v>
      </c>
      <c r="G1029" t="s">
        <v>1371</v>
      </c>
      <c r="H1029" t="s">
        <v>1372</v>
      </c>
    </row>
    <row r="1030" spans="1:8">
      <c r="A1030">
        <v>10876404</v>
      </c>
      <c r="B1030" t="s">
        <v>796</v>
      </c>
      <c r="C1030" t="s">
        <v>153</v>
      </c>
      <c r="D1030" t="s">
        <v>795</v>
      </c>
      <c r="E1030" t="s">
        <v>1379</v>
      </c>
      <c r="F1030" s="134">
        <v>0.94915509259259256</v>
      </c>
      <c r="G1030" t="s">
        <v>1373</v>
      </c>
      <c r="H1030" t="s">
        <v>1374</v>
      </c>
    </row>
    <row r="1031" spans="1:8">
      <c r="A1031">
        <v>10933716</v>
      </c>
      <c r="B1031" t="s">
        <v>944</v>
      </c>
      <c r="C1031" t="s">
        <v>854</v>
      </c>
      <c r="D1031" t="s">
        <v>943</v>
      </c>
      <c r="E1031" t="s">
        <v>1381</v>
      </c>
      <c r="F1031" s="134">
        <v>0</v>
      </c>
    </row>
    <row r="1032" spans="1:8">
      <c r="A1032">
        <v>10970380</v>
      </c>
      <c r="B1032" t="s">
        <v>573</v>
      </c>
      <c r="C1032" t="s">
        <v>568</v>
      </c>
      <c r="D1032" t="s">
        <v>60</v>
      </c>
      <c r="E1032" t="s">
        <v>1370</v>
      </c>
      <c r="F1032" s="134">
        <v>0.30530092592592589</v>
      </c>
      <c r="G1032" t="s">
        <v>1371</v>
      </c>
      <c r="H1032" t="s">
        <v>1372</v>
      </c>
    </row>
    <row r="1033" spans="1:8">
      <c r="A1033">
        <v>10970380</v>
      </c>
      <c r="B1033" t="s">
        <v>573</v>
      </c>
      <c r="C1033" t="s">
        <v>568</v>
      </c>
      <c r="D1033" t="s">
        <v>60</v>
      </c>
      <c r="E1033" t="s">
        <v>1370</v>
      </c>
      <c r="F1033" s="134">
        <v>0.63187499999999996</v>
      </c>
      <c r="G1033" t="s">
        <v>1373</v>
      </c>
      <c r="H1033" t="s">
        <v>1374</v>
      </c>
    </row>
    <row r="1034" spans="1:8">
      <c r="A1034">
        <v>10970380</v>
      </c>
      <c r="B1034" t="s">
        <v>573</v>
      </c>
      <c r="C1034" t="s">
        <v>568</v>
      </c>
      <c r="D1034" t="s">
        <v>60</v>
      </c>
      <c r="E1034" t="s">
        <v>1375</v>
      </c>
      <c r="F1034" s="134">
        <v>0.30247685185185186</v>
      </c>
      <c r="G1034" t="s">
        <v>1371</v>
      </c>
      <c r="H1034" t="s">
        <v>1372</v>
      </c>
    </row>
    <row r="1035" spans="1:8">
      <c r="A1035">
        <v>10970380</v>
      </c>
      <c r="B1035" t="s">
        <v>573</v>
      </c>
      <c r="C1035" t="s">
        <v>568</v>
      </c>
      <c r="D1035" t="s">
        <v>60</v>
      </c>
      <c r="E1035" t="s">
        <v>1375</v>
      </c>
      <c r="F1035" s="134">
        <v>0.63237268518518519</v>
      </c>
      <c r="G1035" t="s">
        <v>1373</v>
      </c>
      <c r="H1035" t="s">
        <v>1374</v>
      </c>
    </row>
    <row r="1036" spans="1:8">
      <c r="A1036">
        <v>10970380</v>
      </c>
      <c r="B1036" t="s">
        <v>573</v>
      </c>
      <c r="C1036" t="s">
        <v>568</v>
      </c>
      <c r="D1036" t="s">
        <v>60</v>
      </c>
      <c r="E1036" t="s">
        <v>1376</v>
      </c>
      <c r="F1036" s="134">
        <v>0.63218750000000001</v>
      </c>
      <c r="G1036" t="s">
        <v>1373</v>
      </c>
      <c r="H1036" t="s">
        <v>1374</v>
      </c>
    </row>
    <row r="1037" spans="1:8">
      <c r="A1037">
        <v>10970380</v>
      </c>
      <c r="B1037" t="s">
        <v>573</v>
      </c>
      <c r="C1037" t="s">
        <v>568</v>
      </c>
      <c r="D1037" t="s">
        <v>60</v>
      </c>
      <c r="E1037" t="s">
        <v>1376</v>
      </c>
      <c r="F1037" s="134">
        <v>0.30454861111111114</v>
      </c>
      <c r="G1037" t="s">
        <v>1371</v>
      </c>
      <c r="H1037" t="s">
        <v>1372</v>
      </c>
    </row>
    <row r="1038" spans="1:8">
      <c r="A1038">
        <v>10970380</v>
      </c>
      <c r="B1038" t="s">
        <v>573</v>
      </c>
      <c r="C1038" t="s">
        <v>568</v>
      </c>
      <c r="D1038" t="s">
        <v>60</v>
      </c>
      <c r="E1038" t="s">
        <v>1377</v>
      </c>
      <c r="F1038" s="134">
        <v>0.30394675925925924</v>
      </c>
      <c r="G1038" t="s">
        <v>1371</v>
      </c>
      <c r="H1038" t="s">
        <v>1372</v>
      </c>
    </row>
    <row r="1039" spans="1:8">
      <c r="A1039">
        <v>10970380</v>
      </c>
      <c r="B1039" t="s">
        <v>573</v>
      </c>
      <c r="C1039" t="s">
        <v>568</v>
      </c>
      <c r="D1039" t="s">
        <v>60</v>
      </c>
      <c r="E1039" t="s">
        <v>1377</v>
      </c>
      <c r="F1039" s="134">
        <v>0.63209490740740748</v>
      </c>
      <c r="G1039" t="s">
        <v>1373</v>
      </c>
      <c r="H1039" t="s">
        <v>1374</v>
      </c>
    </row>
    <row r="1040" spans="1:8">
      <c r="A1040">
        <v>10970380</v>
      </c>
      <c r="B1040" t="s">
        <v>573</v>
      </c>
      <c r="C1040" t="s">
        <v>568</v>
      </c>
      <c r="D1040" t="s">
        <v>60</v>
      </c>
      <c r="E1040" t="s">
        <v>1378</v>
      </c>
      <c r="F1040" s="134">
        <v>0.30432870370370374</v>
      </c>
      <c r="G1040" t="s">
        <v>1371</v>
      </c>
      <c r="H1040" t="s">
        <v>1372</v>
      </c>
    </row>
    <row r="1041" spans="1:8">
      <c r="A1041">
        <v>10970380</v>
      </c>
      <c r="B1041" t="s">
        <v>573</v>
      </c>
      <c r="C1041" t="s">
        <v>568</v>
      </c>
      <c r="D1041" t="s">
        <v>60</v>
      </c>
      <c r="E1041" t="s">
        <v>1378</v>
      </c>
      <c r="F1041" s="134">
        <v>0.63211805555555556</v>
      </c>
      <c r="G1041" t="s">
        <v>1373</v>
      </c>
      <c r="H1041" t="s">
        <v>1374</v>
      </c>
    </row>
    <row r="1042" spans="1:8">
      <c r="A1042">
        <v>10970380</v>
      </c>
      <c r="B1042" t="s">
        <v>573</v>
      </c>
      <c r="C1042" t="s">
        <v>568</v>
      </c>
      <c r="D1042" t="s">
        <v>60</v>
      </c>
      <c r="E1042" t="s">
        <v>1379</v>
      </c>
      <c r="F1042" s="134">
        <v>0.30809027777777781</v>
      </c>
      <c r="G1042" t="s">
        <v>1371</v>
      </c>
      <c r="H1042" t="s">
        <v>1372</v>
      </c>
    </row>
    <row r="1043" spans="1:8">
      <c r="A1043">
        <v>10970380</v>
      </c>
      <c r="B1043" t="s">
        <v>573</v>
      </c>
      <c r="C1043" t="s">
        <v>568</v>
      </c>
      <c r="D1043" t="s">
        <v>60</v>
      </c>
      <c r="E1043" t="s">
        <v>1379</v>
      </c>
      <c r="F1043" s="134">
        <v>0.6320486111111111</v>
      </c>
      <c r="G1043" t="s">
        <v>1373</v>
      </c>
      <c r="H1043" t="s">
        <v>1374</v>
      </c>
    </row>
    <row r="1044" spans="1:8">
      <c r="A1044">
        <v>11123851</v>
      </c>
      <c r="B1044" t="s">
        <v>89</v>
      </c>
      <c r="C1044" t="s">
        <v>1089</v>
      </c>
      <c r="D1044" t="s">
        <v>110</v>
      </c>
      <c r="E1044" t="s">
        <v>1370</v>
      </c>
      <c r="F1044" s="134">
        <v>0.29484953703703703</v>
      </c>
      <c r="G1044" t="s">
        <v>1371</v>
      </c>
      <c r="H1044" t="s">
        <v>1372</v>
      </c>
    </row>
    <row r="1045" spans="1:8">
      <c r="A1045">
        <v>11123851</v>
      </c>
      <c r="B1045" t="s">
        <v>89</v>
      </c>
      <c r="C1045" t="s">
        <v>1089</v>
      </c>
      <c r="D1045" t="s">
        <v>110</v>
      </c>
      <c r="E1045" t="s">
        <v>1370</v>
      </c>
      <c r="F1045" s="134">
        <v>0.63593749999999993</v>
      </c>
      <c r="G1045" t="s">
        <v>1373</v>
      </c>
      <c r="H1045" t="s">
        <v>1374</v>
      </c>
    </row>
    <row r="1046" spans="1:8">
      <c r="A1046">
        <v>11123851</v>
      </c>
      <c r="B1046" t="s">
        <v>89</v>
      </c>
      <c r="C1046" t="s">
        <v>1089</v>
      </c>
      <c r="D1046" t="s">
        <v>110</v>
      </c>
      <c r="E1046" t="s">
        <v>1375</v>
      </c>
      <c r="F1046" s="134">
        <v>0.30207175925925928</v>
      </c>
      <c r="G1046" t="s">
        <v>1371</v>
      </c>
      <c r="H1046" t="s">
        <v>1372</v>
      </c>
    </row>
    <row r="1047" spans="1:8">
      <c r="A1047">
        <v>11123851</v>
      </c>
      <c r="B1047" t="s">
        <v>89</v>
      </c>
      <c r="C1047" t="s">
        <v>1089</v>
      </c>
      <c r="D1047" t="s">
        <v>110</v>
      </c>
      <c r="E1047" t="s">
        <v>1375</v>
      </c>
      <c r="F1047" s="134">
        <v>0.63447916666666659</v>
      </c>
      <c r="G1047" t="s">
        <v>1373</v>
      </c>
      <c r="H1047" t="s">
        <v>1374</v>
      </c>
    </row>
    <row r="1048" spans="1:8">
      <c r="A1048">
        <v>11123851</v>
      </c>
      <c r="B1048" t="s">
        <v>89</v>
      </c>
      <c r="C1048" t="s">
        <v>1089</v>
      </c>
      <c r="D1048" t="s">
        <v>110</v>
      </c>
      <c r="E1048" t="s">
        <v>1376</v>
      </c>
      <c r="F1048" s="134">
        <v>0.64119212962962957</v>
      </c>
      <c r="G1048" t="s">
        <v>1373</v>
      </c>
      <c r="H1048" t="s">
        <v>1374</v>
      </c>
    </row>
    <row r="1049" spans="1:8">
      <c r="A1049">
        <v>11123851</v>
      </c>
      <c r="B1049" t="s">
        <v>89</v>
      </c>
      <c r="C1049" t="s">
        <v>1089</v>
      </c>
      <c r="D1049" t="s">
        <v>110</v>
      </c>
      <c r="E1049" t="s">
        <v>1376</v>
      </c>
      <c r="F1049" s="134">
        <v>0.29564814814814816</v>
      </c>
      <c r="G1049" t="s">
        <v>1371</v>
      </c>
      <c r="H1049" t="s">
        <v>1372</v>
      </c>
    </row>
    <row r="1050" spans="1:8">
      <c r="A1050">
        <v>11123851</v>
      </c>
      <c r="B1050" t="s">
        <v>89</v>
      </c>
      <c r="C1050" t="s">
        <v>1089</v>
      </c>
      <c r="D1050" t="s">
        <v>110</v>
      </c>
      <c r="E1050" t="s">
        <v>1377</v>
      </c>
      <c r="F1050" s="134">
        <v>0.29615740740740742</v>
      </c>
      <c r="G1050" t="s">
        <v>1371</v>
      </c>
      <c r="H1050" t="s">
        <v>1372</v>
      </c>
    </row>
    <row r="1051" spans="1:8">
      <c r="A1051">
        <v>11123851</v>
      </c>
      <c r="B1051" t="s">
        <v>89</v>
      </c>
      <c r="C1051" t="s">
        <v>1089</v>
      </c>
      <c r="D1051" t="s">
        <v>110</v>
      </c>
      <c r="E1051" t="s">
        <v>1377</v>
      </c>
      <c r="F1051" s="134">
        <v>0.63465277777777784</v>
      </c>
      <c r="G1051" t="s">
        <v>1373</v>
      </c>
      <c r="H1051" t="s">
        <v>1374</v>
      </c>
    </row>
    <row r="1052" spans="1:8">
      <c r="A1052">
        <v>11123851</v>
      </c>
      <c r="B1052" t="s">
        <v>89</v>
      </c>
      <c r="C1052" t="s">
        <v>1089</v>
      </c>
      <c r="D1052" t="s">
        <v>110</v>
      </c>
      <c r="E1052" t="s">
        <v>1378</v>
      </c>
      <c r="F1052" s="134">
        <v>0.29410879629629633</v>
      </c>
      <c r="G1052" t="s">
        <v>1371</v>
      </c>
      <c r="H1052" t="s">
        <v>1372</v>
      </c>
    </row>
    <row r="1053" spans="1:8">
      <c r="A1053">
        <v>11123851</v>
      </c>
      <c r="B1053" t="s">
        <v>89</v>
      </c>
      <c r="C1053" t="s">
        <v>1089</v>
      </c>
      <c r="D1053" t="s">
        <v>110</v>
      </c>
      <c r="E1053" t="s">
        <v>1378</v>
      </c>
      <c r="F1053" s="134">
        <v>0.63423611111111111</v>
      </c>
      <c r="G1053" t="s">
        <v>1373</v>
      </c>
      <c r="H1053" t="s">
        <v>1374</v>
      </c>
    </row>
    <row r="1054" spans="1:8">
      <c r="A1054">
        <v>11123851</v>
      </c>
      <c r="B1054" t="s">
        <v>89</v>
      </c>
      <c r="C1054" t="s">
        <v>1089</v>
      </c>
      <c r="D1054" t="s">
        <v>110</v>
      </c>
      <c r="E1054" t="s">
        <v>1379</v>
      </c>
      <c r="F1054" s="134">
        <v>0.29577546296296298</v>
      </c>
      <c r="G1054" t="s">
        <v>1371</v>
      </c>
      <c r="H1054" t="s">
        <v>1372</v>
      </c>
    </row>
    <row r="1055" spans="1:8">
      <c r="A1055">
        <v>11123851</v>
      </c>
      <c r="B1055" t="s">
        <v>89</v>
      </c>
      <c r="C1055" t="s">
        <v>1089</v>
      </c>
      <c r="D1055" t="s">
        <v>110</v>
      </c>
      <c r="E1055" t="s">
        <v>1379</v>
      </c>
      <c r="F1055" s="134">
        <v>0.63624999999999998</v>
      </c>
      <c r="G1055" t="s">
        <v>1373</v>
      </c>
      <c r="H1055" t="s">
        <v>1374</v>
      </c>
    </row>
    <row r="1056" spans="1:8">
      <c r="A1056">
        <v>11124307</v>
      </c>
      <c r="B1056" t="s">
        <v>702</v>
      </c>
      <c r="C1056" t="s">
        <v>60</v>
      </c>
      <c r="D1056" t="s">
        <v>701</v>
      </c>
      <c r="E1056" t="s">
        <v>1370</v>
      </c>
      <c r="F1056" s="134">
        <v>0.28141203703703704</v>
      </c>
      <c r="G1056" t="s">
        <v>1371</v>
      </c>
      <c r="H1056" t="s">
        <v>1372</v>
      </c>
    </row>
    <row r="1057" spans="1:8">
      <c r="A1057">
        <v>11124307</v>
      </c>
      <c r="B1057" t="s">
        <v>702</v>
      </c>
      <c r="C1057" t="s">
        <v>60</v>
      </c>
      <c r="D1057" t="s">
        <v>701</v>
      </c>
      <c r="E1057" t="s">
        <v>1370</v>
      </c>
      <c r="F1057" s="134">
        <v>0.63733796296296297</v>
      </c>
      <c r="G1057" t="s">
        <v>1373</v>
      </c>
      <c r="H1057" t="s">
        <v>1374</v>
      </c>
    </row>
    <row r="1058" spans="1:8">
      <c r="A1058">
        <v>11124307</v>
      </c>
      <c r="B1058" t="s">
        <v>702</v>
      </c>
      <c r="C1058" t="s">
        <v>60</v>
      </c>
      <c r="D1058" t="s">
        <v>701</v>
      </c>
      <c r="E1058" t="s">
        <v>1375</v>
      </c>
      <c r="F1058" s="134">
        <v>0.29148148148148151</v>
      </c>
      <c r="G1058" t="s">
        <v>1371</v>
      </c>
      <c r="H1058" t="s">
        <v>1372</v>
      </c>
    </row>
    <row r="1059" spans="1:8">
      <c r="A1059">
        <v>11124307</v>
      </c>
      <c r="B1059" t="s">
        <v>702</v>
      </c>
      <c r="C1059" t="s">
        <v>60</v>
      </c>
      <c r="D1059" t="s">
        <v>701</v>
      </c>
      <c r="E1059" t="s">
        <v>1375</v>
      </c>
      <c r="F1059" s="134">
        <v>0.6361458333333333</v>
      </c>
      <c r="G1059" t="s">
        <v>1373</v>
      </c>
      <c r="H1059" t="s">
        <v>1374</v>
      </c>
    </row>
    <row r="1060" spans="1:8">
      <c r="A1060">
        <v>11124307</v>
      </c>
      <c r="B1060" t="s">
        <v>702</v>
      </c>
      <c r="C1060" t="s">
        <v>60</v>
      </c>
      <c r="D1060" t="s">
        <v>701</v>
      </c>
      <c r="E1060" t="s">
        <v>1376</v>
      </c>
      <c r="F1060" s="134">
        <v>0.63784722222222223</v>
      </c>
      <c r="G1060" t="s">
        <v>1373</v>
      </c>
      <c r="H1060" t="s">
        <v>1374</v>
      </c>
    </row>
    <row r="1061" spans="1:8">
      <c r="A1061">
        <v>11124307</v>
      </c>
      <c r="B1061" t="s">
        <v>702</v>
      </c>
      <c r="C1061" t="s">
        <v>60</v>
      </c>
      <c r="D1061" t="s">
        <v>701</v>
      </c>
      <c r="E1061" t="s">
        <v>1376</v>
      </c>
      <c r="F1061" s="134">
        <v>0.29221064814814818</v>
      </c>
      <c r="G1061" t="s">
        <v>1371</v>
      </c>
      <c r="H1061" t="s">
        <v>1372</v>
      </c>
    </row>
    <row r="1062" spans="1:8">
      <c r="A1062">
        <v>11124307</v>
      </c>
      <c r="B1062" t="s">
        <v>702</v>
      </c>
      <c r="C1062" t="s">
        <v>60</v>
      </c>
      <c r="D1062" t="s">
        <v>701</v>
      </c>
      <c r="E1062" t="s">
        <v>1377</v>
      </c>
      <c r="F1062" s="134">
        <v>0.29059027777777779</v>
      </c>
      <c r="G1062" t="s">
        <v>1371</v>
      </c>
      <c r="H1062" t="s">
        <v>1372</v>
      </c>
    </row>
    <row r="1063" spans="1:8">
      <c r="A1063">
        <v>11124307</v>
      </c>
      <c r="B1063" t="s">
        <v>702</v>
      </c>
      <c r="C1063" t="s">
        <v>60</v>
      </c>
      <c r="D1063" t="s">
        <v>701</v>
      </c>
      <c r="E1063" t="s">
        <v>1377</v>
      </c>
      <c r="F1063" s="134">
        <v>0.63512731481481477</v>
      </c>
      <c r="G1063" t="s">
        <v>1373</v>
      </c>
      <c r="H1063" t="s">
        <v>1374</v>
      </c>
    </row>
    <row r="1064" spans="1:8">
      <c r="A1064">
        <v>11124307</v>
      </c>
      <c r="B1064" t="s">
        <v>702</v>
      </c>
      <c r="C1064" t="s">
        <v>60</v>
      </c>
      <c r="D1064" t="s">
        <v>701</v>
      </c>
      <c r="E1064" t="s">
        <v>1378</v>
      </c>
      <c r="F1064" s="134">
        <v>0.29434027777777777</v>
      </c>
      <c r="G1064" t="s">
        <v>1371</v>
      </c>
      <c r="H1064" t="s">
        <v>1372</v>
      </c>
    </row>
    <row r="1065" spans="1:8">
      <c r="A1065">
        <v>11124307</v>
      </c>
      <c r="B1065" t="s">
        <v>702</v>
      </c>
      <c r="C1065" t="s">
        <v>60</v>
      </c>
      <c r="D1065" t="s">
        <v>701</v>
      </c>
      <c r="E1065" t="s">
        <v>1378</v>
      </c>
      <c r="F1065" s="134">
        <v>0.63831018518518523</v>
      </c>
      <c r="G1065" t="s">
        <v>1373</v>
      </c>
      <c r="H1065" t="s">
        <v>1374</v>
      </c>
    </row>
    <row r="1066" spans="1:8">
      <c r="A1066">
        <v>11124307</v>
      </c>
      <c r="B1066" t="s">
        <v>702</v>
      </c>
      <c r="C1066" t="s">
        <v>60</v>
      </c>
      <c r="D1066" t="s">
        <v>701</v>
      </c>
      <c r="E1066" t="s">
        <v>1379</v>
      </c>
      <c r="F1066" s="134">
        <v>0.29092592592592592</v>
      </c>
      <c r="G1066" t="s">
        <v>1371</v>
      </c>
      <c r="H1066" t="s">
        <v>1372</v>
      </c>
    </row>
    <row r="1067" spans="1:8">
      <c r="A1067">
        <v>11124307</v>
      </c>
      <c r="B1067" t="s">
        <v>702</v>
      </c>
      <c r="C1067" t="s">
        <v>60</v>
      </c>
      <c r="D1067" t="s">
        <v>701</v>
      </c>
      <c r="E1067" t="s">
        <v>1379</v>
      </c>
      <c r="F1067" s="134">
        <v>0.63694444444444442</v>
      </c>
      <c r="G1067" t="s">
        <v>1373</v>
      </c>
      <c r="H1067" t="s">
        <v>1374</v>
      </c>
    </row>
    <row r="1068" spans="1:8">
      <c r="A1068">
        <v>11267594</v>
      </c>
      <c r="B1068" t="s">
        <v>388</v>
      </c>
      <c r="C1068" t="s">
        <v>386</v>
      </c>
      <c r="D1068" t="s">
        <v>387</v>
      </c>
      <c r="E1068" t="s">
        <v>1370</v>
      </c>
      <c r="F1068" s="134">
        <v>0.2911111111111111</v>
      </c>
      <c r="G1068" t="s">
        <v>1371</v>
      </c>
      <c r="H1068" t="s">
        <v>1372</v>
      </c>
    </row>
    <row r="1069" spans="1:8">
      <c r="A1069">
        <v>11267594</v>
      </c>
      <c r="B1069" t="s">
        <v>388</v>
      </c>
      <c r="C1069" t="s">
        <v>386</v>
      </c>
      <c r="D1069" t="s">
        <v>387</v>
      </c>
      <c r="E1069" t="s">
        <v>1370</v>
      </c>
      <c r="F1069" s="134">
        <v>0.74033564814814812</v>
      </c>
      <c r="G1069" t="s">
        <v>1373</v>
      </c>
      <c r="H1069" t="s">
        <v>1374</v>
      </c>
    </row>
    <row r="1070" spans="1:8">
      <c r="A1070">
        <v>11267594</v>
      </c>
      <c r="B1070" t="s">
        <v>388</v>
      </c>
      <c r="C1070" t="s">
        <v>386</v>
      </c>
      <c r="D1070" t="s">
        <v>387</v>
      </c>
      <c r="E1070" t="s">
        <v>1375</v>
      </c>
      <c r="F1070" s="134">
        <v>0.2912615740740741</v>
      </c>
      <c r="G1070" t="s">
        <v>1371</v>
      </c>
      <c r="H1070" t="s">
        <v>1372</v>
      </c>
    </row>
    <row r="1071" spans="1:8">
      <c r="A1071">
        <v>11267594</v>
      </c>
      <c r="B1071" t="s">
        <v>388</v>
      </c>
      <c r="C1071" t="s">
        <v>386</v>
      </c>
      <c r="D1071" t="s">
        <v>387</v>
      </c>
      <c r="E1071" t="s">
        <v>1375</v>
      </c>
      <c r="F1071" s="134">
        <v>0.8025000000000001</v>
      </c>
      <c r="G1071" t="s">
        <v>1373</v>
      </c>
      <c r="H1071" t="s">
        <v>1374</v>
      </c>
    </row>
    <row r="1072" spans="1:8">
      <c r="A1072">
        <v>11267594</v>
      </c>
      <c r="B1072" t="s">
        <v>388</v>
      </c>
      <c r="C1072" t="s">
        <v>386</v>
      </c>
      <c r="D1072" t="s">
        <v>387</v>
      </c>
      <c r="E1072" t="s">
        <v>1376</v>
      </c>
      <c r="F1072" s="134">
        <v>0.29178240740740741</v>
      </c>
      <c r="G1072" t="s">
        <v>1371</v>
      </c>
      <c r="H1072" t="s">
        <v>1372</v>
      </c>
    </row>
    <row r="1073" spans="1:8">
      <c r="A1073">
        <v>11267594</v>
      </c>
      <c r="B1073" t="s">
        <v>388</v>
      </c>
      <c r="C1073" t="s">
        <v>386</v>
      </c>
      <c r="D1073" t="s">
        <v>387</v>
      </c>
      <c r="E1073" t="s">
        <v>1376</v>
      </c>
      <c r="F1073" s="134">
        <v>0.80454861111111109</v>
      </c>
      <c r="G1073" t="s">
        <v>1373</v>
      </c>
      <c r="H1073" t="s">
        <v>1374</v>
      </c>
    </row>
    <row r="1074" spans="1:8">
      <c r="A1074">
        <v>11267594</v>
      </c>
      <c r="B1074" t="s">
        <v>388</v>
      </c>
      <c r="C1074" t="s">
        <v>386</v>
      </c>
      <c r="D1074" t="s">
        <v>387</v>
      </c>
      <c r="E1074" t="s">
        <v>1377</v>
      </c>
      <c r="F1074" s="134">
        <v>0.29062499999999997</v>
      </c>
      <c r="G1074" t="s">
        <v>1371</v>
      </c>
      <c r="H1074" t="s">
        <v>1372</v>
      </c>
    </row>
    <row r="1075" spans="1:8">
      <c r="A1075">
        <v>11267594</v>
      </c>
      <c r="B1075" t="s">
        <v>388</v>
      </c>
      <c r="C1075" t="s">
        <v>386</v>
      </c>
      <c r="D1075" t="s">
        <v>387</v>
      </c>
      <c r="E1075" t="s">
        <v>1377</v>
      </c>
      <c r="F1075" s="134">
        <v>0.73775462962962957</v>
      </c>
      <c r="G1075" t="s">
        <v>1373</v>
      </c>
      <c r="H1075" t="s">
        <v>1374</v>
      </c>
    </row>
    <row r="1076" spans="1:8">
      <c r="A1076">
        <v>11267594</v>
      </c>
      <c r="B1076" t="s">
        <v>388</v>
      </c>
      <c r="C1076" t="s">
        <v>386</v>
      </c>
      <c r="D1076" t="s">
        <v>387</v>
      </c>
      <c r="E1076" t="s">
        <v>1378</v>
      </c>
      <c r="F1076" s="134">
        <v>0.29378472222222224</v>
      </c>
      <c r="G1076" t="s">
        <v>1371</v>
      </c>
      <c r="H1076" t="s">
        <v>1372</v>
      </c>
    </row>
    <row r="1077" spans="1:8">
      <c r="A1077">
        <v>11267594</v>
      </c>
      <c r="B1077" t="s">
        <v>388</v>
      </c>
      <c r="C1077" t="s">
        <v>386</v>
      </c>
      <c r="D1077" t="s">
        <v>387</v>
      </c>
      <c r="E1077" t="s">
        <v>1378</v>
      </c>
      <c r="F1077" s="134">
        <v>0.73451388888888891</v>
      </c>
      <c r="G1077" t="s">
        <v>1373</v>
      </c>
      <c r="H1077" t="s">
        <v>1374</v>
      </c>
    </row>
    <row r="1078" spans="1:8">
      <c r="A1078">
        <v>11306351</v>
      </c>
      <c r="B1078" t="s">
        <v>605</v>
      </c>
      <c r="C1078" t="s">
        <v>603</v>
      </c>
      <c r="D1078" t="s">
        <v>604</v>
      </c>
      <c r="E1078" t="s">
        <v>1370</v>
      </c>
      <c r="F1078" s="134">
        <v>0.57040509259259264</v>
      </c>
      <c r="G1078" t="s">
        <v>1371</v>
      </c>
      <c r="H1078" t="s">
        <v>1372</v>
      </c>
    </row>
    <row r="1079" spans="1:8">
      <c r="A1079">
        <v>11306351</v>
      </c>
      <c r="B1079" t="s">
        <v>605</v>
      </c>
      <c r="C1079" t="s">
        <v>603</v>
      </c>
      <c r="D1079" t="s">
        <v>604</v>
      </c>
      <c r="E1079" t="s">
        <v>1370</v>
      </c>
      <c r="F1079" s="134">
        <v>0.94259259259259265</v>
      </c>
      <c r="G1079" t="s">
        <v>1373</v>
      </c>
      <c r="H1079" t="s">
        <v>1374</v>
      </c>
    </row>
    <row r="1080" spans="1:8">
      <c r="A1080">
        <v>11306351</v>
      </c>
      <c r="B1080" t="s">
        <v>605</v>
      </c>
      <c r="C1080" t="s">
        <v>603</v>
      </c>
      <c r="D1080" t="s">
        <v>604</v>
      </c>
      <c r="E1080" t="s">
        <v>1375</v>
      </c>
      <c r="F1080" s="134">
        <v>0.58086805555555554</v>
      </c>
      <c r="G1080" t="s">
        <v>1371</v>
      </c>
      <c r="H1080" t="s">
        <v>1372</v>
      </c>
    </row>
    <row r="1081" spans="1:8">
      <c r="A1081">
        <v>11306351</v>
      </c>
      <c r="B1081" t="s">
        <v>605</v>
      </c>
      <c r="C1081" t="s">
        <v>603</v>
      </c>
      <c r="D1081" t="s">
        <v>604</v>
      </c>
      <c r="E1081" t="s">
        <v>1375</v>
      </c>
      <c r="F1081" s="134">
        <v>0.94182870370370375</v>
      </c>
      <c r="G1081" t="s">
        <v>1373</v>
      </c>
      <c r="H1081" t="s">
        <v>1374</v>
      </c>
    </row>
    <row r="1082" spans="1:8">
      <c r="A1082">
        <v>11306351</v>
      </c>
      <c r="B1082" t="s">
        <v>605</v>
      </c>
      <c r="C1082" t="s">
        <v>603</v>
      </c>
      <c r="D1082" t="s">
        <v>604</v>
      </c>
      <c r="E1082" t="s">
        <v>1376</v>
      </c>
      <c r="F1082" s="134">
        <v>0.93966435185185182</v>
      </c>
      <c r="G1082" t="s">
        <v>1373</v>
      </c>
      <c r="H1082" t="s">
        <v>1374</v>
      </c>
    </row>
    <row r="1083" spans="1:8">
      <c r="A1083">
        <v>11306351</v>
      </c>
      <c r="B1083" t="s">
        <v>605</v>
      </c>
      <c r="C1083" t="s">
        <v>603</v>
      </c>
      <c r="D1083" t="s">
        <v>604</v>
      </c>
      <c r="E1083" t="s">
        <v>1376</v>
      </c>
      <c r="F1083" s="134">
        <v>0.57150462962962967</v>
      </c>
      <c r="G1083" t="s">
        <v>1371</v>
      </c>
      <c r="H1083" t="s">
        <v>1372</v>
      </c>
    </row>
    <row r="1084" spans="1:8">
      <c r="A1084">
        <v>11306351</v>
      </c>
      <c r="B1084" t="s">
        <v>605</v>
      </c>
      <c r="C1084" t="s">
        <v>603</v>
      </c>
      <c r="D1084" t="s">
        <v>604</v>
      </c>
      <c r="E1084" t="s">
        <v>1377</v>
      </c>
      <c r="F1084" s="134">
        <v>0.57802083333333332</v>
      </c>
      <c r="G1084" t="s">
        <v>1371</v>
      </c>
      <c r="H1084" t="s">
        <v>1372</v>
      </c>
    </row>
    <row r="1085" spans="1:8">
      <c r="A1085">
        <v>11306351</v>
      </c>
      <c r="B1085" t="s">
        <v>605</v>
      </c>
      <c r="C1085" t="s">
        <v>603</v>
      </c>
      <c r="D1085" t="s">
        <v>604</v>
      </c>
      <c r="E1085" t="s">
        <v>1377</v>
      </c>
      <c r="F1085" s="134">
        <v>0.93841435185185185</v>
      </c>
      <c r="G1085" t="s">
        <v>1373</v>
      </c>
      <c r="H1085" t="s">
        <v>1374</v>
      </c>
    </row>
    <row r="1086" spans="1:8">
      <c r="A1086">
        <v>11306351</v>
      </c>
      <c r="B1086" t="s">
        <v>605</v>
      </c>
      <c r="C1086" t="s">
        <v>603</v>
      </c>
      <c r="D1086" t="s">
        <v>604</v>
      </c>
      <c r="E1086" t="s">
        <v>1378</v>
      </c>
      <c r="F1086" s="134">
        <v>0.55509259259259258</v>
      </c>
      <c r="G1086" t="s">
        <v>1371</v>
      </c>
      <c r="H1086" t="s">
        <v>1372</v>
      </c>
    </row>
    <row r="1087" spans="1:8">
      <c r="A1087">
        <v>11306351</v>
      </c>
      <c r="B1087" t="s">
        <v>605</v>
      </c>
      <c r="C1087" t="s">
        <v>603</v>
      </c>
      <c r="D1087" t="s">
        <v>604</v>
      </c>
      <c r="E1087" t="s">
        <v>1378</v>
      </c>
      <c r="F1087" s="134">
        <v>0.9381018518518518</v>
      </c>
      <c r="G1087" t="s">
        <v>1373</v>
      </c>
      <c r="H1087" t="s">
        <v>1374</v>
      </c>
    </row>
    <row r="1088" spans="1:8">
      <c r="A1088">
        <v>11306351</v>
      </c>
      <c r="B1088" t="s">
        <v>605</v>
      </c>
      <c r="C1088" t="s">
        <v>603</v>
      </c>
      <c r="D1088" t="s">
        <v>604</v>
      </c>
      <c r="E1088" t="s">
        <v>1379</v>
      </c>
      <c r="F1088" s="134">
        <v>0.5564930555555555</v>
      </c>
      <c r="G1088" t="s">
        <v>1371</v>
      </c>
      <c r="H1088" t="s">
        <v>1372</v>
      </c>
    </row>
    <row r="1089" spans="1:8">
      <c r="A1089">
        <v>11306351</v>
      </c>
      <c r="B1089" t="s">
        <v>605</v>
      </c>
      <c r="C1089" t="s">
        <v>603</v>
      </c>
      <c r="D1089" t="s">
        <v>604</v>
      </c>
      <c r="E1089" t="s">
        <v>1379</v>
      </c>
      <c r="F1089" s="134">
        <v>0.94333333333333336</v>
      </c>
      <c r="G1089" t="s">
        <v>1373</v>
      </c>
      <c r="H1089" t="s">
        <v>1374</v>
      </c>
    </row>
    <row r="1090" spans="1:8">
      <c r="A1090">
        <v>11325204</v>
      </c>
      <c r="B1090" t="s">
        <v>160</v>
      </c>
      <c r="C1090" t="s">
        <v>159</v>
      </c>
      <c r="D1090" t="s">
        <v>51</v>
      </c>
      <c r="E1090" t="s">
        <v>1370</v>
      </c>
      <c r="F1090" s="134">
        <v>0.31340277777777775</v>
      </c>
      <c r="G1090" t="s">
        <v>1371</v>
      </c>
      <c r="H1090" t="s">
        <v>1372</v>
      </c>
    </row>
    <row r="1091" spans="1:8">
      <c r="A1091">
        <v>11325204</v>
      </c>
      <c r="B1091" t="s">
        <v>160</v>
      </c>
      <c r="C1091" t="s">
        <v>159</v>
      </c>
      <c r="D1091" t="s">
        <v>51</v>
      </c>
      <c r="E1091" t="s">
        <v>1370</v>
      </c>
      <c r="F1091" s="134">
        <v>0.6265856481481481</v>
      </c>
      <c r="G1091" t="s">
        <v>1373</v>
      </c>
      <c r="H1091" t="s">
        <v>1374</v>
      </c>
    </row>
    <row r="1092" spans="1:8">
      <c r="A1092">
        <v>11325204</v>
      </c>
      <c r="B1092" t="s">
        <v>160</v>
      </c>
      <c r="C1092" t="s">
        <v>159</v>
      </c>
      <c r="D1092" t="s">
        <v>51</v>
      </c>
      <c r="E1092" t="s">
        <v>1375</v>
      </c>
      <c r="F1092" s="134">
        <v>0.31155092592592593</v>
      </c>
      <c r="G1092" t="s">
        <v>1371</v>
      </c>
      <c r="H1092" t="s">
        <v>1372</v>
      </c>
    </row>
    <row r="1093" spans="1:8">
      <c r="A1093">
        <v>11325204</v>
      </c>
      <c r="B1093" t="s">
        <v>160</v>
      </c>
      <c r="C1093" t="s">
        <v>159</v>
      </c>
      <c r="D1093" t="s">
        <v>51</v>
      </c>
      <c r="E1093" t="s">
        <v>1375</v>
      </c>
      <c r="F1093" s="134">
        <v>0.62954861111111116</v>
      </c>
      <c r="G1093" t="s">
        <v>1373</v>
      </c>
      <c r="H1093" t="s">
        <v>1374</v>
      </c>
    </row>
    <row r="1094" spans="1:8">
      <c r="A1094">
        <v>11325204</v>
      </c>
      <c r="B1094" t="s">
        <v>160</v>
      </c>
      <c r="C1094" t="s">
        <v>159</v>
      </c>
      <c r="D1094" t="s">
        <v>51</v>
      </c>
      <c r="E1094" t="s">
        <v>1376</v>
      </c>
      <c r="F1094" s="134">
        <v>0.63178240740740743</v>
      </c>
      <c r="G1094" t="s">
        <v>1373</v>
      </c>
      <c r="H1094" t="s">
        <v>1374</v>
      </c>
    </row>
    <row r="1095" spans="1:8">
      <c r="A1095">
        <v>11325204</v>
      </c>
      <c r="B1095" t="s">
        <v>160</v>
      </c>
      <c r="C1095" t="s">
        <v>159</v>
      </c>
      <c r="D1095" t="s">
        <v>51</v>
      </c>
      <c r="E1095" t="s">
        <v>1376</v>
      </c>
      <c r="F1095" s="134">
        <v>0.31359953703703702</v>
      </c>
      <c r="G1095" t="s">
        <v>1371</v>
      </c>
      <c r="H1095" t="s">
        <v>1372</v>
      </c>
    </row>
    <row r="1096" spans="1:8">
      <c r="A1096">
        <v>11325204</v>
      </c>
      <c r="B1096" t="s">
        <v>160</v>
      </c>
      <c r="C1096" t="s">
        <v>159</v>
      </c>
      <c r="D1096" t="s">
        <v>51</v>
      </c>
      <c r="E1096" t="s">
        <v>1377</v>
      </c>
      <c r="F1096" s="134">
        <v>0.31311342592592589</v>
      </c>
      <c r="G1096" t="s">
        <v>1371</v>
      </c>
      <c r="H1096" t="s">
        <v>1372</v>
      </c>
    </row>
    <row r="1097" spans="1:8">
      <c r="A1097">
        <v>11325204</v>
      </c>
      <c r="B1097" t="s">
        <v>160</v>
      </c>
      <c r="C1097" t="s">
        <v>159</v>
      </c>
      <c r="D1097" t="s">
        <v>51</v>
      </c>
      <c r="E1097" t="s">
        <v>1377</v>
      </c>
      <c r="F1097" s="134">
        <v>0.62858796296296293</v>
      </c>
      <c r="G1097" t="s">
        <v>1373</v>
      </c>
      <c r="H1097" t="s">
        <v>1374</v>
      </c>
    </row>
    <row r="1098" spans="1:8">
      <c r="A1098">
        <v>11325204</v>
      </c>
      <c r="B1098" t="s">
        <v>160</v>
      </c>
      <c r="C1098" t="s">
        <v>159</v>
      </c>
      <c r="D1098" t="s">
        <v>51</v>
      </c>
      <c r="E1098" t="s">
        <v>1378</v>
      </c>
      <c r="F1098" s="134">
        <v>0.31437500000000002</v>
      </c>
      <c r="G1098" t="s">
        <v>1371</v>
      </c>
      <c r="H1098" t="s">
        <v>1372</v>
      </c>
    </row>
    <row r="1099" spans="1:8">
      <c r="A1099">
        <v>11325204</v>
      </c>
      <c r="B1099" t="s">
        <v>160</v>
      </c>
      <c r="C1099" t="s">
        <v>159</v>
      </c>
      <c r="D1099" t="s">
        <v>51</v>
      </c>
      <c r="E1099" t="s">
        <v>1378</v>
      </c>
      <c r="F1099" s="134">
        <v>0.62884259259259256</v>
      </c>
      <c r="G1099" t="s">
        <v>1373</v>
      </c>
      <c r="H1099" t="s">
        <v>1374</v>
      </c>
    </row>
    <row r="1100" spans="1:8">
      <c r="A1100">
        <v>11325204</v>
      </c>
      <c r="B1100" t="s">
        <v>160</v>
      </c>
      <c r="C1100" t="s">
        <v>159</v>
      </c>
      <c r="D1100" t="s">
        <v>51</v>
      </c>
      <c r="E1100" t="s">
        <v>1379</v>
      </c>
      <c r="F1100" s="134">
        <v>0.31462962962962965</v>
      </c>
      <c r="G1100" t="s">
        <v>1371</v>
      </c>
      <c r="H1100" t="s">
        <v>1372</v>
      </c>
    </row>
    <row r="1101" spans="1:8">
      <c r="A1101">
        <v>11325204</v>
      </c>
      <c r="B1101" t="s">
        <v>160</v>
      </c>
      <c r="C1101" t="s">
        <v>159</v>
      </c>
      <c r="D1101" t="s">
        <v>51</v>
      </c>
      <c r="E1101" t="s">
        <v>1379</v>
      </c>
      <c r="F1101" s="134">
        <v>0.63023148148148145</v>
      </c>
      <c r="G1101" t="s">
        <v>1373</v>
      </c>
      <c r="H1101" t="s">
        <v>1374</v>
      </c>
    </row>
    <row r="1102" spans="1:8">
      <c r="A1102">
        <v>11347053</v>
      </c>
      <c r="B1102" t="s">
        <v>313</v>
      </c>
      <c r="C1102" t="s">
        <v>311</v>
      </c>
      <c r="D1102" t="s">
        <v>312</v>
      </c>
      <c r="E1102" t="s">
        <v>1370</v>
      </c>
      <c r="F1102" s="134">
        <v>0.62684027777777784</v>
      </c>
      <c r="G1102" t="s">
        <v>1371</v>
      </c>
      <c r="H1102" t="s">
        <v>1372</v>
      </c>
    </row>
    <row r="1103" spans="1:8">
      <c r="A1103">
        <v>11347053</v>
      </c>
      <c r="B1103" t="s">
        <v>313</v>
      </c>
      <c r="C1103" t="s">
        <v>311</v>
      </c>
      <c r="D1103" t="s">
        <v>312</v>
      </c>
      <c r="E1103" t="s">
        <v>1370</v>
      </c>
      <c r="F1103" s="134">
        <v>0.94519675925925928</v>
      </c>
      <c r="G1103" t="s">
        <v>1373</v>
      </c>
      <c r="H1103" t="s">
        <v>1374</v>
      </c>
    </row>
    <row r="1104" spans="1:8">
      <c r="A1104">
        <v>11347053</v>
      </c>
      <c r="B1104" t="s">
        <v>313</v>
      </c>
      <c r="C1104" t="s">
        <v>311</v>
      </c>
      <c r="D1104" t="s">
        <v>312</v>
      </c>
      <c r="E1104" t="s">
        <v>1375</v>
      </c>
      <c r="F1104" s="134">
        <v>0.61084490740740738</v>
      </c>
      <c r="G1104" t="s">
        <v>1371</v>
      </c>
      <c r="H1104" t="s">
        <v>1372</v>
      </c>
    </row>
    <row r="1105" spans="1:8">
      <c r="A1105">
        <v>11347053</v>
      </c>
      <c r="B1105" t="s">
        <v>313</v>
      </c>
      <c r="C1105" t="s">
        <v>311</v>
      </c>
      <c r="D1105" t="s">
        <v>312</v>
      </c>
      <c r="E1105" t="s">
        <v>1375</v>
      </c>
      <c r="F1105" s="134">
        <v>0.94063657407407408</v>
      </c>
      <c r="G1105" t="s">
        <v>1373</v>
      </c>
      <c r="H1105" t="s">
        <v>1374</v>
      </c>
    </row>
    <row r="1106" spans="1:8">
      <c r="A1106">
        <v>11347053</v>
      </c>
      <c r="B1106" t="s">
        <v>313</v>
      </c>
      <c r="C1106" t="s">
        <v>311</v>
      </c>
      <c r="D1106" t="s">
        <v>312</v>
      </c>
      <c r="E1106" t="s">
        <v>1376</v>
      </c>
      <c r="F1106" s="134">
        <v>0.94246527777777767</v>
      </c>
      <c r="G1106" t="s">
        <v>1373</v>
      </c>
      <c r="H1106" t="s">
        <v>1374</v>
      </c>
    </row>
    <row r="1107" spans="1:8">
      <c r="A1107">
        <v>11347053</v>
      </c>
      <c r="B1107" t="s">
        <v>313</v>
      </c>
      <c r="C1107" t="s">
        <v>311</v>
      </c>
      <c r="D1107" t="s">
        <v>312</v>
      </c>
      <c r="E1107" t="s">
        <v>1376</v>
      </c>
      <c r="F1107" s="134">
        <v>0.61892361111111105</v>
      </c>
      <c r="G1107" t="s">
        <v>1371</v>
      </c>
      <c r="H1107" t="s">
        <v>1372</v>
      </c>
    </row>
    <row r="1108" spans="1:8">
      <c r="A1108">
        <v>11347053</v>
      </c>
      <c r="B1108" t="s">
        <v>313</v>
      </c>
      <c r="C1108" t="s">
        <v>311</v>
      </c>
      <c r="D1108" t="s">
        <v>312</v>
      </c>
      <c r="E1108" t="s">
        <v>1377</v>
      </c>
      <c r="F1108" s="134">
        <v>0.55331018518518515</v>
      </c>
      <c r="G1108" t="s">
        <v>1371</v>
      </c>
      <c r="H1108" t="s">
        <v>1372</v>
      </c>
    </row>
    <row r="1109" spans="1:8">
      <c r="A1109">
        <v>11347053</v>
      </c>
      <c r="B1109" t="s">
        <v>313</v>
      </c>
      <c r="C1109" t="s">
        <v>311</v>
      </c>
      <c r="D1109" t="s">
        <v>312</v>
      </c>
      <c r="E1109" t="s">
        <v>1377</v>
      </c>
      <c r="F1109" s="134">
        <v>0.84906250000000005</v>
      </c>
      <c r="G1109" t="s">
        <v>1373</v>
      </c>
      <c r="H1109" t="s">
        <v>1374</v>
      </c>
    </row>
    <row r="1110" spans="1:8">
      <c r="A1110">
        <v>11347053</v>
      </c>
      <c r="B1110" t="s">
        <v>313</v>
      </c>
      <c r="C1110" t="s">
        <v>311</v>
      </c>
      <c r="D1110" t="s">
        <v>312</v>
      </c>
      <c r="E1110" t="s">
        <v>1378</v>
      </c>
      <c r="F1110" s="134">
        <v>0.61998842592592596</v>
      </c>
      <c r="G1110" t="s">
        <v>1371</v>
      </c>
      <c r="H1110" t="s">
        <v>1372</v>
      </c>
    </row>
    <row r="1111" spans="1:8">
      <c r="A1111">
        <v>11347053</v>
      </c>
      <c r="B1111" t="s">
        <v>313</v>
      </c>
      <c r="C1111" t="s">
        <v>311</v>
      </c>
      <c r="D1111" t="s">
        <v>312</v>
      </c>
      <c r="E1111" t="s">
        <v>1378</v>
      </c>
      <c r="F1111" s="134">
        <v>0.94365740740740733</v>
      </c>
      <c r="G1111" t="s">
        <v>1373</v>
      </c>
      <c r="H1111" t="s">
        <v>1374</v>
      </c>
    </row>
    <row r="1112" spans="1:8">
      <c r="A1112">
        <v>11347053</v>
      </c>
      <c r="B1112" t="s">
        <v>313</v>
      </c>
      <c r="C1112" t="s">
        <v>311</v>
      </c>
      <c r="D1112" t="s">
        <v>312</v>
      </c>
      <c r="E1112" t="s">
        <v>1379</v>
      </c>
      <c r="F1112" s="134">
        <v>0.62898148148148147</v>
      </c>
      <c r="G1112" t="s">
        <v>1371</v>
      </c>
      <c r="H1112" t="s">
        <v>1372</v>
      </c>
    </row>
    <row r="1113" spans="1:8">
      <c r="A1113">
        <v>11347053</v>
      </c>
      <c r="B1113" t="s">
        <v>313</v>
      </c>
      <c r="C1113" t="s">
        <v>311</v>
      </c>
      <c r="D1113" t="s">
        <v>312</v>
      </c>
      <c r="E1113" t="s">
        <v>1379</v>
      </c>
      <c r="F1113" s="134">
        <v>0.93202546296296296</v>
      </c>
      <c r="G1113" t="s">
        <v>1373</v>
      </c>
      <c r="H1113" t="s">
        <v>1374</v>
      </c>
    </row>
    <row r="1114" spans="1:8">
      <c r="A1114">
        <v>11370436</v>
      </c>
      <c r="B1114" t="s">
        <v>616</v>
      </c>
      <c r="C1114" t="s">
        <v>615</v>
      </c>
      <c r="D1114" t="s">
        <v>159</v>
      </c>
      <c r="E1114" t="s">
        <v>1370</v>
      </c>
      <c r="F1114" s="134">
        <v>0.29363425925925929</v>
      </c>
      <c r="G1114" t="s">
        <v>1371</v>
      </c>
      <c r="H1114" t="s">
        <v>1372</v>
      </c>
    </row>
    <row r="1115" spans="1:8">
      <c r="A1115">
        <v>11370436</v>
      </c>
      <c r="B1115" t="s">
        <v>616</v>
      </c>
      <c r="C1115" t="s">
        <v>615</v>
      </c>
      <c r="D1115" t="s">
        <v>159</v>
      </c>
      <c r="E1115" t="s">
        <v>1370</v>
      </c>
      <c r="F1115" s="134">
        <v>0.6347800925925926</v>
      </c>
      <c r="G1115" t="s">
        <v>1373</v>
      </c>
      <c r="H1115" t="s">
        <v>1374</v>
      </c>
    </row>
    <row r="1116" spans="1:8">
      <c r="A1116">
        <v>11370436</v>
      </c>
      <c r="B1116" t="s">
        <v>616</v>
      </c>
      <c r="C1116" t="s">
        <v>615</v>
      </c>
      <c r="D1116" t="s">
        <v>159</v>
      </c>
      <c r="E1116" t="s">
        <v>1375</v>
      </c>
      <c r="F1116" s="134">
        <v>0.29354166666666665</v>
      </c>
      <c r="G1116" t="s">
        <v>1371</v>
      </c>
      <c r="H1116" t="s">
        <v>1372</v>
      </c>
    </row>
    <row r="1117" spans="1:8">
      <c r="A1117">
        <v>11370436</v>
      </c>
      <c r="B1117" t="s">
        <v>616</v>
      </c>
      <c r="C1117" t="s">
        <v>615</v>
      </c>
      <c r="D1117" t="s">
        <v>159</v>
      </c>
      <c r="E1117" t="s">
        <v>1375</v>
      </c>
      <c r="F1117" s="134">
        <v>0.6355439814814815</v>
      </c>
      <c r="G1117" t="s">
        <v>1373</v>
      </c>
      <c r="H1117" t="s">
        <v>1374</v>
      </c>
    </row>
    <row r="1118" spans="1:8">
      <c r="A1118">
        <v>11370436</v>
      </c>
      <c r="B1118" t="s">
        <v>616</v>
      </c>
      <c r="C1118" t="s">
        <v>615</v>
      </c>
      <c r="D1118" t="s">
        <v>159</v>
      </c>
      <c r="E1118" t="s">
        <v>1376</v>
      </c>
      <c r="F1118" s="134">
        <v>0.6350231481481482</v>
      </c>
      <c r="G1118" t="s">
        <v>1373</v>
      </c>
      <c r="H1118" t="s">
        <v>1374</v>
      </c>
    </row>
    <row r="1119" spans="1:8">
      <c r="A1119">
        <v>11370436</v>
      </c>
      <c r="B1119" t="s">
        <v>616</v>
      </c>
      <c r="C1119" t="s">
        <v>615</v>
      </c>
      <c r="D1119" t="s">
        <v>159</v>
      </c>
      <c r="E1119" t="s">
        <v>1376</v>
      </c>
      <c r="F1119" s="134">
        <v>0.29390046296296296</v>
      </c>
      <c r="G1119" t="s">
        <v>1371</v>
      </c>
      <c r="H1119" t="s">
        <v>1372</v>
      </c>
    </row>
    <row r="1120" spans="1:8">
      <c r="A1120">
        <v>11370436</v>
      </c>
      <c r="B1120" t="s">
        <v>616</v>
      </c>
      <c r="C1120" t="s">
        <v>615</v>
      </c>
      <c r="D1120" t="s">
        <v>159</v>
      </c>
      <c r="E1120" t="s">
        <v>1377</v>
      </c>
      <c r="F1120" s="134">
        <v>0.29349537037037038</v>
      </c>
      <c r="G1120" t="s">
        <v>1371</v>
      </c>
      <c r="H1120" t="s">
        <v>1372</v>
      </c>
    </row>
    <row r="1121" spans="1:8">
      <c r="A1121">
        <v>11370436</v>
      </c>
      <c r="B1121" t="s">
        <v>616</v>
      </c>
      <c r="C1121" t="s">
        <v>615</v>
      </c>
      <c r="D1121" t="s">
        <v>159</v>
      </c>
      <c r="E1121" t="s">
        <v>1377</v>
      </c>
      <c r="F1121" s="134">
        <v>0.63571759259259253</v>
      </c>
      <c r="G1121" t="s">
        <v>1373</v>
      </c>
      <c r="H1121" t="s">
        <v>1374</v>
      </c>
    </row>
    <row r="1122" spans="1:8">
      <c r="A1122">
        <v>11370436</v>
      </c>
      <c r="B1122" t="s">
        <v>616</v>
      </c>
      <c r="C1122" t="s">
        <v>615</v>
      </c>
      <c r="D1122" t="s">
        <v>159</v>
      </c>
      <c r="E1122" t="s">
        <v>1378</v>
      </c>
      <c r="F1122" s="134">
        <v>0.28950231481481481</v>
      </c>
      <c r="G1122" t="s">
        <v>1371</v>
      </c>
      <c r="H1122" t="s">
        <v>1372</v>
      </c>
    </row>
    <row r="1123" spans="1:8">
      <c r="A1123">
        <v>11370436</v>
      </c>
      <c r="B1123" t="s">
        <v>616</v>
      </c>
      <c r="C1123" t="s">
        <v>615</v>
      </c>
      <c r="D1123" t="s">
        <v>159</v>
      </c>
      <c r="E1123" t="s">
        <v>1378</v>
      </c>
      <c r="F1123" s="134">
        <v>0.63716435185185183</v>
      </c>
      <c r="G1123" t="s">
        <v>1373</v>
      </c>
      <c r="H1123" t="s">
        <v>1374</v>
      </c>
    </row>
    <row r="1124" spans="1:8">
      <c r="A1124">
        <v>11370436</v>
      </c>
      <c r="B1124" t="s">
        <v>616</v>
      </c>
      <c r="C1124" t="s">
        <v>615</v>
      </c>
      <c r="D1124" t="s">
        <v>159</v>
      </c>
      <c r="E1124" t="s">
        <v>1379</v>
      </c>
      <c r="F1124" s="134">
        <v>0.29025462962962961</v>
      </c>
      <c r="G1124" t="s">
        <v>1371</v>
      </c>
      <c r="H1124" t="s">
        <v>1372</v>
      </c>
    </row>
    <row r="1125" spans="1:8">
      <c r="A1125">
        <v>11370436</v>
      </c>
      <c r="B1125" t="s">
        <v>616</v>
      </c>
      <c r="C1125" t="s">
        <v>615</v>
      </c>
      <c r="D1125" t="s">
        <v>159</v>
      </c>
      <c r="E1125" t="s">
        <v>1379</v>
      </c>
      <c r="F1125" s="134">
        <v>0.63664351851851853</v>
      </c>
      <c r="G1125" t="s">
        <v>1373</v>
      </c>
      <c r="H1125" t="s">
        <v>1374</v>
      </c>
    </row>
    <row r="1126" spans="1:8">
      <c r="A1126">
        <v>11523492</v>
      </c>
      <c r="B1126" t="s">
        <v>302</v>
      </c>
      <c r="C1126" t="s">
        <v>295</v>
      </c>
      <c r="D1126" t="s">
        <v>224</v>
      </c>
      <c r="E1126" t="s">
        <v>1370</v>
      </c>
      <c r="F1126" s="134">
        <v>0.28759259259259257</v>
      </c>
      <c r="G1126" t="s">
        <v>1371</v>
      </c>
      <c r="H1126" t="s">
        <v>1372</v>
      </c>
    </row>
    <row r="1127" spans="1:8">
      <c r="A1127">
        <v>11523492</v>
      </c>
      <c r="B1127" t="s">
        <v>302</v>
      </c>
      <c r="C1127" t="s">
        <v>295</v>
      </c>
      <c r="D1127" t="s">
        <v>224</v>
      </c>
      <c r="E1127" t="s">
        <v>1370</v>
      </c>
      <c r="F1127" s="134">
        <v>0.63728009259259266</v>
      </c>
      <c r="G1127" t="s">
        <v>1373</v>
      </c>
      <c r="H1127" t="s">
        <v>1374</v>
      </c>
    </row>
    <row r="1128" spans="1:8">
      <c r="A1128">
        <v>11523492</v>
      </c>
      <c r="B1128" t="s">
        <v>302</v>
      </c>
      <c r="C1128" t="s">
        <v>295</v>
      </c>
      <c r="D1128" t="s">
        <v>224</v>
      </c>
      <c r="E1128" t="s">
        <v>1375</v>
      </c>
      <c r="F1128" s="134">
        <v>0.29033564814814816</v>
      </c>
      <c r="G1128" t="s">
        <v>1371</v>
      </c>
      <c r="H1128" t="s">
        <v>1372</v>
      </c>
    </row>
    <row r="1129" spans="1:8">
      <c r="A1129">
        <v>11523492</v>
      </c>
      <c r="B1129" t="s">
        <v>302</v>
      </c>
      <c r="C1129" t="s">
        <v>295</v>
      </c>
      <c r="D1129" t="s">
        <v>224</v>
      </c>
      <c r="E1129" t="s">
        <v>1375</v>
      </c>
      <c r="F1129" s="134">
        <v>0.63756944444444441</v>
      </c>
      <c r="G1129" t="s">
        <v>1373</v>
      </c>
      <c r="H1129" t="s">
        <v>1374</v>
      </c>
    </row>
    <row r="1130" spans="1:8">
      <c r="A1130">
        <v>11523492</v>
      </c>
      <c r="B1130" t="s">
        <v>302</v>
      </c>
      <c r="C1130" t="s">
        <v>295</v>
      </c>
      <c r="D1130" t="s">
        <v>224</v>
      </c>
      <c r="E1130" t="s">
        <v>1376</v>
      </c>
      <c r="F1130" s="134">
        <v>0.63700231481481484</v>
      </c>
      <c r="G1130" t="s">
        <v>1373</v>
      </c>
      <c r="H1130" t="s">
        <v>1374</v>
      </c>
    </row>
    <row r="1131" spans="1:8">
      <c r="A1131">
        <v>11523492</v>
      </c>
      <c r="B1131" t="s">
        <v>302</v>
      </c>
      <c r="C1131" t="s">
        <v>295</v>
      </c>
      <c r="D1131" t="s">
        <v>224</v>
      </c>
      <c r="E1131" t="s">
        <v>1376</v>
      </c>
      <c r="F1131" s="134">
        <v>0.29155092592592591</v>
      </c>
      <c r="G1131" t="s">
        <v>1371</v>
      </c>
      <c r="H1131" t="s">
        <v>1372</v>
      </c>
    </row>
    <row r="1132" spans="1:8">
      <c r="A1132">
        <v>11523492</v>
      </c>
      <c r="B1132" t="s">
        <v>302</v>
      </c>
      <c r="C1132" t="s">
        <v>295</v>
      </c>
      <c r="D1132" t="s">
        <v>224</v>
      </c>
      <c r="E1132" t="s">
        <v>1377</v>
      </c>
      <c r="F1132" s="134">
        <v>0.28975694444444444</v>
      </c>
      <c r="G1132" t="s">
        <v>1371</v>
      </c>
      <c r="H1132" t="s">
        <v>1372</v>
      </c>
    </row>
    <row r="1133" spans="1:8">
      <c r="A1133">
        <v>11523492</v>
      </c>
      <c r="B1133" t="s">
        <v>302</v>
      </c>
      <c r="C1133" t="s">
        <v>295</v>
      </c>
      <c r="D1133" t="s">
        <v>224</v>
      </c>
      <c r="E1133" t="s">
        <v>1377</v>
      </c>
      <c r="F1133" s="134">
        <v>0.6383564814814815</v>
      </c>
      <c r="G1133" t="s">
        <v>1373</v>
      </c>
      <c r="H1133" t="s">
        <v>1374</v>
      </c>
    </row>
    <row r="1134" spans="1:8">
      <c r="A1134">
        <v>11523492</v>
      </c>
      <c r="B1134" t="s">
        <v>302</v>
      </c>
      <c r="C1134" t="s">
        <v>295</v>
      </c>
      <c r="D1134" t="s">
        <v>224</v>
      </c>
      <c r="E1134" t="s">
        <v>1378</v>
      </c>
      <c r="F1134" s="134">
        <v>0.28894675925925922</v>
      </c>
      <c r="G1134" t="s">
        <v>1371</v>
      </c>
      <c r="H1134" t="s">
        <v>1372</v>
      </c>
    </row>
    <row r="1135" spans="1:8">
      <c r="A1135">
        <v>11523492</v>
      </c>
      <c r="B1135" t="s">
        <v>302</v>
      </c>
      <c r="C1135" t="s">
        <v>295</v>
      </c>
      <c r="D1135" t="s">
        <v>224</v>
      </c>
      <c r="E1135" t="s">
        <v>1378</v>
      </c>
      <c r="F1135" s="134">
        <v>0.63900462962962956</v>
      </c>
      <c r="G1135" t="s">
        <v>1373</v>
      </c>
      <c r="H1135" t="s">
        <v>1374</v>
      </c>
    </row>
    <row r="1136" spans="1:8">
      <c r="A1136">
        <v>11523492</v>
      </c>
      <c r="B1136" t="s">
        <v>302</v>
      </c>
      <c r="C1136" t="s">
        <v>295</v>
      </c>
      <c r="D1136" t="s">
        <v>224</v>
      </c>
      <c r="E1136" t="s">
        <v>1379</v>
      </c>
      <c r="F1136" s="134">
        <v>0.28940972222222222</v>
      </c>
      <c r="G1136" t="s">
        <v>1371</v>
      </c>
      <c r="H1136" t="s">
        <v>1372</v>
      </c>
    </row>
    <row r="1137" spans="1:8">
      <c r="A1137">
        <v>11523492</v>
      </c>
      <c r="B1137" t="s">
        <v>302</v>
      </c>
      <c r="C1137" t="s">
        <v>295</v>
      </c>
      <c r="D1137" t="s">
        <v>224</v>
      </c>
      <c r="E1137" t="s">
        <v>1379</v>
      </c>
      <c r="F1137" s="134">
        <v>0.63995370370370364</v>
      </c>
      <c r="G1137" t="s">
        <v>1373</v>
      </c>
      <c r="H1137" t="s">
        <v>1374</v>
      </c>
    </row>
    <row r="1138" spans="1:8">
      <c r="A1138">
        <v>11523497</v>
      </c>
      <c r="B1138" t="s">
        <v>368</v>
      </c>
      <c r="C1138" t="s">
        <v>717</v>
      </c>
      <c r="D1138" t="s">
        <v>206</v>
      </c>
      <c r="E1138" t="s">
        <v>1370</v>
      </c>
      <c r="F1138" s="134">
        <v>0.31497685185185187</v>
      </c>
      <c r="G1138" t="s">
        <v>1371</v>
      </c>
      <c r="H1138" t="s">
        <v>1372</v>
      </c>
    </row>
    <row r="1139" spans="1:8">
      <c r="A1139">
        <v>11523497</v>
      </c>
      <c r="B1139" t="s">
        <v>368</v>
      </c>
      <c r="C1139" t="s">
        <v>717</v>
      </c>
      <c r="D1139" t="s">
        <v>206</v>
      </c>
      <c r="E1139" t="s">
        <v>1370</v>
      </c>
      <c r="F1139" s="134">
        <v>0.80673611111111121</v>
      </c>
      <c r="G1139" t="s">
        <v>1373</v>
      </c>
      <c r="H1139" t="s">
        <v>1374</v>
      </c>
    </row>
    <row r="1140" spans="1:8">
      <c r="A1140">
        <v>11523497</v>
      </c>
      <c r="B1140" t="s">
        <v>368</v>
      </c>
      <c r="C1140" t="s">
        <v>717</v>
      </c>
      <c r="D1140" t="s">
        <v>206</v>
      </c>
      <c r="E1140" t="s">
        <v>1375</v>
      </c>
      <c r="F1140" s="134">
        <v>0.30182870370370368</v>
      </c>
      <c r="G1140" t="s">
        <v>1371</v>
      </c>
      <c r="H1140" t="s">
        <v>1372</v>
      </c>
    </row>
    <row r="1141" spans="1:8">
      <c r="A1141">
        <v>11523497</v>
      </c>
      <c r="B1141" t="s">
        <v>368</v>
      </c>
      <c r="C1141" t="s">
        <v>717</v>
      </c>
      <c r="D1141" t="s">
        <v>206</v>
      </c>
      <c r="E1141" t="s">
        <v>1375</v>
      </c>
      <c r="F1141" s="134">
        <v>0.80747685185185192</v>
      </c>
      <c r="G1141" t="s">
        <v>1373</v>
      </c>
      <c r="H1141" t="s">
        <v>1374</v>
      </c>
    </row>
    <row r="1142" spans="1:8">
      <c r="A1142">
        <v>11523497</v>
      </c>
      <c r="B1142" t="s">
        <v>368</v>
      </c>
      <c r="C1142" t="s">
        <v>717</v>
      </c>
      <c r="D1142" t="s">
        <v>206</v>
      </c>
      <c r="E1142" t="s">
        <v>1376</v>
      </c>
      <c r="F1142" s="134">
        <v>0.30175925925925923</v>
      </c>
      <c r="G1142" t="s">
        <v>1371</v>
      </c>
      <c r="H1142" t="s">
        <v>1372</v>
      </c>
    </row>
    <row r="1143" spans="1:8">
      <c r="A1143">
        <v>11523497</v>
      </c>
      <c r="B1143" t="s">
        <v>368</v>
      </c>
      <c r="C1143" t="s">
        <v>717</v>
      </c>
      <c r="D1143" t="s">
        <v>206</v>
      </c>
      <c r="E1143" t="s">
        <v>1376</v>
      </c>
      <c r="F1143" s="134">
        <v>0.80634259259259267</v>
      </c>
      <c r="G1143" t="s">
        <v>1373</v>
      </c>
      <c r="H1143" t="s">
        <v>1374</v>
      </c>
    </row>
    <row r="1144" spans="1:8">
      <c r="A1144">
        <v>11523497</v>
      </c>
      <c r="B1144" t="s">
        <v>368</v>
      </c>
      <c r="C1144" t="s">
        <v>717</v>
      </c>
      <c r="D1144" t="s">
        <v>206</v>
      </c>
      <c r="E1144" t="s">
        <v>1377</v>
      </c>
      <c r="F1144" s="134">
        <v>0.31252314814814813</v>
      </c>
      <c r="G1144" t="s">
        <v>1371</v>
      </c>
      <c r="H1144" t="s">
        <v>1372</v>
      </c>
    </row>
    <row r="1145" spans="1:8">
      <c r="A1145">
        <v>11523497</v>
      </c>
      <c r="B1145" t="s">
        <v>368</v>
      </c>
      <c r="C1145" t="s">
        <v>717</v>
      </c>
      <c r="D1145" t="s">
        <v>206</v>
      </c>
      <c r="E1145" t="s">
        <v>1377</v>
      </c>
      <c r="F1145" s="134">
        <v>0.73202546296296289</v>
      </c>
      <c r="G1145" t="s">
        <v>1373</v>
      </c>
      <c r="H1145" t="s">
        <v>1374</v>
      </c>
    </row>
    <row r="1146" spans="1:8">
      <c r="A1146">
        <v>11523497</v>
      </c>
      <c r="B1146" t="s">
        <v>368</v>
      </c>
      <c r="C1146" t="s">
        <v>717</v>
      </c>
      <c r="D1146" t="s">
        <v>206</v>
      </c>
      <c r="E1146" t="s">
        <v>1378</v>
      </c>
      <c r="F1146" s="134">
        <v>0.30104166666666665</v>
      </c>
      <c r="G1146" t="s">
        <v>1371</v>
      </c>
      <c r="H1146" t="s">
        <v>1372</v>
      </c>
    </row>
    <row r="1147" spans="1:8">
      <c r="A1147">
        <v>11523497</v>
      </c>
      <c r="B1147" t="s">
        <v>368</v>
      </c>
      <c r="C1147" t="s">
        <v>717</v>
      </c>
      <c r="D1147" t="s">
        <v>206</v>
      </c>
      <c r="E1147" t="s">
        <v>1378</v>
      </c>
      <c r="F1147" s="134">
        <v>0.80885416666666676</v>
      </c>
      <c r="G1147" t="s">
        <v>1373</v>
      </c>
      <c r="H1147" t="s">
        <v>1374</v>
      </c>
    </row>
    <row r="1148" spans="1:8">
      <c r="A1148">
        <v>11656057</v>
      </c>
      <c r="B1148" t="s">
        <v>534</v>
      </c>
      <c r="C1148" t="s">
        <v>532</v>
      </c>
      <c r="D1148" t="s">
        <v>533</v>
      </c>
      <c r="E1148" t="s">
        <v>1370</v>
      </c>
      <c r="F1148" s="134">
        <v>0.29929398148148151</v>
      </c>
      <c r="G1148" t="s">
        <v>1371</v>
      </c>
      <c r="H1148" t="s">
        <v>1372</v>
      </c>
    </row>
    <row r="1149" spans="1:8">
      <c r="A1149">
        <v>11656057</v>
      </c>
      <c r="B1149" t="s">
        <v>534</v>
      </c>
      <c r="C1149" t="s">
        <v>532</v>
      </c>
      <c r="D1149" t="s">
        <v>533</v>
      </c>
      <c r="E1149" t="s">
        <v>1370</v>
      </c>
      <c r="F1149" s="134">
        <v>0.63723379629629628</v>
      </c>
      <c r="G1149" t="s">
        <v>1373</v>
      </c>
      <c r="H1149" t="s">
        <v>1374</v>
      </c>
    </row>
    <row r="1150" spans="1:8">
      <c r="A1150">
        <v>11656057</v>
      </c>
      <c r="B1150" t="s">
        <v>534</v>
      </c>
      <c r="C1150" t="s">
        <v>532</v>
      </c>
      <c r="D1150" t="s">
        <v>533</v>
      </c>
      <c r="E1150" t="s">
        <v>1375</v>
      </c>
      <c r="F1150" s="134">
        <v>0.29531250000000003</v>
      </c>
      <c r="G1150" t="s">
        <v>1371</v>
      </c>
      <c r="H1150" t="s">
        <v>1372</v>
      </c>
    </row>
    <row r="1151" spans="1:8">
      <c r="A1151">
        <v>11656057</v>
      </c>
      <c r="B1151" t="s">
        <v>534</v>
      </c>
      <c r="C1151" t="s">
        <v>532</v>
      </c>
      <c r="D1151" t="s">
        <v>533</v>
      </c>
      <c r="E1151" t="s">
        <v>1375</v>
      </c>
      <c r="F1151" s="134">
        <v>0.63761574074074068</v>
      </c>
      <c r="G1151" t="s">
        <v>1373</v>
      </c>
      <c r="H1151" t="s">
        <v>1374</v>
      </c>
    </row>
    <row r="1152" spans="1:8">
      <c r="A1152">
        <v>11656057</v>
      </c>
      <c r="B1152" t="s">
        <v>534</v>
      </c>
      <c r="C1152" t="s">
        <v>532</v>
      </c>
      <c r="D1152" t="s">
        <v>533</v>
      </c>
      <c r="E1152" t="s">
        <v>1376</v>
      </c>
      <c r="F1152" s="134">
        <v>0.65042824074074079</v>
      </c>
      <c r="G1152" t="s">
        <v>1373</v>
      </c>
      <c r="H1152" t="s">
        <v>1374</v>
      </c>
    </row>
    <row r="1153" spans="1:8">
      <c r="A1153">
        <v>11656057</v>
      </c>
      <c r="B1153" t="s">
        <v>534</v>
      </c>
      <c r="C1153" t="s">
        <v>532</v>
      </c>
      <c r="D1153" t="s">
        <v>533</v>
      </c>
      <c r="E1153" t="s">
        <v>1376</v>
      </c>
      <c r="F1153" s="134">
        <v>0.29629629629629628</v>
      </c>
      <c r="G1153" t="s">
        <v>1371</v>
      </c>
      <c r="H1153" t="s">
        <v>1372</v>
      </c>
    </row>
    <row r="1154" spans="1:8">
      <c r="A1154">
        <v>11656057</v>
      </c>
      <c r="B1154" t="s">
        <v>534</v>
      </c>
      <c r="C1154" t="s">
        <v>532</v>
      </c>
      <c r="D1154" t="s">
        <v>533</v>
      </c>
      <c r="E1154" t="s">
        <v>1377</v>
      </c>
      <c r="F1154" s="134">
        <v>0.29508101851851853</v>
      </c>
      <c r="G1154" t="s">
        <v>1371</v>
      </c>
      <c r="H1154" t="s">
        <v>1372</v>
      </c>
    </row>
    <row r="1155" spans="1:8">
      <c r="A1155">
        <v>11656057</v>
      </c>
      <c r="B1155" t="s">
        <v>534</v>
      </c>
      <c r="C1155" t="s">
        <v>532</v>
      </c>
      <c r="D1155" t="s">
        <v>533</v>
      </c>
      <c r="E1155" t="s">
        <v>1377</v>
      </c>
      <c r="F1155" s="134">
        <v>0.63840277777777776</v>
      </c>
      <c r="G1155" t="s">
        <v>1373</v>
      </c>
      <c r="H1155" t="s">
        <v>1374</v>
      </c>
    </row>
    <row r="1156" spans="1:8">
      <c r="A1156">
        <v>11656057</v>
      </c>
      <c r="B1156" t="s">
        <v>534</v>
      </c>
      <c r="C1156" t="s">
        <v>532</v>
      </c>
      <c r="D1156" t="s">
        <v>533</v>
      </c>
      <c r="E1156" t="s">
        <v>1378</v>
      </c>
      <c r="F1156" s="134">
        <v>0.29629629629629628</v>
      </c>
      <c r="G1156" t="s">
        <v>1371</v>
      </c>
      <c r="H1156" t="s">
        <v>1372</v>
      </c>
    </row>
    <row r="1157" spans="1:8">
      <c r="A1157">
        <v>11656057</v>
      </c>
      <c r="B1157" t="s">
        <v>534</v>
      </c>
      <c r="C1157" t="s">
        <v>532</v>
      </c>
      <c r="D1157" t="s">
        <v>533</v>
      </c>
      <c r="E1157" t="s">
        <v>1378</v>
      </c>
      <c r="F1157" s="134">
        <v>0.64041666666666663</v>
      </c>
      <c r="G1157" t="s">
        <v>1373</v>
      </c>
      <c r="H1157" t="s">
        <v>1374</v>
      </c>
    </row>
    <row r="1158" spans="1:8">
      <c r="A1158">
        <v>11656057</v>
      </c>
      <c r="B1158" t="s">
        <v>534</v>
      </c>
      <c r="C1158" t="s">
        <v>532</v>
      </c>
      <c r="D1158" t="s">
        <v>533</v>
      </c>
      <c r="E1158" t="s">
        <v>1379</v>
      </c>
      <c r="F1158" s="134">
        <v>0.29556712962962967</v>
      </c>
      <c r="G1158" t="s">
        <v>1371</v>
      </c>
      <c r="H1158" t="s">
        <v>1372</v>
      </c>
    </row>
    <row r="1159" spans="1:8">
      <c r="A1159">
        <v>11656057</v>
      </c>
      <c r="B1159" t="s">
        <v>534</v>
      </c>
      <c r="C1159" t="s">
        <v>532</v>
      </c>
      <c r="D1159" t="s">
        <v>533</v>
      </c>
      <c r="E1159" t="s">
        <v>1379</v>
      </c>
      <c r="F1159" s="134">
        <v>0.63870370370370366</v>
      </c>
      <c r="G1159" t="s">
        <v>1373</v>
      </c>
      <c r="H1159" t="s">
        <v>1374</v>
      </c>
    </row>
    <row r="1160" spans="1:8">
      <c r="A1160">
        <v>11657838</v>
      </c>
      <c r="B1160" t="s">
        <v>207</v>
      </c>
      <c r="C1160" t="s">
        <v>956</v>
      </c>
      <c r="D1160" t="s">
        <v>974</v>
      </c>
      <c r="E1160" t="s">
        <v>1370</v>
      </c>
      <c r="F1160" s="134">
        <v>0.93450231481481483</v>
      </c>
      <c r="G1160" t="s">
        <v>1371</v>
      </c>
      <c r="H1160" t="s">
        <v>1372</v>
      </c>
    </row>
    <row r="1161" spans="1:8">
      <c r="A1161">
        <v>11657838</v>
      </c>
      <c r="B1161" t="s">
        <v>207</v>
      </c>
      <c r="C1161" t="s">
        <v>956</v>
      </c>
      <c r="D1161" t="s">
        <v>974</v>
      </c>
      <c r="E1161" t="s">
        <v>1375</v>
      </c>
      <c r="F1161" s="134">
        <v>0.31288194444444445</v>
      </c>
      <c r="G1161" t="s">
        <v>1373</v>
      </c>
      <c r="H1161" t="s">
        <v>1374</v>
      </c>
    </row>
    <row r="1162" spans="1:8">
      <c r="A1162">
        <v>11657838</v>
      </c>
      <c r="B1162" t="s">
        <v>207</v>
      </c>
      <c r="C1162" t="s">
        <v>956</v>
      </c>
      <c r="D1162" t="s">
        <v>974</v>
      </c>
      <c r="E1162" t="s">
        <v>1375</v>
      </c>
      <c r="F1162" s="134">
        <v>0.31288194444444445</v>
      </c>
      <c r="G1162" t="s">
        <v>1373</v>
      </c>
      <c r="H1162" t="s">
        <v>1374</v>
      </c>
    </row>
    <row r="1163" spans="1:8">
      <c r="A1163">
        <v>11657838</v>
      </c>
      <c r="B1163" t="s">
        <v>207</v>
      </c>
      <c r="C1163" t="s">
        <v>956</v>
      </c>
      <c r="D1163" t="s">
        <v>974</v>
      </c>
      <c r="E1163" t="s">
        <v>1375</v>
      </c>
      <c r="F1163" s="134">
        <v>0.93267361111111102</v>
      </c>
      <c r="G1163" t="s">
        <v>1371</v>
      </c>
      <c r="H1163" t="s">
        <v>1372</v>
      </c>
    </row>
    <row r="1164" spans="1:8">
      <c r="A1164">
        <v>11657838</v>
      </c>
      <c r="B1164" t="s">
        <v>207</v>
      </c>
      <c r="C1164" t="s">
        <v>956</v>
      </c>
      <c r="D1164" t="s">
        <v>974</v>
      </c>
      <c r="E1164" t="s">
        <v>1376</v>
      </c>
      <c r="F1164" s="134">
        <v>0.31288194444444445</v>
      </c>
      <c r="G1164" t="s">
        <v>1373</v>
      </c>
      <c r="H1164" t="s">
        <v>1374</v>
      </c>
    </row>
    <row r="1165" spans="1:8">
      <c r="A1165">
        <v>11657838</v>
      </c>
      <c r="B1165" t="s">
        <v>207</v>
      </c>
      <c r="C1165" t="s">
        <v>956</v>
      </c>
      <c r="D1165" t="s">
        <v>974</v>
      </c>
      <c r="E1165" t="s">
        <v>1376</v>
      </c>
      <c r="F1165" s="134">
        <v>0.93166666666666664</v>
      </c>
      <c r="G1165" t="s">
        <v>1371</v>
      </c>
      <c r="H1165" t="s">
        <v>1372</v>
      </c>
    </row>
    <row r="1166" spans="1:8">
      <c r="A1166">
        <v>11657838</v>
      </c>
      <c r="B1166" t="s">
        <v>207</v>
      </c>
      <c r="C1166" t="s">
        <v>956</v>
      </c>
      <c r="D1166" t="s">
        <v>974</v>
      </c>
      <c r="E1166" t="s">
        <v>1377</v>
      </c>
      <c r="F1166" s="134">
        <v>0.31269675925925927</v>
      </c>
      <c r="G1166" t="s">
        <v>1373</v>
      </c>
      <c r="H1166" t="s">
        <v>1374</v>
      </c>
    </row>
    <row r="1167" spans="1:8">
      <c r="A1167">
        <v>11657838</v>
      </c>
      <c r="B1167" t="s">
        <v>207</v>
      </c>
      <c r="C1167" t="s">
        <v>956</v>
      </c>
      <c r="D1167" t="s">
        <v>974</v>
      </c>
      <c r="E1167" t="s">
        <v>1377</v>
      </c>
      <c r="F1167" s="134">
        <v>0.93391203703703696</v>
      </c>
      <c r="G1167" t="s">
        <v>1371</v>
      </c>
      <c r="H1167" t="s">
        <v>1372</v>
      </c>
    </row>
    <row r="1168" spans="1:8">
      <c r="A1168">
        <v>11657838</v>
      </c>
      <c r="B1168" t="s">
        <v>207</v>
      </c>
      <c r="C1168" t="s">
        <v>956</v>
      </c>
      <c r="D1168" t="s">
        <v>974</v>
      </c>
      <c r="E1168" t="s">
        <v>1378</v>
      </c>
      <c r="F1168" s="134">
        <v>0.3130324074074074</v>
      </c>
      <c r="G1168" t="s">
        <v>1373</v>
      </c>
      <c r="H1168" t="s">
        <v>1374</v>
      </c>
    </row>
    <row r="1169" spans="1:8">
      <c r="A1169">
        <v>11657838</v>
      </c>
      <c r="B1169" t="s">
        <v>207</v>
      </c>
      <c r="C1169" t="s">
        <v>956</v>
      </c>
      <c r="D1169" t="s">
        <v>974</v>
      </c>
      <c r="E1169" t="s">
        <v>1378</v>
      </c>
      <c r="F1169" s="134">
        <v>0.93516203703703704</v>
      </c>
      <c r="G1169" t="s">
        <v>1371</v>
      </c>
      <c r="H1169" t="s">
        <v>1372</v>
      </c>
    </row>
    <row r="1170" spans="1:8">
      <c r="A1170">
        <v>11657838</v>
      </c>
      <c r="B1170" t="s">
        <v>207</v>
      </c>
      <c r="C1170" t="s">
        <v>956</v>
      </c>
      <c r="D1170" t="s">
        <v>974</v>
      </c>
      <c r="E1170" t="s">
        <v>1379</v>
      </c>
      <c r="F1170" s="134">
        <v>0.31302083333333336</v>
      </c>
      <c r="G1170" t="s">
        <v>1373</v>
      </c>
      <c r="H1170" t="s">
        <v>1374</v>
      </c>
    </row>
    <row r="1171" spans="1:8">
      <c r="A1171">
        <v>11659510</v>
      </c>
      <c r="B1171" t="s">
        <v>697</v>
      </c>
      <c r="C1171" t="s">
        <v>60</v>
      </c>
      <c r="D1171" t="s">
        <v>60</v>
      </c>
      <c r="E1171" t="s">
        <v>1370</v>
      </c>
      <c r="F1171" s="134">
        <v>0.31011574074074072</v>
      </c>
      <c r="G1171" t="s">
        <v>1371</v>
      </c>
      <c r="H1171" t="s">
        <v>1372</v>
      </c>
    </row>
    <row r="1172" spans="1:8">
      <c r="A1172">
        <v>11659510</v>
      </c>
      <c r="B1172" t="s">
        <v>697</v>
      </c>
      <c r="C1172" t="s">
        <v>60</v>
      </c>
      <c r="D1172" t="s">
        <v>60</v>
      </c>
      <c r="E1172" t="s">
        <v>1370</v>
      </c>
      <c r="F1172" s="134">
        <v>0.62872685185185184</v>
      </c>
      <c r="G1172" t="s">
        <v>1373</v>
      </c>
      <c r="H1172" t="s">
        <v>1374</v>
      </c>
    </row>
    <row r="1173" spans="1:8">
      <c r="A1173">
        <v>11659510</v>
      </c>
      <c r="B1173" t="s">
        <v>697</v>
      </c>
      <c r="C1173" t="s">
        <v>60</v>
      </c>
      <c r="D1173" t="s">
        <v>60</v>
      </c>
      <c r="E1173" t="s">
        <v>1375</v>
      </c>
      <c r="F1173" s="134">
        <v>0.30706018518518519</v>
      </c>
      <c r="G1173" t="s">
        <v>1371</v>
      </c>
      <c r="H1173" t="s">
        <v>1372</v>
      </c>
    </row>
    <row r="1174" spans="1:8">
      <c r="A1174">
        <v>11659510</v>
      </c>
      <c r="B1174" t="s">
        <v>697</v>
      </c>
      <c r="C1174" t="s">
        <v>60</v>
      </c>
      <c r="D1174" t="s">
        <v>60</v>
      </c>
      <c r="E1174" t="s">
        <v>1375</v>
      </c>
      <c r="F1174" s="134">
        <v>0.72459490740740751</v>
      </c>
      <c r="G1174" t="s">
        <v>1373</v>
      </c>
      <c r="H1174" t="s">
        <v>1374</v>
      </c>
    </row>
    <row r="1175" spans="1:8">
      <c r="A1175">
        <v>11659510</v>
      </c>
      <c r="B1175" t="s">
        <v>697</v>
      </c>
      <c r="C1175" t="s">
        <v>60</v>
      </c>
      <c r="D1175" t="s">
        <v>60</v>
      </c>
      <c r="E1175" t="s">
        <v>1376</v>
      </c>
      <c r="F1175" s="134">
        <v>0.30606481481481479</v>
      </c>
      <c r="G1175" t="s">
        <v>1371</v>
      </c>
      <c r="H1175" t="s">
        <v>1372</v>
      </c>
    </row>
    <row r="1176" spans="1:8">
      <c r="A1176">
        <v>11659510</v>
      </c>
      <c r="B1176" t="s">
        <v>697</v>
      </c>
      <c r="C1176" t="s">
        <v>60</v>
      </c>
      <c r="D1176" t="s">
        <v>60</v>
      </c>
      <c r="E1176" t="s">
        <v>1376</v>
      </c>
      <c r="F1176" s="134">
        <v>0.70981481481481479</v>
      </c>
      <c r="G1176" t="s">
        <v>1373</v>
      </c>
      <c r="H1176" t="s">
        <v>1374</v>
      </c>
    </row>
    <row r="1177" spans="1:8">
      <c r="A1177">
        <v>11659510</v>
      </c>
      <c r="B1177" t="s">
        <v>697</v>
      </c>
      <c r="C1177" t="s">
        <v>60</v>
      </c>
      <c r="D1177" t="s">
        <v>60</v>
      </c>
      <c r="E1177" t="s">
        <v>1377</v>
      </c>
      <c r="F1177" s="134">
        <v>0.64475694444444442</v>
      </c>
      <c r="G1177" t="s">
        <v>1373</v>
      </c>
      <c r="H1177" t="s">
        <v>1374</v>
      </c>
    </row>
    <row r="1178" spans="1:8">
      <c r="A1178">
        <v>11659510</v>
      </c>
      <c r="B1178" t="s">
        <v>697</v>
      </c>
      <c r="C1178" t="s">
        <v>60</v>
      </c>
      <c r="D1178" t="s">
        <v>60</v>
      </c>
      <c r="E1178" t="s">
        <v>1377</v>
      </c>
      <c r="F1178" s="134">
        <v>0.30585648148148148</v>
      </c>
      <c r="G1178" t="s">
        <v>1371</v>
      </c>
      <c r="H1178" t="s">
        <v>1372</v>
      </c>
    </row>
    <row r="1179" spans="1:8">
      <c r="A1179">
        <v>11659510</v>
      </c>
      <c r="B1179" t="s">
        <v>697</v>
      </c>
      <c r="C1179" t="s">
        <v>60</v>
      </c>
      <c r="D1179" t="s">
        <v>60</v>
      </c>
      <c r="E1179" t="s">
        <v>1378</v>
      </c>
      <c r="F1179" s="134">
        <v>0.30557870370370371</v>
      </c>
      <c r="G1179" t="s">
        <v>1371</v>
      </c>
      <c r="H1179" t="s">
        <v>1372</v>
      </c>
    </row>
    <row r="1180" spans="1:8">
      <c r="A1180">
        <v>11659510</v>
      </c>
      <c r="B1180" t="s">
        <v>697</v>
      </c>
      <c r="C1180" t="s">
        <v>60</v>
      </c>
      <c r="D1180" t="s">
        <v>60</v>
      </c>
      <c r="E1180" t="s">
        <v>1378</v>
      </c>
      <c r="F1180" s="134">
        <v>0.62737268518518519</v>
      </c>
      <c r="G1180" t="s">
        <v>1373</v>
      </c>
      <c r="H1180" t="s">
        <v>1374</v>
      </c>
    </row>
    <row r="1181" spans="1:8">
      <c r="A1181">
        <v>11659510</v>
      </c>
      <c r="B1181" t="s">
        <v>697</v>
      </c>
      <c r="C1181" t="s">
        <v>60</v>
      </c>
      <c r="D1181" t="s">
        <v>60</v>
      </c>
      <c r="E1181" t="s">
        <v>1379</v>
      </c>
      <c r="F1181" s="134">
        <v>0.30640046296296297</v>
      </c>
      <c r="G1181" t="s">
        <v>1371</v>
      </c>
      <c r="H1181" t="s">
        <v>1372</v>
      </c>
    </row>
    <row r="1182" spans="1:8">
      <c r="A1182">
        <v>11659510</v>
      </c>
      <c r="B1182" t="s">
        <v>697</v>
      </c>
      <c r="C1182" t="s">
        <v>60</v>
      </c>
      <c r="D1182" t="s">
        <v>60</v>
      </c>
      <c r="E1182" t="s">
        <v>1379</v>
      </c>
      <c r="F1182" s="134">
        <v>0.30640046296296297</v>
      </c>
      <c r="G1182" t="s">
        <v>1371</v>
      </c>
      <c r="H1182" t="s">
        <v>1372</v>
      </c>
    </row>
    <row r="1183" spans="1:8">
      <c r="A1183">
        <v>11659510</v>
      </c>
      <c r="B1183" t="s">
        <v>697</v>
      </c>
      <c r="C1183" t="s">
        <v>60</v>
      </c>
      <c r="D1183" t="s">
        <v>60</v>
      </c>
      <c r="E1183" t="s">
        <v>1379</v>
      </c>
      <c r="F1183" s="134">
        <v>0.64133101851851848</v>
      </c>
      <c r="G1183" t="s">
        <v>1373</v>
      </c>
      <c r="H1183" t="s">
        <v>1374</v>
      </c>
    </row>
    <row r="1184" spans="1:8">
      <c r="A1184">
        <v>11660411</v>
      </c>
      <c r="B1184" t="s">
        <v>297</v>
      </c>
      <c r="C1184" t="s">
        <v>295</v>
      </c>
      <c r="D1184" t="s">
        <v>296</v>
      </c>
      <c r="E1184" t="s">
        <v>1370</v>
      </c>
      <c r="F1184" s="134">
        <v>0.92185185185185192</v>
      </c>
      <c r="G1184" t="s">
        <v>1371</v>
      </c>
      <c r="H1184" t="s">
        <v>1372</v>
      </c>
    </row>
    <row r="1185" spans="1:8">
      <c r="A1185">
        <v>11660411</v>
      </c>
      <c r="B1185" t="s">
        <v>297</v>
      </c>
      <c r="C1185" t="s">
        <v>295</v>
      </c>
      <c r="D1185" t="s">
        <v>296</v>
      </c>
      <c r="E1185" t="s">
        <v>1375</v>
      </c>
      <c r="F1185" s="134">
        <v>0.32406249999999998</v>
      </c>
      <c r="G1185" t="s">
        <v>1373</v>
      </c>
      <c r="H1185" t="s">
        <v>1374</v>
      </c>
    </row>
    <row r="1186" spans="1:8">
      <c r="A1186">
        <v>11660411</v>
      </c>
      <c r="B1186" t="s">
        <v>297</v>
      </c>
      <c r="C1186" t="s">
        <v>295</v>
      </c>
      <c r="D1186" t="s">
        <v>296</v>
      </c>
      <c r="E1186" t="s">
        <v>1375</v>
      </c>
      <c r="F1186" s="134">
        <v>0.91839120370370375</v>
      </c>
      <c r="G1186" t="s">
        <v>1371</v>
      </c>
      <c r="H1186" t="s">
        <v>1372</v>
      </c>
    </row>
    <row r="1187" spans="1:8">
      <c r="A1187">
        <v>11660411</v>
      </c>
      <c r="B1187" t="s">
        <v>297</v>
      </c>
      <c r="C1187" t="s">
        <v>295</v>
      </c>
      <c r="D1187" t="s">
        <v>296</v>
      </c>
      <c r="E1187" t="s">
        <v>1376</v>
      </c>
      <c r="F1187" s="134">
        <v>0.32716435185185183</v>
      </c>
      <c r="G1187" t="s">
        <v>1373</v>
      </c>
      <c r="H1187" t="s">
        <v>1374</v>
      </c>
    </row>
    <row r="1188" spans="1:8">
      <c r="A1188">
        <v>11660411</v>
      </c>
      <c r="B1188" t="s">
        <v>297</v>
      </c>
      <c r="C1188" t="s">
        <v>295</v>
      </c>
      <c r="D1188" t="s">
        <v>296</v>
      </c>
      <c r="E1188" t="s">
        <v>1376</v>
      </c>
      <c r="F1188" s="134">
        <v>0.92230324074074066</v>
      </c>
      <c r="G1188" t="s">
        <v>1371</v>
      </c>
      <c r="H1188" t="s">
        <v>1372</v>
      </c>
    </row>
    <row r="1189" spans="1:8">
      <c r="A1189">
        <v>11660411</v>
      </c>
      <c r="B1189" t="s">
        <v>297</v>
      </c>
      <c r="C1189" t="s">
        <v>295</v>
      </c>
      <c r="D1189" t="s">
        <v>296</v>
      </c>
      <c r="E1189" t="s">
        <v>1377</v>
      </c>
      <c r="F1189" s="134">
        <v>0.32643518518518516</v>
      </c>
      <c r="G1189" t="s">
        <v>1373</v>
      </c>
      <c r="H1189" t="s">
        <v>1374</v>
      </c>
    </row>
    <row r="1190" spans="1:8">
      <c r="A1190">
        <v>11660411</v>
      </c>
      <c r="B1190" t="s">
        <v>297</v>
      </c>
      <c r="C1190" t="s">
        <v>295</v>
      </c>
      <c r="D1190" t="s">
        <v>296</v>
      </c>
      <c r="E1190" t="s">
        <v>1377</v>
      </c>
      <c r="F1190" s="134">
        <v>0.92564814814814822</v>
      </c>
      <c r="G1190" t="s">
        <v>1371</v>
      </c>
      <c r="H1190" t="s">
        <v>1372</v>
      </c>
    </row>
    <row r="1191" spans="1:8">
      <c r="A1191">
        <v>11660411</v>
      </c>
      <c r="B1191" t="s">
        <v>297</v>
      </c>
      <c r="C1191" t="s">
        <v>295</v>
      </c>
      <c r="D1191" t="s">
        <v>296</v>
      </c>
      <c r="E1191" t="s">
        <v>1378</v>
      </c>
      <c r="F1191" s="134">
        <v>0.32755787037037037</v>
      </c>
      <c r="G1191" t="s">
        <v>1373</v>
      </c>
      <c r="H1191" t="s">
        <v>1374</v>
      </c>
    </row>
    <row r="1192" spans="1:8">
      <c r="A1192">
        <v>11660411</v>
      </c>
      <c r="B1192" t="s">
        <v>297</v>
      </c>
      <c r="C1192" t="s">
        <v>295</v>
      </c>
      <c r="D1192" t="s">
        <v>296</v>
      </c>
      <c r="E1192" t="s">
        <v>1378</v>
      </c>
      <c r="F1192" s="134">
        <v>0.91991898148148143</v>
      </c>
      <c r="G1192" t="s">
        <v>1371</v>
      </c>
      <c r="H1192" t="s">
        <v>1372</v>
      </c>
    </row>
    <row r="1193" spans="1:8">
      <c r="A1193">
        <v>11660411</v>
      </c>
      <c r="B1193" t="s">
        <v>297</v>
      </c>
      <c r="C1193" t="s">
        <v>295</v>
      </c>
      <c r="D1193" t="s">
        <v>296</v>
      </c>
      <c r="E1193" t="s">
        <v>1379</v>
      </c>
      <c r="F1193" s="134">
        <v>0.32248842592592591</v>
      </c>
      <c r="G1193" t="s">
        <v>1373</v>
      </c>
      <c r="H1193" t="s">
        <v>1374</v>
      </c>
    </row>
    <row r="1194" spans="1:8">
      <c r="A1194">
        <v>11754811</v>
      </c>
      <c r="B1194" t="s">
        <v>718</v>
      </c>
      <c r="C1194" t="s">
        <v>717</v>
      </c>
      <c r="D1194" t="s">
        <v>206</v>
      </c>
      <c r="E1194" t="s">
        <v>1370</v>
      </c>
      <c r="F1194" s="134">
        <v>0.36275462962962962</v>
      </c>
      <c r="G1194" t="s">
        <v>1371</v>
      </c>
      <c r="H1194" t="s">
        <v>1372</v>
      </c>
    </row>
    <row r="1195" spans="1:8">
      <c r="A1195">
        <v>11754811</v>
      </c>
      <c r="B1195" t="s">
        <v>718</v>
      </c>
      <c r="C1195" t="s">
        <v>717</v>
      </c>
      <c r="D1195" t="s">
        <v>206</v>
      </c>
      <c r="E1195" t="s">
        <v>1375</v>
      </c>
      <c r="F1195" s="134">
        <v>0.35972222222222222</v>
      </c>
      <c r="G1195" t="s">
        <v>1371</v>
      </c>
      <c r="H1195" t="s">
        <v>1372</v>
      </c>
    </row>
    <row r="1196" spans="1:8">
      <c r="A1196">
        <v>11754811</v>
      </c>
      <c r="B1196" t="s">
        <v>718</v>
      </c>
      <c r="C1196" t="s">
        <v>717</v>
      </c>
      <c r="D1196" t="s">
        <v>206</v>
      </c>
      <c r="E1196" t="s">
        <v>1376</v>
      </c>
      <c r="F1196" s="134">
        <v>0.36486111111111108</v>
      </c>
      <c r="G1196" t="s">
        <v>1371</v>
      </c>
      <c r="H1196" t="s">
        <v>1372</v>
      </c>
    </row>
    <row r="1197" spans="1:8">
      <c r="A1197">
        <v>11754811</v>
      </c>
      <c r="B1197" t="s">
        <v>718</v>
      </c>
      <c r="C1197" t="s">
        <v>717</v>
      </c>
      <c r="D1197" t="s">
        <v>206</v>
      </c>
      <c r="E1197" t="s">
        <v>1377</v>
      </c>
      <c r="F1197" s="134">
        <v>0.35791666666666666</v>
      </c>
      <c r="G1197" t="s">
        <v>1371</v>
      </c>
      <c r="H1197" t="s">
        <v>1372</v>
      </c>
    </row>
    <row r="1198" spans="1:8">
      <c r="A1198">
        <v>11754811</v>
      </c>
      <c r="B1198" t="s">
        <v>718</v>
      </c>
      <c r="C1198" t="s">
        <v>717</v>
      </c>
      <c r="D1198" t="s">
        <v>206</v>
      </c>
      <c r="E1198" t="s">
        <v>1378</v>
      </c>
      <c r="F1198" s="134">
        <v>0.35747685185185185</v>
      </c>
      <c r="G1198" t="s">
        <v>1371</v>
      </c>
      <c r="H1198" t="s">
        <v>1372</v>
      </c>
    </row>
    <row r="1199" spans="1:8">
      <c r="A1199">
        <v>11840491</v>
      </c>
      <c r="B1199" t="s">
        <v>1064</v>
      </c>
      <c r="C1199" t="s">
        <v>736</v>
      </c>
      <c r="D1199" t="s">
        <v>1063</v>
      </c>
      <c r="E1199" t="s">
        <v>1370</v>
      </c>
      <c r="F1199" s="134">
        <v>0.28789351851851852</v>
      </c>
      <c r="G1199" t="s">
        <v>1371</v>
      </c>
      <c r="H1199" t="s">
        <v>1372</v>
      </c>
    </row>
    <row r="1200" spans="1:8">
      <c r="A1200">
        <v>11840491</v>
      </c>
      <c r="B1200" t="s">
        <v>1064</v>
      </c>
      <c r="C1200" t="s">
        <v>736</v>
      </c>
      <c r="D1200" t="s">
        <v>1063</v>
      </c>
      <c r="E1200" t="s">
        <v>1370</v>
      </c>
      <c r="F1200" s="134">
        <v>0.63583333333333336</v>
      </c>
      <c r="G1200" t="s">
        <v>1373</v>
      </c>
      <c r="H1200" t="s">
        <v>1374</v>
      </c>
    </row>
    <row r="1201" spans="1:8">
      <c r="A1201">
        <v>11840491</v>
      </c>
      <c r="B1201" t="s">
        <v>1064</v>
      </c>
      <c r="C1201" t="s">
        <v>736</v>
      </c>
      <c r="D1201" t="s">
        <v>1063</v>
      </c>
      <c r="E1201" t="s">
        <v>1375</v>
      </c>
      <c r="F1201" s="134">
        <v>0.29070601851851852</v>
      </c>
      <c r="G1201" t="s">
        <v>1371</v>
      </c>
      <c r="H1201" t="s">
        <v>1372</v>
      </c>
    </row>
    <row r="1202" spans="1:8">
      <c r="A1202">
        <v>11840491</v>
      </c>
      <c r="B1202" t="s">
        <v>1064</v>
      </c>
      <c r="C1202" t="s">
        <v>736</v>
      </c>
      <c r="D1202" t="s">
        <v>1063</v>
      </c>
      <c r="E1202" t="s">
        <v>1375</v>
      </c>
      <c r="F1202" s="134">
        <v>0.63219907407407405</v>
      </c>
      <c r="G1202" t="s">
        <v>1373</v>
      </c>
      <c r="H1202" t="s">
        <v>1374</v>
      </c>
    </row>
    <row r="1203" spans="1:8">
      <c r="A1203">
        <v>11840491</v>
      </c>
      <c r="B1203" t="s">
        <v>1064</v>
      </c>
      <c r="C1203" t="s">
        <v>736</v>
      </c>
      <c r="D1203" t="s">
        <v>1063</v>
      </c>
      <c r="E1203" t="s">
        <v>1376</v>
      </c>
      <c r="F1203" s="134">
        <v>0.63046296296296289</v>
      </c>
      <c r="G1203" t="s">
        <v>1373</v>
      </c>
      <c r="H1203" t="s">
        <v>1374</v>
      </c>
    </row>
    <row r="1204" spans="1:8">
      <c r="A1204">
        <v>11840491</v>
      </c>
      <c r="B1204" t="s">
        <v>1064</v>
      </c>
      <c r="C1204" t="s">
        <v>736</v>
      </c>
      <c r="D1204" t="s">
        <v>1063</v>
      </c>
      <c r="E1204" t="s">
        <v>1376</v>
      </c>
      <c r="F1204" s="134">
        <v>0.29159722222222223</v>
      </c>
      <c r="G1204" t="s">
        <v>1371</v>
      </c>
      <c r="H1204" t="s">
        <v>1372</v>
      </c>
    </row>
    <row r="1205" spans="1:8">
      <c r="A1205">
        <v>11840491</v>
      </c>
      <c r="B1205" t="s">
        <v>1064</v>
      </c>
      <c r="C1205" t="s">
        <v>736</v>
      </c>
      <c r="D1205" t="s">
        <v>1063</v>
      </c>
      <c r="E1205" t="s">
        <v>1377</v>
      </c>
      <c r="F1205" s="134">
        <v>0.28979166666666667</v>
      </c>
      <c r="G1205" t="s">
        <v>1371</v>
      </c>
      <c r="H1205" t="s">
        <v>1372</v>
      </c>
    </row>
    <row r="1206" spans="1:8">
      <c r="A1206">
        <v>11840491</v>
      </c>
      <c r="B1206" t="s">
        <v>1064</v>
      </c>
      <c r="C1206" t="s">
        <v>736</v>
      </c>
      <c r="D1206" t="s">
        <v>1063</v>
      </c>
      <c r="E1206" t="s">
        <v>1377</v>
      </c>
      <c r="F1206" s="134">
        <v>0.63348379629629636</v>
      </c>
      <c r="G1206" t="s">
        <v>1373</v>
      </c>
      <c r="H1206" t="s">
        <v>1374</v>
      </c>
    </row>
    <row r="1207" spans="1:8">
      <c r="A1207">
        <v>11840491</v>
      </c>
      <c r="B1207" t="s">
        <v>1064</v>
      </c>
      <c r="C1207" t="s">
        <v>736</v>
      </c>
      <c r="D1207" t="s">
        <v>1063</v>
      </c>
      <c r="E1207" t="s">
        <v>1378</v>
      </c>
      <c r="F1207" s="134">
        <v>0.28898148148148145</v>
      </c>
      <c r="G1207" t="s">
        <v>1371</v>
      </c>
      <c r="H1207" t="s">
        <v>1372</v>
      </c>
    </row>
    <row r="1208" spans="1:8">
      <c r="A1208">
        <v>11840491</v>
      </c>
      <c r="B1208" t="s">
        <v>1064</v>
      </c>
      <c r="C1208" t="s">
        <v>736</v>
      </c>
      <c r="D1208" t="s">
        <v>1063</v>
      </c>
      <c r="E1208" t="s">
        <v>1378</v>
      </c>
      <c r="F1208" s="134">
        <v>0.63077546296296294</v>
      </c>
      <c r="G1208" t="s">
        <v>1373</v>
      </c>
      <c r="H1208" t="s">
        <v>1374</v>
      </c>
    </row>
    <row r="1209" spans="1:8">
      <c r="A1209">
        <v>11840491</v>
      </c>
      <c r="B1209" t="s">
        <v>1064</v>
      </c>
      <c r="C1209" t="s">
        <v>736</v>
      </c>
      <c r="D1209" t="s">
        <v>1063</v>
      </c>
      <c r="E1209" t="s">
        <v>1379</v>
      </c>
      <c r="F1209" s="134">
        <v>0.28945601851851849</v>
      </c>
      <c r="G1209" t="s">
        <v>1371</v>
      </c>
      <c r="H1209" t="s">
        <v>1372</v>
      </c>
    </row>
    <row r="1210" spans="1:8">
      <c r="A1210">
        <v>11840491</v>
      </c>
      <c r="B1210" t="s">
        <v>1064</v>
      </c>
      <c r="C1210" t="s">
        <v>736</v>
      </c>
      <c r="D1210" t="s">
        <v>1063</v>
      </c>
      <c r="E1210" t="s">
        <v>1379</v>
      </c>
      <c r="F1210" s="134">
        <v>0.63219907407407405</v>
      </c>
      <c r="G1210" t="s">
        <v>1373</v>
      </c>
      <c r="H1210" t="s">
        <v>1374</v>
      </c>
    </row>
    <row r="1211" spans="1:8">
      <c r="A1211">
        <v>11873201</v>
      </c>
      <c r="B1211" t="s">
        <v>285</v>
      </c>
      <c r="C1211" t="s">
        <v>577</v>
      </c>
      <c r="D1211" t="s">
        <v>578</v>
      </c>
      <c r="E1211" t="s">
        <v>1381</v>
      </c>
      <c r="F1211" s="134">
        <v>0</v>
      </c>
    </row>
    <row r="1212" spans="1:8">
      <c r="A1212">
        <v>11914799</v>
      </c>
      <c r="B1212" t="s">
        <v>368</v>
      </c>
      <c r="C1212" t="s">
        <v>397</v>
      </c>
      <c r="D1212" t="s">
        <v>398</v>
      </c>
      <c r="E1212" t="s">
        <v>1370</v>
      </c>
      <c r="F1212" s="134">
        <v>0.60590277777777779</v>
      </c>
      <c r="G1212" t="s">
        <v>1371</v>
      </c>
      <c r="H1212" t="s">
        <v>1372</v>
      </c>
    </row>
    <row r="1213" spans="1:8">
      <c r="A1213">
        <v>11914799</v>
      </c>
      <c r="B1213" t="s">
        <v>368</v>
      </c>
      <c r="C1213" t="s">
        <v>397</v>
      </c>
      <c r="D1213" t="s">
        <v>398</v>
      </c>
      <c r="E1213" t="s">
        <v>1370</v>
      </c>
      <c r="F1213" s="134">
        <v>0.94756944444444446</v>
      </c>
      <c r="G1213" t="s">
        <v>1373</v>
      </c>
      <c r="H1213" t="s">
        <v>1374</v>
      </c>
    </row>
    <row r="1214" spans="1:8">
      <c r="A1214">
        <v>11914799</v>
      </c>
      <c r="B1214" t="s">
        <v>368</v>
      </c>
      <c r="C1214" t="s">
        <v>397</v>
      </c>
      <c r="D1214" t="s">
        <v>398</v>
      </c>
      <c r="E1214" t="s">
        <v>1375</v>
      </c>
      <c r="F1214" s="134">
        <v>0.60663194444444446</v>
      </c>
      <c r="G1214" t="s">
        <v>1371</v>
      </c>
      <c r="H1214" t="s">
        <v>1372</v>
      </c>
    </row>
    <row r="1215" spans="1:8">
      <c r="A1215">
        <v>11914799</v>
      </c>
      <c r="B1215" t="s">
        <v>368</v>
      </c>
      <c r="C1215" t="s">
        <v>397</v>
      </c>
      <c r="D1215" t="s">
        <v>398</v>
      </c>
      <c r="E1215" t="s">
        <v>1375</v>
      </c>
      <c r="F1215" s="134">
        <v>0.94612268518518527</v>
      </c>
      <c r="G1215" t="s">
        <v>1373</v>
      </c>
      <c r="H1215" t="s">
        <v>1374</v>
      </c>
    </row>
    <row r="1216" spans="1:8">
      <c r="A1216">
        <v>11914799</v>
      </c>
      <c r="B1216" t="s">
        <v>368</v>
      </c>
      <c r="C1216" t="s">
        <v>397</v>
      </c>
      <c r="D1216" t="s">
        <v>398</v>
      </c>
      <c r="E1216" t="s">
        <v>1376</v>
      </c>
      <c r="F1216" s="134">
        <v>0.9471412037037038</v>
      </c>
      <c r="G1216" t="s">
        <v>1373</v>
      </c>
      <c r="H1216" t="s">
        <v>1374</v>
      </c>
    </row>
    <row r="1217" spans="1:8">
      <c r="A1217">
        <v>11914799</v>
      </c>
      <c r="B1217" t="s">
        <v>368</v>
      </c>
      <c r="C1217" t="s">
        <v>397</v>
      </c>
      <c r="D1217" t="s">
        <v>398</v>
      </c>
      <c r="E1217" t="s">
        <v>1376</v>
      </c>
      <c r="F1217" s="134">
        <v>0.60711805555555554</v>
      </c>
      <c r="G1217" t="s">
        <v>1371</v>
      </c>
      <c r="H1217" t="s">
        <v>1372</v>
      </c>
    </row>
    <row r="1218" spans="1:8">
      <c r="A1218">
        <v>11914799</v>
      </c>
      <c r="B1218" t="s">
        <v>368</v>
      </c>
      <c r="C1218" t="s">
        <v>397</v>
      </c>
      <c r="D1218" t="s">
        <v>398</v>
      </c>
      <c r="E1218" t="s">
        <v>1377</v>
      </c>
      <c r="F1218" s="134">
        <v>0.60590277777777779</v>
      </c>
      <c r="G1218" t="s">
        <v>1371</v>
      </c>
      <c r="H1218" t="s">
        <v>1372</v>
      </c>
    </row>
    <row r="1219" spans="1:8">
      <c r="A1219">
        <v>11914799</v>
      </c>
      <c r="B1219" t="s">
        <v>368</v>
      </c>
      <c r="C1219" t="s">
        <v>397</v>
      </c>
      <c r="D1219" t="s">
        <v>398</v>
      </c>
      <c r="E1219" t="s">
        <v>1377</v>
      </c>
      <c r="F1219" s="134">
        <v>0.94746527777777778</v>
      </c>
      <c r="G1219" t="s">
        <v>1373</v>
      </c>
      <c r="H1219" t="s">
        <v>1374</v>
      </c>
    </row>
    <row r="1220" spans="1:8">
      <c r="A1220">
        <v>11914799</v>
      </c>
      <c r="B1220" t="s">
        <v>368</v>
      </c>
      <c r="C1220" t="s">
        <v>397</v>
      </c>
      <c r="D1220" t="s">
        <v>398</v>
      </c>
      <c r="E1220" t="s">
        <v>1378</v>
      </c>
      <c r="F1220" s="134">
        <v>0.6069444444444444</v>
      </c>
      <c r="G1220" t="s">
        <v>1371</v>
      </c>
      <c r="H1220" t="s">
        <v>1372</v>
      </c>
    </row>
    <row r="1221" spans="1:8">
      <c r="A1221">
        <v>11914799</v>
      </c>
      <c r="B1221" t="s">
        <v>368</v>
      </c>
      <c r="C1221" t="s">
        <v>397</v>
      </c>
      <c r="D1221" t="s">
        <v>398</v>
      </c>
      <c r="E1221" t="s">
        <v>1378</v>
      </c>
      <c r="F1221" s="134">
        <v>0.94681712962962961</v>
      </c>
      <c r="G1221" t="s">
        <v>1373</v>
      </c>
      <c r="H1221" t="s">
        <v>1374</v>
      </c>
    </row>
    <row r="1222" spans="1:8">
      <c r="A1222">
        <v>11914799</v>
      </c>
      <c r="B1222" t="s">
        <v>368</v>
      </c>
      <c r="C1222" t="s">
        <v>397</v>
      </c>
      <c r="D1222" t="s">
        <v>398</v>
      </c>
      <c r="E1222" t="s">
        <v>1379</v>
      </c>
      <c r="F1222" s="134">
        <v>0.2945949074074074</v>
      </c>
      <c r="G1222" t="s">
        <v>1371</v>
      </c>
      <c r="H1222" t="s">
        <v>1372</v>
      </c>
    </row>
    <row r="1223" spans="1:8">
      <c r="A1223">
        <v>11914799</v>
      </c>
      <c r="B1223" t="s">
        <v>368</v>
      </c>
      <c r="C1223" t="s">
        <v>397</v>
      </c>
      <c r="D1223" t="s">
        <v>398</v>
      </c>
      <c r="E1223" t="s">
        <v>1379</v>
      </c>
      <c r="F1223" s="134">
        <v>0.6364467592592592</v>
      </c>
      <c r="G1223" t="s">
        <v>1373</v>
      </c>
      <c r="H1223" t="s">
        <v>1374</v>
      </c>
    </row>
    <row r="1224" spans="1:8">
      <c r="A1224">
        <v>12020450</v>
      </c>
      <c r="B1224" t="s">
        <v>832</v>
      </c>
      <c r="C1224" t="s">
        <v>831</v>
      </c>
      <c r="D1224" t="s">
        <v>815</v>
      </c>
      <c r="E1224" t="s">
        <v>1370</v>
      </c>
      <c r="F1224" s="134">
        <v>0.36075231481481485</v>
      </c>
      <c r="G1224" t="s">
        <v>1371</v>
      </c>
      <c r="H1224" t="s">
        <v>1372</v>
      </c>
    </row>
    <row r="1225" spans="1:8">
      <c r="A1225">
        <v>12020450</v>
      </c>
      <c r="B1225" t="s">
        <v>832</v>
      </c>
      <c r="C1225" t="s">
        <v>831</v>
      </c>
      <c r="D1225" t="s">
        <v>815</v>
      </c>
      <c r="E1225" t="s">
        <v>1370</v>
      </c>
      <c r="F1225" s="134">
        <v>0.7709259259259259</v>
      </c>
      <c r="G1225" t="s">
        <v>1373</v>
      </c>
      <c r="H1225" t="s">
        <v>1374</v>
      </c>
    </row>
    <row r="1226" spans="1:8">
      <c r="A1226">
        <v>12020450</v>
      </c>
      <c r="B1226" t="s">
        <v>832</v>
      </c>
      <c r="C1226" t="s">
        <v>831</v>
      </c>
      <c r="D1226" t="s">
        <v>815</v>
      </c>
      <c r="E1226" t="s">
        <v>1375</v>
      </c>
      <c r="F1226" s="134">
        <v>0.35553240740740738</v>
      </c>
      <c r="G1226" t="s">
        <v>1371</v>
      </c>
      <c r="H1226" t="s">
        <v>1372</v>
      </c>
    </row>
    <row r="1227" spans="1:8">
      <c r="A1227">
        <v>12020450</v>
      </c>
      <c r="B1227" t="s">
        <v>832</v>
      </c>
      <c r="C1227" t="s">
        <v>831</v>
      </c>
      <c r="D1227" t="s">
        <v>815</v>
      </c>
      <c r="E1227" t="s">
        <v>1375</v>
      </c>
      <c r="F1227" s="134">
        <v>0.82758101851851851</v>
      </c>
      <c r="G1227" t="s">
        <v>1373</v>
      </c>
      <c r="H1227" t="s">
        <v>1374</v>
      </c>
    </row>
    <row r="1228" spans="1:8">
      <c r="A1228">
        <v>12020450</v>
      </c>
      <c r="B1228" t="s">
        <v>832</v>
      </c>
      <c r="C1228" t="s">
        <v>831</v>
      </c>
      <c r="D1228" t="s">
        <v>815</v>
      </c>
      <c r="E1228" t="s">
        <v>1376</v>
      </c>
      <c r="F1228" s="134">
        <v>0.35918981481481477</v>
      </c>
      <c r="G1228" t="s">
        <v>1371</v>
      </c>
      <c r="H1228" t="s">
        <v>1372</v>
      </c>
    </row>
    <row r="1229" spans="1:8">
      <c r="A1229">
        <v>12020450</v>
      </c>
      <c r="B1229" t="s">
        <v>832</v>
      </c>
      <c r="C1229" t="s">
        <v>831</v>
      </c>
      <c r="D1229" t="s">
        <v>815</v>
      </c>
      <c r="E1229" t="s">
        <v>1377</v>
      </c>
      <c r="F1229" s="134">
        <v>0.36084490740740738</v>
      </c>
      <c r="G1229" t="s">
        <v>1371</v>
      </c>
      <c r="H1229" t="s">
        <v>1372</v>
      </c>
    </row>
    <row r="1230" spans="1:8">
      <c r="A1230">
        <v>12020450</v>
      </c>
      <c r="B1230" t="s">
        <v>832</v>
      </c>
      <c r="C1230" t="s">
        <v>831</v>
      </c>
      <c r="D1230" t="s">
        <v>815</v>
      </c>
      <c r="E1230" t="s">
        <v>1378</v>
      </c>
      <c r="F1230" s="134">
        <v>0.37474537037037042</v>
      </c>
      <c r="G1230" t="s">
        <v>1371</v>
      </c>
      <c r="H1230" t="s">
        <v>1372</v>
      </c>
    </row>
    <row r="1231" spans="1:8">
      <c r="A1231">
        <v>12020450</v>
      </c>
      <c r="B1231" t="s">
        <v>832</v>
      </c>
      <c r="C1231" t="s">
        <v>831</v>
      </c>
      <c r="D1231" t="s">
        <v>815</v>
      </c>
      <c r="E1231" t="s">
        <v>1378</v>
      </c>
      <c r="F1231" s="134">
        <v>0.77577546296296296</v>
      </c>
      <c r="G1231" t="s">
        <v>1373</v>
      </c>
      <c r="H1231" t="s">
        <v>1374</v>
      </c>
    </row>
    <row r="1232" spans="1:8">
      <c r="A1232">
        <v>12051254</v>
      </c>
      <c r="B1232" t="s">
        <v>1383</v>
      </c>
      <c r="C1232" t="s">
        <v>873</v>
      </c>
      <c r="D1232" t="s">
        <v>406</v>
      </c>
      <c r="E1232" t="s">
        <v>1370</v>
      </c>
      <c r="F1232" s="134">
        <v>0.37180555555555556</v>
      </c>
      <c r="G1232" t="s">
        <v>1371</v>
      </c>
      <c r="H1232" t="s">
        <v>1372</v>
      </c>
    </row>
    <row r="1233" spans="1:8">
      <c r="A1233">
        <v>12051254</v>
      </c>
      <c r="B1233" t="s">
        <v>1383</v>
      </c>
      <c r="C1233" t="s">
        <v>873</v>
      </c>
      <c r="D1233" t="s">
        <v>406</v>
      </c>
      <c r="E1233" t="s">
        <v>1370</v>
      </c>
      <c r="F1233" s="134">
        <v>0.76709490740740749</v>
      </c>
      <c r="G1233" t="s">
        <v>1373</v>
      </c>
      <c r="H1233" t="s">
        <v>1374</v>
      </c>
    </row>
    <row r="1234" spans="1:8">
      <c r="A1234">
        <v>12051254</v>
      </c>
      <c r="B1234" t="s">
        <v>1383</v>
      </c>
      <c r="C1234" t="s">
        <v>873</v>
      </c>
      <c r="D1234" t="s">
        <v>406</v>
      </c>
      <c r="E1234" t="s">
        <v>1375</v>
      </c>
      <c r="F1234" s="134">
        <v>0.31212962962962965</v>
      </c>
      <c r="G1234" t="s">
        <v>1371</v>
      </c>
      <c r="H1234" t="s">
        <v>1372</v>
      </c>
    </row>
    <row r="1235" spans="1:8">
      <c r="A1235">
        <v>12051254</v>
      </c>
      <c r="B1235" t="s">
        <v>1383</v>
      </c>
      <c r="C1235" t="s">
        <v>873</v>
      </c>
      <c r="D1235" t="s">
        <v>406</v>
      </c>
      <c r="E1235" t="s">
        <v>1375</v>
      </c>
      <c r="F1235" s="134">
        <v>0.80613425925925919</v>
      </c>
      <c r="G1235" t="s">
        <v>1371</v>
      </c>
      <c r="H1235" t="s">
        <v>1372</v>
      </c>
    </row>
    <row r="1236" spans="1:8">
      <c r="A1236">
        <v>12051254</v>
      </c>
      <c r="B1236" t="s">
        <v>1383</v>
      </c>
      <c r="C1236" t="s">
        <v>873</v>
      </c>
      <c r="D1236" t="s">
        <v>406</v>
      </c>
      <c r="E1236" t="s">
        <v>1377</v>
      </c>
      <c r="F1236" s="134">
        <v>0.36377314814814815</v>
      </c>
      <c r="G1236" t="s">
        <v>1371</v>
      </c>
      <c r="H1236" t="s">
        <v>1372</v>
      </c>
    </row>
    <row r="1237" spans="1:8">
      <c r="A1237">
        <v>12051254</v>
      </c>
      <c r="B1237" t="s">
        <v>1383</v>
      </c>
      <c r="C1237" t="s">
        <v>873</v>
      </c>
      <c r="D1237" t="s">
        <v>406</v>
      </c>
      <c r="E1237" t="s">
        <v>1377</v>
      </c>
      <c r="F1237" s="134">
        <v>0.79108796296296291</v>
      </c>
      <c r="G1237" t="s">
        <v>1373</v>
      </c>
      <c r="H1237" t="s">
        <v>1374</v>
      </c>
    </row>
    <row r="1238" spans="1:8">
      <c r="A1238">
        <v>12051254</v>
      </c>
      <c r="B1238" t="s">
        <v>1383</v>
      </c>
      <c r="C1238" t="s">
        <v>873</v>
      </c>
      <c r="D1238" t="s">
        <v>406</v>
      </c>
      <c r="E1238" t="s">
        <v>1378</v>
      </c>
      <c r="F1238" s="134">
        <v>0.46530092592592592</v>
      </c>
      <c r="G1238" t="s">
        <v>1371</v>
      </c>
      <c r="H1238" t="s">
        <v>1372</v>
      </c>
    </row>
    <row r="1239" spans="1:8">
      <c r="A1239">
        <v>12051254</v>
      </c>
      <c r="B1239" t="s">
        <v>1383</v>
      </c>
      <c r="C1239" t="s">
        <v>873</v>
      </c>
      <c r="D1239" t="s">
        <v>406</v>
      </c>
      <c r="E1239" t="s">
        <v>1378</v>
      </c>
      <c r="F1239" s="134">
        <v>0.85546296296296298</v>
      </c>
      <c r="G1239" t="s">
        <v>1373</v>
      </c>
      <c r="H1239" t="s">
        <v>1374</v>
      </c>
    </row>
    <row r="1240" spans="1:8">
      <c r="A1240">
        <v>12093149</v>
      </c>
      <c r="B1240" t="s">
        <v>1171</v>
      </c>
      <c r="C1240" t="s">
        <v>96</v>
      </c>
      <c r="D1240" t="s">
        <v>295</v>
      </c>
      <c r="E1240" t="s">
        <v>1370</v>
      </c>
      <c r="F1240" s="134">
        <v>0.30409722222222219</v>
      </c>
      <c r="G1240" t="s">
        <v>1371</v>
      </c>
      <c r="H1240" t="s">
        <v>1372</v>
      </c>
    </row>
    <row r="1241" spans="1:8">
      <c r="A1241">
        <v>12093149</v>
      </c>
      <c r="B1241" t="s">
        <v>1171</v>
      </c>
      <c r="C1241" t="s">
        <v>96</v>
      </c>
      <c r="D1241" t="s">
        <v>295</v>
      </c>
      <c r="E1241" t="s">
        <v>1370</v>
      </c>
      <c r="F1241" s="134">
        <v>0.63549768518518512</v>
      </c>
      <c r="G1241" t="s">
        <v>1373</v>
      </c>
      <c r="H1241" t="s">
        <v>1374</v>
      </c>
    </row>
    <row r="1242" spans="1:8">
      <c r="A1242">
        <v>12093149</v>
      </c>
      <c r="B1242" t="s">
        <v>1171</v>
      </c>
      <c r="C1242" t="s">
        <v>96</v>
      </c>
      <c r="D1242" t="s">
        <v>295</v>
      </c>
      <c r="E1242" t="s">
        <v>1375</v>
      </c>
      <c r="F1242" s="134">
        <v>0.30281249999999998</v>
      </c>
      <c r="G1242" t="s">
        <v>1371</v>
      </c>
      <c r="H1242" t="s">
        <v>1372</v>
      </c>
    </row>
    <row r="1243" spans="1:8">
      <c r="A1243">
        <v>12093149</v>
      </c>
      <c r="B1243" t="s">
        <v>1171</v>
      </c>
      <c r="C1243" t="s">
        <v>96</v>
      </c>
      <c r="D1243" t="s">
        <v>295</v>
      </c>
      <c r="E1243" t="s">
        <v>1375</v>
      </c>
      <c r="F1243" s="134">
        <v>0.63665509259259256</v>
      </c>
      <c r="G1243" t="s">
        <v>1373</v>
      </c>
      <c r="H1243" t="s">
        <v>1374</v>
      </c>
    </row>
    <row r="1244" spans="1:8">
      <c r="A1244">
        <v>12093149</v>
      </c>
      <c r="B1244" t="s">
        <v>1171</v>
      </c>
      <c r="C1244" t="s">
        <v>96</v>
      </c>
      <c r="D1244" t="s">
        <v>295</v>
      </c>
      <c r="E1244" t="s">
        <v>1376</v>
      </c>
      <c r="F1244" s="134">
        <v>0.63510416666666669</v>
      </c>
      <c r="G1244" t="s">
        <v>1373</v>
      </c>
      <c r="H1244" t="s">
        <v>1374</v>
      </c>
    </row>
    <row r="1245" spans="1:8">
      <c r="A1245">
        <v>12093149</v>
      </c>
      <c r="B1245" t="s">
        <v>1171</v>
      </c>
      <c r="C1245" t="s">
        <v>96</v>
      </c>
      <c r="D1245" t="s">
        <v>295</v>
      </c>
      <c r="E1245" t="s">
        <v>1376</v>
      </c>
      <c r="F1245" s="134">
        <v>0.30483796296296295</v>
      </c>
      <c r="G1245" t="s">
        <v>1371</v>
      </c>
      <c r="H1245" t="s">
        <v>1372</v>
      </c>
    </row>
    <row r="1246" spans="1:8">
      <c r="A1246">
        <v>12093149</v>
      </c>
      <c r="B1246" t="s">
        <v>1171</v>
      </c>
      <c r="C1246" t="s">
        <v>96</v>
      </c>
      <c r="D1246" t="s">
        <v>295</v>
      </c>
      <c r="E1246" t="s">
        <v>1377</v>
      </c>
      <c r="F1246" s="134">
        <v>0.30106481481481479</v>
      </c>
      <c r="G1246" t="s">
        <v>1371</v>
      </c>
      <c r="H1246" t="s">
        <v>1372</v>
      </c>
    </row>
    <row r="1247" spans="1:8">
      <c r="A1247">
        <v>12093149</v>
      </c>
      <c r="B1247" t="s">
        <v>1171</v>
      </c>
      <c r="C1247" t="s">
        <v>96</v>
      </c>
      <c r="D1247" t="s">
        <v>295</v>
      </c>
      <c r="E1247" t="s">
        <v>1377</v>
      </c>
      <c r="F1247" s="134">
        <v>0.64398148148148149</v>
      </c>
      <c r="G1247" t="s">
        <v>1373</v>
      </c>
      <c r="H1247" t="s">
        <v>1374</v>
      </c>
    </row>
    <row r="1248" spans="1:8">
      <c r="A1248">
        <v>12093149</v>
      </c>
      <c r="B1248" t="s">
        <v>1171</v>
      </c>
      <c r="C1248" t="s">
        <v>96</v>
      </c>
      <c r="D1248" t="s">
        <v>295</v>
      </c>
      <c r="E1248" t="s">
        <v>1378</v>
      </c>
      <c r="F1248" s="134">
        <v>0.30297453703703703</v>
      </c>
      <c r="G1248" t="s">
        <v>1371</v>
      </c>
      <c r="H1248" t="s">
        <v>1372</v>
      </c>
    </row>
    <row r="1249" spans="1:8">
      <c r="A1249">
        <v>12093149</v>
      </c>
      <c r="B1249" t="s">
        <v>1171</v>
      </c>
      <c r="C1249" t="s">
        <v>96</v>
      </c>
      <c r="D1249" t="s">
        <v>295</v>
      </c>
      <c r="E1249" t="s">
        <v>1378</v>
      </c>
      <c r="F1249" s="134">
        <v>0.63950231481481479</v>
      </c>
      <c r="G1249" t="s">
        <v>1373</v>
      </c>
      <c r="H1249" t="s">
        <v>1374</v>
      </c>
    </row>
    <row r="1250" spans="1:8">
      <c r="A1250">
        <v>12093149</v>
      </c>
      <c r="B1250" t="s">
        <v>1171</v>
      </c>
      <c r="C1250" t="s">
        <v>96</v>
      </c>
      <c r="D1250" t="s">
        <v>295</v>
      </c>
      <c r="E1250" t="s">
        <v>1379</v>
      </c>
      <c r="F1250" s="134">
        <v>0.30311342592592594</v>
      </c>
      <c r="G1250" t="s">
        <v>1371</v>
      </c>
      <c r="H1250" t="s">
        <v>1372</v>
      </c>
    </row>
    <row r="1251" spans="1:8">
      <c r="A1251">
        <v>12093149</v>
      </c>
      <c r="B1251" t="s">
        <v>1171</v>
      </c>
      <c r="C1251" t="s">
        <v>96</v>
      </c>
      <c r="D1251" t="s">
        <v>295</v>
      </c>
      <c r="E1251" t="s">
        <v>1379</v>
      </c>
      <c r="F1251" s="134">
        <v>0.63365740740740739</v>
      </c>
      <c r="G1251" t="s">
        <v>1373</v>
      </c>
      <c r="H1251" t="s">
        <v>1374</v>
      </c>
    </row>
    <row r="1252" spans="1:8">
      <c r="A1252">
        <v>12093228</v>
      </c>
      <c r="B1252" t="s">
        <v>119</v>
      </c>
      <c r="C1252" t="s">
        <v>117</v>
      </c>
      <c r="D1252" t="s">
        <v>118</v>
      </c>
      <c r="E1252" t="s">
        <v>1370</v>
      </c>
      <c r="F1252" s="134">
        <v>0.29269675925925925</v>
      </c>
      <c r="G1252" t="s">
        <v>1371</v>
      </c>
      <c r="H1252" t="s">
        <v>1372</v>
      </c>
    </row>
    <row r="1253" spans="1:8">
      <c r="A1253">
        <v>12093228</v>
      </c>
      <c r="B1253" t="s">
        <v>119</v>
      </c>
      <c r="C1253" t="s">
        <v>117</v>
      </c>
      <c r="D1253" t="s">
        <v>118</v>
      </c>
      <c r="E1253" t="s">
        <v>1370</v>
      </c>
      <c r="F1253" s="134">
        <v>0.78657407407407398</v>
      </c>
      <c r="G1253" t="s">
        <v>1373</v>
      </c>
      <c r="H1253" t="s">
        <v>1374</v>
      </c>
    </row>
    <row r="1254" spans="1:8">
      <c r="A1254">
        <v>12093228</v>
      </c>
      <c r="B1254" t="s">
        <v>119</v>
      </c>
      <c r="C1254" t="s">
        <v>117</v>
      </c>
      <c r="D1254" t="s">
        <v>118</v>
      </c>
      <c r="E1254" t="s">
        <v>1375</v>
      </c>
      <c r="F1254" s="134">
        <v>0.29193287037037036</v>
      </c>
      <c r="G1254" t="s">
        <v>1371</v>
      </c>
      <c r="H1254" t="s">
        <v>1372</v>
      </c>
    </row>
    <row r="1255" spans="1:8">
      <c r="A1255">
        <v>12093228</v>
      </c>
      <c r="B1255" t="s">
        <v>119</v>
      </c>
      <c r="C1255" t="s">
        <v>117</v>
      </c>
      <c r="D1255" t="s">
        <v>118</v>
      </c>
      <c r="E1255" t="s">
        <v>1375</v>
      </c>
      <c r="F1255" s="134">
        <v>0.79129629629629628</v>
      </c>
      <c r="G1255" t="s">
        <v>1373</v>
      </c>
      <c r="H1255" t="s">
        <v>1374</v>
      </c>
    </row>
    <row r="1256" spans="1:8">
      <c r="A1256">
        <v>12093228</v>
      </c>
      <c r="B1256" t="s">
        <v>119</v>
      </c>
      <c r="C1256" t="s">
        <v>117</v>
      </c>
      <c r="D1256" t="s">
        <v>118</v>
      </c>
      <c r="E1256" t="s">
        <v>1376</v>
      </c>
      <c r="F1256" s="134">
        <v>0.29260416666666667</v>
      </c>
      <c r="G1256" t="s">
        <v>1371</v>
      </c>
      <c r="H1256" t="s">
        <v>1372</v>
      </c>
    </row>
    <row r="1257" spans="1:8">
      <c r="A1257">
        <v>12093228</v>
      </c>
      <c r="B1257" t="s">
        <v>119</v>
      </c>
      <c r="C1257" t="s">
        <v>117</v>
      </c>
      <c r="D1257" t="s">
        <v>118</v>
      </c>
      <c r="E1257" t="s">
        <v>1376</v>
      </c>
      <c r="F1257" s="134">
        <v>0.79197916666666668</v>
      </c>
      <c r="G1257" t="s">
        <v>1373</v>
      </c>
      <c r="H1257" t="s">
        <v>1374</v>
      </c>
    </row>
    <row r="1258" spans="1:8">
      <c r="A1258">
        <v>12093228</v>
      </c>
      <c r="B1258" t="s">
        <v>119</v>
      </c>
      <c r="C1258" t="s">
        <v>117</v>
      </c>
      <c r="D1258" t="s">
        <v>118</v>
      </c>
      <c r="E1258" t="s">
        <v>1377</v>
      </c>
      <c r="F1258" s="134">
        <v>0.29394675925925923</v>
      </c>
      <c r="G1258" t="s">
        <v>1371</v>
      </c>
      <c r="H1258" t="s">
        <v>1372</v>
      </c>
    </row>
    <row r="1259" spans="1:8">
      <c r="A1259">
        <v>12093228</v>
      </c>
      <c r="B1259" t="s">
        <v>119</v>
      </c>
      <c r="C1259" t="s">
        <v>117</v>
      </c>
      <c r="D1259" t="s">
        <v>118</v>
      </c>
      <c r="E1259" t="s">
        <v>1377</v>
      </c>
      <c r="F1259" s="134">
        <v>0.78825231481481473</v>
      </c>
      <c r="G1259" t="s">
        <v>1373</v>
      </c>
      <c r="H1259" t="s">
        <v>1374</v>
      </c>
    </row>
    <row r="1260" spans="1:8">
      <c r="A1260">
        <v>12093228</v>
      </c>
      <c r="B1260" t="s">
        <v>119</v>
      </c>
      <c r="C1260" t="s">
        <v>117</v>
      </c>
      <c r="D1260" t="s">
        <v>118</v>
      </c>
      <c r="E1260" t="s">
        <v>1378</v>
      </c>
      <c r="F1260" s="134">
        <v>0.29273148148148148</v>
      </c>
      <c r="G1260" t="s">
        <v>1371</v>
      </c>
      <c r="H1260" t="s">
        <v>1372</v>
      </c>
    </row>
    <row r="1261" spans="1:8">
      <c r="A1261">
        <v>12093228</v>
      </c>
      <c r="B1261" t="s">
        <v>119</v>
      </c>
      <c r="C1261" t="s">
        <v>117</v>
      </c>
      <c r="D1261" t="s">
        <v>118</v>
      </c>
      <c r="E1261" t="s">
        <v>1378</v>
      </c>
      <c r="F1261" s="134">
        <v>0.75125000000000008</v>
      </c>
      <c r="G1261" t="s">
        <v>1373</v>
      </c>
      <c r="H1261" t="s">
        <v>1374</v>
      </c>
    </row>
    <row r="1262" spans="1:8">
      <c r="A1262">
        <v>12210109</v>
      </c>
      <c r="B1262" t="s">
        <v>1293</v>
      </c>
      <c r="C1262" t="s">
        <v>1187</v>
      </c>
      <c r="D1262" t="s">
        <v>730</v>
      </c>
      <c r="E1262" t="s">
        <v>1370</v>
      </c>
      <c r="F1262" s="134">
        <v>0.60905092592592591</v>
      </c>
      <c r="G1262" t="s">
        <v>1371</v>
      </c>
      <c r="H1262" t="s">
        <v>1372</v>
      </c>
    </row>
    <row r="1263" spans="1:8">
      <c r="A1263">
        <v>12210109</v>
      </c>
      <c r="B1263" t="s">
        <v>1293</v>
      </c>
      <c r="C1263" t="s">
        <v>1187</v>
      </c>
      <c r="D1263" t="s">
        <v>730</v>
      </c>
      <c r="E1263" t="s">
        <v>1370</v>
      </c>
      <c r="F1263" s="134">
        <v>0.94726851851851857</v>
      </c>
      <c r="G1263" t="s">
        <v>1373</v>
      </c>
      <c r="H1263" t="s">
        <v>1374</v>
      </c>
    </row>
    <row r="1264" spans="1:8">
      <c r="A1264">
        <v>12210109</v>
      </c>
      <c r="B1264" t="s">
        <v>1293</v>
      </c>
      <c r="C1264" t="s">
        <v>1187</v>
      </c>
      <c r="D1264" t="s">
        <v>730</v>
      </c>
      <c r="E1264" t="s">
        <v>1375</v>
      </c>
      <c r="F1264" s="134">
        <v>0.6121064814814815</v>
      </c>
      <c r="G1264" t="s">
        <v>1371</v>
      </c>
      <c r="H1264" t="s">
        <v>1372</v>
      </c>
    </row>
    <row r="1265" spans="1:8">
      <c r="A1265">
        <v>12210109</v>
      </c>
      <c r="B1265" t="s">
        <v>1293</v>
      </c>
      <c r="C1265" t="s">
        <v>1187</v>
      </c>
      <c r="D1265" t="s">
        <v>730</v>
      </c>
      <c r="E1265" t="s">
        <v>1375</v>
      </c>
      <c r="F1265" s="134">
        <v>0.94414351851851863</v>
      </c>
      <c r="G1265" t="s">
        <v>1373</v>
      </c>
      <c r="H1265" t="s">
        <v>1374</v>
      </c>
    </row>
    <row r="1266" spans="1:8">
      <c r="A1266">
        <v>12210109</v>
      </c>
      <c r="B1266" t="s">
        <v>1293</v>
      </c>
      <c r="C1266" t="s">
        <v>1187</v>
      </c>
      <c r="D1266" t="s">
        <v>730</v>
      </c>
      <c r="E1266" t="s">
        <v>1376</v>
      </c>
      <c r="F1266" s="134">
        <v>0.94076388888888884</v>
      </c>
      <c r="G1266" t="s">
        <v>1373</v>
      </c>
      <c r="H1266" t="s">
        <v>1374</v>
      </c>
    </row>
    <row r="1267" spans="1:8">
      <c r="A1267">
        <v>12210109</v>
      </c>
      <c r="B1267" t="s">
        <v>1293</v>
      </c>
      <c r="C1267" t="s">
        <v>1187</v>
      </c>
      <c r="D1267" t="s">
        <v>730</v>
      </c>
      <c r="E1267" t="s">
        <v>1376</v>
      </c>
      <c r="F1267" s="134">
        <v>0.60834490740740743</v>
      </c>
      <c r="G1267" t="s">
        <v>1371</v>
      </c>
      <c r="H1267" t="s">
        <v>1372</v>
      </c>
    </row>
    <row r="1268" spans="1:8">
      <c r="A1268">
        <v>12210109</v>
      </c>
      <c r="B1268" t="s">
        <v>1293</v>
      </c>
      <c r="C1268" t="s">
        <v>1187</v>
      </c>
      <c r="D1268" t="s">
        <v>730</v>
      </c>
      <c r="E1268" t="s">
        <v>1377</v>
      </c>
      <c r="F1268" s="134">
        <v>0.790949074074074</v>
      </c>
      <c r="G1268" t="s">
        <v>1371</v>
      </c>
      <c r="H1268" t="s">
        <v>1372</v>
      </c>
    </row>
    <row r="1269" spans="1:8">
      <c r="A1269">
        <v>12210109</v>
      </c>
      <c r="B1269" t="s">
        <v>1293</v>
      </c>
      <c r="C1269" t="s">
        <v>1187</v>
      </c>
      <c r="D1269" t="s">
        <v>730</v>
      </c>
      <c r="E1269" t="s">
        <v>1377</v>
      </c>
      <c r="F1269" s="134">
        <v>0.94387731481481474</v>
      </c>
      <c r="G1269" t="s">
        <v>1373</v>
      </c>
      <c r="H1269" t="s">
        <v>1374</v>
      </c>
    </row>
    <row r="1270" spans="1:8">
      <c r="A1270">
        <v>12210109</v>
      </c>
      <c r="B1270" t="s">
        <v>1293</v>
      </c>
      <c r="C1270" t="s">
        <v>1187</v>
      </c>
      <c r="D1270" t="s">
        <v>730</v>
      </c>
      <c r="E1270" t="s">
        <v>1378</v>
      </c>
      <c r="F1270" s="134">
        <v>0.60825231481481479</v>
      </c>
      <c r="G1270" t="s">
        <v>1371</v>
      </c>
      <c r="H1270" t="s">
        <v>1372</v>
      </c>
    </row>
    <row r="1271" spans="1:8">
      <c r="A1271">
        <v>12210109</v>
      </c>
      <c r="B1271" t="s">
        <v>1293</v>
      </c>
      <c r="C1271" t="s">
        <v>1187</v>
      </c>
      <c r="D1271" t="s">
        <v>730</v>
      </c>
      <c r="E1271" t="s">
        <v>1378</v>
      </c>
      <c r="F1271" s="134">
        <v>0.94759259259259254</v>
      </c>
      <c r="G1271" t="s">
        <v>1373</v>
      </c>
      <c r="H1271" t="s">
        <v>1374</v>
      </c>
    </row>
    <row r="1272" spans="1:8">
      <c r="A1272">
        <v>12210109</v>
      </c>
      <c r="B1272" t="s">
        <v>1293</v>
      </c>
      <c r="C1272" t="s">
        <v>1187</v>
      </c>
      <c r="D1272" t="s">
        <v>730</v>
      </c>
      <c r="E1272" t="s">
        <v>1379</v>
      </c>
      <c r="F1272" s="134">
        <v>0.61137731481481483</v>
      </c>
      <c r="G1272" t="s">
        <v>1371</v>
      </c>
      <c r="H1272" t="s">
        <v>1372</v>
      </c>
    </row>
    <row r="1273" spans="1:8">
      <c r="A1273">
        <v>12210109</v>
      </c>
      <c r="B1273" t="s">
        <v>1293</v>
      </c>
      <c r="C1273" t="s">
        <v>1187</v>
      </c>
      <c r="D1273" t="s">
        <v>730</v>
      </c>
      <c r="E1273" t="s">
        <v>1379</v>
      </c>
      <c r="F1273" s="134">
        <v>0.94817129629629626</v>
      </c>
      <c r="G1273" t="s">
        <v>1373</v>
      </c>
      <c r="H1273" t="s">
        <v>1374</v>
      </c>
    </row>
    <row r="1274" spans="1:8">
      <c r="A1274">
        <v>12392999</v>
      </c>
      <c r="B1274" t="s">
        <v>285</v>
      </c>
      <c r="C1274" t="s">
        <v>1050</v>
      </c>
      <c r="D1274" t="s">
        <v>1051</v>
      </c>
      <c r="E1274" t="s">
        <v>1370</v>
      </c>
      <c r="F1274" s="134">
        <v>0.29258101851851853</v>
      </c>
      <c r="G1274" t="s">
        <v>1371</v>
      </c>
      <c r="H1274" t="s">
        <v>1372</v>
      </c>
    </row>
    <row r="1275" spans="1:8">
      <c r="A1275">
        <v>12392999</v>
      </c>
      <c r="B1275" t="s">
        <v>285</v>
      </c>
      <c r="C1275" t="s">
        <v>1050</v>
      </c>
      <c r="D1275" t="s">
        <v>1051</v>
      </c>
      <c r="E1275" t="s">
        <v>1370</v>
      </c>
      <c r="F1275" s="134">
        <v>0.69093749999999998</v>
      </c>
      <c r="G1275" t="s">
        <v>1373</v>
      </c>
      <c r="H1275" t="s">
        <v>1374</v>
      </c>
    </row>
    <row r="1276" spans="1:8">
      <c r="A1276">
        <v>12392999</v>
      </c>
      <c r="B1276" t="s">
        <v>285</v>
      </c>
      <c r="C1276" t="s">
        <v>1050</v>
      </c>
      <c r="D1276" t="s">
        <v>1051</v>
      </c>
      <c r="E1276" t="s">
        <v>1375</v>
      </c>
      <c r="F1276" s="134">
        <v>0.29185185185185186</v>
      </c>
      <c r="G1276" t="s">
        <v>1371</v>
      </c>
      <c r="H1276" t="s">
        <v>1372</v>
      </c>
    </row>
    <row r="1277" spans="1:8">
      <c r="A1277">
        <v>12392999</v>
      </c>
      <c r="B1277" t="s">
        <v>285</v>
      </c>
      <c r="C1277" t="s">
        <v>1050</v>
      </c>
      <c r="D1277" t="s">
        <v>1051</v>
      </c>
      <c r="E1277" t="s">
        <v>1375</v>
      </c>
      <c r="F1277" s="134">
        <v>0.68880787037037028</v>
      </c>
      <c r="G1277" t="s">
        <v>1373</v>
      </c>
      <c r="H1277" t="s">
        <v>1374</v>
      </c>
    </row>
    <row r="1278" spans="1:8">
      <c r="A1278">
        <v>12392999</v>
      </c>
      <c r="B1278" t="s">
        <v>285</v>
      </c>
      <c r="C1278" t="s">
        <v>1050</v>
      </c>
      <c r="D1278" t="s">
        <v>1051</v>
      </c>
      <c r="E1278" t="s">
        <v>1376</v>
      </c>
      <c r="F1278" s="134">
        <v>0.29217592592592595</v>
      </c>
      <c r="G1278" t="s">
        <v>1371</v>
      </c>
      <c r="H1278" t="s">
        <v>1372</v>
      </c>
    </row>
    <row r="1279" spans="1:8">
      <c r="A1279">
        <v>12392999</v>
      </c>
      <c r="B1279" t="s">
        <v>285</v>
      </c>
      <c r="C1279" t="s">
        <v>1050</v>
      </c>
      <c r="D1279" t="s">
        <v>1051</v>
      </c>
      <c r="E1279" t="s">
        <v>1376</v>
      </c>
      <c r="F1279" s="134">
        <v>0.68449074074074068</v>
      </c>
      <c r="G1279" t="s">
        <v>1373</v>
      </c>
      <c r="H1279" t="s">
        <v>1374</v>
      </c>
    </row>
    <row r="1280" spans="1:8">
      <c r="A1280">
        <v>12392999</v>
      </c>
      <c r="B1280" t="s">
        <v>285</v>
      </c>
      <c r="C1280" t="s">
        <v>1050</v>
      </c>
      <c r="D1280" t="s">
        <v>1051</v>
      </c>
      <c r="E1280" t="s">
        <v>1377</v>
      </c>
      <c r="F1280" s="134">
        <v>0.29372685185185182</v>
      </c>
      <c r="G1280" t="s">
        <v>1371</v>
      </c>
      <c r="H1280" t="s">
        <v>1372</v>
      </c>
    </row>
    <row r="1281" spans="1:8">
      <c r="A1281">
        <v>12392999</v>
      </c>
      <c r="B1281" t="s">
        <v>285</v>
      </c>
      <c r="C1281" t="s">
        <v>1050</v>
      </c>
      <c r="D1281" t="s">
        <v>1051</v>
      </c>
      <c r="E1281" t="s">
        <v>1377</v>
      </c>
      <c r="F1281" s="134">
        <v>0.67906250000000001</v>
      </c>
      <c r="G1281" t="s">
        <v>1373</v>
      </c>
      <c r="H1281" t="s">
        <v>1374</v>
      </c>
    </row>
    <row r="1282" spans="1:8">
      <c r="A1282">
        <v>12410690</v>
      </c>
      <c r="B1282" t="s">
        <v>242</v>
      </c>
      <c r="C1282" t="s">
        <v>240</v>
      </c>
      <c r="D1282" t="s">
        <v>241</v>
      </c>
      <c r="E1282" t="s">
        <v>1370</v>
      </c>
      <c r="F1282" s="134">
        <v>0.91353009259259255</v>
      </c>
      <c r="G1282" t="s">
        <v>1371</v>
      </c>
      <c r="H1282" t="s">
        <v>1372</v>
      </c>
    </row>
    <row r="1283" spans="1:8">
      <c r="A1283">
        <v>12410690</v>
      </c>
      <c r="B1283" t="s">
        <v>242</v>
      </c>
      <c r="C1283" t="s">
        <v>240</v>
      </c>
      <c r="D1283" t="s">
        <v>241</v>
      </c>
      <c r="E1283" t="s">
        <v>1375</v>
      </c>
      <c r="F1283" s="134">
        <v>0.31107638888888889</v>
      </c>
      <c r="G1283" t="s">
        <v>1373</v>
      </c>
      <c r="H1283" t="s">
        <v>1374</v>
      </c>
    </row>
    <row r="1284" spans="1:8">
      <c r="A1284">
        <v>12410690</v>
      </c>
      <c r="B1284" t="s">
        <v>242</v>
      </c>
      <c r="C1284" t="s">
        <v>240</v>
      </c>
      <c r="D1284" t="s">
        <v>241</v>
      </c>
      <c r="E1284" t="s">
        <v>1376</v>
      </c>
      <c r="F1284" s="134">
        <v>0.29556712962962967</v>
      </c>
      <c r="G1284" t="s">
        <v>1371</v>
      </c>
      <c r="H1284" t="s">
        <v>1372</v>
      </c>
    </row>
    <row r="1285" spans="1:8">
      <c r="A1285">
        <v>12410690</v>
      </c>
      <c r="B1285" t="s">
        <v>242</v>
      </c>
      <c r="C1285" t="s">
        <v>240</v>
      </c>
      <c r="D1285" t="s">
        <v>241</v>
      </c>
      <c r="E1285" t="s">
        <v>1376</v>
      </c>
      <c r="F1285" s="134">
        <v>0.31859953703703703</v>
      </c>
      <c r="G1285" t="s">
        <v>1373</v>
      </c>
      <c r="H1285" t="s">
        <v>1374</v>
      </c>
    </row>
    <row r="1286" spans="1:8">
      <c r="A1286">
        <v>12410690</v>
      </c>
      <c r="B1286" t="s">
        <v>242</v>
      </c>
      <c r="C1286" t="s">
        <v>240</v>
      </c>
      <c r="D1286" t="s">
        <v>241</v>
      </c>
      <c r="E1286" t="s">
        <v>1376</v>
      </c>
      <c r="F1286" s="134">
        <v>0.91937500000000005</v>
      </c>
      <c r="G1286" t="s">
        <v>1371</v>
      </c>
      <c r="H1286" t="s">
        <v>1372</v>
      </c>
    </row>
    <row r="1287" spans="1:8">
      <c r="A1287">
        <v>12410690</v>
      </c>
      <c r="B1287" t="s">
        <v>242</v>
      </c>
      <c r="C1287" t="s">
        <v>240</v>
      </c>
      <c r="D1287" t="s">
        <v>241</v>
      </c>
      <c r="E1287" t="s">
        <v>1377</v>
      </c>
      <c r="F1287" s="134">
        <v>0.32674768518518521</v>
      </c>
      <c r="G1287" t="s">
        <v>1373</v>
      </c>
      <c r="H1287" t="s">
        <v>1374</v>
      </c>
    </row>
    <row r="1288" spans="1:8">
      <c r="A1288">
        <v>12410690</v>
      </c>
      <c r="B1288" t="s">
        <v>242</v>
      </c>
      <c r="C1288" t="s">
        <v>240</v>
      </c>
      <c r="D1288" t="s">
        <v>241</v>
      </c>
      <c r="E1288" t="s">
        <v>1377</v>
      </c>
      <c r="F1288" s="134">
        <v>0.91924768518518529</v>
      </c>
      <c r="G1288" t="s">
        <v>1371</v>
      </c>
      <c r="H1288" t="s">
        <v>1372</v>
      </c>
    </row>
    <row r="1289" spans="1:8">
      <c r="A1289">
        <v>12410690</v>
      </c>
      <c r="B1289" t="s">
        <v>242</v>
      </c>
      <c r="C1289" t="s">
        <v>240</v>
      </c>
      <c r="D1289" t="s">
        <v>241</v>
      </c>
      <c r="E1289" t="s">
        <v>1378</v>
      </c>
      <c r="F1289" s="134">
        <v>0.32467592592592592</v>
      </c>
      <c r="G1289" t="s">
        <v>1373</v>
      </c>
      <c r="H1289" t="s">
        <v>1374</v>
      </c>
    </row>
    <row r="1290" spans="1:8">
      <c r="A1290">
        <v>12410690</v>
      </c>
      <c r="B1290" t="s">
        <v>242</v>
      </c>
      <c r="C1290" t="s">
        <v>240</v>
      </c>
      <c r="D1290" t="s">
        <v>241</v>
      </c>
      <c r="E1290" t="s">
        <v>1378</v>
      </c>
      <c r="F1290" s="134">
        <v>0.9194444444444444</v>
      </c>
      <c r="G1290" t="s">
        <v>1371</v>
      </c>
      <c r="H1290" t="s">
        <v>1372</v>
      </c>
    </row>
    <row r="1291" spans="1:8">
      <c r="A1291">
        <v>12410690</v>
      </c>
      <c r="B1291" t="s">
        <v>242</v>
      </c>
      <c r="C1291" t="s">
        <v>240</v>
      </c>
      <c r="D1291" t="s">
        <v>241</v>
      </c>
      <c r="E1291" t="s">
        <v>1379</v>
      </c>
      <c r="F1291" s="134">
        <v>0.32403935185185184</v>
      </c>
      <c r="G1291" t="s">
        <v>1373</v>
      </c>
      <c r="H1291" t="s">
        <v>1374</v>
      </c>
    </row>
    <row r="1292" spans="1:8">
      <c r="A1292">
        <v>12500119</v>
      </c>
      <c r="B1292" t="s">
        <v>1006</v>
      </c>
      <c r="C1292" t="s">
        <v>1005</v>
      </c>
      <c r="D1292" t="s">
        <v>736</v>
      </c>
      <c r="E1292" t="s">
        <v>1370</v>
      </c>
      <c r="F1292" s="134">
        <v>0.29446759259259259</v>
      </c>
      <c r="G1292" t="s">
        <v>1371</v>
      </c>
      <c r="H1292" t="s">
        <v>1372</v>
      </c>
    </row>
    <row r="1293" spans="1:8">
      <c r="A1293">
        <v>12500119</v>
      </c>
      <c r="B1293" t="s">
        <v>1006</v>
      </c>
      <c r="C1293" t="s">
        <v>1005</v>
      </c>
      <c r="D1293" t="s">
        <v>736</v>
      </c>
      <c r="E1293" t="s">
        <v>1370</v>
      </c>
      <c r="F1293" s="134">
        <v>0.73172453703703699</v>
      </c>
      <c r="G1293" t="s">
        <v>1373</v>
      </c>
      <c r="H1293" t="s">
        <v>1374</v>
      </c>
    </row>
    <row r="1294" spans="1:8">
      <c r="A1294">
        <v>12500119</v>
      </c>
      <c r="B1294" t="s">
        <v>1006</v>
      </c>
      <c r="C1294" t="s">
        <v>1005</v>
      </c>
      <c r="D1294" t="s">
        <v>736</v>
      </c>
      <c r="E1294" t="s">
        <v>1375</v>
      </c>
      <c r="F1294" s="134">
        <v>0.29415509259259259</v>
      </c>
      <c r="G1294" t="s">
        <v>1371</v>
      </c>
      <c r="H1294" t="s">
        <v>1372</v>
      </c>
    </row>
    <row r="1295" spans="1:8">
      <c r="A1295">
        <v>12500119</v>
      </c>
      <c r="B1295" t="s">
        <v>1006</v>
      </c>
      <c r="C1295" t="s">
        <v>1005</v>
      </c>
      <c r="D1295" t="s">
        <v>736</v>
      </c>
      <c r="E1295" t="s">
        <v>1375</v>
      </c>
      <c r="F1295" s="134">
        <v>0.79133101851851861</v>
      </c>
      <c r="G1295" t="s">
        <v>1373</v>
      </c>
      <c r="H1295" t="s">
        <v>1374</v>
      </c>
    </row>
    <row r="1296" spans="1:8">
      <c r="A1296">
        <v>12500119</v>
      </c>
      <c r="B1296" t="s">
        <v>1006</v>
      </c>
      <c r="C1296" t="s">
        <v>1005</v>
      </c>
      <c r="D1296" t="s">
        <v>736</v>
      </c>
      <c r="E1296" t="s">
        <v>1376</v>
      </c>
      <c r="F1296" s="134">
        <v>0.34667824074074072</v>
      </c>
      <c r="G1296" t="s">
        <v>1371</v>
      </c>
      <c r="H1296" t="s">
        <v>1372</v>
      </c>
    </row>
    <row r="1297" spans="1:8">
      <c r="A1297">
        <v>12500119</v>
      </c>
      <c r="B1297" t="s">
        <v>1006</v>
      </c>
      <c r="C1297" t="s">
        <v>1005</v>
      </c>
      <c r="D1297" t="s">
        <v>736</v>
      </c>
      <c r="E1297" t="s">
        <v>1376</v>
      </c>
      <c r="F1297" s="134">
        <v>0.79194444444444445</v>
      </c>
      <c r="G1297" t="s">
        <v>1373</v>
      </c>
      <c r="H1297" t="s">
        <v>1374</v>
      </c>
    </row>
    <row r="1298" spans="1:8">
      <c r="A1298">
        <v>12500119</v>
      </c>
      <c r="B1298" t="s">
        <v>1006</v>
      </c>
      <c r="C1298" t="s">
        <v>1005</v>
      </c>
      <c r="D1298" t="s">
        <v>736</v>
      </c>
      <c r="E1298" t="s">
        <v>1377</v>
      </c>
      <c r="F1298" s="134">
        <v>0.29478009259259258</v>
      </c>
      <c r="G1298" t="s">
        <v>1371</v>
      </c>
      <c r="H1298" t="s">
        <v>1372</v>
      </c>
    </row>
    <row r="1299" spans="1:8">
      <c r="A1299">
        <v>12500119</v>
      </c>
      <c r="B1299" t="s">
        <v>1006</v>
      </c>
      <c r="C1299" t="s">
        <v>1005</v>
      </c>
      <c r="D1299" t="s">
        <v>736</v>
      </c>
      <c r="E1299" t="s">
        <v>1377</v>
      </c>
      <c r="F1299" s="134">
        <v>0.73077546296296303</v>
      </c>
      <c r="G1299" t="s">
        <v>1373</v>
      </c>
      <c r="H1299" t="s">
        <v>1374</v>
      </c>
    </row>
    <row r="1300" spans="1:8">
      <c r="A1300">
        <v>12500119</v>
      </c>
      <c r="B1300" t="s">
        <v>1006</v>
      </c>
      <c r="C1300" t="s">
        <v>1005</v>
      </c>
      <c r="D1300" t="s">
        <v>736</v>
      </c>
      <c r="E1300" t="s">
        <v>1378</v>
      </c>
      <c r="F1300" s="134">
        <v>0.34657407407407409</v>
      </c>
      <c r="G1300" t="s">
        <v>1371</v>
      </c>
      <c r="H1300" t="s">
        <v>1372</v>
      </c>
    </row>
    <row r="1301" spans="1:8">
      <c r="A1301">
        <v>12500119</v>
      </c>
      <c r="B1301" t="s">
        <v>1006</v>
      </c>
      <c r="C1301" t="s">
        <v>1005</v>
      </c>
      <c r="D1301" t="s">
        <v>736</v>
      </c>
      <c r="E1301" t="s">
        <v>1378</v>
      </c>
      <c r="F1301" s="134">
        <v>0.73593750000000002</v>
      </c>
      <c r="G1301" t="s">
        <v>1373</v>
      </c>
      <c r="H1301" t="s">
        <v>1374</v>
      </c>
    </row>
    <row r="1302" spans="1:8">
      <c r="A1302">
        <v>12501307</v>
      </c>
      <c r="B1302" t="s">
        <v>143</v>
      </c>
      <c r="C1302" t="s">
        <v>141</v>
      </c>
      <c r="D1302" t="s">
        <v>142</v>
      </c>
      <c r="E1302" t="s">
        <v>1370</v>
      </c>
      <c r="F1302" s="134">
        <v>0.60708333333333331</v>
      </c>
      <c r="G1302" t="s">
        <v>1371</v>
      </c>
      <c r="H1302" t="s">
        <v>1372</v>
      </c>
    </row>
    <row r="1303" spans="1:8">
      <c r="A1303">
        <v>12501307</v>
      </c>
      <c r="B1303" t="s">
        <v>143</v>
      </c>
      <c r="C1303" t="s">
        <v>141</v>
      </c>
      <c r="D1303" t="s">
        <v>142</v>
      </c>
      <c r="E1303" t="s">
        <v>1370</v>
      </c>
      <c r="F1303" s="134">
        <v>0.94084490740740734</v>
      </c>
      <c r="G1303" t="s">
        <v>1373</v>
      </c>
      <c r="H1303" t="s">
        <v>1374</v>
      </c>
    </row>
    <row r="1304" spans="1:8">
      <c r="A1304">
        <v>12501307</v>
      </c>
      <c r="B1304" t="s">
        <v>143</v>
      </c>
      <c r="C1304" t="s">
        <v>141</v>
      </c>
      <c r="D1304" t="s">
        <v>142</v>
      </c>
      <c r="E1304" t="s">
        <v>1375</v>
      </c>
      <c r="F1304" s="134">
        <v>0.61197916666666663</v>
      </c>
      <c r="G1304" t="s">
        <v>1371</v>
      </c>
      <c r="H1304" t="s">
        <v>1372</v>
      </c>
    </row>
    <row r="1305" spans="1:8">
      <c r="A1305">
        <v>12501307</v>
      </c>
      <c r="B1305" t="s">
        <v>143</v>
      </c>
      <c r="C1305" t="s">
        <v>141</v>
      </c>
      <c r="D1305" t="s">
        <v>142</v>
      </c>
      <c r="E1305" t="s">
        <v>1375</v>
      </c>
      <c r="F1305" s="134">
        <v>0.94899305555555558</v>
      </c>
      <c r="G1305" t="s">
        <v>1373</v>
      </c>
      <c r="H1305" t="s">
        <v>1374</v>
      </c>
    </row>
    <row r="1306" spans="1:8">
      <c r="A1306">
        <v>12501307</v>
      </c>
      <c r="B1306" t="s">
        <v>143</v>
      </c>
      <c r="C1306" t="s">
        <v>141</v>
      </c>
      <c r="D1306" t="s">
        <v>142</v>
      </c>
      <c r="E1306" t="s">
        <v>1376</v>
      </c>
      <c r="F1306" s="134">
        <v>0.88944444444444448</v>
      </c>
      <c r="G1306" t="s">
        <v>1373</v>
      </c>
      <c r="H1306" t="s">
        <v>1374</v>
      </c>
    </row>
    <row r="1307" spans="1:8">
      <c r="A1307">
        <v>12501307</v>
      </c>
      <c r="B1307" t="s">
        <v>143</v>
      </c>
      <c r="C1307" t="s">
        <v>141</v>
      </c>
      <c r="D1307" t="s">
        <v>142</v>
      </c>
      <c r="E1307" t="s">
        <v>1376</v>
      </c>
      <c r="F1307" s="134">
        <v>0.60741898148148155</v>
      </c>
      <c r="G1307" t="s">
        <v>1371</v>
      </c>
      <c r="H1307" t="s">
        <v>1372</v>
      </c>
    </row>
    <row r="1308" spans="1:8">
      <c r="A1308">
        <v>12501307</v>
      </c>
      <c r="B1308" t="s">
        <v>143</v>
      </c>
      <c r="C1308" t="s">
        <v>141</v>
      </c>
      <c r="D1308" t="s">
        <v>142</v>
      </c>
      <c r="E1308" t="s">
        <v>1377</v>
      </c>
      <c r="F1308" s="134">
        <v>0.60775462962962956</v>
      </c>
      <c r="G1308" t="s">
        <v>1371</v>
      </c>
      <c r="H1308" t="s">
        <v>1372</v>
      </c>
    </row>
    <row r="1309" spans="1:8">
      <c r="A1309">
        <v>12501307</v>
      </c>
      <c r="B1309" t="s">
        <v>143</v>
      </c>
      <c r="C1309" t="s">
        <v>141</v>
      </c>
      <c r="D1309" t="s">
        <v>142</v>
      </c>
      <c r="E1309" t="s">
        <v>1377</v>
      </c>
      <c r="F1309" s="134">
        <v>0.94828703703703709</v>
      </c>
      <c r="G1309" t="s">
        <v>1373</v>
      </c>
      <c r="H1309" t="s">
        <v>1374</v>
      </c>
    </row>
    <row r="1310" spans="1:8">
      <c r="A1310">
        <v>12501307</v>
      </c>
      <c r="B1310" t="s">
        <v>143</v>
      </c>
      <c r="C1310" t="s">
        <v>141</v>
      </c>
      <c r="D1310" t="s">
        <v>142</v>
      </c>
      <c r="E1310" t="s">
        <v>1378</v>
      </c>
      <c r="F1310" s="134">
        <v>0.60807870370370376</v>
      </c>
      <c r="G1310" t="s">
        <v>1371</v>
      </c>
      <c r="H1310" t="s">
        <v>1372</v>
      </c>
    </row>
    <row r="1311" spans="1:8">
      <c r="A1311">
        <v>12501307</v>
      </c>
      <c r="B1311" t="s">
        <v>143</v>
      </c>
      <c r="C1311" t="s">
        <v>141</v>
      </c>
      <c r="D1311" t="s">
        <v>142</v>
      </c>
      <c r="E1311" t="s">
        <v>1378</v>
      </c>
      <c r="F1311" s="134">
        <v>0.94737268518518514</v>
      </c>
      <c r="G1311" t="s">
        <v>1373</v>
      </c>
      <c r="H1311" t="s">
        <v>1374</v>
      </c>
    </row>
    <row r="1312" spans="1:8">
      <c r="A1312">
        <v>12501307</v>
      </c>
      <c r="B1312" t="s">
        <v>143</v>
      </c>
      <c r="C1312" t="s">
        <v>141</v>
      </c>
      <c r="D1312" t="s">
        <v>142</v>
      </c>
      <c r="E1312" t="s">
        <v>1379</v>
      </c>
      <c r="F1312" s="134">
        <v>0.62200231481481483</v>
      </c>
      <c r="G1312" t="s">
        <v>1371</v>
      </c>
      <c r="H1312" t="s">
        <v>1372</v>
      </c>
    </row>
    <row r="1313" spans="1:8">
      <c r="A1313">
        <v>12501307</v>
      </c>
      <c r="B1313" t="s">
        <v>143</v>
      </c>
      <c r="C1313" t="s">
        <v>141</v>
      </c>
      <c r="D1313" t="s">
        <v>142</v>
      </c>
      <c r="E1313" t="s">
        <v>1379</v>
      </c>
      <c r="F1313" s="134">
        <v>0.94065972222222216</v>
      </c>
      <c r="G1313" t="s">
        <v>1373</v>
      </c>
      <c r="H1313" t="s">
        <v>1374</v>
      </c>
    </row>
    <row r="1314" spans="1:8">
      <c r="A1314">
        <v>12647009</v>
      </c>
      <c r="B1314" t="s">
        <v>982</v>
      </c>
      <c r="C1314" t="s">
        <v>821</v>
      </c>
      <c r="D1314" t="s">
        <v>981</v>
      </c>
      <c r="E1314" t="s">
        <v>1381</v>
      </c>
      <c r="F1314" s="134">
        <v>0</v>
      </c>
    </row>
    <row r="1315" spans="1:8">
      <c r="A1315">
        <v>12674806</v>
      </c>
      <c r="B1315" t="s">
        <v>225</v>
      </c>
      <c r="C1315" t="s">
        <v>223</v>
      </c>
      <c r="D1315" t="s">
        <v>224</v>
      </c>
      <c r="E1315" t="s">
        <v>1370</v>
      </c>
      <c r="F1315" s="134">
        <v>0.2956597222222222</v>
      </c>
      <c r="G1315" t="s">
        <v>1371</v>
      </c>
      <c r="H1315" t="s">
        <v>1372</v>
      </c>
    </row>
    <row r="1316" spans="1:8">
      <c r="A1316">
        <v>12674806</v>
      </c>
      <c r="B1316" t="s">
        <v>225</v>
      </c>
      <c r="C1316" t="s">
        <v>223</v>
      </c>
      <c r="D1316" t="s">
        <v>224</v>
      </c>
      <c r="E1316" t="s">
        <v>1370</v>
      </c>
      <c r="F1316" s="134">
        <v>0.63974537037037038</v>
      </c>
      <c r="G1316" t="s">
        <v>1373</v>
      </c>
      <c r="H1316" t="s">
        <v>1374</v>
      </c>
    </row>
    <row r="1317" spans="1:8">
      <c r="A1317">
        <v>12674806</v>
      </c>
      <c r="B1317" t="s">
        <v>225</v>
      </c>
      <c r="C1317" t="s">
        <v>223</v>
      </c>
      <c r="D1317" t="s">
        <v>224</v>
      </c>
      <c r="E1317" t="s">
        <v>1375</v>
      </c>
      <c r="F1317" s="134">
        <v>0.29540509259259257</v>
      </c>
      <c r="G1317" t="s">
        <v>1371</v>
      </c>
      <c r="H1317" t="s">
        <v>1372</v>
      </c>
    </row>
    <row r="1318" spans="1:8">
      <c r="A1318">
        <v>12674806</v>
      </c>
      <c r="B1318" t="s">
        <v>225</v>
      </c>
      <c r="C1318" t="s">
        <v>223</v>
      </c>
      <c r="D1318" t="s">
        <v>224</v>
      </c>
      <c r="E1318" t="s">
        <v>1375</v>
      </c>
      <c r="F1318" s="134">
        <v>0.63966435185185189</v>
      </c>
      <c r="G1318" t="s">
        <v>1373</v>
      </c>
      <c r="H1318" t="s">
        <v>1374</v>
      </c>
    </row>
    <row r="1319" spans="1:8">
      <c r="A1319">
        <v>12674806</v>
      </c>
      <c r="B1319" t="s">
        <v>225</v>
      </c>
      <c r="C1319" t="s">
        <v>223</v>
      </c>
      <c r="D1319" t="s">
        <v>224</v>
      </c>
      <c r="E1319" t="s">
        <v>1376</v>
      </c>
      <c r="F1319" s="134">
        <v>0.63872685185185185</v>
      </c>
      <c r="G1319" t="s">
        <v>1373</v>
      </c>
      <c r="H1319" t="s">
        <v>1374</v>
      </c>
    </row>
    <row r="1320" spans="1:8">
      <c r="A1320">
        <v>12674806</v>
      </c>
      <c r="B1320" t="s">
        <v>225</v>
      </c>
      <c r="C1320" t="s">
        <v>223</v>
      </c>
      <c r="D1320" t="s">
        <v>224</v>
      </c>
      <c r="E1320" t="s">
        <v>1376</v>
      </c>
      <c r="F1320" s="134">
        <v>0.29641203703703706</v>
      </c>
      <c r="G1320" t="s">
        <v>1371</v>
      </c>
      <c r="H1320" t="s">
        <v>1372</v>
      </c>
    </row>
    <row r="1321" spans="1:8">
      <c r="A1321">
        <v>12674806</v>
      </c>
      <c r="B1321" t="s">
        <v>225</v>
      </c>
      <c r="C1321" t="s">
        <v>223</v>
      </c>
      <c r="D1321" t="s">
        <v>224</v>
      </c>
      <c r="E1321" t="s">
        <v>1377</v>
      </c>
      <c r="F1321" s="134">
        <v>0.29629629629629628</v>
      </c>
      <c r="G1321" t="s">
        <v>1371</v>
      </c>
      <c r="H1321" t="s">
        <v>1372</v>
      </c>
    </row>
    <row r="1322" spans="1:8">
      <c r="A1322">
        <v>12674806</v>
      </c>
      <c r="B1322" t="s">
        <v>225</v>
      </c>
      <c r="C1322" t="s">
        <v>223</v>
      </c>
      <c r="D1322" t="s">
        <v>224</v>
      </c>
      <c r="E1322" t="s">
        <v>1377</v>
      </c>
      <c r="F1322" s="134">
        <v>0.63884259259259257</v>
      </c>
      <c r="G1322" t="s">
        <v>1373</v>
      </c>
      <c r="H1322" t="s">
        <v>1374</v>
      </c>
    </row>
    <row r="1323" spans="1:8">
      <c r="A1323">
        <v>12674806</v>
      </c>
      <c r="B1323" t="s">
        <v>225</v>
      </c>
      <c r="C1323" t="s">
        <v>223</v>
      </c>
      <c r="D1323" t="s">
        <v>224</v>
      </c>
      <c r="E1323" t="s">
        <v>1378</v>
      </c>
      <c r="F1323" s="134">
        <v>0.30780092592592595</v>
      </c>
      <c r="G1323" t="s">
        <v>1371</v>
      </c>
      <c r="H1323" t="s">
        <v>1372</v>
      </c>
    </row>
    <row r="1324" spans="1:8">
      <c r="A1324">
        <v>12674806</v>
      </c>
      <c r="B1324" t="s">
        <v>225</v>
      </c>
      <c r="C1324" t="s">
        <v>223</v>
      </c>
      <c r="D1324" t="s">
        <v>224</v>
      </c>
      <c r="E1324" t="s">
        <v>1378</v>
      </c>
      <c r="F1324" s="134">
        <v>0.64077546296296295</v>
      </c>
      <c r="G1324" t="s">
        <v>1373</v>
      </c>
      <c r="H1324" t="s">
        <v>1374</v>
      </c>
    </row>
    <row r="1325" spans="1:8">
      <c r="A1325">
        <v>12674806</v>
      </c>
      <c r="B1325" t="s">
        <v>225</v>
      </c>
      <c r="C1325" t="s">
        <v>223</v>
      </c>
      <c r="D1325" t="s">
        <v>224</v>
      </c>
      <c r="E1325" t="s">
        <v>1379</v>
      </c>
      <c r="F1325" s="134">
        <v>0.29571759259259262</v>
      </c>
      <c r="G1325" t="s">
        <v>1371</v>
      </c>
      <c r="H1325" t="s">
        <v>1372</v>
      </c>
    </row>
    <row r="1326" spans="1:8">
      <c r="A1326">
        <v>12674806</v>
      </c>
      <c r="B1326" t="s">
        <v>225</v>
      </c>
      <c r="C1326" t="s">
        <v>223</v>
      </c>
      <c r="D1326" t="s">
        <v>224</v>
      </c>
      <c r="E1326" t="s">
        <v>1379</v>
      </c>
      <c r="F1326" s="134">
        <v>0.63766203703703705</v>
      </c>
      <c r="G1326" t="s">
        <v>1373</v>
      </c>
      <c r="H1326" t="s">
        <v>1374</v>
      </c>
    </row>
    <row r="1327" spans="1:8">
      <c r="A1327">
        <v>12677439</v>
      </c>
      <c r="B1327" t="s">
        <v>61</v>
      </c>
      <c r="C1327" t="s">
        <v>59</v>
      </c>
      <c r="D1327" t="s">
        <v>60</v>
      </c>
      <c r="E1327" t="s">
        <v>1370</v>
      </c>
      <c r="F1327" s="134">
        <v>0.60878472222222224</v>
      </c>
      <c r="G1327" t="s">
        <v>1371</v>
      </c>
      <c r="H1327" t="s">
        <v>1372</v>
      </c>
    </row>
    <row r="1328" spans="1:8">
      <c r="A1328">
        <v>12677439</v>
      </c>
      <c r="B1328" t="s">
        <v>61</v>
      </c>
      <c r="C1328" t="s">
        <v>59</v>
      </c>
      <c r="D1328" t="s">
        <v>60</v>
      </c>
      <c r="E1328" t="s">
        <v>1370</v>
      </c>
      <c r="F1328" s="134">
        <v>0.94126157407407407</v>
      </c>
      <c r="G1328" t="s">
        <v>1373</v>
      </c>
      <c r="H1328" t="s">
        <v>1374</v>
      </c>
    </row>
    <row r="1329" spans="1:8">
      <c r="A1329">
        <v>12677439</v>
      </c>
      <c r="B1329" t="s">
        <v>61</v>
      </c>
      <c r="C1329" t="s">
        <v>59</v>
      </c>
      <c r="D1329" t="s">
        <v>60</v>
      </c>
      <c r="E1329" t="s">
        <v>1375</v>
      </c>
      <c r="F1329" s="134">
        <v>0.61172453703703711</v>
      </c>
      <c r="G1329" t="s">
        <v>1371</v>
      </c>
      <c r="H1329" t="s">
        <v>1372</v>
      </c>
    </row>
    <row r="1330" spans="1:8">
      <c r="A1330">
        <v>12677439</v>
      </c>
      <c r="B1330" t="s">
        <v>61</v>
      </c>
      <c r="C1330" t="s">
        <v>59</v>
      </c>
      <c r="D1330" t="s">
        <v>60</v>
      </c>
      <c r="E1330" t="s">
        <v>1375</v>
      </c>
      <c r="F1330" s="134">
        <v>0.9428009259259259</v>
      </c>
      <c r="G1330" t="s">
        <v>1373</v>
      </c>
      <c r="H1330" t="s">
        <v>1374</v>
      </c>
    </row>
    <row r="1331" spans="1:8">
      <c r="A1331">
        <v>12677439</v>
      </c>
      <c r="B1331" t="s">
        <v>61</v>
      </c>
      <c r="C1331" t="s">
        <v>59</v>
      </c>
      <c r="D1331" t="s">
        <v>60</v>
      </c>
      <c r="E1331" t="s">
        <v>1376</v>
      </c>
      <c r="F1331" s="134">
        <v>0.94025462962962969</v>
      </c>
      <c r="G1331" t="s">
        <v>1373</v>
      </c>
      <c r="H1331" t="s">
        <v>1374</v>
      </c>
    </row>
    <row r="1332" spans="1:8">
      <c r="A1332">
        <v>12677439</v>
      </c>
      <c r="B1332" t="s">
        <v>61</v>
      </c>
      <c r="C1332" t="s">
        <v>59</v>
      </c>
      <c r="D1332" t="s">
        <v>60</v>
      </c>
      <c r="E1332" t="s">
        <v>1376</v>
      </c>
      <c r="F1332" s="134">
        <v>0.60737268518518517</v>
      </c>
      <c r="G1332" t="s">
        <v>1371</v>
      </c>
      <c r="H1332" t="s">
        <v>1372</v>
      </c>
    </row>
    <row r="1333" spans="1:8">
      <c r="A1333">
        <v>12677439</v>
      </c>
      <c r="B1333" t="s">
        <v>61</v>
      </c>
      <c r="C1333" t="s">
        <v>59</v>
      </c>
      <c r="D1333" t="s">
        <v>60</v>
      </c>
      <c r="E1333" t="s">
        <v>1377</v>
      </c>
      <c r="F1333" s="134">
        <v>0.60726851851851849</v>
      </c>
      <c r="G1333" t="s">
        <v>1371</v>
      </c>
      <c r="H1333" t="s">
        <v>1372</v>
      </c>
    </row>
    <row r="1334" spans="1:8">
      <c r="A1334">
        <v>12677439</v>
      </c>
      <c r="B1334" t="s">
        <v>61</v>
      </c>
      <c r="C1334" t="s">
        <v>59</v>
      </c>
      <c r="D1334" t="s">
        <v>60</v>
      </c>
      <c r="E1334" t="s">
        <v>1377</v>
      </c>
      <c r="F1334" s="134">
        <v>0.9418981481481481</v>
      </c>
      <c r="G1334" t="s">
        <v>1373</v>
      </c>
      <c r="H1334" t="s">
        <v>1374</v>
      </c>
    </row>
    <row r="1335" spans="1:8">
      <c r="A1335">
        <v>12677439</v>
      </c>
      <c r="B1335" t="s">
        <v>61</v>
      </c>
      <c r="C1335" t="s">
        <v>59</v>
      </c>
      <c r="D1335" t="s">
        <v>60</v>
      </c>
      <c r="E1335" t="s">
        <v>1378</v>
      </c>
      <c r="F1335" s="134">
        <v>0.60755787037037035</v>
      </c>
      <c r="G1335" t="s">
        <v>1371</v>
      </c>
      <c r="H1335" t="s">
        <v>1372</v>
      </c>
    </row>
    <row r="1336" spans="1:8">
      <c r="A1336">
        <v>12677439</v>
      </c>
      <c r="B1336" t="s">
        <v>61</v>
      </c>
      <c r="C1336" t="s">
        <v>59</v>
      </c>
      <c r="D1336" t="s">
        <v>60</v>
      </c>
      <c r="E1336" t="s">
        <v>1378</v>
      </c>
      <c r="F1336" s="134">
        <v>0.94244212962962959</v>
      </c>
      <c r="G1336" t="s">
        <v>1373</v>
      </c>
      <c r="H1336" t="s">
        <v>1374</v>
      </c>
    </row>
    <row r="1337" spans="1:8">
      <c r="A1337">
        <v>12677439</v>
      </c>
      <c r="B1337" t="s">
        <v>61</v>
      </c>
      <c r="C1337" t="s">
        <v>59</v>
      </c>
      <c r="D1337" t="s">
        <v>60</v>
      </c>
      <c r="E1337" t="s">
        <v>1379</v>
      </c>
      <c r="F1337" s="134">
        <v>0.61085648148148153</v>
      </c>
      <c r="G1337" t="s">
        <v>1371</v>
      </c>
      <c r="H1337" t="s">
        <v>1372</v>
      </c>
    </row>
    <row r="1338" spans="1:8">
      <c r="A1338">
        <v>12677439</v>
      </c>
      <c r="B1338" t="s">
        <v>61</v>
      </c>
      <c r="C1338" t="s">
        <v>59</v>
      </c>
      <c r="D1338" t="s">
        <v>60</v>
      </c>
      <c r="E1338" t="s">
        <v>1379</v>
      </c>
      <c r="F1338" s="134">
        <v>0.9390856481481481</v>
      </c>
      <c r="G1338" t="s">
        <v>1373</v>
      </c>
      <c r="H1338" t="s">
        <v>1374</v>
      </c>
    </row>
    <row r="1339" spans="1:8">
      <c r="A1339">
        <v>12688280</v>
      </c>
      <c r="B1339" t="s">
        <v>934</v>
      </c>
      <c r="C1339" t="s">
        <v>730</v>
      </c>
      <c r="D1339" t="s">
        <v>88</v>
      </c>
      <c r="E1339" t="s">
        <v>1370</v>
      </c>
      <c r="F1339" s="134">
        <v>0.3069675925925926</v>
      </c>
      <c r="G1339" t="s">
        <v>1371</v>
      </c>
      <c r="H1339" t="s">
        <v>1372</v>
      </c>
    </row>
    <row r="1340" spans="1:8">
      <c r="A1340">
        <v>12688280</v>
      </c>
      <c r="B1340" t="s">
        <v>934</v>
      </c>
      <c r="C1340" t="s">
        <v>730</v>
      </c>
      <c r="D1340" t="s">
        <v>88</v>
      </c>
      <c r="E1340" t="s">
        <v>1370</v>
      </c>
      <c r="F1340" s="134">
        <v>0.63924768518518515</v>
      </c>
      <c r="G1340" t="s">
        <v>1373</v>
      </c>
      <c r="H1340" t="s">
        <v>1374</v>
      </c>
    </row>
    <row r="1341" spans="1:8">
      <c r="A1341">
        <v>12688280</v>
      </c>
      <c r="B1341" t="s">
        <v>934</v>
      </c>
      <c r="C1341" t="s">
        <v>730</v>
      </c>
      <c r="D1341" t="s">
        <v>88</v>
      </c>
      <c r="E1341" t="s">
        <v>1375</v>
      </c>
      <c r="F1341" s="134">
        <v>0.31613425925925925</v>
      </c>
      <c r="G1341" t="s">
        <v>1371</v>
      </c>
      <c r="H1341" t="s">
        <v>1372</v>
      </c>
    </row>
    <row r="1342" spans="1:8">
      <c r="A1342">
        <v>12688280</v>
      </c>
      <c r="B1342" t="s">
        <v>934</v>
      </c>
      <c r="C1342" t="s">
        <v>730</v>
      </c>
      <c r="D1342" t="s">
        <v>88</v>
      </c>
      <c r="E1342" t="s">
        <v>1375</v>
      </c>
      <c r="F1342" s="134">
        <v>0.64061342592592596</v>
      </c>
      <c r="G1342" t="s">
        <v>1373</v>
      </c>
      <c r="H1342" t="s">
        <v>1374</v>
      </c>
    </row>
    <row r="1343" spans="1:8">
      <c r="A1343">
        <v>12688280</v>
      </c>
      <c r="B1343" t="s">
        <v>934</v>
      </c>
      <c r="C1343" t="s">
        <v>730</v>
      </c>
      <c r="D1343" t="s">
        <v>88</v>
      </c>
      <c r="E1343" t="s">
        <v>1376</v>
      </c>
      <c r="F1343" s="134">
        <v>0.63810185185185186</v>
      </c>
      <c r="G1343" t="s">
        <v>1373</v>
      </c>
      <c r="H1343" t="s">
        <v>1374</v>
      </c>
    </row>
    <row r="1344" spans="1:8">
      <c r="A1344">
        <v>12688280</v>
      </c>
      <c r="B1344" t="s">
        <v>934</v>
      </c>
      <c r="C1344" t="s">
        <v>730</v>
      </c>
      <c r="D1344" t="s">
        <v>88</v>
      </c>
      <c r="E1344" t="s">
        <v>1376</v>
      </c>
      <c r="F1344" s="134">
        <v>0.31179398148148146</v>
      </c>
      <c r="G1344" t="s">
        <v>1371</v>
      </c>
      <c r="H1344" t="s">
        <v>1372</v>
      </c>
    </row>
    <row r="1345" spans="1:8">
      <c r="A1345">
        <v>12688280</v>
      </c>
      <c r="B1345" t="s">
        <v>934</v>
      </c>
      <c r="C1345" t="s">
        <v>730</v>
      </c>
      <c r="D1345" t="s">
        <v>88</v>
      </c>
      <c r="E1345" t="s">
        <v>1377</v>
      </c>
      <c r="F1345" s="134">
        <v>0.31237268518518518</v>
      </c>
      <c r="G1345" t="s">
        <v>1371</v>
      </c>
      <c r="H1345" t="s">
        <v>1372</v>
      </c>
    </row>
    <row r="1346" spans="1:8">
      <c r="A1346">
        <v>12688280</v>
      </c>
      <c r="B1346" t="s">
        <v>934</v>
      </c>
      <c r="C1346" t="s">
        <v>730</v>
      </c>
      <c r="D1346" t="s">
        <v>88</v>
      </c>
      <c r="E1346" t="s">
        <v>1377</v>
      </c>
      <c r="F1346" s="134">
        <v>0.63776620370370374</v>
      </c>
      <c r="G1346" t="s">
        <v>1373</v>
      </c>
      <c r="H1346" t="s">
        <v>1374</v>
      </c>
    </row>
    <row r="1347" spans="1:8">
      <c r="A1347">
        <v>12688280</v>
      </c>
      <c r="B1347" t="s">
        <v>934</v>
      </c>
      <c r="C1347" t="s">
        <v>730</v>
      </c>
      <c r="D1347" t="s">
        <v>88</v>
      </c>
      <c r="E1347" t="s">
        <v>1378</v>
      </c>
      <c r="F1347" s="134">
        <v>0.30792824074074071</v>
      </c>
      <c r="G1347" t="s">
        <v>1371</v>
      </c>
      <c r="H1347" t="s">
        <v>1372</v>
      </c>
    </row>
    <row r="1348" spans="1:8">
      <c r="A1348">
        <v>12688280</v>
      </c>
      <c r="B1348" t="s">
        <v>934</v>
      </c>
      <c r="C1348" t="s">
        <v>730</v>
      </c>
      <c r="D1348" t="s">
        <v>88</v>
      </c>
      <c r="E1348" t="s">
        <v>1378</v>
      </c>
      <c r="F1348" s="134">
        <v>0.63787037037037042</v>
      </c>
      <c r="G1348" t="s">
        <v>1373</v>
      </c>
      <c r="H1348" t="s">
        <v>1374</v>
      </c>
    </row>
    <row r="1349" spans="1:8">
      <c r="A1349">
        <v>12688280</v>
      </c>
      <c r="B1349" t="s">
        <v>934</v>
      </c>
      <c r="C1349" t="s">
        <v>730</v>
      </c>
      <c r="D1349" t="s">
        <v>88</v>
      </c>
      <c r="E1349" t="s">
        <v>1379</v>
      </c>
      <c r="F1349" s="134">
        <v>0.31251157407407409</v>
      </c>
      <c r="G1349" t="s">
        <v>1371</v>
      </c>
      <c r="H1349" t="s">
        <v>1372</v>
      </c>
    </row>
    <row r="1350" spans="1:8">
      <c r="A1350">
        <v>12688280</v>
      </c>
      <c r="B1350" t="s">
        <v>934</v>
      </c>
      <c r="C1350" t="s">
        <v>730</v>
      </c>
      <c r="D1350" t="s">
        <v>88</v>
      </c>
      <c r="E1350" t="s">
        <v>1379</v>
      </c>
      <c r="F1350" s="134">
        <v>0.63885416666666661</v>
      </c>
      <c r="G1350" t="s">
        <v>1373</v>
      </c>
      <c r="H1350" t="s">
        <v>1374</v>
      </c>
    </row>
    <row r="1351" spans="1:8">
      <c r="A1351">
        <v>12690098</v>
      </c>
      <c r="B1351" t="s">
        <v>670</v>
      </c>
      <c r="C1351" t="s">
        <v>664</v>
      </c>
      <c r="D1351" t="s">
        <v>669</v>
      </c>
      <c r="E1351" t="s">
        <v>1370</v>
      </c>
      <c r="F1351" s="134">
        <v>0.60901620370370368</v>
      </c>
      <c r="G1351" t="s">
        <v>1371</v>
      </c>
      <c r="H1351" t="s">
        <v>1372</v>
      </c>
    </row>
    <row r="1352" spans="1:8">
      <c r="A1352">
        <v>12690098</v>
      </c>
      <c r="B1352" t="s">
        <v>670</v>
      </c>
      <c r="C1352" t="s">
        <v>664</v>
      </c>
      <c r="D1352" t="s">
        <v>669</v>
      </c>
      <c r="E1352" t="s">
        <v>1370</v>
      </c>
      <c r="F1352" s="134">
        <v>0.94767361111111104</v>
      </c>
      <c r="G1352" t="s">
        <v>1373</v>
      </c>
      <c r="H1352" t="s">
        <v>1374</v>
      </c>
    </row>
    <row r="1353" spans="1:8">
      <c r="A1353">
        <v>12690098</v>
      </c>
      <c r="B1353" t="s">
        <v>670</v>
      </c>
      <c r="C1353" t="s">
        <v>664</v>
      </c>
      <c r="D1353" t="s">
        <v>669</v>
      </c>
      <c r="E1353" t="s">
        <v>1375</v>
      </c>
      <c r="F1353" s="134">
        <v>0.61207175925925927</v>
      </c>
      <c r="G1353" t="s">
        <v>1371</v>
      </c>
      <c r="H1353" t="s">
        <v>1372</v>
      </c>
    </row>
    <row r="1354" spans="1:8">
      <c r="A1354">
        <v>12690098</v>
      </c>
      <c r="B1354" t="s">
        <v>670</v>
      </c>
      <c r="C1354" t="s">
        <v>664</v>
      </c>
      <c r="D1354" t="s">
        <v>669</v>
      </c>
      <c r="E1354" t="s">
        <v>1375</v>
      </c>
      <c r="F1354" s="134">
        <v>0.94615740740740739</v>
      </c>
      <c r="G1354" t="s">
        <v>1373</v>
      </c>
      <c r="H1354" t="s">
        <v>1374</v>
      </c>
    </row>
    <row r="1355" spans="1:8">
      <c r="A1355">
        <v>12690098</v>
      </c>
      <c r="B1355" t="s">
        <v>670</v>
      </c>
      <c r="C1355" t="s">
        <v>664</v>
      </c>
      <c r="D1355" t="s">
        <v>669</v>
      </c>
      <c r="E1355" t="s">
        <v>1376</v>
      </c>
      <c r="F1355" s="134">
        <v>0.94924768518518521</v>
      </c>
      <c r="G1355" t="s">
        <v>1373</v>
      </c>
      <c r="H1355" t="s">
        <v>1374</v>
      </c>
    </row>
    <row r="1356" spans="1:8">
      <c r="A1356">
        <v>12690098</v>
      </c>
      <c r="B1356" t="s">
        <v>670</v>
      </c>
      <c r="C1356" t="s">
        <v>664</v>
      </c>
      <c r="D1356" t="s">
        <v>669</v>
      </c>
      <c r="E1356" t="s">
        <v>1376</v>
      </c>
      <c r="F1356" s="134">
        <v>0.62168981481481478</v>
      </c>
      <c r="G1356" t="s">
        <v>1371</v>
      </c>
      <c r="H1356" t="s">
        <v>1372</v>
      </c>
    </row>
    <row r="1357" spans="1:8">
      <c r="A1357">
        <v>12690098</v>
      </c>
      <c r="B1357" t="s">
        <v>670</v>
      </c>
      <c r="C1357" t="s">
        <v>664</v>
      </c>
      <c r="D1357" t="s">
        <v>669</v>
      </c>
      <c r="E1357" t="s">
        <v>1377</v>
      </c>
      <c r="F1357" s="134">
        <v>0.60767361111111107</v>
      </c>
      <c r="G1357" t="s">
        <v>1371</v>
      </c>
      <c r="H1357" t="s">
        <v>1372</v>
      </c>
    </row>
    <row r="1358" spans="1:8">
      <c r="A1358">
        <v>12690098</v>
      </c>
      <c r="B1358" t="s">
        <v>670</v>
      </c>
      <c r="C1358" t="s">
        <v>664</v>
      </c>
      <c r="D1358" t="s">
        <v>669</v>
      </c>
      <c r="E1358" t="s">
        <v>1377</v>
      </c>
      <c r="F1358" s="134">
        <v>0.94751157407407405</v>
      </c>
      <c r="G1358" t="s">
        <v>1373</v>
      </c>
      <c r="H1358" t="s">
        <v>1374</v>
      </c>
    </row>
    <row r="1359" spans="1:8">
      <c r="A1359">
        <v>12690098</v>
      </c>
      <c r="B1359" t="s">
        <v>670</v>
      </c>
      <c r="C1359" t="s">
        <v>664</v>
      </c>
      <c r="D1359" t="s">
        <v>669</v>
      </c>
      <c r="E1359" t="s">
        <v>1378</v>
      </c>
      <c r="F1359" s="134">
        <v>0.60828703703703701</v>
      </c>
      <c r="G1359" t="s">
        <v>1371</v>
      </c>
      <c r="H1359" t="s">
        <v>1372</v>
      </c>
    </row>
    <row r="1360" spans="1:8">
      <c r="A1360">
        <v>12690098</v>
      </c>
      <c r="B1360" t="s">
        <v>670</v>
      </c>
      <c r="C1360" t="s">
        <v>664</v>
      </c>
      <c r="D1360" t="s">
        <v>669</v>
      </c>
      <c r="E1360" t="s">
        <v>1378</v>
      </c>
      <c r="F1360" s="134">
        <v>0.94964120370370375</v>
      </c>
      <c r="G1360" t="s">
        <v>1373</v>
      </c>
      <c r="H1360" t="s">
        <v>1374</v>
      </c>
    </row>
    <row r="1361" spans="1:8">
      <c r="A1361">
        <v>12690098</v>
      </c>
      <c r="B1361" t="s">
        <v>670</v>
      </c>
      <c r="C1361" t="s">
        <v>664</v>
      </c>
      <c r="D1361" t="s">
        <v>669</v>
      </c>
      <c r="E1361" t="s">
        <v>1379</v>
      </c>
      <c r="F1361" s="134">
        <v>0.61133101851851845</v>
      </c>
      <c r="G1361" t="s">
        <v>1371</v>
      </c>
      <c r="H1361" t="s">
        <v>1372</v>
      </c>
    </row>
    <row r="1362" spans="1:8">
      <c r="A1362">
        <v>12690098</v>
      </c>
      <c r="B1362" t="s">
        <v>670</v>
      </c>
      <c r="C1362" t="s">
        <v>664</v>
      </c>
      <c r="D1362" t="s">
        <v>669</v>
      </c>
      <c r="E1362" t="s">
        <v>1379</v>
      </c>
      <c r="F1362" s="134">
        <v>0.94810185185185192</v>
      </c>
      <c r="G1362" t="s">
        <v>1373</v>
      </c>
      <c r="H1362" t="s">
        <v>1374</v>
      </c>
    </row>
    <row r="1363" spans="1:8">
      <c r="A1363">
        <v>12740284</v>
      </c>
      <c r="B1363" t="s">
        <v>611</v>
      </c>
      <c r="C1363" t="s">
        <v>609</v>
      </c>
      <c r="D1363" t="s">
        <v>610</v>
      </c>
      <c r="E1363" t="s">
        <v>1370</v>
      </c>
      <c r="F1363" s="134">
        <v>0.91956018518518512</v>
      </c>
      <c r="G1363" t="s">
        <v>1371</v>
      </c>
      <c r="H1363" t="s">
        <v>1372</v>
      </c>
    </row>
    <row r="1364" spans="1:8">
      <c r="A1364">
        <v>12740284</v>
      </c>
      <c r="B1364" t="s">
        <v>611</v>
      </c>
      <c r="C1364" t="s">
        <v>609</v>
      </c>
      <c r="D1364" t="s">
        <v>610</v>
      </c>
      <c r="E1364" t="s">
        <v>1375</v>
      </c>
      <c r="F1364" s="134">
        <v>0.33034722222222224</v>
      </c>
      <c r="G1364" t="s">
        <v>1373</v>
      </c>
      <c r="H1364" t="s">
        <v>1374</v>
      </c>
    </row>
    <row r="1365" spans="1:8">
      <c r="A1365">
        <v>12740284</v>
      </c>
      <c r="B1365" t="s">
        <v>611</v>
      </c>
      <c r="C1365" t="s">
        <v>609</v>
      </c>
      <c r="D1365" t="s">
        <v>610</v>
      </c>
      <c r="E1365" t="s">
        <v>1375</v>
      </c>
      <c r="F1365" s="134">
        <v>0.91888888888888898</v>
      </c>
      <c r="G1365" t="s">
        <v>1371</v>
      </c>
      <c r="H1365" t="s">
        <v>1372</v>
      </c>
    </row>
    <row r="1366" spans="1:8">
      <c r="A1366">
        <v>12740284</v>
      </c>
      <c r="B1366" t="s">
        <v>611</v>
      </c>
      <c r="C1366" t="s">
        <v>609</v>
      </c>
      <c r="D1366" t="s">
        <v>610</v>
      </c>
      <c r="E1366" t="s">
        <v>1376</v>
      </c>
      <c r="F1366" s="134">
        <v>0.33253472222222219</v>
      </c>
      <c r="G1366" t="s">
        <v>1373</v>
      </c>
      <c r="H1366" t="s">
        <v>1374</v>
      </c>
    </row>
    <row r="1367" spans="1:8">
      <c r="A1367">
        <v>12740284</v>
      </c>
      <c r="B1367" t="s">
        <v>611</v>
      </c>
      <c r="C1367" t="s">
        <v>609</v>
      </c>
      <c r="D1367" t="s">
        <v>610</v>
      </c>
      <c r="E1367" t="s">
        <v>1376</v>
      </c>
      <c r="F1367" s="134">
        <v>0.91887731481481483</v>
      </c>
      <c r="G1367" t="s">
        <v>1371</v>
      </c>
      <c r="H1367" t="s">
        <v>1372</v>
      </c>
    </row>
    <row r="1368" spans="1:8">
      <c r="A1368">
        <v>12740284</v>
      </c>
      <c r="B1368" t="s">
        <v>611</v>
      </c>
      <c r="C1368" t="s">
        <v>609</v>
      </c>
      <c r="D1368" t="s">
        <v>610</v>
      </c>
      <c r="E1368" t="s">
        <v>1377</v>
      </c>
      <c r="F1368" s="134">
        <v>0.32739583333333333</v>
      </c>
      <c r="G1368" t="s">
        <v>1373</v>
      </c>
      <c r="H1368" t="s">
        <v>1374</v>
      </c>
    </row>
    <row r="1369" spans="1:8">
      <c r="A1369">
        <v>12740284</v>
      </c>
      <c r="B1369" t="s">
        <v>611</v>
      </c>
      <c r="C1369" t="s">
        <v>609</v>
      </c>
      <c r="D1369" t="s">
        <v>610</v>
      </c>
      <c r="E1369" t="s">
        <v>1377</v>
      </c>
      <c r="F1369" s="134">
        <v>0.92079861111111105</v>
      </c>
      <c r="G1369" t="s">
        <v>1371</v>
      </c>
      <c r="H1369" t="s">
        <v>1372</v>
      </c>
    </row>
    <row r="1370" spans="1:8">
      <c r="A1370">
        <v>12740284</v>
      </c>
      <c r="B1370" t="s">
        <v>611</v>
      </c>
      <c r="C1370" t="s">
        <v>609</v>
      </c>
      <c r="D1370" t="s">
        <v>610</v>
      </c>
      <c r="E1370" t="s">
        <v>1378</v>
      </c>
      <c r="F1370" s="134">
        <v>0.32936342592592593</v>
      </c>
      <c r="G1370" t="s">
        <v>1373</v>
      </c>
      <c r="H1370" t="s">
        <v>1374</v>
      </c>
    </row>
    <row r="1371" spans="1:8">
      <c r="A1371">
        <v>12740284</v>
      </c>
      <c r="B1371" t="s">
        <v>611</v>
      </c>
      <c r="C1371" t="s">
        <v>609</v>
      </c>
      <c r="D1371" t="s">
        <v>610</v>
      </c>
      <c r="E1371" t="s">
        <v>1378</v>
      </c>
      <c r="F1371" s="134">
        <v>0.91981481481481486</v>
      </c>
      <c r="G1371" t="s">
        <v>1371</v>
      </c>
      <c r="H1371" t="s">
        <v>1372</v>
      </c>
    </row>
    <row r="1372" spans="1:8">
      <c r="A1372">
        <v>12740284</v>
      </c>
      <c r="B1372" t="s">
        <v>611</v>
      </c>
      <c r="C1372" t="s">
        <v>609</v>
      </c>
      <c r="D1372" t="s">
        <v>610</v>
      </c>
      <c r="E1372" t="s">
        <v>1379</v>
      </c>
      <c r="F1372" s="134">
        <v>0.32944444444444443</v>
      </c>
      <c r="G1372" t="s">
        <v>1373</v>
      </c>
      <c r="H1372" t="s">
        <v>1374</v>
      </c>
    </row>
    <row r="1373" spans="1:8">
      <c r="A1373">
        <v>12828475</v>
      </c>
      <c r="B1373" t="s">
        <v>723</v>
      </c>
      <c r="C1373" t="s">
        <v>717</v>
      </c>
      <c r="D1373" t="s">
        <v>206</v>
      </c>
      <c r="E1373" t="s">
        <v>1370</v>
      </c>
      <c r="F1373" s="134">
        <v>0.35369212962962965</v>
      </c>
      <c r="G1373" t="s">
        <v>1371</v>
      </c>
      <c r="H1373" t="s">
        <v>1372</v>
      </c>
    </row>
    <row r="1374" spans="1:8">
      <c r="A1374">
        <v>12828475</v>
      </c>
      <c r="B1374" t="s">
        <v>723</v>
      </c>
      <c r="C1374" t="s">
        <v>717</v>
      </c>
      <c r="D1374" t="s">
        <v>206</v>
      </c>
      <c r="E1374" t="s">
        <v>1370</v>
      </c>
      <c r="F1374" s="134">
        <v>0.80481481481481476</v>
      </c>
      <c r="G1374" t="s">
        <v>1373</v>
      </c>
      <c r="H1374" t="s">
        <v>1374</v>
      </c>
    </row>
    <row r="1375" spans="1:8">
      <c r="A1375">
        <v>12828475</v>
      </c>
      <c r="B1375" t="s">
        <v>723</v>
      </c>
      <c r="C1375" t="s">
        <v>717</v>
      </c>
      <c r="D1375" t="s">
        <v>206</v>
      </c>
      <c r="E1375" t="s">
        <v>1375</v>
      </c>
      <c r="F1375" s="134">
        <v>0.294375</v>
      </c>
      <c r="G1375" t="s">
        <v>1371</v>
      </c>
      <c r="H1375" t="s">
        <v>1372</v>
      </c>
    </row>
    <row r="1376" spans="1:8">
      <c r="A1376">
        <v>12828475</v>
      </c>
      <c r="B1376" t="s">
        <v>723</v>
      </c>
      <c r="C1376" t="s">
        <v>717</v>
      </c>
      <c r="D1376" t="s">
        <v>206</v>
      </c>
      <c r="E1376" t="s">
        <v>1375</v>
      </c>
      <c r="F1376" s="134">
        <v>0.80924768518518519</v>
      </c>
      <c r="G1376" t="s">
        <v>1373</v>
      </c>
      <c r="H1376" t="s">
        <v>1374</v>
      </c>
    </row>
    <row r="1377" spans="1:8">
      <c r="A1377">
        <v>12828475</v>
      </c>
      <c r="B1377" t="s">
        <v>723</v>
      </c>
      <c r="C1377" t="s">
        <v>717</v>
      </c>
      <c r="D1377" t="s">
        <v>206</v>
      </c>
      <c r="E1377" t="s">
        <v>1376</v>
      </c>
      <c r="F1377" s="134">
        <v>0.29195601851851855</v>
      </c>
      <c r="G1377" t="s">
        <v>1371</v>
      </c>
      <c r="H1377" t="s">
        <v>1372</v>
      </c>
    </row>
    <row r="1378" spans="1:8">
      <c r="A1378">
        <v>12828475</v>
      </c>
      <c r="B1378" t="s">
        <v>723</v>
      </c>
      <c r="C1378" t="s">
        <v>717</v>
      </c>
      <c r="D1378" t="s">
        <v>206</v>
      </c>
      <c r="E1378" t="s">
        <v>1376</v>
      </c>
      <c r="F1378" s="134">
        <v>0.76489583333333344</v>
      </c>
      <c r="G1378" t="s">
        <v>1373</v>
      </c>
      <c r="H1378" t="s">
        <v>1374</v>
      </c>
    </row>
    <row r="1379" spans="1:8">
      <c r="A1379">
        <v>12828475</v>
      </c>
      <c r="B1379" t="s">
        <v>723</v>
      </c>
      <c r="C1379" t="s">
        <v>717</v>
      </c>
      <c r="D1379" t="s">
        <v>206</v>
      </c>
      <c r="E1379" t="s">
        <v>1377</v>
      </c>
      <c r="F1379" s="134">
        <v>0.29098379629629628</v>
      </c>
      <c r="G1379" t="s">
        <v>1371</v>
      </c>
      <c r="H1379" t="s">
        <v>1372</v>
      </c>
    </row>
    <row r="1380" spans="1:8">
      <c r="A1380">
        <v>12828475</v>
      </c>
      <c r="B1380" t="s">
        <v>723</v>
      </c>
      <c r="C1380" t="s">
        <v>717</v>
      </c>
      <c r="D1380" t="s">
        <v>206</v>
      </c>
      <c r="E1380" t="s">
        <v>1377</v>
      </c>
      <c r="F1380" s="134">
        <v>0.77197916666666666</v>
      </c>
      <c r="G1380" t="s">
        <v>1373</v>
      </c>
      <c r="H1380" t="s">
        <v>1374</v>
      </c>
    </row>
    <row r="1381" spans="1:8">
      <c r="A1381">
        <v>12828475</v>
      </c>
      <c r="B1381" t="s">
        <v>723</v>
      </c>
      <c r="C1381" t="s">
        <v>717</v>
      </c>
      <c r="D1381" t="s">
        <v>206</v>
      </c>
      <c r="E1381" t="s">
        <v>1378</v>
      </c>
      <c r="F1381" s="134">
        <v>0.35364583333333338</v>
      </c>
      <c r="G1381" t="s">
        <v>1371</v>
      </c>
      <c r="H1381" t="s">
        <v>1372</v>
      </c>
    </row>
    <row r="1382" spans="1:8">
      <c r="A1382">
        <v>12828475</v>
      </c>
      <c r="B1382" t="s">
        <v>723</v>
      </c>
      <c r="C1382" t="s">
        <v>717</v>
      </c>
      <c r="D1382" t="s">
        <v>206</v>
      </c>
      <c r="E1382" t="s">
        <v>1378</v>
      </c>
      <c r="F1382" s="134">
        <v>0.77694444444444455</v>
      </c>
      <c r="G1382" t="s">
        <v>1373</v>
      </c>
      <c r="H1382" t="s">
        <v>1374</v>
      </c>
    </row>
    <row r="1383" spans="1:8">
      <c r="A1383">
        <v>12896000</v>
      </c>
      <c r="B1383" t="s">
        <v>1042</v>
      </c>
      <c r="C1383" t="s">
        <v>920</v>
      </c>
      <c r="D1383" t="s">
        <v>1041</v>
      </c>
      <c r="E1383" t="s">
        <v>1370</v>
      </c>
      <c r="F1383" s="134">
        <v>0.91803240740740744</v>
      </c>
      <c r="G1383" t="s">
        <v>1371</v>
      </c>
      <c r="H1383" t="s">
        <v>1372</v>
      </c>
    </row>
    <row r="1384" spans="1:8">
      <c r="A1384">
        <v>12896000</v>
      </c>
      <c r="B1384" t="s">
        <v>1042</v>
      </c>
      <c r="C1384" t="s">
        <v>920</v>
      </c>
      <c r="D1384" t="s">
        <v>1041</v>
      </c>
      <c r="E1384" t="s">
        <v>1375</v>
      </c>
      <c r="F1384" s="134">
        <v>0.32292824074074072</v>
      </c>
      <c r="G1384" t="s">
        <v>1373</v>
      </c>
      <c r="H1384" t="s">
        <v>1374</v>
      </c>
    </row>
    <row r="1385" spans="1:8">
      <c r="A1385">
        <v>12896000</v>
      </c>
      <c r="B1385" t="s">
        <v>1042</v>
      </c>
      <c r="C1385" t="s">
        <v>920</v>
      </c>
      <c r="D1385" t="s">
        <v>1041</v>
      </c>
      <c r="E1385" t="s">
        <v>1375</v>
      </c>
      <c r="F1385" s="134">
        <v>0.91835648148148152</v>
      </c>
      <c r="G1385" t="s">
        <v>1371</v>
      </c>
      <c r="H1385" t="s">
        <v>1372</v>
      </c>
    </row>
    <row r="1386" spans="1:8">
      <c r="A1386">
        <v>12896000</v>
      </c>
      <c r="B1386" t="s">
        <v>1042</v>
      </c>
      <c r="C1386" t="s">
        <v>920</v>
      </c>
      <c r="D1386" t="s">
        <v>1041</v>
      </c>
      <c r="E1386" t="s">
        <v>1376</v>
      </c>
      <c r="F1386" s="134">
        <v>0.32468750000000002</v>
      </c>
      <c r="G1386" t="s">
        <v>1373</v>
      </c>
      <c r="H1386" t="s">
        <v>1374</v>
      </c>
    </row>
    <row r="1387" spans="1:8">
      <c r="A1387">
        <v>12896000</v>
      </c>
      <c r="B1387" t="s">
        <v>1042</v>
      </c>
      <c r="C1387" t="s">
        <v>920</v>
      </c>
      <c r="D1387" t="s">
        <v>1041</v>
      </c>
      <c r="E1387" t="s">
        <v>1376</v>
      </c>
      <c r="F1387" s="134">
        <v>0.91893518518518524</v>
      </c>
      <c r="G1387" t="s">
        <v>1371</v>
      </c>
      <c r="H1387" t="s">
        <v>1372</v>
      </c>
    </row>
    <row r="1388" spans="1:8">
      <c r="A1388">
        <v>12896000</v>
      </c>
      <c r="B1388" t="s">
        <v>1042</v>
      </c>
      <c r="C1388" t="s">
        <v>920</v>
      </c>
      <c r="D1388" t="s">
        <v>1041</v>
      </c>
      <c r="E1388" t="s">
        <v>1377</v>
      </c>
      <c r="F1388" s="134">
        <v>0.32350694444444444</v>
      </c>
      <c r="G1388" t="s">
        <v>1373</v>
      </c>
      <c r="H1388" t="s">
        <v>1374</v>
      </c>
    </row>
    <row r="1389" spans="1:8">
      <c r="A1389">
        <v>12896000</v>
      </c>
      <c r="B1389" t="s">
        <v>1042</v>
      </c>
      <c r="C1389" t="s">
        <v>920</v>
      </c>
      <c r="D1389" t="s">
        <v>1041</v>
      </c>
      <c r="E1389" t="s">
        <v>1377</v>
      </c>
      <c r="F1389" s="134">
        <v>0.91912037037037031</v>
      </c>
      <c r="G1389" t="s">
        <v>1371</v>
      </c>
      <c r="H1389" t="s">
        <v>1372</v>
      </c>
    </row>
    <row r="1390" spans="1:8">
      <c r="A1390">
        <v>12896000</v>
      </c>
      <c r="B1390" t="s">
        <v>1042</v>
      </c>
      <c r="C1390" t="s">
        <v>920</v>
      </c>
      <c r="D1390" t="s">
        <v>1041</v>
      </c>
      <c r="E1390" t="s">
        <v>1378</v>
      </c>
      <c r="F1390" s="134">
        <v>0.3291087962962963</v>
      </c>
      <c r="G1390" t="s">
        <v>1373</v>
      </c>
      <c r="H1390" t="s">
        <v>1374</v>
      </c>
    </row>
    <row r="1391" spans="1:8">
      <c r="A1391">
        <v>12896000</v>
      </c>
      <c r="B1391" t="s">
        <v>1042</v>
      </c>
      <c r="C1391" t="s">
        <v>920</v>
      </c>
      <c r="D1391" t="s">
        <v>1041</v>
      </c>
      <c r="E1391" t="s">
        <v>1378</v>
      </c>
      <c r="F1391" s="134">
        <v>0.91917824074074073</v>
      </c>
      <c r="G1391" t="s">
        <v>1371</v>
      </c>
      <c r="H1391" t="s">
        <v>1372</v>
      </c>
    </row>
    <row r="1392" spans="1:8">
      <c r="A1392">
        <v>12896000</v>
      </c>
      <c r="B1392" t="s">
        <v>1042</v>
      </c>
      <c r="C1392" t="s">
        <v>920</v>
      </c>
      <c r="D1392" t="s">
        <v>1041</v>
      </c>
      <c r="E1392" t="s">
        <v>1379</v>
      </c>
      <c r="F1392" s="134">
        <v>0.32359953703703703</v>
      </c>
      <c r="G1392" t="s">
        <v>1373</v>
      </c>
      <c r="H1392" t="s">
        <v>1374</v>
      </c>
    </row>
    <row r="1393" spans="1:8">
      <c r="A1393">
        <v>12896236</v>
      </c>
      <c r="B1393" t="s">
        <v>1384</v>
      </c>
      <c r="C1393" t="s">
        <v>1385</v>
      </c>
      <c r="D1393" t="s">
        <v>60</v>
      </c>
      <c r="E1393" t="s">
        <v>1370</v>
      </c>
      <c r="F1393" s="134">
        <v>0.29240740740740739</v>
      </c>
      <c r="G1393" t="s">
        <v>1371</v>
      </c>
      <c r="H1393" t="s">
        <v>1372</v>
      </c>
    </row>
    <row r="1394" spans="1:8">
      <c r="A1394">
        <v>12896236</v>
      </c>
      <c r="B1394" t="s">
        <v>1384</v>
      </c>
      <c r="C1394" t="s">
        <v>1385</v>
      </c>
      <c r="D1394" t="s">
        <v>60</v>
      </c>
      <c r="E1394" t="s">
        <v>1370</v>
      </c>
      <c r="F1394" s="134">
        <v>0.64222222222222225</v>
      </c>
      <c r="G1394" t="s">
        <v>1373</v>
      </c>
      <c r="H1394" t="s">
        <v>1374</v>
      </c>
    </row>
    <row r="1395" spans="1:8">
      <c r="A1395">
        <v>12896236</v>
      </c>
      <c r="B1395" t="s">
        <v>1384</v>
      </c>
      <c r="C1395" t="s">
        <v>1385</v>
      </c>
      <c r="D1395" t="s">
        <v>60</v>
      </c>
      <c r="E1395" t="s">
        <v>1375</v>
      </c>
      <c r="F1395" s="134">
        <v>0.30005787037037041</v>
      </c>
      <c r="G1395" t="s">
        <v>1371</v>
      </c>
      <c r="H1395" t="s">
        <v>1372</v>
      </c>
    </row>
    <row r="1396" spans="1:8">
      <c r="A1396">
        <v>12896236</v>
      </c>
      <c r="B1396" t="s">
        <v>1384</v>
      </c>
      <c r="C1396" t="s">
        <v>1385</v>
      </c>
      <c r="D1396" t="s">
        <v>60</v>
      </c>
      <c r="E1396" t="s">
        <v>1375</v>
      </c>
      <c r="F1396" s="134">
        <v>0.63612268518518522</v>
      </c>
      <c r="G1396" t="s">
        <v>1373</v>
      </c>
      <c r="H1396" t="s">
        <v>1374</v>
      </c>
    </row>
    <row r="1397" spans="1:8">
      <c r="A1397">
        <v>12896236</v>
      </c>
      <c r="B1397" t="s">
        <v>1384</v>
      </c>
      <c r="C1397" t="s">
        <v>1385</v>
      </c>
      <c r="D1397" t="s">
        <v>60</v>
      </c>
      <c r="E1397" t="s">
        <v>1376</v>
      </c>
      <c r="F1397" s="134">
        <v>0.62881944444444449</v>
      </c>
      <c r="G1397" t="s">
        <v>1373</v>
      </c>
      <c r="H1397" t="s">
        <v>1374</v>
      </c>
    </row>
    <row r="1398" spans="1:8">
      <c r="A1398">
        <v>12896236</v>
      </c>
      <c r="B1398" t="s">
        <v>1384</v>
      </c>
      <c r="C1398" t="s">
        <v>1385</v>
      </c>
      <c r="D1398" t="s">
        <v>60</v>
      </c>
      <c r="E1398" t="s">
        <v>1376</v>
      </c>
      <c r="F1398" s="134">
        <v>0.30791666666666667</v>
      </c>
      <c r="G1398" t="s">
        <v>1371</v>
      </c>
      <c r="H1398" t="s">
        <v>1372</v>
      </c>
    </row>
    <row r="1399" spans="1:8">
      <c r="A1399">
        <v>12896236</v>
      </c>
      <c r="B1399" t="s">
        <v>1384</v>
      </c>
      <c r="C1399" t="s">
        <v>1385</v>
      </c>
      <c r="D1399" t="s">
        <v>60</v>
      </c>
      <c r="E1399" t="s">
        <v>1377</v>
      </c>
      <c r="F1399" s="134">
        <v>0.31665509259259261</v>
      </c>
      <c r="G1399" t="s">
        <v>1371</v>
      </c>
      <c r="H1399" t="s">
        <v>1372</v>
      </c>
    </row>
    <row r="1400" spans="1:8">
      <c r="A1400">
        <v>12896236</v>
      </c>
      <c r="B1400" t="s">
        <v>1384</v>
      </c>
      <c r="C1400" t="s">
        <v>1385</v>
      </c>
      <c r="D1400" t="s">
        <v>60</v>
      </c>
      <c r="E1400" t="s">
        <v>1377</v>
      </c>
      <c r="F1400" s="134">
        <v>0.63233796296296296</v>
      </c>
      <c r="G1400" t="s">
        <v>1373</v>
      </c>
      <c r="H1400" t="s">
        <v>1374</v>
      </c>
    </row>
    <row r="1401" spans="1:8">
      <c r="A1401">
        <v>12896236</v>
      </c>
      <c r="B1401" t="s">
        <v>1384</v>
      </c>
      <c r="C1401" t="s">
        <v>1385</v>
      </c>
      <c r="D1401" t="s">
        <v>60</v>
      </c>
      <c r="E1401" t="s">
        <v>1378</v>
      </c>
      <c r="F1401" s="134">
        <v>0.30351851851851852</v>
      </c>
      <c r="G1401" t="s">
        <v>1371</v>
      </c>
      <c r="H1401" t="s">
        <v>1372</v>
      </c>
    </row>
    <row r="1402" spans="1:8">
      <c r="A1402">
        <v>12896236</v>
      </c>
      <c r="B1402" t="s">
        <v>1384</v>
      </c>
      <c r="C1402" t="s">
        <v>1385</v>
      </c>
      <c r="D1402" t="s">
        <v>60</v>
      </c>
      <c r="E1402" t="s">
        <v>1378</v>
      </c>
      <c r="F1402" s="134">
        <v>0.63996527777777779</v>
      </c>
      <c r="G1402" t="s">
        <v>1371</v>
      </c>
      <c r="H1402" t="s">
        <v>1372</v>
      </c>
    </row>
    <row r="1403" spans="1:8">
      <c r="A1403">
        <v>12896236</v>
      </c>
      <c r="B1403" t="s">
        <v>1384</v>
      </c>
      <c r="C1403" t="s">
        <v>1385</v>
      </c>
      <c r="D1403" t="s">
        <v>60</v>
      </c>
      <c r="E1403" t="s">
        <v>1379</v>
      </c>
      <c r="F1403" s="134">
        <v>0.35138888888888892</v>
      </c>
      <c r="G1403" t="s">
        <v>1371</v>
      </c>
      <c r="H1403" t="s">
        <v>1372</v>
      </c>
    </row>
    <row r="1404" spans="1:8">
      <c r="A1404">
        <v>12896236</v>
      </c>
      <c r="B1404" t="s">
        <v>1384</v>
      </c>
      <c r="C1404" t="s">
        <v>1385</v>
      </c>
      <c r="D1404" t="s">
        <v>60</v>
      </c>
      <c r="E1404" t="s">
        <v>1379</v>
      </c>
      <c r="F1404" s="134">
        <v>0.625</v>
      </c>
      <c r="G1404" t="s">
        <v>1373</v>
      </c>
      <c r="H1404" t="s">
        <v>1374</v>
      </c>
    </row>
    <row r="1405" spans="1:8">
      <c r="A1405">
        <v>12896866</v>
      </c>
      <c r="B1405" t="s">
        <v>1046</v>
      </c>
      <c r="C1405" t="s">
        <v>381</v>
      </c>
      <c r="D1405" t="s">
        <v>381</v>
      </c>
      <c r="E1405" t="s">
        <v>1370</v>
      </c>
      <c r="F1405" s="134">
        <v>0.60745370370370366</v>
      </c>
      <c r="G1405" t="s">
        <v>1371</v>
      </c>
      <c r="H1405" t="s">
        <v>1372</v>
      </c>
    </row>
    <row r="1406" spans="1:8">
      <c r="A1406">
        <v>12896866</v>
      </c>
      <c r="B1406" t="s">
        <v>1046</v>
      </c>
      <c r="C1406" t="s">
        <v>381</v>
      </c>
      <c r="D1406" t="s">
        <v>381</v>
      </c>
      <c r="E1406" t="s">
        <v>1370</v>
      </c>
      <c r="F1406" s="134">
        <v>0.94840277777777782</v>
      </c>
      <c r="G1406" t="s">
        <v>1373</v>
      </c>
      <c r="H1406" t="s">
        <v>1374</v>
      </c>
    </row>
    <row r="1407" spans="1:8">
      <c r="A1407">
        <v>12896866</v>
      </c>
      <c r="B1407" t="s">
        <v>1046</v>
      </c>
      <c r="C1407" t="s">
        <v>381</v>
      </c>
      <c r="D1407" t="s">
        <v>381</v>
      </c>
      <c r="E1407" t="s">
        <v>1375</v>
      </c>
      <c r="F1407" s="134">
        <v>0.61002314814814818</v>
      </c>
      <c r="G1407" t="s">
        <v>1371</v>
      </c>
      <c r="H1407" t="s">
        <v>1372</v>
      </c>
    </row>
    <row r="1408" spans="1:8">
      <c r="A1408">
        <v>12896866</v>
      </c>
      <c r="B1408" t="s">
        <v>1046</v>
      </c>
      <c r="C1408" t="s">
        <v>381</v>
      </c>
      <c r="D1408" t="s">
        <v>381</v>
      </c>
      <c r="E1408" t="s">
        <v>1375</v>
      </c>
      <c r="F1408" s="134">
        <v>0.94934027777777785</v>
      </c>
      <c r="G1408" t="s">
        <v>1373</v>
      </c>
      <c r="H1408" t="s">
        <v>1374</v>
      </c>
    </row>
    <row r="1409" spans="1:8">
      <c r="A1409">
        <v>12896866</v>
      </c>
      <c r="B1409" t="s">
        <v>1046</v>
      </c>
      <c r="C1409" t="s">
        <v>381</v>
      </c>
      <c r="D1409" t="s">
        <v>381</v>
      </c>
      <c r="E1409" t="s">
        <v>1376</v>
      </c>
      <c r="F1409" s="134">
        <v>0.94620370370370377</v>
      </c>
      <c r="G1409" t="s">
        <v>1373</v>
      </c>
      <c r="H1409" t="s">
        <v>1374</v>
      </c>
    </row>
    <row r="1410" spans="1:8">
      <c r="A1410">
        <v>12896866</v>
      </c>
      <c r="B1410" t="s">
        <v>1046</v>
      </c>
      <c r="C1410" t="s">
        <v>381</v>
      </c>
      <c r="D1410" t="s">
        <v>381</v>
      </c>
      <c r="E1410" t="s">
        <v>1376</v>
      </c>
      <c r="F1410" s="134">
        <v>0.60761574074074076</v>
      </c>
      <c r="G1410" t="s">
        <v>1371</v>
      </c>
      <c r="H1410" t="s">
        <v>1372</v>
      </c>
    </row>
    <row r="1411" spans="1:8">
      <c r="A1411">
        <v>12896866</v>
      </c>
      <c r="B1411" t="s">
        <v>1046</v>
      </c>
      <c r="C1411" t="s">
        <v>381</v>
      </c>
      <c r="D1411" t="s">
        <v>381</v>
      </c>
      <c r="E1411" t="s">
        <v>1377</v>
      </c>
      <c r="F1411" s="134">
        <v>0.60813657407407407</v>
      </c>
      <c r="G1411" t="s">
        <v>1371</v>
      </c>
      <c r="H1411" t="s">
        <v>1372</v>
      </c>
    </row>
    <row r="1412" spans="1:8">
      <c r="A1412">
        <v>12896866</v>
      </c>
      <c r="B1412" t="s">
        <v>1046</v>
      </c>
      <c r="C1412" t="s">
        <v>381</v>
      </c>
      <c r="D1412" t="s">
        <v>381</v>
      </c>
      <c r="E1412" t="s">
        <v>1377</v>
      </c>
      <c r="F1412" s="134">
        <v>0.94755787037037031</v>
      </c>
      <c r="G1412" t="s">
        <v>1373</v>
      </c>
      <c r="H1412" t="s">
        <v>1374</v>
      </c>
    </row>
    <row r="1413" spans="1:8">
      <c r="A1413">
        <v>12896866</v>
      </c>
      <c r="B1413" t="s">
        <v>1046</v>
      </c>
      <c r="C1413" t="s">
        <v>381</v>
      </c>
      <c r="D1413" t="s">
        <v>381</v>
      </c>
      <c r="E1413" t="s">
        <v>1378</v>
      </c>
      <c r="F1413" s="134">
        <v>0.60855324074074069</v>
      </c>
      <c r="G1413" t="s">
        <v>1371</v>
      </c>
      <c r="H1413" t="s">
        <v>1372</v>
      </c>
    </row>
    <row r="1414" spans="1:8">
      <c r="A1414">
        <v>12896866</v>
      </c>
      <c r="B1414" t="s">
        <v>1046</v>
      </c>
      <c r="C1414" t="s">
        <v>381</v>
      </c>
      <c r="D1414" t="s">
        <v>381</v>
      </c>
      <c r="E1414" t="s">
        <v>1378</v>
      </c>
      <c r="F1414" s="134">
        <v>0.94728009259259249</v>
      </c>
      <c r="G1414" t="s">
        <v>1373</v>
      </c>
      <c r="H1414" t="s">
        <v>1374</v>
      </c>
    </row>
    <row r="1415" spans="1:8">
      <c r="A1415">
        <v>12896866</v>
      </c>
      <c r="B1415" t="s">
        <v>1046</v>
      </c>
      <c r="C1415" t="s">
        <v>381</v>
      </c>
      <c r="D1415" t="s">
        <v>381</v>
      </c>
      <c r="E1415" t="s">
        <v>1379</v>
      </c>
      <c r="F1415" s="134">
        <v>0.61002314814814818</v>
      </c>
      <c r="G1415" t="s">
        <v>1371</v>
      </c>
      <c r="H1415" t="s">
        <v>1372</v>
      </c>
    </row>
    <row r="1416" spans="1:8">
      <c r="A1416">
        <v>12896866</v>
      </c>
      <c r="B1416" t="s">
        <v>1046</v>
      </c>
      <c r="C1416" t="s">
        <v>381</v>
      </c>
      <c r="D1416" t="s">
        <v>381</v>
      </c>
      <c r="E1416" t="s">
        <v>1379</v>
      </c>
      <c r="F1416" s="134">
        <v>0.94327546296296294</v>
      </c>
      <c r="G1416" t="s">
        <v>1373</v>
      </c>
      <c r="H1416" t="s">
        <v>1374</v>
      </c>
    </row>
    <row r="1417" spans="1:8">
      <c r="A1417">
        <v>12898844</v>
      </c>
      <c r="B1417" t="s">
        <v>790</v>
      </c>
      <c r="C1417" t="s">
        <v>153</v>
      </c>
      <c r="D1417" t="s">
        <v>789</v>
      </c>
      <c r="E1417" t="s">
        <v>1381</v>
      </c>
      <c r="F1417" s="134">
        <v>0</v>
      </c>
    </row>
    <row r="1418" spans="1:8">
      <c r="A1418">
        <v>13045231</v>
      </c>
      <c r="B1418" t="s">
        <v>1129</v>
      </c>
      <c r="C1418" t="s">
        <v>117</v>
      </c>
      <c r="D1418" t="s">
        <v>75</v>
      </c>
      <c r="E1418" t="s">
        <v>1376</v>
      </c>
      <c r="F1418" s="134">
        <v>0.60055555555555562</v>
      </c>
      <c r="G1418" t="s">
        <v>1371</v>
      </c>
      <c r="H1418" t="s">
        <v>1372</v>
      </c>
    </row>
    <row r="1419" spans="1:8">
      <c r="A1419">
        <v>13045231</v>
      </c>
      <c r="B1419" t="s">
        <v>1129</v>
      </c>
      <c r="C1419" t="s">
        <v>117</v>
      </c>
      <c r="D1419" t="s">
        <v>75</v>
      </c>
      <c r="E1419" t="s">
        <v>1376</v>
      </c>
      <c r="F1419" s="134">
        <v>0.9500925925925926</v>
      </c>
      <c r="G1419" t="s">
        <v>1373</v>
      </c>
      <c r="H1419" t="s">
        <v>1374</v>
      </c>
    </row>
    <row r="1420" spans="1:8">
      <c r="A1420">
        <v>13045231</v>
      </c>
      <c r="B1420" t="s">
        <v>1129</v>
      </c>
      <c r="C1420" t="s">
        <v>117</v>
      </c>
      <c r="D1420" t="s">
        <v>75</v>
      </c>
      <c r="E1420" t="s">
        <v>1377</v>
      </c>
      <c r="F1420" s="134">
        <v>0.60731481481481475</v>
      </c>
      <c r="G1420" t="s">
        <v>1371</v>
      </c>
      <c r="H1420" t="s">
        <v>1372</v>
      </c>
    </row>
    <row r="1421" spans="1:8">
      <c r="A1421">
        <v>13045231</v>
      </c>
      <c r="B1421" t="s">
        <v>1129</v>
      </c>
      <c r="C1421" t="s">
        <v>117</v>
      </c>
      <c r="D1421" t="s">
        <v>75</v>
      </c>
      <c r="E1421" t="s">
        <v>1377</v>
      </c>
      <c r="F1421" s="134">
        <v>0.95018518518518524</v>
      </c>
      <c r="G1421" t="s">
        <v>1373</v>
      </c>
      <c r="H1421" t="s">
        <v>1374</v>
      </c>
    </row>
    <row r="1422" spans="1:8">
      <c r="A1422">
        <v>13045231</v>
      </c>
      <c r="B1422" t="s">
        <v>1129</v>
      </c>
      <c r="C1422" t="s">
        <v>117</v>
      </c>
      <c r="D1422" t="s">
        <v>75</v>
      </c>
      <c r="E1422" t="s">
        <v>1378</v>
      </c>
      <c r="F1422" s="134">
        <v>0.60750000000000004</v>
      </c>
      <c r="G1422" t="s">
        <v>1371</v>
      </c>
      <c r="H1422" t="s">
        <v>1372</v>
      </c>
    </row>
    <row r="1423" spans="1:8">
      <c r="A1423">
        <v>13045231</v>
      </c>
      <c r="B1423" t="s">
        <v>1129</v>
      </c>
      <c r="C1423" t="s">
        <v>117</v>
      </c>
      <c r="D1423" t="s">
        <v>75</v>
      </c>
      <c r="E1423" t="s">
        <v>1378</v>
      </c>
      <c r="F1423" s="134">
        <v>0.95177083333333334</v>
      </c>
      <c r="G1423" t="s">
        <v>1373</v>
      </c>
      <c r="H1423" t="s">
        <v>1374</v>
      </c>
    </row>
    <row r="1424" spans="1:8">
      <c r="A1424">
        <v>13045231</v>
      </c>
      <c r="B1424" t="s">
        <v>1129</v>
      </c>
      <c r="C1424" t="s">
        <v>117</v>
      </c>
      <c r="D1424" t="s">
        <v>75</v>
      </c>
      <c r="E1424" t="s">
        <v>1379</v>
      </c>
      <c r="F1424" s="134">
        <v>0.61111111111111105</v>
      </c>
      <c r="G1424" t="s">
        <v>1371</v>
      </c>
      <c r="H1424" t="s">
        <v>1372</v>
      </c>
    </row>
    <row r="1425" spans="1:8">
      <c r="A1425">
        <v>13045231</v>
      </c>
      <c r="B1425" t="s">
        <v>1129</v>
      </c>
      <c r="C1425" t="s">
        <v>117</v>
      </c>
      <c r="D1425" t="s">
        <v>75</v>
      </c>
      <c r="E1425" t="s">
        <v>1379</v>
      </c>
      <c r="F1425" s="134">
        <v>0.94646990740740744</v>
      </c>
      <c r="G1425" t="s">
        <v>1373</v>
      </c>
      <c r="H1425" t="s">
        <v>1374</v>
      </c>
    </row>
    <row r="1426" spans="1:8">
      <c r="A1426">
        <v>13077995</v>
      </c>
      <c r="B1426" t="s">
        <v>631</v>
      </c>
      <c r="C1426" t="s">
        <v>51</v>
      </c>
      <c r="D1426" t="s">
        <v>630</v>
      </c>
      <c r="E1426" t="s">
        <v>1370</v>
      </c>
      <c r="F1426" s="134">
        <v>0.91921296296296295</v>
      </c>
      <c r="G1426" t="s">
        <v>1371</v>
      </c>
      <c r="H1426" t="s">
        <v>1372</v>
      </c>
    </row>
    <row r="1427" spans="1:8">
      <c r="A1427">
        <v>13077995</v>
      </c>
      <c r="B1427" t="s">
        <v>631</v>
      </c>
      <c r="C1427" t="s">
        <v>51</v>
      </c>
      <c r="D1427" t="s">
        <v>630</v>
      </c>
      <c r="E1427" t="s">
        <v>1375</v>
      </c>
      <c r="F1427" s="134">
        <v>0.32472222222222219</v>
      </c>
      <c r="G1427" t="s">
        <v>1373</v>
      </c>
      <c r="H1427" t="s">
        <v>1374</v>
      </c>
    </row>
    <row r="1428" spans="1:8">
      <c r="A1428">
        <v>13077995</v>
      </c>
      <c r="B1428" t="s">
        <v>631</v>
      </c>
      <c r="C1428" t="s">
        <v>51</v>
      </c>
      <c r="D1428" t="s">
        <v>630</v>
      </c>
      <c r="E1428" t="s">
        <v>1375</v>
      </c>
      <c r="F1428" s="134">
        <v>0.92001157407407408</v>
      </c>
      <c r="G1428" t="s">
        <v>1371</v>
      </c>
      <c r="H1428" t="s">
        <v>1372</v>
      </c>
    </row>
    <row r="1429" spans="1:8">
      <c r="A1429">
        <v>13077995</v>
      </c>
      <c r="B1429" t="s">
        <v>631</v>
      </c>
      <c r="C1429" t="s">
        <v>51</v>
      </c>
      <c r="D1429" t="s">
        <v>630</v>
      </c>
      <c r="E1429" t="s">
        <v>1376</v>
      </c>
      <c r="F1429" s="134">
        <v>0.32743055555555556</v>
      </c>
      <c r="G1429" t="s">
        <v>1373</v>
      </c>
      <c r="H1429" t="s">
        <v>1374</v>
      </c>
    </row>
    <row r="1430" spans="1:8">
      <c r="A1430">
        <v>13077995</v>
      </c>
      <c r="B1430" t="s">
        <v>631</v>
      </c>
      <c r="C1430" t="s">
        <v>51</v>
      </c>
      <c r="D1430" t="s">
        <v>630</v>
      </c>
      <c r="E1430" t="s">
        <v>1376</v>
      </c>
      <c r="F1430" s="134">
        <v>0.92043981481481485</v>
      </c>
      <c r="G1430" t="s">
        <v>1371</v>
      </c>
      <c r="H1430" t="s">
        <v>1372</v>
      </c>
    </row>
    <row r="1431" spans="1:8">
      <c r="A1431">
        <v>13077995</v>
      </c>
      <c r="B1431" t="s">
        <v>631</v>
      </c>
      <c r="C1431" t="s">
        <v>51</v>
      </c>
      <c r="D1431" t="s">
        <v>630</v>
      </c>
      <c r="E1431" t="s">
        <v>1377</v>
      </c>
      <c r="F1431" s="134">
        <v>0.32667824074074076</v>
      </c>
      <c r="G1431" t="s">
        <v>1373</v>
      </c>
      <c r="H1431" t="s">
        <v>1374</v>
      </c>
    </row>
    <row r="1432" spans="1:8">
      <c r="A1432">
        <v>13077995</v>
      </c>
      <c r="B1432" t="s">
        <v>631</v>
      </c>
      <c r="C1432" t="s">
        <v>51</v>
      </c>
      <c r="D1432" t="s">
        <v>630</v>
      </c>
      <c r="E1432" t="s">
        <v>1377</v>
      </c>
      <c r="F1432" s="134">
        <v>0.92104166666666665</v>
      </c>
      <c r="G1432" t="s">
        <v>1371</v>
      </c>
      <c r="H1432" t="s">
        <v>1372</v>
      </c>
    </row>
    <row r="1433" spans="1:8">
      <c r="A1433">
        <v>13077995</v>
      </c>
      <c r="B1433" t="s">
        <v>631</v>
      </c>
      <c r="C1433" t="s">
        <v>51</v>
      </c>
      <c r="D1433" t="s">
        <v>630</v>
      </c>
      <c r="E1433" t="s">
        <v>1378</v>
      </c>
      <c r="F1433" s="134">
        <v>0.3273726851851852</v>
      </c>
      <c r="G1433" t="s">
        <v>1373</v>
      </c>
      <c r="H1433" t="s">
        <v>1374</v>
      </c>
    </row>
    <row r="1434" spans="1:8">
      <c r="A1434">
        <v>13077995</v>
      </c>
      <c r="B1434" t="s">
        <v>631</v>
      </c>
      <c r="C1434" t="s">
        <v>51</v>
      </c>
      <c r="D1434" t="s">
        <v>630</v>
      </c>
      <c r="E1434" t="s">
        <v>1378</v>
      </c>
      <c r="F1434" s="134">
        <v>0.9213541666666667</v>
      </c>
      <c r="G1434" t="s">
        <v>1371</v>
      </c>
      <c r="H1434" t="s">
        <v>1372</v>
      </c>
    </row>
    <row r="1435" spans="1:8">
      <c r="A1435">
        <v>13077995</v>
      </c>
      <c r="B1435" t="s">
        <v>631</v>
      </c>
      <c r="C1435" t="s">
        <v>51</v>
      </c>
      <c r="D1435" t="s">
        <v>630</v>
      </c>
      <c r="E1435" t="s">
        <v>1379</v>
      </c>
      <c r="F1435" s="134">
        <v>0.3228935185185185</v>
      </c>
      <c r="G1435" t="s">
        <v>1373</v>
      </c>
      <c r="H1435" t="s">
        <v>1374</v>
      </c>
    </row>
    <row r="1436" spans="1:8">
      <c r="A1436">
        <v>13079999</v>
      </c>
      <c r="B1436" t="s">
        <v>1037</v>
      </c>
      <c r="C1436" t="s">
        <v>784</v>
      </c>
      <c r="D1436" t="s">
        <v>1036</v>
      </c>
      <c r="E1436" t="s">
        <v>1370</v>
      </c>
      <c r="F1436" s="134">
        <v>0.29432870370370373</v>
      </c>
      <c r="G1436" t="s">
        <v>1371</v>
      </c>
      <c r="H1436" t="s">
        <v>1372</v>
      </c>
    </row>
    <row r="1437" spans="1:8">
      <c r="A1437">
        <v>13079999</v>
      </c>
      <c r="B1437" t="s">
        <v>1037</v>
      </c>
      <c r="C1437" t="s">
        <v>784</v>
      </c>
      <c r="D1437" t="s">
        <v>1036</v>
      </c>
      <c r="E1437" t="s">
        <v>1370</v>
      </c>
      <c r="F1437" s="134">
        <v>0.62972222222222218</v>
      </c>
      <c r="G1437" t="s">
        <v>1373</v>
      </c>
      <c r="H1437" t="s">
        <v>1374</v>
      </c>
    </row>
    <row r="1438" spans="1:8">
      <c r="A1438">
        <v>13079999</v>
      </c>
      <c r="B1438" t="s">
        <v>1037</v>
      </c>
      <c r="C1438" t="s">
        <v>784</v>
      </c>
      <c r="D1438" t="s">
        <v>1036</v>
      </c>
      <c r="E1438" t="s">
        <v>1375</v>
      </c>
      <c r="F1438" s="134">
        <v>0.29377314814814814</v>
      </c>
      <c r="G1438" t="s">
        <v>1371</v>
      </c>
      <c r="H1438" t="s">
        <v>1372</v>
      </c>
    </row>
    <row r="1439" spans="1:8">
      <c r="A1439">
        <v>13079999</v>
      </c>
      <c r="B1439" t="s">
        <v>1037</v>
      </c>
      <c r="C1439" t="s">
        <v>784</v>
      </c>
      <c r="D1439" t="s">
        <v>1036</v>
      </c>
      <c r="E1439" t="s">
        <v>1375</v>
      </c>
      <c r="F1439" s="134">
        <v>0.63495370370370374</v>
      </c>
      <c r="G1439" t="s">
        <v>1373</v>
      </c>
      <c r="H1439" t="s">
        <v>1374</v>
      </c>
    </row>
    <row r="1440" spans="1:8">
      <c r="A1440">
        <v>13079999</v>
      </c>
      <c r="B1440" t="s">
        <v>1037</v>
      </c>
      <c r="C1440" t="s">
        <v>784</v>
      </c>
      <c r="D1440" t="s">
        <v>1036</v>
      </c>
      <c r="E1440" t="s">
        <v>1376</v>
      </c>
      <c r="F1440" s="134">
        <v>0.63537037037037036</v>
      </c>
      <c r="G1440" t="s">
        <v>1373</v>
      </c>
      <c r="H1440" t="s">
        <v>1374</v>
      </c>
    </row>
    <row r="1441" spans="1:8">
      <c r="A1441">
        <v>13079999</v>
      </c>
      <c r="B1441" t="s">
        <v>1037</v>
      </c>
      <c r="C1441" t="s">
        <v>784</v>
      </c>
      <c r="D1441" t="s">
        <v>1036</v>
      </c>
      <c r="E1441" t="s">
        <v>1376</v>
      </c>
      <c r="F1441" s="134">
        <v>0.29402777777777778</v>
      </c>
      <c r="G1441" t="s">
        <v>1371</v>
      </c>
      <c r="H1441" t="s">
        <v>1372</v>
      </c>
    </row>
    <row r="1442" spans="1:8">
      <c r="A1442">
        <v>13079999</v>
      </c>
      <c r="B1442" t="s">
        <v>1037</v>
      </c>
      <c r="C1442" t="s">
        <v>784</v>
      </c>
      <c r="D1442" t="s">
        <v>1036</v>
      </c>
      <c r="E1442" t="s">
        <v>1377</v>
      </c>
      <c r="F1442" s="134">
        <v>0.29363425925925929</v>
      </c>
      <c r="G1442" t="s">
        <v>1371</v>
      </c>
      <c r="H1442" t="s">
        <v>1372</v>
      </c>
    </row>
    <row r="1443" spans="1:8">
      <c r="A1443">
        <v>13079999</v>
      </c>
      <c r="B1443" t="s">
        <v>1037</v>
      </c>
      <c r="C1443" t="s">
        <v>784</v>
      </c>
      <c r="D1443" t="s">
        <v>1036</v>
      </c>
      <c r="E1443" t="s">
        <v>1377</v>
      </c>
      <c r="F1443" s="134">
        <v>0.63592592592592589</v>
      </c>
      <c r="G1443" t="s">
        <v>1373</v>
      </c>
      <c r="H1443" t="s">
        <v>1374</v>
      </c>
    </row>
    <row r="1444" spans="1:8">
      <c r="A1444">
        <v>13079999</v>
      </c>
      <c r="B1444" t="s">
        <v>1037</v>
      </c>
      <c r="C1444" t="s">
        <v>784</v>
      </c>
      <c r="D1444" t="s">
        <v>1036</v>
      </c>
      <c r="E1444" t="s">
        <v>1378</v>
      </c>
      <c r="F1444" s="134">
        <v>0.29473379629629631</v>
      </c>
      <c r="G1444" t="s">
        <v>1371</v>
      </c>
      <c r="H1444" t="s">
        <v>1372</v>
      </c>
    </row>
    <row r="1445" spans="1:8">
      <c r="A1445">
        <v>13079999</v>
      </c>
      <c r="B1445" t="s">
        <v>1037</v>
      </c>
      <c r="C1445" t="s">
        <v>784</v>
      </c>
      <c r="D1445" t="s">
        <v>1036</v>
      </c>
      <c r="E1445" t="s">
        <v>1378</v>
      </c>
      <c r="F1445" s="134">
        <v>0.63430555555555557</v>
      </c>
      <c r="G1445" t="s">
        <v>1373</v>
      </c>
      <c r="H1445" t="s">
        <v>1374</v>
      </c>
    </row>
    <row r="1446" spans="1:8">
      <c r="A1446">
        <v>13079999</v>
      </c>
      <c r="B1446" t="s">
        <v>1037</v>
      </c>
      <c r="C1446" t="s">
        <v>784</v>
      </c>
      <c r="D1446" t="s">
        <v>1036</v>
      </c>
      <c r="E1446" t="s">
        <v>1379</v>
      </c>
      <c r="F1446" s="134">
        <v>0.29083333333333333</v>
      </c>
      <c r="G1446" t="s">
        <v>1371</v>
      </c>
      <c r="H1446" t="s">
        <v>1372</v>
      </c>
    </row>
    <row r="1447" spans="1:8">
      <c r="A1447">
        <v>13079999</v>
      </c>
      <c r="B1447" t="s">
        <v>1037</v>
      </c>
      <c r="C1447" t="s">
        <v>784</v>
      </c>
      <c r="D1447" t="s">
        <v>1036</v>
      </c>
      <c r="E1447" t="s">
        <v>1379</v>
      </c>
      <c r="F1447" s="134">
        <v>0.63111111111111107</v>
      </c>
      <c r="G1447" t="s">
        <v>1373</v>
      </c>
      <c r="H1447" t="s">
        <v>1374</v>
      </c>
    </row>
    <row r="1448" spans="1:8">
      <c r="A1448">
        <v>13100464</v>
      </c>
      <c r="B1448" t="s">
        <v>460</v>
      </c>
      <c r="C1448" t="s">
        <v>449</v>
      </c>
      <c r="D1448" t="s">
        <v>459</v>
      </c>
      <c r="E1448" t="s">
        <v>1370</v>
      </c>
      <c r="F1448" s="134">
        <v>0.60560185185185189</v>
      </c>
      <c r="G1448" t="s">
        <v>1371</v>
      </c>
      <c r="H1448" t="s">
        <v>1372</v>
      </c>
    </row>
    <row r="1449" spans="1:8">
      <c r="A1449">
        <v>13100464</v>
      </c>
      <c r="B1449" t="s">
        <v>460</v>
      </c>
      <c r="C1449" t="s">
        <v>449</v>
      </c>
      <c r="D1449" t="s">
        <v>459</v>
      </c>
      <c r="E1449" t="s">
        <v>1370</v>
      </c>
      <c r="F1449" s="134">
        <v>0.94859953703703714</v>
      </c>
      <c r="G1449" t="s">
        <v>1373</v>
      </c>
      <c r="H1449" t="s">
        <v>1374</v>
      </c>
    </row>
    <row r="1450" spans="1:8">
      <c r="A1450">
        <v>13100464</v>
      </c>
      <c r="B1450" t="s">
        <v>460</v>
      </c>
      <c r="C1450" t="s">
        <v>449</v>
      </c>
      <c r="D1450" t="s">
        <v>459</v>
      </c>
      <c r="E1450" t="s">
        <v>1375</v>
      </c>
      <c r="F1450" s="134">
        <v>0.60645833333333332</v>
      </c>
      <c r="G1450" t="s">
        <v>1371</v>
      </c>
      <c r="H1450" t="s">
        <v>1372</v>
      </c>
    </row>
    <row r="1451" spans="1:8">
      <c r="A1451">
        <v>13100464</v>
      </c>
      <c r="B1451" t="s">
        <v>460</v>
      </c>
      <c r="C1451" t="s">
        <v>449</v>
      </c>
      <c r="D1451" t="s">
        <v>459</v>
      </c>
      <c r="E1451" t="s">
        <v>1375</v>
      </c>
      <c r="F1451" s="134">
        <v>0.9490277777777778</v>
      </c>
      <c r="G1451" t="s">
        <v>1373</v>
      </c>
      <c r="H1451" t="s">
        <v>1374</v>
      </c>
    </row>
    <row r="1452" spans="1:8">
      <c r="A1452">
        <v>13100464</v>
      </c>
      <c r="B1452" t="s">
        <v>460</v>
      </c>
      <c r="C1452" t="s">
        <v>449</v>
      </c>
      <c r="D1452" t="s">
        <v>459</v>
      </c>
      <c r="E1452" t="s">
        <v>1376</v>
      </c>
      <c r="F1452" s="134">
        <v>0.94825231481481476</v>
      </c>
      <c r="G1452" t="s">
        <v>1373</v>
      </c>
      <c r="H1452" t="s">
        <v>1374</v>
      </c>
    </row>
    <row r="1453" spans="1:8">
      <c r="A1453">
        <v>13100464</v>
      </c>
      <c r="B1453" t="s">
        <v>460</v>
      </c>
      <c r="C1453" t="s">
        <v>449</v>
      </c>
      <c r="D1453" t="s">
        <v>459</v>
      </c>
      <c r="E1453" t="s">
        <v>1376</v>
      </c>
      <c r="F1453" s="134">
        <v>0.60687499999999994</v>
      </c>
      <c r="G1453" t="s">
        <v>1371</v>
      </c>
      <c r="H1453" t="s">
        <v>1372</v>
      </c>
    </row>
    <row r="1454" spans="1:8">
      <c r="A1454">
        <v>13100464</v>
      </c>
      <c r="B1454" t="s">
        <v>460</v>
      </c>
      <c r="C1454" t="s">
        <v>449</v>
      </c>
      <c r="D1454" t="s">
        <v>459</v>
      </c>
      <c r="E1454" t="s">
        <v>1377</v>
      </c>
      <c r="F1454" s="134">
        <v>0.60152777777777777</v>
      </c>
      <c r="G1454" t="s">
        <v>1371</v>
      </c>
      <c r="H1454" t="s">
        <v>1372</v>
      </c>
    </row>
    <row r="1455" spans="1:8">
      <c r="A1455">
        <v>13100464</v>
      </c>
      <c r="B1455" t="s">
        <v>460</v>
      </c>
      <c r="C1455" t="s">
        <v>449</v>
      </c>
      <c r="D1455" t="s">
        <v>459</v>
      </c>
      <c r="E1455" t="s">
        <v>1377</v>
      </c>
      <c r="F1455" s="134">
        <v>0.94936342592592593</v>
      </c>
      <c r="G1455" t="s">
        <v>1373</v>
      </c>
      <c r="H1455" t="s">
        <v>1374</v>
      </c>
    </row>
    <row r="1456" spans="1:8">
      <c r="A1456">
        <v>13100464</v>
      </c>
      <c r="B1456" t="s">
        <v>460</v>
      </c>
      <c r="C1456" t="s">
        <v>449</v>
      </c>
      <c r="D1456" t="s">
        <v>459</v>
      </c>
      <c r="E1456" t="s">
        <v>1378</v>
      </c>
      <c r="F1456" s="134">
        <v>0.60660879629629627</v>
      </c>
      <c r="G1456" t="s">
        <v>1371</v>
      </c>
      <c r="H1456" t="s">
        <v>1372</v>
      </c>
    </row>
    <row r="1457" spans="1:8">
      <c r="A1457">
        <v>13100464</v>
      </c>
      <c r="B1457" t="s">
        <v>460</v>
      </c>
      <c r="C1457" t="s">
        <v>449</v>
      </c>
      <c r="D1457" t="s">
        <v>459</v>
      </c>
      <c r="E1457" t="s">
        <v>1378</v>
      </c>
      <c r="F1457" s="134">
        <v>0.9509953703703703</v>
      </c>
      <c r="G1457" t="s">
        <v>1373</v>
      </c>
      <c r="H1457" t="s">
        <v>1374</v>
      </c>
    </row>
    <row r="1458" spans="1:8">
      <c r="A1458">
        <v>13100464</v>
      </c>
      <c r="B1458" t="s">
        <v>460</v>
      </c>
      <c r="C1458" t="s">
        <v>449</v>
      </c>
      <c r="D1458" t="s">
        <v>459</v>
      </c>
      <c r="E1458" t="s">
        <v>1379</v>
      </c>
      <c r="F1458" s="134">
        <v>0.61388888888888882</v>
      </c>
      <c r="G1458" t="s">
        <v>1371</v>
      </c>
      <c r="H1458" t="s">
        <v>1372</v>
      </c>
    </row>
    <row r="1459" spans="1:8">
      <c r="A1459">
        <v>13100464</v>
      </c>
      <c r="B1459" t="s">
        <v>460</v>
      </c>
      <c r="C1459" t="s">
        <v>449</v>
      </c>
      <c r="D1459" t="s">
        <v>459</v>
      </c>
      <c r="E1459" t="s">
        <v>1379</v>
      </c>
      <c r="F1459" s="134">
        <v>0.94822916666666668</v>
      </c>
      <c r="G1459" t="s">
        <v>1373</v>
      </c>
      <c r="H1459" t="s">
        <v>1374</v>
      </c>
    </row>
    <row r="1460" spans="1:8">
      <c r="A1460">
        <v>13194146</v>
      </c>
      <c r="B1460" t="s">
        <v>1386</v>
      </c>
      <c r="C1460" t="s">
        <v>539</v>
      </c>
      <c r="D1460" t="s">
        <v>1188</v>
      </c>
      <c r="E1460" t="s">
        <v>1381</v>
      </c>
      <c r="F1460" s="134">
        <v>0</v>
      </c>
    </row>
    <row r="1461" spans="1:8">
      <c r="A1461">
        <v>13236100</v>
      </c>
      <c r="B1461" t="s">
        <v>192</v>
      </c>
      <c r="C1461" t="s">
        <v>191</v>
      </c>
      <c r="D1461" t="s">
        <v>110</v>
      </c>
      <c r="E1461" t="s">
        <v>1370</v>
      </c>
      <c r="F1461" s="134">
        <v>0.36156250000000001</v>
      </c>
      <c r="G1461" t="s">
        <v>1371</v>
      </c>
      <c r="H1461" t="s">
        <v>1372</v>
      </c>
    </row>
    <row r="1462" spans="1:8">
      <c r="A1462">
        <v>13236100</v>
      </c>
      <c r="B1462" t="s">
        <v>192</v>
      </c>
      <c r="C1462" t="s">
        <v>191</v>
      </c>
      <c r="D1462" t="s">
        <v>110</v>
      </c>
      <c r="E1462" t="s">
        <v>1370</v>
      </c>
      <c r="F1462" s="134">
        <v>0.75496527777777789</v>
      </c>
      <c r="G1462" t="s">
        <v>1373</v>
      </c>
      <c r="H1462" t="s">
        <v>1374</v>
      </c>
    </row>
    <row r="1463" spans="1:8">
      <c r="A1463">
        <v>13236100</v>
      </c>
      <c r="B1463" t="s">
        <v>192</v>
      </c>
      <c r="C1463" t="s">
        <v>191</v>
      </c>
      <c r="D1463" t="s">
        <v>110</v>
      </c>
      <c r="E1463" t="s">
        <v>1375</v>
      </c>
      <c r="F1463" s="134">
        <v>0.36009259259259258</v>
      </c>
      <c r="G1463" t="s">
        <v>1371</v>
      </c>
      <c r="H1463" t="s">
        <v>1372</v>
      </c>
    </row>
    <row r="1464" spans="1:8">
      <c r="A1464">
        <v>13236100</v>
      </c>
      <c r="B1464" t="s">
        <v>192</v>
      </c>
      <c r="C1464" t="s">
        <v>191</v>
      </c>
      <c r="D1464" t="s">
        <v>110</v>
      </c>
      <c r="E1464" t="s">
        <v>1375</v>
      </c>
      <c r="F1464" s="134">
        <v>0.82902777777777781</v>
      </c>
      <c r="G1464" t="s">
        <v>1373</v>
      </c>
      <c r="H1464" t="s">
        <v>1374</v>
      </c>
    </row>
    <row r="1465" spans="1:8">
      <c r="A1465">
        <v>13236100</v>
      </c>
      <c r="B1465" t="s">
        <v>192</v>
      </c>
      <c r="C1465" t="s">
        <v>191</v>
      </c>
      <c r="D1465" t="s">
        <v>110</v>
      </c>
      <c r="E1465" t="s">
        <v>1376</v>
      </c>
      <c r="F1465" s="134">
        <v>0.36817129629629625</v>
      </c>
      <c r="G1465" t="s">
        <v>1371</v>
      </c>
      <c r="H1465" t="s">
        <v>1372</v>
      </c>
    </row>
    <row r="1466" spans="1:8">
      <c r="A1466">
        <v>13236100</v>
      </c>
      <c r="B1466" t="s">
        <v>192</v>
      </c>
      <c r="C1466" t="s">
        <v>191</v>
      </c>
      <c r="D1466" t="s">
        <v>110</v>
      </c>
      <c r="E1466" t="s">
        <v>1376</v>
      </c>
      <c r="F1466" s="134">
        <v>0.63731481481481478</v>
      </c>
      <c r="G1466" t="s">
        <v>1373</v>
      </c>
      <c r="H1466" t="s">
        <v>1374</v>
      </c>
    </row>
    <row r="1467" spans="1:8">
      <c r="A1467">
        <v>13236100</v>
      </c>
      <c r="B1467" t="s">
        <v>192</v>
      </c>
      <c r="C1467" t="s">
        <v>191</v>
      </c>
      <c r="D1467" t="s">
        <v>110</v>
      </c>
      <c r="E1467" t="s">
        <v>1377</v>
      </c>
      <c r="F1467" s="134">
        <v>0.35377314814814814</v>
      </c>
      <c r="G1467" t="s">
        <v>1371</v>
      </c>
      <c r="H1467" t="s">
        <v>1372</v>
      </c>
    </row>
    <row r="1468" spans="1:8">
      <c r="A1468">
        <v>13236100</v>
      </c>
      <c r="B1468" t="s">
        <v>192</v>
      </c>
      <c r="C1468" t="s">
        <v>191</v>
      </c>
      <c r="D1468" t="s">
        <v>110</v>
      </c>
      <c r="E1468" t="s">
        <v>1377</v>
      </c>
      <c r="F1468" s="134">
        <v>0.84907407407407398</v>
      </c>
      <c r="G1468" t="s">
        <v>1373</v>
      </c>
      <c r="H1468" t="s">
        <v>1374</v>
      </c>
    </row>
    <row r="1469" spans="1:8">
      <c r="A1469">
        <v>13236100</v>
      </c>
      <c r="B1469" t="s">
        <v>192</v>
      </c>
      <c r="C1469" t="s">
        <v>191</v>
      </c>
      <c r="D1469" t="s">
        <v>110</v>
      </c>
      <c r="E1469" t="s">
        <v>1378</v>
      </c>
      <c r="F1469" s="134">
        <v>0.35802083333333329</v>
      </c>
      <c r="G1469" t="s">
        <v>1371</v>
      </c>
      <c r="H1469" t="s">
        <v>1372</v>
      </c>
    </row>
    <row r="1470" spans="1:8">
      <c r="A1470">
        <v>13236100</v>
      </c>
      <c r="B1470" t="s">
        <v>192</v>
      </c>
      <c r="C1470" t="s">
        <v>191</v>
      </c>
      <c r="D1470" t="s">
        <v>110</v>
      </c>
      <c r="E1470" t="s">
        <v>1378</v>
      </c>
      <c r="F1470" s="134">
        <v>0.8370023148148148</v>
      </c>
      <c r="G1470" t="s">
        <v>1373</v>
      </c>
      <c r="H1470" t="s">
        <v>1374</v>
      </c>
    </row>
    <row r="1471" spans="1:8">
      <c r="A1471">
        <v>13284475</v>
      </c>
      <c r="B1471" t="s">
        <v>1234</v>
      </c>
      <c r="C1471" t="s">
        <v>762</v>
      </c>
      <c r="D1471" t="s">
        <v>454</v>
      </c>
      <c r="E1471" t="s">
        <v>1370</v>
      </c>
      <c r="F1471" s="134">
        <v>0.29465277777777776</v>
      </c>
      <c r="G1471" t="s">
        <v>1371</v>
      </c>
      <c r="H1471" t="s">
        <v>1372</v>
      </c>
    </row>
    <row r="1472" spans="1:8">
      <c r="A1472">
        <v>13284475</v>
      </c>
      <c r="B1472" t="s">
        <v>1234</v>
      </c>
      <c r="C1472" t="s">
        <v>762</v>
      </c>
      <c r="D1472" t="s">
        <v>454</v>
      </c>
      <c r="E1472" t="s">
        <v>1370</v>
      </c>
      <c r="F1472" s="134">
        <v>0.6395601851851852</v>
      </c>
      <c r="G1472" t="s">
        <v>1373</v>
      </c>
      <c r="H1472" t="s">
        <v>1374</v>
      </c>
    </row>
    <row r="1473" spans="1:8">
      <c r="A1473">
        <v>13284475</v>
      </c>
      <c r="B1473" t="s">
        <v>1234</v>
      </c>
      <c r="C1473" t="s">
        <v>762</v>
      </c>
      <c r="D1473" t="s">
        <v>454</v>
      </c>
      <c r="E1473" t="s">
        <v>1376</v>
      </c>
      <c r="F1473" s="134">
        <v>0.30460648148148145</v>
      </c>
      <c r="G1473" t="s">
        <v>1371</v>
      </c>
      <c r="H1473" t="s">
        <v>1372</v>
      </c>
    </row>
    <row r="1474" spans="1:8">
      <c r="A1474">
        <v>13284475</v>
      </c>
      <c r="B1474" t="s">
        <v>1234</v>
      </c>
      <c r="C1474" t="s">
        <v>762</v>
      </c>
      <c r="D1474" t="s">
        <v>454</v>
      </c>
      <c r="E1474" t="s">
        <v>1376</v>
      </c>
      <c r="F1474" s="134">
        <v>0.63836805555555554</v>
      </c>
      <c r="G1474" t="s">
        <v>1373</v>
      </c>
      <c r="H1474" t="s">
        <v>1374</v>
      </c>
    </row>
    <row r="1475" spans="1:8">
      <c r="A1475">
        <v>13284475</v>
      </c>
      <c r="B1475" t="s">
        <v>1234</v>
      </c>
      <c r="C1475" t="s">
        <v>762</v>
      </c>
      <c r="D1475" t="s">
        <v>454</v>
      </c>
      <c r="E1475" t="s">
        <v>1377</v>
      </c>
      <c r="F1475" s="134">
        <v>0.2951273148148148</v>
      </c>
      <c r="G1475" t="s">
        <v>1371</v>
      </c>
      <c r="H1475" t="s">
        <v>1372</v>
      </c>
    </row>
    <row r="1476" spans="1:8">
      <c r="A1476">
        <v>13284475</v>
      </c>
      <c r="B1476" t="s">
        <v>1234</v>
      </c>
      <c r="C1476" t="s">
        <v>762</v>
      </c>
      <c r="D1476" t="s">
        <v>454</v>
      </c>
      <c r="E1476" t="s">
        <v>1377</v>
      </c>
      <c r="F1476" s="134">
        <v>0.64392361111111118</v>
      </c>
      <c r="G1476" t="s">
        <v>1373</v>
      </c>
      <c r="H1476" t="s">
        <v>1374</v>
      </c>
    </row>
    <row r="1477" spans="1:8">
      <c r="A1477">
        <v>13284475</v>
      </c>
      <c r="B1477" t="s">
        <v>1234</v>
      </c>
      <c r="C1477" t="s">
        <v>762</v>
      </c>
      <c r="D1477" t="s">
        <v>454</v>
      </c>
      <c r="E1477" t="s">
        <v>1378</v>
      </c>
      <c r="F1477" s="134">
        <v>0.29487268518518517</v>
      </c>
      <c r="G1477" t="s">
        <v>1371</v>
      </c>
      <c r="H1477" t="s">
        <v>1372</v>
      </c>
    </row>
    <row r="1478" spans="1:8">
      <c r="A1478">
        <v>13284475</v>
      </c>
      <c r="B1478" t="s">
        <v>1234</v>
      </c>
      <c r="C1478" t="s">
        <v>762</v>
      </c>
      <c r="D1478" t="s">
        <v>454</v>
      </c>
      <c r="E1478" t="s">
        <v>1378</v>
      </c>
      <c r="F1478" s="134">
        <v>0.64724537037037033</v>
      </c>
      <c r="G1478" t="s">
        <v>1373</v>
      </c>
      <c r="H1478" t="s">
        <v>1374</v>
      </c>
    </row>
    <row r="1479" spans="1:8">
      <c r="A1479">
        <v>13284475</v>
      </c>
      <c r="B1479" t="s">
        <v>1234</v>
      </c>
      <c r="C1479" t="s">
        <v>762</v>
      </c>
      <c r="D1479" t="s">
        <v>454</v>
      </c>
      <c r="E1479" t="s">
        <v>1379</v>
      </c>
      <c r="F1479" s="134">
        <v>0.30357638888888888</v>
      </c>
      <c r="G1479" t="s">
        <v>1371</v>
      </c>
      <c r="H1479" t="s">
        <v>1372</v>
      </c>
    </row>
    <row r="1480" spans="1:8">
      <c r="A1480">
        <v>13284475</v>
      </c>
      <c r="B1480" t="s">
        <v>1234</v>
      </c>
      <c r="C1480" t="s">
        <v>762</v>
      </c>
      <c r="D1480" t="s">
        <v>454</v>
      </c>
      <c r="E1480" t="s">
        <v>1379</v>
      </c>
      <c r="F1480" s="134">
        <v>0.63586805555555559</v>
      </c>
      <c r="G1480" t="s">
        <v>1373</v>
      </c>
      <c r="H1480" t="s">
        <v>1374</v>
      </c>
    </row>
    <row r="1481" spans="1:8">
      <c r="A1481">
        <v>13295279</v>
      </c>
      <c r="B1481" t="s">
        <v>1259</v>
      </c>
      <c r="C1481" t="s">
        <v>1257</v>
      </c>
      <c r="D1481" t="s">
        <v>1258</v>
      </c>
      <c r="E1481" t="s">
        <v>1370</v>
      </c>
      <c r="F1481" s="134">
        <v>1.4201388888888888E-2</v>
      </c>
      <c r="G1481" t="s">
        <v>1371</v>
      </c>
      <c r="H1481" t="s">
        <v>1372</v>
      </c>
    </row>
    <row r="1482" spans="1:8">
      <c r="A1482">
        <v>13295279</v>
      </c>
      <c r="B1482" t="s">
        <v>1259</v>
      </c>
      <c r="C1482" t="s">
        <v>1257</v>
      </c>
      <c r="D1482" t="s">
        <v>1258</v>
      </c>
      <c r="E1482" t="s">
        <v>1370</v>
      </c>
      <c r="F1482" s="134">
        <v>0.33714120370370365</v>
      </c>
      <c r="G1482" t="s">
        <v>1373</v>
      </c>
      <c r="H1482" t="s">
        <v>1374</v>
      </c>
    </row>
    <row r="1483" spans="1:8">
      <c r="A1483">
        <v>13295279</v>
      </c>
      <c r="B1483" t="s">
        <v>1259</v>
      </c>
      <c r="C1483" t="s">
        <v>1257</v>
      </c>
      <c r="D1483" t="s">
        <v>1258</v>
      </c>
      <c r="E1483" t="s">
        <v>1375</v>
      </c>
      <c r="F1483" s="134">
        <v>0.39962962962962961</v>
      </c>
      <c r="G1483" t="s">
        <v>1371</v>
      </c>
      <c r="H1483" t="s">
        <v>1372</v>
      </c>
    </row>
    <row r="1484" spans="1:8">
      <c r="A1484">
        <v>13295279</v>
      </c>
      <c r="B1484" t="s">
        <v>1259</v>
      </c>
      <c r="C1484" t="s">
        <v>1257</v>
      </c>
      <c r="D1484" t="s">
        <v>1258</v>
      </c>
      <c r="E1484" t="s">
        <v>1375</v>
      </c>
      <c r="F1484" s="134">
        <v>0.63675925925925925</v>
      </c>
      <c r="G1484" t="s">
        <v>1373</v>
      </c>
      <c r="H1484" t="s">
        <v>1374</v>
      </c>
    </row>
    <row r="1485" spans="1:8">
      <c r="A1485">
        <v>13295279</v>
      </c>
      <c r="B1485" t="s">
        <v>1259</v>
      </c>
      <c r="C1485" t="s">
        <v>1257</v>
      </c>
      <c r="D1485" t="s">
        <v>1258</v>
      </c>
      <c r="E1485" t="s">
        <v>1376</v>
      </c>
      <c r="F1485" s="134">
        <v>0.72667824074074072</v>
      </c>
      <c r="G1485" t="s">
        <v>1373</v>
      </c>
      <c r="H1485" t="s">
        <v>1374</v>
      </c>
    </row>
    <row r="1486" spans="1:8">
      <c r="A1486">
        <v>13295279</v>
      </c>
      <c r="B1486" t="s">
        <v>1259</v>
      </c>
      <c r="C1486" t="s">
        <v>1257</v>
      </c>
      <c r="D1486" t="s">
        <v>1258</v>
      </c>
      <c r="E1486" t="s">
        <v>1376</v>
      </c>
      <c r="F1486" s="134">
        <v>0.30487268518518518</v>
      </c>
      <c r="G1486" t="s">
        <v>1371</v>
      </c>
      <c r="H1486" t="s">
        <v>1372</v>
      </c>
    </row>
    <row r="1487" spans="1:8">
      <c r="A1487">
        <v>13295279</v>
      </c>
      <c r="B1487" t="s">
        <v>1259</v>
      </c>
      <c r="C1487" t="s">
        <v>1257</v>
      </c>
      <c r="D1487" t="s">
        <v>1258</v>
      </c>
      <c r="E1487" t="s">
        <v>1377</v>
      </c>
      <c r="F1487" s="134">
        <v>0.30111111111111111</v>
      </c>
      <c r="G1487" t="s">
        <v>1371</v>
      </c>
      <c r="H1487" t="s">
        <v>1372</v>
      </c>
    </row>
    <row r="1488" spans="1:8">
      <c r="A1488">
        <v>13295279</v>
      </c>
      <c r="B1488" t="s">
        <v>1259</v>
      </c>
      <c r="C1488" t="s">
        <v>1257</v>
      </c>
      <c r="D1488" t="s">
        <v>1258</v>
      </c>
      <c r="E1488" t="s">
        <v>1377</v>
      </c>
      <c r="F1488" s="134">
        <v>0.72282407407407412</v>
      </c>
      <c r="G1488" t="s">
        <v>1373</v>
      </c>
      <c r="H1488" t="s">
        <v>1374</v>
      </c>
    </row>
    <row r="1489" spans="1:8">
      <c r="A1489">
        <v>13295279</v>
      </c>
      <c r="B1489" t="s">
        <v>1259</v>
      </c>
      <c r="C1489" t="s">
        <v>1257</v>
      </c>
      <c r="D1489" t="s">
        <v>1258</v>
      </c>
      <c r="E1489" t="s">
        <v>1378</v>
      </c>
      <c r="F1489" s="134">
        <v>0.30302083333333335</v>
      </c>
      <c r="G1489" t="s">
        <v>1371</v>
      </c>
      <c r="H1489" t="s">
        <v>1372</v>
      </c>
    </row>
    <row r="1490" spans="1:8">
      <c r="A1490">
        <v>13295279</v>
      </c>
      <c r="B1490" t="s">
        <v>1259</v>
      </c>
      <c r="C1490" t="s">
        <v>1257</v>
      </c>
      <c r="D1490" t="s">
        <v>1258</v>
      </c>
      <c r="E1490" t="s">
        <v>1378</v>
      </c>
      <c r="F1490" s="134">
        <v>0.72968749999999993</v>
      </c>
      <c r="G1490" t="s">
        <v>1373</v>
      </c>
      <c r="H1490" t="s">
        <v>1374</v>
      </c>
    </row>
    <row r="1491" spans="1:8">
      <c r="A1491">
        <v>13295279</v>
      </c>
      <c r="B1491" t="s">
        <v>1259</v>
      </c>
      <c r="C1491" t="s">
        <v>1257</v>
      </c>
      <c r="D1491" t="s">
        <v>1258</v>
      </c>
      <c r="E1491" t="s">
        <v>1379</v>
      </c>
      <c r="F1491" s="134">
        <v>0.30353009259259262</v>
      </c>
      <c r="G1491" t="s">
        <v>1371</v>
      </c>
      <c r="H1491" t="s">
        <v>1372</v>
      </c>
    </row>
    <row r="1492" spans="1:8">
      <c r="A1492">
        <v>13295279</v>
      </c>
      <c r="B1492" t="s">
        <v>1259</v>
      </c>
      <c r="C1492" t="s">
        <v>1257</v>
      </c>
      <c r="D1492" t="s">
        <v>1258</v>
      </c>
      <c r="E1492" t="s">
        <v>1379</v>
      </c>
      <c r="F1492" s="134">
        <v>0.63429398148148153</v>
      </c>
      <c r="G1492" t="s">
        <v>1373</v>
      </c>
      <c r="H1492" t="s">
        <v>1374</v>
      </c>
    </row>
    <row r="1493" spans="1:8">
      <c r="A1493">
        <v>13297988</v>
      </c>
      <c r="B1493" t="s">
        <v>165</v>
      </c>
      <c r="C1493" t="s">
        <v>355</v>
      </c>
      <c r="D1493" t="s">
        <v>854</v>
      </c>
      <c r="E1493" t="s">
        <v>1370</v>
      </c>
      <c r="F1493" s="134">
        <v>0.91891203703703705</v>
      </c>
      <c r="G1493" t="s">
        <v>1371</v>
      </c>
      <c r="H1493" t="s">
        <v>1372</v>
      </c>
    </row>
    <row r="1494" spans="1:8">
      <c r="A1494">
        <v>13297988</v>
      </c>
      <c r="B1494" t="s">
        <v>165</v>
      </c>
      <c r="C1494" t="s">
        <v>355</v>
      </c>
      <c r="D1494" t="s">
        <v>854</v>
      </c>
      <c r="E1494" t="s">
        <v>1375</v>
      </c>
      <c r="F1494" s="134">
        <v>0.32342592592592595</v>
      </c>
      <c r="G1494" t="s">
        <v>1373</v>
      </c>
      <c r="H1494" t="s">
        <v>1374</v>
      </c>
    </row>
    <row r="1495" spans="1:8">
      <c r="A1495">
        <v>13297988</v>
      </c>
      <c r="B1495" t="s">
        <v>165</v>
      </c>
      <c r="C1495" t="s">
        <v>355</v>
      </c>
      <c r="D1495" t="s">
        <v>854</v>
      </c>
      <c r="E1495" t="s">
        <v>1375</v>
      </c>
      <c r="F1495" s="134">
        <v>0.91204861111111113</v>
      </c>
      <c r="G1495" t="s">
        <v>1371</v>
      </c>
      <c r="H1495" t="s">
        <v>1372</v>
      </c>
    </row>
    <row r="1496" spans="1:8">
      <c r="A1496">
        <v>13297988</v>
      </c>
      <c r="B1496" t="s">
        <v>165</v>
      </c>
      <c r="C1496" t="s">
        <v>355</v>
      </c>
      <c r="D1496" t="s">
        <v>854</v>
      </c>
      <c r="E1496" t="s">
        <v>1376</v>
      </c>
      <c r="F1496" s="134">
        <v>0.32298611111111114</v>
      </c>
      <c r="G1496" t="s">
        <v>1373</v>
      </c>
      <c r="H1496" t="s">
        <v>1374</v>
      </c>
    </row>
    <row r="1497" spans="1:8">
      <c r="A1497">
        <v>13297988</v>
      </c>
      <c r="B1497" t="s">
        <v>165</v>
      </c>
      <c r="C1497" t="s">
        <v>355</v>
      </c>
      <c r="D1497" t="s">
        <v>854</v>
      </c>
      <c r="E1497" t="s">
        <v>1376</v>
      </c>
      <c r="F1497" s="134">
        <v>0.92034722222222232</v>
      </c>
      <c r="G1497" t="s">
        <v>1371</v>
      </c>
      <c r="H1497" t="s">
        <v>1372</v>
      </c>
    </row>
    <row r="1498" spans="1:8">
      <c r="A1498">
        <v>13297988</v>
      </c>
      <c r="B1498" t="s">
        <v>165</v>
      </c>
      <c r="C1498" t="s">
        <v>355</v>
      </c>
      <c r="D1498" t="s">
        <v>854</v>
      </c>
      <c r="E1498" t="s">
        <v>1377</v>
      </c>
      <c r="F1498" s="134">
        <v>0.32288194444444446</v>
      </c>
      <c r="G1498" t="s">
        <v>1373</v>
      </c>
      <c r="H1498" t="s">
        <v>1374</v>
      </c>
    </row>
    <row r="1499" spans="1:8">
      <c r="A1499">
        <v>13297988</v>
      </c>
      <c r="B1499" t="s">
        <v>165</v>
      </c>
      <c r="C1499" t="s">
        <v>355</v>
      </c>
      <c r="D1499" t="s">
        <v>854</v>
      </c>
      <c r="E1499" t="s">
        <v>1377</v>
      </c>
      <c r="F1499" s="134">
        <v>0.92016203703703703</v>
      </c>
      <c r="G1499" t="s">
        <v>1371</v>
      </c>
      <c r="H1499" t="s">
        <v>1372</v>
      </c>
    </row>
    <row r="1500" spans="1:8">
      <c r="A1500">
        <v>13297988</v>
      </c>
      <c r="B1500" t="s">
        <v>165</v>
      </c>
      <c r="C1500" t="s">
        <v>355</v>
      </c>
      <c r="D1500" t="s">
        <v>854</v>
      </c>
      <c r="E1500" t="s">
        <v>1378</v>
      </c>
      <c r="F1500" s="134">
        <v>0.32412037037037039</v>
      </c>
      <c r="G1500" t="s">
        <v>1373</v>
      </c>
      <c r="H1500" t="s">
        <v>1374</v>
      </c>
    </row>
    <row r="1501" spans="1:8">
      <c r="A1501">
        <v>13297988</v>
      </c>
      <c r="B1501" t="s">
        <v>165</v>
      </c>
      <c r="C1501" t="s">
        <v>355</v>
      </c>
      <c r="D1501" t="s">
        <v>854</v>
      </c>
      <c r="E1501" t="s">
        <v>1378</v>
      </c>
      <c r="F1501" s="134">
        <v>0.92109953703703706</v>
      </c>
      <c r="G1501" t="s">
        <v>1371</v>
      </c>
      <c r="H1501" t="s">
        <v>1372</v>
      </c>
    </row>
    <row r="1502" spans="1:8">
      <c r="A1502">
        <v>13297988</v>
      </c>
      <c r="B1502" t="s">
        <v>165</v>
      </c>
      <c r="C1502" t="s">
        <v>355</v>
      </c>
      <c r="D1502" t="s">
        <v>854</v>
      </c>
      <c r="E1502" t="s">
        <v>1379</v>
      </c>
      <c r="F1502" s="134">
        <v>0.32221064814814815</v>
      </c>
      <c r="G1502" t="s">
        <v>1373</v>
      </c>
      <c r="H1502" t="s">
        <v>1374</v>
      </c>
    </row>
    <row r="1503" spans="1:8">
      <c r="A1503">
        <v>13486775</v>
      </c>
      <c r="B1503" t="s">
        <v>291</v>
      </c>
      <c r="C1503" t="s">
        <v>289</v>
      </c>
      <c r="D1503" t="s">
        <v>290</v>
      </c>
      <c r="E1503" t="s">
        <v>1381</v>
      </c>
      <c r="F1503" s="134">
        <v>0</v>
      </c>
    </row>
    <row r="1504" spans="1:8">
      <c r="A1504">
        <v>13486907</v>
      </c>
      <c r="B1504" t="s">
        <v>337</v>
      </c>
      <c r="C1504" t="s">
        <v>479</v>
      </c>
      <c r="D1504" t="s">
        <v>206</v>
      </c>
      <c r="E1504" t="s">
        <v>1370</v>
      </c>
      <c r="F1504" s="134">
        <v>0.29135416666666664</v>
      </c>
      <c r="G1504" t="s">
        <v>1371</v>
      </c>
      <c r="H1504" t="s">
        <v>1372</v>
      </c>
    </row>
    <row r="1505" spans="1:8">
      <c r="A1505">
        <v>13486907</v>
      </c>
      <c r="B1505" t="s">
        <v>337</v>
      </c>
      <c r="C1505" t="s">
        <v>479</v>
      </c>
      <c r="D1505" t="s">
        <v>206</v>
      </c>
      <c r="E1505" t="s">
        <v>1370</v>
      </c>
      <c r="F1505" s="134">
        <v>0.63609953703703703</v>
      </c>
      <c r="G1505" t="s">
        <v>1373</v>
      </c>
      <c r="H1505" t="s">
        <v>1374</v>
      </c>
    </row>
    <row r="1506" spans="1:8">
      <c r="A1506">
        <v>13486907</v>
      </c>
      <c r="B1506" t="s">
        <v>337</v>
      </c>
      <c r="C1506" t="s">
        <v>479</v>
      </c>
      <c r="D1506" t="s">
        <v>206</v>
      </c>
      <c r="E1506" t="s">
        <v>1375</v>
      </c>
      <c r="F1506" s="134">
        <v>0.29177083333333337</v>
      </c>
      <c r="G1506" t="s">
        <v>1371</v>
      </c>
      <c r="H1506" t="s">
        <v>1372</v>
      </c>
    </row>
    <row r="1507" spans="1:8">
      <c r="A1507">
        <v>13486907</v>
      </c>
      <c r="B1507" t="s">
        <v>337</v>
      </c>
      <c r="C1507" t="s">
        <v>479</v>
      </c>
      <c r="D1507" t="s">
        <v>206</v>
      </c>
      <c r="E1507" t="s">
        <v>1375</v>
      </c>
      <c r="F1507" s="134">
        <v>0.41065972222222219</v>
      </c>
      <c r="G1507" t="s">
        <v>1373</v>
      </c>
      <c r="H1507" t="s">
        <v>1374</v>
      </c>
    </row>
    <row r="1508" spans="1:8">
      <c r="A1508">
        <v>13486907</v>
      </c>
      <c r="B1508" t="s">
        <v>337</v>
      </c>
      <c r="C1508" t="s">
        <v>479</v>
      </c>
      <c r="D1508" t="s">
        <v>206</v>
      </c>
      <c r="E1508" t="s">
        <v>1375</v>
      </c>
      <c r="F1508" s="134">
        <v>0.53843750000000001</v>
      </c>
      <c r="G1508" t="s">
        <v>1371</v>
      </c>
      <c r="H1508" t="s">
        <v>1372</v>
      </c>
    </row>
    <row r="1509" spans="1:8">
      <c r="A1509">
        <v>13486907</v>
      </c>
      <c r="B1509" t="s">
        <v>337</v>
      </c>
      <c r="C1509" t="s">
        <v>479</v>
      </c>
      <c r="D1509" t="s">
        <v>206</v>
      </c>
      <c r="E1509" t="s">
        <v>1375</v>
      </c>
      <c r="F1509" s="134">
        <v>0.63046296296296289</v>
      </c>
      <c r="G1509" t="s">
        <v>1373</v>
      </c>
      <c r="H1509" t="s">
        <v>1374</v>
      </c>
    </row>
    <row r="1510" spans="1:8">
      <c r="A1510">
        <v>13486907</v>
      </c>
      <c r="B1510" t="s">
        <v>337</v>
      </c>
      <c r="C1510" t="s">
        <v>479</v>
      </c>
      <c r="D1510" t="s">
        <v>206</v>
      </c>
      <c r="E1510" t="s">
        <v>1376</v>
      </c>
      <c r="F1510" s="134">
        <v>0.62458333333333338</v>
      </c>
      <c r="G1510" t="s">
        <v>1373</v>
      </c>
      <c r="H1510" t="s">
        <v>1374</v>
      </c>
    </row>
    <row r="1511" spans="1:8">
      <c r="A1511">
        <v>13486907</v>
      </c>
      <c r="B1511" t="s">
        <v>337</v>
      </c>
      <c r="C1511" t="s">
        <v>479</v>
      </c>
      <c r="D1511" t="s">
        <v>206</v>
      </c>
      <c r="E1511" t="s">
        <v>1376</v>
      </c>
      <c r="F1511" s="134">
        <v>0.29277777777777775</v>
      </c>
      <c r="G1511" t="s">
        <v>1371</v>
      </c>
      <c r="H1511" t="s">
        <v>1372</v>
      </c>
    </row>
    <row r="1512" spans="1:8">
      <c r="A1512">
        <v>13486907</v>
      </c>
      <c r="B1512" t="s">
        <v>337</v>
      </c>
      <c r="C1512" t="s">
        <v>479</v>
      </c>
      <c r="D1512" t="s">
        <v>206</v>
      </c>
      <c r="E1512" t="s">
        <v>1377</v>
      </c>
      <c r="F1512" s="134">
        <v>0.29093750000000002</v>
      </c>
      <c r="G1512" t="s">
        <v>1371</v>
      </c>
      <c r="H1512" t="s">
        <v>1372</v>
      </c>
    </row>
    <row r="1513" spans="1:8">
      <c r="A1513">
        <v>13486907</v>
      </c>
      <c r="B1513" t="s">
        <v>337</v>
      </c>
      <c r="C1513" t="s">
        <v>479</v>
      </c>
      <c r="D1513" t="s">
        <v>206</v>
      </c>
      <c r="E1513" t="s">
        <v>1377</v>
      </c>
      <c r="F1513" s="134">
        <v>0.62646990740740738</v>
      </c>
      <c r="G1513" t="s">
        <v>1373</v>
      </c>
      <c r="H1513" t="s">
        <v>1374</v>
      </c>
    </row>
    <row r="1514" spans="1:8">
      <c r="A1514">
        <v>13486907</v>
      </c>
      <c r="B1514" t="s">
        <v>337</v>
      </c>
      <c r="C1514" t="s">
        <v>479</v>
      </c>
      <c r="D1514" t="s">
        <v>206</v>
      </c>
      <c r="E1514" t="s">
        <v>1378</v>
      </c>
      <c r="F1514" s="134">
        <v>0.29418981481481482</v>
      </c>
      <c r="G1514" t="s">
        <v>1371</v>
      </c>
      <c r="H1514" t="s">
        <v>1372</v>
      </c>
    </row>
    <row r="1515" spans="1:8">
      <c r="A1515">
        <v>13486907</v>
      </c>
      <c r="B1515" t="s">
        <v>337</v>
      </c>
      <c r="C1515" t="s">
        <v>479</v>
      </c>
      <c r="D1515" t="s">
        <v>206</v>
      </c>
      <c r="E1515" t="s">
        <v>1378</v>
      </c>
      <c r="F1515" s="134">
        <v>0.63047453703703704</v>
      </c>
      <c r="G1515" t="s">
        <v>1373</v>
      </c>
      <c r="H1515" t="s">
        <v>1374</v>
      </c>
    </row>
    <row r="1516" spans="1:8">
      <c r="A1516">
        <v>13486907</v>
      </c>
      <c r="B1516" t="s">
        <v>337</v>
      </c>
      <c r="C1516" t="s">
        <v>479</v>
      </c>
      <c r="D1516" t="s">
        <v>206</v>
      </c>
      <c r="E1516" t="s">
        <v>1379</v>
      </c>
      <c r="F1516" s="134">
        <v>0.2910300925925926</v>
      </c>
      <c r="G1516" t="s">
        <v>1371</v>
      </c>
      <c r="H1516" t="s">
        <v>1372</v>
      </c>
    </row>
    <row r="1517" spans="1:8">
      <c r="A1517">
        <v>13486907</v>
      </c>
      <c r="B1517" t="s">
        <v>337</v>
      </c>
      <c r="C1517" t="s">
        <v>479</v>
      </c>
      <c r="D1517" t="s">
        <v>206</v>
      </c>
      <c r="E1517" t="s">
        <v>1379</v>
      </c>
      <c r="F1517" s="134">
        <v>0.62165509259259266</v>
      </c>
      <c r="G1517" t="s">
        <v>1373</v>
      </c>
      <c r="H1517" t="s">
        <v>1374</v>
      </c>
    </row>
    <row r="1518" spans="1:8">
      <c r="A1518">
        <v>13552988</v>
      </c>
      <c r="B1518" t="s">
        <v>686</v>
      </c>
      <c r="C1518" t="s">
        <v>684</v>
      </c>
      <c r="D1518" t="s">
        <v>685</v>
      </c>
      <c r="E1518" t="s">
        <v>1370</v>
      </c>
      <c r="F1518" s="134">
        <v>0.29343750000000002</v>
      </c>
      <c r="G1518" t="s">
        <v>1371</v>
      </c>
      <c r="H1518" t="s">
        <v>1372</v>
      </c>
    </row>
    <row r="1519" spans="1:8">
      <c r="A1519">
        <v>13552988</v>
      </c>
      <c r="B1519" t="s">
        <v>686</v>
      </c>
      <c r="C1519" t="s">
        <v>684</v>
      </c>
      <c r="D1519" t="s">
        <v>685</v>
      </c>
      <c r="E1519" t="s">
        <v>1370</v>
      </c>
      <c r="F1519" s="134">
        <v>0.64077546296296295</v>
      </c>
      <c r="G1519" t="s">
        <v>1373</v>
      </c>
      <c r="H1519" t="s">
        <v>1374</v>
      </c>
    </row>
    <row r="1520" spans="1:8">
      <c r="A1520">
        <v>13552988</v>
      </c>
      <c r="B1520" t="s">
        <v>686</v>
      </c>
      <c r="C1520" t="s">
        <v>684</v>
      </c>
      <c r="D1520" t="s">
        <v>685</v>
      </c>
      <c r="E1520" t="s">
        <v>1375</v>
      </c>
      <c r="F1520" s="134">
        <v>0.29480324074074077</v>
      </c>
      <c r="G1520" t="s">
        <v>1371</v>
      </c>
      <c r="H1520" t="s">
        <v>1372</v>
      </c>
    </row>
    <row r="1521" spans="1:8">
      <c r="A1521">
        <v>13552988</v>
      </c>
      <c r="B1521" t="s">
        <v>686</v>
      </c>
      <c r="C1521" t="s">
        <v>684</v>
      </c>
      <c r="D1521" t="s">
        <v>685</v>
      </c>
      <c r="E1521" t="s">
        <v>1375</v>
      </c>
      <c r="F1521" s="134">
        <v>0.63770833333333332</v>
      </c>
      <c r="G1521" t="s">
        <v>1373</v>
      </c>
      <c r="H1521" t="s">
        <v>1374</v>
      </c>
    </row>
    <row r="1522" spans="1:8">
      <c r="A1522">
        <v>13552988</v>
      </c>
      <c r="B1522" t="s">
        <v>686</v>
      </c>
      <c r="C1522" t="s">
        <v>684</v>
      </c>
      <c r="D1522" t="s">
        <v>685</v>
      </c>
      <c r="E1522" t="s">
        <v>1376</v>
      </c>
      <c r="F1522" s="134">
        <v>0.63505787037037031</v>
      </c>
      <c r="G1522" t="s">
        <v>1373</v>
      </c>
      <c r="H1522" t="s">
        <v>1374</v>
      </c>
    </row>
    <row r="1523" spans="1:8">
      <c r="A1523">
        <v>13552988</v>
      </c>
      <c r="B1523" t="s">
        <v>686</v>
      </c>
      <c r="C1523" t="s">
        <v>684</v>
      </c>
      <c r="D1523" t="s">
        <v>685</v>
      </c>
      <c r="E1523" t="s">
        <v>1376</v>
      </c>
      <c r="F1523" s="134">
        <v>0.29471064814814812</v>
      </c>
      <c r="G1523" t="s">
        <v>1371</v>
      </c>
      <c r="H1523" t="s">
        <v>1372</v>
      </c>
    </row>
    <row r="1524" spans="1:8">
      <c r="A1524">
        <v>13552988</v>
      </c>
      <c r="B1524" t="s">
        <v>686</v>
      </c>
      <c r="C1524" t="s">
        <v>684</v>
      </c>
      <c r="D1524" t="s">
        <v>685</v>
      </c>
      <c r="E1524" t="s">
        <v>1377</v>
      </c>
      <c r="F1524" s="134">
        <v>0.29454861111111114</v>
      </c>
      <c r="G1524" t="s">
        <v>1371</v>
      </c>
      <c r="H1524" t="s">
        <v>1372</v>
      </c>
    </row>
    <row r="1525" spans="1:8">
      <c r="A1525">
        <v>13552988</v>
      </c>
      <c r="B1525" t="s">
        <v>686</v>
      </c>
      <c r="C1525" t="s">
        <v>684</v>
      </c>
      <c r="D1525" t="s">
        <v>685</v>
      </c>
      <c r="E1525" t="s">
        <v>1377</v>
      </c>
      <c r="F1525" s="134">
        <v>0.64128472222222221</v>
      </c>
      <c r="G1525" t="s">
        <v>1373</v>
      </c>
      <c r="H1525" t="s">
        <v>1374</v>
      </c>
    </row>
    <row r="1526" spans="1:8">
      <c r="A1526">
        <v>13552988</v>
      </c>
      <c r="B1526" t="s">
        <v>686</v>
      </c>
      <c r="C1526" t="s">
        <v>684</v>
      </c>
      <c r="D1526" t="s">
        <v>685</v>
      </c>
      <c r="E1526" t="s">
        <v>1378</v>
      </c>
      <c r="F1526" s="134">
        <v>0.29607638888888888</v>
      </c>
      <c r="G1526" t="s">
        <v>1371</v>
      </c>
      <c r="H1526" t="s">
        <v>1372</v>
      </c>
    </row>
    <row r="1527" spans="1:8">
      <c r="A1527">
        <v>13552988</v>
      </c>
      <c r="B1527" t="s">
        <v>686</v>
      </c>
      <c r="C1527" t="s">
        <v>684</v>
      </c>
      <c r="D1527" t="s">
        <v>685</v>
      </c>
      <c r="E1527" t="s">
        <v>1378</v>
      </c>
      <c r="F1527" s="134">
        <v>0.6353240740740741</v>
      </c>
      <c r="G1527" t="s">
        <v>1373</v>
      </c>
      <c r="H1527" t="s">
        <v>1374</v>
      </c>
    </row>
    <row r="1528" spans="1:8">
      <c r="A1528">
        <v>13552988</v>
      </c>
      <c r="B1528" t="s">
        <v>686</v>
      </c>
      <c r="C1528" t="s">
        <v>684</v>
      </c>
      <c r="D1528" t="s">
        <v>685</v>
      </c>
      <c r="E1528" t="s">
        <v>1379</v>
      </c>
      <c r="F1528" s="134">
        <v>0.30361111111111111</v>
      </c>
      <c r="G1528" t="s">
        <v>1371</v>
      </c>
      <c r="H1528" t="s">
        <v>1372</v>
      </c>
    </row>
    <row r="1529" spans="1:8">
      <c r="A1529">
        <v>13552988</v>
      </c>
      <c r="B1529" t="s">
        <v>686</v>
      </c>
      <c r="C1529" t="s">
        <v>684</v>
      </c>
      <c r="D1529" t="s">
        <v>685</v>
      </c>
      <c r="E1529" t="s">
        <v>1379</v>
      </c>
      <c r="F1529" s="134">
        <v>0.63777777777777778</v>
      </c>
      <c r="G1529" t="s">
        <v>1373</v>
      </c>
      <c r="H1529" t="s">
        <v>1374</v>
      </c>
    </row>
    <row r="1530" spans="1:8">
      <c r="A1530">
        <v>13553033</v>
      </c>
      <c r="B1530" t="s">
        <v>302</v>
      </c>
      <c r="C1530" t="s">
        <v>899</v>
      </c>
      <c r="D1530" t="s">
        <v>784</v>
      </c>
      <c r="E1530" t="s">
        <v>1370</v>
      </c>
      <c r="F1530" s="134">
        <v>0.29798611111111112</v>
      </c>
      <c r="G1530" t="s">
        <v>1371</v>
      </c>
      <c r="H1530" t="s">
        <v>1372</v>
      </c>
    </row>
    <row r="1531" spans="1:8">
      <c r="A1531">
        <v>13553033</v>
      </c>
      <c r="B1531" t="s">
        <v>302</v>
      </c>
      <c r="C1531" t="s">
        <v>899</v>
      </c>
      <c r="D1531" t="s">
        <v>784</v>
      </c>
      <c r="E1531" t="s">
        <v>1370</v>
      </c>
      <c r="F1531" s="134">
        <v>0.63618055555555553</v>
      </c>
      <c r="G1531" t="s">
        <v>1373</v>
      </c>
      <c r="H1531" t="s">
        <v>1374</v>
      </c>
    </row>
    <row r="1532" spans="1:8">
      <c r="A1532">
        <v>13553033</v>
      </c>
      <c r="B1532" t="s">
        <v>302</v>
      </c>
      <c r="C1532" t="s">
        <v>899</v>
      </c>
      <c r="D1532" t="s">
        <v>784</v>
      </c>
      <c r="E1532" t="s">
        <v>1375</v>
      </c>
      <c r="F1532" s="134">
        <v>0.30379629629629629</v>
      </c>
      <c r="G1532" t="s">
        <v>1371</v>
      </c>
      <c r="H1532" t="s">
        <v>1372</v>
      </c>
    </row>
    <row r="1533" spans="1:8">
      <c r="A1533">
        <v>13553033</v>
      </c>
      <c r="B1533" t="s">
        <v>302</v>
      </c>
      <c r="C1533" t="s">
        <v>899</v>
      </c>
      <c r="D1533" t="s">
        <v>784</v>
      </c>
      <c r="E1533" t="s">
        <v>1375</v>
      </c>
      <c r="F1533" s="134">
        <v>0.64026620370370368</v>
      </c>
      <c r="G1533" t="s">
        <v>1373</v>
      </c>
      <c r="H1533" t="s">
        <v>1374</v>
      </c>
    </row>
    <row r="1534" spans="1:8">
      <c r="A1534">
        <v>13553033</v>
      </c>
      <c r="B1534" t="s">
        <v>302</v>
      </c>
      <c r="C1534" t="s">
        <v>899</v>
      </c>
      <c r="D1534" t="s">
        <v>784</v>
      </c>
      <c r="E1534" t="s">
        <v>1376</v>
      </c>
      <c r="F1534" s="134">
        <v>0.63947916666666671</v>
      </c>
      <c r="G1534" t="s">
        <v>1373</v>
      </c>
      <c r="H1534" t="s">
        <v>1374</v>
      </c>
    </row>
    <row r="1535" spans="1:8">
      <c r="A1535">
        <v>13553033</v>
      </c>
      <c r="B1535" t="s">
        <v>302</v>
      </c>
      <c r="C1535" t="s">
        <v>899</v>
      </c>
      <c r="D1535" t="s">
        <v>784</v>
      </c>
      <c r="E1535" t="s">
        <v>1376</v>
      </c>
      <c r="F1535" s="134">
        <v>0.30266203703703703</v>
      </c>
      <c r="G1535" t="s">
        <v>1371</v>
      </c>
      <c r="H1535" t="s">
        <v>1372</v>
      </c>
    </row>
    <row r="1536" spans="1:8">
      <c r="A1536">
        <v>13553033</v>
      </c>
      <c r="B1536" t="s">
        <v>302</v>
      </c>
      <c r="C1536" t="s">
        <v>899</v>
      </c>
      <c r="D1536" t="s">
        <v>784</v>
      </c>
      <c r="E1536" t="s">
        <v>1377</v>
      </c>
      <c r="F1536" s="134">
        <v>0.29741898148148149</v>
      </c>
      <c r="G1536" t="s">
        <v>1371</v>
      </c>
      <c r="H1536" t="s">
        <v>1372</v>
      </c>
    </row>
    <row r="1537" spans="1:8">
      <c r="A1537">
        <v>13553033</v>
      </c>
      <c r="B1537" t="s">
        <v>302</v>
      </c>
      <c r="C1537" t="s">
        <v>899</v>
      </c>
      <c r="D1537" t="s">
        <v>784</v>
      </c>
      <c r="E1537" t="s">
        <v>1377</v>
      </c>
      <c r="F1537" s="134">
        <v>0.64331018518518512</v>
      </c>
      <c r="G1537" t="s">
        <v>1373</v>
      </c>
      <c r="H1537" t="s">
        <v>1374</v>
      </c>
    </row>
    <row r="1538" spans="1:8">
      <c r="A1538">
        <v>13553033</v>
      </c>
      <c r="B1538" t="s">
        <v>302</v>
      </c>
      <c r="C1538" t="s">
        <v>899</v>
      </c>
      <c r="D1538" t="s">
        <v>784</v>
      </c>
      <c r="E1538" t="s">
        <v>1378</v>
      </c>
      <c r="F1538" s="134">
        <v>0.29961805555555554</v>
      </c>
      <c r="G1538" t="s">
        <v>1371</v>
      </c>
      <c r="H1538" t="s">
        <v>1372</v>
      </c>
    </row>
    <row r="1539" spans="1:8">
      <c r="A1539">
        <v>13553033</v>
      </c>
      <c r="B1539" t="s">
        <v>302</v>
      </c>
      <c r="C1539" t="s">
        <v>899</v>
      </c>
      <c r="D1539" t="s">
        <v>784</v>
      </c>
      <c r="E1539" t="s">
        <v>1378</v>
      </c>
      <c r="F1539" s="134">
        <v>0.64466435185185189</v>
      </c>
      <c r="G1539" t="s">
        <v>1373</v>
      </c>
      <c r="H1539" t="s">
        <v>1374</v>
      </c>
    </row>
    <row r="1540" spans="1:8">
      <c r="A1540">
        <v>13553033</v>
      </c>
      <c r="B1540" t="s">
        <v>302</v>
      </c>
      <c r="C1540" t="s">
        <v>899</v>
      </c>
      <c r="D1540" t="s">
        <v>784</v>
      </c>
      <c r="E1540" t="s">
        <v>1379</v>
      </c>
      <c r="F1540" s="134">
        <v>0.29921296296296296</v>
      </c>
      <c r="G1540" t="s">
        <v>1371</v>
      </c>
      <c r="H1540" t="s">
        <v>1372</v>
      </c>
    </row>
    <row r="1541" spans="1:8">
      <c r="A1541">
        <v>13553033</v>
      </c>
      <c r="B1541" t="s">
        <v>302</v>
      </c>
      <c r="C1541" t="s">
        <v>899</v>
      </c>
      <c r="D1541" t="s">
        <v>784</v>
      </c>
      <c r="E1541" t="s">
        <v>1379</v>
      </c>
      <c r="F1541" s="134">
        <v>0.64258101851851845</v>
      </c>
      <c r="G1541" t="s">
        <v>1373</v>
      </c>
      <c r="H1541" t="s">
        <v>1374</v>
      </c>
    </row>
    <row r="1542" spans="1:8">
      <c r="A1542">
        <v>13557248</v>
      </c>
      <c r="B1542" t="s">
        <v>178</v>
      </c>
      <c r="C1542" t="s">
        <v>176</v>
      </c>
      <c r="D1542" t="s">
        <v>177</v>
      </c>
      <c r="E1542" t="s">
        <v>1370</v>
      </c>
      <c r="F1542" s="134">
        <v>6.238425925925925E-3</v>
      </c>
      <c r="G1542" t="s">
        <v>1371</v>
      </c>
      <c r="H1542" t="s">
        <v>1372</v>
      </c>
    </row>
    <row r="1543" spans="1:8">
      <c r="A1543">
        <v>13557248</v>
      </c>
      <c r="B1543" t="s">
        <v>178</v>
      </c>
      <c r="C1543" t="s">
        <v>176</v>
      </c>
      <c r="D1543" t="s">
        <v>177</v>
      </c>
      <c r="E1543" t="s">
        <v>1370</v>
      </c>
      <c r="F1543" s="134">
        <v>0.3498148148148148</v>
      </c>
      <c r="G1543" t="s">
        <v>1373</v>
      </c>
      <c r="H1543" t="s">
        <v>1374</v>
      </c>
    </row>
    <row r="1544" spans="1:8">
      <c r="A1544">
        <v>13557248</v>
      </c>
      <c r="B1544" t="s">
        <v>178</v>
      </c>
      <c r="C1544" t="s">
        <v>176</v>
      </c>
      <c r="D1544" t="s">
        <v>177</v>
      </c>
      <c r="E1544" t="s">
        <v>1375</v>
      </c>
      <c r="F1544" s="134">
        <v>0.31398148148148147</v>
      </c>
      <c r="G1544" t="s">
        <v>1371</v>
      </c>
      <c r="H1544" t="s">
        <v>1372</v>
      </c>
    </row>
    <row r="1545" spans="1:8">
      <c r="A1545">
        <v>13557248</v>
      </c>
      <c r="B1545" t="s">
        <v>178</v>
      </c>
      <c r="C1545" t="s">
        <v>176</v>
      </c>
      <c r="D1545" t="s">
        <v>177</v>
      </c>
      <c r="E1545" t="s">
        <v>1375</v>
      </c>
      <c r="F1545" s="134">
        <v>0.79206018518518517</v>
      </c>
      <c r="G1545" t="s">
        <v>1373</v>
      </c>
      <c r="H1545" t="s">
        <v>1374</v>
      </c>
    </row>
    <row r="1546" spans="1:8">
      <c r="A1546">
        <v>13557248</v>
      </c>
      <c r="B1546" t="s">
        <v>178</v>
      </c>
      <c r="C1546" t="s">
        <v>176</v>
      </c>
      <c r="D1546" t="s">
        <v>177</v>
      </c>
      <c r="E1546" t="s">
        <v>1376</v>
      </c>
      <c r="F1546" s="134">
        <v>0.31233796296296296</v>
      </c>
      <c r="G1546" t="s">
        <v>1371</v>
      </c>
      <c r="H1546" t="s">
        <v>1372</v>
      </c>
    </row>
    <row r="1547" spans="1:8">
      <c r="A1547">
        <v>13557248</v>
      </c>
      <c r="B1547" t="s">
        <v>178</v>
      </c>
      <c r="C1547" t="s">
        <v>176</v>
      </c>
      <c r="D1547" t="s">
        <v>177</v>
      </c>
      <c r="E1547" t="s">
        <v>1376</v>
      </c>
      <c r="F1547" s="134">
        <v>0.77469907407407401</v>
      </c>
      <c r="G1547" t="s">
        <v>1373</v>
      </c>
      <c r="H1547" t="s">
        <v>1374</v>
      </c>
    </row>
    <row r="1548" spans="1:8">
      <c r="A1548">
        <v>13557248</v>
      </c>
      <c r="B1548" t="s">
        <v>178</v>
      </c>
      <c r="C1548" t="s">
        <v>176</v>
      </c>
      <c r="D1548" t="s">
        <v>177</v>
      </c>
      <c r="E1548" t="s">
        <v>1377</v>
      </c>
      <c r="F1548" s="134">
        <v>0.31523148148148145</v>
      </c>
      <c r="G1548" t="s">
        <v>1371</v>
      </c>
      <c r="H1548" t="s">
        <v>1372</v>
      </c>
    </row>
    <row r="1549" spans="1:8">
      <c r="A1549">
        <v>13557248</v>
      </c>
      <c r="B1549" t="s">
        <v>178</v>
      </c>
      <c r="C1549" t="s">
        <v>176</v>
      </c>
      <c r="D1549" t="s">
        <v>177</v>
      </c>
      <c r="E1549" t="s">
        <v>1377</v>
      </c>
      <c r="F1549" s="134">
        <v>0.76600694444444439</v>
      </c>
      <c r="G1549" t="s">
        <v>1373</v>
      </c>
      <c r="H1549" t="s">
        <v>1374</v>
      </c>
    </row>
    <row r="1550" spans="1:8">
      <c r="A1550">
        <v>13557248</v>
      </c>
      <c r="B1550" t="s">
        <v>178</v>
      </c>
      <c r="C1550" t="s">
        <v>176</v>
      </c>
      <c r="D1550" t="s">
        <v>177</v>
      </c>
      <c r="E1550" t="s">
        <v>1378</v>
      </c>
      <c r="F1550" s="134">
        <v>0.30629629629629629</v>
      </c>
      <c r="G1550" t="s">
        <v>1371</v>
      </c>
      <c r="H1550" t="s">
        <v>1372</v>
      </c>
    </row>
    <row r="1551" spans="1:8">
      <c r="A1551">
        <v>13557248</v>
      </c>
      <c r="B1551" t="s">
        <v>178</v>
      </c>
      <c r="C1551" t="s">
        <v>176</v>
      </c>
      <c r="D1551" t="s">
        <v>177</v>
      </c>
      <c r="E1551" t="s">
        <v>1378</v>
      </c>
      <c r="F1551" s="134">
        <v>0.7325694444444445</v>
      </c>
      <c r="G1551" t="s">
        <v>1373</v>
      </c>
      <c r="H1551" t="s">
        <v>1374</v>
      </c>
    </row>
    <row r="1552" spans="1:8">
      <c r="A1552">
        <v>13638571</v>
      </c>
      <c r="B1552" t="s">
        <v>995</v>
      </c>
      <c r="C1552" t="s">
        <v>991</v>
      </c>
      <c r="D1552" t="s">
        <v>624</v>
      </c>
      <c r="E1552" t="s">
        <v>1370</v>
      </c>
      <c r="F1552" s="134">
        <v>0.29561342592592593</v>
      </c>
      <c r="G1552" t="s">
        <v>1371</v>
      </c>
      <c r="H1552" t="s">
        <v>1372</v>
      </c>
    </row>
    <row r="1553" spans="1:8">
      <c r="A1553">
        <v>13638571</v>
      </c>
      <c r="B1553" t="s">
        <v>995</v>
      </c>
      <c r="C1553" t="s">
        <v>991</v>
      </c>
      <c r="D1553" t="s">
        <v>624</v>
      </c>
      <c r="E1553" t="s">
        <v>1370</v>
      </c>
      <c r="F1553" s="134">
        <v>0.63464120370370369</v>
      </c>
      <c r="G1553" t="s">
        <v>1373</v>
      </c>
      <c r="H1553" t="s">
        <v>1374</v>
      </c>
    </row>
    <row r="1554" spans="1:8">
      <c r="A1554">
        <v>13638571</v>
      </c>
      <c r="B1554" t="s">
        <v>995</v>
      </c>
      <c r="C1554" t="s">
        <v>991</v>
      </c>
      <c r="D1554" t="s">
        <v>624</v>
      </c>
      <c r="E1554" t="s">
        <v>1375</v>
      </c>
      <c r="F1554" s="134">
        <v>0.29212962962962963</v>
      </c>
      <c r="G1554" t="s">
        <v>1371</v>
      </c>
      <c r="H1554" t="s">
        <v>1372</v>
      </c>
    </row>
    <row r="1555" spans="1:8">
      <c r="A1555">
        <v>13638571</v>
      </c>
      <c r="B1555" t="s">
        <v>995</v>
      </c>
      <c r="C1555" t="s">
        <v>991</v>
      </c>
      <c r="D1555" t="s">
        <v>624</v>
      </c>
      <c r="E1555" t="s">
        <v>1375</v>
      </c>
      <c r="F1555" s="134">
        <v>0.63619212962962968</v>
      </c>
      <c r="G1555" t="s">
        <v>1373</v>
      </c>
      <c r="H1555" t="s">
        <v>1374</v>
      </c>
    </row>
    <row r="1556" spans="1:8">
      <c r="A1556">
        <v>13638571</v>
      </c>
      <c r="B1556" t="s">
        <v>995</v>
      </c>
      <c r="C1556" t="s">
        <v>991</v>
      </c>
      <c r="D1556" t="s">
        <v>624</v>
      </c>
      <c r="E1556" t="s">
        <v>1377</v>
      </c>
      <c r="F1556" s="134">
        <v>0.29599537037037038</v>
      </c>
      <c r="G1556" t="s">
        <v>1371</v>
      </c>
      <c r="H1556" t="s">
        <v>1372</v>
      </c>
    </row>
    <row r="1557" spans="1:8">
      <c r="A1557">
        <v>13638571</v>
      </c>
      <c r="B1557" t="s">
        <v>995</v>
      </c>
      <c r="C1557" t="s">
        <v>991</v>
      </c>
      <c r="D1557" t="s">
        <v>624</v>
      </c>
      <c r="E1557" t="s">
        <v>1377</v>
      </c>
      <c r="F1557" s="134">
        <v>0.63918981481481485</v>
      </c>
      <c r="G1557" t="s">
        <v>1373</v>
      </c>
      <c r="H1557" t="s">
        <v>1374</v>
      </c>
    </row>
    <row r="1558" spans="1:8">
      <c r="A1558">
        <v>13638571</v>
      </c>
      <c r="B1558" t="s">
        <v>995</v>
      </c>
      <c r="C1558" t="s">
        <v>991</v>
      </c>
      <c r="D1558" t="s">
        <v>624</v>
      </c>
      <c r="E1558" t="s">
        <v>1378</v>
      </c>
      <c r="F1558" s="134">
        <v>0.29657407407407405</v>
      </c>
      <c r="G1558" t="s">
        <v>1371</v>
      </c>
      <c r="H1558" t="s">
        <v>1372</v>
      </c>
    </row>
    <row r="1559" spans="1:8">
      <c r="A1559">
        <v>13638571</v>
      </c>
      <c r="B1559" t="s">
        <v>995</v>
      </c>
      <c r="C1559" t="s">
        <v>991</v>
      </c>
      <c r="D1559" t="s">
        <v>624</v>
      </c>
      <c r="E1559" t="s">
        <v>1378</v>
      </c>
      <c r="F1559" s="134">
        <v>0.63606481481481481</v>
      </c>
      <c r="G1559" t="s">
        <v>1373</v>
      </c>
      <c r="H1559" t="s">
        <v>1374</v>
      </c>
    </row>
    <row r="1560" spans="1:8">
      <c r="A1560">
        <v>13638571</v>
      </c>
      <c r="B1560" t="s">
        <v>995</v>
      </c>
      <c r="C1560" t="s">
        <v>991</v>
      </c>
      <c r="D1560" t="s">
        <v>624</v>
      </c>
      <c r="E1560" t="s">
        <v>1379</v>
      </c>
      <c r="F1560" s="134">
        <v>0.29552083333333334</v>
      </c>
      <c r="G1560" t="s">
        <v>1371</v>
      </c>
      <c r="H1560" t="s">
        <v>1372</v>
      </c>
    </row>
    <row r="1561" spans="1:8">
      <c r="A1561">
        <v>13638571</v>
      </c>
      <c r="B1561" t="s">
        <v>995</v>
      </c>
      <c r="C1561" t="s">
        <v>991</v>
      </c>
      <c r="D1561" t="s">
        <v>624</v>
      </c>
      <c r="E1561" t="s">
        <v>1379</v>
      </c>
      <c r="F1561" s="134">
        <v>0.63785879629629627</v>
      </c>
      <c r="G1561" t="s">
        <v>1373</v>
      </c>
      <c r="H1561" t="s">
        <v>1374</v>
      </c>
    </row>
    <row r="1562" spans="1:8">
      <c r="A1562">
        <v>13681026</v>
      </c>
      <c r="B1562" t="s">
        <v>769</v>
      </c>
      <c r="C1562" t="s">
        <v>767</v>
      </c>
      <c r="D1562" t="s">
        <v>768</v>
      </c>
      <c r="E1562" t="s">
        <v>1370</v>
      </c>
      <c r="F1562" s="134">
        <v>0.60768518518518522</v>
      </c>
      <c r="G1562" t="s">
        <v>1371</v>
      </c>
      <c r="H1562" t="s">
        <v>1372</v>
      </c>
    </row>
    <row r="1563" spans="1:8">
      <c r="A1563">
        <v>13681026</v>
      </c>
      <c r="B1563" t="s">
        <v>769</v>
      </c>
      <c r="C1563" t="s">
        <v>767</v>
      </c>
      <c r="D1563" t="s">
        <v>768</v>
      </c>
      <c r="E1563" t="s">
        <v>1370</v>
      </c>
      <c r="F1563" s="134">
        <v>0.94347222222222227</v>
      </c>
      <c r="G1563" t="s">
        <v>1373</v>
      </c>
      <c r="H1563" t="s">
        <v>1374</v>
      </c>
    </row>
    <row r="1564" spans="1:8">
      <c r="A1564">
        <v>13681026</v>
      </c>
      <c r="B1564" t="s">
        <v>769</v>
      </c>
      <c r="C1564" t="s">
        <v>767</v>
      </c>
      <c r="D1564" t="s">
        <v>768</v>
      </c>
      <c r="E1564" t="s">
        <v>1375</v>
      </c>
      <c r="F1564" s="134">
        <v>0.60709490740740735</v>
      </c>
      <c r="G1564" t="s">
        <v>1371</v>
      </c>
      <c r="H1564" t="s">
        <v>1372</v>
      </c>
    </row>
    <row r="1565" spans="1:8">
      <c r="A1565">
        <v>13681026</v>
      </c>
      <c r="B1565" t="s">
        <v>769</v>
      </c>
      <c r="C1565" t="s">
        <v>767</v>
      </c>
      <c r="D1565" t="s">
        <v>768</v>
      </c>
      <c r="E1565" t="s">
        <v>1375</v>
      </c>
      <c r="F1565" s="134">
        <v>0.94677083333333334</v>
      </c>
      <c r="G1565" t="s">
        <v>1373</v>
      </c>
      <c r="H1565" t="s">
        <v>1374</v>
      </c>
    </row>
    <row r="1566" spans="1:8">
      <c r="A1566">
        <v>13681026</v>
      </c>
      <c r="B1566" t="s">
        <v>769</v>
      </c>
      <c r="C1566" t="s">
        <v>767</v>
      </c>
      <c r="D1566" t="s">
        <v>768</v>
      </c>
      <c r="E1566" t="s">
        <v>1376</v>
      </c>
      <c r="F1566" s="134">
        <v>0.78159722222222217</v>
      </c>
      <c r="G1566" t="s">
        <v>1373</v>
      </c>
      <c r="H1566" t="s">
        <v>1374</v>
      </c>
    </row>
    <row r="1567" spans="1:8">
      <c r="A1567">
        <v>13681026</v>
      </c>
      <c r="B1567" t="s">
        <v>769</v>
      </c>
      <c r="C1567" t="s">
        <v>767</v>
      </c>
      <c r="D1567" t="s">
        <v>768</v>
      </c>
      <c r="E1567" t="s">
        <v>1376</v>
      </c>
      <c r="F1567" s="134">
        <v>0.45893518518518522</v>
      </c>
      <c r="G1567" t="s">
        <v>1371</v>
      </c>
      <c r="H1567" t="s">
        <v>1372</v>
      </c>
    </row>
    <row r="1568" spans="1:8">
      <c r="A1568">
        <v>13681026</v>
      </c>
      <c r="B1568" t="s">
        <v>769</v>
      </c>
      <c r="C1568" t="s">
        <v>767</v>
      </c>
      <c r="D1568" t="s">
        <v>768</v>
      </c>
      <c r="E1568" t="s">
        <v>1377</v>
      </c>
      <c r="F1568" s="134">
        <v>0.58437499999999998</v>
      </c>
      <c r="G1568" t="s">
        <v>1371</v>
      </c>
      <c r="H1568" t="s">
        <v>1372</v>
      </c>
    </row>
    <row r="1569" spans="1:8">
      <c r="A1569">
        <v>13681026</v>
      </c>
      <c r="B1569" t="s">
        <v>769</v>
      </c>
      <c r="C1569" t="s">
        <v>767</v>
      </c>
      <c r="D1569" t="s">
        <v>768</v>
      </c>
      <c r="E1569" t="s">
        <v>1377</v>
      </c>
      <c r="F1569" s="134">
        <v>0.94578703703703704</v>
      </c>
      <c r="G1569" t="s">
        <v>1373</v>
      </c>
      <c r="H1569" t="s">
        <v>1374</v>
      </c>
    </row>
    <row r="1570" spans="1:8">
      <c r="A1570">
        <v>13681026</v>
      </c>
      <c r="B1570" t="s">
        <v>769</v>
      </c>
      <c r="C1570" t="s">
        <v>767</v>
      </c>
      <c r="D1570" t="s">
        <v>768</v>
      </c>
      <c r="E1570" t="s">
        <v>1378</v>
      </c>
      <c r="F1570" s="134">
        <v>0.60210648148148149</v>
      </c>
      <c r="G1570" t="s">
        <v>1371</v>
      </c>
      <c r="H1570" t="s">
        <v>1372</v>
      </c>
    </row>
    <row r="1571" spans="1:8">
      <c r="A1571">
        <v>13681026</v>
      </c>
      <c r="B1571" t="s">
        <v>769</v>
      </c>
      <c r="C1571" t="s">
        <v>767</v>
      </c>
      <c r="D1571" t="s">
        <v>768</v>
      </c>
      <c r="E1571" t="s">
        <v>1378</v>
      </c>
      <c r="F1571" s="134">
        <v>0.94656250000000008</v>
      </c>
      <c r="G1571" t="s">
        <v>1373</v>
      </c>
      <c r="H1571" t="s">
        <v>1374</v>
      </c>
    </row>
    <row r="1572" spans="1:8">
      <c r="A1572">
        <v>13681026</v>
      </c>
      <c r="B1572" t="s">
        <v>769</v>
      </c>
      <c r="C1572" t="s">
        <v>767</v>
      </c>
      <c r="D1572" t="s">
        <v>768</v>
      </c>
      <c r="E1572" t="s">
        <v>1379</v>
      </c>
      <c r="F1572" s="134">
        <v>0.6095949074074074</v>
      </c>
      <c r="G1572" t="s">
        <v>1371</v>
      </c>
      <c r="H1572" t="s">
        <v>1372</v>
      </c>
    </row>
    <row r="1573" spans="1:8">
      <c r="A1573">
        <v>13681026</v>
      </c>
      <c r="B1573" t="s">
        <v>769</v>
      </c>
      <c r="C1573" t="s">
        <v>767</v>
      </c>
      <c r="D1573" t="s">
        <v>768</v>
      </c>
      <c r="E1573" t="s">
        <v>1379</v>
      </c>
      <c r="F1573" s="134">
        <v>0.94026620370370362</v>
      </c>
      <c r="G1573" t="s">
        <v>1373</v>
      </c>
      <c r="H1573" t="s">
        <v>1374</v>
      </c>
    </row>
    <row r="1574" spans="1:8">
      <c r="A1574">
        <v>13688839</v>
      </c>
      <c r="B1574" t="s">
        <v>1275</v>
      </c>
      <c r="C1574" t="s">
        <v>1274</v>
      </c>
      <c r="D1574" t="s">
        <v>532</v>
      </c>
      <c r="E1574" t="s">
        <v>1370</v>
      </c>
      <c r="F1574" s="134">
        <v>0.60300925925925919</v>
      </c>
      <c r="G1574" t="s">
        <v>1371</v>
      </c>
      <c r="H1574" t="s">
        <v>1372</v>
      </c>
    </row>
    <row r="1575" spans="1:8">
      <c r="A1575">
        <v>13688839</v>
      </c>
      <c r="B1575" t="s">
        <v>1275</v>
      </c>
      <c r="C1575" t="s">
        <v>1274</v>
      </c>
      <c r="D1575" t="s">
        <v>532</v>
      </c>
      <c r="E1575" t="s">
        <v>1370</v>
      </c>
      <c r="F1575" s="134">
        <v>0.94763888888888881</v>
      </c>
      <c r="G1575" t="s">
        <v>1373</v>
      </c>
      <c r="H1575" t="s">
        <v>1374</v>
      </c>
    </row>
    <row r="1576" spans="1:8">
      <c r="A1576">
        <v>13688839</v>
      </c>
      <c r="B1576" t="s">
        <v>1275</v>
      </c>
      <c r="C1576" t="s">
        <v>1274</v>
      </c>
      <c r="D1576" t="s">
        <v>532</v>
      </c>
      <c r="E1576" t="s">
        <v>1375</v>
      </c>
      <c r="F1576" s="134">
        <v>0.60619212962962965</v>
      </c>
      <c r="G1576" t="s">
        <v>1371</v>
      </c>
      <c r="H1576" t="s">
        <v>1372</v>
      </c>
    </row>
    <row r="1577" spans="1:8">
      <c r="A1577">
        <v>13688839</v>
      </c>
      <c r="B1577" t="s">
        <v>1275</v>
      </c>
      <c r="C1577" t="s">
        <v>1274</v>
      </c>
      <c r="D1577" t="s">
        <v>532</v>
      </c>
      <c r="E1577" t="s">
        <v>1375</v>
      </c>
      <c r="F1577" s="134">
        <v>0.94534722222222223</v>
      </c>
      <c r="G1577" t="s">
        <v>1373</v>
      </c>
      <c r="H1577" t="s">
        <v>1374</v>
      </c>
    </row>
    <row r="1578" spans="1:8">
      <c r="A1578">
        <v>13688839</v>
      </c>
      <c r="B1578" t="s">
        <v>1275</v>
      </c>
      <c r="C1578" t="s">
        <v>1274</v>
      </c>
      <c r="D1578" t="s">
        <v>532</v>
      </c>
      <c r="E1578" t="s">
        <v>1376</v>
      </c>
      <c r="F1578" s="134">
        <v>0.94726851851851857</v>
      </c>
      <c r="G1578" t="s">
        <v>1373</v>
      </c>
      <c r="H1578" t="s">
        <v>1374</v>
      </c>
    </row>
    <row r="1579" spans="1:8">
      <c r="A1579">
        <v>13688839</v>
      </c>
      <c r="B1579" t="s">
        <v>1275</v>
      </c>
      <c r="C1579" t="s">
        <v>1274</v>
      </c>
      <c r="D1579" t="s">
        <v>532</v>
      </c>
      <c r="E1579" t="s">
        <v>1376</v>
      </c>
      <c r="F1579" s="134">
        <v>0.60858796296296302</v>
      </c>
      <c r="G1579" t="s">
        <v>1371</v>
      </c>
      <c r="H1579" t="s">
        <v>1372</v>
      </c>
    </row>
    <row r="1580" spans="1:8">
      <c r="A1580">
        <v>13688839</v>
      </c>
      <c r="B1580" t="s">
        <v>1275</v>
      </c>
      <c r="C1580" t="s">
        <v>1274</v>
      </c>
      <c r="D1580" t="s">
        <v>532</v>
      </c>
      <c r="E1580" t="s">
        <v>1377</v>
      </c>
      <c r="F1580" s="134">
        <v>0.60559027777777774</v>
      </c>
      <c r="G1580" t="s">
        <v>1371</v>
      </c>
      <c r="H1580" t="s">
        <v>1372</v>
      </c>
    </row>
    <row r="1581" spans="1:8">
      <c r="A1581">
        <v>13688839</v>
      </c>
      <c r="B1581" t="s">
        <v>1275</v>
      </c>
      <c r="C1581" t="s">
        <v>1274</v>
      </c>
      <c r="D1581" t="s">
        <v>532</v>
      </c>
      <c r="E1581" t="s">
        <v>1377</v>
      </c>
      <c r="F1581" s="134">
        <v>0.94717592592592592</v>
      </c>
      <c r="G1581" t="s">
        <v>1373</v>
      </c>
      <c r="H1581" t="s">
        <v>1374</v>
      </c>
    </row>
    <row r="1582" spans="1:8">
      <c r="A1582">
        <v>13688839</v>
      </c>
      <c r="B1582" t="s">
        <v>1275</v>
      </c>
      <c r="C1582" t="s">
        <v>1274</v>
      </c>
      <c r="D1582" t="s">
        <v>532</v>
      </c>
      <c r="E1582" t="s">
        <v>1378</v>
      </c>
      <c r="F1582" s="134">
        <v>0.60812500000000003</v>
      </c>
      <c r="G1582" t="s">
        <v>1371</v>
      </c>
      <c r="H1582" t="s">
        <v>1372</v>
      </c>
    </row>
    <row r="1583" spans="1:8">
      <c r="A1583">
        <v>13688839</v>
      </c>
      <c r="B1583" t="s">
        <v>1275</v>
      </c>
      <c r="C1583" t="s">
        <v>1274</v>
      </c>
      <c r="D1583" t="s">
        <v>532</v>
      </c>
      <c r="E1583" t="s">
        <v>1378</v>
      </c>
      <c r="F1583" s="134">
        <v>0.94896990740740739</v>
      </c>
      <c r="G1583" t="s">
        <v>1373</v>
      </c>
      <c r="H1583" t="s">
        <v>1374</v>
      </c>
    </row>
    <row r="1584" spans="1:8">
      <c r="A1584">
        <v>13688839</v>
      </c>
      <c r="B1584" t="s">
        <v>1275</v>
      </c>
      <c r="C1584" t="s">
        <v>1274</v>
      </c>
      <c r="D1584" t="s">
        <v>532</v>
      </c>
      <c r="E1584" t="s">
        <v>1379</v>
      </c>
      <c r="F1584" s="134">
        <v>0.6012615740740741</v>
      </c>
      <c r="G1584" t="s">
        <v>1371</v>
      </c>
      <c r="H1584" t="s">
        <v>1372</v>
      </c>
    </row>
    <row r="1585" spans="1:8">
      <c r="A1585">
        <v>13688839</v>
      </c>
      <c r="B1585" t="s">
        <v>1275</v>
      </c>
      <c r="C1585" t="s">
        <v>1274</v>
      </c>
      <c r="D1585" t="s">
        <v>532</v>
      </c>
      <c r="E1585" t="s">
        <v>1379</v>
      </c>
      <c r="F1585" s="134">
        <v>0.94803240740740735</v>
      </c>
      <c r="G1585" t="s">
        <v>1373</v>
      </c>
      <c r="H1585" t="s">
        <v>1374</v>
      </c>
    </row>
    <row r="1586" spans="1:8">
      <c r="A1586">
        <v>13700526</v>
      </c>
      <c r="B1586" t="s">
        <v>665</v>
      </c>
      <c r="C1586" t="s">
        <v>664</v>
      </c>
      <c r="D1586" t="s">
        <v>587</v>
      </c>
      <c r="E1586" t="s">
        <v>1370</v>
      </c>
      <c r="F1586" s="134">
        <v>0.91895833333333332</v>
      </c>
      <c r="G1586" t="s">
        <v>1371</v>
      </c>
      <c r="H1586" t="s">
        <v>1372</v>
      </c>
    </row>
    <row r="1587" spans="1:8">
      <c r="A1587">
        <v>13700526</v>
      </c>
      <c r="B1587" t="s">
        <v>665</v>
      </c>
      <c r="C1587" t="s">
        <v>664</v>
      </c>
      <c r="D1587" t="s">
        <v>587</v>
      </c>
      <c r="E1587" t="s">
        <v>1375</v>
      </c>
      <c r="F1587" s="134">
        <v>0.32069444444444445</v>
      </c>
      <c r="G1587" t="s">
        <v>1373</v>
      </c>
      <c r="H1587" t="s">
        <v>1374</v>
      </c>
    </row>
    <row r="1588" spans="1:8">
      <c r="A1588">
        <v>13700526</v>
      </c>
      <c r="B1588" t="s">
        <v>665</v>
      </c>
      <c r="C1588" t="s">
        <v>664</v>
      </c>
      <c r="D1588" t="s">
        <v>587</v>
      </c>
      <c r="E1588" t="s">
        <v>1375</v>
      </c>
      <c r="F1588" s="134">
        <v>0.91983796296296294</v>
      </c>
      <c r="G1588" t="s">
        <v>1371</v>
      </c>
      <c r="H1588" t="s">
        <v>1372</v>
      </c>
    </row>
    <row r="1589" spans="1:8">
      <c r="A1589">
        <v>13700526</v>
      </c>
      <c r="B1589" t="s">
        <v>665</v>
      </c>
      <c r="C1589" t="s">
        <v>664</v>
      </c>
      <c r="D1589" t="s">
        <v>587</v>
      </c>
      <c r="E1589" t="s">
        <v>1376</v>
      </c>
      <c r="F1589" s="134">
        <v>0.32679398148148148</v>
      </c>
      <c r="G1589" t="s">
        <v>1373</v>
      </c>
      <c r="H1589" t="s">
        <v>1374</v>
      </c>
    </row>
    <row r="1590" spans="1:8">
      <c r="A1590">
        <v>13700526</v>
      </c>
      <c r="B1590" t="s">
        <v>665</v>
      </c>
      <c r="C1590" t="s">
        <v>664</v>
      </c>
      <c r="D1590" t="s">
        <v>587</v>
      </c>
      <c r="E1590" t="s">
        <v>1376</v>
      </c>
      <c r="F1590" s="134">
        <v>0.92011574074074076</v>
      </c>
      <c r="G1590" t="s">
        <v>1371</v>
      </c>
      <c r="H1590" t="s">
        <v>1372</v>
      </c>
    </row>
    <row r="1591" spans="1:8">
      <c r="A1591">
        <v>13700526</v>
      </c>
      <c r="B1591" t="s">
        <v>665</v>
      </c>
      <c r="C1591" t="s">
        <v>664</v>
      </c>
      <c r="D1591" t="s">
        <v>587</v>
      </c>
      <c r="E1591" t="s">
        <v>1377</v>
      </c>
      <c r="F1591" s="134">
        <v>0.32474537037037038</v>
      </c>
      <c r="G1591" t="s">
        <v>1373</v>
      </c>
      <c r="H1591" t="s">
        <v>1374</v>
      </c>
    </row>
    <row r="1592" spans="1:8">
      <c r="A1592">
        <v>13700526</v>
      </c>
      <c r="B1592" t="s">
        <v>665</v>
      </c>
      <c r="C1592" t="s">
        <v>664</v>
      </c>
      <c r="D1592" t="s">
        <v>587</v>
      </c>
      <c r="E1592" t="s">
        <v>1377</v>
      </c>
      <c r="F1592" s="134">
        <v>0.92021990740740733</v>
      </c>
      <c r="G1592" t="s">
        <v>1371</v>
      </c>
      <c r="H1592" t="s">
        <v>1372</v>
      </c>
    </row>
    <row r="1593" spans="1:8">
      <c r="A1593">
        <v>13700526</v>
      </c>
      <c r="B1593" t="s">
        <v>665</v>
      </c>
      <c r="C1593" t="s">
        <v>664</v>
      </c>
      <c r="D1593" t="s">
        <v>587</v>
      </c>
      <c r="E1593" t="s">
        <v>1378</v>
      </c>
      <c r="F1593" s="134">
        <v>0.32677083333333334</v>
      </c>
      <c r="G1593" t="s">
        <v>1373</v>
      </c>
      <c r="H1593" t="s">
        <v>1374</v>
      </c>
    </row>
    <row r="1594" spans="1:8">
      <c r="A1594">
        <v>13700526</v>
      </c>
      <c r="B1594" t="s">
        <v>665</v>
      </c>
      <c r="C1594" t="s">
        <v>664</v>
      </c>
      <c r="D1594" t="s">
        <v>587</v>
      </c>
      <c r="E1594" t="s">
        <v>1378</v>
      </c>
      <c r="F1594" s="134">
        <v>0.91995370370370377</v>
      </c>
      <c r="G1594" t="s">
        <v>1371</v>
      </c>
      <c r="H1594" t="s">
        <v>1372</v>
      </c>
    </row>
    <row r="1595" spans="1:8">
      <c r="A1595">
        <v>13700526</v>
      </c>
      <c r="B1595" t="s">
        <v>665</v>
      </c>
      <c r="C1595" t="s">
        <v>664</v>
      </c>
      <c r="D1595" t="s">
        <v>587</v>
      </c>
      <c r="E1595" t="s">
        <v>1379</v>
      </c>
      <c r="F1595" s="134">
        <v>0.32459490740740743</v>
      </c>
      <c r="G1595" t="s">
        <v>1373</v>
      </c>
      <c r="H1595" t="s">
        <v>1374</v>
      </c>
    </row>
    <row r="1596" spans="1:8">
      <c r="A1596">
        <v>13701209</v>
      </c>
      <c r="B1596" t="s">
        <v>1010</v>
      </c>
      <c r="C1596" t="s">
        <v>1005</v>
      </c>
      <c r="D1596" t="s">
        <v>736</v>
      </c>
      <c r="E1596" t="s">
        <v>1370</v>
      </c>
      <c r="F1596" s="134">
        <v>0.29450231481481481</v>
      </c>
      <c r="G1596" t="s">
        <v>1371</v>
      </c>
      <c r="H1596" t="s">
        <v>1372</v>
      </c>
    </row>
    <row r="1597" spans="1:8">
      <c r="A1597">
        <v>13701209</v>
      </c>
      <c r="B1597" t="s">
        <v>1010</v>
      </c>
      <c r="C1597" t="s">
        <v>1005</v>
      </c>
      <c r="D1597" t="s">
        <v>736</v>
      </c>
      <c r="E1597" t="s">
        <v>1370</v>
      </c>
      <c r="F1597" s="134">
        <v>0.6352430555555556</v>
      </c>
      <c r="G1597" t="s">
        <v>1373</v>
      </c>
      <c r="H1597" t="s">
        <v>1374</v>
      </c>
    </row>
    <row r="1598" spans="1:8">
      <c r="A1598">
        <v>13701209</v>
      </c>
      <c r="B1598" t="s">
        <v>1010</v>
      </c>
      <c r="C1598" t="s">
        <v>1005</v>
      </c>
      <c r="D1598" t="s">
        <v>736</v>
      </c>
      <c r="E1598" t="s">
        <v>1375</v>
      </c>
      <c r="F1598" s="134">
        <v>0.61162037037037031</v>
      </c>
      <c r="G1598" t="s">
        <v>1371</v>
      </c>
      <c r="H1598" t="s">
        <v>1372</v>
      </c>
    </row>
    <row r="1599" spans="1:8">
      <c r="A1599">
        <v>13701209</v>
      </c>
      <c r="B1599" t="s">
        <v>1010</v>
      </c>
      <c r="C1599" t="s">
        <v>1005</v>
      </c>
      <c r="D1599" t="s">
        <v>736</v>
      </c>
      <c r="E1599" t="s">
        <v>1375</v>
      </c>
      <c r="F1599" s="134">
        <v>0.94686342592592598</v>
      </c>
      <c r="G1599" t="s">
        <v>1373</v>
      </c>
      <c r="H1599" t="s">
        <v>1374</v>
      </c>
    </row>
    <row r="1600" spans="1:8">
      <c r="A1600">
        <v>13701209</v>
      </c>
      <c r="B1600" t="s">
        <v>1010</v>
      </c>
      <c r="C1600" t="s">
        <v>1005</v>
      </c>
      <c r="D1600" t="s">
        <v>736</v>
      </c>
      <c r="E1600" t="s">
        <v>1376</v>
      </c>
      <c r="F1600" s="134">
        <v>0.63158564814814822</v>
      </c>
      <c r="G1600" t="s">
        <v>1373</v>
      </c>
      <c r="H1600" t="s">
        <v>1374</v>
      </c>
    </row>
    <row r="1601" spans="1:8">
      <c r="A1601">
        <v>13701209</v>
      </c>
      <c r="B1601" t="s">
        <v>1010</v>
      </c>
      <c r="C1601" t="s">
        <v>1005</v>
      </c>
      <c r="D1601" t="s">
        <v>736</v>
      </c>
      <c r="E1601" t="s">
        <v>1376</v>
      </c>
      <c r="F1601" s="134">
        <v>0.29503472222222221</v>
      </c>
      <c r="G1601" t="s">
        <v>1371</v>
      </c>
      <c r="H1601" t="s">
        <v>1372</v>
      </c>
    </row>
    <row r="1602" spans="1:8">
      <c r="A1602">
        <v>13701209</v>
      </c>
      <c r="B1602" t="s">
        <v>1010</v>
      </c>
      <c r="C1602" t="s">
        <v>1005</v>
      </c>
      <c r="D1602" t="s">
        <v>736</v>
      </c>
      <c r="E1602" t="s">
        <v>1377</v>
      </c>
      <c r="F1602" s="134">
        <v>0.29474537037037035</v>
      </c>
      <c r="G1602" t="s">
        <v>1371</v>
      </c>
      <c r="H1602" t="s">
        <v>1372</v>
      </c>
    </row>
    <row r="1603" spans="1:8">
      <c r="A1603">
        <v>13701209</v>
      </c>
      <c r="B1603" t="s">
        <v>1010</v>
      </c>
      <c r="C1603" t="s">
        <v>1005</v>
      </c>
      <c r="D1603" t="s">
        <v>736</v>
      </c>
      <c r="E1603" t="s">
        <v>1377</v>
      </c>
      <c r="F1603" s="134">
        <v>0.63587962962962963</v>
      </c>
      <c r="G1603" t="s">
        <v>1373</v>
      </c>
      <c r="H1603" t="s">
        <v>1374</v>
      </c>
    </row>
    <row r="1604" spans="1:8">
      <c r="A1604">
        <v>13701209</v>
      </c>
      <c r="B1604" t="s">
        <v>1010</v>
      </c>
      <c r="C1604" t="s">
        <v>1005</v>
      </c>
      <c r="D1604" t="s">
        <v>736</v>
      </c>
      <c r="E1604" t="s">
        <v>1378</v>
      </c>
      <c r="F1604" s="134">
        <v>0.29405092592592591</v>
      </c>
      <c r="G1604" t="s">
        <v>1371</v>
      </c>
      <c r="H1604" t="s">
        <v>1372</v>
      </c>
    </row>
    <row r="1605" spans="1:8">
      <c r="A1605">
        <v>13701209</v>
      </c>
      <c r="B1605" t="s">
        <v>1010</v>
      </c>
      <c r="C1605" t="s">
        <v>1005</v>
      </c>
      <c r="D1605" t="s">
        <v>736</v>
      </c>
      <c r="E1605" t="s">
        <v>1378</v>
      </c>
      <c r="F1605" s="134">
        <v>0.63364583333333335</v>
      </c>
      <c r="G1605" t="s">
        <v>1373</v>
      </c>
      <c r="H1605" t="s">
        <v>1374</v>
      </c>
    </row>
    <row r="1606" spans="1:8">
      <c r="A1606">
        <v>13701209</v>
      </c>
      <c r="B1606" t="s">
        <v>1010</v>
      </c>
      <c r="C1606" t="s">
        <v>1005</v>
      </c>
      <c r="D1606" t="s">
        <v>736</v>
      </c>
      <c r="E1606" t="s">
        <v>1379</v>
      </c>
      <c r="F1606" s="134">
        <v>0.29369212962962959</v>
      </c>
      <c r="G1606" t="s">
        <v>1371</v>
      </c>
      <c r="H1606" t="s">
        <v>1372</v>
      </c>
    </row>
    <row r="1607" spans="1:8">
      <c r="A1607">
        <v>13701209</v>
      </c>
      <c r="B1607" t="s">
        <v>1010</v>
      </c>
      <c r="C1607" t="s">
        <v>1005</v>
      </c>
      <c r="D1607" t="s">
        <v>736</v>
      </c>
      <c r="E1607" t="s">
        <v>1379</v>
      </c>
      <c r="F1607" s="134">
        <v>0.63244212962962965</v>
      </c>
      <c r="G1607" t="s">
        <v>1373</v>
      </c>
      <c r="H1607" t="s">
        <v>1374</v>
      </c>
    </row>
    <row r="1608" spans="1:8">
      <c r="A1608">
        <v>13769935</v>
      </c>
      <c r="B1608" t="s">
        <v>564</v>
      </c>
      <c r="C1608" t="s">
        <v>563</v>
      </c>
      <c r="D1608" t="s">
        <v>147</v>
      </c>
      <c r="E1608" t="s">
        <v>1370</v>
      </c>
      <c r="F1608" s="134">
        <v>0.34131944444444445</v>
      </c>
      <c r="G1608" t="s">
        <v>1371</v>
      </c>
      <c r="H1608" t="s">
        <v>1372</v>
      </c>
    </row>
    <row r="1609" spans="1:8">
      <c r="A1609">
        <v>13769935</v>
      </c>
      <c r="B1609" t="s">
        <v>564</v>
      </c>
      <c r="C1609" t="s">
        <v>563</v>
      </c>
      <c r="D1609" t="s">
        <v>147</v>
      </c>
      <c r="E1609" t="s">
        <v>1370</v>
      </c>
      <c r="F1609" s="134">
        <v>0.74465277777777772</v>
      </c>
      <c r="G1609" t="s">
        <v>1373</v>
      </c>
      <c r="H1609" t="s">
        <v>1374</v>
      </c>
    </row>
    <row r="1610" spans="1:8">
      <c r="A1610">
        <v>13769935</v>
      </c>
      <c r="B1610" t="s">
        <v>564</v>
      </c>
      <c r="C1610" t="s">
        <v>563</v>
      </c>
      <c r="D1610" t="s">
        <v>147</v>
      </c>
      <c r="E1610" t="s">
        <v>1375</v>
      </c>
      <c r="F1610" s="134">
        <v>0.37377314814814816</v>
      </c>
      <c r="G1610" t="s">
        <v>1371</v>
      </c>
      <c r="H1610" t="s">
        <v>1372</v>
      </c>
    </row>
    <row r="1611" spans="1:8">
      <c r="A1611">
        <v>13769935</v>
      </c>
      <c r="B1611" t="s">
        <v>564</v>
      </c>
      <c r="C1611" t="s">
        <v>563</v>
      </c>
      <c r="D1611" t="s">
        <v>147</v>
      </c>
      <c r="E1611" t="s">
        <v>1375</v>
      </c>
      <c r="F1611" s="134">
        <v>0.86288194444444455</v>
      </c>
      <c r="G1611" t="s">
        <v>1373</v>
      </c>
      <c r="H1611" t="s">
        <v>1374</v>
      </c>
    </row>
    <row r="1612" spans="1:8">
      <c r="A1612">
        <v>13769935</v>
      </c>
      <c r="B1612" t="s">
        <v>564</v>
      </c>
      <c r="C1612" t="s">
        <v>563</v>
      </c>
      <c r="D1612" t="s">
        <v>147</v>
      </c>
      <c r="E1612" t="s">
        <v>1376</v>
      </c>
      <c r="F1612" s="134">
        <v>0.35859953703703701</v>
      </c>
      <c r="G1612" t="s">
        <v>1371</v>
      </c>
      <c r="H1612" t="s">
        <v>1372</v>
      </c>
    </row>
    <row r="1613" spans="1:8">
      <c r="A1613">
        <v>13769935</v>
      </c>
      <c r="B1613" t="s">
        <v>564</v>
      </c>
      <c r="C1613" t="s">
        <v>563</v>
      </c>
      <c r="D1613" t="s">
        <v>147</v>
      </c>
      <c r="E1613" t="s">
        <v>1376</v>
      </c>
      <c r="F1613" s="134">
        <v>0.73130787037037026</v>
      </c>
      <c r="G1613" t="s">
        <v>1373</v>
      </c>
      <c r="H1613" t="s">
        <v>1374</v>
      </c>
    </row>
    <row r="1614" spans="1:8">
      <c r="A1614">
        <v>13769935</v>
      </c>
      <c r="B1614" t="s">
        <v>564</v>
      </c>
      <c r="C1614" t="s">
        <v>563</v>
      </c>
      <c r="D1614" t="s">
        <v>147</v>
      </c>
      <c r="E1614" t="s">
        <v>1377</v>
      </c>
      <c r="F1614" s="134">
        <v>0.35752314814814817</v>
      </c>
      <c r="G1614" t="s">
        <v>1371</v>
      </c>
      <c r="H1614" t="s">
        <v>1372</v>
      </c>
    </row>
    <row r="1615" spans="1:8">
      <c r="A1615">
        <v>13769935</v>
      </c>
      <c r="B1615" t="s">
        <v>564</v>
      </c>
      <c r="C1615" t="s">
        <v>563</v>
      </c>
      <c r="D1615" t="s">
        <v>147</v>
      </c>
      <c r="E1615" t="s">
        <v>1377</v>
      </c>
      <c r="F1615" s="134">
        <v>0.79502314814814812</v>
      </c>
      <c r="G1615" t="s">
        <v>1373</v>
      </c>
      <c r="H1615" t="s">
        <v>1374</v>
      </c>
    </row>
    <row r="1616" spans="1:8">
      <c r="A1616">
        <v>13834251</v>
      </c>
      <c r="B1616" t="s">
        <v>651</v>
      </c>
      <c r="C1616" t="s">
        <v>324</v>
      </c>
      <c r="D1616" t="s">
        <v>296</v>
      </c>
      <c r="E1616" t="s">
        <v>1370</v>
      </c>
      <c r="F1616" s="134">
        <v>0.33875000000000005</v>
      </c>
      <c r="G1616" t="s">
        <v>1371</v>
      </c>
      <c r="H1616" t="s">
        <v>1372</v>
      </c>
    </row>
    <row r="1617" spans="1:8">
      <c r="A1617">
        <v>13834251</v>
      </c>
      <c r="B1617" t="s">
        <v>651</v>
      </c>
      <c r="C1617" t="s">
        <v>324</v>
      </c>
      <c r="D1617" t="s">
        <v>296</v>
      </c>
      <c r="E1617" t="s">
        <v>1370</v>
      </c>
      <c r="F1617" s="134">
        <v>0.81349537037037034</v>
      </c>
      <c r="G1617" t="s">
        <v>1373</v>
      </c>
      <c r="H1617" t="s">
        <v>1374</v>
      </c>
    </row>
    <row r="1618" spans="1:8">
      <c r="A1618">
        <v>13834251</v>
      </c>
      <c r="B1618" t="s">
        <v>651</v>
      </c>
      <c r="C1618" t="s">
        <v>324</v>
      </c>
      <c r="D1618" t="s">
        <v>296</v>
      </c>
      <c r="E1618" t="s">
        <v>1375</v>
      </c>
      <c r="F1618" s="134">
        <v>0.32298611111111114</v>
      </c>
      <c r="G1618" t="s">
        <v>1371</v>
      </c>
      <c r="H1618" t="s">
        <v>1372</v>
      </c>
    </row>
    <row r="1619" spans="1:8">
      <c r="A1619">
        <v>13834251</v>
      </c>
      <c r="B1619" t="s">
        <v>651</v>
      </c>
      <c r="C1619" t="s">
        <v>324</v>
      </c>
      <c r="D1619" t="s">
        <v>296</v>
      </c>
      <c r="E1619" t="s">
        <v>1375</v>
      </c>
      <c r="F1619" s="134">
        <v>0.78160879629629632</v>
      </c>
      <c r="G1619" t="s">
        <v>1373</v>
      </c>
      <c r="H1619" t="s">
        <v>1374</v>
      </c>
    </row>
    <row r="1620" spans="1:8">
      <c r="A1620">
        <v>13834251</v>
      </c>
      <c r="B1620" t="s">
        <v>651</v>
      </c>
      <c r="C1620" t="s">
        <v>324</v>
      </c>
      <c r="D1620" t="s">
        <v>296</v>
      </c>
      <c r="E1620" t="s">
        <v>1376</v>
      </c>
      <c r="F1620" s="134">
        <v>0.79180555555555554</v>
      </c>
      <c r="G1620" t="s">
        <v>1373</v>
      </c>
      <c r="H1620" t="s">
        <v>1374</v>
      </c>
    </row>
    <row r="1621" spans="1:8">
      <c r="A1621">
        <v>13834251</v>
      </c>
      <c r="B1621" t="s">
        <v>651</v>
      </c>
      <c r="C1621" t="s">
        <v>324</v>
      </c>
      <c r="D1621" t="s">
        <v>296</v>
      </c>
      <c r="E1621" t="s">
        <v>1376</v>
      </c>
      <c r="F1621" s="134">
        <v>0.32223379629629628</v>
      </c>
      <c r="G1621" t="s">
        <v>1371</v>
      </c>
      <c r="H1621" t="s">
        <v>1372</v>
      </c>
    </row>
    <row r="1622" spans="1:8">
      <c r="A1622">
        <v>13834251</v>
      </c>
      <c r="B1622" t="s">
        <v>651</v>
      </c>
      <c r="C1622" t="s">
        <v>324</v>
      </c>
      <c r="D1622" t="s">
        <v>296</v>
      </c>
      <c r="E1622" t="s">
        <v>1377</v>
      </c>
      <c r="F1622" s="134">
        <v>0.31327546296296299</v>
      </c>
      <c r="G1622" t="s">
        <v>1371</v>
      </c>
      <c r="H1622" t="s">
        <v>1372</v>
      </c>
    </row>
    <row r="1623" spans="1:8">
      <c r="A1623">
        <v>13834251</v>
      </c>
      <c r="B1623" t="s">
        <v>651</v>
      </c>
      <c r="C1623" t="s">
        <v>324</v>
      </c>
      <c r="D1623" t="s">
        <v>296</v>
      </c>
      <c r="E1623" t="s">
        <v>1377</v>
      </c>
      <c r="F1623" s="134">
        <v>0.78420138888888891</v>
      </c>
      <c r="G1623" t="s">
        <v>1373</v>
      </c>
      <c r="H1623" t="s">
        <v>1374</v>
      </c>
    </row>
    <row r="1624" spans="1:8">
      <c r="A1624">
        <v>13834251</v>
      </c>
      <c r="B1624" t="s">
        <v>651</v>
      </c>
      <c r="C1624" t="s">
        <v>324</v>
      </c>
      <c r="D1624" t="s">
        <v>296</v>
      </c>
      <c r="E1624" t="s">
        <v>1378</v>
      </c>
      <c r="F1624" s="134">
        <v>0.31402777777777779</v>
      </c>
      <c r="G1624" t="s">
        <v>1371</v>
      </c>
      <c r="H1624" t="s">
        <v>1372</v>
      </c>
    </row>
    <row r="1625" spans="1:8">
      <c r="A1625">
        <v>13834251</v>
      </c>
      <c r="B1625" t="s">
        <v>651</v>
      </c>
      <c r="C1625" t="s">
        <v>324</v>
      </c>
      <c r="D1625" t="s">
        <v>296</v>
      </c>
      <c r="E1625" t="s">
        <v>1378</v>
      </c>
      <c r="F1625" s="134">
        <v>0.77505787037037033</v>
      </c>
      <c r="G1625" t="s">
        <v>1373</v>
      </c>
      <c r="H1625" t="s">
        <v>1374</v>
      </c>
    </row>
    <row r="1626" spans="1:8">
      <c r="A1626">
        <v>13834251</v>
      </c>
      <c r="B1626" t="s">
        <v>651</v>
      </c>
      <c r="C1626" t="s">
        <v>324</v>
      </c>
      <c r="D1626" t="s">
        <v>296</v>
      </c>
      <c r="E1626" t="s">
        <v>1379</v>
      </c>
      <c r="F1626" s="134">
        <v>0.29340277777777779</v>
      </c>
      <c r="G1626" t="s">
        <v>1371</v>
      </c>
      <c r="H1626" t="s">
        <v>1372</v>
      </c>
    </row>
    <row r="1627" spans="1:8">
      <c r="A1627">
        <v>13834251</v>
      </c>
      <c r="B1627" t="s">
        <v>651</v>
      </c>
      <c r="C1627" t="s">
        <v>324</v>
      </c>
      <c r="D1627" t="s">
        <v>296</v>
      </c>
      <c r="E1627" t="s">
        <v>1379</v>
      </c>
      <c r="F1627" s="134">
        <v>0.63548611111111108</v>
      </c>
      <c r="G1627" t="s">
        <v>1373</v>
      </c>
      <c r="H1627" t="s">
        <v>1374</v>
      </c>
    </row>
    <row r="1628" spans="1:8">
      <c r="A1628">
        <v>13835073</v>
      </c>
      <c r="B1628" t="s">
        <v>1224</v>
      </c>
      <c r="C1628" t="s">
        <v>1222</v>
      </c>
      <c r="D1628" t="s">
        <v>1223</v>
      </c>
      <c r="E1628" t="s">
        <v>1370</v>
      </c>
      <c r="F1628" s="134">
        <v>0.30658564814814815</v>
      </c>
      <c r="G1628" t="s">
        <v>1371</v>
      </c>
      <c r="H1628" t="s">
        <v>1372</v>
      </c>
    </row>
    <row r="1629" spans="1:8">
      <c r="A1629">
        <v>13835073</v>
      </c>
      <c r="B1629" t="s">
        <v>1224</v>
      </c>
      <c r="C1629" t="s">
        <v>1222</v>
      </c>
      <c r="D1629" t="s">
        <v>1223</v>
      </c>
      <c r="E1629" t="s">
        <v>1370</v>
      </c>
      <c r="F1629" s="134">
        <v>0.69687500000000002</v>
      </c>
      <c r="G1629" t="s">
        <v>1373</v>
      </c>
      <c r="H1629" t="s">
        <v>1374</v>
      </c>
    </row>
    <row r="1630" spans="1:8">
      <c r="A1630">
        <v>13835073</v>
      </c>
      <c r="B1630" t="s">
        <v>1224</v>
      </c>
      <c r="C1630" t="s">
        <v>1222</v>
      </c>
      <c r="D1630" t="s">
        <v>1223</v>
      </c>
      <c r="E1630" t="s">
        <v>1375</v>
      </c>
      <c r="F1630" s="134">
        <v>0.30224537037037036</v>
      </c>
      <c r="G1630" t="s">
        <v>1371</v>
      </c>
      <c r="H1630" t="s">
        <v>1372</v>
      </c>
    </row>
    <row r="1631" spans="1:8">
      <c r="A1631">
        <v>13835073</v>
      </c>
      <c r="B1631" t="s">
        <v>1224</v>
      </c>
      <c r="C1631" t="s">
        <v>1222</v>
      </c>
      <c r="D1631" t="s">
        <v>1223</v>
      </c>
      <c r="E1631" t="s">
        <v>1375</v>
      </c>
      <c r="F1631" s="134">
        <v>0.75254629629629621</v>
      </c>
      <c r="G1631" t="s">
        <v>1373</v>
      </c>
      <c r="H1631" t="s">
        <v>1374</v>
      </c>
    </row>
    <row r="1632" spans="1:8">
      <c r="A1632">
        <v>13835073</v>
      </c>
      <c r="B1632" t="s">
        <v>1224</v>
      </c>
      <c r="C1632" t="s">
        <v>1222</v>
      </c>
      <c r="D1632" t="s">
        <v>1223</v>
      </c>
      <c r="E1632" t="s">
        <v>1376</v>
      </c>
      <c r="F1632" s="134">
        <v>0.30957175925925923</v>
      </c>
      <c r="G1632" t="s">
        <v>1371</v>
      </c>
      <c r="H1632" t="s">
        <v>1372</v>
      </c>
    </row>
    <row r="1633" spans="1:8">
      <c r="A1633">
        <v>13835073</v>
      </c>
      <c r="B1633" t="s">
        <v>1224</v>
      </c>
      <c r="C1633" t="s">
        <v>1222</v>
      </c>
      <c r="D1633" t="s">
        <v>1223</v>
      </c>
      <c r="E1633" t="s">
        <v>1376</v>
      </c>
      <c r="F1633" s="134">
        <v>0.74614583333333329</v>
      </c>
      <c r="G1633" t="s">
        <v>1373</v>
      </c>
      <c r="H1633" t="s">
        <v>1374</v>
      </c>
    </row>
    <row r="1634" spans="1:8">
      <c r="A1634">
        <v>13835073</v>
      </c>
      <c r="B1634" t="s">
        <v>1224</v>
      </c>
      <c r="C1634" t="s">
        <v>1222</v>
      </c>
      <c r="D1634" t="s">
        <v>1223</v>
      </c>
      <c r="E1634" t="s">
        <v>1377</v>
      </c>
      <c r="F1634" s="134">
        <v>0.31241898148148145</v>
      </c>
      <c r="G1634" t="s">
        <v>1371</v>
      </c>
      <c r="H1634" t="s">
        <v>1372</v>
      </c>
    </row>
    <row r="1635" spans="1:8">
      <c r="A1635">
        <v>13835073</v>
      </c>
      <c r="B1635" t="s">
        <v>1224</v>
      </c>
      <c r="C1635" t="s">
        <v>1222</v>
      </c>
      <c r="D1635" t="s">
        <v>1223</v>
      </c>
      <c r="E1635" t="s">
        <v>1377</v>
      </c>
      <c r="F1635" s="134">
        <v>0.74862268518518515</v>
      </c>
      <c r="G1635" t="s">
        <v>1373</v>
      </c>
      <c r="H1635" t="s">
        <v>1374</v>
      </c>
    </row>
    <row r="1636" spans="1:8">
      <c r="A1636">
        <v>13835073</v>
      </c>
      <c r="B1636" t="s">
        <v>1224</v>
      </c>
      <c r="C1636" t="s">
        <v>1222</v>
      </c>
      <c r="D1636" t="s">
        <v>1223</v>
      </c>
      <c r="E1636" t="s">
        <v>1378</v>
      </c>
      <c r="F1636" s="134">
        <v>0.30797453703703703</v>
      </c>
      <c r="G1636" t="s">
        <v>1371</v>
      </c>
      <c r="H1636" t="s">
        <v>1372</v>
      </c>
    </row>
    <row r="1637" spans="1:8">
      <c r="A1637">
        <v>13835073</v>
      </c>
      <c r="B1637" t="s">
        <v>1224</v>
      </c>
      <c r="C1637" t="s">
        <v>1222</v>
      </c>
      <c r="D1637" t="s">
        <v>1223</v>
      </c>
      <c r="E1637" t="s">
        <v>1378</v>
      </c>
      <c r="F1637" s="134">
        <v>0.80319444444444443</v>
      </c>
      <c r="G1637" t="s">
        <v>1373</v>
      </c>
      <c r="H1637" t="s">
        <v>1374</v>
      </c>
    </row>
    <row r="1638" spans="1:8">
      <c r="A1638">
        <v>13835848</v>
      </c>
      <c r="B1638" t="s">
        <v>626</v>
      </c>
      <c r="C1638" t="s">
        <v>624</v>
      </c>
      <c r="D1638" t="s">
        <v>625</v>
      </c>
      <c r="E1638" t="s">
        <v>1370</v>
      </c>
      <c r="F1638" s="134">
        <v>0.91775462962962961</v>
      </c>
      <c r="G1638" t="s">
        <v>1371</v>
      </c>
      <c r="H1638" t="s">
        <v>1372</v>
      </c>
    </row>
    <row r="1639" spans="1:8">
      <c r="A1639">
        <v>13835848</v>
      </c>
      <c r="B1639" t="s">
        <v>626</v>
      </c>
      <c r="C1639" t="s">
        <v>624</v>
      </c>
      <c r="D1639" t="s">
        <v>625</v>
      </c>
      <c r="E1639" t="s">
        <v>1375</v>
      </c>
      <c r="F1639" s="134">
        <v>0.32401620370370371</v>
      </c>
      <c r="G1639" t="s">
        <v>1373</v>
      </c>
      <c r="H1639" t="s">
        <v>1374</v>
      </c>
    </row>
    <row r="1640" spans="1:8">
      <c r="A1640">
        <v>13835848</v>
      </c>
      <c r="B1640" t="s">
        <v>626</v>
      </c>
      <c r="C1640" t="s">
        <v>624</v>
      </c>
      <c r="D1640" t="s">
        <v>625</v>
      </c>
      <c r="E1640" t="s">
        <v>1375</v>
      </c>
      <c r="F1640" s="134">
        <v>0.91790509259259256</v>
      </c>
      <c r="G1640" t="s">
        <v>1371</v>
      </c>
      <c r="H1640" t="s">
        <v>1372</v>
      </c>
    </row>
    <row r="1641" spans="1:8">
      <c r="A1641">
        <v>13835848</v>
      </c>
      <c r="B1641" t="s">
        <v>626</v>
      </c>
      <c r="C1641" t="s">
        <v>624</v>
      </c>
      <c r="D1641" t="s">
        <v>625</v>
      </c>
      <c r="E1641" t="s">
        <v>1376</v>
      </c>
      <c r="F1641" s="134">
        <v>0.31975694444444441</v>
      </c>
      <c r="G1641" t="s">
        <v>1373</v>
      </c>
      <c r="H1641" t="s">
        <v>1374</v>
      </c>
    </row>
    <row r="1642" spans="1:8">
      <c r="A1642">
        <v>13835848</v>
      </c>
      <c r="B1642" t="s">
        <v>626</v>
      </c>
      <c r="C1642" t="s">
        <v>624</v>
      </c>
      <c r="D1642" t="s">
        <v>625</v>
      </c>
      <c r="E1642" t="s">
        <v>1376</v>
      </c>
      <c r="F1642" s="134">
        <v>0.93099537037037028</v>
      </c>
      <c r="G1642" t="s">
        <v>1371</v>
      </c>
      <c r="H1642" t="s">
        <v>1372</v>
      </c>
    </row>
    <row r="1643" spans="1:8">
      <c r="A1643">
        <v>13835848</v>
      </c>
      <c r="B1643" t="s">
        <v>626</v>
      </c>
      <c r="C1643" t="s">
        <v>624</v>
      </c>
      <c r="D1643" t="s">
        <v>625</v>
      </c>
      <c r="E1643" t="s">
        <v>1377</v>
      </c>
      <c r="F1643" s="134">
        <v>0.32244212962962965</v>
      </c>
      <c r="G1643" t="s">
        <v>1373</v>
      </c>
      <c r="H1643" t="s">
        <v>1374</v>
      </c>
    </row>
    <row r="1644" spans="1:8">
      <c r="A1644">
        <v>13835848</v>
      </c>
      <c r="B1644" t="s">
        <v>626</v>
      </c>
      <c r="C1644" t="s">
        <v>624</v>
      </c>
      <c r="D1644" t="s">
        <v>625</v>
      </c>
      <c r="E1644" t="s">
        <v>1377</v>
      </c>
      <c r="F1644" s="134">
        <v>0.93328703703703697</v>
      </c>
      <c r="G1644" t="s">
        <v>1371</v>
      </c>
      <c r="H1644" t="s">
        <v>1372</v>
      </c>
    </row>
    <row r="1645" spans="1:8">
      <c r="A1645">
        <v>13835848</v>
      </c>
      <c r="B1645" t="s">
        <v>626</v>
      </c>
      <c r="C1645" t="s">
        <v>624</v>
      </c>
      <c r="D1645" t="s">
        <v>625</v>
      </c>
      <c r="E1645" t="s">
        <v>1378</v>
      </c>
      <c r="F1645" s="134">
        <v>0.32246527777777778</v>
      </c>
      <c r="G1645" t="s">
        <v>1373</v>
      </c>
      <c r="H1645" t="s">
        <v>1374</v>
      </c>
    </row>
    <row r="1646" spans="1:8">
      <c r="A1646">
        <v>13835848</v>
      </c>
      <c r="B1646" t="s">
        <v>626</v>
      </c>
      <c r="C1646" t="s">
        <v>624</v>
      </c>
      <c r="D1646" t="s">
        <v>625</v>
      </c>
      <c r="E1646" t="s">
        <v>1378</v>
      </c>
      <c r="F1646" s="134">
        <v>0.91900462962962959</v>
      </c>
      <c r="G1646" t="s">
        <v>1371</v>
      </c>
      <c r="H1646" t="s">
        <v>1372</v>
      </c>
    </row>
    <row r="1647" spans="1:8">
      <c r="A1647">
        <v>13835848</v>
      </c>
      <c r="B1647" t="s">
        <v>626</v>
      </c>
      <c r="C1647" t="s">
        <v>624</v>
      </c>
      <c r="D1647" t="s">
        <v>625</v>
      </c>
      <c r="E1647" t="s">
        <v>1379</v>
      </c>
      <c r="F1647" s="134">
        <v>0.32490740740740742</v>
      </c>
      <c r="G1647" t="s">
        <v>1373</v>
      </c>
      <c r="H1647" t="s">
        <v>1374</v>
      </c>
    </row>
    <row r="1648" spans="1:8">
      <c r="A1648">
        <v>13835927</v>
      </c>
      <c r="B1648" t="s">
        <v>1129</v>
      </c>
      <c r="C1648" t="s">
        <v>1128</v>
      </c>
      <c r="D1648" t="s">
        <v>1036</v>
      </c>
      <c r="E1648" t="s">
        <v>1381</v>
      </c>
      <c r="F1648" s="134">
        <v>0</v>
      </c>
    </row>
    <row r="1649" spans="1:8">
      <c r="A1649">
        <v>13836182</v>
      </c>
      <c r="B1649" t="s">
        <v>1253</v>
      </c>
      <c r="C1649" t="s">
        <v>784</v>
      </c>
      <c r="D1649" t="s">
        <v>1252</v>
      </c>
      <c r="E1649" t="s">
        <v>1370</v>
      </c>
      <c r="F1649" s="134">
        <v>0.30414351851851851</v>
      </c>
      <c r="G1649" t="s">
        <v>1371</v>
      </c>
      <c r="H1649" t="s">
        <v>1372</v>
      </c>
    </row>
    <row r="1650" spans="1:8">
      <c r="A1650">
        <v>13836182</v>
      </c>
      <c r="B1650" t="s">
        <v>1253</v>
      </c>
      <c r="C1650" t="s">
        <v>784</v>
      </c>
      <c r="D1650" t="s">
        <v>1252</v>
      </c>
      <c r="E1650" t="s">
        <v>1370</v>
      </c>
      <c r="F1650" s="134">
        <v>0.63627314814814817</v>
      </c>
      <c r="G1650" t="s">
        <v>1373</v>
      </c>
      <c r="H1650" t="s">
        <v>1374</v>
      </c>
    </row>
    <row r="1651" spans="1:8">
      <c r="A1651">
        <v>13836182</v>
      </c>
      <c r="B1651" t="s">
        <v>1253</v>
      </c>
      <c r="C1651" t="s">
        <v>784</v>
      </c>
      <c r="D1651" t="s">
        <v>1252</v>
      </c>
      <c r="E1651" t="s">
        <v>1375</v>
      </c>
      <c r="F1651" s="134">
        <v>0.30740740740740741</v>
      </c>
      <c r="G1651" t="s">
        <v>1371</v>
      </c>
      <c r="H1651" t="s">
        <v>1372</v>
      </c>
    </row>
    <row r="1652" spans="1:8">
      <c r="A1652">
        <v>13836182</v>
      </c>
      <c r="B1652" t="s">
        <v>1253</v>
      </c>
      <c r="C1652" t="s">
        <v>784</v>
      </c>
      <c r="D1652" t="s">
        <v>1252</v>
      </c>
      <c r="E1652" t="s">
        <v>1375</v>
      </c>
      <c r="F1652" s="134">
        <v>0.64077546296296295</v>
      </c>
      <c r="G1652" t="s">
        <v>1373</v>
      </c>
      <c r="H1652" t="s">
        <v>1374</v>
      </c>
    </row>
    <row r="1653" spans="1:8">
      <c r="A1653">
        <v>13836182</v>
      </c>
      <c r="B1653" t="s">
        <v>1253</v>
      </c>
      <c r="C1653" t="s">
        <v>784</v>
      </c>
      <c r="D1653" t="s">
        <v>1252</v>
      </c>
      <c r="E1653" t="s">
        <v>1376</v>
      </c>
      <c r="F1653" s="134">
        <v>0.63936342592592588</v>
      </c>
      <c r="G1653" t="s">
        <v>1373</v>
      </c>
      <c r="H1653" t="s">
        <v>1374</v>
      </c>
    </row>
    <row r="1654" spans="1:8">
      <c r="A1654">
        <v>13836182</v>
      </c>
      <c r="B1654" t="s">
        <v>1253</v>
      </c>
      <c r="C1654" t="s">
        <v>784</v>
      </c>
      <c r="D1654" t="s">
        <v>1252</v>
      </c>
      <c r="E1654" t="s">
        <v>1376</v>
      </c>
      <c r="F1654" s="134">
        <v>0.31539351851851855</v>
      </c>
      <c r="G1654" t="s">
        <v>1371</v>
      </c>
      <c r="H1654" t="s">
        <v>1372</v>
      </c>
    </row>
    <row r="1655" spans="1:8">
      <c r="A1655">
        <v>13836182</v>
      </c>
      <c r="B1655" t="s">
        <v>1253</v>
      </c>
      <c r="C1655" t="s">
        <v>784</v>
      </c>
      <c r="D1655" t="s">
        <v>1252</v>
      </c>
      <c r="E1655" t="s">
        <v>1377</v>
      </c>
      <c r="F1655" s="134">
        <v>0.32018518518518518</v>
      </c>
      <c r="G1655" t="s">
        <v>1371</v>
      </c>
      <c r="H1655" t="s">
        <v>1372</v>
      </c>
    </row>
    <row r="1656" spans="1:8">
      <c r="A1656">
        <v>13836182</v>
      </c>
      <c r="B1656" t="s">
        <v>1253</v>
      </c>
      <c r="C1656" t="s">
        <v>784</v>
      </c>
      <c r="D1656" t="s">
        <v>1252</v>
      </c>
      <c r="E1656" t="s">
        <v>1377</v>
      </c>
      <c r="F1656" s="134">
        <v>0.63736111111111116</v>
      </c>
      <c r="G1656" t="s">
        <v>1373</v>
      </c>
      <c r="H1656" t="s">
        <v>1374</v>
      </c>
    </row>
    <row r="1657" spans="1:8">
      <c r="A1657">
        <v>13836182</v>
      </c>
      <c r="B1657" t="s">
        <v>1253</v>
      </c>
      <c r="C1657" t="s">
        <v>784</v>
      </c>
      <c r="D1657" t="s">
        <v>1252</v>
      </c>
      <c r="E1657" t="s">
        <v>1378</v>
      </c>
      <c r="F1657" s="134">
        <v>0.29956018518518518</v>
      </c>
      <c r="G1657" t="s">
        <v>1371</v>
      </c>
      <c r="H1657" t="s">
        <v>1372</v>
      </c>
    </row>
    <row r="1658" spans="1:8">
      <c r="A1658">
        <v>13836182</v>
      </c>
      <c r="B1658" t="s">
        <v>1253</v>
      </c>
      <c r="C1658" t="s">
        <v>784</v>
      </c>
      <c r="D1658" t="s">
        <v>1252</v>
      </c>
      <c r="E1658" t="s">
        <v>1378</v>
      </c>
      <c r="F1658" s="134">
        <v>0.63894675925925926</v>
      </c>
      <c r="G1658" t="s">
        <v>1373</v>
      </c>
      <c r="H1658" t="s">
        <v>1374</v>
      </c>
    </row>
    <row r="1659" spans="1:8">
      <c r="A1659">
        <v>13836182</v>
      </c>
      <c r="B1659" t="s">
        <v>1253</v>
      </c>
      <c r="C1659" t="s">
        <v>784</v>
      </c>
      <c r="D1659" t="s">
        <v>1252</v>
      </c>
      <c r="E1659" t="s">
        <v>1379</v>
      </c>
      <c r="F1659" s="134">
        <v>0.29964120370370367</v>
      </c>
      <c r="G1659" t="s">
        <v>1371</v>
      </c>
      <c r="H1659" t="s">
        <v>1372</v>
      </c>
    </row>
    <row r="1660" spans="1:8">
      <c r="A1660">
        <v>13836182</v>
      </c>
      <c r="B1660" t="s">
        <v>1253</v>
      </c>
      <c r="C1660" t="s">
        <v>784</v>
      </c>
      <c r="D1660" t="s">
        <v>1252</v>
      </c>
      <c r="E1660" t="s">
        <v>1379</v>
      </c>
      <c r="F1660" s="134">
        <v>0.63853009259259264</v>
      </c>
      <c r="G1660" t="s">
        <v>1373</v>
      </c>
      <c r="H1660" t="s">
        <v>1374</v>
      </c>
    </row>
    <row r="1661" spans="1:8">
      <c r="A1661">
        <v>13838747</v>
      </c>
      <c r="B1661" t="s">
        <v>89</v>
      </c>
      <c r="C1661" t="s">
        <v>87</v>
      </c>
      <c r="D1661" t="s">
        <v>88</v>
      </c>
      <c r="E1661" t="s">
        <v>1370</v>
      </c>
      <c r="F1661" s="134">
        <v>0.29556712962962967</v>
      </c>
      <c r="G1661" t="s">
        <v>1371</v>
      </c>
      <c r="H1661" t="s">
        <v>1372</v>
      </c>
    </row>
    <row r="1662" spans="1:8">
      <c r="A1662">
        <v>13838747</v>
      </c>
      <c r="B1662" t="s">
        <v>89</v>
      </c>
      <c r="C1662" t="s">
        <v>87</v>
      </c>
      <c r="D1662" t="s">
        <v>88</v>
      </c>
      <c r="E1662" t="s">
        <v>1370</v>
      </c>
      <c r="F1662" s="134">
        <v>0.6370717592592593</v>
      </c>
      <c r="G1662" t="s">
        <v>1373</v>
      </c>
      <c r="H1662" t="s">
        <v>1374</v>
      </c>
    </row>
    <row r="1663" spans="1:8">
      <c r="A1663">
        <v>13838747</v>
      </c>
      <c r="B1663" t="s">
        <v>89</v>
      </c>
      <c r="C1663" t="s">
        <v>87</v>
      </c>
      <c r="D1663" t="s">
        <v>88</v>
      </c>
      <c r="E1663" t="s">
        <v>1375</v>
      </c>
      <c r="F1663" s="134">
        <v>0.29526620370370371</v>
      </c>
      <c r="G1663" t="s">
        <v>1371</v>
      </c>
      <c r="H1663" t="s">
        <v>1372</v>
      </c>
    </row>
    <row r="1664" spans="1:8">
      <c r="A1664">
        <v>13838747</v>
      </c>
      <c r="B1664" t="s">
        <v>89</v>
      </c>
      <c r="C1664" t="s">
        <v>87</v>
      </c>
      <c r="D1664" t="s">
        <v>88</v>
      </c>
      <c r="E1664" t="s">
        <v>1375</v>
      </c>
      <c r="F1664" s="134">
        <v>0.63796296296296295</v>
      </c>
      <c r="G1664" t="s">
        <v>1373</v>
      </c>
      <c r="H1664" t="s">
        <v>1374</v>
      </c>
    </row>
    <row r="1665" spans="1:8">
      <c r="A1665">
        <v>13838747</v>
      </c>
      <c r="B1665" t="s">
        <v>89</v>
      </c>
      <c r="C1665" t="s">
        <v>87</v>
      </c>
      <c r="D1665" t="s">
        <v>88</v>
      </c>
      <c r="E1665" t="s">
        <v>1376</v>
      </c>
      <c r="F1665" s="134">
        <v>0.29635416666666664</v>
      </c>
      <c r="G1665" t="s">
        <v>1371</v>
      </c>
      <c r="H1665" t="s">
        <v>1372</v>
      </c>
    </row>
    <row r="1666" spans="1:8">
      <c r="A1666">
        <v>13838747</v>
      </c>
      <c r="B1666" t="s">
        <v>89</v>
      </c>
      <c r="C1666" t="s">
        <v>87</v>
      </c>
      <c r="D1666" t="s">
        <v>88</v>
      </c>
      <c r="E1666" t="s">
        <v>1376</v>
      </c>
      <c r="F1666" s="134">
        <v>0.6375925925925926</v>
      </c>
      <c r="G1666" t="s">
        <v>1373</v>
      </c>
      <c r="H1666" t="s">
        <v>1374</v>
      </c>
    </row>
    <row r="1667" spans="1:8">
      <c r="A1667">
        <v>13838747</v>
      </c>
      <c r="B1667" t="s">
        <v>89</v>
      </c>
      <c r="C1667" t="s">
        <v>87</v>
      </c>
      <c r="D1667" t="s">
        <v>88</v>
      </c>
      <c r="E1667" t="s">
        <v>1377</v>
      </c>
      <c r="F1667" s="134">
        <v>0.63565972222222222</v>
      </c>
      <c r="G1667" t="s">
        <v>1373</v>
      </c>
      <c r="H1667" t="s">
        <v>1374</v>
      </c>
    </row>
    <row r="1668" spans="1:8">
      <c r="A1668">
        <v>13838747</v>
      </c>
      <c r="B1668" t="s">
        <v>89</v>
      </c>
      <c r="C1668" t="s">
        <v>87</v>
      </c>
      <c r="D1668" t="s">
        <v>88</v>
      </c>
      <c r="E1668" t="s">
        <v>1377</v>
      </c>
      <c r="F1668" s="134">
        <v>0.29620370370370369</v>
      </c>
      <c r="G1668" t="s">
        <v>1371</v>
      </c>
      <c r="H1668" t="s">
        <v>1372</v>
      </c>
    </row>
    <row r="1669" spans="1:8">
      <c r="A1669">
        <v>13838747</v>
      </c>
      <c r="B1669" t="s">
        <v>89</v>
      </c>
      <c r="C1669" t="s">
        <v>87</v>
      </c>
      <c r="D1669" t="s">
        <v>88</v>
      </c>
      <c r="E1669" t="s">
        <v>1378</v>
      </c>
      <c r="F1669" s="134">
        <v>0.29660879629629627</v>
      </c>
      <c r="G1669" t="s">
        <v>1371</v>
      </c>
      <c r="H1669" t="s">
        <v>1372</v>
      </c>
    </row>
    <row r="1670" spans="1:8">
      <c r="A1670">
        <v>13838747</v>
      </c>
      <c r="B1670" t="s">
        <v>89</v>
      </c>
      <c r="C1670" t="s">
        <v>87</v>
      </c>
      <c r="D1670" t="s">
        <v>88</v>
      </c>
      <c r="E1670" t="s">
        <v>1378</v>
      </c>
      <c r="F1670" s="134">
        <v>0.63827546296296289</v>
      </c>
      <c r="G1670" t="s">
        <v>1373</v>
      </c>
      <c r="H1670" t="s">
        <v>1374</v>
      </c>
    </row>
    <row r="1671" spans="1:8">
      <c r="A1671">
        <v>13838747</v>
      </c>
      <c r="B1671" t="s">
        <v>89</v>
      </c>
      <c r="C1671" t="s">
        <v>87</v>
      </c>
      <c r="D1671" t="s">
        <v>88</v>
      </c>
      <c r="E1671" t="s">
        <v>1379</v>
      </c>
      <c r="F1671" s="134">
        <v>0.6885648148148148</v>
      </c>
      <c r="G1671" t="s">
        <v>1371</v>
      </c>
      <c r="H1671" t="s">
        <v>1372</v>
      </c>
    </row>
    <row r="1672" spans="1:8">
      <c r="A1672">
        <v>13838747</v>
      </c>
      <c r="B1672" t="s">
        <v>89</v>
      </c>
      <c r="C1672" t="s">
        <v>87</v>
      </c>
      <c r="D1672" t="s">
        <v>88</v>
      </c>
      <c r="E1672" t="s">
        <v>1379</v>
      </c>
      <c r="F1672" s="134">
        <v>0.9445486111111111</v>
      </c>
      <c r="G1672" t="s">
        <v>1373</v>
      </c>
      <c r="H1672" t="s">
        <v>1374</v>
      </c>
    </row>
    <row r="1673" spans="1:8">
      <c r="A1673">
        <v>13839512</v>
      </c>
      <c r="B1673" t="s">
        <v>1070</v>
      </c>
      <c r="C1673" t="s">
        <v>1068</v>
      </c>
      <c r="D1673" t="s">
        <v>1069</v>
      </c>
      <c r="E1673" t="s">
        <v>1375</v>
      </c>
      <c r="F1673" s="134">
        <v>0.60678240740740741</v>
      </c>
      <c r="G1673" t="s">
        <v>1371</v>
      </c>
      <c r="H1673" t="s">
        <v>1372</v>
      </c>
    </row>
    <row r="1674" spans="1:8">
      <c r="A1674">
        <v>13839512</v>
      </c>
      <c r="B1674" t="s">
        <v>1070</v>
      </c>
      <c r="C1674" t="s">
        <v>1068</v>
      </c>
      <c r="D1674" t="s">
        <v>1069</v>
      </c>
      <c r="E1674" t="s">
        <v>1375</v>
      </c>
      <c r="F1674" s="134">
        <v>0.94846064814814823</v>
      </c>
      <c r="G1674" t="s">
        <v>1373</v>
      </c>
      <c r="H1674" t="s">
        <v>1374</v>
      </c>
    </row>
    <row r="1675" spans="1:8">
      <c r="A1675">
        <v>13839512</v>
      </c>
      <c r="B1675" t="s">
        <v>1070</v>
      </c>
      <c r="C1675" t="s">
        <v>1068</v>
      </c>
      <c r="D1675" t="s">
        <v>1069</v>
      </c>
      <c r="E1675" t="s">
        <v>1376</v>
      </c>
      <c r="F1675" s="134">
        <v>0.63761574074074068</v>
      </c>
      <c r="G1675" t="s">
        <v>1371</v>
      </c>
      <c r="H1675" t="s">
        <v>1372</v>
      </c>
    </row>
    <row r="1676" spans="1:8">
      <c r="A1676">
        <v>13839512</v>
      </c>
      <c r="B1676" t="s">
        <v>1070</v>
      </c>
      <c r="C1676" t="s">
        <v>1068</v>
      </c>
      <c r="D1676" t="s">
        <v>1069</v>
      </c>
      <c r="E1676" t="s">
        <v>1376</v>
      </c>
      <c r="F1676" s="134">
        <v>0.94849537037037035</v>
      </c>
      <c r="G1676" t="s">
        <v>1373</v>
      </c>
      <c r="H1676" t="s">
        <v>1374</v>
      </c>
    </row>
    <row r="1677" spans="1:8">
      <c r="A1677">
        <v>13839512</v>
      </c>
      <c r="B1677" t="s">
        <v>1070</v>
      </c>
      <c r="C1677" t="s">
        <v>1068</v>
      </c>
      <c r="D1677" t="s">
        <v>1069</v>
      </c>
      <c r="E1677" t="s">
        <v>1378</v>
      </c>
      <c r="F1677" s="134">
        <v>0.60712962962962969</v>
      </c>
      <c r="G1677" t="s">
        <v>1371</v>
      </c>
      <c r="H1677" t="s">
        <v>1372</v>
      </c>
    </row>
    <row r="1678" spans="1:8">
      <c r="A1678">
        <v>13839512</v>
      </c>
      <c r="B1678" t="s">
        <v>1070</v>
      </c>
      <c r="C1678" t="s">
        <v>1068</v>
      </c>
      <c r="D1678" t="s">
        <v>1069</v>
      </c>
      <c r="E1678" t="s">
        <v>1378</v>
      </c>
      <c r="F1678" s="134">
        <v>0.94777777777777772</v>
      </c>
      <c r="G1678" t="s">
        <v>1373</v>
      </c>
      <c r="H1678" t="s">
        <v>1374</v>
      </c>
    </row>
    <row r="1679" spans="1:8">
      <c r="A1679">
        <v>13839512</v>
      </c>
      <c r="B1679" t="s">
        <v>1070</v>
      </c>
      <c r="C1679" t="s">
        <v>1068</v>
      </c>
      <c r="D1679" t="s">
        <v>1069</v>
      </c>
      <c r="E1679" t="s">
        <v>1379</v>
      </c>
      <c r="F1679" s="134">
        <v>0.63527777777777772</v>
      </c>
      <c r="G1679" t="s">
        <v>1371</v>
      </c>
      <c r="H1679" t="s">
        <v>1372</v>
      </c>
    </row>
    <row r="1680" spans="1:8">
      <c r="A1680">
        <v>13839512</v>
      </c>
      <c r="B1680" t="s">
        <v>1070</v>
      </c>
      <c r="C1680" t="s">
        <v>1068</v>
      </c>
      <c r="D1680" t="s">
        <v>1069</v>
      </c>
      <c r="E1680" t="s">
        <v>1379</v>
      </c>
      <c r="F1680" s="134">
        <v>0.89693287037037039</v>
      </c>
      <c r="G1680" t="s">
        <v>1373</v>
      </c>
      <c r="H1680" t="s">
        <v>1374</v>
      </c>
    </row>
    <row r="1681" spans="1:8">
      <c r="A1681">
        <v>13897327</v>
      </c>
      <c r="B1681" t="s">
        <v>540</v>
      </c>
      <c r="C1681" t="s">
        <v>538</v>
      </c>
      <c r="D1681" t="s">
        <v>539</v>
      </c>
      <c r="E1681" t="s">
        <v>1370</v>
      </c>
      <c r="F1681" s="134">
        <v>0.91753472222222221</v>
      </c>
      <c r="G1681" t="s">
        <v>1371</v>
      </c>
      <c r="H1681" t="s">
        <v>1372</v>
      </c>
    </row>
    <row r="1682" spans="1:8">
      <c r="A1682">
        <v>13897327</v>
      </c>
      <c r="B1682" t="s">
        <v>540</v>
      </c>
      <c r="C1682" t="s">
        <v>538</v>
      </c>
      <c r="D1682" t="s">
        <v>539</v>
      </c>
      <c r="E1682" t="s">
        <v>1375</v>
      </c>
      <c r="F1682" s="134">
        <v>0.32037037037037036</v>
      </c>
      <c r="G1682" t="s">
        <v>1373</v>
      </c>
      <c r="H1682" t="s">
        <v>1374</v>
      </c>
    </row>
    <row r="1683" spans="1:8">
      <c r="A1683">
        <v>13897327</v>
      </c>
      <c r="B1683" t="s">
        <v>540</v>
      </c>
      <c r="C1683" t="s">
        <v>538</v>
      </c>
      <c r="D1683" t="s">
        <v>539</v>
      </c>
      <c r="E1683" t="s">
        <v>1375</v>
      </c>
      <c r="F1683" s="134">
        <v>0.91843750000000002</v>
      </c>
      <c r="G1683" t="s">
        <v>1371</v>
      </c>
      <c r="H1683" t="s">
        <v>1372</v>
      </c>
    </row>
    <row r="1684" spans="1:8">
      <c r="A1684">
        <v>13897327</v>
      </c>
      <c r="B1684" t="s">
        <v>540</v>
      </c>
      <c r="C1684" t="s">
        <v>538</v>
      </c>
      <c r="D1684" t="s">
        <v>539</v>
      </c>
      <c r="E1684" t="s">
        <v>1376</v>
      </c>
      <c r="F1684" s="134">
        <v>0.31793981481481481</v>
      </c>
      <c r="G1684" t="s">
        <v>1373</v>
      </c>
      <c r="H1684" t="s">
        <v>1374</v>
      </c>
    </row>
    <row r="1685" spans="1:8">
      <c r="A1685">
        <v>13897327</v>
      </c>
      <c r="B1685" t="s">
        <v>540</v>
      </c>
      <c r="C1685" t="s">
        <v>538</v>
      </c>
      <c r="D1685" t="s">
        <v>539</v>
      </c>
      <c r="E1685" t="s">
        <v>1376</v>
      </c>
      <c r="F1685" s="134">
        <v>0.91881944444444441</v>
      </c>
      <c r="G1685" t="s">
        <v>1371</v>
      </c>
      <c r="H1685" t="s">
        <v>1372</v>
      </c>
    </row>
    <row r="1686" spans="1:8">
      <c r="A1686">
        <v>13897327</v>
      </c>
      <c r="B1686" t="s">
        <v>540</v>
      </c>
      <c r="C1686" t="s">
        <v>538</v>
      </c>
      <c r="D1686" t="s">
        <v>539</v>
      </c>
      <c r="E1686" t="s">
        <v>1377</v>
      </c>
      <c r="F1686" s="134">
        <v>0.31972222222222224</v>
      </c>
      <c r="G1686" t="s">
        <v>1373</v>
      </c>
      <c r="H1686" t="s">
        <v>1374</v>
      </c>
    </row>
    <row r="1687" spans="1:8">
      <c r="A1687">
        <v>13897327</v>
      </c>
      <c r="B1687" t="s">
        <v>540</v>
      </c>
      <c r="C1687" t="s">
        <v>538</v>
      </c>
      <c r="D1687" t="s">
        <v>539</v>
      </c>
      <c r="E1687" t="s">
        <v>1377</v>
      </c>
      <c r="F1687" s="134">
        <v>0.92417824074074073</v>
      </c>
      <c r="G1687" t="s">
        <v>1371</v>
      </c>
      <c r="H1687" t="s">
        <v>1372</v>
      </c>
    </row>
    <row r="1688" spans="1:8">
      <c r="A1688">
        <v>13897327</v>
      </c>
      <c r="B1688" t="s">
        <v>540</v>
      </c>
      <c r="C1688" t="s">
        <v>538</v>
      </c>
      <c r="D1688" t="s">
        <v>539</v>
      </c>
      <c r="E1688" t="s">
        <v>1378</v>
      </c>
      <c r="F1688" s="134">
        <v>0.31700231481481483</v>
      </c>
      <c r="G1688" t="s">
        <v>1373</v>
      </c>
      <c r="H1688" t="s">
        <v>1374</v>
      </c>
    </row>
    <row r="1689" spans="1:8">
      <c r="A1689">
        <v>13897327</v>
      </c>
      <c r="B1689" t="s">
        <v>540</v>
      </c>
      <c r="C1689" t="s">
        <v>538</v>
      </c>
      <c r="D1689" t="s">
        <v>539</v>
      </c>
      <c r="E1689" t="s">
        <v>1378</v>
      </c>
      <c r="F1689" s="134">
        <v>0.91949074074074078</v>
      </c>
      <c r="G1689" t="s">
        <v>1371</v>
      </c>
      <c r="H1689" t="s">
        <v>1372</v>
      </c>
    </row>
    <row r="1690" spans="1:8">
      <c r="A1690">
        <v>13897327</v>
      </c>
      <c r="B1690" t="s">
        <v>540</v>
      </c>
      <c r="C1690" t="s">
        <v>538</v>
      </c>
      <c r="D1690" t="s">
        <v>539</v>
      </c>
      <c r="E1690" t="s">
        <v>1379</v>
      </c>
      <c r="F1690" s="134">
        <v>0.32045138888888891</v>
      </c>
      <c r="G1690" t="s">
        <v>1373</v>
      </c>
      <c r="H1690" t="s">
        <v>1374</v>
      </c>
    </row>
    <row r="1691" spans="1:8">
      <c r="A1691">
        <v>13899407</v>
      </c>
      <c r="B1691" t="s">
        <v>196</v>
      </c>
      <c r="C1691" t="s">
        <v>191</v>
      </c>
      <c r="D1691" t="s">
        <v>110</v>
      </c>
      <c r="E1691" t="s">
        <v>1370</v>
      </c>
      <c r="F1691" s="134">
        <v>0.29387731481481483</v>
      </c>
      <c r="G1691" t="s">
        <v>1371</v>
      </c>
      <c r="H1691" t="s">
        <v>1372</v>
      </c>
    </row>
    <row r="1692" spans="1:8">
      <c r="A1692">
        <v>13899407</v>
      </c>
      <c r="B1692" t="s">
        <v>196</v>
      </c>
      <c r="C1692" t="s">
        <v>191</v>
      </c>
      <c r="D1692" t="s">
        <v>110</v>
      </c>
      <c r="E1692" t="s">
        <v>1370</v>
      </c>
      <c r="F1692" s="134">
        <v>0.62664351851851852</v>
      </c>
      <c r="G1692" t="s">
        <v>1373</v>
      </c>
      <c r="H1692" t="s">
        <v>1374</v>
      </c>
    </row>
    <row r="1693" spans="1:8">
      <c r="A1693">
        <v>13899407</v>
      </c>
      <c r="B1693" t="s">
        <v>196</v>
      </c>
      <c r="C1693" t="s">
        <v>191</v>
      </c>
      <c r="D1693" t="s">
        <v>110</v>
      </c>
      <c r="E1693" t="s">
        <v>1375</v>
      </c>
      <c r="F1693" s="134">
        <v>0.32866898148148149</v>
      </c>
      <c r="G1693" t="s">
        <v>1371</v>
      </c>
      <c r="H1693" t="s">
        <v>1372</v>
      </c>
    </row>
    <row r="1694" spans="1:8">
      <c r="A1694">
        <v>13899407</v>
      </c>
      <c r="B1694" t="s">
        <v>196</v>
      </c>
      <c r="C1694" t="s">
        <v>191</v>
      </c>
      <c r="D1694" t="s">
        <v>110</v>
      </c>
      <c r="E1694" t="s">
        <v>1375</v>
      </c>
      <c r="F1694" s="134">
        <v>0.63069444444444445</v>
      </c>
      <c r="G1694" t="s">
        <v>1373</v>
      </c>
      <c r="H1694" t="s">
        <v>1374</v>
      </c>
    </row>
    <row r="1695" spans="1:8">
      <c r="A1695">
        <v>13899407</v>
      </c>
      <c r="B1695" t="s">
        <v>196</v>
      </c>
      <c r="C1695" t="s">
        <v>191</v>
      </c>
      <c r="D1695" t="s">
        <v>110</v>
      </c>
      <c r="E1695" t="s">
        <v>1376</v>
      </c>
      <c r="F1695" s="134">
        <v>0.72366898148148151</v>
      </c>
      <c r="G1695" t="s">
        <v>1373</v>
      </c>
      <c r="H1695" t="s">
        <v>1374</v>
      </c>
    </row>
    <row r="1696" spans="1:8">
      <c r="A1696">
        <v>13899407</v>
      </c>
      <c r="B1696" t="s">
        <v>196</v>
      </c>
      <c r="C1696" t="s">
        <v>191</v>
      </c>
      <c r="D1696" t="s">
        <v>110</v>
      </c>
      <c r="E1696" t="s">
        <v>1376</v>
      </c>
      <c r="F1696" s="134">
        <v>0.31192129629629628</v>
      </c>
      <c r="G1696" t="s">
        <v>1371</v>
      </c>
      <c r="H1696" t="s">
        <v>1372</v>
      </c>
    </row>
    <row r="1697" spans="1:8">
      <c r="A1697">
        <v>13899407</v>
      </c>
      <c r="B1697" t="s">
        <v>196</v>
      </c>
      <c r="C1697" t="s">
        <v>191</v>
      </c>
      <c r="D1697" t="s">
        <v>110</v>
      </c>
      <c r="E1697" t="s">
        <v>1377</v>
      </c>
      <c r="F1697" s="134">
        <v>0.32039351851851855</v>
      </c>
      <c r="G1697" t="s">
        <v>1371</v>
      </c>
      <c r="H1697" t="s">
        <v>1372</v>
      </c>
    </row>
    <row r="1698" spans="1:8">
      <c r="A1698">
        <v>13899407</v>
      </c>
      <c r="B1698" t="s">
        <v>196</v>
      </c>
      <c r="C1698" t="s">
        <v>191</v>
      </c>
      <c r="D1698" t="s">
        <v>110</v>
      </c>
      <c r="E1698" t="s">
        <v>1377</v>
      </c>
      <c r="F1698" s="134">
        <v>0.6286342592592592</v>
      </c>
      <c r="G1698" t="s">
        <v>1373</v>
      </c>
      <c r="H1698" t="s">
        <v>1374</v>
      </c>
    </row>
    <row r="1699" spans="1:8">
      <c r="A1699">
        <v>13899407</v>
      </c>
      <c r="B1699" t="s">
        <v>196</v>
      </c>
      <c r="C1699" t="s">
        <v>191</v>
      </c>
      <c r="D1699" t="s">
        <v>110</v>
      </c>
      <c r="E1699" t="s">
        <v>1378</v>
      </c>
      <c r="F1699" s="134">
        <v>0.3187962962962963</v>
      </c>
      <c r="G1699" t="s">
        <v>1371</v>
      </c>
      <c r="H1699" t="s">
        <v>1372</v>
      </c>
    </row>
    <row r="1700" spans="1:8">
      <c r="A1700">
        <v>13899407</v>
      </c>
      <c r="B1700" t="s">
        <v>196</v>
      </c>
      <c r="C1700" t="s">
        <v>191</v>
      </c>
      <c r="D1700" t="s">
        <v>110</v>
      </c>
      <c r="E1700" t="s">
        <v>1378</v>
      </c>
      <c r="F1700" s="134">
        <v>0.6240162037037037</v>
      </c>
      <c r="G1700" t="s">
        <v>1373</v>
      </c>
      <c r="H1700" t="s">
        <v>1374</v>
      </c>
    </row>
    <row r="1701" spans="1:8">
      <c r="A1701">
        <v>13899407</v>
      </c>
      <c r="B1701" t="s">
        <v>196</v>
      </c>
      <c r="C1701" t="s">
        <v>191</v>
      </c>
      <c r="D1701" t="s">
        <v>110</v>
      </c>
      <c r="E1701" t="s">
        <v>1379</v>
      </c>
      <c r="F1701" s="134">
        <v>0.31475694444444446</v>
      </c>
      <c r="G1701" t="s">
        <v>1371</v>
      </c>
      <c r="H1701" t="s">
        <v>1372</v>
      </c>
    </row>
    <row r="1702" spans="1:8">
      <c r="A1702">
        <v>13899407</v>
      </c>
      <c r="B1702" t="s">
        <v>196</v>
      </c>
      <c r="C1702" t="s">
        <v>191</v>
      </c>
      <c r="D1702" t="s">
        <v>110</v>
      </c>
      <c r="E1702" t="s">
        <v>1379</v>
      </c>
      <c r="F1702" s="134">
        <v>0.63018518518518518</v>
      </c>
      <c r="G1702" t="s">
        <v>1373</v>
      </c>
      <c r="H1702" t="s">
        <v>1374</v>
      </c>
    </row>
    <row r="1703" spans="1:8">
      <c r="A1703">
        <v>14005554</v>
      </c>
      <c r="B1703" t="s">
        <v>368</v>
      </c>
      <c r="C1703" t="s">
        <v>636</v>
      </c>
      <c r="D1703" t="s">
        <v>637</v>
      </c>
      <c r="E1703" t="s">
        <v>1370</v>
      </c>
      <c r="F1703" s="134">
        <v>0.60577546296296292</v>
      </c>
      <c r="G1703" t="s">
        <v>1371</v>
      </c>
      <c r="H1703" t="s">
        <v>1372</v>
      </c>
    </row>
    <row r="1704" spans="1:8">
      <c r="A1704">
        <v>14005554</v>
      </c>
      <c r="B1704" t="s">
        <v>368</v>
      </c>
      <c r="C1704" t="s">
        <v>636</v>
      </c>
      <c r="D1704" t="s">
        <v>637</v>
      </c>
      <c r="E1704" t="s">
        <v>1370</v>
      </c>
      <c r="F1704" s="134">
        <v>0.94844907407407408</v>
      </c>
      <c r="G1704" t="s">
        <v>1373</v>
      </c>
      <c r="H1704" t="s">
        <v>1374</v>
      </c>
    </row>
    <row r="1705" spans="1:8">
      <c r="A1705">
        <v>14005554</v>
      </c>
      <c r="B1705" t="s">
        <v>368</v>
      </c>
      <c r="C1705" t="s">
        <v>636</v>
      </c>
      <c r="D1705" t="s">
        <v>637</v>
      </c>
      <c r="E1705" t="s">
        <v>1375</v>
      </c>
      <c r="F1705" s="134">
        <v>0.61593750000000003</v>
      </c>
      <c r="G1705" t="s">
        <v>1371</v>
      </c>
      <c r="H1705" t="s">
        <v>1372</v>
      </c>
    </row>
    <row r="1706" spans="1:8">
      <c r="A1706">
        <v>14005554</v>
      </c>
      <c r="B1706" t="s">
        <v>368</v>
      </c>
      <c r="C1706" t="s">
        <v>636</v>
      </c>
      <c r="D1706" t="s">
        <v>637</v>
      </c>
      <c r="E1706" t="s">
        <v>1375</v>
      </c>
      <c r="F1706" s="134">
        <v>0.94961805555555545</v>
      </c>
      <c r="G1706" t="s">
        <v>1373</v>
      </c>
      <c r="H1706" t="s">
        <v>1374</v>
      </c>
    </row>
    <row r="1707" spans="1:8">
      <c r="A1707">
        <v>14005554</v>
      </c>
      <c r="B1707" t="s">
        <v>368</v>
      </c>
      <c r="C1707" t="s">
        <v>636</v>
      </c>
      <c r="D1707" t="s">
        <v>637</v>
      </c>
      <c r="E1707" t="s">
        <v>1376</v>
      </c>
      <c r="F1707" s="134">
        <v>0.94942129629629635</v>
      </c>
      <c r="G1707" t="s">
        <v>1373</v>
      </c>
      <c r="H1707" t="s">
        <v>1374</v>
      </c>
    </row>
    <row r="1708" spans="1:8">
      <c r="A1708">
        <v>14005554</v>
      </c>
      <c r="B1708" t="s">
        <v>368</v>
      </c>
      <c r="C1708" t="s">
        <v>636</v>
      </c>
      <c r="D1708" t="s">
        <v>637</v>
      </c>
      <c r="E1708" t="s">
        <v>1376</v>
      </c>
      <c r="F1708" s="134">
        <v>0.60753472222222216</v>
      </c>
      <c r="G1708" t="s">
        <v>1371</v>
      </c>
      <c r="H1708" t="s">
        <v>1372</v>
      </c>
    </row>
    <row r="1709" spans="1:8">
      <c r="A1709">
        <v>14005554</v>
      </c>
      <c r="B1709" t="s">
        <v>368</v>
      </c>
      <c r="C1709" t="s">
        <v>636</v>
      </c>
      <c r="D1709" t="s">
        <v>637</v>
      </c>
      <c r="E1709" t="s">
        <v>1377</v>
      </c>
      <c r="F1709" s="134">
        <v>0.62127314814814816</v>
      </c>
      <c r="G1709" t="s">
        <v>1371</v>
      </c>
      <c r="H1709" t="s">
        <v>1372</v>
      </c>
    </row>
    <row r="1710" spans="1:8">
      <c r="A1710">
        <v>14005554</v>
      </c>
      <c r="B1710" t="s">
        <v>368</v>
      </c>
      <c r="C1710" t="s">
        <v>636</v>
      </c>
      <c r="D1710" t="s">
        <v>637</v>
      </c>
      <c r="E1710" t="s">
        <v>1377</v>
      </c>
      <c r="F1710" s="134">
        <v>0.9485069444444445</v>
      </c>
      <c r="G1710" t="s">
        <v>1373</v>
      </c>
      <c r="H1710" t="s">
        <v>1374</v>
      </c>
    </row>
    <row r="1711" spans="1:8">
      <c r="A1711">
        <v>14005554</v>
      </c>
      <c r="B1711" t="s">
        <v>368</v>
      </c>
      <c r="C1711" t="s">
        <v>636</v>
      </c>
      <c r="D1711" t="s">
        <v>637</v>
      </c>
      <c r="E1711" t="s">
        <v>1378</v>
      </c>
      <c r="F1711" s="134">
        <v>0.60730324074074071</v>
      </c>
      <c r="G1711" t="s">
        <v>1371</v>
      </c>
      <c r="H1711" t="s">
        <v>1372</v>
      </c>
    </row>
    <row r="1712" spans="1:8">
      <c r="A1712">
        <v>14005554</v>
      </c>
      <c r="B1712" t="s">
        <v>368</v>
      </c>
      <c r="C1712" t="s">
        <v>636</v>
      </c>
      <c r="D1712" t="s">
        <v>637</v>
      </c>
      <c r="E1712" t="s">
        <v>1378</v>
      </c>
      <c r="F1712" s="134">
        <v>0.94978009259259266</v>
      </c>
      <c r="G1712" t="s">
        <v>1373</v>
      </c>
      <c r="H1712" t="s">
        <v>1374</v>
      </c>
    </row>
    <row r="1713" spans="1:8">
      <c r="A1713">
        <v>14005554</v>
      </c>
      <c r="B1713" t="s">
        <v>368</v>
      </c>
      <c r="C1713" t="s">
        <v>636</v>
      </c>
      <c r="D1713" t="s">
        <v>637</v>
      </c>
      <c r="E1713" t="s">
        <v>1379</v>
      </c>
      <c r="F1713" s="134">
        <v>0.62785879629629626</v>
      </c>
      <c r="G1713" t="s">
        <v>1371</v>
      </c>
      <c r="H1713" t="s">
        <v>1372</v>
      </c>
    </row>
    <row r="1714" spans="1:8">
      <c r="A1714">
        <v>14005554</v>
      </c>
      <c r="B1714" t="s">
        <v>368</v>
      </c>
      <c r="C1714" t="s">
        <v>636</v>
      </c>
      <c r="D1714" t="s">
        <v>637</v>
      </c>
      <c r="E1714" t="s">
        <v>1379</v>
      </c>
      <c r="F1714" s="134">
        <v>0.94413194444444448</v>
      </c>
      <c r="G1714" t="s">
        <v>1373</v>
      </c>
      <c r="H1714" t="s">
        <v>1374</v>
      </c>
    </row>
    <row r="1715" spans="1:8">
      <c r="A1715">
        <v>14005587</v>
      </c>
      <c r="B1715" t="s">
        <v>1248</v>
      </c>
      <c r="C1715" t="s">
        <v>235</v>
      </c>
      <c r="D1715" t="s">
        <v>1247</v>
      </c>
      <c r="E1715" t="s">
        <v>1370</v>
      </c>
      <c r="F1715" s="134">
        <v>0.61781249999999999</v>
      </c>
      <c r="G1715" t="s">
        <v>1371</v>
      </c>
      <c r="H1715" t="s">
        <v>1372</v>
      </c>
    </row>
    <row r="1716" spans="1:8">
      <c r="A1716">
        <v>14005587</v>
      </c>
      <c r="B1716" t="s">
        <v>1248</v>
      </c>
      <c r="C1716" t="s">
        <v>235</v>
      </c>
      <c r="D1716" t="s">
        <v>1247</v>
      </c>
      <c r="E1716" t="s">
        <v>1370</v>
      </c>
      <c r="F1716" s="134">
        <v>0.94653935185185178</v>
      </c>
      <c r="G1716" t="s">
        <v>1373</v>
      </c>
      <c r="H1716" t="s">
        <v>1374</v>
      </c>
    </row>
    <row r="1717" spans="1:8">
      <c r="A1717">
        <v>14005587</v>
      </c>
      <c r="B1717" t="s">
        <v>1248</v>
      </c>
      <c r="C1717" t="s">
        <v>235</v>
      </c>
      <c r="D1717" t="s">
        <v>1247</v>
      </c>
      <c r="E1717" t="s">
        <v>1375</v>
      </c>
      <c r="F1717" s="134">
        <v>0.6115856481481482</v>
      </c>
      <c r="G1717" t="s">
        <v>1371</v>
      </c>
      <c r="H1717" t="s">
        <v>1372</v>
      </c>
    </row>
    <row r="1718" spans="1:8">
      <c r="A1718">
        <v>14005587</v>
      </c>
      <c r="B1718" t="s">
        <v>1248</v>
      </c>
      <c r="C1718" t="s">
        <v>235</v>
      </c>
      <c r="D1718" t="s">
        <v>1247</v>
      </c>
      <c r="E1718" t="s">
        <v>1375</v>
      </c>
      <c r="F1718" s="134">
        <v>0.94384259259259251</v>
      </c>
      <c r="G1718" t="s">
        <v>1373</v>
      </c>
      <c r="H1718" t="s">
        <v>1374</v>
      </c>
    </row>
    <row r="1719" spans="1:8">
      <c r="A1719">
        <v>14005587</v>
      </c>
      <c r="B1719" t="s">
        <v>1248</v>
      </c>
      <c r="C1719" t="s">
        <v>235</v>
      </c>
      <c r="D1719" t="s">
        <v>1247</v>
      </c>
      <c r="E1719" t="s">
        <v>1376</v>
      </c>
      <c r="F1719" s="134">
        <v>0.93510416666666663</v>
      </c>
      <c r="G1719" t="s">
        <v>1373</v>
      </c>
      <c r="H1719" t="s">
        <v>1374</v>
      </c>
    </row>
    <row r="1720" spans="1:8">
      <c r="A1720">
        <v>14005587</v>
      </c>
      <c r="B1720" t="s">
        <v>1248</v>
      </c>
      <c r="C1720" t="s">
        <v>235</v>
      </c>
      <c r="D1720" t="s">
        <v>1247</v>
      </c>
      <c r="E1720" t="s">
        <v>1376</v>
      </c>
      <c r="F1720" s="134">
        <v>0.61761574074074077</v>
      </c>
      <c r="G1720" t="s">
        <v>1371</v>
      </c>
      <c r="H1720" t="s">
        <v>1372</v>
      </c>
    </row>
    <row r="1721" spans="1:8">
      <c r="A1721">
        <v>14005587</v>
      </c>
      <c r="B1721" t="s">
        <v>1248</v>
      </c>
      <c r="C1721" t="s">
        <v>235</v>
      </c>
      <c r="D1721" t="s">
        <v>1247</v>
      </c>
      <c r="E1721" t="s">
        <v>1377</v>
      </c>
      <c r="F1721" s="134">
        <v>0.61711805555555554</v>
      </c>
      <c r="G1721" t="s">
        <v>1371</v>
      </c>
      <c r="H1721" t="s">
        <v>1372</v>
      </c>
    </row>
    <row r="1722" spans="1:8">
      <c r="A1722">
        <v>14005587</v>
      </c>
      <c r="B1722" t="s">
        <v>1248</v>
      </c>
      <c r="C1722" t="s">
        <v>235</v>
      </c>
      <c r="D1722" t="s">
        <v>1247</v>
      </c>
      <c r="E1722" t="s">
        <v>1377</v>
      </c>
      <c r="F1722" s="134">
        <v>0.93937500000000007</v>
      </c>
      <c r="G1722" t="s">
        <v>1373</v>
      </c>
      <c r="H1722" t="s">
        <v>1374</v>
      </c>
    </row>
    <row r="1723" spans="1:8">
      <c r="A1723">
        <v>14005587</v>
      </c>
      <c r="B1723" t="s">
        <v>1248</v>
      </c>
      <c r="C1723" t="s">
        <v>235</v>
      </c>
      <c r="D1723" t="s">
        <v>1247</v>
      </c>
      <c r="E1723" t="s">
        <v>1378</v>
      </c>
      <c r="F1723" s="134">
        <v>0.6171875</v>
      </c>
      <c r="G1723" t="s">
        <v>1371</v>
      </c>
      <c r="H1723" t="s">
        <v>1372</v>
      </c>
    </row>
    <row r="1724" spans="1:8">
      <c r="A1724">
        <v>14005587</v>
      </c>
      <c r="B1724" t="s">
        <v>1248</v>
      </c>
      <c r="C1724" t="s">
        <v>235</v>
      </c>
      <c r="D1724" t="s">
        <v>1247</v>
      </c>
      <c r="E1724" t="s">
        <v>1378</v>
      </c>
      <c r="F1724" s="134">
        <v>0.94269675925925922</v>
      </c>
      <c r="G1724" t="s">
        <v>1373</v>
      </c>
      <c r="H1724" t="s">
        <v>1374</v>
      </c>
    </row>
    <row r="1725" spans="1:8">
      <c r="A1725">
        <v>14005587</v>
      </c>
      <c r="B1725" t="s">
        <v>1248</v>
      </c>
      <c r="C1725" t="s">
        <v>235</v>
      </c>
      <c r="D1725" t="s">
        <v>1247</v>
      </c>
      <c r="E1725" t="s">
        <v>1379</v>
      </c>
      <c r="F1725" s="134">
        <v>0.52243055555555562</v>
      </c>
      <c r="G1725" t="s">
        <v>1371</v>
      </c>
      <c r="H1725" t="s">
        <v>1372</v>
      </c>
    </row>
    <row r="1726" spans="1:8">
      <c r="A1726">
        <v>14005587</v>
      </c>
      <c r="B1726" t="s">
        <v>1248</v>
      </c>
      <c r="C1726" t="s">
        <v>235</v>
      </c>
      <c r="D1726" t="s">
        <v>1247</v>
      </c>
      <c r="E1726" t="s">
        <v>1379</v>
      </c>
      <c r="F1726" s="134">
        <v>0.85269675925925925</v>
      </c>
      <c r="G1726" t="s">
        <v>1373</v>
      </c>
      <c r="H1726" t="s">
        <v>1374</v>
      </c>
    </row>
    <row r="1727" spans="1:8">
      <c r="A1727">
        <v>14017495</v>
      </c>
      <c r="B1727" t="s">
        <v>773</v>
      </c>
      <c r="C1727" t="s">
        <v>459</v>
      </c>
      <c r="D1727" t="s">
        <v>206</v>
      </c>
      <c r="E1727" t="s">
        <v>1370</v>
      </c>
      <c r="F1727" s="134">
        <v>0.61201388888888886</v>
      </c>
      <c r="G1727" t="s">
        <v>1371</v>
      </c>
      <c r="H1727" t="s">
        <v>1372</v>
      </c>
    </row>
    <row r="1728" spans="1:8">
      <c r="A1728">
        <v>14017495</v>
      </c>
      <c r="B1728" t="s">
        <v>773</v>
      </c>
      <c r="C1728" t="s">
        <v>459</v>
      </c>
      <c r="D1728" t="s">
        <v>206</v>
      </c>
      <c r="E1728" t="s">
        <v>1370</v>
      </c>
      <c r="F1728" s="134">
        <v>0.94885416666666667</v>
      </c>
      <c r="G1728" t="s">
        <v>1373</v>
      </c>
      <c r="H1728" t="s">
        <v>1374</v>
      </c>
    </row>
    <row r="1729" spans="1:8">
      <c r="A1729">
        <v>14017495</v>
      </c>
      <c r="B1729" t="s">
        <v>773</v>
      </c>
      <c r="C1729" t="s">
        <v>459</v>
      </c>
      <c r="D1729" t="s">
        <v>206</v>
      </c>
      <c r="E1729" t="s">
        <v>1375</v>
      </c>
      <c r="F1729" s="134">
        <v>0.61932870370370374</v>
      </c>
      <c r="G1729" t="s">
        <v>1371</v>
      </c>
      <c r="H1729" t="s">
        <v>1372</v>
      </c>
    </row>
    <row r="1730" spans="1:8">
      <c r="A1730">
        <v>14017495</v>
      </c>
      <c r="B1730" t="s">
        <v>773</v>
      </c>
      <c r="C1730" t="s">
        <v>459</v>
      </c>
      <c r="D1730" t="s">
        <v>206</v>
      </c>
      <c r="E1730" t="s">
        <v>1375</v>
      </c>
      <c r="F1730" s="134">
        <v>0.95059027777777771</v>
      </c>
      <c r="G1730" t="s">
        <v>1373</v>
      </c>
      <c r="H1730" t="s">
        <v>1374</v>
      </c>
    </row>
    <row r="1731" spans="1:8">
      <c r="A1731">
        <v>14017495</v>
      </c>
      <c r="B1731" t="s">
        <v>773</v>
      </c>
      <c r="C1731" t="s">
        <v>459</v>
      </c>
      <c r="D1731" t="s">
        <v>206</v>
      </c>
      <c r="E1731" t="s">
        <v>1376</v>
      </c>
      <c r="F1731" s="134">
        <v>0.95094907407407403</v>
      </c>
      <c r="G1731" t="s">
        <v>1373</v>
      </c>
      <c r="H1731" t="s">
        <v>1374</v>
      </c>
    </row>
    <row r="1732" spans="1:8">
      <c r="A1732">
        <v>14017495</v>
      </c>
      <c r="B1732" t="s">
        <v>773</v>
      </c>
      <c r="C1732" t="s">
        <v>459</v>
      </c>
      <c r="D1732" t="s">
        <v>206</v>
      </c>
      <c r="E1732" t="s">
        <v>1376</v>
      </c>
      <c r="F1732" s="134">
        <v>0.63206018518518514</v>
      </c>
      <c r="G1732" t="s">
        <v>1371</v>
      </c>
      <c r="H1732" t="s">
        <v>1372</v>
      </c>
    </row>
    <row r="1733" spans="1:8">
      <c r="A1733">
        <v>14017495</v>
      </c>
      <c r="B1733" t="s">
        <v>773</v>
      </c>
      <c r="C1733" t="s">
        <v>459</v>
      </c>
      <c r="D1733" t="s">
        <v>206</v>
      </c>
      <c r="E1733" t="s">
        <v>1377</v>
      </c>
      <c r="F1733" s="134">
        <v>0.61534722222222216</v>
      </c>
      <c r="G1733" t="s">
        <v>1371</v>
      </c>
      <c r="H1733" t="s">
        <v>1372</v>
      </c>
    </row>
    <row r="1734" spans="1:8">
      <c r="A1734">
        <v>14017495</v>
      </c>
      <c r="B1734" t="s">
        <v>773</v>
      </c>
      <c r="C1734" t="s">
        <v>459</v>
      </c>
      <c r="D1734" t="s">
        <v>206</v>
      </c>
      <c r="E1734" t="s">
        <v>1377</v>
      </c>
      <c r="F1734" s="134">
        <v>0.94797453703703705</v>
      </c>
      <c r="G1734" t="s">
        <v>1373</v>
      </c>
      <c r="H1734" t="s">
        <v>1374</v>
      </c>
    </row>
    <row r="1735" spans="1:8">
      <c r="A1735">
        <v>14017495</v>
      </c>
      <c r="B1735" t="s">
        <v>773</v>
      </c>
      <c r="C1735" t="s">
        <v>459</v>
      </c>
      <c r="D1735" t="s">
        <v>206</v>
      </c>
      <c r="E1735" t="s">
        <v>1378</v>
      </c>
      <c r="F1735" s="134">
        <v>0.63760416666666664</v>
      </c>
      <c r="G1735" t="s">
        <v>1371</v>
      </c>
      <c r="H1735" t="s">
        <v>1372</v>
      </c>
    </row>
    <row r="1736" spans="1:8">
      <c r="A1736">
        <v>14017495</v>
      </c>
      <c r="B1736" t="s">
        <v>773</v>
      </c>
      <c r="C1736" t="s">
        <v>459</v>
      </c>
      <c r="D1736" t="s">
        <v>206</v>
      </c>
      <c r="E1736" t="s">
        <v>1378</v>
      </c>
      <c r="F1736" s="134">
        <v>0.94347222222222227</v>
      </c>
      <c r="G1736" t="s">
        <v>1373</v>
      </c>
      <c r="H1736" t="s">
        <v>1374</v>
      </c>
    </row>
    <row r="1737" spans="1:8">
      <c r="A1737">
        <v>14017495</v>
      </c>
      <c r="B1737" t="s">
        <v>773</v>
      </c>
      <c r="C1737" t="s">
        <v>459</v>
      </c>
      <c r="D1737" t="s">
        <v>206</v>
      </c>
      <c r="E1737" t="s">
        <v>1379</v>
      </c>
      <c r="F1737" s="134">
        <v>0.63249999999999995</v>
      </c>
      <c r="G1737" t="s">
        <v>1371</v>
      </c>
      <c r="H1737" t="s">
        <v>1372</v>
      </c>
    </row>
    <row r="1738" spans="1:8">
      <c r="A1738">
        <v>14017495</v>
      </c>
      <c r="B1738" t="s">
        <v>773</v>
      </c>
      <c r="C1738" t="s">
        <v>459</v>
      </c>
      <c r="D1738" t="s">
        <v>206</v>
      </c>
      <c r="E1738" t="s">
        <v>1379</v>
      </c>
      <c r="F1738" s="134">
        <v>0.90679398148148149</v>
      </c>
      <c r="G1738" t="s">
        <v>1373</v>
      </c>
      <c r="H1738" t="s">
        <v>1374</v>
      </c>
    </row>
    <row r="1739" spans="1:8">
      <c r="A1739">
        <v>14095347</v>
      </c>
      <c r="B1739" t="s">
        <v>219</v>
      </c>
      <c r="C1739" t="s">
        <v>217</v>
      </c>
      <c r="D1739" t="s">
        <v>218</v>
      </c>
      <c r="E1739" t="s">
        <v>1370</v>
      </c>
      <c r="F1739" s="134">
        <v>0.60556712962962966</v>
      </c>
      <c r="G1739" t="s">
        <v>1371</v>
      </c>
      <c r="H1739" t="s">
        <v>1372</v>
      </c>
    </row>
    <row r="1740" spans="1:8">
      <c r="A1740">
        <v>14095347</v>
      </c>
      <c r="B1740" t="s">
        <v>219</v>
      </c>
      <c r="C1740" t="s">
        <v>217</v>
      </c>
      <c r="D1740" t="s">
        <v>218</v>
      </c>
      <c r="E1740" t="s">
        <v>1370</v>
      </c>
      <c r="F1740" s="134">
        <v>0.94974537037037043</v>
      </c>
      <c r="G1740" t="s">
        <v>1373</v>
      </c>
      <c r="H1740" t="s">
        <v>1374</v>
      </c>
    </row>
    <row r="1741" spans="1:8">
      <c r="A1741">
        <v>14095347</v>
      </c>
      <c r="B1741" t="s">
        <v>219</v>
      </c>
      <c r="C1741" t="s">
        <v>217</v>
      </c>
      <c r="D1741" t="s">
        <v>218</v>
      </c>
      <c r="E1741" t="s">
        <v>1375</v>
      </c>
      <c r="F1741" s="134">
        <v>0.60653935185185182</v>
      </c>
      <c r="G1741" t="s">
        <v>1371</v>
      </c>
      <c r="H1741" t="s">
        <v>1372</v>
      </c>
    </row>
    <row r="1742" spans="1:8">
      <c r="A1742">
        <v>14095347</v>
      </c>
      <c r="B1742" t="s">
        <v>219</v>
      </c>
      <c r="C1742" t="s">
        <v>217</v>
      </c>
      <c r="D1742" t="s">
        <v>218</v>
      </c>
      <c r="E1742" t="s">
        <v>1375</v>
      </c>
      <c r="F1742" s="134">
        <v>0.9491087962962963</v>
      </c>
      <c r="G1742" t="s">
        <v>1373</v>
      </c>
      <c r="H1742" t="s">
        <v>1374</v>
      </c>
    </row>
    <row r="1743" spans="1:8">
      <c r="A1743">
        <v>14095347</v>
      </c>
      <c r="B1743" t="s">
        <v>219</v>
      </c>
      <c r="C1743" t="s">
        <v>217</v>
      </c>
      <c r="D1743" t="s">
        <v>218</v>
      </c>
      <c r="E1743" t="s">
        <v>1376</v>
      </c>
      <c r="F1743" s="134">
        <v>0.29569444444444443</v>
      </c>
      <c r="G1743" t="s">
        <v>1371</v>
      </c>
      <c r="H1743" t="s">
        <v>1372</v>
      </c>
    </row>
    <row r="1744" spans="1:8">
      <c r="A1744">
        <v>14095347</v>
      </c>
      <c r="B1744" t="s">
        <v>219</v>
      </c>
      <c r="C1744" t="s">
        <v>217</v>
      </c>
      <c r="D1744" t="s">
        <v>218</v>
      </c>
      <c r="E1744" t="s">
        <v>1376</v>
      </c>
      <c r="F1744" s="134">
        <v>0.63612268518518522</v>
      </c>
      <c r="G1744" t="s">
        <v>1373</v>
      </c>
      <c r="H1744" t="s">
        <v>1374</v>
      </c>
    </row>
    <row r="1745" spans="1:8">
      <c r="A1745">
        <v>14095347</v>
      </c>
      <c r="B1745" t="s">
        <v>219</v>
      </c>
      <c r="C1745" t="s">
        <v>217</v>
      </c>
      <c r="D1745" t="s">
        <v>218</v>
      </c>
      <c r="E1745" t="s">
        <v>1377</v>
      </c>
      <c r="F1745" s="134">
        <v>0.60148148148148151</v>
      </c>
      <c r="G1745" t="s">
        <v>1371</v>
      </c>
      <c r="H1745" t="s">
        <v>1372</v>
      </c>
    </row>
    <row r="1746" spans="1:8">
      <c r="A1746">
        <v>14095347</v>
      </c>
      <c r="B1746" t="s">
        <v>219</v>
      </c>
      <c r="C1746" t="s">
        <v>217</v>
      </c>
      <c r="D1746" t="s">
        <v>218</v>
      </c>
      <c r="E1746" t="s">
        <v>1377</v>
      </c>
      <c r="F1746" s="134">
        <v>0.92252314814814806</v>
      </c>
      <c r="G1746" t="s">
        <v>1373</v>
      </c>
      <c r="H1746" t="s">
        <v>1374</v>
      </c>
    </row>
    <row r="1747" spans="1:8">
      <c r="A1747">
        <v>14095347</v>
      </c>
      <c r="B1747" t="s">
        <v>219</v>
      </c>
      <c r="C1747" t="s">
        <v>217</v>
      </c>
      <c r="D1747" t="s">
        <v>218</v>
      </c>
      <c r="E1747" t="s">
        <v>1378</v>
      </c>
      <c r="F1747" s="134">
        <v>0.60657407407407404</v>
      </c>
      <c r="G1747" t="s">
        <v>1371</v>
      </c>
      <c r="H1747" t="s">
        <v>1372</v>
      </c>
    </row>
    <row r="1748" spans="1:8">
      <c r="A1748">
        <v>14095347</v>
      </c>
      <c r="B1748" t="s">
        <v>219</v>
      </c>
      <c r="C1748" t="s">
        <v>217</v>
      </c>
      <c r="D1748" t="s">
        <v>218</v>
      </c>
      <c r="E1748" t="s">
        <v>1378</v>
      </c>
      <c r="F1748" s="134">
        <v>0.94909722222222215</v>
      </c>
      <c r="G1748" t="s">
        <v>1373</v>
      </c>
      <c r="H1748" t="s">
        <v>1374</v>
      </c>
    </row>
    <row r="1749" spans="1:8">
      <c r="A1749">
        <v>14181387</v>
      </c>
      <c r="B1749" t="s">
        <v>332</v>
      </c>
      <c r="C1749" t="s">
        <v>330</v>
      </c>
      <c r="D1749" t="s">
        <v>331</v>
      </c>
      <c r="E1749" t="s">
        <v>1370</v>
      </c>
      <c r="F1749" s="134">
        <v>0.29189814814814813</v>
      </c>
      <c r="G1749" t="s">
        <v>1371</v>
      </c>
      <c r="H1749" t="s">
        <v>1372</v>
      </c>
    </row>
    <row r="1750" spans="1:8">
      <c r="A1750">
        <v>14181387</v>
      </c>
      <c r="B1750" t="s">
        <v>332</v>
      </c>
      <c r="C1750" t="s">
        <v>330</v>
      </c>
      <c r="D1750" t="s">
        <v>331</v>
      </c>
      <c r="E1750" t="s">
        <v>1370</v>
      </c>
      <c r="F1750" s="134">
        <v>0.62930555555555556</v>
      </c>
      <c r="G1750" t="s">
        <v>1373</v>
      </c>
      <c r="H1750" t="s">
        <v>1374</v>
      </c>
    </row>
    <row r="1751" spans="1:8">
      <c r="A1751">
        <v>14181387</v>
      </c>
      <c r="B1751" t="s">
        <v>332</v>
      </c>
      <c r="C1751" t="s">
        <v>330</v>
      </c>
      <c r="D1751" t="s">
        <v>331</v>
      </c>
      <c r="E1751" t="s">
        <v>1375</v>
      </c>
      <c r="F1751" s="134">
        <v>0.29218749999999999</v>
      </c>
      <c r="G1751" t="s">
        <v>1371</v>
      </c>
      <c r="H1751" t="s">
        <v>1372</v>
      </c>
    </row>
    <row r="1752" spans="1:8">
      <c r="A1752">
        <v>14181387</v>
      </c>
      <c r="B1752" t="s">
        <v>332</v>
      </c>
      <c r="C1752" t="s">
        <v>330</v>
      </c>
      <c r="D1752" t="s">
        <v>331</v>
      </c>
      <c r="E1752" t="s">
        <v>1375</v>
      </c>
      <c r="F1752" s="134">
        <v>0.63328703703703704</v>
      </c>
      <c r="G1752" t="s">
        <v>1373</v>
      </c>
      <c r="H1752" t="s">
        <v>1374</v>
      </c>
    </row>
    <row r="1753" spans="1:8">
      <c r="A1753">
        <v>14181387</v>
      </c>
      <c r="B1753" t="s">
        <v>332</v>
      </c>
      <c r="C1753" t="s">
        <v>330</v>
      </c>
      <c r="D1753" t="s">
        <v>331</v>
      </c>
      <c r="E1753" t="s">
        <v>1376</v>
      </c>
      <c r="F1753" s="134">
        <v>0.63228009259259255</v>
      </c>
      <c r="G1753" t="s">
        <v>1373</v>
      </c>
      <c r="H1753" t="s">
        <v>1374</v>
      </c>
    </row>
    <row r="1754" spans="1:8">
      <c r="A1754">
        <v>14181387</v>
      </c>
      <c r="B1754" t="s">
        <v>332</v>
      </c>
      <c r="C1754" t="s">
        <v>330</v>
      </c>
      <c r="D1754" t="s">
        <v>331</v>
      </c>
      <c r="E1754" t="s">
        <v>1376</v>
      </c>
      <c r="F1754" s="134">
        <v>0.29291666666666666</v>
      </c>
      <c r="G1754" t="s">
        <v>1371</v>
      </c>
      <c r="H1754" t="s">
        <v>1372</v>
      </c>
    </row>
    <row r="1755" spans="1:8">
      <c r="A1755">
        <v>14181387</v>
      </c>
      <c r="B1755" t="s">
        <v>332</v>
      </c>
      <c r="C1755" t="s">
        <v>330</v>
      </c>
      <c r="D1755" t="s">
        <v>331</v>
      </c>
      <c r="E1755" t="s">
        <v>1377</v>
      </c>
      <c r="F1755" s="134">
        <v>0.29168981481481482</v>
      </c>
      <c r="G1755" t="s">
        <v>1371</v>
      </c>
      <c r="H1755" t="s">
        <v>1372</v>
      </c>
    </row>
    <row r="1756" spans="1:8">
      <c r="A1756">
        <v>14181387</v>
      </c>
      <c r="B1756" t="s">
        <v>332</v>
      </c>
      <c r="C1756" t="s">
        <v>330</v>
      </c>
      <c r="D1756" t="s">
        <v>331</v>
      </c>
      <c r="E1756" t="s">
        <v>1377</v>
      </c>
      <c r="F1756" s="134">
        <v>0.63377314814814811</v>
      </c>
      <c r="G1756" t="s">
        <v>1373</v>
      </c>
      <c r="H1756" t="s">
        <v>1374</v>
      </c>
    </row>
    <row r="1757" spans="1:8">
      <c r="A1757">
        <v>14181387</v>
      </c>
      <c r="B1757" t="s">
        <v>332</v>
      </c>
      <c r="C1757" t="s">
        <v>330</v>
      </c>
      <c r="D1757" t="s">
        <v>331</v>
      </c>
      <c r="E1757" t="s">
        <v>1378</v>
      </c>
      <c r="F1757" s="134">
        <v>0.29542824074074076</v>
      </c>
      <c r="G1757" t="s">
        <v>1371</v>
      </c>
      <c r="H1757" t="s">
        <v>1372</v>
      </c>
    </row>
    <row r="1758" spans="1:8">
      <c r="A1758">
        <v>14181387</v>
      </c>
      <c r="B1758" t="s">
        <v>332</v>
      </c>
      <c r="C1758" t="s">
        <v>330</v>
      </c>
      <c r="D1758" t="s">
        <v>331</v>
      </c>
      <c r="E1758" t="s">
        <v>1378</v>
      </c>
      <c r="F1758" s="134">
        <v>0.6365277777777778</v>
      </c>
      <c r="G1758" t="s">
        <v>1373</v>
      </c>
      <c r="H1758" t="s">
        <v>1374</v>
      </c>
    </row>
    <row r="1759" spans="1:8">
      <c r="A1759">
        <v>14181387</v>
      </c>
      <c r="B1759" t="s">
        <v>332</v>
      </c>
      <c r="C1759" t="s">
        <v>330</v>
      </c>
      <c r="D1759" t="s">
        <v>331</v>
      </c>
      <c r="E1759" t="s">
        <v>1379</v>
      </c>
      <c r="F1759" s="134">
        <v>0.29561342592592593</v>
      </c>
      <c r="G1759" t="s">
        <v>1371</v>
      </c>
      <c r="H1759" t="s">
        <v>1372</v>
      </c>
    </row>
    <row r="1760" spans="1:8">
      <c r="A1760">
        <v>14181387</v>
      </c>
      <c r="B1760" t="s">
        <v>332</v>
      </c>
      <c r="C1760" t="s">
        <v>330</v>
      </c>
      <c r="D1760" t="s">
        <v>331</v>
      </c>
      <c r="E1760" t="s">
        <v>1379</v>
      </c>
      <c r="F1760" s="134">
        <v>0.63155092592592588</v>
      </c>
      <c r="G1760" t="s">
        <v>1373</v>
      </c>
      <c r="H1760" t="s">
        <v>1374</v>
      </c>
    </row>
    <row r="1761" spans="1:8">
      <c r="A1761">
        <v>14182371</v>
      </c>
      <c r="B1761" t="s">
        <v>1111</v>
      </c>
      <c r="C1761" t="s">
        <v>218</v>
      </c>
      <c r="D1761" t="s">
        <v>1110</v>
      </c>
      <c r="E1761" t="s">
        <v>1370</v>
      </c>
      <c r="F1761" s="134">
        <v>0.91788194444444438</v>
      </c>
      <c r="G1761" t="s">
        <v>1371</v>
      </c>
      <c r="H1761" t="s">
        <v>1372</v>
      </c>
    </row>
    <row r="1762" spans="1:8">
      <c r="A1762">
        <v>14182371</v>
      </c>
      <c r="B1762" t="s">
        <v>1111</v>
      </c>
      <c r="C1762" t="s">
        <v>218</v>
      </c>
      <c r="D1762" t="s">
        <v>1110</v>
      </c>
      <c r="E1762" t="s">
        <v>1375</v>
      </c>
      <c r="F1762" s="134">
        <v>0.31913194444444443</v>
      </c>
      <c r="G1762" t="s">
        <v>1373</v>
      </c>
      <c r="H1762" t="s">
        <v>1374</v>
      </c>
    </row>
    <row r="1763" spans="1:8">
      <c r="A1763">
        <v>14182371</v>
      </c>
      <c r="B1763" t="s">
        <v>1111</v>
      </c>
      <c r="C1763" t="s">
        <v>218</v>
      </c>
      <c r="D1763" t="s">
        <v>1110</v>
      </c>
      <c r="E1763" t="s">
        <v>1375</v>
      </c>
      <c r="F1763" s="134">
        <v>0.93008101851851854</v>
      </c>
      <c r="G1763" t="s">
        <v>1371</v>
      </c>
      <c r="H1763" t="s">
        <v>1372</v>
      </c>
    </row>
    <row r="1764" spans="1:8">
      <c r="A1764">
        <v>14182371</v>
      </c>
      <c r="B1764" t="s">
        <v>1111</v>
      </c>
      <c r="C1764" t="s">
        <v>218</v>
      </c>
      <c r="D1764" t="s">
        <v>1110</v>
      </c>
      <c r="E1764" t="s">
        <v>1376</v>
      </c>
      <c r="F1764" s="134">
        <v>0.32113425925925926</v>
      </c>
      <c r="G1764" t="s">
        <v>1373</v>
      </c>
      <c r="H1764" t="s">
        <v>1374</v>
      </c>
    </row>
    <row r="1765" spans="1:8">
      <c r="A1765">
        <v>14182371</v>
      </c>
      <c r="B1765" t="s">
        <v>1111</v>
      </c>
      <c r="C1765" t="s">
        <v>218</v>
      </c>
      <c r="D1765" t="s">
        <v>1110</v>
      </c>
      <c r="E1765" t="s">
        <v>1376</v>
      </c>
      <c r="F1765" s="134">
        <v>0.91896990740740747</v>
      </c>
      <c r="G1765" t="s">
        <v>1371</v>
      </c>
      <c r="H1765" t="s">
        <v>1372</v>
      </c>
    </row>
    <row r="1766" spans="1:8">
      <c r="A1766">
        <v>14182371</v>
      </c>
      <c r="B1766" t="s">
        <v>1111</v>
      </c>
      <c r="C1766" t="s">
        <v>218</v>
      </c>
      <c r="D1766" t="s">
        <v>1110</v>
      </c>
      <c r="E1766" t="s">
        <v>1377</v>
      </c>
      <c r="F1766" s="134">
        <v>0.32120370370370371</v>
      </c>
      <c r="G1766" t="s">
        <v>1373</v>
      </c>
      <c r="H1766" t="s">
        <v>1374</v>
      </c>
    </row>
    <row r="1767" spans="1:8">
      <c r="A1767">
        <v>14182371</v>
      </c>
      <c r="B1767" t="s">
        <v>1111</v>
      </c>
      <c r="C1767" t="s">
        <v>218</v>
      </c>
      <c r="D1767" t="s">
        <v>1110</v>
      </c>
      <c r="E1767" t="s">
        <v>1377</v>
      </c>
      <c r="F1767" s="134">
        <v>0.91994212962962962</v>
      </c>
      <c r="G1767" t="s">
        <v>1371</v>
      </c>
      <c r="H1767" t="s">
        <v>1372</v>
      </c>
    </row>
    <row r="1768" spans="1:8">
      <c r="A1768">
        <v>14182371</v>
      </c>
      <c r="B1768" t="s">
        <v>1111</v>
      </c>
      <c r="C1768" t="s">
        <v>218</v>
      </c>
      <c r="D1768" t="s">
        <v>1110</v>
      </c>
      <c r="E1768" t="s">
        <v>1378</v>
      </c>
      <c r="F1768" s="134">
        <v>0.32383101851851853</v>
      </c>
      <c r="G1768" t="s">
        <v>1373</v>
      </c>
      <c r="H1768" t="s">
        <v>1374</v>
      </c>
    </row>
    <row r="1769" spans="1:8">
      <c r="A1769">
        <v>14182371</v>
      </c>
      <c r="B1769" t="s">
        <v>1111</v>
      </c>
      <c r="C1769" t="s">
        <v>218</v>
      </c>
      <c r="D1769" t="s">
        <v>1110</v>
      </c>
      <c r="E1769" t="s">
        <v>1378</v>
      </c>
      <c r="F1769" s="134">
        <v>0.91935185185185186</v>
      </c>
      <c r="G1769" t="s">
        <v>1371</v>
      </c>
      <c r="H1769" t="s">
        <v>1372</v>
      </c>
    </row>
    <row r="1770" spans="1:8">
      <c r="A1770">
        <v>14182371</v>
      </c>
      <c r="B1770" t="s">
        <v>1111</v>
      </c>
      <c r="C1770" t="s">
        <v>218</v>
      </c>
      <c r="D1770" t="s">
        <v>1110</v>
      </c>
      <c r="E1770" t="s">
        <v>1379</v>
      </c>
      <c r="F1770" s="134">
        <v>0.32351851851851854</v>
      </c>
      <c r="G1770" t="s">
        <v>1373</v>
      </c>
      <c r="H1770" t="s">
        <v>1374</v>
      </c>
    </row>
    <row r="1771" spans="1:8">
      <c r="A1771">
        <v>14185109</v>
      </c>
      <c r="B1771" t="s">
        <v>907</v>
      </c>
      <c r="C1771" t="s">
        <v>103</v>
      </c>
      <c r="D1771" t="s">
        <v>426</v>
      </c>
      <c r="E1771" t="s">
        <v>1370</v>
      </c>
      <c r="F1771" s="134">
        <v>0.92679398148148151</v>
      </c>
      <c r="G1771" t="s">
        <v>1371</v>
      </c>
      <c r="H1771" t="s">
        <v>1372</v>
      </c>
    </row>
    <row r="1772" spans="1:8">
      <c r="A1772">
        <v>14185109</v>
      </c>
      <c r="B1772" t="s">
        <v>907</v>
      </c>
      <c r="C1772" t="s">
        <v>103</v>
      </c>
      <c r="D1772" t="s">
        <v>426</v>
      </c>
      <c r="E1772" t="s">
        <v>1375</v>
      </c>
      <c r="F1772" s="134">
        <v>0.31722222222222224</v>
      </c>
      <c r="G1772" t="s">
        <v>1373</v>
      </c>
      <c r="H1772" t="s">
        <v>1374</v>
      </c>
    </row>
    <row r="1773" spans="1:8">
      <c r="A1773">
        <v>14185109</v>
      </c>
      <c r="B1773" t="s">
        <v>907</v>
      </c>
      <c r="C1773" t="s">
        <v>103</v>
      </c>
      <c r="D1773" t="s">
        <v>426</v>
      </c>
      <c r="E1773" t="s">
        <v>1375</v>
      </c>
      <c r="F1773" s="134">
        <v>0.92842592592592599</v>
      </c>
      <c r="G1773" t="s">
        <v>1371</v>
      </c>
      <c r="H1773" t="s">
        <v>1372</v>
      </c>
    </row>
    <row r="1774" spans="1:8">
      <c r="A1774">
        <v>14185109</v>
      </c>
      <c r="B1774" t="s">
        <v>907</v>
      </c>
      <c r="C1774" t="s">
        <v>103</v>
      </c>
      <c r="D1774" t="s">
        <v>426</v>
      </c>
      <c r="E1774" t="s">
        <v>1376</v>
      </c>
      <c r="F1774" s="134">
        <v>0.31848379629629631</v>
      </c>
      <c r="G1774" t="s">
        <v>1373</v>
      </c>
      <c r="H1774" t="s">
        <v>1374</v>
      </c>
    </row>
    <row r="1775" spans="1:8">
      <c r="A1775">
        <v>14185109</v>
      </c>
      <c r="B1775" t="s">
        <v>907</v>
      </c>
      <c r="C1775" t="s">
        <v>103</v>
      </c>
      <c r="D1775" t="s">
        <v>426</v>
      </c>
      <c r="E1775" t="s">
        <v>1376</v>
      </c>
      <c r="F1775" s="134">
        <v>0.9269560185185185</v>
      </c>
      <c r="G1775" t="s">
        <v>1371</v>
      </c>
      <c r="H1775" t="s">
        <v>1372</v>
      </c>
    </row>
    <row r="1776" spans="1:8">
      <c r="A1776">
        <v>14185109</v>
      </c>
      <c r="B1776" t="s">
        <v>907</v>
      </c>
      <c r="C1776" t="s">
        <v>103</v>
      </c>
      <c r="D1776" t="s">
        <v>426</v>
      </c>
      <c r="E1776" t="s">
        <v>1377</v>
      </c>
      <c r="F1776" s="134">
        <v>0.31861111111111112</v>
      </c>
      <c r="G1776" t="s">
        <v>1373</v>
      </c>
      <c r="H1776" t="s">
        <v>1374</v>
      </c>
    </row>
    <row r="1777" spans="1:8">
      <c r="A1777">
        <v>14185109</v>
      </c>
      <c r="B1777" t="s">
        <v>907</v>
      </c>
      <c r="C1777" t="s">
        <v>103</v>
      </c>
      <c r="D1777" t="s">
        <v>426</v>
      </c>
      <c r="E1777" t="s">
        <v>1377</v>
      </c>
      <c r="F1777" s="134">
        <v>0.93012731481481481</v>
      </c>
      <c r="G1777" t="s">
        <v>1371</v>
      </c>
      <c r="H1777" t="s">
        <v>1372</v>
      </c>
    </row>
    <row r="1778" spans="1:8">
      <c r="A1778">
        <v>14185109</v>
      </c>
      <c r="B1778" t="s">
        <v>907</v>
      </c>
      <c r="C1778" t="s">
        <v>103</v>
      </c>
      <c r="D1778" t="s">
        <v>426</v>
      </c>
      <c r="E1778" t="s">
        <v>1378</v>
      </c>
      <c r="F1778" s="134">
        <v>0.32013888888888892</v>
      </c>
      <c r="G1778" t="s">
        <v>1373</v>
      </c>
      <c r="H1778" t="s">
        <v>1374</v>
      </c>
    </row>
    <row r="1779" spans="1:8">
      <c r="A1779">
        <v>14185109</v>
      </c>
      <c r="B1779" t="s">
        <v>907</v>
      </c>
      <c r="C1779" t="s">
        <v>103</v>
      </c>
      <c r="D1779" t="s">
        <v>426</v>
      </c>
      <c r="E1779" t="s">
        <v>1378</v>
      </c>
      <c r="F1779" s="134">
        <v>0.92486111111111102</v>
      </c>
      <c r="G1779" t="s">
        <v>1371</v>
      </c>
      <c r="H1779" t="s">
        <v>1372</v>
      </c>
    </row>
    <row r="1780" spans="1:8">
      <c r="A1780">
        <v>14185109</v>
      </c>
      <c r="B1780" t="s">
        <v>907</v>
      </c>
      <c r="C1780" t="s">
        <v>103</v>
      </c>
      <c r="D1780" t="s">
        <v>426</v>
      </c>
      <c r="E1780" t="s">
        <v>1379</v>
      </c>
      <c r="F1780" s="134">
        <v>0.31714120370370369</v>
      </c>
      <c r="G1780" t="s">
        <v>1373</v>
      </c>
      <c r="H1780" t="s">
        <v>1374</v>
      </c>
    </row>
    <row r="1781" spans="1:8">
      <c r="A1781">
        <v>14193049</v>
      </c>
      <c r="B1781" t="s">
        <v>279</v>
      </c>
      <c r="C1781" t="s">
        <v>1050</v>
      </c>
      <c r="D1781" t="s">
        <v>1055</v>
      </c>
      <c r="E1781" t="s">
        <v>1370</v>
      </c>
      <c r="F1781" s="134">
        <v>0.31381944444444443</v>
      </c>
      <c r="G1781" t="s">
        <v>1371</v>
      </c>
      <c r="H1781" t="s">
        <v>1372</v>
      </c>
    </row>
    <row r="1782" spans="1:8">
      <c r="A1782">
        <v>14193049</v>
      </c>
      <c r="B1782" t="s">
        <v>279</v>
      </c>
      <c r="C1782" t="s">
        <v>1050</v>
      </c>
      <c r="D1782" t="s">
        <v>1055</v>
      </c>
      <c r="E1782" t="s">
        <v>1370</v>
      </c>
      <c r="F1782" s="134">
        <v>0.63633101851851859</v>
      </c>
      <c r="G1782" t="s">
        <v>1373</v>
      </c>
      <c r="H1782" t="s">
        <v>1374</v>
      </c>
    </row>
    <row r="1783" spans="1:8">
      <c r="A1783">
        <v>14193049</v>
      </c>
      <c r="B1783" t="s">
        <v>279</v>
      </c>
      <c r="C1783" t="s">
        <v>1050</v>
      </c>
      <c r="D1783" t="s">
        <v>1055</v>
      </c>
      <c r="E1783" t="s">
        <v>1375</v>
      </c>
      <c r="F1783" s="134">
        <v>0.30684027777777778</v>
      </c>
      <c r="G1783" t="s">
        <v>1371</v>
      </c>
      <c r="H1783" t="s">
        <v>1372</v>
      </c>
    </row>
    <row r="1784" spans="1:8">
      <c r="A1784">
        <v>14193049</v>
      </c>
      <c r="B1784" t="s">
        <v>279</v>
      </c>
      <c r="C1784" t="s">
        <v>1050</v>
      </c>
      <c r="D1784" t="s">
        <v>1055</v>
      </c>
      <c r="E1784" t="s">
        <v>1375</v>
      </c>
      <c r="F1784" s="134">
        <v>0.6393402777777778</v>
      </c>
      <c r="G1784" t="s">
        <v>1373</v>
      </c>
      <c r="H1784" t="s">
        <v>1374</v>
      </c>
    </row>
    <row r="1785" spans="1:8">
      <c r="A1785">
        <v>14193049</v>
      </c>
      <c r="B1785" t="s">
        <v>279</v>
      </c>
      <c r="C1785" t="s">
        <v>1050</v>
      </c>
      <c r="D1785" t="s">
        <v>1055</v>
      </c>
      <c r="E1785" t="s">
        <v>1376</v>
      </c>
      <c r="F1785" s="134">
        <v>0.30997685185185186</v>
      </c>
      <c r="G1785" t="s">
        <v>1371</v>
      </c>
      <c r="H1785" t="s">
        <v>1372</v>
      </c>
    </row>
    <row r="1786" spans="1:8">
      <c r="A1786">
        <v>14193049</v>
      </c>
      <c r="B1786" t="s">
        <v>279</v>
      </c>
      <c r="C1786" t="s">
        <v>1050</v>
      </c>
      <c r="D1786" t="s">
        <v>1055</v>
      </c>
      <c r="E1786" t="s">
        <v>1376</v>
      </c>
      <c r="F1786" s="134">
        <v>0.63921296296296293</v>
      </c>
      <c r="G1786" t="s">
        <v>1373</v>
      </c>
      <c r="H1786" t="s">
        <v>1374</v>
      </c>
    </row>
    <row r="1787" spans="1:8">
      <c r="A1787">
        <v>14193049</v>
      </c>
      <c r="B1787" t="s">
        <v>279</v>
      </c>
      <c r="C1787" t="s">
        <v>1050</v>
      </c>
      <c r="D1787" t="s">
        <v>1055</v>
      </c>
      <c r="E1787" t="s">
        <v>1377</v>
      </c>
      <c r="F1787" s="134">
        <v>0.6306018518518518</v>
      </c>
      <c r="G1787" t="s">
        <v>1373</v>
      </c>
      <c r="H1787" t="s">
        <v>1374</v>
      </c>
    </row>
    <row r="1788" spans="1:8">
      <c r="A1788">
        <v>14193049</v>
      </c>
      <c r="B1788" t="s">
        <v>279</v>
      </c>
      <c r="C1788" t="s">
        <v>1050</v>
      </c>
      <c r="D1788" t="s">
        <v>1055</v>
      </c>
      <c r="E1788" t="s">
        <v>1377</v>
      </c>
      <c r="F1788" s="134">
        <v>0.31004629629629626</v>
      </c>
      <c r="G1788" t="s">
        <v>1371</v>
      </c>
      <c r="H1788" t="s">
        <v>1372</v>
      </c>
    </row>
    <row r="1789" spans="1:8">
      <c r="A1789">
        <v>14193049</v>
      </c>
      <c r="B1789" t="s">
        <v>279</v>
      </c>
      <c r="C1789" t="s">
        <v>1050</v>
      </c>
      <c r="D1789" t="s">
        <v>1055</v>
      </c>
      <c r="E1789" t="s">
        <v>1378</v>
      </c>
      <c r="F1789" s="134">
        <v>0.30624999999999997</v>
      </c>
      <c r="G1789" t="s">
        <v>1371</v>
      </c>
      <c r="H1789" t="s">
        <v>1372</v>
      </c>
    </row>
    <row r="1790" spans="1:8">
      <c r="A1790">
        <v>14193049</v>
      </c>
      <c r="B1790" t="s">
        <v>279</v>
      </c>
      <c r="C1790" t="s">
        <v>1050</v>
      </c>
      <c r="D1790" t="s">
        <v>1055</v>
      </c>
      <c r="E1790" t="s">
        <v>1378</v>
      </c>
      <c r="F1790" s="134">
        <v>0.64143518518518516</v>
      </c>
      <c r="G1790" t="s">
        <v>1373</v>
      </c>
      <c r="H1790" t="s">
        <v>1374</v>
      </c>
    </row>
    <row r="1791" spans="1:8">
      <c r="A1791">
        <v>14193049</v>
      </c>
      <c r="B1791" t="s">
        <v>279</v>
      </c>
      <c r="C1791" t="s">
        <v>1050</v>
      </c>
      <c r="D1791" t="s">
        <v>1055</v>
      </c>
      <c r="E1791" t="s">
        <v>1379</v>
      </c>
      <c r="F1791" s="134">
        <v>0.30651620370370369</v>
      </c>
      <c r="G1791" t="s">
        <v>1371</v>
      </c>
      <c r="H1791" t="s">
        <v>1372</v>
      </c>
    </row>
    <row r="1792" spans="1:8">
      <c r="A1792">
        <v>14193049</v>
      </c>
      <c r="B1792" t="s">
        <v>279</v>
      </c>
      <c r="C1792" t="s">
        <v>1050</v>
      </c>
      <c r="D1792" t="s">
        <v>1055</v>
      </c>
      <c r="E1792" t="s">
        <v>1379</v>
      </c>
      <c r="F1792" s="134">
        <v>0.50446759259259266</v>
      </c>
      <c r="G1792" t="s">
        <v>1371</v>
      </c>
      <c r="H1792" t="s">
        <v>1372</v>
      </c>
    </row>
    <row r="1793" spans="1:8">
      <c r="A1793">
        <v>14193049</v>
      </c>
      <c r="B1793" t="s">
        <v>279</v>
      </c>
      <c r="C1793" t="s">
        <v>1050</v>
      </c>
      <c r="D1793" t="s">
        <v>1055</v>
      </c>
      <c r="E1793" t="s">
        <v>1379</v>
      </c>
      <c r="F1793" s="134">
        <v>0.64253472222222219</v>
      </c>
      <c r="G1793" t="s">
        <v>1373</v>
      </c>
      <c r="H1793" t="s">
        <v>1374</v>
      </c>
    </row>
    <row r="1794" spans="1:8">
      <c r="A1794">
        <v>14277186</v>
      </c>
      <c r="B1794" t="s">
        <v>1387</v>
      </c>
      <c r="C1794" t="s">
        <v>259</v>
      </c>
      <c r="D1794" t="s">
        <v>381</v>
      </c>
      <c r="E1794" t="s">
        <v>1370</v>
      </c>
      <c r="F1794" s="134">
        <v>0.91783564814814822</v>
      </c>
      <c r="G1794" t="s">
        <v>1371</v>
      </c>
      <c r="H1794" t="s">
        <v>1372</v>
      </c>
    </row>
    <row r="1795" spans="1:8">
      <c r="A1795">
        <v>14277186</v>
      </c>
      <c r="B1795" t="s">
        <v>1387</v>
      </c>
      <c r="C1795" t="s">
        <v>259</v>
      </c>
      <c r="D1795" t="s">
        <v>381</v>
      </c>
      <c r="E1795" t="s">
        <v>1375</v>
      </c>
      <c r="F1795" s="134">
        <v>0.32420138888888889</v>
      </c>
      <c r="G1795" t="s">
        <v>1373</v>
      </c>
      <c r="H1795" t="s">
        <v>1374</v>
      </c>
    </row>
    <row r="1796" spans="1:8">
      <c r="A1796">
        <v>14277186</v>
      </c>
      <c r="B1796" t="s">
        <v>1387</v>
      </c>
      <c r="C1796" t="s">
        <v>259</v>
      </c>
      <c r="D1796" t="s">
        <v>381</v>
      </c>
      <c r="E1796" t="s">
        <v>1375</v>
      </c>
      <c r="F1796" s="134">
        <v>0.91822916666666676</v>
      </c>
      <c r="G1796" t="s">
        <v>1371</v>
      </c>
      <c r="H1796" t="s">
        <v>1372</v>
      </c>
    </row>
    <row r="1797" spans="1:8">
      <c r="A1797">
        <v>14277186</v>
      </c>
      <c r="B1797" t="s">
        <v>1387</v>
      </c>
      <c r="C1797" t="s">
        <v>259</v>
      </c>
      <c r="D1797" t="s">
        <v>381</v>
      </c>
      <c r="E1797" t="s">
        <v>1376</v>
      </c>
      <c r="F1797" s="134">
        <v>0.91871527777777784</v>
      </c>
      <c r="G1797" t="s">
        <v>1371</v>
      </c>
      <c r="H1797" t="s">
        <v>1372</v>
      </c>
    </row>
    <row r="1798" spans="1:8">
      <c r="A1798">
        <v>14277186</v>
      </c>
      <c r="B1798" t="s">
        <v>1387</v>
      </c>
      <c r="C1798" t="s">
        <v>259</v>
      </c>
      <c r="D1798" t="s">
        <v>381</v>
      </c>
      <c r="E1798" t="s">
        <v>1376</v>
      </c>
      <c r="F1798" s="134">
        <v>0.32193287037037038</v>
      </c>
      <c r="G1798" t="s">
        <v>1373</v>
      </c>
      <c r="H1798" t="s">
        <v>1374</v>
      </c>
    </row>
    <row r="1799" spans="1:8">
      <c r="A1799">
        <v>14277186</v>
      </c>
      <c r="B1799" t="s">
        <v>1387</v>
      </c>
      <c r="C1799" t="s">
        <v>259</v>
      </c>
      <c r="D1799" t="s">
        <v>381</v>
      </c>
      <c r="E1799" t="s">
        <v>1377</v>
      </c>
      <c r="F1799" s="134">
        <v>0.32032407407407409</v>
      </c>
      <c r="G1799" t="s">
        <v>1373</v>
      </c>
      <c r="H1799" t="s">
        <v>1374</v>
      </c>
    </row>
    <row r="1800" spans="1:8">
      <c r="A1800">
        <v>14277186</v>
      </c>
      <c r="B1800" t="s">
        <v>1387</v>
      </c>
      <c r="C1800" t="s">
        <v>259</v>
      </c>
      <c r="D1800" t="s">
        <v>381</v>
      </c>
      <c r="E1800" t="s">
        <v>1377</v>
      </c>
      <c r="F1800" s="134">
        <v>0.91978009259259252</v>
      </c>
      <c r="G1800" t="s">
        <v>1371</v>
      </c>
      <c r="H1800" t="s">
        <v>1372</v>
      </c>
    </row>
    <row r="1801" spans="1:8">
      <c r="A1801">
        <v>14277186</v>
      </c>
      <c r="B1801" t="s">
        <v>1387</v>
      </c>
      <c r="C1801" t="s">
        <v>259</v>
      </c>
      <c r="D1801" t="s">
        <v>381</v>
      </c>
      <c r="E1801" t="s">
        <v>1378</v>
      </c>
      <c r="F1801" s="134">
        <v>0.3203125</v>
      </c>
      <c r="G1801" t="s">
        <v>1373</v>
      </c>
      <c r="H1801" t="s">
        <v>1374</v>
      </c>
    </row>
    <row r="1802" spans="1:8">
      <c r="A1802">
        <v>14277186</v>
      </c>
      <c r="B1802" t="s">
        <v>1387</v>
      </c>
      <c r="C1802" t="s">
        <v>259</v>
      </c>
      <c r="D1802" t="s">
        <v>381</v>
      </c>
      <c r="E1802" t="s">
        <v>1378</v>
      </c>
      <c r="F1802" s="134">
        <v>0.3203125</v>
      </c>
      <c r="G1802" t="s">
        <v>1373</v>
      </c>
      <c r="H1802" t="s">
        <v>1374</v>
      </c>
    </row>
    <row r="1803" spans="1:8">
      <c r="A1803">
        <v>14277186</v>
      </c>
      <c r="B1803" t="s">
        <v>1387</v>
      </c>
      <c r="C1803" t="s">
        <v>259</v>
      </c>
      <c r="D1803" t="s">
        <v>381</v>
      </c>
      <c r="E1803" t="s">
        <v>1378</v>
      </c>
      <c r="F1803" s="134">
        <v>0.93693287037037043</v>
      </c>
      <c r="G1803" t="s">
        <v>1371</v>
      </c>
      <c r="H1803" t="s">
        <v>1372</v>
      </c>
    </row>
    <row r="1804" spans="1:8">
      <c r="A1804">
        <v>14277186</v>
      </c>
      <c r="B1804" t="s">
        <v>1387</v>
      </c>
      <c r="C1804" t="s">
        <v>259</v>
      </c>
      <c r="D1804" t="s">
        <v>381</v>
      </c>
      <c r="E1804" t="s">
        <v>1379</v>
      </c>
      <c r="F1804" s="134">
        <v>0.3210763888888889</v>
      </c>
      <c r="G1804" t="s">
        <v>1373</v>
      </c>
      <c r="H1804" t="s">
        <v>1374</v>
      </c>
    </row>
    <row r="1805" spans="1:8">
      <c r="A1805">
        <v>14307619</v>
      </c>
      <c r="B1805" t="s">
        <v>1148</v>
      </c>
      <c r="C1805" t="s">
        <v>176</v>
      </c>
      <c r="D1805" t="s">
        <v>177</v>
      </c>
      <c r="E1805" t="s">
        <v>1370</v>
      </c>
      <c r="F1805" s="134">
        <v>0.62379629629629629</v>
      </c>
      <c r="G1805" t="s">
        <v>1371</v>
      </c>
      <c r="H1805" t="s">
        <v>1372</v>
      </c>
    </row>
    <row r="1806" spans="1:8">
      <c r="A1806">
        <v>14307619</v>
      </c>
      <c r="B1806" t="s">
        <v>1148</v>
      </c>
      <c r="C1806" t="s">
        <v>176</v>
      </c>
      <c r="D1806" t="s">
        <v>177</v>
      </c>
      <c r="E1806" t="s">
        <v>1370</v>
      </c>
      <c r="F1806" s="134">
        <v>0.93868055555555552</v>
      </c>
      <c r="G1806" t="s">
        <v>1373</v>
      </c>
      <c r="H1806" t="s">
        <v>1374</v>
      </c>
    </row>
    <row r="1807" spans="1:8">
      <c r="A1807">
        <v>14307619</v>
      </c>
      <c r="B1807" t="s">
        <v>1148</v>
      </c>
      <c r="C1807" t="s">
        <v>176</v>
      </c>
      <c r="D1807" t="s">
        <v>177</v>
      </c>
      <c r="E1807" t="s">
        <v>1375</v>
      </c>
      <c r="F1807" s="134">
        <v>0.62847222222222221</v>
      </c>
      <c r="G1807" t="s">
        <v>1371</v>
      </c>
      <c r="H1807" t="s">
        <v>1372</v>
      </c>
    </row>
    <row r="1808" spans="1:8">
      <c r="A1808">
        <v>14307619</v>
      </c>
      <c r="B1808" t="s">
        <v>1148</v>
      </c>
      <c r="C1808" t="s">
        <v>176</v>
      </c>
      <c r="D1808" t="s">
        <v>177</v>
      </c>
      <c r="E1808" t="s">
        <v>1375</v>
      </c>
      <c r="F1808" s="134">
        <v>0.93817129629629636</v>
      </c>
      <c r="G1808" t="s">
        <v>1373</v>
      </c>
      <c r="H1808" t="s">
        <v>1374</v>
      </c>
    </row>
    <row r="1809" spans="1:8">
      <c r="A1809">
        <v>14307619</v>
      </c>
      <c r="B1809" t="s">
        <v>1148</v>
      </c>
      <c r="C1809" t="s">
        <v>176</v>
      </c>
      <c r="D1809" t="s">
        <v>177</v>
      </c>
      <c r="E1809" t="s">
        <v>1376</v>
      </c>
      <c r="F1809" s="134">
        <v>0.62160879629629628</v>
      </c>
      <c r="G1809" t="s">
        <v>1371</v>
      </c>
      <c r="H1809" t="s">
        <v>1372</v>
      </c>
    </row>
    <row r="1810" spans="1:8">
      <c r="A1810">
        <v>14307619</v>
      </c>
      <c r="B1810" t="s">
        <v>1148</v>
      </c>
      <c r="C1810" t="s">
        <v>176</v>
      </c>
      <c r="D1810" t="s">
        <v>177</v>
      </c>
      <c r="E1810" t="s">
        <v>1376</v>
      </c>
      <c r="F1810" s="134">
        <v>0.93552083333333336</v>
      </c>
      <c r="G1810" t="s">
        <v>1373</v>
      </c>
      <c r="H1810" t="s">
        <v>1374</v>
      </c>
    </row>
    <row r="1811" spans="1:8">
      <c r="A1811">
        <v>14307619</v>
      </c>
      <c r="B1811" t="s">
        <v>1148</v>
      </c>
      <c r="C1811" t="s">
        <v>176</v>
      </c>
      <c r="D1811" t="s">
        <v>177</v>
      </c>
      <c r="E1811" t="s">
        <v>1377</v>
      </c>
      <c r="F1811" s="134">
        <v>0.93918981481481489</v>
      </c>
      <c r="G1811" t="s">
        <v>1373</v>
      </c>
      <c r="H1811" t="s">
        <v>1374</v>
      </c>
    </row>
    <row r="1812" spans="1:8">
      <c r="A1812">
        <v>14307619</v>
      </c>
      <c r="B1812" t="s">
        <v>1148</v>
      </c>
      <c r="C1812" t="s">
        <v>176</v>
      </c>
      <c r="D1812" t="s">
        <v>177</v>
      </c>
      <c r="E1812" t="s">
        <v>1377</v>
      </c>
      <c r="F1812" s="134">
        <v>0.63031249999999994</v>
      </c>
      <c r="G1812" t="s">
        <v>1371</v>
      </c>
      <c r="H1812" t="s">
        <v>1372</v>
      </c>
    </row>
    <row r="1813" spans="1:8">
      <c r="A1813">
        <v>14307619</v>
      </c>
      <c r="B1813" t="s">
        <v>1148</v>
      </c>
      <c r="C1813" t="s">
        <v>176</v>
      </c>
      <c r="D1813" t="s">
        <v>177</v>
      </c>
      <c r="E1813" t="s">
        <v>1378</v>
      </c>
      <c r="F1813" s="134">
        <v>0.62564814814814818</v>
      </c>
      <c r="G1813" t="s">
        <v>1371</v>
      </c>
      <c r="H1813" t="s">
        <v>1372</v>
      </c>
    </row>
    <row r="1814" spans="1:8">
      <c r="A1814">
        <v>14307619</v>
      </c>
      <c r="B1814" t="s">
        <v>1148</v>
      </c>
      <c r="C1814" t="s">
        <v>176</v>
      </c>
      <c r="D1814" t="s">
        <v>177</v>
      </c>
      <c r="E1814" t="s">
        <v>1378</v>
      </c>
      <c r="F1814" s="134">
        <v>0.93863425925925925</v>
      </c>
      <c r="G1814" t="s">
        <v>1373</v>
      </c>
      <c r="H1814" t="s">
        <v>1374</v>
      </c>
    </row>
    <row r="1815" spans="1:8">
      <c r="A1815">
        <v>14307619</v>
      </c>
      <c r="B1815" t="s">
        <v>1148</v>
      </c>
      <c r="C1815" t="s">
        <v>176</v>
      </c>
      <c r="D1815" t="s">
        <v>177</v>
      </c>
      <c r="E1815" t="s">
        <v>1379</v>
      </c>
      <c r="F1815" s="134">
        <v>0.62539351851851854</v>
      </c>
      <c r="G1815" t="s">
        <v>1371</v>
      </c>
      <c r="H1815" t="s">
        <v>1372</v>
      </c>
    </row>
    <row r="1816" spans="1:8">
      <c r="A1816">
        <v>14307619</v>
      </c>
      <c r="B1816" t="s">
        <v>1148</v>
      </c>
      <c r="C1816" t="s">
        <v>176</v>
      </c>
      <c r="D1816" t="s">
        <v>177</v>
      </c>
      <c r="E1816" t="s">
        <v>1379</v>
      </c>
      <c r="F1816" s="134">
        <v>0.93596064814814817</v>
      </c>
      <c r="G1816" t="s">
        <v>1373</v>
      </c>
      <c r="H1816" t="s">
        <v>1374</v>
      </c>
    </row>
    <row r="1817" spans="1:8">
      <c r="A1817">
        <v>14336328</v>
      </c>
      <c r="B1817" t="s">
        <v>373</v>
      </c>
      <c r="C1817" t="s">
        <v>372</v>
      </c>
      <c r="D1817" t="s">
        <v>346</v>
      </c>
      <c r="E1817" t="s">
        <v>1370</v>
      </c>
      <c r="F1817" s="134">
        <v>0.29503472222222221</v>
      </c>
      <c r="G1817" t="s">
        <v>1371</v>
      </c>
      <c r="H1817" t="s">
        <v>1372</v>
      </c>
    </row>
    <row r="1818" spans="1:8">
      <c r="A1818">
        <v>14336328</v>
      </c>
      <c r="B1818" t="s">
        <v>373</v>
      </c>
      <c r="C1818" t="s">
        <v>372</v>
      </c>
      <c r="D1818" t="s">
        <v>346</v>
      </c>
      <c r="E1818" t="s">
        <v>1370</v>
      </c>
      <c r="F1818" s="134">
        <v>0.63511574074074073</v>
      </c>
      <c r="G1818" t="s">
        <v>1373</v>
      </c>
      <c r="H1818" t="s">
        <v>1374</v>
      </c>
    </row>
    <row r="1819" spans="1:8">
      <c r="A1819">
        <v>14336328</v>
      </c>
      <c r="B1819" t="s">
        <v>373</v>
      </c>
      <c r="C1819" t="s">
        <v>372</v>
      </c>
      <c r="D1819" t="s">
        <v>346</v>
      </c>
      <c r="E1819" t="s">
        <v>1375</v>
      </c>
      <c r="F1819" s="134">
        <v>0.29523148148148148</v>
      </c>
      <c r="G1819" t="s">
        <v>1371</v>
      </c>
      <c r="H1819" t="s">
        <v>1372</v>
      </c>
    </row>
    <row r="1820" spans="1:8">
      <c r="A1820">
        <v>14336328</v>
      </c>
      <c r="B1820" t="s">
        <v>373</v>
      </c>
      <c r="C1820" t="s">
        <v>372</v>
      </c>
      <c r="D1820" t="s">
        <v>346</v>
      </c>
      <c r="E1820" t="s">
        <v>1375</v>
      </c>
      <c r="F1820" s="134">
        <v>0.63799768518518518</v>
      </c>
      <c r="G1820" t="s">
        <v>1373</v>
      </c>
      <c r="H1820" t="s">
        <v>1374</v>
      </c>
    </row>
    <row r="1821" spans="1:8">
      <c r="A1821">
        <v>14336328</v>
      </c>
      <c r="B1821" t="s">
        <v>373</v>
      </c>
      <c r="C1821" t="s">
        <v>372</v>
      </c>
      <c r="D1821" t="s">
        <v>346</v>
      </c>
      <c r="E1821" t="s">
        <v>1376</v>
      </c>
      <c r="F1821" s="134">
        <v>0.63932870370370376</v>
      </c>
      <c r="G1821" t="s">
        <v>1373</v>
      </c>
      <c r="H1821" t="s">
        <v>1374</v>
      </c>
    </row>
    <row r="1822" spans="1:8">
      <c r="A1822">
        <v>14336328</v>
      </c>
      <c r="B1822" t="s">
        <v>373</v>
      </c>
      <c r="C1822" t="s">
        <v>372</v>
      </c>
      <c r="D1822" t="s">
        <v>346</v>
      </c>
      <c r="E1822" t="s">
        <v>1376</v>
      </c>
      <c r="F1822" s="134">
        <v>0.29592592592592593</v>
      </c>
      <c r="G1822" t="s">
        <v>1371</v>
      </c>
      <c r="H1822" t="s">
        <v>1372</v>
      </c>
    </row>
    <row r="1823" spans="1:8">
      <c r="A1823">
        <v>14336328</v>
      </c>
      <c r="B1823" t="s">
        <v>373</v>
      </c>
      <c r="C1823" t="s">
        <v>372</v>
      </c>
      <c r="D1823" t="s">
        <v>346</v>
      </c>
      <c r="E1823" t="s">
        <v>1377</v>
      </c>
      <c r="F1823" s="134">
        <v>0.29559027777777774</v>
      </c>
      <c r="G1823" t="s">
        <v>1371</v>
      </c>
      <c r="H1823" t="s">
        <v>1372</v>
      </c>
    </row>
    <row r="1824" spans="1:8">
      <c r="A1824">
        <v>14336328</v>
      </c>
      <c r="B1824" t="s">
        <v>373</v>
      </c>
      <c r="C1824" t="s">
        <v>372</v>
      </c>
      <c r="D1824" t="s">
        <v>346</v>
      </c>
      <c r="E1824" t="s">
        <v>1377</v>
      </c>
      <c r="F1824" s="134">
        <v>0.63517361111111115</v>
      </c>
      <c r="G1824" t="s">
        <v>1373</v>
      </c>
      <c r="H1824" t="s">
        <v>1374</v>
      </c>
    </row>
    <row r="1825" spans="1:8">
      <c r="A1825">
        <v>14336328</v>
      </c>
      <c r="B1825" t="s">
        <v>373</v>
      </c>
      <c r="C1825" t="s">
        <v>372</v>
      </c>
      <c r="D1825" t="s">
        <v>346</v>
      </c>
      <c r="E1825" t="s">
        <v>1378</v>
      </c>
      <c r="F1825" s="134">
        <v>0.2963425925925926</v>
      </c>
      <c r="G1825" t="s">
        <v>1371</v>
      </c>
      <c r="H1825" t="s">
        <v>1372</v>
      </c>
    </row>
    <row r="1826" spans="1:8">
      <c r="A1826">
        <v>14336328</v>
      </c>
      <c r="B1826" t="s">
        <v>373</v>
      </c>
      <c r="C1826" t="s">
        <v>372</v>
      </c>
      <c r="D1826" t="s">
        <v>346</v>
      </c>
      <c r="E1826" t="s">
        <v>1378</v>
      </c>
      <c r="F1826" s="134">
        <v>0.63542824074074067</v>
      </c>
      <c r="G1826" t="s">
        <v>1373</v>
      </c>
      <c r="H1826" t="s">
        <v>1374</v>
      </c>
    </row>
    <row r="1827" spans="1:8">
      <c r="A1827">
        <v>14336328</v>
      </c>
      <c r="B1827" t="s">
        <v>373</v>
      </c>
      <c r="C1827" t="s">
        <v>372</v>
      </c>
      <c r="D1827" t="s">
        <v>346</v>
      </c>
      <c r="E1827" t="s">
        <v>1379</v>
      </c>
      <c r="F1827" s="134">
        <v>0.29538194444444443</v>
      </c>
      <c r="G1827" t="s">
        <v>1371</v>
      </c>
      <c r="H1827" t="s">
        <v>1372</v>
      </c>
    </row>
    <row r="1828" spans="1:8">
      <c r="A1828">
        <v>14336328</v>
      </c>
      <c r="B1828" t="s">
        <v>373</v>
      </c>
      <c r="C1828" t="s">
        <v>372</v>
      </c>
      <c r="D1828" t="s">
        <v>346</v>
      </c>
      <c r="E1828" t="s">
        <v>1379</v>
      </c>
      <c r="F1828" s="134">
        <v>0.63598379629629631</v>
      </c>
      <c r="G1828" t="s">
        <v>1373</v>
      </c>
      <c r="H1828" t="s">
        <v>1374</v>
      </c>
    </row>
    <row r="1829" spans="1:8">
      <c r="A1829">
        <v>14336364</v>
      </c>
      <c r="B1829" t="s">
        <v>519</v>
      </c>
      <c r="C1829" t="s">
        <v>296</v>
      </c>
      <c r="D1829" t="s">
        <v>153</v>
      </c>
      <c r="E1829" t="s">
        <v>1370</v>
      </c>
      <c r="F1829" s="134">
        <v>0.32587962962962963</v>
      </c>
      <c r="G1829" t="s">
        <v>1373</v>
      </c>
      <c r="H1829" t="s">
        <v>1374</v>
      </c>
    </row>
    <row r="1830" spans="1:8">
      <c r="A1830">
        <v>14336364</v>
      </c>
      <c r="B1830" t="s">
        <v>519</v>
      </c>
      <c r="C1830" t="s">
        <v>296</v>
      </c>
      <c r="D1830" t="s">
        <v>153</v>
      </c>
      <c r="E1830" t="s">
        <v>1375</v>
      </c>
      <c r="F1830" s="134">
        <v>0.30862268518518515</v>
      </c>
      <c r="G1830" t="s">
        <v>1371</v>
      </c>
      <c r="H1830" t="s">
        <v>1372</v>
      </c>
    </row>
    <row r="1831" spans="1:8">
      <c r="A1831">
        <v>14336364</v>
      </c>
      <c r="B1831" t="s">
        <v>519</v>
      </c>
      <c r="C1831" t="s">
        <v>296</v>
      </c>
      <c r="D1831" t="s">
        <v>153</v>
      </c>
      <c r="E1831" t="s">
        <v>1375</v>
      </c>
      <c r="F1831" s="134">
        <v>0.80104166666666676</v>
      </c>
      <c r="G1831" t="s">
        <v>1373</v>
      </c>
      <c r="H1831" t="s">
        <v>1374</v>
      </c>
    </row>
    <row r="1832" spans="1:8">
      <c r="A1832">
        <v>14336364</v>
      </c>
      <c r="B1832" t="s">
        <v>519</v>
      </c>
      <c r="C1832" t="s">
        <v>296</v>
      </c>
      <c r="D1832" t="s">
        <v>153</v>
      </c>
      <c r="E1832" t="s">
        <v>1376</v>
      </c>
      <c r="F1832" s="134">
        <v>0.30777777777777776</v>
      </c>
      <c r="G1832" t="s">
        <v>1371</v>
      </c>
      <c r="H1832" t="s">
        <v>1372</v>
      </c>
    </row>
    <row r="1833" spans="1:8">
      <c r="A1833">
        <v>14336364</v>
      </c>
      <c r="B1833" t="s">
        <v>519</v>
      </c>
      <c r="C1833" t="s">
        <v>296</v>
      </c>
      <c r="D1833" t="s">
        <v>153</v>
      </c>
      <c r="E1833" t="s">
        <v>1376</v>
      </c>
      <c r="F1833" s="134">
        <v>0.79875000000000007</v>
      </c>
      <c r="G1833" t="s">
        <v>1373</v>
      </c>
      <c r="H1833" t="s">
        <v>1374</v>
      </c>
    </row>
    <row r="1834" spans="1:8">
      <c r="A1834">
        <v>14336364</v>
      </c>
      <c r="B1834" t="s">
        <v>519</v>
      </c>
      <c r="C1834" t="s">
        <v>296</v>
      </c>
      <c r="D1834" t="s">
        <v>153</v>
      </c>
      <c r="E1834" t="s">
        <v>1377</v>
      </c>
      <c r="F1834" s="134">
        <v>0.44155092592592587</v>
      </c>
      <c r="G1834" t="s">
        <v>1371</v>
      </c>
      <c r="H1834" t="s">
        <v>1372</v>
      </c>
    </row>
    <row r="1835" spans="1:8">
      <c r="A1835">
        <v>14336364</v>
      </c>
      <c r="B1835" t="s">
        <v>519</v>
      </c>
      <c r="C1835" t="s">
        <v>296</v>
      </c>
      <c r="D1835" t="s">
        <v>153</v>
      </c>
      <c r="E1835" t="s">
        <v>1377</v>
      </c>
      <c r="F1835" s="134">
        <v>0.89148148148148154</v>
      </c>
      <c r="G1835" t="s">
        <v>1373</v>
      </c>
      <c r="H1835" t="s">
        <v>1374</v>
      </c>
    </row>
    <row r="1836" spans="1:8">
      <c r="A1836">
        <v>14336364</v>
      </c>
      <c r="B1836" t="s">
        <v>519</v>
      </c>
      <c r="C1836" t="s">
        <v>296</v>
      </c>
      <c r="D1836" t="s">
        <v>153</v>
      </c>
      <c r="E1836" t="s">
        <v>1378</v>
      </c>
      <c r="F1836" s="134">
        <v>0.43997685185185187</v>
      </c>
      <c r="G1836" t="s">
        <v>1371</v>
      </c>
      <c r="H1836" t="s">
        <v>1372</v>
      </c>
    </row>
    <row r="1837" spans="1:8">
      <c r="A1837">
        <v>14336364</v>
      </c>
      <c r="B1837" t="s">
        <v>519</v>
      </c>
      <c r="C1837" t="s">
        <v>296</v>
      </c>
      <c r="D1837" t="s">
        <v>153</v>
      </c>
      <c r="E1837" t="s">
        <v>1378</v>
      </c>
      <c r="F1837" s="134">
        <v>0.87409722222222219</v>
      </c>
      <c r="G1837" t="s">
        <v>1373</v>
      </c>
      <c r="H1837" t="s">
        <v>1374</v>
      </c>
    </row>
    <row r="1838" spans="1:8">
      <c r="A1838">
        <v>14336364</v>
      </c>
      <c r="B1838" t="s">
        <v>519</v>
      </c>
      <c r="C1838" t="s">
        <v>296</v>
      </c>
      <c r="D1838" t="s">
        <v>153</v>
      </c>
      <c r="E1838" t="s">
        <v>1382</v>
      </c>
      <c r="F1838" s="134">
        <v>0.99493055555555554</v>
      </c>
      <c r="G1838" t="s">
        <v>1371</v>
      </c>
      <c r="H1838" t="s">
        <v>1372</v>
      </c>
    </row>
    <row r="1839" spans="1:8">
      <c r="A1839">
        <v>14383969</v>
      </c>
      <c r="B1839" t="s">
        <v>970</v>
      </c>
      <c r="C1839" t="s">
        <v>558</v>
      </c>
      <c r="D1839" t="s">
        <v>969</v>
      </c>
      <c r="E1839" t="s">
        <v>1370</v>
      </c>
      <c r="F1839" s="134">
        <v>0.91863425925925923</v>
      </c>
      <c r="G1839" t="s">
        <v>1371</v>
      </c>
      <c r="H1839" t="s">
        <v>1372</v>
      </c>
    </row>
    <row r="1840" spans="1:8">
      <c r="A1840">
        <v>14383969</v>
      </c>
      <c r="B1840" t="s">
        <v>970</v>
      </c>
      <c r="C1840" t="s">
        <v>558</v>
      </c>
      <c r="D1840" t="s">
        <v>969</v>
      </c>
      <c r="E1840" t="s">
        <v>1375</v>
      </c>
      <c r="F1840" s="134">
        <v>0.3564930555555556</v>
      </c>
      <c r="G1840" t="s">
        <v>1373</v>
      </c>
      <c r="H1840" t="s">
        <v>1374</v>
      </c>
    </row>
    <row r="1841" spans="1:8">
      <c r="A1841">
        <v>14383969</v>
      </c>
      <c r="B1841" t="s">
        <v>970</v>
      </c>
      <c r="C1841" t="s">
        <v>558</v>
      </c>
      <c r="D1841" t="s">
        <v>969</v>
      </c>
      <c r="E1841" t="s">
        <v>1375</v>
      </c>
      <c r="F1841" s="134">
        <v>0.9194444444444444</v>
      </c>
      <c r="G1841" t="s">
        <v>1371</v>
      </c>
      <c r="H1841" t="s">
        <v>1372</v>
      </c>
    </row>
    <row r="1842" spans="1:8">
      <c r="A1842">
        <v>14383969</v>
      </c>
      <c r="B1842" t="s">
        <v>970</v>
      </c>
      <c r="C1842" t="s">
        <v>558</v>
      </c>
      <c r="D1842" t="s">
        <v>969</v>
      </c>
      <c r="E1842" t="s">
        <v>1376</v>
      </c>
      <c r="F1842" s="134">
        <v>0.3205324074074074</v>
      </c>
      <c r="G1842" t="s">
        <v>1373</v>
      </c>
      <c r="H1842" t="s">
        <v>1374</v>
      </c>
    </row>
    <row r="1843" spans="1:8">
      <c r="A1843">
        <v>14383969</v>
      </c>
      <c r="B1843" t="s">
        <v>970</v>
      </c>
      <c r="C1843" t="s">
        <v>558</v>
      </c>
      <c r="D1843" t="s">
        <v>969</v>
      </c>
      <c r="E1843" t="s">
        <v>1376</v>
      </c>
      <c r="F1843" s="134">
        <v>0.92126157407407405</v>
      </c>
      <c r="G1843" t="s">
        <v>1371</v>
      </c>
      <c r="H1843" t="s">
        <v>1372</v>
      </c>
    </row>
    <row r="1844" spans="1:8">
      <c r="A1844">
        <v>14383969</v>
      </c>
      <c r="B1844" t="s">
        <v>970</v>
      </c>
      <c r="C1844" t="s">
        <v>558</v>
      </c>
      <c r="D1844" t="s">
        <v>969</v>
      </c>
      <c r="E1844" t="s">
        <v>1377</v>
      </c>
      <c r="F1844" s="134">
        <v>0.32576388888888891</v>
      </c>
      <c r="G1844" t="s">
        <v>1373</v>
      </c>
      <c r="H1844" t="s">
        <v>1374</v>
      </c>
    </row>
    <row r="1845" spans="1:8">
      <c r="A1845">
        <v>14383969</v>
      </c>
      <c r="B1845" t="s">
        <v>970</v>
      </c>
      <c r="C1845" t="s">
        <v>558</v>
      </c>
      <c r="D1845" t="s">
        <v>969</v>
      </c>
      <c r="E1845" t="s">
        <v>1377</v>
      </c>
      <c r="F1845" s="134">
        <v>0.92011574074074076</v>
      </c>
      <c r="G1845" t="s">
        <v>1371</v>
      </c>
      <c r="H1845" t="s">
        <v>1372</v>
      </c>
    </row>
    <row r="1846" spans="1:8">
      <c r="A1846">
        <v>14383969</v>
      </c>
      <c r="B1846" t="s">
        <v>970</v>
      </c>
      <c r="C1846" t="s">
        <v>558</v>
      </c>
      <c r="D1846" t="s">
        <v>969</v>
      </c>
      <c r="E1846" t="s">
        <v>1378</v>
      </c>
      <c r="F1846" s="134">
        <v>0.32335648148148149</v>
      </c>
      <c r="G1846" t="s">
        <v>1373</v>
      </c>
      <c r="H1846" t="s">
        <v>1374</v>
      </c>
    </row>
    <row r="1847" spans="1:8">
      <c r="A1847">
        <v>14383969</v>
      </c>
      <c r="B1847" t="s">
        <v>970</v>
      </c>
      <c r="C1847" t="s">
        <v>558</v>
      </c>
      <c r="D1847" t="s">
        <v>969</v>
      </c>
      <c r="E1847" t="s">
        <v>1378</v>
      </c>
      <c r="F1847" s="134">
        <v>0.92085648148148147</v>
      </c>
      <c r="G1847" t="s">
        <v>1371</v>
      </c>
      <c r="H1847" t="s">
        <v>1372</v>
      </c>
    </row>
    <row r="1848" spans="1:8">
      <c r="A1848">
        <v>14383969</v>
      </c>
      <c r="B1848" t="s">
        <v>970</v>
      </c>
      <c r="C1848" t="s">
        <v>558</v>
      </c>
      <c r="D1848" t="s">
        <v>969</v>
      </c>
      <c r="E1848" t="s">
        <v>1379</v>
      </c>
      <c r="F1848" s="134">
        <v>0.32412037037037039</v>
      </c>
      <c r="G1848" t="s">
        <v>1373</v>
      </c>
      <c r="H1848" t="s">
        <v>1374</v>
      </c>
    </row>
    <row r="1849" spans="1:8">
      <c r="A1849">
        <v>15102640</v>
      </c>
      <c r="B1849" t="s">
        <v>368</v>
      </c>
      <c r="C1849" t="s">
        <v>615</v>
      </c>
      <c r="D1849" t="s">
        <v>878</v>
      </c>
      <c r="E1849" t="s">
        <v>1370</v>
      </c>
      <c r="F1849" s="134">
        <v>0.61496527777777776</v>
      </c>
      <c r="G1849" t="s">
        <v>1371</v>
      </c>
      <c r="H1849" t="s">
        <v>1372</v>
      </c>
    </row>
    <row r="1850" spans="1:8">
      <c r="A1850">
        <v>15102640</v>
      </c>
      <c r="B1850" t="s">
        <v>368</v>
      </c>
      <c r="C1850" t="s">
        <v>615</v>
      </c>
      <c r="D1850" t="s">
        <v>878</v>
      </c>
      <c r="E1850" t="s">
        <v>1370</v>
      </c>
      <c r="F1850" s="134">
        <v>0.9459143518518518</v>
      </c>
      <c r="G1850" t="s">
        <v>1373</v>
      </c>
      <c r="H1850" t="s">
        <v>1374</v>
      </c>
    </row>
    <row r="1851" spans="1:8">
      <c r="A1851">
        <v>15102640</v>
      </c>
      <c r="B1851" t="s">
        <v>368</v>
      </c>
      <c r="C1851" t="s">
        <v>615</v>
      </c>
      <c r="D1851" t="s">
        <v>878</v>
      </c>
      <c r="E1851" t="s">
        <v>1375</v>
      </c>
      <c r="F1851" s="134">
        <v>0.6159027777777778</v>
      </c>
      <c r="G1851" t="s">
        <v>1371</v>
      </c>
      <c r="H1851" t="s">
        <v>1372</v>
      </c>
    </row>
    <row r="1852" spans="1:8">
      <c r="A1852">
        <v>15102640</v>
      </c>
      <c r="B1852" t="s">
        <v>368</v>
      </c>
      <c r="C1852" t="s">
        <v>615</v>
      </c>
      <c r="D1852" t="s">
        <v>878</v>
      </c>
      <c r="E1852" t="s">
        <v>1375</v>
      </c>
      <c r="F1852" s="134">
        <v>0.95068287037037036</v>
      </c>
      <c r="G1852" t="s">
        <v>1373</v>
      </c>
      <c r="H1852" t="s">
        <v>1374</v>
      </c>
    </row>
    <row r="1853" spans="1:8">
      <c r="A1853">
        <v>15102640</v>
      </c>
      <c r="B1853" t="s">
        <v>368</v>
      </c>
      <c r="C1853" t="s">
        <v>615</v>
      </c>
      <c r="D1853" t="s">
        <v>878</v>
      </c>
      <c r="E1853" t="s">
        <v>1376</v>
      </c>
      <c r="F1853" s="134">
        <v>0.93504629629629632</v>
      </c>
      <c r="G1853" t="s">
        <v>1373</v>
      </c>
      <c r="H1853" t="s">
        <v>1374</v>
      </c>
    </row>
    <row r="1854" spans="1:8">
      <c r="A1854">
        <v>15102640</v>
      </c>
      <c r="B1854" t="s">
        <v>368</v>
      </c>
      <c r="C1854" t="s">
        <v>615</v>
      </c>
      <c r="D1854" t="s">
        <v>878</v>
      </c>
      <c r="E1854" t="s">
        <v>1376</v>
      </c>
      <c r="F1854" s="134">
        <v>0.6175694444444445</v>
      </c>
      <c r="G1854" t="s">
        <v>1371</v>
      </c>
      <c r="H1854" t="s">
        <v>1372</v>
      </c>
    </row>
    <row r="1855" spans="1:8">
      <c r="A1855">
        <v>15102640</v>
      </c>
      <c r="B1855" t="s">
        <v>368</v>
      </c>
      <c r="C1855" t="s">
        <v>615</v>
      </c>
      <c r="D1855" t="s">
        <v>878</v>
      </c>
      <c r="E1855" t="s">
        <v>1377</v>
      </c>
      <c r="F1855" s="134">
        <v>0.625</v>
      </c>
      <c r="G1855" t="s">
        <v>1371</v>
      </c>
      <c r="H1855" t="s">
        <v>1372</v>
      </c>
    </row>
    <row r="1856" spans="1:8">
      <c r="A1856">
        <v>15102640</v>
      </c>
      <c r="B1856" t="s">
        <v>368</v>
      </c>
      <c r="C1856" t="s">
        <v>615</v>
      </c>
      <c r="D1856" t="s">
        <v>878</v>
      </c>
      <c r="E1856" t="s">
        <v>1377</v>
      </c>
      <c r="F1856" s="134">
        <v>0.94144675925925936</v>
      </c>
      <c r="G1856" t="s">
        <v>1373</v>
      </c>
      <c r="H1856" t="s">
        <v>1374</v>
      </c>
    </row>
    <row r="1857" spans="1:8">
      <c r="A1857">
        <v>15102640</v>
      </c>
      <c r="B1857" t="s">
        <v>368</v>
      </c>
      <c r="C1857" t="s">
        <v>615</v>
      </c>
      <c r="D1857" t="s">
        <v>878</v>
      </c>
      <c r="E1857" t="s">
        <v>1378</v>
      </c>
      <c r="F1857" s="134">
        <v>0.62155092592592587</v>
      </c>
      <c r="G1857" t="s">
        <v>1371</v>
      </c>
      <c r="H1857" t="s">
        <v>1372</v>
      </c>
    </row>
    <row r="1858" spans="1:8">
      <c r="A1858">
        <v>15102640</v>
      </c>
      <c r="B1858" t="s">
        <v>368</v>
      </c>
      <c r="C1858" t="s">
        <v>615</v>
      </c>
      <c r="D1858" t="s">
        <v>878</v>
      </c>
      <c r="E1858" t="s">
        <v>1378</v>
      </c>
      <c r="F1858" s="134">
        <v>0.94256944444444446</v>
      </c>
      <c r="G1858" t="s">
        <v>1373</v>
      </c>
      <c r="H1858" t="s">
        <v>1374</v>
      </c>
    </row>
    <row r="1859" spans="1:8">
      <c r="A1859">
        <v>15102640</v>
      </c>
      <c r="B1859" t="s">
        <v>368</v>
      </c>
      <c r="C1859" t="s">
        <v>615</v>
      </c>
      <c r="D1859" t="s">
        <v>878</v>
      </c>
      <c r="E1859" t="s">
        <v>1379</v>
      </c>
      <c r="F1859" s="134">
        <v>0.52238425925925924</v>
      </c>
      <c r="G1859" t="s">
        <v>1371</v>
      </c>
      <c r="H1859" t="s">
        <v>1372</v>
      </c>
    </row>
    <row r="1860" spans="1:8">
      <c r="A1860">
        <v>15102640</v>
      </c>
      <c r="B1860" t="s">
        <v>368</v>
      </c>
      <c r="C1860" t="s">
        <v>615</v>
      </c>
      <c r="D1860" t="s">
        <v>878</v>
      </c>
      <c r="E1860" t="s">
        <v>1379</v>
      </c>
      <c r="F1860" s="134">
        <v>0.85246527777777781</v>
      </c>
      <c r="G1860" t="s">
        <v>1373</v>
      </c>
      <c r="H1860" t="s">
        <v>1374</v>
      </c>
    </row>
    <row r="1861" spans="1:8">
      <c r="A1861">
        <v>15327501</v>
      </c>
      <c r="B1861" t="s">
        <v>1097</v>
      </c>
      <c r="C1861" t="s">
        <v>883</v>
      </c>
      <c r="D1861" t="s">
        <v>1096</v>
      </c>
      <c r="E1861" t="s">
        <v>1370</v>
      </c>
      <c r="F1861" s="134">
        <v>0.6055208333333334</v>
      </c>
      <c r="G1861" t="s">
        <v>1371</v>
      </c>
      <c r="H1861" t="s">
        <v>1372</v>
      </c>
    </row>
    <row r="1862" spans="1:8">
      <c r="A1862">
        <v>15327501</v>
      </c>
      <c r="B1862" t="s">
        <v>1097</v>
      </c>
      <c r="C1862" t="s">
        <v>883</v>
      </c>
      <c r="D1862" t="s">
        <v>1096</v>
      </c>
      <c r="E1862" t="s">
        <v>1370</v>
      </c>
      <c r="F1862" s="134">
        <v>0.94675925925925919</v>
      </c>
      <c r="G1862" t="s">
        <v>1373</v>
      </c>
      <c r="H1862" t="s">
        <v>1374</v>
      </c>
    </row>
    <row r="1863" spans="1:8">
      <c r="A1863">
        <v>15327501</v>
      </c>
      <c r="B1863" t="s">
        <v>1097</v>
      </c>
      <c r="C1863" t="s">
        <v>883</v>
      </c>
      <c r="D1863" t="s">
        <v>1096</v>
      </c>
      <c r="E1863" t="s">
        <v>1375</v>
      </c>
      <c r="F1863" s="134">
        <v>0.60641203703703705</v>
      </c>
      <c r="G1863" t="s">
        <v>1371</v>
      </c>
      <c r="H1863" t="s">
        <v>1372</v>
      </c>
    </row>
    <row r="1864" spans="1:8">
      <c r="A1864">
        <v>15327501</v>
      </c>
      <c r="B1864" t="s">
        <v>1097</v>
      </c>
      <c r="C1864" t="s">
        <v>883</v>
      </c>
      <c r="D1864" t="s">
        <v>1096</v>
      </c>
      <c r="E1864" t="s">
        <v>1375</v>
      </c>
      <c r="F1864" s="134">
        <v>0.94803240740740735</v>
      </c>
      <c r="G1864" t="s">
        <v>1373</v>
      </c>
      <c r="H1864" t="s">
        <v>1374</v>
      </c>
    </row>
    <row r="1865" spans="1:8">
      <c r="A1865">
        <v>15327501</v>
      </c>
      <c r="B1865" t="s">
        <v>1097</v>
      </c>
      <c r="C1865" t="s">
        <v>883</v>
      </c>
      <c r="D1865" t="s">
        <v>1096</v>
      </c>
      <c r="E1865" t="s">
        <v>1376</v>
      </c>
      <c r="F1865" s="134">
        <v>0.94150462962962955</v>
      </c>
      <c r="G1865" t="s">
        <v>1373</v>
      </c>
      <c r="H1865" t="s">
        <v>1374</v>
      </c>
    </row>
    <row r="1866" spans="1:8">
      <c r="A1866">
        <v>15327501</v>
      </c>
      <c r="B1866" t="s">
        <v>1097</v>
      </c>
      <c r="C1866" t="s">
        <v>883</v>
      </c>
      <c r="D1866" t="s">
        <v>1096</v>
      </c>
      <c r="E1866" t="s">
        <v>1376</v>
      </c>
      <c r="F1866" s="134">
        <v>0.60665509259259254</v>
      </c>
      <c r="G1866" t="s">
        <v>1371</v>
      </c>
      <c r="H1866" t="s">
        <v>1372</v>
      </c>
    </row>
    <row r="1867" spans="1:8">
      <c r="A1867">
        <v>15327501</v>
      </c>
      <c r="B1867" t="s">
        <v>1097</v>
      </c>
      <c r="C1867" t="s">
        <v>883</v>
      </c>
      <c r="D1867" t="s">
        <v>1096</v>
      </c>
      <c r="E1867" t="s">
        <v>1377</v>
      </c>
      <c r="F1867" s="134">
        <v>0.60563657407407401</v>
      </c>
      <c r="G1867" t="s">
        <v>1371</v>
      </c>
      <c r="H1867" t="s">
        <v>1372</v>
      </c>
    </row>
    <row r="1868" spans="1:8">
      <c r="A1868">
        <v>15327501</v>
      </c>
      <c r="B1868" t="s">
        <v>1097</v>
      </c>
      <c r="C1868" t="s">
        <v>883</v>
      </c>
      <c r="D1868" t="s">
        <v>1096</v>
      </c>
      <c r="E1868" t="s">
        <v>1377</v>
      </c>
      <c r="F1868" s="134">
        <v>0.94539351851851849</v>
      </c>
      <c r="G1868" t="s">
        <v>1373</v>
      </c>
      <c r="H1868" t="s">
        <v>1374</v>
      </c>
    </row>
    <row r="1869" spans="1:8">
      <c r="A1869">
        <v>15327501</v>
      </c>
      <c r="B1869" t="s">
        <v>1097</v>
      </c>
      <c r="C1869" t="s">
        <v>883</v>
      </c>
      <c r="D1869" t="s">
        <v>1096</v>
      </c>
      <c r="E1869" t="s">
        <v>1378</v>
      </c>
      <c r="F1869" s="134">
        <v>0.60685185185185186</v>
      </c>
      <c r="G1869" t="s">
        <v>1371</v>
      </c>
      <c r="H1869" t="s">
        <v>1372</v>
      </c>
    </row>
    <row r="1870" spans="1:8">
      <c r="A1870">
        <v>15327501</v>
      </c>
      <c r="B1870" t="s">
        <v>1097</v>
      </c>
      <c r="C1870" t="s">
        <v>883</v>
      </c>
      <c r="D1870" t="s">
        <v>1096</v>
      </c>
      <c r="E1870" t="s">
        <v>1378</v>
      </c>
      <c r="F1870" s="134">
        <v>0.94478009259259255</v>
      </c>
      <c r="G1870" t="s">
        <v>1373</v>
      </c>
      <c r="H1870" t="s">
        <v>1374</v>
      </c>
    </row>
    <row r="1871" spans="1:8">
      <c r="A1871">
        <v>15327501</v>
      </c>
      <c r="B1871" t="s">
        <v>1097</v>
      </c>
      <c r="C1871" t="s">
        <v>883</v>
      </c>
      <c r="D1871" t="s">
        <v>1096</v>
      </c>
      <c r="E1871" t="s">
        <v>1379</v>
      </c>
      <c r="F1871" s="134">
        <v>0.61400462962962965</v>
      </c>
      <c r="G1871" t="s">
        <v>1371</v>
      </c>
      <c r="H1871" t="s">
        <v>1372</v>
      </c>
    </row>
    <row r="1872" spans="1:8">
      <c r="A1872">
        <v>15327501</v>
      </c>
      <c r="B1872" t="s">
        <v>1097</v>
      </c>
      <c r="C1872" t="s">
        <v>883</v>
      </c>
      <c r="D1872" t="s">
        <v>1096</v>
      </c>
      <c r="E1872" t="s">
        <v>1379</v>
      </c>
      <c r="F1872" s="134">
        <v>0.94828703703703709</v>
      </c>
      <c r="G1872" t="s">
        <v>1373</v>
      </c>
      <c r="H1872" t="s">
        <v>1374</v>
      </c>
    </row>
    <row r="1873" spans="1:8">
      <c r="A1873">
        <v>15391242</v>
      </c>
      <c r="B1873" t="s">
        <v>1388</v>
      </c>
      <c r="C1873" t="s">
        <v>499</v>
      </c>
      <c r="D1873" t="s">
        <v>1312</v>
      </c>
      <c r="E1873" t="s">
        <v>1370</v>
      </c>
      <c r="F1873" s="134">
        <v>0.6177083333333333</v>
      </c>
      <c r="G1873" t="s">
        <v>1371</v>
      </c>
      <c r="H1873" t="s">
        <v>1372</v>
      </c>
    </row>
    <row r="1874" spans="1:8">
      <c r="A1874">
        <v>15391242</v>
      </c>
      <c r="B1874" t="s">
        <v>1388</v>
      </c>
      <c r="C1874" t="s">
        <v>499</v>
      </c>
      <c r="D1874" t="s">
        <v>1312</v>
      </c>
      <c r="E1874" t="s">
        <v>1370</v>
      </c>
      <c r="F1874" s="134">
        <v>0.94530092592592585</v>
      </c>
      <c r="G1874" t="s">
        <v>1373</v>
      </c>
      <c r="H1874" t="s">
        <v>1374</v>
      </c>
    </row>
    <row r="1875" spans="1:8">
      <c r="A1875">
        <v>15391242</v>
      </c>
      <c r="B1875" t="s">
        <v>1388</v>
      </c>
      <c r="C1875" t="s">
        <v>499</v>
      </c>
      <c r="D1875" t="s">
        <v>1312</v>
      </c>
      <c r="E1875" t="s">
        <v>1375</v>
      </c>
      <c r="F1875" s="134">
        <v>0.61034722222222226</v>
      </c>
      <c r="G1875" t="s">
        <v>1371</v>
      </c>
      <c r="H1875" t="s">
        <v>1372</v>
      </c>
    </row>
    <row r="1876" spans="1:8">
      <c r="A1876">
        <v>15391242</v>
      </c>
      <c r="B1876" t="s">
        <v>1388</v>
      </c>
      <c r="C1876" t="s">
        <v>499</v>
      </c>
      <c r="D1876" t="s">
        <v>1312</v>
      </c>
      <c r="E1876" t="s">
        <v>1375</v>
      </c>
      <c r="F1876" s="134">
        <v>0.94</v>
      </c>
      <c r="G1876" t="s">
        <v>1373</v>
      </c>
      <c r="H1876" t="s">
        <v>1374</v>
      </c>
    </row>
    <row r="1877" spans="1:8">
      <c r="A1877">
        <v>15391242</v>
      </c>
      <c r="B1877" t="s">
        <v>1388</v>
      </c>
      <c r="C1877" t="s">
        <v>499</v>
      </c>
      <c r="D1877" t="s">
        <v>1312</v>
      </c>
      <c r="E1877" t="s">
        <v>1376</v>
      </c>
      <c r="F1877" s="134">
        <v>0.61840277777777775</v>
      </c>
      <c r="G1877" t="s">
        <v>1371</v>
      </c>
      <c r="H1877" t="s">
        <v>1372</v>
      </c>
    </row>
    <row r="1878" spans="1:8">
      <c r="A1878">
        <v>15391242</v>
      </c>
      <c r="B1878" t="s">
        <v>1388</v>
      </c>
      <c r="C1878" t="s">
        <v>499</v>
      </c>
      <c r="D1878" t="s">
        <v>1312</v>
      </c>
      <c r="E1878" t="s">
        <v>1377</v>
      </c>
      <c r="F1878" s="134">
        <v>0.62146990740740737</v>
      </c>
      <c r="G1878" t="s">
        <v>1371</v>
      </c>
      <c r="H1878" t="s">
        <v>1372</v>
      </c>
    </row>
    <row r="1879" spans="1:8">
      <c r="A1879">
        <v>15391242</v>
      </c>
      <c r="B1879" t="s">
        <v>1388</v>
      </c>
      <c r="C1879" t="s">
        <v>499</v>
      </c>
      <c r="D1879" t="s">
        <v>1312</v>
      </c>
      <c r="E1879" t="s">
        <v>1377</v>
      </c>
      <c r="F1879" s="134">
        <v>0.93773148148148155</v>
      </c>
      <c r="G1879" t="s">
        <v>1373</v>
      </c>
      <c r="H1879" t="s">
        <v>1374</v>
      </c>
    </row>
    <row r="1880" spans="1:8">
      <c r="A1880">
        <v>15391242</v>
      </c>
      <c r="B1880" t="s">
        <v>1388</v>
      </c>
      <c r="C1880" t="s">
        <v>499</v>
      </c>
      <c r="D1880" t="s">
        <v>1312</v>
      </c>
      <c r="E1880" t="s">
        <v>1378</v>
      </c>
      <c r="F1880" s="134">
        <v>0.61869212962962961</v>
      </c>
      <c r="G1880" t="s">
        <v>1371</v>
      </c>
      <c r="H1880" t="s">
        <v>1372</v>
      </c>
    </row>
    <row r="1881" spans="1:8">
      <c r="A1881">
        <v>15391242</v>
      </c>
      <c r="B1881" t="s">
        <v>1388</v>
      </c>
      <c r="C1881" t="s">
        <v>499</v>
      </c>
      <c r="D1881" t="s">
        <v>1312</v>
      </c>
      <c r="E1881" t="s">
        <v>1378</v>
      </c>
      <c r="F1881" s="134">
        <v>0.94222222222222218</v>
      </c>
      <c r="G1881" t="s">
        <v>1373</v>
      </c>
      <c r="H1881" t="s">
        <v>1374</v>
      </c>
    </row>
    <row r="1882" spans="1:8">
      <c r="A1882">
        <v>15391242</v>
      </c>
      <c r="B1882" t="s">
        <v>1388</v>
      </c>
      <c r="C1882" t="s">
        <v>499</v>
      </c>
      <c r="D1882" t="s">
        <v>1312</v>
      </c>
      <c r="E1882" t="s">
        <v>1379</v>
      </c>
      <c r="F1882" s="134">
        <v>0.60979166666666662</v>
      </c>
      <c r="G1882" t="s">
        <v>1371</v>
      </c>
      <c r="H1882" t="s">
        <v>1372</v>
      </c>
    </row>
    <row r="1883" spans="1:8">
      <c r="A1883">
        <v>15391242</v>
      </c>
      <c r="B1883" t="s">
        <v>1388</v>
      </c>
      <c r="C1883" t="s">
        <v>499</v>
      </c>
      <c r="D1883" t="s">
        <v>1312</v>
      </c>
      <c r="E1883" t="s">
        <v>1379</v>
      </c>
      <c r="F1883" s="134">
        <v>0.93821759259259263</v>
      </c>
      <c r="G1883" t="s">
        <v>1373</v>
      </c>
      <c r="H1883" t="s">
        <v>1374</v>
      </c>
    </row>
    <row r="1884" spans="1:8">
      <c r="A1884">
        <v>15436097</v>
      </c>
      <c r="B1884" t="s">
        <v>368</v>
      </c>
      <c r="C1884" t="s">
        <v>432</v>
      </c>
      <c r="D1884" t="s">
        <v>206</v>
      </c>
      <c r="E1884" t="s">
        <v>1370</v>
      </c>
      <c r="F1884" s="134">
        <v>0.91758101851851848</v>
      </c>
      <c r="G1884" t="s">
        <v>1371</v>
      </c>
      <c r="H1884" t="s">
        <v>1372</v>
      </c>
    </row>
    <row r="1885" spans="1:8">
      <c r="A1885">
        <v>15436097</v>
      </c>
      <c r="B1885" t="s">
        <v>368</v>
      </c>
      <c r="C1885" t="s">
        <v>432</v>
      </c>
      <c r="D1885" t="s">
        <v>206</v>
      </c>
      <c r="E1885" t="s">
        <v>1375</v>
      </c>
      <c r="F1885" s="134">
        <v>0.32663194444444443</v>
      </c>
      <c r="G1885" t="s">
        <v>1373</v>
      </c>
      <c r="H1885" t="s">
        <v>1374</v>
      </c>
    </row>
    <row r="1886" spans="1:8">
      <c r="A1886">
        <v>15437429</v>
      </c>
      <c r="B1886" t="s">
        <v>712</v>
      </c>
      <c r="C1886" t="s">
        <v>710</v>
      </c>
      <c r="D1886" t="s">
        <v>711</v>
      </c>
      <c r="E1886" t="s">
        <v>1370</v>
      </c>
      <c r="F1886" s="134">
        <v>0.35359953703703706</v>
      </c>
      <c r="G1886" t="s">
        <v>1371</v>
      </c>
      <c r="H1886" t="s">
        <v>1372</v>
      </c>
    </row>
    <row r="1887" spans="1:8">
      <c r="A1887">
        <v>15437429</v>
      </c>
      <c r="B1887" t="s">
        <v>712</v>
      </c>
      <c r="C1887" t="s">
        <v>710</v>
      </c>
      <c r="D1887" t="s">
        <v>711</v>
      </c>
      <c r="E1887" t="s">
        <v>1370</v>
      </c>
      <c r="F1887" s="134">
        <v>0.70565972222222229</v>
      </c>
      <c r="G1887" t="s">
        <v>1373</v>
      </c>
      <c r="H1887" t="s">
        <v>1374</v>
      </c>
    </row>
    <row r="1888" spans="1:8">
      <c r="A1888">
        <v>15437429</v>
      </c>
      <c r="B1888" t="s">
        <v>712</v>
      </c>
      <c r="C1888" t="s">
        <v>710</v>
      </c>
      <c r="D1888" t="s">
        <v>711</v>
      </c>
      <c r="E1888" t="s">
        <v>1375</v>
      </c>
      <c r="F1888" s="134">
        <v>0.34883101851851855</v>
      </c>
      <c r="G1888" t="s">
        <v>1371</v>
      </c>
      <c r="H1888" t="s">
        <v>1372</v>
      </c>
    </row>
    <row r="1889" spans="1:8">
      <c r="A1889">
        <v>15437429</v>
      </c>
      <c r="B1889" t="s">
        <v>712</v>
      </c>
      <c r="C1889" t="s">
        <v>710</v>
      </c>
      <c r="D1889" t="s">
        <v>711</v>
      </c>
      <c r="E1889" t="s">
        <v>1375</v>
      </c>
      <c r="F1889" s="134">
        <v>0.73140046296296291</v>
      </c>
      <c r="G1889" t="s">
        <v>1373</v>
      </c>
      <c r="H1889" t="s">
        <v>1374</v>
      </c>
    </row>
    <row r="1890" spans="1:8">
      <c r="A1890">
        <v>15437429</v>
      </c>
      <c r="B1890" t="s">
        <v>712</v>
      </c>
      <c r="C1890" t="s">
        <v>710</v>
      </c>
      <c r="D1890" t="s">
        <v>711</v>
      </c>
      <c r="E1890" t="s">
        <v>1376</v>
      </c>
      <c r="F1890" s="134">
        <v>0.73390046296296296</v>
      </c>
      <c r="G1890" t="s">
        <v>1373</v>
      </c>
      <c r="H1890" t="s">
        <v>1374</v>
      </c>
    </row>
    <row r="1891" spans="1:8">
      <c r="A1891">
        <v>15437429</v>
      </c>
      <c r="B1891" t="s">
        <v>712</v>
      </c>
      <c r="C1891" t="s">
        <v>710</v>
      </c>
      <c r="D1891" t="s">
        <v>711</v>
      </c>
      <c r="E1891" t="s">
        <v>1376</v>
      </c>
      <c r="F1891" s="134">
        <v>0.34843750000000001</v>
      </c>
      <c r="G1891" t="s">
        <v>1371</v>
      </c>
      <c r="H1891" t="s">
        <v>1372</v>
      </c>
    </row>
    <row r="1892" spans="1:8">
      <c r="A1892">
        <v>15437429</v>
      </c>
      <c r="B1892" t="s">
        <v>712</v>
      </c>
      <c r="C1892" t="s">
        <v>710</v>
      </c>
      <c r="D1892" t="s">
        <v>711</v>
      </c>
      <c r="E1892" t="s">
        <v>1377</v>
      </c>
      <c r="F1892" s="134">
        <v>0.34935185185185186</v>
      </c>
      <c r="G1892" t="s">
        <v>1371</v>
      </c>
      <c r="H1892" t="s">
        <v>1372</v>
      </c>
    </row>
    <row r="1893" spans="1:8">
      <c r="A1893">
        <v>15437429</v>
      </c>
      <c r="B1893" t="s">
        <v>712</v>
      </c>
      <c r="C1893" t="s">
        <v>710</v>
      </c>
      <c r="D1893" t="s">
        <v>711</v>
      </c>
      <c r="E1893" t="s">
        <v>1377</v>
      </c>
      <c r="F1893" s="134">
        <v>0.73321759259259256</v>
      </c>
      <c r="G1893" t="s">
        <v>1373</v>
      </c>
      <c r="H1893" t="s">
        <v>1374</v>
      </c>
    </row>
    <row r="1894" spans="1:8">
      <c r="A1894">
        <v>15437429</v>
      </c>
      <c r="B1894" t="s">
        <v>712</v>
      </c>
      <c r="C1894" t="s">
        <v>710</v>
      </c>
      <c r="D1894" t="s">
        <v>711</v>
      </c>
      <c r="E1894" t="s">
        <v>1378</v>
      </c>
      <c r="F1894" s="134">
        <v>0.35467592592592595</v>
      </c>
      <c r="G1894" t="s">
        <v>1371</v>
      </c>
      <c r="H1894" t="s">
        <v>1372</v>
      </c>
    </row>
    <row r="1895" spans="1:8">
      <c r="A1895">
        <v>15437429</v>
      </c>
      <c r="B1895" t="s">
        <v>712</v>
      </c>
      <c r="C1895" t="s">
        <v>710</v>
      </c>
      <c r="D1895" t="s">
        <v>711</v>
      </c>
      <c r="E1895" t="s">
        <v>1378</v>
      </c>
      <c r="F1895" s="134">
        <v>0.71160879629629636</v>
      </c>
      <c r="G1895" t="s">
        <v>1373</v>
      </c>
      <c r="H1895" t="s">
        <v>1374</v>
      </c>
    </row>
    <row r="1896" spans="1:8">
      <c r="A1896">
        <v>15437429</v>
      </c>
      <c r="B1896" t="s">
        <v>712</v>
      </c>
      <c r="C1896" t="s">
        <v>710</v>
      </c>
      <c r="D1896" t="s">
        <v>711</v>
      </c>
      <c r="E1896" t="s">
        <v>1382</v>
      </c>
      <c r="F1896" s="134">
        <v>0.3616435185185185</v>
      </c>
      <c r="G1896" t="s">
        <v>1371</v>
      </c>
      <c r="H1896" t="s">
        <v>1372</v>
      </c>
    </row>
    <row r="1897" spans="1:8">
      <c r="A1897">
        <v>15437429</v>
      </c>
      <c r="B1897" t="s">
        <v>712</v>
      </c>
      <c r="C1897" t="s">
        <v>710</v>
      </c>
      <c r="D1897" t="s">
        <v>711</v>
      </c>
      <c r="E1897" t="s">
        <v>1382</v>
      </c>
      <c r="F1897" s="134">
        <v>0.56130787037037033</v>
      </c>
      <c r="G1897" t="s">
        <v>1373</v>
      </c>
      <c r="H1897" t="s">
        <v>1374</v>
      </c>
    </row>
    <row r="1898" spans="1:8">
      <c r="A1898">
        <v>15439409</v>
      </c>
      <c r="B1898" t="s">
        <v>1153</v>
      </c>
      <c r="C1898" t="s">
        <v>1152</v>
      </c>
      <c r="D1898" t="s">
        <v>956</v>
      </c>
      <c r="E1898" t="s">
        <v>1370</v>
      </c>
      <c r="F1898" s="134">
        <v>0.30403935185185188</v>
      </c>
      <c r="G1898" t="s">
        <v>1371</v>
      </c>
      <c r="H1898" t="s">
        <v>1372</v>
      </c>
    </row>
    <row r="1899" spans="1:8">
      <c r="A1899">
        <v>15439409</v>
      </c>
      <c r="B1899" t="s">
        <v>1153</v>
      </c>
      <c r="C1899" t="s">
        <v>1152</v>
      </c>
      <c r="D1899" t="s">
        <v>956</v>
      </c>
      <c r="E1899" t="s">
        <v>1370</v>
      </c>
      <c r="F1899" s="134">
        <v>0.46668981481481481</v>
      </c>
      <c r="G1899" t="s">
        <v>1373</v>
      </c>
      <c r="H1899" t="s">
        <v>1374</v>
      </c>
    </row>
    <row r="1900" spans="1:8">
      <c r="A1900">
        <v>15439409</v>
      </c>
      <c r="B1900" t="s">
        <v>1153</v>
      </c>
      <c r="C1900" t="s">
        <v>1152</v>
      </c>
      <c r="D1900" t="s">
        <v>956</v>
      </c>
      <c r="E1900" t="s">
        <v>1375</v>
      </c>
      <c r="F1900" s="134">
        <v>0.29515046296296293</v>
      </c>
      <c r="G1900" t="s">
        <v>1371</v>
      </c>
      <c r="H1900" t="s">
        <v>1372</v>
      </c>
    </row>
    <row r="1901" spans="1:8">
      <c r="A1901">
        <v>15439409</v>
      </c>
      <c r="B1901" t="s">
        <v>1153</v>
      </c>
      <c r="C1901" t="s">
        <v>1152</v>
      </c>
      <c r="D1901" t="s">
        <v>956</v>
      </c>
      <c r="E1901" t="s">
        <v>1375</v>
      </c>
      <c r="F1901" s="134">
        <v>0.63608796296296299</v>
      </c>
      <c r="G1901" t="s">
        <v>1373</v>
      </c>
      <c r="H1901" t="s">
        <v>1374</v>
      </c>
    </row>
    <row r="1902" spans="1:8">
      <c r="A1902">
        <v>15439409</v>
      </c>
      <c r="B1902" t="s">
        <v>1153</v>
      </c>
      <c r="C1902" t="s">
        <v>1152</v>
      </c>
      <c r="D1902" t="s">
        <v>956</v>
      </c>
      <c r="E1902" t="s">
        <v>1376</v>
      </c>
      <c r="F1902" s="134">
        <v>0.29597222222222225</v>
      </c>
      <c r="G1902" t="s">
        <v>1371</v>
      </c>
      <c r="H1902" t="s">
        <v>1372</v>
      </c>
    </row>
    <row r="1903" spans="1:8">
      <c r="A1903">
        <v>15439409</v>
      </c>
      <c r="B1903" t="s">
        <v>1153</v>
      </c>
      <c r="C1903" t="s">
        <v>1152</v>
      </c>
      <c r="D1903" t="s">
        <v>956</v>
      </c>
      <c r="E1903" t="s">
        <v>1376</v>
      </c>
      <c r="F1903" s="134">
        <v>0.6381944444444444</v>
      </c>
      <c r="G1903" t="s">
        <v>1373</v>
      </c>
      <c r="H1903" t="s">
        <v>1374</v>
      </c>
    </row>
    <row r="1904" spans="1:8">
      <c r="A1904">
        <v>15439409</v>
      </c>
      <c r="B1904" t="s">
        <v>1153</v>
      </c>
      <c r="C1904" t="s">
        <v>1152</v>
      </c>
      <c r="D1904" t="s">
        <v>956</v>
      </c>
      <c r="E1904" t="s">
        <v>1377</v>
      </c>
      <c r="F1904" s="134">
        <v>0.29584490740740738</v>
      </c>
      <c r="G1904" t="s">
        <v>1371</v>
      </c>
      <c r="H1904" t="s">
        <v>1372</v>
      </c>
    </row>
    <row r="1905" spans="1:8">
      <c r="A1905">
        <v>15439409</v>
      </c>
      <c r="B1905" t="s">
        <v>1153</v>
      </c>
      <c r="C1905" t="s">
        <v>1152</v>
      </c>
      <c r="D1905" t="s">
        <v>956</v>
      </c>
      <c r="E1905" t="s">
        <v>1377</v>
      </c>
      <c r="F1905" s="134">
        <v>0.63706018518518526</v>
      </c>
      <c r="G1905" t="s">
        <v>1373</v>
      </c>
      <c r="H1905" t="s">
        <v>1374</v>
      </c>
    </row>
    <row r="1906" spans="1:8">
      <c r="A1906">
        <v>15439409</v>
      </c>
      <c r="B1906" t="s">
        <v>1153</v>
      </c>
      <c r="C1906" t="s">
        <v>1152</v>
      </c>
      <c r="D1906" t="s">
        <v>956</v>
      </c>
      <c r="E1906" t="s">
        <v>1378</v>
      </c>
      <c r="F1906" s="134">
        <v>0.29652777777777778</v>
      </c>
      <c r="G1906" t="s">
        <v>1371</v>
      </c>
      <c r="H1906" t="s">
        <v>1372</v>
      </c>
    </row>
    <row r="1907" spans="1:8">
      <c r="A1907">
        <v>15439409</v>
      </c>
      <c r="B1907" t="s">
        <v>1153</v>
      </c>
      <c r="C1907" t="s">
        <v>1152</v>
      </c>
      <c r="D1907" t="s">
        <v>956</v>
      </c>
      <c r="E1907" t="s">
        <v>1378</v>
      </c>
      <c r="F1907" s="134">
        <v>0.63526620370370368</v>
      </c>
      <c r="G1907" t="s">
        <v>1373</v>
      </c>
      <c r="H1907" t="s">
        <v>1374</v>
      </c>
    </row>
    <row r="1908" spans="1:8">
      <c r="A1908">
        <v>15441831</v>
      </c>
      <c r="B1908" t="s">
        <v>1270</v>
      </c>
      <c r="C1908" t="s">
        <v>1268</v>
      </c>
      <c r="D1908" t="s">
        <v>1269</v>
      </c>
      <c r="E1908" t="s">
        <v>1370</v>
      </c>
      <c r="F1908" s="134">
        <v>0.61777777777777776</v>
      </c>
      <c r="G1908" t="s">
        <v>1371</v>
      </c>
      <c r="H1908" t="s">
        <v>1372</v>
      </c>
    </row>
    <row r="1909" spans="1:8">
      <c r="A1909">
        <v>15441831</v>
      </c>
      <c r="B1909" t="s">
        <v>1270</v>
      </c>
      <c r="C1909" t="s">
        <v>1268</v>
      </c>
      <c r="D1909" t="s">
        <v>1269</v>
      </c>
      <c r="E1909" t="s">
        <v>1370</v>
      </c>
      <c r="F1909" s="134">
        <v>0.94662037037037028</v>
      </c>
      <c r="G1909" t="s">
        <v>1373</v>
      </c>
      <c r="H1909" t="s">
        <v>1374</v>
      </c>
    </row>
    <row r="1910" spans="1:8">
      <c r="A1910">
        <v>15441831</v>
      </c>
      <c r="B1910" t="s">
        <v>1270</v>
      </c>
      <c r="C1910" t="s">
        <v>1268</v>
      </c>
      <c r="D1910" t="s">
        <v>1269</v>
      </c>
      <c r="E1910" t="s">
        <v>1375</v>
      </c>
      <c r="F1910" s="134">
        <v>0.61585648148148142</v>
      </c>
      <c r="G1910" t="s">
        <v>1371</v>
      </c>
      <c r="H1910" t="s">
        <v>1372</v>
      </c>
    </row>
    <row r="1911" spans="1:8">
      <c r="A1911">
        <v>15441831</v>
      </c>
      <c r="B1911" t="s">
        <v>1270</v>
      </c>
      <c r="C1911" t="s">
        <v>1268</v>
      </c>
      <c r="D1911" t="s">
        <v>1269</v>
      </c>
      <c r="E1911" t="s">
        <v>1375</v>
      </c>
      <c r="F1911" s="134">
        <v>0.9450925925925926</v>
      </c>
      <c r="G1911" t="s">
        <v>1373</v>
      </c>
      <c r="H1911" t="s">
        <v>1374</v>
      </c>
    </row>
    <row r="1912" spans="1:8">
      <c r="A1912">
        <v>15441831</v>
      </c>
      <c r="B1912" t="s">
        <v>1270</v>
      </c>
      <c r="C1912" t="s">
        <v>1268</v>
      </c>
      <c r="D1912" t="s">
        <v>1269</v>
      </c>
      <c r="E1912" t="s">
        <v>1376</v>
      </c>
      <c r="F1912" s="134">
        <v>0.79047453703703707</v>
      </c>
      <c r="G1912" t="s">
        <v>1373</v>
      </c>
      <c r="H1912" t="s">
        <v>1374</v>
      </c>
    </row>
    <row r="1913" spans="1:8">
      <c r="A1913">
        <v>15441831</v>
      </c>
      <c r="B1913" t="s">
        <v>1270</v>
      </c>
      <c r="C1913" t="s">
        <v>1268</v>
      </c>
      <c r="D1913" t="s">
        <v>1269</v>
      </c>
      <c r="E1913" t="s">
        <v>1376</v>
      </c>
      <c r="F1913" s="134">
        <v>0.62156250000000002</v>
      </c>
      <c r="G1913" t="s">
        <v>1371</v>
      </c>
      <c r="H1913" t="s">
        <v>1372</v>
      </c>
    </row>
    <row r="1914" spans="1:8">
      <c r="A1914">
        <v>15441831</v>
      </c>
      <c r="B1914" t="s">
        <v>1270</v>
      </c>
      <c r="C1914" t="s">
        <v>1268</v>
      </c>
      <c r="D1914" t="s">
        <v>1269</v>
      </c>
      <c r="E1914" t="s">
        <v>1377</v>
      </c>
      <c r="F1914" s="134">
        <v>0.62504629629629627</v>
      </c>
      <c r="G1914" t="s">
        <v>1371</v>
      </c>
      <c r="H1914" t="s">
        <v>1372</v>
      </c>
    </row>
    <row r="1915" spans="1:8">
      <c r="A1915">
        <v>15441831</v>
      </c>
      <c r="B1915" t="s">
        <v>1270</v>
      </c>
      <c r="C1915" t="s">
        <v>1268</v>
      </c>
      <c r="D1915" t="s">
        <v>1269</v>
      </c>
      <c r="E1915" t="s">
        <v>1377</v>
      </c>
      <c r="F1915" s="134">
        <v>0.94584490740740745</v>
      </c>
      <c r="G1915" t="s">
        <v>1373</v>
      </c>
      <c r="H1915" t="s">
        <v>1374</v>
      </c>
    </row>
    <row r="1916" spans="1:8">
      <c r="A1916">
        <v>15441831</v>
      </c>
      <c r="B1916" t="s">
        <v>1270</v>
      </c>
      <c r="C1916" t="s">
        <v>1268</v>
      </c>
      <c r="D1916" t="s">
        <v>1269</v>
      </c>
      <c r="E1916" t="s">
        <v>1378</v>
      </c>
      <c r="F1916" s="134">
        <v>0.61714120370370373</v>
      </c>
      <c r="G1916" t="s">
        <v>1371</v>
      </c>
      <c r="H1916" t="s">
        <v>1372</v>
      </c>
    </row>
    <row r="1917" spans="1:8">
      <c r="A1917">
        <v>15441831</v>
      </c>
      <c r="B1917" t="s">
        <v>1270</v>
      </c>
      <c r="C1917" t="s">
        <v>1268</v>
      </c>
      <c r="D1917" t="s">
        <v>1269</v>
      </c>
      <c r="E1917" t="s">
        <v>1378</v>
      </c>
      <c r="F1917" s="134">
        <v>0.94547453703703699</v>
      </c>
      <c r="G1917" t="s">
        <v>1373</v>
      </c>
      <c r="H1917" t="s">
        <v>1374</v>
      </c>
    </row>
    <row r="1918" spans="1:8">
      <c r="A1918">
        <v>15441831</v>
      </c>
      <c r="B1918" t="s">
        <v>1270</v>
      </c>
      <c r="C1918" t="s">
        <v>1268</v>
      </c>
      <c r="D1918" t="s">
        <v>1269</v>
      </c>
      <c r="E1918" t="s">
        <v>1379</v>
      </c>
      <c r="F1918" s="134">
        <v>0.6193171296296297</v>
      </c>
      <c r="G1918" t="s">
        <v>1371</v>
      </c>
      <c r="H1918" t="s">
        <v>1372</v>
      </c>
    </row>
    <row r="1919" spans="1:8">
      <c r="A1919">
        <v>15441831</v>
      </c>
      <c r="B1919" t="s">
        <v>1270</v>
      </c>
      <c r="C1919" t="s">
        <v>1268</v>
      </c>
      <c r="D1919" t="s">
        <v>1269</v>
      </c>
      <c r="E1919" t="s">
        <v>1379</v>
      </c>
      <c r="F1919" s="134">
        <v>0.94922453703703702</v>
      </c>
      <c r="G1919" t="s">
        <v>1373</v>
      </c>
      <c r="H1919" t="s">
        <v>1374</v>
      </c>
    </row>
    <row r="1920" spans="1:8">
      <c r="A1920">
        <v>15444116</v>
      </c>
      <c r="B1920" t="s">
        <v>1389</v>
      </c>
      <c r="C1920" t="s">
        <v>1390</v>
      </c>
      <c r="D1920" t="s">
        <v>1188</v>
      </c>
      <c r="E1920" t="s">
        <v>1370</v>
      </c>
      <c r="F1920" s="134">
        <v>0.60416666666666663</v>
      </c>
      <c r="G1920" t="s">
        <v>1371</v>
      </c>
      <c r="H1920" t="s">
        <v>1372</v>
      </c>
    </row>
    <row r="1921" spans="1:8">
      <c r="A1921">
        <v>15444116</v>
      </c>
      <c r="B1921" t="s">
        <v>1389</v>
      </c>
      <c r="C1921" t="s">
        <v>1390</v>
      </c>
      <c r="D1921" t="s">
        <v>1188</v>
      </c>
      <c r="E1921" t="s">
        <v>1370</v>
      </c>
      <c r="F1921" s="134">
        <v>0.94421296296296298</v>
      </c>
      <c r="G1921" t="s">
        <v>1373</v>
      </c>
      <c r="H1921" t="s">
        <v>1374</v>
      </c>
    </row>
    <row r="1922" spans="1:8">
      <c r="A1922">
        <v>15444116</v>
      </c>
      <c r="B1922" t="s">
        <v>1389</v>
      </c>
      <c r="C1922" t="s">
        <v>1390</v>
      </c>
      <c r="D1922" t="s">
        <v>1188</v>
      </c>
      <c r="E1922" t="s">
        <v>1375</v>
      </c>
      <c r="F1922" s="134">
        <v>0.60594907407407406</v>
      </c>
      <c r="G1922" t="s">
        <v>1371</v>
      </c>
      <c r="H1922" t="s">
        <v>1372</v>
      </c>
    </row>
    <row r="1923" spans="1:8">
      <c r="A1923">
        <v>15444116</v>
      </c>
      <c r="B1923" t="s">
        <v>1389</v>
      </c>
      <c r="C1923" t="s">
        <v>1390</v>
      </c>
      <c r="D1923" t="s">
        <v>1188</v>
      </c>
      <c r="E1923" t="s">
        <v>1375</v>
      </c>
      <c r="F1923" s="134">
        <v>0.94765046296296296</v>
      </c>
      <c r="G1923" t="s">
        <v>1373</v>
      </c>
      <c r="H1923" t="s">
        <v>1374</v>
      </c>
    </row>
    <row r="1924" spans="1:8">
      <c r="A1924">
        <v>15444116</v>
      </c>
      <c r="B1924" t="s">
        <v>1389</v>
      </c>
      <c r="C1924" t="s">
        <v>1390</v>
      </c>
      <c r="D1924" t="s">
        <v>1188</v>
      </c>
      <c r="E1924" t="s">
        <v>1376</v>
      </c>
      <c r="F1924" s="134">
        <v>0.94576388888888896</v>
      </c>
      <c r="G1924" t="s">
        <v>1373</v>
      </c>
      <c r="H1924" t="s">
        <v>1374</v>
      </c>
    </row>
    <row r="1925" spans="1:8">
      <c r="A1925">
        <v>15444116</v>
      </c>
      <c r="B1925" t="s">
        <v>1389</v>
      </c>
      <c r="C1925" t="s">
        <v>1390</v>
      </c>
      <c r="D1925" t="s">
        <v>1188</v>
      </c>
      <c r="E1925" t="s">
        <v>1376</v>
      </c>
      <c r="F1925" s="134">
        <v>0.60340277777777784</v>
      </c>
      <c r="G1925" t="s">
        <v>1371</v>
      </c>
      <c r="H1925" t="s">
        <v>1372</v>
      </c>
    </row>
    <row r="1926" spans="1:8">
      <c r="A1926">
        <v>15444116</v>
      </c>
      <c r="B1926" t="s">
        <v>1389</v>
      </c>
      <c r="C1926" t="s">
        <v>1390</v>
      </c>
      <c r="D1926" t="s">
        <v>1188</v>
      </c>
      <c r="E1926" t="s">
        <v>1377</v>
      </c>
      <c r="F1926" s="134">
        <v>0.60420138888888886</v>
      </c>
      <c r="G1926" t="s">
        <v>1371</v>
      </c>
      <c r="H1926" t="s">
        <v>1372</v>
      </c>
    </row>
    <row r="1927" spans="1:8">
      <c r="A1927">
        <v>15444116</v>
      </c>
      <c r="B1927" t="s">
        <v>1389</v>
      </c>
      <c r="C1927" t="s">
        <v>1390</v>
      </c>
      <c r="D1927" t="s">
        <v>1188</v>
      </c>
      <c r="E1927" t="s">
        <v>1377</v>
      </c>
      <c r="F1927" s="134">
        <v>0.94376157407407402</v>
      </c>
      <c r="G1927" t="s">
        <v>1373</v>
      </c>
      <c r="H1927" t="s">
        <v>1374</v>
      </c>
    </row>
    <row r="1928" spans="1:8">
      <c r="A1928">
        <v>15444116</v>
      </c>
      <c r="B1928" t="s">
        <v>1389</v>
      </c>
      <c r="C1928" t="s">
        <v>1390</v>
      </c>
      <c r="D1928" t="s">
        <v>1188</v>
      </c>
      <c r="E1928" t="s">
        <v>1378</v>
      </c>
      <c r="F1928" s="134">
        <v>0.60457175925925932</v>
      </c>
      <c r="G1928" t="s">
        <v>1371</v>
      </c>
      <c r="H1928" t="s">
        <v>1372</v>
      </c>
    </row>
    <row r="1929" spans="1:8">
      <c r="A1929">
        <v>15444116</v>
      </c>
      <c r="B1929" t="s">
        <v>1389</v>
      </c>
      <c r="C1929" t="s">
        <v>1390</v>
      </c>
      <c r="D1929" t="s">
        <v>1188</v>
      </c>
      <c r="E1929" t="s">
        <v>1378</v>
      </c>
      <c r="F1929" s="134">
        <v>0.94787037037037036</v>
      </c>
      <c r="G1929" t="s">
        <v>1373</v>
      </c>
      <c r="H1929" t="s">
        <v>1374</v>
      </c>
    </row>
    <row r="1930" spans="1:8">
      <c r="A1930">
        <v>15444116</v>
      </c>
      <c r="B1930" t="s">
        <v>1389</v>
      </c>
      <c r="C1930" t="s">
        <v>1390</v>
      </c>
      <c r="D1930" t="s">
        <v>1188</v>
      </c>
      <c r="E1930" t="s">
        <v>1379</v>
      </c>
      <c r="F1930" s="134">
        <v>0.28964120370370372</v>
      </c>
      <c r="G1930" t="s">
        <v>1371</v>
      </c>
      <c r="H1930" t="s">
        <v>1372</v>
      </c>
    </row>
    <row r="1931" spans="1:8">
      <c r="A1931">
        <v>15444116</v>
      </c>
      <c r="B1931" t="s">
        <v>1389</v>
      </c>
      <c r="C1931" t="s">
        <v>1390</v>
      </c>
      <c r="D1931" t="s">
        <v>1188</v>
      </c>
      <c r="E1931" t="s">
        <v>1379</v>
      </c>
      <c r="F1931" s="134">
        <v>0.63438657407407406</v>
      </c>
      <c r="G1931" t="s">
        <v>1373</v>
      </c>
      <c r="H1931" t="s">
        <v>1374</v>
      </c>
    </row>
    <row r="1932" spans="1:8">
      <c r="A1932">
        <v>15444698</v>
      </c>
      <c r="B1932" t="s">
        <v>895</v>
      </c>
      <c r="C1932" t="s">
        <v>893</v>
      </c>
      <c r="D1932" t="s">
        <v>894</v>
      </c>
      <c r="E1932" t="s">
        <v>1370</v>
      </c>
      <c r="F1932" s="134">
        <v>7.6388888888888893E-4</v>
      </c>
      <c r="G1932" t="s">
        <v>1371</v>
      </c>
      <c r="H1932" t="s">
        <v>1372</v>
      </c>
    </row>
    <row r="1933" spans="1:8">
      <c r="A1933">
        <v>15444698</v>
      </c>
      <c r="B1933" t="s">
        <v>895</v>
      </c>
      <c r="C1933" t="s">
        <v>893</v>
      </c>
      <c r="D1933" t="s">
        <v>894</v>
      </c>
      <c r="E1933" t="s">
        <v>1370</v>
      </c>
      <c r="F1933" s="134">
        <v>0.31189814814814815</v>
      </c>
      <c r="G1933" t="s">
        <v>1373</v>
      </c>
      <c r="H1933" t="s">
        <v>1374</v>
      </c>
    </row>
    <row r="1934" spans="1:8">
      <c r="A1934">
        <v>15444698</v>
      </c>
      <c r="B1934" t="s">
        <v>895</v>
      </c>
      <c r="C1934" t="s">
        <v>893</v>
      </c>
      <c r="D1934" t="s">
        <v>894</v>
      </c>
      <c r="E1934" t="s">
        <v>1370</v>
      </c>
      <c r="F1934" s="134">
        <v>0.93005787037037047</v>
      </c>
      <c r="G1934" t="s">
        <v>1371</v>
      </c>
      <c r="H1934" t="s">
        <v>1372</v>
      </c>
    </row>
    <row r="1935" spans="1:8">
      <c r="A1935">
        <v>15444698</v>
      </c>
      <c r="B1935" t="s">
        <v>895</v>
      </c>
      <c r="C1935" t="s">
        <v>893</v>
      </c>
      <c r="D1935" t="s">
        <v>894</v>
      </c>
      <c r="E1935" t="s">
        <v>1375</v>
      </c>
      <c r="F1935" s="134">
        <v>0.31422453703703707</v>
      </c>
      <c r="G1935" t="s">
        <v>1373</v>
      </c>
      <c r="H1935" t="s">
        <v>1374</v>
      </c>
    </row>
    <row r="1936" spans="1:8">
      <c r="A1936">
        <v>15444698</v>
      </c>
      <c r="B1936" t="s">
        <v>895</v>
      </c>
      <c r="C1936" t="s">
        <v>893</v>
      </c>
      <c r="D1936" t="s">
        <v>894</v>
      </c>
      <c r="E1936" t="s">
        <v>1375</v>
      </c>
      <c r="F1936" s="134">
        <v>0.9317939814814814</v>
      </c>
      <c r="G1936" t="s">
        <v>1371</v>
      </c>
      <c r="H1936" t="s">
        <v>1372</v>
      </c>
    </row>
    <row r="1937" spans="1:8">
      <c r="A1937">
        <v>15444698</v>
      </c>
      <c r="B1937" t="s">
        <v>895</v>
      </c>
      <c r="C1937" t="s">
        <v>893</v>
      </c>
      <c r="D1937" t="s">
        <v>894</v>
      </c>
      <c r="E1937" t="s">
        <v>1376</v>
      </c>
      <c r="F1937" s="134">
        <v>0.93092592592592593</v>
      </c>
      <c r="G1937" t="s">
        <v>1371</v>
      </c>
      <c r="H1937" t="s">
        <v>1372</v>
      </c>
    </row>
    <row r="1938" spans="1:8">
      <c r="A1938">
        <v>15444698</v>
      </c>
      <c r="B1938" t="s">
        <v>895</v>
      </c>
      <c r="C1938" t="s">
        <v>893</v>
      </c>
      <c r="D1938" t="s">
        <v>894</v>
      </c>
      <c r="E1938" t="s">
        <v>1376</v>
      </c>
      <c r="F1938" s="134">
        <v>0.31118055555555557</v>
      </c>
      <c r="G1938" t="s">
        <v>1373</v>
      </c>
      <c r="H1938" t="s">
        <v>1374</v>
      </c>
    </row>
    <row r="1939" spans="1:8">
      <c r="A1939">
        <v>15444698</v>
      </c>
      <c r="B1939" t="s">
        <v>895</v>
      </c>
      <c r="C1939" t="s">
        <v>893</v>
      </c>
      <c r="D1939" t="s">
        <v>894</v>
      </c>
      <c r="E1939" t="s">
        <v>1377</v>
      </c>
      <c r="F1939" s="134">
        <v>0.31283564814814818</v>
      </c>
      <c r="G1939" t="s">
        <v>1373</v>
      </c>
      <c r="H1939" t="s">
        <v>1374</v>
      </c>
    </row>
    <row r="1940" spans="1:8">
      <c r="A1940">
        <v>15444698</v>
      </c>
      <c r="B1940" t="s">
        <v>895</v>
      </c>
      <c r="C1940" t="s">
        <v>893</v>
      </c>
      <c r="D1940" t="s">
        <v>894</v>
      </c>
      <c r="E1940" t="s">
        <v>1377</v>
      </c>
      <c r="F1940" s="134">
        <v>0.93060185185185185</v>
      </c>
      <c r="G1940" t="s">
        <v>1371</v>
      </c>
      <c r="H1940" t="s">
        <v>1372</v>
      </c>
    </row>
    <row r="1941" spans="1:8">
      <c r="A1941">
        <v>15444698</v>
      </c>
      <c r="B1941" t="s">
        <v>895</v>
      </c>
      <c r="C1941" t="s">
        <v>893</v>
      </c>
      <c r="D1941" t="s">
        <v>894</v>
      </c>
      <c r="E1941" t="s">
        <v>1378</v>
      </c>
      <c r="F1941" s="134">
        <v>0.31361111111111112</v>
      </c>
      <c r="G1941" t="s">
        <v>1373</v>
      </c>
      <c r="H1941" t="s">
        <v>1374</v>
      </c>
    </row>
    <row r="1942" spans="1:8">
      <c r="A1942">
        <v>15444698</v>
      </c>
      <c r="B1942" t="s">
        <v>895</v>
      </c>
      <c r="C1942" t="s">
        <v>893</v>
      </c>
      <c r="D1942" t="s">
        <v>894</v>
      </c>
      <c r="E1942" t="s">
        <v>1378</v>
      </c>
      <c r="F1942" s="134">
        <v>0.92929398148148146</v>
      </c>
      <c r="G1942" t="s">
        <v>1371</v>
      </c>
      <c r="H1942" t="s">
        <v>1372</v>
      </c>
    </row>
    <row r="1943" spans="1:8">
      <c r="A1943">
        <v>15444698</v>
      </c>
      <c r="B1943" t="s">
        <v>895</v>
      </c>
      <c r="C1943" t="s">
        <v>893</v>
      </c>
      <c r="D1943" t="s">
        <v>894</v>
      </c>
      <c r="E1943" t="s">
        <v>1379</v>
      </c>
      <c r="F1943" s="134">
        <v>0.31832175925925926</v>
      </c>
      <c r="G1943" t="s">
        <v>1373</v>
      </c>
      <c r="H1943" t="s">
        <v>1374</v>
      </c>
    </row>
    <row r="1944" spans="1:8">
      <c r="A1944">
        <v>15444951</v>
      </c>
      <c r="B1944" t="s">
        <v>850</v>
      </c>
      <c r="C1944" t="s">
        <v>844</v>
      </c>
      <c r="D1944" t="s">
        <v>141</v>
      </c>
      <c r="E1944" t="s">
        <v>1370</v>
      </c>
      <c r="F1944" s="134">
        <v>0.31351851851851853</v>
      </c>
      <c r="G1944" t="s">
        <v>1371</v>
      </c>
      <c r="H1944" t="s">
        <v>1372</v>
      </c>
    </row>
    <row r="1945" spans="1:8">
      <c r="A1945">
        <v>15444951</v>
      </c>
      <c r="B1945" t="s">
        <v>850</v>
      </c>
      <c r="C1945" t="s">
        <v>844</v>
      </c>
      <c r="D1945" t="s">
        <v>141</v>
      </c>
      <c r="E1945" t="s">
        <v>1370</v>
      </c>
      <c r="F1945" s="134">
        <v>0.62935185185185183</v>
      </c>
      <c r="G1945" t="s">
        <v>1373</v>
      </c>
      <c r="H1945" t="s">
        <v>1374</v>
      </c>
    </row>
    <row r="1946" spans="1:8">
      <c r="A1946">
        <v>15444951</v>
      </c>
      <c r="B1946" t="s">
        <v>850</v>
      </c>
      <c r="C1946" t="s">
        <v>844</v>
      </c>
      <c r="D1946" t="s">
        <v>141</v>
      </c>
      <c r="E1946" t="s">
        <v>1375</v>
      </c>
      <c r="F1946" s="134">
        <v>0.3237962962962963</v>
      </c>
      <c r="G1946" t="s">
        <v>1371</v>
      </c>
      <c r="H1946" t="s">
        <v>1372</v>
      </c>
    </row>
    <row r="1947" spans="1:8">
      <c r="A1947">
        <v>15444951</v>
      </c>
      <c r="B1947" t="s">
        <v>850</v>
      </c>
      <c r="C1947" t="s">
        <v>844</v>
      </c>
      <c r="D1947" t="s">
        <v>141</v>
      </c>
      <c r="E1947" t="s">
        <v>1375</v>
      </c>
      <c r="F1947" s="134">
        <v>0.63324074074074077</v>
      </c>
      <c r="G1947" t="s">
        <v>1373</v>
      </c>
      <c r="H1947" t="s">
        <v>1374</v>
      </c>
    </row>
    <row r="1948" spans="1:8">
      <c r="A1948">
        <v>15444951</v>
      </c>
      <c r="B1948" t="s">
        <v>850</v>
      </c>
      <c r="C1948" t="s">
        <v>844</v>
      </c>
      <c r="D1948" t="s">
        <v>141</v>
      </c>
      <c r="E1948" t="s">
        <v>1376</v>
      </c>
      <c r="F1948" s="134">
        <v>0.63232638888888892</v>
      </c>
      <c r="G1948" t="s">
        <v>1373</v>
      </c>
      <c r="H1948" t="s">
        <v>1374</v>
      </c>
    </row>
    <row r="1949" spans="1:8">
      <c r="A1949">
        <v>15444951</v>
      </c>
      <c r="B1949" t="s">
        <v>850</v>
      </c>
      <c r="C1949" t="s">
        <v>844</v>
      </c>
      <c r="D1949" t="s">
        <v>141</v>
      </c>
      <c r="E1949" t="s">
        <v>1376</v>
      </c>
      <c r="F1949" s="134">
        <v>0.31775462962962964</v>
      </c>
      <c r="G1949" t="s">
        <v>1371</v>
      </c>
      <c r="H1949" t="s">
        <v>1372</v>
      </c>
    </row>
    <row r="1950" spans="1:8">
      <c r="A1950">
        <v>15444951</v>
      </c>
      <c r="B1950" t="s">
        <v>850</v>
      </c>
      <c r="C1950" t="s">
        <v>844</v>
      </c>
      <c r="D1950" t="s">
        <v>141</v>
      </c>
      <c r="E1950" t="s">
        <v>1377</v>
      </c>
      <c r="F1950" s="134">
        <v>0.32386574074074076</v>
      </c>
      <c r="G1950" t="s">
        <v>1371</v>
      </c>
      <c r="H1950" t="s">
        <v>1372</v>
      </c>
    </row>
    <row r="1951" spans="1:8">
      <c r="A1951">
        <v>15444951</v>
      </c>
      <c r="B1951" t="s">
        <v>850</v>
      </c>
      <c r="C1951" t="s">
        <v>844</v>
      </c>
      <c r="D1951" t="s">
        <v>141</v>
      </c>
      <c r="E1951" t="s">
        <v>1377</v>
      </c>
      <c r="F1951" s="134">
        <v>0.63363425925925931</v>
      </c>
      <c r="G1951" t="s">
        <v>1373</v>
      </c>
      <c r="H1951" t="s">
        <v>1374</v>
      </c>
    </row>
    <row r="1952" spans="1:8">
      <c r="A1952">
        <v>15444951</v>
      </c>
      <c r="B1952" t="s">
        <v>850</v>
      </c>
      <c r="C1952" t="s">
        <v>844</v>
      </c>
      <c r="D1952" t="s">
        <v>141</v>
      </c>
      <c r="E1952" t="s">
        <v>1378</v>
      </c>
      <c r="F1952" s="134">
        <v>0.32652777777777781</v>
      </c>
      <c r="G1952" t="s">
        <v>1371</v>
      </c>
      <c r="H1952" t="s">
        <v>1372</v>
      </c>
    </row>
    <row r="1953" spans="1:8">
      <c r="A1953">
        <v>15444951</v>
      </c>
      <c r="B1953" t="s">
        <v>850</v>
      </c>
      <c r="C1953" t="s">
        <v>844</v>
      </c>
      <c r="D1953" t="s">
        <v>141</v>
      </c>
      <c r="E1953" t="s">
        <v>1378</v>
      </c>
      <c r="F1953" s="134">
        <v>0.63657407407407407</v>
      </c>
      <c r="G1953" t="s">
        <v>1373</v>
      </c>
      <c r="H1953" t="s">
        <v>1374</v>
      </c>
    </row>
    <row r="1954" spans="1:8">
      <c r="A1954">
        <v>15444951</v>
      </c>
      <c r="B1954" t="s">
        <v>850</v>
      </c>
      <c r="C1954" t="s">
        <v>844</v>
      </c>
      <c r="D1954" t="s">
        <v>141</v>
      </c>
      <c r="E1954" t="s">
        <v>1379</v>
      </c>
      <c r="F1954" s="134">
        <v>0.33342592592592596</v>
      </c>
      <c r="G1954" t="s">
        <v>1371</v>
      </c>
      <c r="H1954" t="s">
        <v>1372</v>
      </c>
    </row>
    <row r="1955" spans="1:8">
      <c r="A1955">
        <v>15444951</v>
      </c>
      <c r="B1955" t="s">
        <v>850</v>
      </c>
      <c r="C1955" t="s">
        <v>844</v>
      </c>
      <c r="D1955" t="s">
        <v>141</v>
      </c>
      <c r="E1955" t="s">
        <v>1379</v>
      </c>
      <c r="F1955" s="134">
        <v>0.63162037037037033</v>
      </c>
      <c r="G1955" t="s">
        <v>1373</v>
      </c>
      <c r="H1955" t="s">
        <v>1374</v>
      </c>
    </row>
    <row r="1956" spans="1:8">
      <c r="A1956">
        <v>15445100</v>
      </c>
      <c r="B1956" t="s">
        <v>779</v>
      </c>
      <c r="C1956" t="s">
        <v>1207</v>
      </c>
      <c r="D1956" t="s">
        <v>625</v>
      </c>
      <c r="E1956" t="s">
        <v>1370</v>
      </c>
      <c r="F1956" s="134">
        <v>0.91925925925925922</v>
      </c>
      <c r="G1956" t="s">
        <v>1371</v>
      </c>
      <c r="H1956" t="s">
        <v>1372</v>
      </c>
    </row>
    <row r="1957" spans="1:8">
      <c r="A1957">
        <v>15445100</v>
      </c>
      <c r="B1957" t="s">
        <v>779</v>
      </c>
      <c r="C1957" t="s">
        <v>1207</v>
      </c>
      <c r="D1957" t="s">
        <v>625</v>
      </c>
      <c r="E1957" t="s">
        <v>1375</v>
      </c>
      <c r="F1957" s="134">
        <v>0.32376157407407408</v>
      </c>
      <c r="G1957" t="s">
        <v>1373</v>
      </c>
      <c r="H1957" t="s">
        <v>1374</v>
      </c>
    </row>
    <row r="1958" spans="1:8">
      <c r="A1958">
        <v>15445100</v>
      </c>
      <c r="B1958" t="s">
        <v>779</v>
      </c>
      <c r="C1958" t="s">
        <v>1207</v>
      </c>
      <c r="D1958" t="s">
        <v>625</v>
      </c>
      <c r="E1958" t="s">
        <v>1375</v>
      </c>
      <c r="F1958" s="134">
        <v>0.92008101851851853</v>
      </c>
      <c r="G1958" t="s">
        <v>1371</v>
      </c>
      <c r="H1958" t="s">
        <v>1372</v>
      </c>
    </row>
    <row r="1959" spans="1:8">
      <c r="A1959">
        <v>15445100</v>
      </c>
      <c r="B1959" t="s">
        <v>779</v>
      </c>
      <c r="C1959" t="s">
        <v>1207</v>
      </c>
      <c r="D1959" t="s">
        <v>625</v>
      </c>
      <c r="E1959" t="s">
        <v>1376</v>
      </c>
      <c r="F1959" s="134">
        <v>0.32480324074074074</v>
      </c>
      <c r="G1959" t="s">
        <v>1373</v>
      </c>
      <c r="H1959" t="s">
        <v>1374</v>
      </c>
    </row>
    <row r="1960" spans="1:8">
      <c r="A1960">
        <v>15445100</v>
      </c>
      <c r="B1960" t="s">
        <v>779</v>
      </c>
      <c r="C1960" t="s">
        <v>1207</v>
      </c>
      <c r="D1960" t="s">
        <v>625</v>
      </c>
      <c r="E1960" t="s">
        <v>1376</v>
      </c>
      <c r="F1960" s="134">
        <v>0.93056712962962962</v>
      </c>
      <c r="G1960" t="s">
        <v>1371</v>
      </c>
      <c r="H1960" t="s">
        <v>1372</v>
      </c>
    </row>
    <row r="1961" spans="1:8">
      <c r="A1961">
        <v>15445100</v>
      </c>
      <c r="B1961" t="s">
        <v>779</v>
      </c>
      <c r="C1961" t="s">
        <v>1207</v>
      </c>
      <c r="D1961" t="s">
        <v>625</v>
      </c>
      <c r="E1961" t="s">
        <v>1377</v>
      </c>
      <c r="F1961" s="134">
        <v>0.32436342592592593</v>
      </c>
      <c r="G1961" t="s">
        <v>1373</v>
      </c>
      <c r="H1961" t="s">
        <v>1374</v>
      </c>
    </row>
    <row r="1962" spans="1:8">
      <c r="A1962">
        <v>15445100</v>
      </c>
      <c r="B1962" t="s">
        <v>779</v>
      </c>
      <c r="C1962" t="s">
        <v>1207</v>
      </c>
      <c r="D1962" t="s">
        <v>625</v>
      </c>
      <c r="E1962" t="s">
        <v>1377</v>
      </c>
      <c r="F1962" s="134">
        <v>0.92783564814814812</v>
      </c>
      <c r="G1962" t="s">
        <v>1371</v>
      </c>
      <c r="H1962" t="s">
        <v>1372</v>
      </c>
    </row>
    <row r="1963" spans="1:8">
      <c r="A1963">
        <v>15445100</v>
      </c>
      <c r="B1963" t="s">
        <v>779</v>
      </c>
      <c r="C1963" t="s">
        <v>1207</v>
      </c>
      <c r="D1963" t="s">
        <v>625</v>
      </c>
      <c r="E1963" t="s">
        <v>1378</v>
      </c>
      <c r="F1963" s="134">
        <v>0.3238773148148148</v>
      </c>
      <c r="G1963" t="s">
        <v>1373</v>
      </c>
      <c r="H1963" t="s">
        <v>1374</v>
      </c>
    </row>
    <row r="1964" spans="1:8">
      <c r="A1964">
        <v>15445100</v>
      </c>
      <c r="B1964" t="s">
        <v>779</v>
      </c>
      <c r="C1964" t="s">
        <v>1207</v>
      </c>
      <c r="D1964" t="s">
        <v>625</v>
      </c>
      <c r="E1964" t="s">
        <v>1378</v>
      </c>
      <c r="F1964" s="134">
        <v>0.92151620370370368</v>
      </c>
      <c r="G1964" t="s">
        <v>1371</v>
      </c>
      <c r="H1964" t="s">
        <v>1372</v>
      </c>
    </row>
    <row r="1965" spans="1:8">
      <c r="A1965">
        <v>15445100</v>
      </c>
      <c r="B1965" t="s">
        <v>779</v>
      </c>
      <c r="C1965" t="s">
        <v>1207</v>
      </c>
      <c r="D1965" t="s">
        <v>625</v>
      </c>
      <c r="E1965" t="s">
        <v>1379</v>
      </c>
      <c r="F1965" s="134">
        <v>0.32159722222222226</v>
      </c>
      <c r="G1965" t="s">
        <v>1373</v>
      </c>
      <c r="H1965" t="s">
        <v>1374</v>
      </c>
    </row>
    <row r="1966" spans="1:8">
      <c r="A1966">
        <v>15449281</v>
      </c>
      <c r="B1966" t="s">
        <v>1183</v>
      </c>
      <c r="C1966" t="s">
        <v>372</v>
      </c>
      <c r="D1966" t="s">
        <v>795</v>
      </c>
      <c r="E1966" t="s">
        <v>1370</v>
      </c>
      <c r="F1966" s="134">
        <v>0.29395833333333332</v>
      </c>
      <c r="G1966" t="s">
        <v>1371</v>
      </c>
      <c r="H1966" t="s">
        <v>1372</v>
      </c>
    </row>
    <row r="1967" spans="1:8">
      <c r="A1967">
        <v>15449281</v>
      </c>
      <c r="B1967" t="s">
        <v>1183</v>
      </c>
      <c r="C1967" t="s">
        <v>372</v>
      </c>
      <c r="D1967" t="s">
        <v>795</v>
      </c>
      <c r="E1967" t="s">
        <v>1370</v>
      </c>
      <c r="F1967" s="134">
        <v>0.7260416666666667</v>
      </c>
      <c r="G1967" t="s">
        <v>1373</v>
      </c>
      <c r="H1967" t="s">
        <v>1374</v>
      </c>
    </row>
    <row r="1968" spans="1:8">
      <c r="A1968">
        <v>15449281</v>
      </c>
      <c r="B1968" t="s">
        <v>1183</v>
      </c>
      <c r="C1968" t="s">
        <v>372</v>
      </c>
      <c r="D1968" t="s">
        <v>795</v>
      </c>
      <c r="E1968" t="s">
        <v>1375</v>
      </c>
      <c r="F1968" s="134">
        <v>0.29410879629629633</v>
      </c>
      <c r="G1968" t="s">
        <v>1371</v>
      </c>
      <c r="H1968" t="s">
        <v>1372</v>
      </c>
    </row>
    <row r="1969" spans="1:8">
      <c r="A1969">
        <v>15449281</v>
      </c>
      <c r="B1969" t="s">
        <v>1183</v>
      </c>
      <c r="C1969" t="s">
        <v>372</v>
      </c>
      <c r="D1969" t="s">
        <v>795</v>
      </c>
      <c r="E1969" t="s">
        <v>1375</v>
      </c>
      <c r="F1969" s="134">
        <v>0.72203703703703714</v>
      </c>
      <c r="G1969" t="s">
        <v>1373</v>
      </c>
      <c r="H1969" t="s">
        <v>1374</v>
      </c>
    </row>
    <row r="1970" spans="1:8">
      <c r="A1970">
        <v>15449281</v>
      </c>
      <c r="B1970" t="s">
        <v>1183</v>
      </c>
      <c r="C1970" t="s">
        <v>372</v>
      </c>
      <c r="D1970" t="s">
        <v>795</v>
      </c>
      <c r="E1970" t="s">
        <v>1376</v>
      </c>
      <c r="F1970" s="134">
        <v>0.29451388888888891</v>
      </c>
      <c r="G1970" t="s">
        <v>1371</v>
      </c>
      <c r="H1970" t="s">
        <v>1372</v>
      </c>
    </row>
    <row r="1971" spans="1:8">
      <c r="A1971">
        <v>15449281</v>
      </c>
      <c r="B1971" t="s">
        <v>1183</v>
      </c>
      <c r="C1971" t="s">
        <v>372</v>
      </c>
      <c r="D1971" t="s">
        <v>795</v>
      </c>
      <c r="E1971" t="s">
        <v>1376</v>
      </c>
      <c r="F1971" s="134">
        <v>0.73039351851851853</v>
      </c>
      <c r="G1971" t="s">
        <v>1373</v>
      </c>
      <c r="H1971" t="s">
        <v>1374</v>
      </c>
    </row>
    <row r="1972" spans="1:8">
      <c r="A1972">
        <v>15449281</v>
      </c>
      <c r="B1972" t="s">
        <v>1183</v>
      </c>
      <c r="C1972" t="s">
        <v>372</v>
      </c>
      <c r="D1972" t="s">
        <v>795</v>
      </c>
      <c r="E1972" t="s">
        <v>1377</v>
      </c>
      <c r="F1972" s="134">
        <v>0.71995370370370371</v>
      </c>
      <c r="G1972" t="s">
        <v>1373</v>
      </c>
      <c r="H1972" t="s">
        <v>1374</v>
      </c>
    </row>
    <row r="1973" spans="1:8">
      <c r="A1973">
        <v>15449281</v>
      </c>
      <c r="B1973" t="s">
        <v>1183</v>
      </c>
      <c r="C1973" t="s">
        <v>372</v>
      </c>
      <c r="D1973" t="s">
        <v>795</v>
      </c>
      <c r="E1973" t="s">
        <v>1377</v>
      </c>
      <c r="F1973" s="134">
        <v>0.29400462962962964</v>
      </c>
      <c r="G1973" t="s">
        <v>1371</v>
      </c>
      <c r="H1973" t="s">
        <v>1372</v>
      </c>
    </row>
    <row r="1974" spans="1:8">
      <c r="A1974">
        <v>15449281</v>
      </c>
      <c r="B1974" t="s">
        <v>1183</v>
      </c>
      <c r="C1974" t="s">
        <v>372</v>
      </c>
      <c r="D1974" t="s">
        <v>795</v>
      </c>
      <c r="E1974" t="s">
        <v>1378</v>
      </c>
      <c r="F1974" s="134">
        <v>0.29534722222222221</v>
      </c>
      <c r="G1974" t="s">
        <v>1371</v>
      </c>
      <c r="H1974" t="s">
        <v>1372</v>
      </c>
    </row>
    <row r="1975" spans="1:8">
      <c r="A1975">
        <v>15449281</v>
      </c>
      <c r="B1975" t="s">
        <v>1183</v>
      </c>
      <c r="C1975" t="s">
        <v>372</v>
      </c>
      <c r="D1975" t="s">
        <v>795</v>
      </c>
      <c r="E1975" t="s">
        <v>1378</v>
      </c>
      <c r="F1975" s="134">
        <v>0.6348611111111111</v>
      </c>
      <c r="G1975" t="s">
        <v>1373</v>
      </c>
      <c r="H1975" t="s">
        <v>1374</v>
      </c>
    </row>
    <row r="1976" spans="1:8">
      <c r="A1976">
        <v>15449281</v>
      </c>
      <c r="B1976" t="s">
        <v>1183</v>
      </c>
      <c r="C1976" t="s">
        <v>372</v>
      </c>
      <c r="D1976" t="s">
        <v>795</v>
      </c>
      <c r="E1976" t="s">
        <v>1379</v>
      </c>
      <c r="F1976" s="134">
        <v>0.29484953703703703</v>
      </c>
      <c r="G1976" t="s">
        <v>1371</v>
      </c>
      <c r="H1976" t="s">
        <v>1372</v>
      </c>
    </row>
    <row r="1977" spans="1:8">
      <c r="A1977">
        <v>15449281</v>
      </c>
      <c r="B1977" t="s">
        <v>1183</v>
      </c>
      <c r="C1977" t="s">
        <v>372</v>
      </c>
      <c r="D1977" t="s">
        <v>795</v>
      </c>
      <c r="E1977" t="s">
        <v>1379</v>
      </c>
      <c r="F1977" s="134">
        <v>0.63533564814814814</v>
      </c>
      <c r="G1977" t="s">
        <v>1373</v>
      </c>
      <c r="H1977" t="s">
        <v>1374</v>
      </c>
    </row>
    <row r="1978" spans="1:8">
      <c r="A1978" s="135">
        <v>15533689</v>
      </c>
      <c r="B1978" s="135" t="s">
        <v>832</v>
      </c>
      <c r="C1978" s="135" t="s">
        <v>372</v>
      </c>
      <c r="D1978" s="135" t="s">
        <v>1152</v>
      </c>
      <c r="E1978" s="135" t="s">
        <v>1370</v>
      </c>
      <c r="F1978" s="136">
        <v>0.314537037037037</v>
      </c>
      <c r="G1978" s="135" t="s">
        <v>1371</v>
      </c>
      <c r="H1978" s="135" t="s">
        <v>1372</v>
      </c>
    </row>
    <row r="1979" spans="1:8">
      <c r="A1979" s="135">
        <v>15533689</v>
      </c>
      <c r="B1979" s="135" t="s">
        <v>832</v>
      </c>
      <c r="C1979" s="135" t="s">
        <v>372</v>
      </c>
      <c r="D1979" s="135" t="s">
        <v>1152</v>
      </c>
      <c r="E1979" s="135" t="s">
        <v>1370</v>
      </c>
      <c r="F1979" s="136">
        <v>0.68541666666666667</v>
      </c>
      <c r="G1979" s="135" t="s">
        <v>1373</v>
      </c>
      <c r="H1979" s="135" t="s">
        <v>1374</v>
      </c>
    </row>
    <row r="1980" spans="1:8">
      <c r="A1980" s="135">
        <v>15533689</v>
      </c>
      <c r="B1980" s="135" t="s">
        <v>832</v>
      </c>
      <c r="C1980" s="135" t="s">
        <v>372</v>
      </c>
      <c r="D1980" s="135" t="s">
        <v>1152</v>
      </c>
      <c r="E1980" s="135" t="s">
        <v>1375</v>
      </c>
      <c r="F1980" s="136">
        <v>0.31236111111111114</v>
      </c>
      <c r="G1980" s="135" t="s">
        <v>1371</v>
      </c>
      <c r="H1980" s="135" t="s">
        <v>1372</v>
      </c>
    </row>
    <row r="1981" spans="1:8">
      <c r="A1981" s="135">
        <v>15533689</v>
      </c>
      <c r="B1981" s="135" t="s">
        <v>832</v>
      </c>
      <c r="C1981" s="135" t="s">
        <v>372</v>
      </c>
      <c r="D1981" s="135" t="s">
        <v>1152</v>
      </c>
      <c r="E1981" s="135" t="s">
        <v>1375</v>
      </c>
      <c r="F1981" s="136">
        <v>0.7734375</v>
      </c>
      <c r="G1981" s="135" t="s">
        <v>1373</v>
      </c>
      <c r="H1981" s="135" t="s">
        <v>1374</v>
      </c>
    </row>
    <row r="1982" spans="1:8">
      <c r="A1982" s="135">
        <v>15533689</v>
      </c>
      <c r="B1982" s="135" t="s">
        <v>832</v>
      </c>
      <c r="C1982" s="135" t="s">
        <v>372</v>
      </c>
      <c r="D1982" s="135" t="s">
        <v>1152</v>
      </c>
      <c r="E1982" s="135" t="s">
        <v>1375</v>
      </c>
      <c r="F1982" s="136">
        <v>0.90979166666666667</v>
      </c>
      <c r="G1982" s="135" t="s">
        <v>1371</v>
      </c>
      <c r="H1982" s="135" t="s">
        <v>1372</v>
      </c>
    </row>
    <row r="1983" spans="1:8">
      <c r="A1983" s="135">
        <v>15533689</v>
      </c>
      <c r="B1983" s="135" t="s">
        <v>832</v>
      </c>
      <c r="C1983" s="135" t="s">
        <v>372</v>
      </c>
      <c r="D1983" s="135" t="s">
        <v>1152</v>
      </c>
      <c r="E1983" s="135" t="s">
        <v>1376</v>
      </c>
      <c r="F1983" s="136">
        <v>0.65659722222222217</v>
      </c>
      <c r="G1983" s="135" t="s">
        <v>1373</v>
      </c>
      <c r="H1983" s="135" t="s">
        <v>1374</v>
      </c>
    </row>
    <row r="1984" spans="1:8">
      <c r="A1984" s="135">
        <v>15533689</v>
      </c>
      <c r="B1984" s="135" t="s">
        <v>832</v>
      </c>
      <c r="C1984" s="135" t="s">
        <v>372</v>
      </c>
      <c r="D1984" s="135" t="s">
        <v>1152</v>
      </c>
      <c r="E1984" s="135" t="s">
        <v>1376</v>
      </c>
      <c r="F1984" s="136">
        <v>0.41819444444444448</v>
      </c>
      <c r="G1984" s="135" t="s">
        <v>1371</v>
      </c>
      <c r="H1984" s="135" t="s">
        <v>1372</v>
      </c>
    </row>
    <row r="1985" spans="1:8">
      <c r="A1985" s="135">
        <v>15533689</v>
      </c>
      <c r="B1985" s="135" t="s">
        <v>832</v>
      </c>
      <c r="C1985" s="135" t="s">
        <v>372</v>
      </c>
      <c r="D1985" s="135" t="s">
        <v>1152</v>
      </c>
      <c r="E1985" s="135" t="s">
        <v>1376</v>
      </c>
      <c r="F1985" s="136">
        <v>9.1284722222222225E-2</v>
      </c>
      <c r="G1985" s="135" t="s">
        <v>1373</v>
      </c>
      <c r="H1985" s="135" t="s">
        <v>1374</v>
      </c>
    </row>
    <row r="1986" spans="1:8">
      <c r="A1986" s="135">
        <v>15533689</v>
      </c>
      <c r="B1986" s="135" t="s">
        <v>832</v>
      </c>
      <c r="C1986" s="135" t="s">
        <v>372</v>
      </c>
      <c r="D1986" s="135" t="s">
        <v>1152</v>
      </c>
      <c r="E1986" s="135" t="s">
        <v>1377</v>
      </c>
      <c r="F1986" s="136">
        <v>0.31216435185185182</v>
      </c>
      <c r="G1986" s="135" t="s">
        <v>1371</v>
      </c>
      <c r="H1986" s="135" t="s">
        <v>1372</v>
      </c>
    </row>
    <row r="1987" spans="1:8">
      <c r="A1987" s="135">
        <v>15533689</v>
      </c>
      <c r="B1987" s="135" t="s">
        <v>832</v>
      </c>
      <c r="C1987" s="135" t="s">
        <v>372</v>
      </c>
      <c r="D1987" s="135" t="s">
        <v>1152</v>
      </c>
      <c r="E1987" s="135" t="s">
        <v>1377</v>
      </c>
      <c r="F1987" s="136">
        <v>0.64430555555555558</v>
      </c>
      <c r="G1987" s="135" t="s">
        <v>1373</v>
      </c>
      <c r="H1987" s="135" t="s">
        <v>1374</v>
      </c>
    </row>
    <row r="1988" spans="1:8">
      <c r="A1988" s="135">
        <v>15533689</v>
      </c>
      <c r="B1988" s="135" t="s">
        <v>832</v>
      </c>
      <c r="C1988" s="135" t="s">
        <v>372</v>
      </c>
      <c r="D1988" s="135" t="s">
        <v>1152</v>
      </c>
      <c r="E1988" s="135" t="s">
        <v>1378</v>
      </c>
      <c r="F1988" s="136">
        <v>0.30709490740740741</v>
      </c>
      <c r="G1988" s="135" t="s">
        <v>1371</v>
      </c>
      <c r="H1988" s="135" t="s">
        <v>1372</v>
      </c>
    </row>
    <row r="1989" spans="1:8">
      <c r="A1989" s="135">
        <v>15533689</v>
      </c>
      <c r="B1989" s="135" t="s">
        <v>832</v>
      </c>
      <c r="C1989" s="135" t="s">
        <v>372</v>
      </c>
      <c r="D1989" s="135" t="s">
        <v>1152</v>
      </c>
      <c r="E1989" s="135" t="s">
        <v>1378</v>
      </c>
      <c r="F1989" s="136">
        <v>0.65019675925925924</v>
      </c>
      <c r="G1989" s="135" t="s">
        <v>1373</v>
      </c>
      <c r="H1989" s="135" t="s">
        <v>1374</v>
      </c>
    </row>
    <row r="1990" spans="1:8">
      <c r="A1990">
        <v>15702200</v>
      </c>
      <c r="B1990" t="s">
        <v>279</v>
      </c>
      <c r="C1990" t="s">
        <v>272</v>
      </c>
      <c r="D1990" t="s">
        <v>88</v>
      </c>
      <c r="E1990" t="s">
        <v>1370</v>
      </c>
      <c r="F1990" s="134">
        <v>0.91261574074074081</v>
      </c>
      <c r="G1990" t="s">
        <v>1371</v>
      </c>
      <c r="H1990" t="s">
        <v>1372</v>
      </c>
    </row>
    <row r="1991" spans="1:8">
      <c r="A1991">
        <v>15702200</v>
      </c>
      <c r="B1991" t="s">
        <v>279</v>
      </c>
      <c r="C1991" t="s">
        <v>272</v>
      </c>
      <c r="D1991" t="s">
        <v>88</v>
      </c>
      <c r="E1991" t="s">
        <v>1375</v>
      </c>
      <c r="F1991" s="134">
        <v>0.32668981481481479</v>
      </c>
      <c r="G1991" t="s">
        <v>1373</v>
      </c>
      <c r="H1991" t="s">
        <v>1374</v>
      </c>
    </row>
    <row r="1992" spans="1:8">
      <c r="A1992">
        <v>15702200</v>
      </c>
      <c r="B1992" t="s">
        <v>279</v>
      </c>
      <c r="C1992" t="s">
        <v>272</v>
      </c>
      <c r="D1992" t="s">
        <v>88</v>
      </c>
      <c r="E1992" t="s">
        <v>1375</v>
      </c>
      <c r="F1992" s="134">
        <v>0.91704861111111102</v>
      </c>
      <c r="G1992" t="s">
        <v>1371</v>
      </c>
      <c r="H1992" t="s">
        <v>1372</v>
      </c>
    </row>
    <row r="1993" spans="1:8">
      <c r="A1993">
        <v>15702200</v>
      </c>
      <c r="B1993" t="s">
        <v>279</v>
      </c>
      <c r="C1993" t="s">
        <v>272</v>
      </c>
      <c r="D1993" t="s">
        <v>88</v>
      </c>
      <c r="E1993" t="s">
        <v>1376</v>
      </c>
      <c r="F1993" s="134">
        <v>0.33178240740740739</v>
      </c>
      <c r="G1993" t="s">
        <v>1373</v>
      </c>
      <c r="H1993" t="s">
        <v>1374</v>
      </c>
    </row>
    <row r="1994" spans="1:8">
      <c r="A1994">
        <v>15702200</v>
      </c>
      <c r="B1994" t="s">
        <v>279</v>
      </c>
      <c r="C1994" t="s">
        <v>272</v>
      </c>
      <c r="D1994" t="s">
        <v>88</v>
      </c>
      <c r="E1994" t="s">
        <v>1376</v>
      </c>
      <c r="F1994" s="134">
        <v>0.91506944444444438</v>
      </c>
      <c r="G1994" t="s">
        <v>1371</v>
      </c>
      <c r="H1994" t="s">
        <v>1372</v>
      </c>
    </row>
    <row r="1995" spans="1:8">
      <c r="A1995">
        <v>15702200</v>
      </c>
      <c r="B1995" t="s">
        <v>279</v>
      </c>
      <c r="C1995" t="s">
        <v>272</v>
      </c>
      <c r="D1995" t="s">
        <v>88</v>
      </c>
      <c r="E1995" t="s">
        <v>1377</v>
      </c>
      <c r="F1995" s="134">
        <v>0.3275925925925926</v>
      </c>
      <c r="G1995" t="s">
        <v>1373</v>
      </c>
      <c r="H1995" t="s">
        <v>1374</v>
      </c>
    </row>
    <row r="1996" spans="1:8">
      <c r="A1996">
        <v>15702200</v>
      </c>
      <c r="B1996" t="s">
        <v>279</v>
      </c>
      <c r="C1996" t="s">
        <v>272</v>
      </c>
      <c r="D1996" t="s">
        <v>88</v>
      </c>
      <c r="E1996" t="s">
        <v>1378</v>
      </c>
      <c r="F1996" s="134">
        <v>0.91999999999999993</v>
      </c>
      <c r="G1996" t="s">
        <v>1371</v>
      </c>
      <c r="H1996" t="s">
        <v>1372</v>
      </c>
    </row>
    <row r="1997" spans="1:8">
      <c r="A1997">
        <v>15702200</v>
      </c>
      <c r="B1997" t="s">
        <v>279</v>
      </c>
      <c r="C1997" t="s">
        <v>272</v>
      </c>
      <c r="D1997" t="s">
        <v>88</v>
      </c>
      <c r="E1997" t="s">
        <v>1379</v>
      </c>
      <c r="F1997" s="134">
        <v>0.33135416666666667</v>
      </c>
      <c r="G1997" t="s">
        <v>1373</v>
      </c>
      <c r="H1997" t="s">
        <v>1374</v>
      </c>
    </row>
    <row r="1998" spans="1:8">
      <c r="A1998">
        <v>15786314</v>
      </c>
      <c r="B1998" t="s">
        <v>526</v>
      </c>
      <c r="C1998" t="s">
        <v>153</v>
      </c>
      <c r="D1998" t="s">
        <v>218</v>
      </c>
      <c r="E1998" t="s">
        <v>1370</v>
      </c>
      <c r="F1998" s="134">
        <v>0.62129629629629635</v>
      </c>
      <c r="G1998" t="s">
        <v>1371</v>
      </c>
      <c r="H1998" t="s">
        <v>1372</v>
      </c>
    </row>
    <row r="1999" spans="1:8">
      <c r="A1999">
        <v>15786314</v>
      </c>
      <c r="B1999" t="s">
        <v>526</v>
      </c>
      <c r="C1999" t="s">
        <v>153</v>
      </c>
      <c r="D1999" t="s">
        <v>218</v>
      </c>
      <c r="E1999" t="s">
        <v>1370</v>
      </c>
      <c r="F1999" s="134">
        <v>0.93890046296296292</v>
      </c>
      <c r="G1999" t="s">
        <v>1373</v>
      </c>
      <c r="H1999" t="s">
        <v>1374</v>
      </c>
    </row>
    <row r="2000" spans="1:8">
      <c r="A2000">
        <v>15786314</v>
      </c>
      <c r="B2000" t="s">
        <v>526</v>
      </c>
      <c r="C2000" t="s">
        <v>153</v>
      </c>
      <c r="D2000" t="s">
        <v>218</v>
      </c>
      <c r="E2000" t="s">
        <v>1375</v>
      </c>
      <c r="F2000" s="134">
        <v>0.61842592592592593</v>
      </c>
      <c r="G2000" t="s">
        <v>1371</v>
      </c>
      <c r="H2000" t="s">
        <v>1372</v>
      </c>
    </row>
    <row r="2001" spans="1:8">
      <c r="A2001">
        <v>15786314</v>
      </c>
      <c r="B2001" t="s">
        <v>526</v>
      </c>
      <c r="C2001" t="s">
        <v>153</v>
      </c>
      <c r="D2001" t="s">
        <v>218</v>
      </c>
      <c r="E2001" t="s">
        <v>1375</v>
      </c>
      <c r="F2001" s="134">
        <v>0.93811342592592595</v>
      </c>
      <c r="G2001" t="s">
        <v>1373</v>
      </c>
      <c r="H2001" t="s">
        <v>1374</v>
      </c>
    </row>
    <row r="2002" spans="1:8">
      <c r="A2002">
        <v>15786314</v>
      </c>
      <c r="B2002" t="s">
        <v>526</v>
      </c>
      <c r="C2002" t="s">
        <v>153</v>
      </c>
      <c r="D2002" t="s">
        <v>218</v>
      </c>
      <c r="E2002" t="s">
        <v>1376</v>
      </c>
      <c r="F2002" s="134">
        <v>0.9396296296296297</v>
      </c>
      <c r="G2002" t="s">
        <v>1373</v>
      </c>
      <c r="H2002" t="s">
        <v>1374</v>
      </c>
    </row>
    <row r="2003" spans="1:8">
      <c r="A2003">
        <v>15786314</v>
      </c>
      <c r="B2003" t="s">
        <v>526</v>
      </c>
      <c r="C2003" t="s">
        <v>153</v>
      </c>
      <c r="D2003" t="s">
        <v>218</v>
      </c>
      <c r="E2003" t="s">
        <v>1376</v>
      </c>
      <c r="F2003" s="134">
        <v>0.61395833333333327</v>
      </c>
      <c r="G2003" t="s">
        <v>1371</v>
      </c>
      <c r="H2003" t="s">
        <v>1372</v>
      </c>
    </row>
    <row r="2004" spans="1:8">
      <c r="A2004">
        <v>15786314</v>
      </c>
      <c r="B2004" t="s">
        <v>526</v>
      </c>
      <c r="C2004" t="s">
        <v>153</v>
      </c>
      <c r="D2004" t="s">
        <v>218</v>
      </c>
      <c r="E2004" t="s">
        <v>1377</v>
      </c>
      <c r="F2004" s="134">
        <v>0.62186342592592592</v>
      </c>
      <c r="G2004" t="s">
        <v>1371</v>
      </c>
      <c r="H2004" t="s">
        <v>1372</v>
      </c>
    </row>
    <row r="2005" spans="1:8">
      <c r="A2005">
        <v>15786314</v>
      </c>
      <c r="B2005" t="s">
        <v>526</v>
      </c>
      <c r="C2005" t="s">
        <v>153</v>
      </c>
      <c r="D2005" t="s">
        <v>218</v>
      </c>
      <c r="E2005" t="s">
        <v>1377</v>
      </c>
      <c r="F2005" s="134">
        <v>0.93942129629629623</v>
      </c>
      <c r="G2005" t="s">
        <v>1373</v>
      </c>
      <c r="H2005" t="s">
        <v>1374</v>
      </c>
    </row>
    <row r="2006" spans="1:8">
      <c r="A2006">
        <v>15786314</v>
      </c>
      <c r="B2006" t="s">
        <v>526</v>
      </c>
      <c r="C2006" t="s">
        <v>153</v>
      </c>
      <c r="D2006" t="s">
        <v>218</v>
      </c>
      <c r="E2006" t="s">
        <v>1378</v>
      </c>
      <c r="F2006" s="134">
        <v>0.62645833333333334</v>
      </c>
      <c r="G2006" t="s">
        <v>1371</v>
      </c>
      <c r="H2006" t="s">
        <v>1372</v>
      </c>
    </row>
    <row r="2007" spans="1:8">
      <c r="A2007">
        <v>15786314</v>
      </c>
      <c r="B2007" t="s">
        <v>526</v>
      </c>
      <c r="C2007" t="s">
        <v>153</v>
      </c>
      <c r="D2007" t="s">
        <v>218</v>
      </c>
      <c r="E2007" t="s">
        <v>1378</v>
      </c>
      <c r="F2007" s="134">
        <v>0.93765046296296306</v>
      </c>
      <c r="G2007" t="s">
        <v>1373</v>
      </c>
      <c r="H2007" t="s">
        <v>1374</v>
      </c>
    </row>
    <row r="2008" spans="1:8">
      <c r="A2008">
        <v>15786314</v>
      </c>
      <c r="B2008" t="s">
        <v>526</v>
      </c>
      <c r="C2008" t="s">
        <v>153</v>
      </c>
      <c r="D2008" t="s">
        <v>218</v>
      </c>
      <c r="E2008" t="s">
        <v>1379</v>
      </c>
      <c r="F2008" s="134">
        <v>0.6411458333333333</v>
      </c>
      <c r="G2008" t="s">
        <v>1371</v>
      </c>
      <c r="H2008" t="s">
        <v>1372</v>
      </c>
    </row>
    <row r="2009" spans="1:8">
      <c r="A2009">
        <v>15786314</v>
      </c>
      <c r="B2009" t="s">
        <v>526</v>
      </c>
      <c r="C2009" t="s">
        <v>153</v>
      </c>
      <c r="D2009" t="s">
        <v>218</v>
      </c>
      <c r="E2009" t="s">
        <v>1379</v>
      </c>
      <c r="F2009" s="134">
        <v>0.92826388888888889</v>
      </c>
      <c r="G2009" t="s">
        <v>1373</v>
      </c>
      <c r="H2009" t="s">
        <v>1374</v>
      </c>
    </row>
    <row r="2010" spans="1:8">
      <c r="A2010">
        <v>15788909</v>
      </c>
      <c r="B2010" t="s">
        <v>213</v>
      </c>
      <c r="C2010" t="s">
        <v>509</v>
      </c>
      <c r="D2010" t="s">
        <v>443</v>
      </c>
      <c r="E2010" t="s">
        <v>1381</v>
      </c>
      <c r="F2010" s="134">
        <v>0</v>
      </c>
    </row>
    <row r="2011" spans="1:8">
      <c r="A2011">
        <v>15823421</v>
      </c>
      <c r="B2011" t="s">
        <v>753</v>
      </c>
      <c r="C2011" t="s">
        <v>752</v>
      </c>
      <c r="D2011" t="s">
        <v>752</v>
      </c>
      <c r="E2011" t="s">
        <v>1370</v>
      </c>
      <c r="F2011" s="134">
        <v>0.96615740740740741</v>
      </c>
      <c r="G2011" t="s">
        <v>1371</v>
      </c>
      <c r="H2011" t="s">
        <v>1372</v>
      </c>
    </row>
    <row r="2012" spans="1:8">
      <c r="A2012">
        <v>15823421</v>
      </c>
      <c r="B2012" t="s">
        <v>753</v>
      </c>
      <c r="C2012" t="s">
        <v>752</v>
      </c>
      <c r="D2012" t="s">
        <v>752</v>
      </c>
      <c r="E2012" t="s">
        <v>1375</v>
      </c>
      <c r="F2012" s="134">
        <v>0.3240972222222222</v>
      </c>
      <c r="G2012" t="s">
        <v>1373</v>
      </c>
      <c r="H2012" t="s">
        <v>1374</v>
      </c>
    </row>
    <row r="2013" spans="1:8">
      <c r="A2013">
        <v>15823421</v>
      </c>
      <c r="B2013" t="s">
        <v>753</v>
      </c>
      <c r="C2013" t="s">
        <v>752</v>
      </c>
      <c r="D2013" t="s">
        <v>752</v>
      </c>
      <c r="E2013" t="s">
        <v>1375</v>
      </c>
      <c r="F2013" s="134">
        <v>0.93063657407407396</v>
      </c>
      <c r="G2013" t="s">
        <v>1371</v>
      </c>
      <c r="H2013" t="s">
        <v>1372</v>
      </c>
    </row>
    <row r="2014" spans="1:8">
      <c r="A2014">
        <v>15823421</v>
      </c>
      <c r="B2014" t="s">
        <v>753</v>
      </c>
      <c r="C2014" t="s">
        <v>752</v>
      </c>
      <c r="D2014" t="s">
        <v>752</v>
      </c>
      <c r="E2014" t="s">
        <v>1376</v>
      </c>
      <c r="F2014" s="134">
        <v>0.32581018518518517</v>
      </c>
      <c r="G2014" t="s">
        <v>1373</v>
      </c>
      <c r="H2014" t="s">
        <v>1374</v>
      </c>
    </row>
    <row r="2015" spans="1:8">
      <c r="A2015">
        <v>15823421</v>
      </c>
      <c r="B2015" t="s">
        <v>753</v>
      </c>
      <c r="C2015" t="s">
        <v>752</v>
      </c>
      <c r="D2015" t="s">
        <v>752</v>
      </c>
      <c r="E2015" t="s">
        <v>1377</v>
      </c>
      <c r="F2015" s="134">
        <v>0.96915509259259258</v>
      </c>
      <c r="G2015" t="s">
        <v>1371</v>
      </c>
      <c r="H2015" t="s">
        <v>1372</v>
      </c>
    </row>
    <row r="2016" spans="1:8">
      <c r="A2016">
        <v>15823421</v>
      </c>
      <c r="B2016" t="s">
        <v>753</v>
      </c>
      <c r="C2016" t="s">
        <v>752</v>
      </c>
      <c r="D2016" t="s">
        <v>752</v>
      </c>
      <c r="E2016" t="s">
        <v>1378</v>
      </c>
      <c r="F2016" s="134">
        <v>0.32449074074074075</v>
      </c>
      <c r="G2016" t="s">
        <v>1373</v>
      </c>
      <c r="H2016" t="s">
        <v>1374</v>
      </c>
    </row>
    <row r="2017" spans="1:8">
      <c r="A2017">
        <v>15823421</v>
      </c>
      <c r="B2017" t="s">
        <v>753</v>
      </c>
      <c r="C2017" t="s">
        <v>752</v>
      </c>
      <c r="D2017" t="s">
        <v>752</v>
      </c>
      <c r="E2017" t="s">
        <v>1378</v>
      </c>
      <c r="F2017" s="134">
        <v>0.96460648148148154</v>
      </c>
      <c r="G2017" t="s">
        <v>1371</v>
      </c>
      <c r="H2017" t="s">
        <v>1372</v>
      </c>
    </row>
    <row r="2018" spans="1:8">
      <c r="A2018">
        <v>15823421</v>
      </c>
      <c r="B2018" t="s">
        <v>753</v>
      </c>
      <c r="C2018" t="s">
        <v>752</v>
      </c>
      <c r="D2018" t="s">
        <v>752</v>
      </c>
      <c r="E2018" t="s">
        <v>1379</v>
      </c>
      <c r="F2018" s="134">
        <v>0.31949074074074074</v>
      </c>
      <c r="G2018" t="s">
        <v>1373</v>
      </c>
      <c r="H2018" t="s">
        <v>1374</v>
      </c>
    </row>
    <row r="2019" spans="1:8">
      <c r="A2019" s="135">
        <v>15891790</v>
      </c>
      <c r="B2019" s="135" t="s">
        <v>160</v>
      </c>
      <c r="C2019" s="135" t="s">
        <v>991</v>
      </c>
      <c r="D2019" s="135" t="s">
        <v>999</v>
      </c>
      <c r="E2019" s="135" t="s">
        <v>1370</v>
      </c>
      <c r="F2019" s="136">
        <v>0.31096064814814817</v>
      </c>
      <c r="G2019" s="135" t="s">
        <v>1371</v>
      </c>
      <c r="H2019" s="135" t="s">
        <v>1372</v>
      </c>
    </row>
    <row r="2020" spans="1:8">
      <c r="A2020" s="135">
        <v>15891790</v>
      </c>
      <c r="B2020" s="135" t="s">
        <v>160</v>
      </c>
      <c r="C2020" s="135" t="s">
        <v>991</v>
      </c>
      <c r="D2020" s="135" t="s">
        <v>999</v>
      </c>
      <c r="E2020" s="135" t="s">
        <v>1370</v>
      </c>
      <c r="F2020" s="136">
        <v>0.69597222222222221</v>
      </c>
      <c r="G2020" s="135" t="s">
        <v>1373</v>
      </c>
      <c r="H2020" s="135" t="s">
        <v>1374</v>
      </c>
    </row>
    <row r="2021" spans="1:8">
      <c r="A2021" s="135">
        <v>15891790</v>
      </c>
      <c r="B2021" s="135" t="s">
        <v>160</v>
      </c>
      <c r="C2021" s="135" t="s">
        <v>991</v>
      </c>
      <c r="D2021" s="135" t="s">
        <v>999</v>
      </c>
      <c r="E2021" s="135" t="s">
        <v>1375</v>
      </c>
      <c r="F2021" s="136">
        <v>0.31270833333333331</v>
      </c>
      <c r="G2021" s="135" t="s">
        <v>1371</v>
      </c>
      <c r="H2021" s="135" t="s">
        <v>1372</v>
      </c>
    </row>
    <row r="2022" spans="1:8">
      <c r="A2022" s="135">
        <v>15891790</v>
      </c>
      <c r="B2022" s="135" t="s">
        <v>160</v>
      </c>
      <c r="C2022" s="135" t="s">
        <v>991</v>
      </c>
      <c r="D2022" s="135" t="s">
        <v>999</v>
      </c>
      <c r="E2022" s="135" t="s">
        <v>1375</v>
      </c>
      <c r="F2022" s="136">
        <v>0.70758101851851851</v>
      </c>
      <c r="G2022" s="135" t="s">
        <v>1373</v>
      </c>
      <c r="H2022" s="135" t="s">
        <v>1374</v>
      </c>
    </row>
    <row r="2023" spans="1:8">
      <c r="A2023" s="135">
        <v>15891790</v>
      </c>
      <c r="B2023" s="135" t="s">
        <v>160</v>
      </c>
      <c r="C2023" s="135" t="s">
        <v>991</v>
      </c>
      <c r="D2023" s="135" t="s">
        <v>999</v>
      </c>
      <c r="E2023" s="135" t="s">
        <v>1376</v>
      </c>
      <c r="F2023" s="136">
        <v>0.63031249999999994</v>
      </c>
      <c r="G2023" s="135" t="s">
        <v>1373</v>
      </c>
      <c r="H2023" s="135" t="s">
        <v>1374</v>
      </c>
    </row>
    <row r="2024" spans="1:8">
      <c r="A2024" s="135">
        <v>15891790</v>
      </c>
      <c r="B2024" s="135" t="s">
        <v>160</v>
      </c>
      <c r="C2024" s="135" t="s">
        <v>991</v>
      </c>
      <c r="D2024" s="135" t="s">
        <v>999</v>
      </c>
      <c r="E2024" s="135" t="s">
        <v>1376</v>
      </c>
      <c r="F2024" s="136">
        <v>0.31256944444444446</v>
      </c>
      <c r="G2024" s="135" t="s">
        <v>1371</v>
      </c>
      <c r="H2024" s="135" t="s">
        <v>1372</v>
      </c>
    </row>
    <row r="2025" spans="1:8">
      <c r="A2025" s="135">
        <v>15891790</v>
      </c>
      <c r="B2025" s="135" t="s">
        <v>160</v>
      </c>
      <c r="C2025" s="135" t="s">
        <v>991</v>
      </c>
      <c r="D2025" s="135" t="s">
        <v>999</v>
      </c>
      <c r="E2025" s="135" t="s">
        <v>1377</v>
      </c>
      <c r="F2025" s="136">
        <v>0.31136574074074075</v>
      </c>
      <c r="G2025" s="135" t="s">
        <v>1371</v>
      </c>
      <c r="H2025" s="135" t="s">
        <v>1372</v>
      </c>
    </row>
    <row r="2026" spans="1:8">
      <c r="A2026" s="135">
        <v>15891790</v>
      </c>
      <c r="B2026" s="135" t="s">
        <v>160</v>
      </c>
      <c r="C2026" s="135" t="s">
        <v>991</v>
      </c>
      <c r="D2026" s="135" t="s">
        <v>999</v>
      </c>
      <c r="E2026" s="135" t="s">
        <v>1377</v>
      </c>
      <c r="F2026" s="136">
        <v>0.71640046296296289</v>
      </c>
      <c r="G2026" s="135" t="s">
        <v>1373</v>
      </c>
      <c r="H2026" s="135" t="s">
        <v>1374</v>
      </c>
    </row>
    <row r="2027" spans="1:8">
      <c r="A2027" s="135">
        <v>15891790</v>
      </c>
      <c r="B2027" s="135" t="s">
        <v>160</v>
      </c>
      <c r="C2027" s="135" t="s">
        <v>991</v>
      </c>
      <c r="D2027" s="135" t="s">
        <v>999</v>
      </c>
      <c r="E2027" s="135" t="s">
        <v>1378</v>
      </c>
      <c r="F2027" s="136">
        <v>0.31762731481481482</v>
      </c>
      <c r="G2027" s="135" t="s">
        <v>1371</v>
      </c>
      <c r="H2027" s="135" t="s">
        <v>1372</v>
      </c>
    </row>
    <row r="2028" spans="1:8">
      <c r="A2028" s="135">
        <v>15891790</v>
      </c>
      <c r="B2028" s="135" t="s">
        <v>160</v>
      </c>
      <c r="C2028" s="135" t="s">
        <v>991</v>
      </c>
      <c r="D2028" s="135" t="s">
        <v>999</v>
      </c>
      <c r="E2028" s="135" t="s">
        <v>1378</v>
      </c>
      <c r="F2028" s="136">
        <v>0.71281250000000007</v>
      </c>
      <c r="G2028" s="135" t="s">
        <v>1373</v>
      </c>
      <c r="H2028" s="135" t="s">
        <v>1374</v>
      </c>
    </row>
    <row r="2029" spans="1:8">
      <c r="A2029" s="135">
        <v>15891790</v>
      </c>
      <c r="B2029" s="135" t="s">
        <v>160</v>
      </c>
      <c r="C2029" s="135" t="s">
        <v>991</v>
      </c>
      <c r="D2029" s="135" t="s">
        <v>999</v>
      </c>
      <c r="E2029" s="135" t="s">
        <v>1379</v>
      </c>
      <c r="F2029" s="136">
        <v>0.31663194444444448</v>
      </c>
      <c r="G2029" s="135" t="s">
        <v>1371</v>
      </c>
      <c r="H2029" s="135" t="s">
        <v>1372</v>
      </c>
    </row>
    <row r="2030" spans="1:8">
      <c r="A2030" s="135">
        <v>15891790</v>
      </c>
      <c r="B2030" s="135" t="s">
        <v>160</v>
      </c>
      <c r="C2030" s="135" t="s">
        <v>991</v>
      </c>
      <c r="D2030" s="135" t="s">
        <v>999</v>
      </c>
      <c r="E2030" s="135" t="s">
        <v>1379</v>
      </c>
      <c r="F2030" s="136">
        <v>0.62586805555555558</v>
      </c>
      <c r="G2030" s="135" t="s">
        <v>1373</v>
      </c>
      <c r="H2030" s="135" t="s">
        <v>1374</v>
      </c>
    </row>
    <row r="2031" spans="1:8">
      <c r="A2031">
        <v>15899732</v>
      </c>
      <c r="B2031" t="s">
        <v>546</v>
      </c>
      <c r="C2031" t="s">
        <v>545</v>
      </c>
      <c r="D2031" t="s">
        <v>88</v>
      </c>
      <c r="E2031" t="s">
        <v>1370</v>
      </c>
      <c r="F2031" s="134">
        <v>0.9156712962962964</v>
      </c>
      <c r="G2031" t="s">
        <v>1371</v>
      </c>
      <c r="H2031" t="s">
        <v>1372</v>
      </c>
    </row>
    <row r="2032" spans="1:8">
      <c r="A2032">
        <v>15899732</v>
      </c>
      <c r="B2032" t="s">
        <v>546</v>
      </c>
      <c r="C2032" t="s">
        <v>545</v>
      </c>
      <c r="D2032" t="s">
        <v>88</v>
      </c>
      <c r="E2032" t="s">
        <v>1375</v>
      </c>
      <c r="F2032" s="134">
        <v>0.32395833333333335</v>
      </c>
      <c r="G2032" t="s">
        <v>1373</v>
      </c>
      <c r="H2032" t="s">
        <v>1374</v>
      </c>
    </row>
    <row r="2033" spans="1:8">
      <c r="A2033">
        <v>15899732</v>
      </c>
      <c r="B2033" t="s">
        <v>546</v>
      </c>
      <c r="C2033" t="s">
        <v>545</v>
      </c>
      <c r="D2033" t="s">
        <v>88</v>
      </c>
      <c r="E2033" t="s">
        <v>1375</v>
      </c>
      <c r="F2033" s="134">
        <v>0.92104166666666665</v>
      </c>
      <c r="G2033" t="s">
        <v>1371</v>
      </c>
      <c r="H2033" t="s">
        <v>1372</v>
      </c>
    </row>
    <row r="2034" spans="1:8">
      <c r="A2034">
        <v>15899732</v>
      </c>
      <c r="B2034" t="s">
        <v>546</v>
      </c>
      <c r="C2034" t="s">
        <v>545</v>
      </c>
      <c r="D2034" t="s">
        <v>88</v>
      </c>
      <c r="E2034" t="s">
        <v>1376</v>
      </c>
      <c r="F2034" s="134">
        <v>0.32655092592592594</v>
      </c>
      <c r="G2034" t="s">
        <v>1373</v>
      </c>
      <c r="H2034" t="s">
        <v>1374</v>
      </c>
    </row>
    <row r="2035" spans="1:8">
      <c r="A2035">
        <v>15899732</v>
      </c>
      <c r="B2035" t="s">
        <v>546</v>
      </c>
      <c r="C2035" t="s">
        <v>545</v>
      </c>
      <c r="D2035" t="s">
        <v>88</v>
      </c>
      <c r="E2035" t="s">
        <v>1376</v>
      </c>
      <c r="F2035" s="134">
        <v>0.92703703703703699</v>
      </c>
      <c r="G2035" t="s">
        <v>1371</v>
      </c>
      <c r="H2035" t="s">
        <v>1372</v>
      </c>
    </row>
    <row r="2036" spans="1:8">
      <c r="A2036">
        <v>15899732</v>
      </c>
      <c r="B2036" t="s">
        <v>546</v>
      </c>
      <c r="C2036" t="s">
        <v>545</v>
      </c>
      <c r="D2036" t="s">
        <v>88</v>
      </c>
      <c r="E2036" t="s">
        <v>1377</v>
      </c>
      <c r="F2036" s="134">
        <v>0.32479166666666665</v>
      </c>
      <c r="G2036" t="s">
        <v>1373</v>
      </c>
      <c r="H2036" t="s">
        <v>1374</v>
      </c>
    </row>
    <row r="2037" spans="1:8">
      <c r="A2037">
        <v>15899732</v>
      </c>
      <c r="B2037" t="s">
        <v>546</v>
      </c>
      <c r="C2037" t="s">
        <v>545</v>
      </c>
      <c r="D2037" t="s">
        <v>88</v>
      </c>
      <c r="E2037" t="s">
        <v>1377</v>
      </c>
      <c r="F2037" s="134">
        <v>0.9277777777777777</v>
      </c>
      <c r="G2037" t="s">
        <v>1371</v>
      </c>
      <c r="H2037" t="s">
        <v>1372</v>
      </c>
    </row>
    <row r="2038" spans="1:8">
      <c r="A2038">
        <v>15899732</v>
      </c>
      <c r="B2038" t="s">
        <v>546</v>
      </c>
      <c r="C2038" t="s">
        <v>545</v>
      </c>
      <c r="D2038" t="s">
        <v>88</v>
      </c>
      <c r="E2038" t="s">
        <v>1378</v>
      </c>
      <c r="F2038" s="134">
        <v>0.3278935185185185</v>
      </c>
      <c r="G2038" t="s">
        <v>1373</v>
      </c>
      <c r="H2038" t="s">
        <v>1374</v>
      </c>
    </row>
    <row r="2039" spans="1:8">
      <c r="A2039">
        <v>15899732</v>
      </c>
      <c r="B2039" t="s">
        <v>546</v>
      </c>
      <c r="C2039" t="s">
        <v>545</v>
      </c>
      <c r="D2039" t="s">
        <v>88</v>
      </c>
      <c r="E2039" t="s">
        <v>1378</v>
      </c>
      <c r="F2039" s="134">
        <v>0.93344907407407407</v>
      </c>
      <c r="G2039" t="s">
        <v>1371</v>
      </c>
      <c r="H2039" t="s">
        <v>1372</v>
      </c>
    </row>
    <row r="2040" spans="1:8">
      <c r="A2040">
        <v>15899732</v>
      </c>
      <c r="B2040" t="s">
        <v>546</v>
      </c>
      <c r="C2040" t="s">
        <v>545</v>
      </c>
      <c r="D2040" t="s">
        <v>88</v>
      </c>
      <c r="E2040" t="s">
        <v>1379</v>
      </c>
      <c r="F2040" s="134">
        <v>0.32874999999999999</v>
      </c>
      <c r="G2040" t="s">
        <v>1373</v>
      </c>
      <c r="H2040" t="s">
        <v>1374</v>
      </c>
    </row>
    <row r="2041" spans="1:8">
      <c r="A2041">
        <v>16029464</v>
      </c>
      <c r="B2041" t="s">
        <v>911</v>
      </c>
      <c r="C2041" t="s">
        <v>103</v>
      </c>
      <c r="D2041" t="s">
        <v>341</v>
      </c>
      <c r="E2041" t="s">
        <v>1370</v>
      </c>
      <c r="F2041" s="134">
        <v>0.29370370370370369</v>
      </c>
      <c r="G2041" t="s">
        <v>1371</v>
      </c>
      <c r="H2041" t="s">
        <v>1372</v>
      </c>
    </row>
    <row r="2042" spans="1:8">
      <c r="A2042">
        <v>16029464</v>
      </c>
      <c r="B2042" t="s">
        <v>911</v>
      </c>
      <c r="C2042" t="s">
        <v>103</v>
      </c>
      <c r="D2042" t="s">
        <v>341</v>
      </c>
      <c r="E2042" t="s">
        <v>1370</v>
      </c>
      <c r="F2042" s="134">
        <v>0.62689814814814815</v>
      </c>
      <c r="G2042" t="s">
        <v>1373</v>
      </c>
      <c r="H2042" t="s">
        <v>1374</v>
      </c>
    </row>
    <row r="2043" spans="1:8">
      <c r="A2043">
        <v>16029464</v>
      </c>
      <c r="B2043" t="s">
        <v>911</v>
      </c>
      <c r="C2043" t="s">
        <v>103</v>
      </c>
      <c r="D2043" t="s">
        <v>341</v>
      </c>
      <c r="E2043" t="s">
        <v>1375</v>
      </c>
      <c r="F2043" s="134">
        <v>0.29452546296296295</v>
      </c>
      <c r="G2043" t="s">
        <v>1371</v>
      </c>
      <c r="H2043" t="s">
        <v>1372</v>
      </c>
    </row>
    <row r="2044" spans="1:8">
      <c r="A2044">
        <v>16029464</v>
      </c>
      <c r="B2044" t="s">
        <v>911</v>
      </c>
      <c r="C2044" t="s">
        <v>103</v>
      </c>
      <c r="D2044" t="s">
        <v>341</v>
      </c>
      <c r="E2044" t="s">
        <v>1375</v>
      </c>
      <c r="F2044" s="134">
        <v>0.63118055555555552</v>
      </c>
      <c r="G2044" t="s">
        <v>1373</v>
      </c>
      <c r="H2044" t="s">
        <v>1374</v>
      </c>
    </row>
    <row r="2045" spans="1:8">
      <c r="A2045">
        <v>16029464</v>
      </c>
      <c r="B2045" t="s">
        <v>911</v>
      </c>
      <c r="C2045" t="s">
        <v>103</v>
      </c>
      <c r="D2045" t="s">
        <v>341</v>
      </c>
      <c r="E2045" t="s">
        <v>1376</v>
      </c>
      <c r="F2045" s="134">
        <v>0.62745370370370368</v>
      </c>
      <c r="G2045" t="s">
        <v>1373</v>
      </c>
      <c r="H2045" t="s">
        <v>1374</v>
      </c>
    </row>
    <row r="2046" spans="1:8">
      <c r="A2046">
        <v>16029464</v>
      </c>
      <c r="B2046" t="s">
        <v>911</v>
      </c>
      <c r="C2046" t="s">
        <v>103</v>
      </c>
      <c r="D2046" t="s">
        <v>341</v>
      </c>
      <c r="E2046" t="s">
        <v>1376</v>
      </c>
      <c r="F2046" s="134">
        <v>0.29475694444444445</v>
      </c>
      <c r="G2046" t="s">
        <v>1371</v>
      </c>
      <c r="H2046" t="s">
        <v>1372</v>
      </c>
    </row>
    <row r="2047" spans="1:8">
      <c r="A2047">
        <v>16029464</v>
      </c>
      <c r="B2047" t="s">
        <v>911</v>
      </c>
      <c r="C2047" t="s">
        <v>103</v>
      </c>
      <c r="D2047" t="s">
        <v>341</v>
      </c>
      <c r="E2047" t="s">
        <v>1377</v>
      </c>
      <c r="F2047" s="134">
        <v>0.2942939814814815</v>
      </c>
      <c r="G2047" t="s">
        <v>1371</v>
      </c>
      <c r="H2047" t="s">
        <v>1372</v>
      </c>
    </row>
    <row r="2048" spans="1:8">
      <c r="A2048">
        <v>16029464</v>
      </c>
      <c r="B2048" t="s">
        <v>911</v>
      </c>
      <c r="C2048" t="s">
        <v>103</v>
      </c>
      <c r="D2048" t="s">
        <v>341</v>
      </c>
      <c r="E2048" t="s">
        <v>1377</v>
      </c>
      <c r="F2048" s="134">
        <v>0.63075231481481475</v>
      </c>
      <c r="G2048" t="s">
        <v>1373</v>
      </c>
      <c r="H2048" t="s">
        <v>1374</v>
      </c>
    </row>
    <row r="2049" spans="1:8">
      <c r="A2049">
        <v>16029464</v>
      </c>
      <c r="B2049" t="s">
        <v>911</v>
      </c>
      <c r="C2049" t="s">
        <v>103</v>
      </c>
      <c r="D2049" t="s">
        <v>341</v>
      </c>
      <c r="E2049" t="s">
        <v>1378</v>
      </c>
      <c r="F2049" s="134">
        <v>0.29562499999999997</v>
      </c>
      <c r="G2049" t="s">
        <v>1371</v>
      </c>
      <c r="H2049" t="s">
        <v>1372</v>
      </c>
    </row>
    <row r="2050" spans="1:8">
      <c r="A2050">
        <v>16029464</v>
      </c>
      <c r="B2050" t="s">
        <v>911</v>
      </c>
      <c r="C2050" t="s">
        <v>103</v>
      </c>
      <c r="D2050" t="s">
        <v>341</v>
      </c>
      <c r="E2050" t="s">
        <v>1378</v>
      </c>
      <c r="F2050" s="134">
        <v>0.63538194444444451</v>
      </c>
      <c r="G2050" t="s">
        <v>1373</v>
      </c>
      <c r="H2050" t="s">
        <v>1374</v>
      </c>
    </row>
    <row r="2051" spans="1:8">
      <c r="A2051">
        <v>16029464</v>
      </c>
      <c r="B2051" t="s">
        <v>911</v>
      </c>
      <c r="C2051" t="s">
        <v>103</v>
      </c>
      <c r="D2051" t="s">
        <v>341</v>
      </c>
      <c r="E2051" t="s">
        <v>1379</v>
      </c>
      <c r="F2051" s="134">
        <v>0.29493055555555553</v>
      </c>
      <c r="G2051" t="s">
        <v>1371</v>
      </c>
      <c r="H2051" t="s">
        <v>1372</v>
      </c>
    </row>
    <row r="2052" spans="1:8">
      <c r="A2052">
        <v>16029464</v>
      </c>
      <c r="B2052" t="s">
        <v>911</v>
      </c>
      <c r="C2052" t="s">
        <v>103</v>
      </c>
      <c r="D2052" t="s">
        <v>341</v>
      </c>
      <c r="E2052" t="s">
        <v>1379</v>
      </c>
      <c r="F2052" s="134">
        <v>0.63559027777777777</v>
      </c>
      <c r="G2052" t="s">
        <v>1373</v>
      </c>
      <c r="H2052" t="s">
        <v>1374</v>
      </c>
    </row>
    <row r="2053" spans="1:8">
      <c r="A2053">
        <v>16031949</v>
      </c>
      <c r="B2053" t="s">
        <v>1391</v>
      </c>
      <c r="C2053" t="s">
        <v>386</v>
      </c>
      <c r="D2053" t="s">
        <v>387</v>
      </c>
      <c r="E2053" t="s">
        <v>1370</v>
      </c>
      <c r="F2053" s="134">
        <v>0.61456018518518518</v>
      </c>
      <c r="G2053" t="s">
        <v>1371</v>
      </c>
      <c r="H2053" t="s">
        <v>1372</v>
      </c>
    </row>
    <row r="2054" spans="1:8">
      <c r="A2054">
        <v>16031949</v>
      </c>
      <c r="B2054" t="s">
        <v>1391</v>
      </c>
      <c r="C2054" t="s">
        <v>386</v>
      </c>
      <c r="D2054" t="s">
        <v>387</v>
      </c>
      <c r="E2054" t="s">
        <v>1370</v>
      </c>
      <c r="F2054" s="134">
        <v>0.93902777777777768</v>
      </c>
      <c r="G2054" t="s">
        <v>1373</v>
      </c>
      <c r="H2054" t="s">
        <v>1374</v>
      </c>
    </row>
    <row r="2055" spans="1:8">
      <c r="A2055">
        <v>16031949</v>
      </c>
      <c r="B2055" t="s">
        <v>1391</v>
      </c>
      <c r="C2055" t="s">
        <v>386</v>
      </c>
      <c r="D2055" t="s">
        <v>387</v>
      </c>
      <c r="E2055" t="s">
        <v>1375</v>
      </c>
      <c r="F2055" s="134">
        <v>0.6115046296296297</v>
      </c>
      <c r="G2055" t="s">
        <v>1371</v>
      </c>
      <c r="H2055" t="s">
        <v>1372</v>
      </c>
    </row>
    <row r="2056" spans="1:8">
      <c r="A2056">
        <v>16031949</v>
      </c>
      <c r="B2056" t="s">
        <v>1391</v>
      </c>
      <c r="C2056" t="s">
        <v>386</v>
      </c>
      <c r="D2056" t="s">
        <v>387</v>
      </c>
      <c r="E2056" t="s">
        <v>1375</v>
      </c>
      <c r="F2056" s="134">
        <v>0.9450115740740741</v>
      </c>
      <c r="G2056" t="s">
        <v>1373</v>
      </c>
      <c r="H2056" t="s">
        <v>1374</v>
      </c>
    </row>
    <row r="2057" spans="1:8">
      <c r="A2057">
        <v>16031949</v>
      </c>
      <c r="B2057" t="s">
        <v>1391</v>
      </c>
      <c r="C2057" t="s">
        <v>386</v>
      </c>
      <c r="D2057" t="s">
        <v>387</v>
      </c>
      <c r="E2057" t="s">
        <v>1376</v>
      </c>
      <c r="F2057" s="134">
        <v>0.93519675925925927</v>
      </c>
      <c r="G2057" t="s">
        <v>1373</v>
      </c>
      <c r="H2057" t="s">
        <v>1374</v>
      </c>
    </row>
    <row r="2058" spans="1:8">
      <c r="A2058">
        <v>16031949</v>
      </c>
      <c r="B2058" t="s">
        <v>1391</v>
      </c>
      <c r="C2058" t="s">
        <v>386</v>
      </c>
      <c r="D2058" t="s">
        <v>387</v>
      </c>
      <c r="E2058" t="s">
        <v>1376</v>
      </c>
      <c r="F2058" s="134">
        <v>0.60817129629629629</v>
      </c>
      <c r="G2058" t="s">
        <v>1371</v>
      </c>
      <c r="H2058" t="s">
        <v>1372</v>
      </c>
    </row>
    <row r="2059" spans="1:8">
      <c r="A2059">
        <v>16031949</v>
      </c>
      <c r="B2059" t="s">
        <v>1391</v>
      </c>
      <c r="C2059" t="s">
        <v>386</v>
      </c>
      <c r="D2059" t="s">
        <v>387</v>
      </c>
      <c r="E2059" t="s">
        <v>1377</v>
      </c>
      <c r="F2059" s="134">
        <v>0.61707175925925928</v>
      </c>
      <c r="G2059" t="s">
        <v>1371</v>
      </c>
      <c r="H2059" t="s">
        <v>1372</v>
      </c>
    </row>
    <row r="2060" spans="1:8">
      <c r="A2060">
        <v>16031949</v>
      </c>
      <c r="B2060" t="s">
        <v>1391</v>
      </c>
      <c r="C2060" t="s">
        <v>386</v>
      </c>
      <c r="D2060" t="s">
        <v>387</v>
      </c>
      <c r="E2060" t="s">
        <v>1377</v>
      </c>
      <c r="F2060" s="134">
        <v>0.93949074074074079</v>
      </c>
      <c r="G2060" t="s">
        <v>1373</v>
      </c>
      <c r="H2060" t="s">
        <v>1374</v>
      </c>
    </row>
    <row r="2061" spans="1:8">
      <c r="A2061">
        <v>16031949</v>
      </c>
      <c r="B2061" t="s">
        <v>1391</v>
      </c>
      <c r="C2061" t="s">
        <v>386</v>
      </c>
      <c r="D2061" t="s">
        <v>387</v>
      </c>
      <c r="E2061" t="s">
        <v>1378</v>
      </c>
      <c r="F2061" s="134">
        <v>0.60931712962962969</v>
      </c>
      <c r="G2061" t="s">
        <v>1371</v>
      </c>
      <c r="H2061" t="s">
        <v>1372</v>
      </c>
    </row>
    <row r="2062" spans="1:8">
      <c r="A2062">
        <v>16031949</v>
      </c>
      <c r="B2062" t="s">
        <v>1391</v>
      </c>
      <c r="C2062" t="s">
        <v>386</v>
      </c>
      <c r="D2062" t="s">
        <v>387</v>
      </c>
      <c r="E2062" t="s">
        <v>1378</v>
      </c>
      <c r="F2062" s="134">
        <v>0.94187500000000002</v>
      </c>
      <c r="G2062" t="s">
        <v>1373</v>
      </c>
      <c r="H2062" t="s">
        <v>1374</v>
      </c>
    </row>
    <row r="2063" spans="1:8">
      <c r="A2063">
        <v>16031949</v>
      </c>
      <c r="B2063" t="s">
        <v>1391</v>
      </c>
      <c r="C2063" t="s">
        <v>386</v>
      </c>
      <c r="D2063" t="s">
        <v>387</v>
      </c>
      <c r="E2063" t="s">
        <v>1379</v>
      </c>
      <c r="F2063" s="134">
        <v>0.6096759259259259</v>
      </c>
      <c r="G2063" t="s">
        <v>1371</v>
      </c>
      <c r="H2063" t="s">
        <v>1372</v>
      </c>
    </row>
    <row r="2064" spans="1:8">
      <c r="A2064">
        <v>16031949</v>
      </c>
      <c r="B2064" t="s">
        <v>1391</v>
      </c>
      <c r="C2064" t="s">
        <v>386</v>
      </c>
      <c r="D2064" t="s">
        <v>387</v>
      </c>
      <c r="E2064" t="s">
        <v>1379</v>
      </c>
      <c r="F2064" s="134">
        <v>0.9368171296296296</v>
      </c>
      <c r="G2064" t="s">
        <v>1373</v>
      </c>
      <c r="H2064" t="s">
        <v>1374</v>
      </c>
    </row>
    <row r="2065" spans="1:8">
      <c r="A2065">
        <v>16132065</v>
      </c>
      <c r="B2065" t="s">
        <v>455</v>
      </c>
      <c r="C2065" t="s">
        <v>449</v>
      </c>
      <c r="D2065" t="s">
        <v>454</v>
      </c>
      <c r="E2065" t="s">
        <v>1370</v>
      </c>
      <c r="F2065" s="134">
        <v>0.60712962962962969</v>
      </c>
      <c r="G2065" t="s">
        <v>1371</v>
      </c>
      <c r="H2065" t="s">
        <v>1372</v>
      </c>
    </row>
    <row r="2066" spans="1:8">
      <c r="A2066">
        <v>16132065</v>
      </c>
      <c r="B2066" t="s">
        <v>455</v>
      </c>
      <c r="C2066" t="s">
        <v>449</v>
      </c>
      <c r="D2066" t="s">
        <v>454</v>
      </c>
      <c r="E2066" t="s">
        <v>1370</v>
      </c>
      <c r="F2066" s="134">
        <v>0.95112268518518517</v>
      </c>
      <c r="G2066" t="s">
        <v>1373</v>
      </c>
      <c r="H2066" t="s">
        <v>1374</v>
      </c>
    </row>
    <row r="2067" spans="1:8">
      <c r="A2067">
        <v>16132065</v>
      </c>
      <c r="B2067" t="s">
        <v>455</v>
      </c>
      <c r="C2067" t="s">
        <v>449</v>
      </c>
      <c r="D2067" t="s">
        <v>454</v>
      </c>
      <c r="E2067" t="s">
        <v>1375</v>
      </c>
      <c r="F2067" s="134">
        <v>0.61216435185185192</v>
      </c>
      <c r="G2067" t="s">
        <v>1371</v>
      </c>
      <c r="H2067" t="s">
        <v>1372</v>
      </c>
    </row>
    <row r="2068" spans="1:8">
      <c r="A2068">
        <v>16132065</v>
      </c>
      <c r="B2068" t="s">
        <v>455</v>
      </c>
      <c r="C2068" t="s">
        <v>449</v>
      </c>
      <c r="D2068" t="s">
        <v>454</v>
      </c>
      <c r="E2068" t="s">
        <v>1375</v>
      </c>
      <c r="F2068" s="134">
        <v>0.94435185185185189</v>
      </c>
      <c r="G2068" t="s">
        <v>1373</v>
      </c>
      <c r="H2068" t="s">
        <v>1374</v>
      </c>
    </row>
    <row r="2069" spans="1:8">
      <c r="A2069">
        <v>16132065</v>
      </c>
      <c r="B2069" t="s">
        <v>455</v>
      </c>
      <c r="C2069" t="s">
        <v>449</v>
      </c>
      <c r="D2069" t="s">
        <v>454</v>
      </c>
      <c r="E2069" t="s">
        <v>1376</v>
      </c>
      <c r="F2069" s="134">
        <v>0.95193287037037033</v>
      </c>
      <c r="G2069" t="s">
        <v>1373</v>
      </c>
      <c r="H2069" t="s">
        <v>1374</v>
      </c>
    </row>
    <row r="2070" spans="1:8">
      <c r="A2070">
        <v>16132065</v>
      </c>
      <c r="B2070" t="s">
        <v>455</v>
      </c>
      <c r="C2070" t="s">
        <v>449</v>
      </c>
      <c r="D2070" t="s">
        <v>454</v>
      </c>
      <c r="E2070" t="s">
        <v>1376</v>
      </c>
      <c r="F2070" s="134">
        <v>0.60821759259259256</v>
      </c>
      <c r="G2070" t="s">
        <v>1371</v>
      </c>
      <c r="H2070" t="s">
        <v>1372</v>
      </c>
    </row>
    <row r="2071" spans="1:8">
      <c r="A2071">
        <v>16132065</v>
      </c>
      <c r="B2071" t="s">
        <v>455</v>
      </c>
      <c r="C2071" t="s">
        <v>449</v>
      </c>
      <c r="D2071" t="s">
        <v>454</v>
      </c>
      <c r="E2071" t="s">
        <v>1377</v>
      </c>
      <c r="F2071" s="134">
        <v>0.60759259259259257</v>
      </c>
      <c r="G2071" t="s">
        <v>1371</v>
      </c>
      <c r="H2071" t="s">
        <v>1372</v>
      </c>
    </row>
    <row r="2072" spans="1:8">
      <c r="A2072">
        <v>16132065</v>
      </c>
      <c r="B2072" t="s">
        <v>455</v>
      </c>
      <c r="C2072" t="s">
        <v>449</v>
      </c>
      <c r="D2072" t="s">
        <v>454</v>
      </c>
      <c r="E2072" t="s">
        <v>1377</v>
      </c>
      <c r="F2072" s="134">
        <v>0.94033564814814818</v>
      </c>
      <c r="G2072" t="s">
        <v>1373</v>
      </c>
      <c r="H2072" t="s">
        <v>1374</v>
      </c>
    </row>
    <row r="2073" spans="1:8">
      <c r="A2073">
        <v>16132065</v>
      </c>
      <c r="B2073" t="s">
        <v>455</v>
      </c>
      <c r="C2073" t="s">
        <v>449</v>
      </c>
      <c r="D2073" t="s">
        <v>454</v>
      </c>
      <c r="E2073" t="s">
        <v>1378</v>
      </c>
      <c r="F2073" s="134">
        <v>0.60877314814814809</v>
      </c>
      <c r="G2073" t="s">
        <v>1371</v>
      </c>
      <c r="H2073" t="s">
        <v>1372</v>
      </c>
    </row>
    <row r="2074" spans="1:8">
      <c r="A2074">
        <v>16132065</v>
      </c>
      <c r="B2074" t="s">
        <v>455</v>
      </c>
      <c r="C2074" t="s">
        <v>449</v>
      </c>
      <c r="D2074" t="s">
        <v>454</v>
      </c>
      <c r="E2074" t="s">
        <v>1378</v>
      </c>
      <c r="F2074" s="134">
        <v>0.94972222222222225</v>
      </c>
      <c r="G2074" t="s">
        <v>1373</v>
      </c>
      <c r="H2074" t="s">
        <v>1374</v>
      </c>
    </row>
    <row r="2075" spans="1:8">
      <c r="A2075">
        <v>16132065</v>
      </c>
      <c r="B2075" t="s">
        <v>455</v>
      </c>
      <c r="C2075" t="s">
        <v>449</v>
      </c>
      <c r="D2075" t="s">
        <v>454</v>
      </c>
      <c r="E2075" t="s">
        <v>1379</v>
      </c>
      <c r="F2075" s="134">
        <v>0.60980324074074077</v>
      </c>
      <c r="G2075" t="s">
        <v>1371</v>
      </c>
      <c r="H2075" t="s">
        <v>1372</v>
      </c>
    </row>
    <row r="2076" spans="1:8">
      <c r="A2076">
        <v>16132065</v>
      </c>
      <c r="B2076" t="s">
        <v>455</v>
      </c>
      <c r="C2076" t="s">
        <v>449</v>
      </c>
      <c r="D2076" t="s">
        <v>454</v>
      </c>
      <c r="E2076" t="s">
        <v>1379</v>
      </c>
      <c r="F2076" s="134">
        <v>0.93809027777777787</v>
      </c>
      <c r="G2076" t="s">
        <v>1373</v>
      </c>
      <c r="H2076" t="s">
        <v>1374</v>
      </c>
    </row>
    <row r="2077" spans="1:8">
      <c r="A2077">
        <v>16149604</v>
      </c>
      <c r="B2077" t="s">
        <v>817</v>
      </c>
      <c r="C2077" t="s">
        <v>355</v>
      </c>
      <c r="D2077" t="s">
        <v>637</v>
      </c>
      <c r="E2077" t="s">
        <v>1370</v>
      </c>
      <c r="F2077" s="134">
        <v>0.29416666666666663</v>
      </c>
      <c r="G2077" t="s">
        <v>1371</v>
      </c>
      <c r="H2077" t="s">
        <v>1372</v>
      </c>
    </row>
    <row r="2078" spans="1:8">
      <c r="A2078">
        <v>16149604</v>
      </c>
      <c r="B2078" t="s">
        <v>817</v>
      </c>
      <c r="C2078" t="s">
        <v>355</v>
      </c>
      <c r="D2078" t="s">
        <v>637</v>
      </c>
      <c r="E2078" t="s">
        <v>1370</v>
      </c>
      <c r="F2078" s="134">
        <v>0.7306597222222222</v>
      </c>
      <c r="G2078" t="s">
        <v>1373</v>
      </c>
      <c r="H2078" t="s">
        <v>1374</v>
      </c>
    </row>
    <row r="2079" spans="1:8">
      <c r="A2079">
        <v>16149604</v>
      </c>
      <c r="B2079" t="s">
        <v>817</v>
      </c>
      <c r="C2079" t="s">
        <v>355</v>
      </c>
      <c r="D2079" t="s">
        <v>637</v>
      </c>
      <c r="E2079" t="s">
        <v>1375</v>
      </c>
      <c r="F2079" s="134">
        <v>0.29472222222222222</v>
      </c>
      <c r="G2079" t="s">
        <v>1371</v>
      </c>
      <c r="H2079" t="s">
        <v>1372</v>
      </c>
    </row>
    <row r="2080" spans="1:8">
      <c r="A2080">
        <v>16149604</v>
      </c>
      <c r="B2080" t="s">
        <v>817</v>
      </c>
      <c r="C2080" t="s">
        <v>355</v>
      </c>
      <c r="D2080" t="s">
        <v>637</v>
      </c>
      <c r="E2080" t="s">
        <v>1375</v>
      </c>
      <c r="F2080" s="134">
        <v>0.7262615740740741</v>
      </c>
      <c r="G2080" t="s">
        <v>1373</v>
      </c>
      <c r="H2080" t="s">
        <v>1374</v>
      </c>
    </row>
    <row r="2081" spans="1:8">
      <c r="A2081">
        <v>16149604</v>
      </c>
      <c r="B2081" t="s">
        <v>817</v>
      </c>
      <c r="C2081" t="s">
        <v>355</v>
      </c>
      <c r="D2081" t="s">
        <v>637</v>
      </c>
      <c r="E2081" t="s">
        <v>1376</v>
      </c>
      <c r="F2081" s="134">
        <v>0.73532407407407396</v>
      </c>
      <c r="G2081" t="s">
        <v>1373</v>
      </c>
      <c r="H2081" t="s">
        <v>1374</v>
      </c>
    </row>
    <row r="2082" spans="1:8">
      <c r="A2082">
        <v>16149604</v>
      </c>
      <c r="B2082" t="s">
        <v>817</v>
      </c>
      <c r="C2082" t="s">
        <v>355</v>
      </c>
      <c r="D2082" t="s">
        <v>637</v>
      </c>
      <c r="E2082" t="s">
        <v>1376</v>
      </c>
      <c r="F2082" s="134">
        <v>0.29494212962962962</v>
      </c>
      <c r="G2082" t="s">
        <v>1371</v>
      </c>
      <c r="H2082" t="s">
        <v>1372</v>
      </c>
    </row>
    <row r="2083" spans="1:8">
      <c r="A2083">
        <v>16149604</v>
      </c>
      <c r="B2083" t="s">
        <v>817</v>
      </c>
      <c r="C2083" t="s">
        <v>355</v>
      </c>
      <c r="D2083" t="s">
        <v>637</v>
      </c>
      <c r="E2083" t="s">
        <v>1377</v>
      </c>
      <c r="F2083" s="134">
        <v>0.29424768518518518</v>
      </c>
      <c r="G2083" t="s">
        <v>1371</v>
      </c>
      <c r="H2083" t="s">
        <v>1372</v>
      </c>
    </row>
    <row r="2084" spans="1:8">
      <c r="A2084">
        <v>16149604</v>
      </c>
      <c r="B2084" t="s">
        <v>817</v>
      </c>
      <c r="C2084" t="s">
        <v>355</v>
      </c>
      <c r="D2084" t="s">
        <v>637</v>
      </c>
      <c r="E2084" t="s">
        <v>1377</v>
      </c>
      <c r="F2084" s="134">
        <v>0.73423611111111109</v>
      </c>
      <c r="G2084" t="s">
        <v>1373</v>
      </c>
      <c r="H2084" t="s">
        <v>1374</v>
      </c>
    </row>
    <row r="2085" spans="1:8">
      <c r="A2085">
        <v>16149604</v>
      </c>
      <c r="B2085" t="s">
        <v>817</v>
      </c>
      <c r="C2085" t="s">
        <v>355</v>
      </c>
      <c r="D2085" t="s">
        <v>637</v>
      </c>
      <c r="E2085" t="s">
        <v>1378</v>
      </c>
      <c r="F2085" s="134">
        <v>0.29572916666666665</v>
      </c>
      <c r="G2085" t="s">
        <v>1371</v>
      </c>
      <c r="H2085" t="s">
        <v>1372</v>
      </c>
    </row>
    <row r="2086" spans="1:8">
      <c r="A2086">
        <v>16149604</v>
      </c>
      <c r="B2086" t="s">
        <v>817</v>
      </c>
      <c r="C2086" t="s">
        <v>355</v>
      </c>
      <c r="D2086" t="s">
        <v>637</v>
      </c>
      <c r="E2086" t="s">
        <v>1378</v>
      </c>
      <c r="F2086" s="134">
        <v>0.73884259259259266</v>
      </c>
      <c r="G2086" t="s">
        <v>1371</v>
      </c>
      <c r="H2086" t="s">
        <v>1372</v>
      </c>
    </row>
    <row r="2087" spans="1:8">
      <c r="A2087">
        <v>16149604</v>
      </c>
      <c r="B2087" t="s">
        <v>817</v>
      </c>
      <c r="C2087" t="s">
        <v>355</v>
      </c>
      <c r="D2087" t="s">
        <v>637</v>
      </c>
      <c r="E2087" t="s">
        <v>1379</v>
      </c>
      <c r="F2087" s="134">
        <v>0.29502314814814817</v>
      </c>
      <c r="G2087" t="s">
        <v>1371</v>
      </c>
      <c r="H2087" t="s">
        <v>1372</v>
      </c>
    </row>
    <row r="2088" spans="1:8">
      <c r="A2088">
        <v>16149604</v>
      </c>
      <c r="B2088" t="s">
        <v>817</v>
      </c>
      <c r="C2088" t="s">
        <v>355</v>
      </c>
      <c r="D2088" t="s">
        <v>637</v>
      </c>
      <c r="E2088" t="s">
        <v>1379</v>
      </c>
      <c r="F2088" s="134">
        <v>0.64391203703703703</v>
      </c>
      <c r="G2088" t="s">
        <v>1373</v>
      </c>
      <c r="H2088" t="s">
        <v>1374</v>
      </c>
    </row>
    <row r="2089" spans="1:8">
      <c r="A2089">
        <v>16169301</v>
      </c>
      <c r="B2089" t="s">
        <v>1230</v>
      </c>
      <c r="C2089" t="s">
        <v>1228</v>
      </c>
      <c r="D2089" t="s">
        <v>1229</v>
      </c>
      <c r="E2089" t="s">
        <v>1370</v>
      </c>
      <c r="F2089" s="134">
        <v>0.60545138888888894</v>
      </c>
      <c r="G2089" t="s">
        <v>1371</v>
      </c>
      <c r="H2089" t="s">
        <v>1372</v>
      </c>
    </row>
    <row r="2090" spans="1:8">
      <c r="A2090">
        <v>16169301</v>
      </c>
      <c r="B2090" t="s">
        <v>1230</v>
      </c>
      <c r="C2090" t="s">
        <v>1228</v>
      </c>
      <c r="D2090" t="s">
        <v>1229</v>
      </c>
      <c r="E2090" t="s">
        <v>1370</v>
      </c>
      <c r="F2090" s="134">
        <v>0.94409722222222225</v>
      </c>
      <c r="G2090" t="s">
        <v>1373</v>
      </c>
      <c r="H2090" t="s">
        <v>1374</v>
      </c>
    </row>
    <row r="2091" spans="1:8">
      <c r="A2091">
        <v>16169301</v>
      </c>
      <c r="B2091" t="s">
        <v>1230</v>
      </c>
      <c r="C2091" t="s">
        <v>1228</v>
      </c>
      <c r="D2091" t="s">
        <v>1229</v>
      </c>
      <c r="E2091" t="s">
        <v>1375</v>
      </c>
      <c r="F2091" s="134">
        <v>0.6063425925925926</v>
      </c>
      <c r="G2091" t="s">
        <v>1371</v>
      </c>
      <c r="H2091" t="s">
        <v>1372</v>
      </c>
    </row>
    <row r="2092" spans="1:8">
      <c r="A2092">
        <v>16169301</v>
      </c>
      <c r="B2092" t="s">
        <v>1230</v>
      </c>
      <c r="C2092" t="s">
        <v>1228</v>
      </c>
      <c r="D2092" t="s">
        <v>1229</v>
      </c>
      <c r="E2092" t="s">
        <v>1375</v>
      </c>
      <c r="F2092" s="134">
        <v>0.945775462962963</v>
      </c>
      <c r="G2092" t="s">
        <v>1373</v>
      </c>
      <c r="H2092" t="s">
        <v>1374</v>
      </c>
    </row>
    <row r="2093" spans="1:8">
      <c r="A2093">
        <v>16169301</v>
      </c>
      <c r="B2093" t="s">
        <v>1230</v>
      </c>
      <c r="C2093" t="s">
        <v>1228</v>
      </c>
      <c r="D2093" t="s">
        <v>1229</v>
      </c>
      <c r="E2093" t="s">
        <v>1376</v>
      </c>
      <c r="F2093" s="134">
        <v>0.94495370370370368</v>
      </c>
      <c r="G2093" t="s">
        <v>1371</v>
      </c>
      <c r="H2093" t="s">
        <v>1372</v>
      </c>
    </row>
    <row r="2094" spans="1:8">
      <c r="A2094">
        <v>16169301</v>
      </c>
      <c r="B2094" t="s">
        <v>1230</v>
      </c>
      <c r="C2094" t="s">
        <v>1228</v>
      </c>
      <c r="D2094" t="s">
        <v>1229</v>
      </c>
      <c r="E2094" t="s">
        <v>1376</v>
      </c>
      <c r="F2094" s="134">
        <v>0.60695601851851855</v>
      </c>
      <c r="G2094" t="s">
        <v>1371</v>
      </c>
      <c r="H2094" t="s">
        <v>1372</v>
      </c>
    </row>
    <row r="2095" spans="1:8">
      <c r="A2095">
        <v>16169301</v>
      </c>
      <c r="B2095" t="s">
        <v>1230</v>
      </c>
      <c r="C2095" t="s">
        <v>1228</v>
      </c>
      <c r="D2095" t="s">
        <v>1229</v>
      </c>
      <c r="E2095" t="s">
        <v>1377</v>
      </c>
      <c r="F2095" s="134">
        <v>0.6207407407407407</v>
      </c>
      <c r="G2095" t="s">
        <v>1371</v>
      </c>
      <c r="H2095" t="s">
        <v>1372</v>
      </c>
    </row>
    <row r="2096" spans="1:8">
      <c r="A2096">
        <v>16169301</v>
      </c>
      <c r="B2096" t="s">
        <v>1230</v>
      </c>
      <c r="C2096" t="s">
        <v>1228</v>
      </c>
      <c r="D2096" t="s">
        <v>1229</v>
      </c>
      <c r="E2096" t="s">
        <v>1377</v>
      </c>
      <c r="F2096" s="134">
        <v>0.94729166666666664</v>
      </c>
      <c r="G2096" t="s">
        <v>1373</v>
      </c>
      <c r="H2096" t="s">
        <v>1374</v>
      </c>
    </row>
    <row r="2097" spans="1:8">
      <c r="A2097">
        <v>16169301</v>
      </c>
      <c r="B2097" t="s">
        <v>1230</v>
      </c>
      <c r="C2097" t="s">
        <v>1228</v>
      </c>
      <c r="D2097" t="s">
        <v>1229</v>
      </c>
      <c r="E2097" t="s">
        <v>1378</v>
      </c>
      <c r="F2097" s="134">
        <v>0.60673611111111114</v>
      </c>
      <c r="G2097" t="s">
        <v>1371</v>
      </c>
      <c r="H2097" t="s">
        <v>1372</v>
      </c>
    </row>
    <row r="2098" spans="1:8">
      <c r="A2098">
        <v>16169301</v>
      </c>
      <c r="B2098" t="s">
        <v>1230</v>
      </c>
      <c r="C2098" t="s">
        <v>1228</v>
      </c>
      <c r="D2098" t="s">
        <v>1229</v>
      </c>
      <c r="E2098" t="s">
        <v>1378</v>
      </c>
      <c r="F2098" s="134">
        <v>0.94871527777777775</v>
      </c>
      <c r="G2098" t="s">
        <v>1373</v>
      </c>
      <c r="H2098" t="s">
        <v>1374</v>
      </c>
    </row>
    <row r="2099" spans="1:8">
      <c r="A2099">
        <v>16169301</v>
      </c>
      <c r="B2099" t="s">
        <v>1230</v>
      </c>
      <c r="C2099" t="s">
        <v>1228</v>
      </c>
      <c r="D2099" t="s">
        <v>1229</v>
      </c>
      <c r="E2099" t="s">
        <v>1379</v>
      </c>
      <c r="F2099" s="134">
        <v>0.62557870370370372</v>
      </c>
      <c r="G2099" t="s">
        <v>1371</v>
      </c>
      <c r="H2099" t="s">
        <v>1372</v>
      </c>
    </row>
    <row r="2100" spans="1:8">
      <c r="A2100">
        <v>16169301</v>
      </c>
      <c r="B2100" t="s">
        <v>1230</v>
      </c>
      <c r="C2100" t="s">
        <v>1228</v>
      </c>
      <c r="D2100" t="s">
        <v>1229</v>
      </c>
      <c r="E2100" t="s">
        <v>1379</v>
      </c>
      <c r="F2100" s="134">
        <v>0.94928240740740744</v>
      </c>
      <c r="G2100" t="s">
        <v>1373</v>
      </c>
      <c r="H2100" t="s">
        <v>1374</v>
      </c>
    </row>
    <row r="2101" spans="1:8">
      <c r="A2101">
        <v>16191666</v>
      </c>
      <c r="B2101" t="s">
        <v>76</v>
      </c>
      <c r="C2101" t="s">
        <v>74</v>
      </c>
      <c r="D2101" t="s">
        <v>75</v>
      </c>
      <c r="E2101" t="s">
        <v>1370</v>
      </c>
      <c r="F2101" s="134">
        <v>0.29815972222222226</v>
      </c>
      <c r="G2101" t="s">
        <v>1371</v>
      </c>
      <c r="H2101" t="s">
        <v>1372</v>
      </c>
    </row>
    <row r="2102" spans="1:8">
      <c r="A2102">
        <v>16191666</v>
      </c>
      <c r="B2102" t="s">
        <v>76</v>
      </c>
      <c r="C2102" t="s">
        <v>74</v>
      </c>
      <c r="D2102" t="s">
        <v>75</v>
      </c>
      <c r="E2102" t="s">
        <v>1370</v>
      </c>
      <c r="F2102" s="134">
        <v>0.63921296296296293</v>
      </c>
      <c r="G2102" t="s">
        <v>1373</v>
      </c>
      <c r="H2102" t="s">
        <v>1374</v>
      </c>
    </row>
    <row r="2103" spans="1:8">
      <c r="A2103">
        <v>16191666</v>
      </c>
      <c r="B2103" t="s">
        <v>76</v>
      </c>
      <c r="C2103" t="s">
        <v>74</v>
      </c>
      <c r="D2103" t="s">
        <v>75</v>
      </c>
      <c r="E2103" t="s">
        <v>1376</v>
      </c>
      <c r="F2103" s="134">
        <v>0.29537037037037034</v>
      </c>
      <c r="G2103" t="s">
        <v>1371</v>
      </c>
      <c r="H2103" t="s">
        <v>1372</v>
      </c>
    </row>
    <row r="2104" spans="1:8">
      <c r="A2104">
        <v>16191666</v>
      </c>
      <c r="B2104" t="s">
        <v>76</v>
      </c>
      <c r="C2104" t="s">
        <v>74</v>
      </c>
      <c r="D2104" t="s">
        <v>75</v>
      </c>
      <c r="E2104" t="s">
        <v>1376</v>
      </c>
      <c r="F2104" s="134">
        <v>0.73579861111111111</v>
      </c>
      <c r="G2104" t="s">
        <v>1373</v>
      </c>
      <c r="H2104" t="s">
        <v>1374</v>
      </c>
    </row>
    <row r="2105" spans="1:8">
      <c r="A2105">
        <v>16191666</v>
      </c>
      <c r="B2105" t="s">
        <v>76</v>
      </c>
      <c r="C2105" t="s">
        <v>74</v>
      </c>
      <c r="D2105" t="s">
        <v>75</v>
      </c>
      <c r="E2105" t="s">
        <v>1377</v>
      </c>
      <c r="F2105" s="134">
        <v>0.29925925925925928</v>
      </c>
      <c r="G2105" t="s">
        <v>1371</v>
      </c>
      <c r="H2105" t="s">
        <v>1372</v>
      </c>
    </row>
    <row r="2106" spans="1:8">
      <c r="A2106">
        <v>16191666</v>
      </c>
      <c r="B2106" t="s">
        <v>76</v>
      </c>
      <c r="C2106" t="s">
        <v>74</v>
      </c>
      <c r="D2106" t="s">
        <v>75</v>
      </c>
      <c r="E2106" t="s">
        <v>1378</v>
      </c>
      <c r="F2106" s="134">
        <v>0.29841435185185183</v>
      </c>
      <c r="G2106" t="s">
        <v>1371</v>
      </c>
      <c r="H2106" t="s">
        <v>1372</v>
      </c>
    </row>
    <row r="2107" spans="1:8">
      <c r="A2107">
        <v>16191666</v>
      </c>
      <c r="B2107" t="s">
        <v>76</v>
      </c>
      <c r="C2107" t="s">
        <v>74</v>
      </c>
      <c r="D2107" t="s">
        <v>75</v>
      </c>
      <c r="E2107" t="s">
        <v>1378</v>
      </c>
      <c r="F2107" s="134">
        <v>0.73413194444444441</v>
      </c>
      <c r="G2107" t="s">
        <v>1373</v>
      </c>
      <c r="H2107" t="s">
        <v>1374</v>
      </c>
    </row>
    <row r="2108" spans="1:8">
      <c r="A2108">
        <v>16266817</v>
      </c>
      <c r="B2108" t="s">
        <v>817</v>
      </c>
      <c r="C2108" t="s">
        <v>815</v>
      </c>
      <c r="D2108" t="s">
        <v>816</v>
      </c>
      <c r="E2108" t="s">
        <v>1370</v>
      </c>
      <c r="F2108" s="134">
        <v>0.30276620370370372</v>
      </c>
      <c r="G2108" t="s">
        <v>1371</v>
      </c>
      <c r="H2108" t="s">
        <v>1372</v>
      </c>
    </row>
    <row r="2109" spans="1:8">
      <c r="A2109">
        <v>16266817</v>
      </c>
      <c r="B2109" t="s">
        <v>817</v>
      </c>
      <c r="C2109" t="s">
        <v>815</v>
      </c>
      <c r="D2109" t="s">
        <v>816</v>
      </c>
      <c r="E2109" t="s">
        <v>1370</v>
      </c>
      <c r="F2109" s="134">
        <v>0.63947916666666671</v>
      </c>
      <c r="G2109" t="s">
        <v>1373</v>
      </c>
      <c r="H2109" t="s">
        <v>1374</v>
      </c>
    </row>
    <row r="2110" spans="1:8">
      <c r="A2110">
        <v>16266817</v>
      </c>
      <c r="B2110" t="s">
        <v>817</v>
      </c>
      <c r="C2110" t="s">
        <v>815</v>
      </c>
      <c r="D2110" t="s">
        <v>816</v>
      </c>
      <c r="E2110" t="s">
        <v>1375</v>
      </c>
      <c r="F2110" s="134">
        <v>0.43072916666666666</v>
      </c>
      <c r="G2110" t="s">
        <v>1371</v>
      </c>
      <c r="H2110" t="s">
        <v>1372</v>
      </c>
    </row>
    <row r="2111" spans="1:8">
      <c r="A2111">
        <v>16266817</v>
      </c>
      <c r="B2111" t="s">
        <v>817</v>
      </c>
      <c r="C2111" t="s">
        <v>815</v>
      </c>
      <c r="D2111" t="s">
        <v>816</v>
      </c>
      <c r="E2111" t="s">
        <v>1375</v>
      </c>
      <c r="F2111" s="134">
        <v>0.73594907407407406</v>
      </c>
      <c r="G2111" t="s">
        <v>1373</v>
      </c>
      <c r="H2111" t="s">
        <v>1374</v>
      </c>
    </row>
    <row r="2112" spans="1:8">
      <c r="A2112">
        <v>16266817</v>
      </c>
      <c r="B2112" t="s">
        <v>817</v>
      </c>
      <c r="C2112" t="s">
        <v>815</v>
      </c>
      <c r="D2112" t="s">
        <v>816</v>
      </c>
      <c r="E2112" t="s">
        <v>1376</v>
      </c>
      <c r="F2112" s="134">
        <v>0.73690972222222229</v>
      </c>
      <c r="G2112" t="s">
        <v>1373</v>
      </c>
      <c r="H2112" t="s">
        <v>1374</v>
      </c>
    </row>
    <row r="2113" spans="1:8">
      <c r="A2113">
        <v>16266817</v>
      </c>
      <c r="B2113" t="s">
        <v>817</v>
      </c>
      <c r="C2113" t="s">
        <v>815</v>
      </c>
      <c r="D2113" t="s">
        <v>816</v>
      </c>
      <c r="E2113" t="s">
        <v>1376</v>
      </c>
      <c r="F2113" s="134">
        <v>0.30128472222222219</v>
      </c>
      <c r="G2113" t="s">
        <v>1371</v>
      </c>
      <c r="H2113" t="s">
        <v>1372</v>
      </c>
    </row>
    <row r="2114" spans="1:8">
      <c r="A2114">
        <v>16266817</v>
      </c>
      <c r="B2114" t="s">
        <v>817</v>
      </c>
      <c r="C2114" t="s">
        <v>815</v>
      </c>
      <c r="D2114" t="s">
        <v>816</v>
      </c>
      <c r="E2114" t="s">
        <v>1377</v>
      </c>
      <c r="F2114" s="134">
        <v>0.30965277777777778</v>
      </c>
      <c r="G2114" t="s">
        <v>1371</v>
      </c>
      <c r="H2114" t="s">
        <v>1372</v>
      </c>
    </row>
    <row r="2115" spans="1:8">
      <c r="A2115">
        <v>16266817</v>
      </c>
      <c r="B2115" t="s">
        <v>817</v>
      </c>
      <c r="C2115" t="s">
        <v>815</v>
      </c>
      <c r="D2115" t="s">
        <v>816</v>
      </c>
      <c r="E2115" t="s">
        <v>1377</v>
      </c>
      <c r="F2115" s="134">
        <v>0.72703703703703704</v>
      </c>
      <c r="G2115" t="s">
        <v>1373</v>
      </c>
      <c r="H2115" t="s">
        <v>1374</v>
      </c>
    </row>
    <row r="2116" spans="1:8">
      <c r="A2116">
        <v>16266817</v>
      </c>
      <c r="B2116" t="s">
        <v>817</v>
      </c>
      <c r="C2116" t="s">
        <v>815</v>
      </c>
      <c r="D2116" t="s">
        <v>816</v>
      </c>
      <c r="E2116" t="s">
        <v>1378</v>
      </c>
      <c r="F2116" s="134">
        <v>0.30277777777777776</v>
      </c>
      <c r="G2116" t="s">
        <v>1371</v>
      </c>
      <c r="H2116" t="s">
        <v>1372</v>
      </c>
    </row>
    <row r="2117" spans="1:8">
      <c r="A2117">
        <v>16266817</v>
      </c>
      <c r="B2117" t="s">
        <v>817</v>
      </c>
      <c r="C2117" t="s">
        <v>815</v>
      </c>
      <c r="D2117" t="s">
        <v>816</v>
      </c>
      <c r="E2117" t="s">
        <v>1378</v>
      </c>
      <c r="F2117" s="134">
        <v>0.73079861111111111</v>
      </c>
      <c r="G2117" t="s">
        <v>1373</v>
      </c>
      <c r="H2117" t="s">
        <v>1374</v>
      </c>
    </row>
    <row r="2118" spans="1:8">
      <c r="A2118">
        <v>16266817</v>
      </c>
      <c r="B2118" t="s">
        <v>817</v>
      </c>
      <c r="C2118" t="s">
        <v>815</v>
      </c>
      <c r="D2118" t="s">
        <v>816</v>
      </c>
      <c r="E2118" t="s">
        <v>1379</v>
      </c>
      <c r="F2118" s="134">
        <v>0.31267361111111108</v>
      </c>
      <c r="G2118" t="s">
        <v>1371</v>
      </c>
      <c r="H2118" t="s">
        <v>1372</v>
      </c>
    </row>
    <row r="2119" spans="1:8">
      <c r="A2119">
        <v>16266817</v>
      </c>
      <c r="B2119" t="s">
        <v>817</v>
      </c>
      <c r="C2119" t="s">
        <v>815</v>
      </c>
      <c r="D2119" t="s">
        <v>816</v>
      </c>
      <c r="E2119" t="s">
        <v>1379</v>
      </c>
      <c r="F2119" s="134">
        <v>0.63471064814814815</v>
      </c>
      <c r="G2119" t="s">
        <v>1373</v>
      </c>
      <c r="H2119" t="s">
        <v>1374</v>
      </c>
    </row>
    <row r="2120" spans="1:8">
      <c r="A2120">
        <v>16266873</v>
      </c>
      <c r="B2120" t="s">
        <v>285</v>
      </c>
      <c r="C2120" t="s">
        <v>655</v>
      </c>
      <c r="D2120" t="s">
        <v>655</v>
      </c>
      <c r="E2120" t="s">
        <v>1370</v>
      </c>
      <c r="F2120" s="134">
        <v>0.63649305555555558</v>
      </c>
      <c r="G2120" t="s">
        <v>1371</v>
      </c>
      <c r="H2120" t="s">
        <v>1372</v>
      </c>
    </row>
    <row r="2121" spans="1:8">
      <c r="A2121">
        <v>16266873</v>
      </c>
      <c r="B2121" t="s">
        <v>285</v>
      </c>
      <c r="C2121" t="s">
        <v>655</v>
      </c>
      <c r="D2121" t="s">
        <v>655</v>
      </c>
      <c r="E2121" t="s">
        <v>1370</v>
      </c>
      <c r="F2121" s="134">
        <v>0.93305555555555564</v>
      </c>
      <c r="G2121" t="s">
        <v>1373</v>
      </c>
      <c r="H2121" t="s">
        <v>1374</v>
      </c>
    </row>
    <row r="2122" spans="1:8">
      <c r="A2122">
        <v>16266873</v>
      </c>
      <c r="B2122" t="s">
        <v>285</v>
      </c>
      <c r="C2122" t="s">
        <v>655</v>
      </c>
      <c r="D2122" t="s">
        <v>655</v>
      </c>
      <c r="E2122" t="s">
        <v>1375</v>
      </c>
      <c r="F2122" s="134">
        <v>0.88304398148148155</v>
      </c>
      <c r="G2122" t="s">
        <v>1371</v>
      </c>
      <c r="H2122" t="s">
        <v>1372</v>
      </c>
    </row>
    <row r="2123" spans="1:8">
      <c r="A2123">
        <v>16266873</v>
      </c>
      <c r="B2123" t="s">
        <v>285</v>
      </c>
      <c r="C2123" t="s">
        <v>655</v>
      </c>
      <c r="D2123" t="s">
        <v>655</v>
      </c>
      <c r="E2123" t="s">
        <v>1375</v>
      </c>
      <c r="F2123" s="134">
        <v>0.94187500000000002</v>
      </c>
      <c r="G2123" t="s">
        <v>1373</v>
      </c>
      <c r="H2123" t="s">
        <v>1374</v>
      </c>
    </row>
    <row r="2124" spans="1:8">
      <c r="A2124">
        <v>16266873</v>
      </c>
      <c r="B2124" t="s">
        <v>285</v>
      </c>
      <c r="C2124" t="s">
        <v>655</v>
      </c>
      <c r="D2124" t="s">
        <v>655</v>
      </c>
      <c r="E2124" t="s">
        <v>1376</v>
      </c>
      <c r="F2124" s="134">
        <v>0.60969907407407409</v>
      </c>
      <c r="G2124" t="s">
        <v>1371</v>
      </c>
      <c r="H2124" t="s">
        <v>1372</v>
      </c>
    </row>
    <row r="2125" spans="1:8">
      <c r="A2125">
        <v>16266873</v>
      </c>
      <c r="B2125" t="s">
        <v>285</v>
      </c>
      <c r="C2125" t="s">
        <v>655</v>
      </c>
      <c r="D2125" t="s">
        <v>655</v>
      </c>
      <c r="E2125" t="s">
        <v>1376</v>
      </c>
      <c r="F2125" s="134">
        <v>0.94965277777777779</v>
      </c>
      <c r="G2125" t="s">
        <v>1373</v>
      </c>
      <c r="H2125" t="s">
        <v>1374</v>
      </c>
    </row>
    <row r="2126" spans="1:8">
      <c r="A2126">
        <v>16266873</v>
      </c>
      <c r="B2126" t="s">
        <v>285</v>
      </c>
      <c r="C2126" t="s">
        <v>655</v>
      </c>
      <c r="D2126" t="s">
        <v>655</v>
      </c>
      <c r="E2126" t="s">
        <v>1377</v>
      </c>
      <c r="F2126" s="134">
        <v>0.61849537037037039</v>
      </c>
      <c r="G2126" t="s">
        <v>1371</v>
      </c>
      <c r="H2126" t="s">
        <v>1372</v>
      </c>
    </row>
    <row r="2127" spans="1:8">
      <c r="A2127">
        <v>16266873</v>
      </c>
      <c r="B2127" t="s">
        <v>285</v>
      </c>
      <c r="C2127" t="s">
        <v>655</v>
      </c>
      <c r="D2127" t="s">
        <v>655</v>
      </c>
      <c r="E2127" t="s">
        <v>1378</v>
      </c>
      <c r="F2127" s="134">
        <v>0.62898148148148147</v>
      </c>
      <c r="G2127" t="s">
        <v>1371</v>
      </c>
      <c r="H2127" t="s">
        <v>1372</v>
      </c>
    </row>
    <row r="2128" spans="1:8">
      <c r="A2128">
        <v>16266873</v>
      </c>
      <c r="B2128" t="s">
        <v>285</v>
      </c>
      <c r="C2128" t="s">
        <v>655</v>
      </c>
      <c r="D2128" t="s">
        <v>655</v>
      </c>
      <c r="E2128" t="s">
        <v>1378</v>
      </c>
      <c r="F2128" s="134">
        <v>0.93758101851851849</v>
      </c>
      <c r="G2128" t="s">
        <v>1373</v>
      </c>
      <c r="H2128" t="s">
        <v>1374</v>
      </c>
    </row>
    <row r="2129" spans="1:8">
      <c r="A2129">
        <v>16267560</v>
      </c>
      <c r="B2129" t="s">
        <v>1115</v>
      </c>
      <c r="C2129" t="s">
        <v>1114</v>
      </c>
      <c r="D2129" t="s">
        <v>109</v>
      </c>
      <c r="E2129" t="s">
        <v>1370</v>
      </c>
      <c r="F2129" s="134">
        <v>0.30399305555555556</v>
      </c>
      <c r="G2129" t="s">
        <v>1371</v>
      </c>
      <c r="H2129" t="s">
        <v>1372</v>
      </c>
    </row>
    <row r="2130" spans="1:8">
      <c r="A2130">
        <v>16267560</v>
      </c>
      <c r="B2130" t="s">
        <v>1115</v>
      </c>
      <c r="C2130" t="s">
        <v>1114</v>
      </c>
      <c r="D2130" t="s">
        <v>109</v>
      </c>
      <c r="E2130" t="s">
        <v>1370</v>
      </c>
      <c r="F2130" s="134">
        <v>0.63460648148148147</v>
      </c>
      <c r="G2130" t="s">
        <v>1373</v>
      </c>
      <c r="H2130" t="s">
        <v>1374</v>
      </c>
    </row>
    <row r="2131" spans="1:8">
      <c r="A2131">
        <v>16267560</v>
      </c>
      <c r="B2131" t="s">
        <v>1115</v>
      </c>
      <c r="C2131" t="s">
        <v>1114</v>
      </c>
      <c r="D2131" t="s">
        <v>109</v>
      </c>
      <c r="E2131" t="s">
        <v>1375</v>
      </c>
      <c r="F2131" s="134">
        <v>0.29518518518518516</v>
      </c>
      <c r="G2131" t="s">
        <v>1371</v>
      </c>
      <c r="H2131" t="s">
        <v>1372</v>
      </c>
    </row>
    <row r="2132" spans="1:8">
      <c r="A2132">
        <v>16267560</v>
      </c>
      <c r="B2132" t="s">
        <v>1115</v>
      </c>
      <c r="C2132" t="s">
        <v>1114</v>
      </c>
      <c r="D2132" t="s">
        <v>109</v>
      </c>
      <c r="E2132" t="s">
        <v>1375</v>
      </c>
      <c r="F2132" s="134">
        <v>0.63623842592592594</v>
      </c>
      <c r="G2132" t="s">
        <v>1373</v>
      </c>
      <c r="H2132" t="s">
        <v>1374</v>
      </c>
    </row>
    <row r="2133" spans="1:8">
      <c r="A2133">
        <v>16267560</v>
      </c>
      <c r="B2133" t="s">
        <v>1115</v>
      </c>
      <c r="C2133" t="s">
        <v>1114</v>
      </c>
      <c r="D2133" t="s">
        <v>109</v>
      </c>
      <c r="E2133" t="s">
        <v>1376</v>
      </c>
      <c r="F2133" s="134">
        <v>0.63343749999999999</v>
      </c>
      <c r="G2133" t="s">
        <v>1373</v>
      </c>
      <c r="H2133" t="s">
        <v>1374</v>
      </c>
    </row>
    <row r="2134" spans="1:8">
      <c r="A2134">
        <v>16267560</v>
      </c>
      <c r="B2134" t="s">
        <v>1115</v>
      </c>
      <c r="C2134" t="s">
        <v>1114</v>
      </c>
      <c r="D2134" t="s">
        <v>109</v>
      </c>
      <c r="E2134" t="s">
        <v>1376</v>
      </c>
      <c r="F2134" s="134">
        <v>0.29605324074074074</v>
      </c>
      <c r="G2134" t="s">
        <v>1371</v>
      </c>
      <c r="H2134" t="s">
        <v>1372</v>
      </c>
    </row>
    <row r="2135" spans="1:8">
      <c r="A2135">
        <v>16267560</v>
      </c>
      <c r="B2135" t="s">
        <v>1115</v>
      </c>
      <c r="C2135" t="s">
        <v>1114</v>
      </c>
      <c r="D2135" t="s">
        <v>109</v>
      </c>
      <c r="E2135" t="s">
        <v>1377</v>
      </c>
      <c r="F2135" s="134">
        <v>0.29578703703703707</v>
      </c>
      <c r="G2135" t="s">
        <v>1371</v>
      </c>
      <c r="H2135" t="s">
        <v>1372</v>
      </c>
    </row>
    <row r="2136" spans="1:8">
      <c r="A2136">
        <v>16267560</v>
      </c>
      <c r="B2136" t="s">
        <v>1115</v>
      </c>
      <c r="C2136" t="s">
        <v>1114</v>
      </c>
      <c r="D2136" t="s">
        <v>109</v>
      </c>
      <c r="E2136" t="s">
        <v>1377</v>
      </c>
      <c r="F2136" s="134">
        <v>0.63337962962962957</v>
      </c>
      <c r="G2136" t="s">
        <v>1373</v>
      </c>
      <c r="H2136" t="s">
        <v>1374</v>
      </c>
    </row>
    <row r="2137" spans="1:8">
      <c r="A2137">
        <v>16267560</v>
      </c>
      <c r="B2137" t="s">
        <v>1115</v>
      </c>
      <c r="C2137" t="s">
        <v>1114</v>
      </c>
      <c r="D2137" t="s">
        <v>109</v>
      </c>
      <c r="E2137" t="s">
        <v>1378</v>
      </c>
      <c r="F2137" s="134">
        <v>0.29648148148148151</v>
      </c>
      <c r="G2137" t="s">
        <v>1371</v>
      </c>
      <c r="H2137" t="s">
        <v>1372</v>
      </c>
    </row>
    <row r="2138" spans="1:8">
      <c r="A2138">
        <v>16267560</v>
      </c>
      <c r="B2138" t="s">
        <v>1115</v>
      </c>
      <c r="C2138" t="s">
        <v>1114</v>
      </c>
      <c r="D2138" t="s">
        <v>109</v>
      </c>
      <c r="E2138" t="s">
        <v>1378</v>
      </c>
      <c r="F2138" s="134">
        <v>0.63923611111111112</v>
      </c>
      <c r="G2138" t="s">
        <v>1373</v>
      </c>
      <c r="H2138" t="s">
        <v>1374</v>
      </c>
    </row>
    <row r="2139" spans="1:8">
      <c r="A2139">
        <v>16267560</v>
      </c>
      <c r="B2139" t="s">
        <v>1115</v>
      </c>
      <c r="C2139" t="s">
        <v>1114</v>
      </c>
      <c r="D2139" t="s">
        <v>109</v>
      </c>
      <c r="E2139" t="s">
        <v>1379</v>
      </c>
      <c r="F2139" s="134">
        <v>0.68862268518518521</v>
      </c>
      <c r="G2139" t="s">
        <v>1371</v>
      </c>
      <c r="H2139" t="s">
        <v>1372</v>
      </c>
    </row>
    <row r="2140" spans="1:8">
      <c r="A2140">
        <v>16267560</v>
      </c>
      <c r="B2140" t="s">
        <v>1115</v>
      </c>
      <c r="C2140" t="s">
        <v>1114</v>
      </c>
      <c r="D2140" t="s">
        <v>109</v>
      </c>
      <c r="E2140" t="s">
        <v>1379</v>
      </c>
      <c r="F2140" s="134">
        <v>0.93774305555555559</v>
      </c>
      <c r="G2140" t="s">
        <v>1373</v>
      </c>
      <c r="H2140" t="s">
        <v>1374</v>
      </c>
    </row>
    <row r="2141" spans="1:8">
      <c r="A2141">
        <v>16268829</v>
      </c>
      <c r="B2141" t="s">
        <v>1392</v>
      </c>
      <c r="C2141" t="s">
        <v>664</v>
      </c>
      <c r="D2141" t="s">
        <v>206</v>
      </c>
      <c r="E2141" t="s">
        <v>1370</v>
      </c>
      <c r="F2141" s="134">
        <v>0.90232638888888894</v>
      </c>
      <c r="G2141" t="s">
        <v>1371</v>
      </c>
      <c r="H2141" t="s">
        <v>1372</v>
      </c>
    </row>
    <row r="2142" spans="1:8">
      <c r="A2142">
        <v>16268829</v>
      </c>
      <c r="B2142" t="s">
        <v>1392</v>
      </c>
      <c r="C2142" t="s">
        <v>664</v>
      </c>
      <c r="D2142" t="s">
        <v>206</v>
      </c>
      <c r="E2142" t="s">
        <v>1375</v>
      </c>
      <c r="F2142" s="134">
        <v>0.32810185185185187</v>
      </c>
      <c r="G2142" t="s">
        <v>1373</v>
      </c>
      <c r="H2142" t="s">
        <v>1374</v>
      </c>
    </row>
    <row r="2143" spans="1:8">
      <c r="A2143">
        <v>16268829</v>
      </c>
      <c r="B2143" t="s">
        <v>1392</v>
      </c>
      <c r="C2143" t="s">
        <v>664</v>
      </c>
      <c r="D2143" t="s">
        <v>206</v>
      </c>
      <c r="E2143" t="s">
        <v>1375</v>
      </c>
      <c r="F2143" s="134">
        <v>0.9073148148148148</v>
      </c>
      <c r="G2143" t="s">
        <v>1371</v>
      </c>
      <c r="H2143" t="s">
        <v>1372</v>
      </c>
    </row>
    <row r="2144" spans="1:8">
      <c r="A2144">
        <v>16268829</v>
      </c>
      <c r="B2144" t="s">
        <v>1392</v>
      </c>
      <c r="C2144" t="s">
        <v>664</v>
      </c>
      <c r="D2144" t="s">
        <v>206</v>
      </c>
      <c r="E2144" t="s">
        <v>1376</v>
      </c>
      <c r="F2144" s="134">
        <v>0.33075231481481482</v>
      </c>
      <c r="G2144" t="s">
        <v>1373</v>
      </c>
      <c r="H2144" t="s">
        <v>1374</v>
      </c>
    </row>
    <row r="2145" spans="1:8">
      <c r="A2145">
        <v>16268829</v>
      </c>
      <c r="B2145" t="s">
        <v>1392</v>
      </c>
      <c r="C2145" t="s">
        <v>664</v>
      </c>
      <c r="D2145" t="s">
        <v>206</v>
      </c>
      <c r="E2145" t="s">
        <v>1376</v>
      </c>
      <c r="F2145" s="134">
        <v>0.90901620370370362</v>
      </c>
      <c r="G2145" t="s">
        <v>1371</v>
      </c>
      <c r="H2145" t="s">
        <v>1372</v>
      </c>
    </row>
    <row r="2146" spans="1:8">
      <c r="A2146">
        <v>16268829</v>
      </c>
      <c r="B2146" t="s">
        <v>1392</v>
      </c>
      <c r="C2146" t="s">
        <v>664</v>
      </c>
      <c r="D2146" t="s">
        <v>206</v>
      </c>
      <c r="E2146" t="s">
        <v>1377</v>
      </c>
      <c r="F2146" s="134">
        <v>0.32444444444444448</v>
      </c>
      <c r="G2146" t="s">
        <v>1373</v>
      </c>
      <c r="H2146" t="s">
        <v>1374</v>
      </c>
    </row>
    <row r="2147" spans="1:8">
      <c r="A2147">
        <v>16268829</v>
      </c>
      <c r="B2147" t="s">
        <v>1392</v>
      </c>
      <c r="C2147" t="s">
        <v>664</v>
      </c>
      <c r="D2147" t="s">
        <v>206</v>
      </c>
      <c r="E2147" t="s">
        <v>1377</v>
      </c>
      <c r="F2147" s="134">
        <v>0.92118055555555556</v>
      </c>
      <c r="G2147" t="s">
        <v>1371</v>
      </c>
      <c r="H2147" t="s">
        <v>1372</v>
      </c>
    </row>
    <row r="2148" spans="1:8">
      <c r="A2148">
        <v>16268829</v>
      </c>
      <c r="B2148" t="s">
        <v>1392</v>
      </c>
      <c r="C2148" t="s">
        <v>664</v>
      </c>
      <c r="D2148" t="s">
        <v>206</v>
      </c>
      <c r="E2148" t="s">
        <v>1378</v>
      </c>
      <c r="F2148" s="134">
        <v>0.32976851851851852</v>
      </c>
      <c r="G2148" t="s">
        <v>1373</v>
      </c>
      <c r="H2148" t="s">
        <v>1374</v>
      </c>
    </row>
    <row r="2149" spans="1:8">
      <c r="A2149">
        <v>16268829</v>
      </c>
      <c r="B2149" t="s">
        <v>1392</v>
      </c>
      <c r="C2149" t="s">
        <v>664</v>
      </c>
      <c r="D2149" t="s">
        <v>206</v>
      </c>
      <c r="E2149" t="s">
        <v>1378</v>
      </c>
      <c r="F2149" s="134">
        <v>0.91791666666666671</v>
      </c>
      <c r="G2149" t="s">
        <v>1371</v>
      </c>
      <c r="H2149" t="s">
        <v>1372</v>
      </c>
    </row>
    <row r="2150" spans="1:8">
      <c r="A2150">
        <v>16268829</v>
      </c>
      <c r="B2150" t="s">
        <v>1392</v>
      </c>
      <c r="C2150" t="s">
        <v>664</v>
      </c>
      <c r="D2150" t="s">
        <v>206</v>
      </c>
      <c r="E2150" t="s">
        <v>1379</v>
      </c>
      <c r="F2150" s="134">
        <v>0.32787037037037037</v>
      </c>
      <c r="G2150" t="s">
        <v>1373</v>
      </c>
      <c r="H2150" t="s">
        <v>1374</v>
      </c>
    </row>
    <row r="2151" spans="1:8">
      <c r="A2151">
        <v>16296340</v>
      </c>
      <c r="B2151" t="s">
        <v>266</v>
      </c>
      <c r="C2151" t="s">
        <v>930</v>
      </c>
      <c r="D2151" t="s">
        <v>110</v>
      </c>
      <c r="E2151" t="s">
        <v>1370</v>
      </c>
      <c r="F2151" s="134">
        <v>0.60730324074074071</v>
      </c>
      <c r="G2151" t="s">
        <v>1371</v>
      </c>
      <c r="H2151" t="s">
        <v>1372</v>
      </c>
    </row>
    <row r="2152" spans="1:8">
      <c r="A2152">
        <v>16296340</v>
      </c>
      <c r="B2152" t="s">
        <v>266</v>
      </c>
      <c r="C2152" t="s">
        <v>930</v>
      </c>
      <c r="D2152" t="s">
        <v>110</v>
      </c>
      <c r="E2152" t="s">
        <v>1370</v>
      </c>
      <c r="F2152" s="134">
        <v>0.94740740740740748</v>
      </c>
      <c r="G2152" t="s">
        <v>1373</v>
      </c>
      <c r="H2152" t="s">
        <v>1374</v>
      </c>
    </row>
    <row r="2153" spans="1:8">
      <c r="A2153">
        <v>16296340</v>
      </c>
      <c r="B2153" t="s">
        <v>266</v>
      </c>
      <c r="C2153" t="s">
        <v>930</v>
      </c>
      <c r="D2153" t="s">
        <v>110</v>
      </c>
      <c r="E2153" t="s">
        <v>1375</v>
      </c>
      <c r="F2153" s="134">
        <v>0.61506944444444445</v>
      </c>
      <c r="G2153" t="s">
        <v>1371</v>
      </c>
      <c r="H2153" t="s">
        <v>1372</v>
      </c>
    </row>
    <row r="2154" spans="1:8">
      <c r="A2154">
        <v>16296340</v>
      </c>
      <c r="B2154" t="s">
        <v>266</v>
      </c>
      <c r="C2154" t="s">
        <v>930</v>
      </c>
      <c r="D2154" t="s">
        <v>110</v>
      </c>
      <c r="E2154" t="s">
        <v>1375</v>
      </c>
      <c r="F2154" s="134">
        <v>0.94538194444444434</v>
      </c>
      <c r="G2154" t="s">
        <v>1373</v>
      </c>
      <c r="H2154" t="s">
        <v>1374</v>
      </c>
    </row>
    <row r="2155" spans="1:8">
      <c r="A2155">
        <v>16296340</v>
      </c>
      <c r="B2155" t="s">
        <v>266</v>
      </c>
      <c r="C2155" t="s">
        <v>930</v>
      </c>
      <c r="D2155" t="s">
        <v>110</v>
      </c>
      <c r="E2155" t="s">
        <v>1376</v>
      </c>
      <c r="F2155" s="134">
        <v>0.94395833333333334</v>
      </c>
      <c r="G2155" t="s">
        <v>1373</v>
      </c>
      <c r="H2155" t="s">
        <v>1374</v>
      </c>
    </row>
    <row r="2156" spans="1:8">
      <c r="A2156">
        <v>16296340</v>
      </c>
      <c r="B2156" t="s">
        <v>266</v>
      </c>
      <c r="C2156" t="s">
        <v>930</v>
      </c>
      <c r="D2156" t="s">
        <v>110</v>
      </c>
      <c r="E2156" t="s">
        <v>1376</v>
      </c>
      <c r="F2156" s="134">
        <v>0.60729166666666667</v>
      </c>
      <c r="G2156" t="s">
        <v>1371</v>
      </c>
      <c r="H2156" t="s">
        <v>1372</v>
      </c>
    </row>
    <row r="2157" spans="1:8">
      <c r="A2157">
        <v>16296340</v>
      </c>
      <c r="B2157" t="s">
        <v>266</v>
      </c>
      <c r="C2157" t="s">
        <v>930</v>
      </c>
      <c r="D2157" t="s">
        <v>110</v>
      </c>
      <c r="E2157" t="s">
        <v>1377</v>
      </c>
      <c r="F2157" s="134">
        <v>0.60810185185185184</v>
      </c>
      <c r="G2157" t="s">
        <v>1371</v>
      </c>
      <c r="H2157" t="s">
        <v>1372</v>
      </c>
    </row>
    <row r="2158" spans="1:8">
      <c r="A2158">
        <v>16296340</v>
      </c>
      <c r="B2158" t="s">
        <v>266</v>
      </c>
      <c r="C2158" t="s">
        <v>930</v>
      </c>
      <c r="D2158" t="s">
        <v>110</v>
      </c>
      <c r="E2158" t="s">
        <v>1377</v>
      </c>
      <c r="F2158" s="134">
        <v>0.94734953703703706</v>
      </c>
      <c r="G2158" t="s">
        <v>1373</v>
      </c>
      <c r="H2158" t="s">
        <v>1374</v>
      </c>
    </row>
    <row r="2159" spans="1:8">
      <c r="A2159">
        <v>16296340</v>
      </c>
      <c r="B2159" t="s">
        <v>266</v>
      </c>
      <c r="C2159" t="s">
        <v>930</v>
      </c>
      <c r="D2159" t="s">
        <v>110</v>
      </c>
      <c r="E2159" t="s">
        <v>1378</v>
      </c>
      <c r="F2159" s="134">
        <v>0.60841435185185189</v>
      </c>
      <c r="G2159" t="s">
        <v>1371</v>
      </c>
      <c r="H2159" t="s">
        <v>1372</v>
      </c>
    </row>
    <row r="2160" spans="1:8">
      <c r="A2160">
        <v>16296340</v>
      </c>
      <c r="B2160" t="s">
        <v>266</v>
      </c>
      <c r="C2160" t="s">
        <v>930</v>
      </c>
      <c r="D2160" t="s">
        <v>110</v>
      </c>
      <c r="E2160" t="s">
        <v>1378</v>
      </c>
      <c r="F2160" s="134">
        <v>0.94575231481481481</v>
      </c>
      <c r="G2160" t="s">
        <v>1373</v>
      </c>
      <c r="H2160" t="s">
        <v>1374</v>
      </c>
    </row>
    <row r="2161" spans="1:8">
      <c r="A2161">
        <v>16296340</v>
      </c>
      <c r="B2161" t="s">
        <v>266</v>
      </c>
      <c r="C2161" t="s">
        <v>930</v>
      </c>
      <c r="D2161" t="s">
        <v>110</v>
      </c>
      <c r="E2161" t="s">
        <v>1379</v>
      </c>
      <c r="F2161" s="134">
        <v>0.60927083333333332</v>
      </c>
      <c r="G2161" t="s">
        <v>1371</v>
      </c>
      <c r="H2161" t="s">
        <v>1372</v>
      </c>
    </row>
    <row r="2162" spans="1:8">
      <c r="A2162">
        <v>16296340</v>
      </c>
      <c r="B2162" t="s">
        <v>266</v>
      </c>
      <c r="C2162" t="s">
        <v>930</v>
      </c>
      <c r="D2162" t="s">
        <v>110</v>
      </c>
      <c r="E2162" t="s">
        <v>1379</v>
      </c>
      <c r="F2162" s="134">
        <v>0.94363425925925926</v>
      </c>
      <c r="G2162" t="s">
        <v>1373</v>
      </c>
      <c r="H2162" t="s">
        <v>1374</v>
      </c>
    </row>
    <row r="2163" spans="1:8">
      <c r="A2163">
        <v>16408490</v>
      </c>
      <c r="B2163" t="s">
        <v>863</v>
      </c>
      <c r="C2163" t="s">
        <v>861</v>
      </c>
      <c r="D2163" t="s">
        <v>862</v>
      </c>
      <c r="E2163" t="s">
        <v>1370</v>
      </c>
      <c r="F2163" s="134">
        <v>0.61490740740740735</v>
      </c>
      <c r="G2163" t="s">
        <v>1371</v>
      </c>
      <c r="H2163" t="s">
        <v>1372</v>
      </c>
    </row>
    <row r="2164" spans="1:8">
      <c r="A2164">
        <v>16408490</v>
      </c>
      <c r="B2164" t="s">
        <v>863</v>
      </c>
      <c r="C2164" t="s">
        <v>861</v>
      </c>
      <c r="D2164" t="s">
        <v>862</v>
      </c>
      <c r="E2164" t="s">
        <v>1370</v>
      </c>
      <c r="F2164" s="134">
        <v>0.93884259259259262</v>
      </c>
      <c r="G2164" t="s">
        <v>1373</v>
      </c>
      <c r="H2164" t="s">
        <v>1374</v>
      </c>
    </row>
    <row r="2165" spans="1:8">
      <c r="A2165">
        <v>16408490</v>
      </c>
      <c r="B2165" t="s">
        <v>863</v>
      </c>
      <c r="C2165" t="s">
        <v>861</v>
      </c>
      <c r="D2165" t="s">
        <v>862</v>
      </c>
      <c r="E2165" t="s">
        <v>1375</v>
      </c>
      <c r="F2165" s="134">
        <v>0.61153935185185182</v>
      </c>
      <c r="G2165" t="s">
        <v>1371</v>
      </c>
      <c r="H2165" t="s">
        <v>1372</v>
      </c>
    </row>
    <row r="2166" spans="1:8">
      <c r="A2166">
        <v>16408490</v>
      </c>
      <c r="B2166" t="s">
        <v>863</v>
      </c>
      <c r="C2166" t="s">
        <v>861</v>
      </c>
      <c r="D2166" t="s">
        <v>862</v>
      </c>
      <c r="E2166" t="s">
        <v>1375</v>
      </c>
      <c r="F2166" s="134">
        <v>0.94364583333333341</v>
      </c>
      <c r="G2166" t="s">
        <v>1373</v>
      </c>
      <c r="H2166" t="s">
        <v>1374</v>
      </c>
    </row>
    <row r="2167" spans="1:8">
      <c r="A2167">
        <v>16408490</v>
      </c>
      <c r="B2167" t="s">
        <v>863</v>
      </c>
      <c r="C2167" t="s">
        <v>861</v>
      </c>
      <c r="D2167" t="s">
        <v>862</v>
      </c>
      <c r="E2167" t="s">
        <v>1376</v>
      </c>
      <c r="F2167" s="134">
        <v>0.93513888888888896</v>
      </c>
      <c r="G2167" t="s">
        <v>1373</v>
      </c>
      <c r="H2167" t="s">
        <v>1374</v>
      </c>
    </row>
    <row r="2168" spans="1:8">
      <c r="A2168">
        <v>16408490</v>
      </c>
      <c r="B2168" t="s">
        <v>863</v>
      </c>
      <c r="C2168" t="s">
        <v>861</v>
      </c>
      <c r="D2168" t="s">
        <v>862</v>
      </c>
      <c r="E2168" t="s">
        <v>1376</v>
      </c>
      <c r="F2168" s="134">
        <v>0.61752314814814813</v>
      </c>
      <c r="G2168" t="s">
        <v>1371</v>
      </c>
      <c r="H2168" t="s">
        <v>1372</v>
      </c>
    </row>
    <row r="2169" spans="1:8">
      <c r="A2169">
        <v>16408490</v>
      </c>
      <c r="B2169" t="s">
        <v>863</v>
      </c>
      <c r="C2169" t="s">
        <v>861</v>
      </c>
      <c r="D2169" t="s">
        <v>862</v>
      </c>
      <c r="E2169" t="s">
        <v>1377</v>
      </c>
      <c r="F2169" s="134">
        <v>0.61715277777777777</v>
      </c>
      <c r="G2169" t="s">
        <v>1371</v>
      </c>
      <c r="H2169" t="s">
        <v>1372</v>
      </c>
    </row>
    <row r="2170" spans="1:8">
      <c r="A2170">
        <v>16408490</v>
      </c>
      <c r="B2170" t="s">
        <v>863</v>
      </c>
      <c r="C2170" t="s">
        <v>861</v>
      </c>
      <c r="D2170" t="s">
        <v>862</v>
      </c>
      <c r="E2170" t="s">
        <v>1377</v>
      </c>
      <c r="F2170" s="134">
        <v>0.9406944444444445</v>
      </c>
      <c r="G2170" t="s">
        <v>1373</v>
      </c>
      <c r="H2170" t="s">
        <v>1374</v>
      </c>
    </row>
    <row r="2171" spans="1:8">
      <c r="A2171">
        <v>16408490</v>
      </c>
      <c r="B2171" t="s">
        <v>863</v>
      </c>
      <c r="C2171" t="s">
        <v>861</v>
      </c>
      <c r="D2171" t="s">
        <v>862</v>
      </c>
      <c r="E2171" t="s">
        <v>1378</v>
      </c>
      <c r="F2171" s="134">
        <v>0.60935185185185181</v>
      </c>
      <c r="G2171" t="s">
        <v>1371</v>
      </c>
      <c r="H2171" t="s">
        <v>1372</v>
      </c>
    </row>
    <row r="2172" spans="1:8">
      <c r="A2172">
        <v>16408490</v>
      </c>
      <c r="B2172" t="s">
        <v>863</v>
      </c>
      <c r="C2172" t="s">
        <v>861</v>
      </c>
      <c r="D2172" t="s">
        <v>862</v>
      </c>
      <c r="E2172" t="s">
        <v>1378</v>
      </c>
      <c r="F2172" s="134">
        <v>0.93981481481481488</v>
      </c>
      <c r="G2172" t="s">
        <v>1373</v>
      </c>
      <c r="H2172" t="s">
        <v>1374</v>
      </c>
    </row>
    <row r="2173" spans="1:8">
      <c r="A2173">
        <v>16408490</v>
      </c>
      <c r="B2173" t="s">
        <v>863</v>
      </c>
      <c r="C2173" t="s">
        <v>861</v>
      </c>
      <c r="D2173" t="s">
        <v>862</v>
      </c>
      <c r="E2173" t="s">
        <v>1379</v>
      </c>
      <c r="F2173" s="134">
        <v>0.6100578703703704</v>
      </c>
      <c r="G2173" t="s">
        <v>1371</v>
      </c>
      <c r="H2173" t="s">
        <v>1372</v>
      </c>
    </row>
    <row r="2174" spans="1:8">
      <c r="A2174">
        <v>16408490</v>
      </c>
      <c r="B2174" t="s">
        <v>863</v>
      </c>
      <c r="C2174" t="s">
        <v>861</v>
      </c>
      <c r="D2174" t="s">
        <v>862</v>
      </c>
      <c r="E2174" t="s">
        <v>1379</v>
      </c>
      <c r="F2174" s="134">
        <v>0.92937499999999995</v>
      </c>
      <c r="G2174" t="s">
        <v>1373</v>
      </c>
      <c r="H2174" t="s">
        <v>1374</v>
      </c>
    </row>
    <row r="2175" spans="1:8">
      <c r="A2175" s="135">
        <v>16413939</v>
      </c>
      <c r="B2175" s="135" t="s">
        <v>1193</v>
      </c>
      <c r="C2175" s="135" t="s">
        <v>386</v>
      </c>
      <c r="D2175" s="135" t="s">
        <v>636</v>
      </c>
      <c r="E2175" s="135" t="s">
        <v>1370</v>
      </c>
      <c r="F2175" s="136">
        <v>0.61222222222222222</v>
      </c>
      <c r="G2175" s="135" t="s">
        <v>1371</v>
      </c>
      <c r="H2175" s="135" t="s">
        <v>1372</v>
      </c>
    </row>
    <row r="2176" spans="1:8">
      <c r="A2176" s="135">
        <v>16413939</v>
      </c>
      <c r="B2176" s="135" t="s">
        <v>1193</v>
      </c>
      <c r="C2176" s="135" t="s">
        <v>386</v>
      </c>
      <c r="D2176" s="135" t="s">
        <v>636</v>
      </c>
      <c r="E2176" s="135" t="s">
        <v>1370</v>
      </c>
      <c r="F2176" s="136">
        <v>0.9475231481481482</v>
      </c>
      <c r="G2176" s="135" t="s">
        <v>1373</v>
      </c>
      <c r="H2176" s="135" t="s">
        <v>1374</v>
      </c>
    </row>
    <row r="2177" spans="1:8">
      <c r="A2177" s="135">
        <v>16413939</v>
      </c>
      <c r="B2177" s="135" t="s">
        <v>1193</v>
      </c>
      <c r="C2177" s="135" t="s">
        <v>386</v>
      </c>
      <c r="D2177" s="135" t="s">
        <v>636</v>
      </c>
      <c r="E2177" s="135" t="s">
        <v>1375</v>
      </c>
      <c r="F2177" s="136">
        <v>0.60689814814814813</v>
      </c>
      <c r="G2177" s="135" t="s">
        <v>1371</v>
      </c>
      <c r="H2177" s="135" t="s">
        <v>1372</v>
      </c>
    </row>
    <row r="2178" spans="1:8">
      <c r="A2178" s="135">
        <v>16413939</v>
      </c>
      <c r="B2178" s="135" t="s">
        <v>1193</v>
      </c>
      <c r="C2178" s="135" t="s">
        <v>386</v>
      </c>
      <c r="D2178" s="135" t="s">
        <v>636</v>
      </c>
      <c r="E2178" s="135" t="s">
        <v>1375</v>
      </c>
      <c r="F2178" s="136">
        <v>0.95232638888888888</v>
      </c>
      <c r="G2178" s="135" t="s">
        <v>1373</v>
      </c>
      <c r="H2178" s="135" t="s">
        <v>1374</v>
      </c>
    </row>
    <row r="2179" spans="1:8">
      <c r="A2179" s="135">
        <v>16413939</v>
      </c>
      <c r="B2179" s="135" t="s">
        <v>1193</v>
      </c>
      <c r="C2179" s="135" t="s">
        <v>386</v>
      </c>
      <c r="D2179" s="135" t="s">
        <v>636</v>
      </c>
      <c r="E2179" s="135" t="s">
        <v>1376</v>
      </c>
      <c r="F2179" s="136">
        <v>0.76443287037037033</v>
      </c>
      <c r="G2179" s="135" t="s">
        <v>1373</v>
      </c>
      <c r="H2179" s="135" t="s">
        <v>1374</v>
      </c>
    </row>
    <row r="2180" spans="1:8">
      <c r="A2180" s="135">
        <v>16413939</v>
      </c>
      <c r="B2180" s="135" t="s">
        <v>1193</v>
      </c>
      <c r="C2180" s="135" t="s">
        <v>386</v>
      </c>
      <c r="D2180" s="135" t="s">
        <v>636</v>
      </c>
      <c r="E2180" s="135" t="s">
        <v>1376</v>
      </c>
      <c r="F2180" s="136">
        <v>0.29583333333333334</v>
      </c>
      <c r="G2180" s="135" t="s">
        <v>1371</v>
      </c>
      <c r="H2180" s="135" t="s">
        <v>1372</v>
      </c>
    </row>
    <row r="2181" spans="1:8">
      <c r="A2181" s="135">
        <v>16413939</v>
      </c>
      <c r="B2181" s="135" t="s">
        <v>1193</v>
      </c>
      <c r="C2181" s="135" t="s">
        <v>386</v>
      </c>
      <c r="D2181" s="135" t="s">
        <v>636</v>
      </c>
      <c r="E2181" s="135" t="s">
        <v>1377</v>
      </c>
      <c r="F2181" s="136">
        <v>0.60598379629629628</v>
      </c>
      <c r="G2181" s="135" t="s">
        <v>1371</v>
      </c>
      <c r="H2181" s="135" t="s">
        <v>1372</v>
      </c>
    </row>
    <row r="2182" spans="1:8">
      <c r="A2182" s="135">
        <v>16413939</v>
      </c>
      <c r="B2182" s="135" t="s">
        <v>1193</v>
      </c>
      <c r="C2182" s="135" t="s">
        <v>386</v>
      </c>
      <c r="D2182" s="135" t="s">
        <v>636</v>
      </c>
      <c r="E2182" s="135" t="s">
        <v>1377</v>
      </c>
      <c r="F2182" s="136">
        <v>0.94773148148148145</v>
      </c>
      <c r="G2182" s="135" t="s">
        <v>1373</v>
      </c>
      <c r="H2182" s="135" t="s">
        <v>1374</v>
      </c>
    </row>
    <row r="2183" spans="1:8">
      <c r="A2183" s="135">
        <v>16413939</v>
      </c>
      <c r="B2183" s="135" t="s">
        <v>1193</v>
      </c>
      <c r="C2183" s="135" t="s">
        <v>386</v>
      </c>
      <c r="D2183" s="135" t="s">
        <v>636</v>
      </c>
      <c r="E2183" s="135" t="s">
        <v>1378</v>
      </c>
      <c r="F2183" s="136">
        <v>0.60678240740740741</v>
      </c>
      <c r="G2183" s="135" t="s">
        <v>1371</v>
      </c>
      <c r="H2183" s="135" t="s">
        <v>1372</v>
      </c>
    </row>
    <row r="2184" spans="1:8">
      <c r="A2184" s="135">
        <v>16413939</v>
      </c>
      <c r="B2184" s="135" t="s">
        <v>1193</v>
      </c>
      <c r="C2184" s="135" t="s">
        <v>386</v>
      </c>
      <c r="D2184" s="135" t="s">
        <v>636</v>
      </c>
      <c r="E2184" s="135" t="s">
        <v>1378</v>
      </c>
      <c r="F2184" s="136">
        <v>0.94806712962962969</v>
      </c>
      <c r="G2184" s="135" t="s">
        <v>1373</v>
      </c>
      <c r="H2184" s="135" t="s">
        <v>1374</v>
      </c>
    </row>
    <row r="2185" spans="1:8">
      <c r="A2185" s="135">
        <v>16413939</v>
      </c>
      <c r="B2185" s="135" t="s">
        <v>1193</v>
      </c>
      <c r="C2185" s="135" t="s">
        <v>386</v>
      </c>
      <c r="D2185" s="135" t="s">
        <v>636</v>
      </c>
      <c r="E2185" s="135" t="s">
        <v>1379</v>
      </c>
      <c r="F2185" s="136">
        <v>0.63987268518518514</v>
      </c>
      <c r="G2185" s="135" t="s">
        <v>1371</v>
      </c>
      <c r="H2185" s="135" t="s">
        <v>1372</v>
      </c>
    </row>
    <row r="2186" spans="1:8">
      <c r="A2186" s="135">
        <v>16413939</v>
      </c>
      <c r="B2186" s="135" t="s">
        <v>1193</v>
      </c>
      <c r="C2186" s="135" t="s">
        <v>386</v>
      </c>
      <c r="D2186" s="135" t="s">
        <v>636</v>
      </c>
      <c r="E2186" s="135" t="s">
        <v>1379</v>
      </c>
      <c r="F2186" s="136">
        <v>0.94339120370370377</v>
      </c>
      <c r="G2186" s="135" t="s">
        <v>1373</v>
      </c>
      <c r="H2186" s="135" t="s">
        <v>1374</v>
      </c>
    </row>
    <row r="2187" spans="1:8">
      <c r="A2187">
        <v>16441340</v>
      </c>
      <c r="B2187" t="s">
        <v>213</v>
      </c>
      <c r="C2187" t="s">
        <v>211</v>
      </c>
      <c r="D2187" t="s">
        <v>212</v>
      </c>
      <c r="E2187" t="s">
        <v>1370</v>
      </c>
      <c r="F2187" s="134">
        <v>0.61881944444444448</v>
      </c>
      <c r="G2187" t="s">
        <v>1371</v>
      </c>
      <c r="H2187" t="s">
        <v>1372</v>
      </c>
    </row>
    <row r="2188" spans="1:8">
      <c r="A2188">
        <v>16441340</v>
      </c>
      <c r="B2188" t="s">
        <v>213</v>
      </c>
      <c r="C2188" t="s">
        <v>211</v>
      </c>
      <c r="D2188" t="s">
        <v>212</v>
      </c>
      <c r="E2188" t="s">
        <v>1370</v>
      </c>
      <c r="F2188" s="134">
        <v>0.93616898148148142</v>
      </c>
      <c r="G2188" t="s">
        <v>1373</v>
      </c>
      <c r="H2188" t="s">
        <v>1374</v>
      </c>
    </row>
    <row r="2189" spans="1:8">
      <c r="A2189">
        <v>16441340</v>
      </c>
      <c r="B2189" t="s">
        <v>213</v>
      </c>
      <c r="C2189" t="s">
        <v>211</v>
      </c>
      <c r="D2189" t="s">
        <v>212</v>
      </c>
      <c r="E2189" t="s">
        <v>1375</v>
      </c>
      <c r="F2189" s="134">
        <v>0.62581018518518516</v>
      </c>
      <c r="G2189" t="s">
        <v>1371</v>
      </c>
      <c r="H2189" t="s">
        <v>1372</v>
      </c>
    </row>
    <row r="2190" spans="1:8">
      <c r="A2190">
        <v>16441340</v>
      </c>
      <c r="B2190" t="s">
        <v>213</v>
      </c>
      <c r="C2190" t="s">
        <v>211</v>
      </c>
      <c r="D2190" t="s">
        <v>212</v>
      </c>
      <c r="E2190" t="s">
        <v>1375</v>
      </c>
      <c r="F2190" s="134">
        <v>0.93905092592592598</v>
      </c>
      <c r="G2190" t="s">
        <v>1373</v>
      </c>
      <c r="H2190" t="s">
        <v>1374</v>
      </c>
    </row>
    <row r="2191" spans="1:8">
      <c r="A2191">
        <v>16441340</v>
      </c>
      <c r="B2191" t="s">
        <v>213</v>
      </c>
      <c r="C2191" t="s">
        <v>211</v>
      </c>
      <c r="D2191" t="s">
        <v>212</v>
      </c>
      <c r="E2191" t="s">
        <v>1376</v>
      </c>
      <c r="F2191" s="134">
        <v>0.93706018518518519</v>
      </c>
      <c r="G2191" t="s">
        <v>1373</v>
      </c>
      <c r="H2191" t="s">
        <v>1374</v>
      </c>
    </row>
    <row r="2192" spans="1:8">
      <c r="A2192">
        <v>16441340</v>
      </c>
      <c r="B2192" t="s">
        <v>213</v>
      </c>
      <c r="C2192" t="s">
        <v>211</v>
      </c>
      <c r="D2192" t="s">
        <v>212</v>
      </c>
      <c r="E2192" t="s">
        <v>1376</v>
      </c>
      <c r="F2192" s="134">
        <v>0.62311342592592589</v>
      </c>
      <c r="G2192" t="s">
        <v>1371</v>
      </c>
      <c r="H2192" t="s">
        <v>1372</v>
      </c>
    </row>
    <row r="2193" spans="1:8">
      <c r="A2193">
        <v>16441340</v>
      </c>
      <c r="B2193" t="s">
        <v>213</v>
      </c>
      <c r="C2193" t="s">
        <v>211</v>
      </c>
      <c r="D2193" t="s">
        <v>212</v>
      </c>
      <c r="E2193" t="s">
        <v>1377</v>
      </c>
      <c r="F2193" s="134">
        <v>0.62332175925925926</v>
      </c>
      <c r="G2193" t="s">
        <v>1371</v>
      </c>
      <c r="H2193" t="s">
        <v>1372</v>
      </c>
    </row>
    <row r="2194" spans="1:8">
      <c r="A2194">
        <v>16441340</v>
      </c>
      <c r="B2194" t="s">
        <v>213</v>
      </c>
      <c r="C2194" t="s">
        <v>211</v>
      </c>
      <c r="D2194" t="s">
        <v>212</v>
      </c>
      <c r="E2194" t="s">
        <v>1377</v>
      </c>
      <c r="F2194" s="134">
        <v>0.93788194444444439</v>
      </c>
      <c r="G2194" t="s">
        <v>1373</v>
      </c>
      <c r="H2194" t="s">
        <v>1374</v>
      </c>
    </row>
    <row r="2195" spans="1:8">
      <c r="A2195">
        <v>16441340</v>
      </c>
      <c r="B2195" t="s">
        <v>213</v>
      </c>
      <c r="C2195" t="s">
        <v>211</v>
      </c>
      <c r="D2195" t="s">
        <v>212</v>
      </c>
      <c r="E2195" t="s">
        <v>1378</v>
      </c>
      <c r="F2195" s="134">
        <v>0.62559027777777776</v>
      </c>
      <c r="G2195" t="s">
        <v>1371</v>
      </c>
      <c r="H2195" t="s">
        <v>1372</v>
      </c>
    </row>
    <row r="2196" spans="1:8">
      <c r="A2196">
        <v>16441340</v>
      </c>
      <c r="B2196" t="s">
        <v>213</v>
      </c>
      <c r="C2196" t="s">
        <v>211</v>
      </c>
      <c r="D2196" t="s">
        <v>212</v>
      </c>
      <c r="E2196" t="s">
        <v>1378</v>
      </c>
      <c r="F2196" s="134">
        <v>0.93775462962962963</v>
      </c>
      <c r="G2196" t="s">
        <v>1373</v>
      </c>
      <c r="H2196" t="s">
        <v>1374</v>
      </c>
    </row>
    <row r="2197" spans="1:8">
      <c r="A2197">
        <v>16441340</v>
      </c>
      <c r="B2197" t="s">
        <v>213</v>
      </c>
      <c r="C2197" t="s">
        <v>211</v>
      </c>
      <c r="D2197" t="s">
        <v>212</v>
      </c>
      <c r="E2197" t="s">
        <v>1379</v>
      </c>
      <c r="F2197" s="134">
        <v>0.61958333333333326</v>
      </c>
      <c r="G2197" t="s">
        <v>1371</v>
      </c>
      <c r="H2197" t="s">
        <v>1372</v>
      </c>
    </row>
    <row r="2198" spans="1:8">
      <c r="A2198">
        <v>16441340</v>
      </c>
      <c r="B2198" t="s">
        <v>213</v>
      </c>
      <c r="C2198" t="s">
        <v>211</v>
      </c>
      <c r="D2198" t="s">
        <v>212</v>
      </c>
      <c r="E2198" t="s">
        <v>1379</v>
      </c>
      <c r="F2198" s="134">
        <v>0.93601851851851858</v>
      </c>
      <c r="G2198" t="s">
        <v>1373</v>
      </c>
      <c r="H2198" t="s">
        <v>1374</v>
      </c>
    </row>
    <row r="2199" spans="1:8">
      <c r="A2199">
        <v>16441596</v>
      </c>
      <c r="B2199" t="s">
        <v>1287</v>
      </c>
      <c r="C2199" t="s">
        <v>974</v>
      </c>
      <c r="D2199" t="s">
        <v>1286</v>
      </c>
      <c r="E2199" t="s">
        <v>1381</v>
      </c>
      <c r="F2199" s="134">
        <v>0</v>
      </c>
    </row>
    <row r="2200" spans="1:8">
      <c r="A2200">
        <v>16649200</v>
      </c>
      <c r="B2200" t="s">
        <v>1214</v>
      </c>
      <c r="C2200" t="s">
        <v>51</v>
      </c>
      <c r="D2200" t="s">
        <v>730</v>
      </c>
      <c r="E2200" t="s">
        <v>1370</v>
      </c>
      <c r="F2200" s="134">
        <v>0.60606481481481478</v>
      </c>
      <c r="G2200" t="s">
        <v>1371</v>
      </c>
      <c r="H2200" t="s">
        <v>1372</v>
      </c>
    </row>
    <row r="2201" spans="1:8">
      <c r="A2201">
        <v>16649200</v>
      </c>
      <c r="B2201" t="s">
        <v>1214</v>
      </c>
      <c r="C2201" t="s">
        <v>51</v>
      </c>
      <c r="D2201" t="s">
        <v>730</v>
      </c>
      <c r="E2201" t="s">
        <v>1370</v>
      </c>
      <c r="F2201" s="134">
        <v>0.94746527777777778</v>
      </c>
      <c r="G2201" t="s">
        <v>1373</v>
      </c>
      <c r="H2201" t="s">
        <v>1374</v>
      </c>
    </row>
    <row r="2202" spans="1:8">
      <c r="A2202">
        <v>16649200</v>
      </c>
      <c r="B2202" t="s">
        <v>1214</v>
      </c>
      <c r="C2202" t="s">
        <v>51</v>
      </c>
      <c r="D2202" t="s">
        <v>730</v>
      </c>
      <c r="E2202" t="s">
        <v>1375</v>
      </c>
      <c r="F2202" s="134">
        <v>0.60706018518518523</v>
      </c>
      <c r="G2202" t="s">
        <v>1371</v>
      </c>
      <c r="H2202" t="s">
        <v>1372</v>
      </c>
    </row>
    <row r="2203" spans="1:8">
      <c r="A2203">
        <v>16649200</v>
      </c>
      <c r="B2203" t="s">
        <v>1214</v>
      </c>
      <c r="C2203" t="s">
        <v>51</v>
      </c>
      <c r="D2203" t="s">
        <v>730</v>
      </c>
      <c r="E2203" t="s">
        <v>1375</v>
      </c>
      <c r="F2203" s="134">
        <v>0.94559027777777782</v>
      </c>
      <c r="G2203" t="s">
        <v>1373</v>
      </c>
      <c r="H2203" t="s">
        <v>1374</v>
      </c>
    </row>
    <row r="2204" spans="1:8">
      <c r="A2204">
        <v>16649200</v>
      </c>
      <c r="B2204" t="s">
        <v>1214</v>
      </c>
      <c r="C2204" t="s">
        <v>51</v>
      </c>
      <c r="D2204" t="s">
        <v>730</v>
      </c>
      <c r="E2204" t="s">
        <v>1376</v>
      </c>
      <c r="F2204" s="134">
        <v>0.94853009259259258</v>
      </c>
      <c r="G2204" t="s">
        <v>1373</v>
      </c>
      <c r="H2204" t="s">
        <v>1374</v>
      </c>
    </row>
    <row r="2205" spans="1:8">
      <c r="A2205">
        <v>16649200</v>
      </c>
      <c r="B2205" t="s">
        <v>1214</v>
      </c>
      <c r="C2205" t="s">
        <v>51</v>
      </c>
      <c r="D2205" t="s">
        <v>730</v>
      </c>
      <c r="E2205" t="s">
        <v>1376</v>
      </c>
      <c r="F2205" s="134">
        <v>0.60877314814814809</v>
      </c>
      <c r="G2205" t="s">
        <v>1371</v>
      </c>
      <c r="H2205" t="s">
        <v>1372</v>
      </c>
    </row>
    <row r="2206" spans="1:8">
      <c r="A2206">
        <v>16649200</v>
      </c>
      <c r="B2206" t="s">
        <v>1214</v>
      </c>
      <c r="C2206" t="s">
        <v>51</v>
      </c>
      <c r="D2206" t="s">
        <v>730</v>
      </c>
      <c r="E2206" t="s">
        <v>1377</v>
      </c>
      <c r="F2206" s="134">
        <v>0.60668981481481488</v>
      </c>
      <c r="G2206" t="s">
        <v>1371</v>
      </c>
      <c r="H2206" t="s">
        <v>1372</v>
      </c>
    </row>
    <row r="2207" spans="1:8">
      <c r="A2207">
        <v>16649200</v>
      </c>
      <c r="B2207" t="s">
        <v>1214</v>
      </c>
      <c r="C2207" t="s">
        <v>51</v>
      </c>
      <c r="D2207" t="s">
        <v>730</v>
      </c>
      <c r="E2207" t="s">
        <v>1377</v>
      </c>
      <c r="F2207" s="134">
        <v>0.94664351851851858</v>
      </c>
      <c r="G2207" t="s">
        <v>1373</v>
      </c>
      <c r="H2207" t="s">
        <v>1374</v>
      </c>
    </row>
    <row r="2208" spans="1:8">
      <c r="A2208">
        <v>16649200</v>
      </c>
      <c r="B2208" t="s">
        <v>1214</v>
      </c>
      <c r="C2208" t="s">
        <v>51</v>
      </c>
      <c r="D2208" t="s">
        <v>730</v>
      </c>
      <c r="E2208" t="s">
        <v>1378</v>
      </c>
      <c r="F2208" s="134">
        <v>0.60767361111111107</v>
      </c>
      <c r="G2208" t="s">
        <v>1371</v>
      </c>
      <c r="H2208" t="s">
        <v>1372</v>
      </c>
    </row>
    <row r="2209" spans="1:8">
      <c r="A2209">
        <v>16649200</v>
      </c>
      <c r="B2209" t="s">
        <v>1214</v>
      </c>
      <c r="C2209" t="s">
        <v>51</v>
      </c>
      <c r="D2209" t="s">
        <v>730</v>
      </c>
      <c r="E2209" t="s">
        <v>1378</v>
      </c>
      <c r="F2209" s="134">
        <v>0.94747685185185182</v>
      </c>
      <c r="G2209" t="s">
        <v>1373</v>
      </c>
      <c r="H2209" t="s">
        <v>1374</v>
      </c>
    </row>
    <row r="2210" spans="1:8">
      <c r="A2210">
        <v>16649200</v>
      </c>
      <c r="B2210" t="s">
        <v>1214</v>
      </c>
      <c r="C2210" t="s">
        <v>51</v>
      </c>
      <c r="D2210" t="s">
        <v>730</v>
      </c>
      <c r="E2210" t="s">
        <v>1379</v>
      </c>
      <c r="F2210" s="134">
        <v>0.60984953703703704</v>
      </c>
      <c r="G2210" t="s">
        <v>1371</v>
      </c>
      <c r="H2210" t="s">
        <v>1372</v>
      </c>
    </row>
    <row r="2211" spans="1:8">
      <c r="A2211">
        <v>16649200</v>
      </c>
      <c r="B2211" t="s">
        <v>1214</v>
      </c>
      <c r="C2211" t="s">
        <v>51</v>
      </c>
      <c r="D2211" t="s">
        <v>730</v>
      </c>
      <c r="E2211" t="s">
        <v>1379</v>
      </c>
      <c r="F2211" s="134">
        <v>0.94615740740740739</v>
      </c>
      <c r="G2211" t="s">
        <v>1373</v>
      </c>
      <c r="H2211" t="s">
        <v>1374</v>
      </c>
    </row>
    <row r="2212" spans="1:8">
      <c r="A2212">
        <v>16691386</v>
      </c>
      <c r="B2212" t="s">
        <v>1023</v>
      </c>
      <c r="C2212" t="s">
        <v>637</v>
      </c>
      <c r="D2212" t="s">
        <v>1022</v>
      </c>
      <c r="E2212" t="s">
        <v>1370</v>
      </c>
      <c r="F2212" s="134">
        <v>0.60748842592592589</v>
      </c>
      <c r="G2212" t="s">
        <v>1371</v>
      </c>
      <c r="H2212" t="s">
        <v>1372</v>
      </c>
    </row>
    <row r="2213" spans="1:8">
      <c r="A2213">
        <v>16691386</v>
      </c>
      <c r="B2213" t="s">
        <v>1023</v>
      </c>
      <c r="C2213" t="s">
        <v>637</v>
      </c>
      <c r="D2213" t="s">
        <v>1022</v>
      </c>
      <c r="E2213" t="s">
        <v>1370</v>
      </c>
      <c r="F2213" s="134">
        <v>0.94158564814814805</v>
      </c>
      <c r="G2213" t="s">
        <v>1373</v>
      </c>
      <c r="H2213" t="s">
        <v>1374</v>
      </c>
    </row>
    <row r="2214" spans="1:8">
      <c r="A2214">
        <v>16691386</v>
      </c>
      <c r="B2214" t="s">
        <v>1023</v>
      </c>
      <c r="C2214" t="s">
        <v>637</v>
      </c>
      <c r="D2214" t="s">
        <v>1022</v>
      </c>
      <c r="E2214" t="s">
        <v>1375</v>
      </c>
      <c r="F2214" s="134">
        <v>0.61037037037037034</v>
      </c>
      <c r="G2214" t="s">
        <v>1371</v>
      </c>
      <c r="H2214" t="s">
        <v>1372</v>
      </c>
    </row>
    <row r="2215" spans="1:8">
      <c r="A2215">
        <v>16691386</v>
      </c>
      <c r="B2215" t="s">
        <v>1023</v>
      </c>
      <c r="C2215" t="s">
        <v>637</v>
      </c>
      <c r="D2215" t="s">
        <v>1022</v>
      </c>
      <c r="E2215" t="s">
        <v>1375</v>
      </c>
      <c r="F2215" s="134">
        <v>0.94420138888888883</v>
      </c>
      <c r="G2215" t="s">
        <v>1373</v>
      </c>
      <c r="H2215" t="s">
        <v>1374</v>
      </c>
    </row>
    <row r="2216" spans="1:8">
      <c r="A2216">
        <v>16691386</v>
      </c>
      <c r="B2216" t="s">
        <v>1023</v>
      </c>
      <c r="C2216" t="s">
        <v>637</v>
      </c>
      <c r="D2216" t="s">
        <v>1022</v>
      </c>
      <c r="E2216" t="s">
        <v>1376</v>
      </c>
      <c r="F2216" s="134">
        <v>0.60826388888888883</v>
      </c>
      <c r="G2216" t="s">
        <v>1371</v>
      </c>
      <c r="H2216" t="s">
        <v>1372</v>
      </c>
    </row>
    <row r="2217" spans="1:8">
      <c r="A2217">
        <v>16691386</v>
      </c>
      <c r="B2217" t="s">
        <v>1023</v>
      </c>
      <c r="C2217" t="s">
        <v>637</v>
      </c>
      <c r="D2217" t="s">
        <v>1022</v>
      </c>
      <c r="E2217" t="s">
        <v>1376</v>
      </c>
      <c r="F2217" s="134">
        <v>0.93975694444444446</v>
      </c>
      <c r="G2217" t="s">
        <v>1373</v>
      </c>
      <c r="H2217" t="s">
        <v>1374</v>
      </c>
    </row>
    <row r="2218" spans="1:8">
      <c r="A2218">
        <v>16691386</v>
      </c>
      <c r="B2218" t="s">
        <v>1023</v>
      </c>
      <c r="C2218" t="s">
        <v>637</v>
      </c>
      <c r="D2218" t="s">
        <v>1022</v>
      </c>
      <c r="E2218" t="s">
        <v>1377</v>
      </c>
      <c r="F2218" s="134">
        <v>0.94244212962962959</v>
      </c>
      <c r="G2218" t="s">
        <v>1373</v>
      </c>
      <c r="H2218" t="s">
        <v>1374</v>
      </c>
    </row>
    <row r="2219" spans="1:8">
      <c r="A2219">
        <v>16691386</v>
      </c>
      <c r="B2219" t="s">
        <v>1023</v>
      </c>
      <c r="C2219" t="s">
        <v>637</v>
      </c>
      <c r="D2219" t="s">
        <v>1022</v>
      </c>
      <c r="E2219" t="s">
        <v>1377</v>
      </c>
      <c r="F2219" s="134">
        <v>0.60821759259259256</v>
      </c>
      <c r="G2219" t="s">
        <v>1371</v>
      </c>
      <c r="H2219" t="s">
        <v>1372</v>
      </c>
    </row>
    <row r="2220" spans="1:8">
      <c r="A2220">
        <v>16691386</v>
      </c>
      <c r="B2220" t="s">
        <v>1023</v>
      </c>
      <c r="C2220" t="s">
        <v>637</v>
      </c>
      <c r="D2220" t="s">
        <v>1022</v>
      </c>
      <c r="E2220" t="s">
        <v>1378</v>
      </c>
      <c r="F2220" s="134">
        <v>0.60871527777777779</v>
      </c>
      <c r="G2220" t="s">
        <v>1371</v>
      </c>
      <c r="H2220" t="s">
        <v>1372</v>
      </c>
    </row>
    <row r="2221" spans="1:8">
      <c r="A2221">
        <v>16691386</v>
      </c>
      <c r="B2221" t="s">
        <v>1023</v>
      </c>
      <c r="C2221" t="s">
        <v>637</v>
      </c>
      <c r="D2221" t="s">
        <v>1022</v>
      </c>
      <c r="E2221" t="s">
        <v>1378</v>
      </c>
      <c r="F2221" s="134">
        <v>0.94247685185185182</v>
      </c>
      <c r="G2221" t="s">
        <v>1373</v>
      </c>
      <c r="H2221" t="s">
        <v>1374</v>
      </c>
    </row>
    <row r="2222" spans="1:8">
      <c r="A2222">
        <v>16691386</v>
      </c>
      <c r="B2222" t="s">
        <v>1023</v>
      </c>
      <c r="C2222" t="s">
        <v>637</v>
      </c>
      <c r="D2222" t="s">
        <v>1022</v>
      </c>
      <c r="E2222" t="s">
        <v>1379</v>
      </c>
      <c r="F2222" s="134">
        <v>0.6097569444444445</v>
      </c>
      <c r="G2222" t="s">
        <v>1371</v>
      </c>
      <c r="H2222" t="s">
        <v>1372</v>
      </c>
    </row>
    <row r="2223" spans="1:8">
      <c r="A2223">
        <v>16691386</v>
      </c>
      <c r="B2223" t="s">
        <v>1023</v>
      </c>
      <c r="C2223" t="s">
        <v>637</v>
      </c>
      <c r="D2223" t="s">
        <v>1022</v>
      </c>
      <c r="E2223" t="s">
        <v>1379</v>
      </c>
      <c r="F2223" s="134">
        <v>0.94127314814814811</v>
      </c>
      <c r="G2223" t="s">
        <v>1373</v>
      </c>
      <c r="H2223" t="s">
        <v>1374</v>
      </c>
    </row>
    <row r="2224" spans="1:8">
      <c r="A2224">
        <v>16695463</v>
      </c>
      <c r="B2224" t="s">
        <v>254</v>
      </c>
      <c r="C2224" t="s">
        <v>252</v>
      </c>
      <c r="D2224" t="s">
        <v>253</v>
      </c>
      <c r="E2224" t="s">
        <v>1370</v>
      </c>
      <c r="F2224" s="134">
        <v>0.62096064814814811</v>
      </c>
      <c r="G2224" t="s">
        <v>1371</v>
      </c>
      <c r="H2224" t="s">
        <v>1372</v>
      </c>
    </row>
    <row r="2225" spans="1:8">
      <c r="A2225">
        <v>16695463</v>
      </c>
      <c r="B2225" t="s">
        <v>254</v>
      </c>
      <c r="C2225" t="s">
        <v>252</v>
      </c>
      <c r="D2225" t="s">
        <v>253</v>
      </c>
      <c r="E2225" t="s">
        <v>1370</v>
      </c>
      <c r="F2225" s="134">
        <v>0.94187500000000002</v>
      </c>
      <c r="G2225" t="s">
        <v>1373</v>
      </c>
      <c r="H2225" t="s">
        <v>1374</v>
      </c>
    </row>
    <row r="2226" spans="1:8">
      <c r="A2226">
        <v>16695463</v>
      </c>
      <c r="B2226" t="s">
        <v>254</v>
      </c>
      <c r="C2226" t="s">
        <v>252</v>
      </c>
      <c r="D2226" t="s">
        <v>253</v>
      </c>
      <c r="E2226" t="s">
        <v>1375</v>
      </c>
      <c r="F2226" s="134">
        <v>0.61746527777777771</v>
      </c>
      <c r="G2226" t="s">
        <v>1371</v>
      </c>
      <c r="H2226" t="s">
        <v>1372</v>
      </c>
    </row>
    <row r="2227" spans="1:8">
      <c r="A2227">
        <v>16695463</v>
      </c>
      <c r="B2227" t="s">
        <v>254</v>
      </c>
      <c r="C2227" t="s">
        <v>252</v>
      </c>
      <c r="D2227" t="s">
        <v>253</v>
      </c>
      <c r="E2227" t="s">
        <v>1375</v>
      </c>
      <c r="F2227" s="134">
        <v>0.94504629629629633</v>
      </c>
      <c r="G2227" t="s">
        <v>1373</v>
      </c>
      <c r="H2227" t="s">
        <v>1374</v>
      </c>
    </row>
    <row r="2228" spans="1:8">
      <c r="A2228">
        <v>16695463</v>
      </c>
      <c r="B2228" t="s">
        <v>254</v>
      </c>
      <c r="C2228" t="s">
        <v>252</v>
      </c>
      <c r="D2228" t="s">
        <v>253</v>
      </c>
      <c r="E2228" t="s">
        <v>1376</v>
      </c>
      <c r="F2228" s="134">
        <v>0.93949074074074079</v>
      </c>
      <c r="G2228" t="s">
        <v>1373</v>
      </c>
      <c r="H2228" t="s">
        <v>1374</v>
      </c>
    </row>
    <row r="2229" spans="1:8">
      <c r="A2229">
        <v>16695463</v>
      </c>
      <c r="B2229" t="s">
        <v>254</v>
      </c>
      <c r="C2229" t="s">
        <v>252</v>
      </c>
      <c r="D2229" t="s">
        <v>253</v>
      </c>
      <c r="E2229" t="s">
        <v>1376</v>
      </c>
      <c r="F2229" s="134">
        <v>0.61800925925925931</v>
      </c>
      <c r="G2229" t="s">
        <v>1371</v>
      </c>
      <c r="H2229" t="s">
        <v>1372</v>
      </c>
    </row>
    <row r="2230" spans="1:8">
      <c r="A2230">
        <v>16695463</v>
      </c>
      <c r="B2230" t="s">
        <v>254</v>
      </c>
      <c r="C2230" t="s">
        <v>252</v>
      </c>
      <c r="D2230" t="s">
        <v>253</v>
      </c>
      <c r="E2230" t="s">
        <v>1377</v>
      </c>
      <c r="F2230" s="134">
        <v>0.6154398148148148</v>
      </c>
      <c r="G2230" t="s">
        <v>1371</v>
      </c>
      <c r="H2230" t="s">
        <v>1372</v>
      </c>
    </row>
    <row r="2231" spans="1:8">
      <c r="A2231">
        <v>16695463</v>
      </c>
      <c r="B2231" t="s">
        <v>254</v>
      </c>
      <c r="C2231" t="s">
        <v>252</v>
      </c>
      <c r="D2231" t="s">
        <v>253</v>
      </c>
      <c r="E2231" t="s">
        <v>1377</v>
      </c>
      <c r="F2231" s="134">
        <v>0.94723379629629623</v>
      </c>
      <c r="G2231" t="s">
        <v>1373</v>
      </c>
      <c r="H2231" t="s">
        <v>1374</v>
      </c>
    </row>
    <row r="2232" spans="1:8">
      <c r="A2232">
        <v>16695463</v>
      </c>
      <c r="B2232" t="s">
        <v>254</v>
      </c>
      <c r="C2232" t="s">
        <v>252</v>
      </c>
      <c r="D2232" t="s">
        <v>253</v>
      </c>
      <c r="E2232" t="s">
        <v>1378</v>
      </c>
      <c r="F2232" s="134">
        <v>0.61723379629629627</v>
      </c>
      <c r="G2232" t="s">
        <v>1371</v>
      </c>
      <c r="H2232" t="s">
        <v>1372</v>
      </c>
    </row>
    <row r="2233" spans="1:8">
      <c r="A2233">
        <v>16695463</v>
      </c>
      <c r="B2233" t="s">
        <v>254</v>
      </c>
      <c r="C2233" t="s">
        <v>252</v>
      </c>
      <c r="D2233" t="s">
        <v>253</v>
      </c>
      <c r="E2233" t="s">
        <v>1378</v>
      </c>
      <c r="F2233" s="134">
        <v>0.94543981481481476</v>
      </c>
      <c r="G2233" t="s">
        <v>1373</v>
      </c>
      <c r="H2233" t="s">
        <v>1374</v>
      </c>
    </row>
    <row r="2234" spans="1:8">
      <c r="A2234">
        <v>16695463</v>
      </c>
      <c r="B2234" t="s">
        <v>254</v>
      </c>
      <c r="C2234" t="s">
        <v>252</v>
      </c>
      <c r="D2234" t="s">
        <v>253</v>
      </c>
      <c r="E2234" t="s">
        <v>1379</v>
      </c>
      <c r="F2234" s="134">
        <v>0.62380787037037033</v>
      </c>
      <c r="G2234" t="s">
        <v>1371</v>
      </c>
      <c r="H2234" t="s">
        <v>1372</v>
      </c>
    </row>
    <row r="2235" spans="1:8">
      <c r="A2235">
        <v>16695463</v>
      </c>
      <c r="B2235" t="s">
        <v>254</v>
      </c>
      <c r="C2235" t="s">
        <v>252</v>
      </c>
      <c r="D2235" t="s">
        <v>253</v>
      </c>
      <c r="E2235" t="s">
        <v>1379</v>
      </c>
      <c r="F2235" s="134">
        <v>0.93781250000000005</v>
      </c>
      <c r="G2235" t="s">
        <v>1373</v>
      </c>
      <c r="H2235" t="s">
        <v>1374</v>
      </c>
    </row>
    <row r="2236" spans="1:8">
      <c r="A2236">
        <v>16697450</v>
      </c>
      <c r="B2236" t="s">
        <v>903</v>
      </c>
      <c r="C2236" t="s">
        <v>103</v>
      </c>
      <c r="D2236" t="s">
        <v>386</v>
      </c>
      <c r="E2236" t="s">
        <v>1370</v>
      </c>
      <c r="F2236" s="134">
        <v>0.29981481481481481</v>
      </c>
      <c r="G2236" t="s">
        <v>1371</v>
      </c>
      <c r="H2236" t="s">
        <v>1372</v>
      </c>
    </row>
    <row r="2237" spans="1:8">
      <c r="A2237">
        <v>16697450</v>
      </c>
      <c r="B2237" t="s">
        <v>903</v>
      </c>
      <c r="C2237" t="s">
        <v>103</v>
      </c>
      <c r="D2237" t="s">
        <v>386</v>
      </c>
      <c r="E2237" t="s">
        <v>1370</v>
      </c>
      <c r="F2237" s="134">
        <v>0.64069444444444446</v>
      </c>
      <c r="G2237" t="s">
        <v>1373</v>
      </c>
      <c r="H2237" t="s">
        <v>1374</v>
      </c>
    </row>
    <row r="2238" spans="1:8">
      <c r="A2238">
        <v>16697450</v>
      </c>
      <c r="B2238" t="s">
        <v>903</v>
      </c>
      <c r="C2238" t="s">
        <v>103</v>
      </c>
      <c r="D2238" t="s">
        <v>386</v>
      </c>
      <c r="E2238" t="s">
        <v>1375</v>
      </c>
      <c r="F2238" s="134">
        <v>0.30133101851851851</v>
      </c>
      <c r="G2238" t="s">
        <v>1371</v>
      </c>
      <c r="H2238" t="s">
        <v>1372</v>
      </c>
    </row>
    <row r="2239" spans="1:8">
      <c r="A2239">
        <v>16697450</v>
      </c>
      <c r="B2239" t="s">
        <v>903</v>
      </c>
      <c r="C2239" t="s">
        <v>103</v>
      </c>
      <c r="D2239" t="s">
        <v>386</v>
      </c>
      <c r="E2239" t="s">
        <v>1375</v>
      </c>
      <c r="F2239" s="134">
        <v>0.63671296296296298</v>
      </c>
      <c r="G2239" t="s">
        <v>1373</v>
      </c>
      <c r="H2239" t="s">
        <v>1374</v>
      </c>
    </row>
    <row r="2240" spans="1:8">
      <c r="A2240">
        <v>16697450</v>
      </c>
      <c r="B2240" t="s">
        <v>903</v>
      </c>
      <c r="C2240" t="s">
        <v>103</v>
      </c>
      <c r="D2240" t="s">
        <v>386</v>
      </c>
      <c r="E2240" t="s">
        <v>1376</v>
      </c>
      <c r="F2240" s="134">
        <v>0.6363657407407407</v>
      </c>
      <c r="G2240" t="s">
        <v>1373</v>
      </c>
      <c r="H2240" t="s">
        <v>1374</v>
      </c>
    </row>
    <row r="2241" spans="1:8">
      <c r="A2241">
        <v>16697450</v>
      </c>
      <c r="B2241" t="s">
        <v>903</v>
      </c>
      <c r="C2241" t="s">
        <v>103</v>
      </c>
      <c r="D2241" t="s">
        <v>386</v>
      </c>
      <c r="E2241" t="s">
        <v>1376</v>
      </c>
      <c r="F2241" s="134">
        <v>0.30123842592592592</v>
      </c>
      <c r="G2241" t="s">
        <v>1371</v>
      </c>
      <c r="H2241" t="s">
        <v>1372</v>
      </c>
    </row>
    <row r="2242" spans="1:8">
      <c r="A2242">
        <v>16697450</v>
      </c>
      <c r="B2242" t="s">
        <v>903</v>
      </c>
      <c r="C2242" t="s">
        <v>103</v>
      </c>
      <c r="D2242" t="s">
        <v>386</v>
      </c>
      <c r="E2242" t="s">
        <v>1377</v>
      </c>
      <c r="F2242" s="134">
        <v>0.30018518518518517</v>
      </c>
      <c r="G2242" t="s">
        <v>1371</v>
      </c>
      <c r="H2242" t="s">
        <v>1372</v>
      </c>
    </row>
    <row r="2243" spans="1:8">
      <c r="A2243">
        <v>16697450</v>
      </c>
      <c r="B2243" t="s">
        <v>903</v>
      </c>
      <c r="C2243" t="s">
        <v>103</v>
      </c>
      <c r="D2243" t="s">
        <v>386</v>
      </c>
      <c r="E2243" t="s">
        <v>1377</v>
      </c>
      <c r="F2243" s="134">
        <v>0.63605324074074077</v>
      </c>
      <c r="G2243" t="s">
        <v>1373</v>
      </c>
      <c r="H2243" t="s">
        <v>1374</v>
      </c>
    </row>
    <row r="2244" spans="1:8">
      <c r="A2244">
        <v>16697450</v>
      </c>
      <c r="B2244" t="s">
        <v>903</v>
      </c>
      <c r="C2244" t="s">
        <v>103</v>
      </c>
      <c r="D2244" t="s">
        <v>386</v>
      </c>
      <c r="E2244" t="s">
        <v>1378</v>
      </c>
      <c r="F2244" s="134">
        <v>0.30784722222222222</v>
      </c>
      <c r="G2244" t="s">
        <v>1371</v>
      </c>
      <c r="H2244" t="s">
        <v>1372</v>
      </c>
    </row>
    <row r="2245" spans="1:8">
      <c r="A2245">
        <v>16697450</v>
      </c>
      <c r="B2245" t="s">
        <v>903</v>
      </c>
      <c r="C2245" t="s">
        <v>103</v>
      </c>
      <c r="D2245" t="s">
        <v>386</v>
      </c>
      <c r="E2245" t="s">
        <v>1378</v>
      </c>
      <c r="F2245" s="134">
        <v>0.73630787037037038</v>
      </c>
      <c r="G2245" t="s">
        <v>1373</v>
      </c>
      <c r="H2245" t="s">
        <v>1374</v>
      </c>
    </row>
    <row r="2246" spans="1:8">
      <c r="A2246">
        <v>16697450</v>
      </c>
      <c r="B2246" t="s">
        <v>903</v>
      </c>
      <c r="C2246" t="s">
        <v>103</v>
      </c>
      <c r="D2246" t="s">
        <v>386</v>
      </c>
      <c r="E2246" t="s">
        <v>1379</v>
      </c>
      <c r="F2246" s="134">
        <v>0.31113425925925925</v>
      </c>
      <c r="G2246" t="s">
        <v>1371</v>
      </c>
      <c r="H2246" t="s">
        <v>1372</v>
      </c>
    </row>
    <row r="2247" spans="1:8">
      <c r="A2247">
        <v>16697450</v>
      </c>
      <c r="B2247" t="s">
        <v>903</v>
      </c>
      <c r="C2247" t="s">
        <v>103</v>
      </c>
      <c r="D2247" t="s">
        <v>386</v>
      </c>
      <c r="E2247" t="s">
        <v>1379</v>
      </c>
      <c r="F2247" s="134">
        <v>0.63894675925925926</v>
      </c>
      <c r="G2247" t="s">
        <v>1373</v>
      </c>
      <c r="H2247" t="s">
        <v>1374</v>
      </c>
    </row>
    <row r="2248" spans="1:8">
      <c r="A2248">
        <v>16907382</v>
      </c>
      <c r="B2248" t="s">
        <v>185</v>
      </c>
      <c r="C2248" t="s">
        <v>183</v>
      </c>
      <c r="D2248" t="s">
        <v>184</v>
      </c>
      <c r="E2248" t="s">
        <v>1370</v>
      </c>
      <c r="F2248" s="134">
        <v>0.60785879629629636</v>
      </c>
      <c r="G2248" t="s">
        <v>1371</v>
      </c>
      <c r="H2248" t="s">
        <v>1372</v>
      </c>
    </row>
    <row r="2249" spans="1:8">
      <c r="A2249">
        <v>16907382</v>
      </c>
      <c r="B2249" t="s">
        <v>185</v>
      </c>
      <c r="C2249" t="s">
        <v>183</v>
      </c>
      <c r="D2249" t="s">
        <v>184</v>
      </c>
      <c r="E2249" t="s">
        <v>1370</v>
      </c>
      <c r="F2249" s="134">
        <v>0.94731481481481483</v>
      </c>
      <c r="G2249" t="s">
        <v>1373</v>
      </c>
      <c r="H2249" t="s">
        <v>1374</v>
      </c>
    </row>
    <row r="2250" spans="1:8">
      <c r="A2250">
        <v>16907382</v>
      </c>
      <c r="B2250" t="s">
        <v>185</v>
      </c>
      <c r="C2250" t="s">
        <v>183</v>
      </c>
      <c r="D2250" t="s">
        <v>184</v>
      </c>
      <c r="E2250" t="s">
        <v>1375</v>
      </c>
      <c r="F2250" s="134">
        <v>0.61061342592592593</v>
      </c>
      <c r="G2250" t="s">
        <v>1371</v>
      </c>
      <c r="H2250" t="s">
        <v>1372</v>
      </c>
    </row>
    <row r="2251" spans="1:8">
      <c r="A2251">
        <v>16907382</v>
      </c>
      <c r="B2251" t="s">
        <v>185</v>
      </c>
      <c r="C2251" t="s">
        <v>183</v>
      </c>
      <c r="D2251" t="s">
        <v>184</v>
      </c>
      <c r="E2251" t="s">
        <v>1375</v>
      </c>
      <c r="F2251" s="134">
        <v>0.94283564814814813</v>
      </c>
      <c r="G2251" t="s">
        <v>1373</v>
      </c>
      <c r="H2251" t="s">
        <v>1374</v>
      </c>
    </row>
    <row r="2252" spans="1:8">
      <c r="A2252">
        <v>16907382</v>
      </c>
      <c r="B2252" t="s">
        <v>185</v>
      </c>
      <c r="C2252" t="s">
        <v>183</v>
      </c>
      <c r="D2252" t="s">
        <v>184</v>
      </c>
      <c r="E2252" t="s">
        <v>1376</v>
      </c>
      <c r="F2252" s="134">
        <v>0.60843749999999996</v>
      </c>
      <c r="G2252" t="s">
        <v>1371</v>
      </c>
      <c r="H2252" t="s">
        <v>1372</v>
      </c>
    </row>
    <row r="2253" spans="1:8">
      <c r="A2253">
        <v>16907382</v>
      </c>
      <c r="B2253" t="s">
        <v>185</v>
      </c>
      <c r="C2253" t="s">
        <v>183</v>
      </c>
      <c r="D2253" t="s">
        <v>184</v>
      </c>
      <c r="E2253" t="s">
        <v>1376</v>
      </c>
      <c r="F2253" s="134">
        <v>0.94793981481481471</v>
      </c>
      <c r="G2253" t="s">
        <v>1373</v>
      </c>
      <c r="H2253" t="s">
        <v>1374</v>
      </c>
    </row>
    <row r="2254" spans="1:8">
      <c r="A2254">
        <v>16907382</v>
      </c>
      <c r="B2254" t="s">
        <v>185</v>
      </c>
      <c r="C2254" t="s">
        <v>183</v>
      </c>
      <c r="D2254" t="s">
        <v>184</v>
      </c>
      <c r="E2254" t="s">
        <v>1377</v>
      </c>
      <c r="F2254" s="134">
        <v>0.60850694444444442</v>
      </c>
      <c r="G2254" t="s">
        <v>1371</v>
      </c>
      <c r="H2254" t="s">
        <v>1372</v>
      </c>
    </row>
    <row r="2255" spans="1:8">
      <c r="A2255">
        <v>16907382</v>
      </c>
      <c r="B2255" t="s">
        <v>185</v>
      </c>
      <c r="C2255" t="s">
        <v>183</v>
      </c>
      <c r="D2255" t="s">
        <v>184</v>
      </c>
      <c r="E2255" t="s">
        <v>1377</v>
      </c>
      <c r="F2255" s="134">
        <v>0.94230324074074068</v>
      </c>
      <c r="G2255" t="s">
        <v>1373</v>
      </c>
      <c r="H2255" t="s">
        <v>1374</v>
      </c>
    </row>
    <row r="2256" spans="1:8">
      <c r="A2256">
        <v>16907382</v>
      </c>
      <c r="B2256" t="s">
        <v>185</v>
      </c>
      <c r="C2256" t="s">
        <v>183</v>
      </c>
      <c r="D2256" t="s">
        <v>184</v>
      </c>
      <c r="E2256" t="s">
        <v>1378</v>
      </c>
      <c r="F2256" s="134">
        <v>0.60900462962962965</v>
      </c>
      <c r="G2256" t="s">
        <v>1371</v>
      </c>
      <c r="H2256" t="s">
        <v>1372</v>
      </c>
    </row>
    <row r="2257" spans="1:8">
      <c r="A2257">
        <v>16907382</v>
      </c>
      <c r="B2257" t="s">
        <v>185</v>
      </c>
      <c r="C2257" t="s">
        <v>183</v>
      </c>
      <c r="D2257" t="s">
        <v>184</v>
      </c>
      <c r="E2257" t="s">
        <v>1378</v>
      </c>
      <c r="F2257" s="134">
        <v>0.94306712962962969</v>
      </c>
      <c r="G2257" t="s">
        <v>1373</v>
      </c>
      <c r="H2257" t="s">
        <v>1374</v>
      </c>
    </row>
    <row r="2258" spans="1:8">
      <c r="A2258">
        <v>17002272</v>
      </c>
      <c r="B2258" t="s">
        <v>469</v>
      </c>
      <c r="C2258" t="s">
        <v>468</v>
      </c>
      <c r="D2258" t="s">
        <v>60</v>
      </c>
      <c r="E2258" t="s">
        <v>1370</v>
      </c>
      <c r="F2258" s="134">
        <v>0.30434027777777778</v>
      </c>
      <c r="G2258" t="s">
        <v>1371</v>
      </c>
      <c r="H2258" t="s">
        <v>1372</v>
      </c>
    </row>
    <row r="2259" spans="1:8">
      <c r="A2259">
        <v>17002272</v>
      </c>
      <c r="B2259" t="s">
        <v>469</v>
      </c>
      <c r="C2259" t="s">
        <v>468</v>
      </c>
      <c r="D2259" t="s">
        <v>60</v>
      </c>
      <c r="E2259" t="s">
        <v>1370</v>
      </c>
      <c r="F2259" s="134">
        <v>0.63665509259259256</v>
      </c>
      <c r="G2259" t="s">
        <v>1373</v>
      </c>
      <c r="H2259" t="s">
        <v>1374</v>
      </c>
    </row>
    <row r="2260" spans="1:8">
      <c r="A2260">
        <v>17002272</v>
      </c>
      <c r="B2260" t="s">
        <v>469</v>
      </c>
      <c r="C2260" t="s">
        <v>468</v>
      </c>
      <c r="D2260" t="s">
        <v>60</v>
      </c>
      <c r="E2260" t="s">
        <v>1375</v>
      </c>
      <c r="F2260" s="134">
        <v>0.3067361111111111</v>
      </c>
      <c r="G2260" t="s">
        <v>1371</v>
      </c>
      <c r="H2260" t="s">
        <v>1372</v>
      </c>
    </row>
    <row r="2261" spans="1:8">
      <c r="A2261">
        <v>17002272</v>
      </c>
      <c r="B2261" t="s">
        <v>469</v>
      </c>
      <c r="C2261" t="s">
        <v>468</v>
      </c>
      <c r="D2261" t="s">
        <v>60</v>
      </c>
      <c r="E2261" t="s">
        <v>1375</v>
      </c>
      <c r="F2261" s="134">
        <v>0.63262731481481482</v>
      </c>
      <c r="G2261" t="s">
        <v>1373</v>
      </c>
      <c r="H2261" t="s">
        <v>1374</v>
      </c>
    </row>
    <row r="2262" spans="1:8">
      <c r="A2262">
        <v>17002272</v>
      </c>
      <c r="B2262" t="s">
        <v>469</v>
      </c>
      <c r="C2262" t="s">
        <v>468</v>
      </c>
      <c r="D2262" t="s">
        <v>60</v>
      </c>
      <c r="E2262" t="s">
        <v>1376</v>
      </c>
      <c r="F2262" s="134">
        <v>0.63429398148148153</v>
      </c>
      <c r="G2262" t="s">
        <v>1373</v>
      </c>
      <c r="H2262" t="s">
        <v>1374</v>
      </c>
    </row>
    <row r="2263" spans="1:8">
      <c r="A2263">
        <v>17002272</v>
      </c>
      <c r="B2263" t="s">
        <v>469</v>
      </c>
      <c r="C2263" t="s">
        <v>468</v>
      </c>
      <c r="D2263" t="s">
        <v>60</v>
      </c>
      <c r="E2263" t="s">
        <v>1376</v>
      </c>
      <c r="F2263" s="134">
        <v>0.31592592592592594</v>
      </c>
      <c r="G2263" t="s">
        <v>1371</v>
      </c>
      <c r="H2263" t="s">
        <v>1372</v>
      </c>
    </row>
    <row r="2264" spans="1:8">
      <c r="A2264">
        <v>17002272</v>
      </c>
      <c r="B2264" t="s">
        <v>469</v>
      </c>
      <c r="C2264" t="s">
        <v>468</v>
      </c>
      <c r="D2264" t="s">
        <v>60</v>
      </c>
      <c r="E2264" t="s">
        <v>1377</v>
      </c>
      <c r="F2264" s="134">
        <v>0.30217592592592596</v>
      </c>
      <c r="G2264" t="s">
        <v>1371</v>
      </c>
      <c r="H2264" t="s">
        <v>1372</v>
      </c>
    </row>
    <row r="2265" spans="1:8">
      <c r="A2265">
        <v>17002272</v>
      </c>
      <c r="B2265" t="s">
        <v>469</v>
      </c>
      <c r="C2265" t="s">
        <v>468</v>
      </c>
      <c r="D2265" t="s">
        <v>60</v>
      </c>
      <c r="E2265" t="s">
        <v>1377</v>
      </c>
      <c r="F2265" s="134">
        <v>0.63740740740740742</v>
      </c>
      <c r="G2265" t="s">
        <v>1373</v>
      </c>
      <c r="H2265" t="s">
        <v>1374</v>
      </c>
    </row>
    <row r="2266" spans="1:8">
      <c r="A2266">
        <v>17002272</v>
      </c>
      <c r="B2266" t="s">
        <v>469</v>
      </c>
      <c r="C2266" t="s">
        <v>468</v>
      </c>
      <c r="D2266" t="s">
        <v>60</v>
      </c>
      <c r="E2266" t="s">
        <v>1378</v>
      </c>
      <c r="F2266" s="134">
        <v>0.30806712962962962</v>
      </c>
      <c r="G2266" t="s">
        <v>1371</v>
      </c>
      <c r="H2266" t="s">
        <v>1372</v>
      </c>
    </row>
    <row r="2267" spans="1:8">
      <c r="A2267">
        <v>17002272</v>
      </c>
      <c r="B2267" t="s">
        <v>469</v>
      </c>
      <c r="C2267" t="s">
        <v>468</v>
      </c>
      <c r="D2267" t="s">
        <v>60</v>
      </c>
      <c r="E2267" t="s">
        <v>1378</v>
      </c>
      <c r="F2267" s="134">
        <v>0.59940972222222222</v>
      </c>
      <c r="G2267" t="s">
        <v>1373</v>
      </c>
      <c r="H2267" t="s">
        <v>1374</v>
      </c>
    </row>
    <row r="2268" spans="1:8">
      <c r="A2268">
        <v>17002272</v>
      </c>
      <c r="B2268" t="s">
        <v>469</v>
      </c>
      <c r="C2268" t="s">
        <v>468</v>
      </c>
      <c r="D2268" t="s">
        <v>60</v>
      </c>
      <c r="E2268" t="s">
        <v>1379</v>
      </c>
      <c r="F2268" s="134">
        <v>0.32641203703703703</v>
      </c>
      <c r="G2268" t="s">
        <v>1371</v>
      </c>
      <c r="H2268" t="s">
        <v>1372</v>
      </c>
    </row>
    <row r="2269" spans="1:8">
      <c r="A2269">
        <v>17002272</v>
      </c>
      <c r="B2269" t="s">
        <v>469</v>
      </c>
      <c r="C2269" t="s">
        <v>468</v>
      </c>
      <c r="D2269" t="s">
        <v>60</v>
      </c>
      <c r="E2269" t="s">
        <v>1379</v>
      </c>
      <c r="F2269" s="134">
        <v>0.63726851851851851</v>
      </c>
      <c r="G2269" t="s">
        <v>1373</v>
      </c>
      <c r="H2269" t="s">
        <v>1374</v>
      </c>
    </row>
    <row r="2270" spans="1:8">
      <c r="A2270">
        <v>17065312</v>
      </c>
      <c r="B2270" t="s">
        <v>464</v>
      </c>
      <c r="C2270" t="s">
        <v>341</v>
      </c>
      <c r="D2270" t="s">
        <v>272</v>
      </c>
      <c r="E2270" t="s">
        <v>1370</v>
      </c>
      <c r="F2270" s="134">
        <v>0.62572916666666667</v>
      </c>
      <c r="G2270" t="s">
        <v>1371</v>
      </c>
      <c r="H2270" t="s">
        <v>1372</v>
      </c>
    </row>
    <row r="2271" spans="1:8">
      <c r="A2271">
        <v>17065312</v>
      </c>
      <c r="B2271" t="s">
        <v>464</v>
      </c>
      <c r="C2271" t="s">
        <v>341</v>
      </c>
      <c r="D2271" t="s">
        <v>272</v>
      </c>
      <c r="E2271" t="s">
        <v>1370</v>
      </c>
      <c r="F2271" s="134">
        <v>0.93895833333333334</v>
      </c>
      <c r="G2271" t="s">
        <v>1373</v>
      </c>
      <c r="H2271" t="s">
        <v>1374</v>
      </c>
    </row>
    <row r="2272" spans="1:8">
      <c r="A2272">
        <v>17065312</v>
      </c>
      <c r="B2272" t="s">
        <v>464</v>
      </c>
      <c r="C2272" t="s">
        <v>341</v>
      </c>
      <c r="D2272" t="s">
        <v>272</v>
      </c>
      <c r="E2272" t="s">
        <v>1375</v>
      </c>
      <c r="F2272" s="134">
        <v>0.32918981481481485</v>
      </c>
      <c r="G2272" t="s">
        <v>1371</v>
      </c>
      <c r="H2272" t="s">
        <v>1372</v>
      </c>
    </row>
    <row r="2273" spans="1:8">
      <c r="A2273">
        <v>17065312</v>
      </c>
      <c r="B2273" t="s">
        <v>464</v>
      </c>
      <c r="C2273" t="s">
        <v>341</v>
      </c>
      <c r="D2273" t="s">
        <v>272</v>
      </c>
      <c r="E2273" t="s">
        <v>1375</v>
      </c>
      <c r="F2273" s="134">
        <v>0.64090277777777771</v>
      </c>
      <c r="G2273" t="s">
        <v>1373</v>
      </c>
      <c r="H2273" t="s">
        <v>1374</v>
      </c>
    </row>
    <row r="2274" spans="1:8">
      <c r="A2274">
        <v>17065312</v>
      </c>
      <c r="B2274" t="s">
        <v>464</v>
      </c>
      <c r="C2274" t="s">
        <v>341</v>
      </c>
      <c r="D2274" t="s">
        <v>272</v>
      </c>
      <c r="E2274" t="s">
        <v>1376</v>
      </c>
      <c r="F2274" s="134">
        <v>0.94009259259259259</v>
      </c>
      <c r="G2274" t="s">
        <v>1373</v>
      </c>
      <c r="H2274" t="s">
        <v>1374</v>
      </c>
    </row>
    <row r="2275" spans="1:8">
      <c r="A2275">
        <v>17065312</v>
      </c>
      <c r="B2275" t="s">
        <v>464</v>
      </c>
      <c r="C2275" t="s">
        <v>341</v>
      </c>
      <c r="D2275" t="s">
        <v>272</v>
      </c>
      <c r="E2275" t="s">
        <v>1376</v>
      </c>
      <c r="F2275" s="134">
        <v>0.6288541666666666</v>
      </c>
      <c r="G2275" t="s">
        <v>1371</v>
      </c>
      <c r="H2275" t="s">
        <v>1372</v>
      </c>
    </row>
    <row r="2276" spans="1:8">
      <c r="A2276">
        <v>17065312</v>
      </c>
      <c r="B2276" t="s">
        <v>464</v>
      </c>
      <c r="C2276" t="s">
        <v>341</v>
      </c>
      <c r="D2276" t="s">
        <v>272</v>
      </c>
      <c r="E2276" t="s">
        <v>1377</v>
      </c>
      <c r="F2276" s="134">
        <v>0.62821759259259258</v>
      </c>
      <c r="G2276" t="s">
        <v>1371</v>
      </c>
      <c r="H2276" t="s">
        <v>1372</v>
      </c>
    </row>
    <row r="2277" spans="1:8">
      <c r="A2277">
        <v>17065312</v>
      </c>
      <c r="B2277" t="s">
        <v>464</v>
      </c>
      <c r="C2277" t="s">
        <v>341</v>
      </c>
      <c r="D2277" t="s">
        <v>272</v>
      </c>
      <c r="E2277" t="s">
        <v>1377</v>
      </c>
      <c r="F2277" s="134">
        <v>0.94440972222222219</v>
      </c>
      <c r="G2277" t="s">
        <v>1373</v>
      </c>
      <c r="H2277" t="s">
        <v>1374</v>
      </c>
    </row>
    <row r="2278" spans="1:8">
      <c r="A2278">
        <v>17065312</v>
      </c>
      <c r="B2278" t="s">
        <v>464</v>
      </c>
      <c r="C2278" t="s">
        <v>341</v>
      </c>
      <c r="D2278" t="s">
        <v>272</v>
      </c>
      <c r="E2278" t="s">
        <v>1378</v>
      </c>
      <c r="F2278" s="134">
        <v>0.62651620370370364</v>
      </c>
      <c r="G2278" t="s">
        <v>1371</v>
      </c>
      <c r="H2278" t="s">
        <v>1372</v>
      </c>
    </row>
    <row r="2279" spans="1:8">
      <c r="A2279">
        <v>17065312</v>
      </c>
      <c r="B2279" t="s">
        <v>464</v>
      </c>
      <c r="C2279" t="s">
        <v>341</v>
      </c>
      <c r="D2279" t="s">
        <v>272</v>
      </c>
      <c r="E2279" t="s">
        <v>1378</v>
      </c>
      <c r="F2279" s="134">
        <v>0.93781250000000005</v>
      </c>
      <c r="G2279" t="s">
        <v>1373</v>
      </c>
      <c r="H2279" t="s">
        <v>1374</v>
      </c>
    </row>
    <row r="2280" spans="1:8">
      <c r="A2280">
        <v>17065312</v>
      </c>
      <c r="B2280" t="s">
        <v>464</v>
      </c>
      <c r="C2280" t="s">
        <v>341</v>
      </c>
      <c r="D2280" t="s">
        <v>272</v>
      </c>
      <c r="E2280" t="s">
        <v>1379</v>
      </c>
      <c r="F2280" s="134">
        <v>0.63434027777777779</v>
      </c>
      <c r="G2280" t="s">
        <v>1371</v>
      </c>
      <c r="H2280" t="s">
        <v>1372</v>
      </c>
    </row>
    <row r="2281" spans="1:8">
      <c r="A2281">
        <v>17065312</v>
      </c>
      <c r="B2281" t="s">
        <v>464</v>
      </c>
      <c r="C2281" t="s">
        <v>341</v>
      </c>
      <c r="D2281" t="s">
        <v>272</v>
      </c>
      <c r="E2281" t="s">
        <v>1379</v>
      </c>
      <c r="F2281" s="134">
        <v>0.90011574074074074</v>
      </c>
      <c r="G2281" t="s">
        <v>1373</v>
      </c>
      <c r="H2281" t="s">
        <v>1374</v>
      </c>
    </row>
    <row r="2282" spans="1:8">
      <c r="A2282">
        <v>17245009</v>
      </c>
      <c r="B2282" t="s">
        <v>817</v>
      </c>
      <c r="C2282" t="s">
        <v>878</v>
      </c>
      <c r="D2282" t="s">
        <v>956</v>
      </c>
      <c r="E2282" t="s">
        <v>1370</v>
      </c>
      <c r="F2282" s="134">
        <v>0.29569444444444443</v>
      </c>
      <c r="G2282" t="s">
        <v>1371</v>
      </c>
      <c r="H2282" t="s">
        <v>1372</v>
      </c>
    </row>
    <row r="2283" spans="1:8">
      <c r="A2283">
        <v>17245009</v>
      </c>
      <c r="B2283" t="s">
        <v>817</v>
      </c>
      <c r="C2283" t="s">
        <v>878</v>
      </c>
      <c r="D2283" t="s">
        <v>956</v>
      </c>
      <c r="E2283" t="s">
        <v>1370</v>
      </c>
      <c r="F2283" s="134">
        <v>0.73822916666666671</v>
      </c>
      <c r="G2283" t="s">
        <v>1373</v>
      </c>
      <c r="H2283" t="s">
        <v>1374</v>
      </c>
    </row>
    <row r="2284" spans="1:8">
      <c r="A2284">
        <v>17245009</v>
      </c>
      <c r="B2284" t="s">
        <v>817</v>
      </c>
      <c r="C2284" t="s">
        <v>878</v>
      </c>
      <c r="D2284" t="s">
        <v>956</v>
      </c>
      <c r="E2284" t="s">
        <v>1375</v>
      </c>
      <c r="F2284" s="134">
        <v>0.31709490740740742</v>
      </c>
      <c r="G2284" t="s">
        <v>1371</v>
      </c>
      <c r="H2284" t="s">
        <v>1372</v>
      </c>
    </row>
    <row r="2285" spans="1:8">
      <c r="A2285">
        <v>17245009</v>
      </c>
      <c r="B2285" t="s">
        <v>817</v>
      </c>
      <c r="C2285" t="s">
        <v>878</v>
      </c>
      <c r="D2285" t="s">
        <v>956</v>
      </c>
      <c r="E2285" t="s">
        <v>1375</v>
      </c>
      <c r="F2285" s="134">
        <v>0.73643518518518514</v>
      </c>
      <c r="G2285" t="s">
        <v>1373</v>
      </c>
      <c r="H2285" t="s">
        <v>1374</v>
      </c>
    </row>
    <row r="2286" spans="1:8">
      <c r="A2286">
        <v>17245009</v>
      </c>
      <c r="B2286" t="s">
        <v>817</v>
      </c>
      <c r="C2286" t="s">
        <v>878</v>
      </c>
      <c r="D2286" t="s">
        <v>956</v>
      </c>
      <c r="E2286" t="s">
        <v>1376</v>
      </c>
      <c r="F2286" s="134">
        <v>0.29652777777777778</v>
      </c>
      <c r="G2286" t="s">
        <v>1371</v>
      </c>
      <c r="H2286" t="s">
        <v>1372</v>
      </c>
    </row>
    <row r="2287" spans="1:8">
      <c r="A2287">
        <v>17245009</v>
      </c>
      <c r="B2287" t="s">
        <v>817</v>
      </c>
      <c r="C2287" t="s">
        <v>878</v>
      </c>
      <c r="D2287" t="s">
        <v>956</v>
      </c>
      <c r="E2287" t="s">
        <v>1376</v>
      </c>
      <c r="F2287" s="134">
        <v>0.73436342592592585</v>
      </c>
      <c r="G2287" t="s">
        <v>1373</v>
      </c>
      <c r="H2287" t="s">
        <v>1374</v>
      </c>
    </row>
    <row r="2288" spans="1:8">
      <c r="A2288">
        <v>17245009</v>
      </c>
      <c r="B2288" t="s">
        <v>817</v>
      </c>
      <c r="C2288" t="s">
        <v>878</v>
      </c>
      <c r="D2288" t="s">
        <v>956</v>
      </c>
      <c r="E2288" t="s">
        <v>1377</v>
      </c>
      <c r="F2288" s="134">
        <v>0.29625000000000001</v>
      </c>
      <c r="G2288" t="s">
        <v>1371</v>
      </c>
      <c r="H2288" t="s">
        <v>1372</v>
      </c>
    </row>
    <row r="2289" spans="1:8">
      <c r="A2289">
        <v>17245009</v>
      </c>
      <c r="B2289" t="s">
        <v>817</v>
      </c>
      <c r="C2289" t="s">
        <v>878</v>
      </c>
      <c r="D2289" t="s">
        <v>956</v>
      </c>
      <c r="E2289" t="s">
        <v>1377</v>
      </c>
      <c r="F2289" s="134">
        <v>0.73811342592592588</v>
      </c>
      <c r="G2289" t="s">
        <v>1373</v>
      </c>
      <c r="H2289" t="s">
        <v>1374</v>
      </c>
    </row>
    <row r="2290" spans="1:8">
      <c r="A2290">
        <v>17245009</v>
      </c>
      <c r="B2290" t="s">
        <v>817</v>
      </c>
      <c r="C2290" t="s">
        <v>878</v>
      </c>
      <c r="D2290" t="s">
        <v>956</v>
      </c>
      <c r="E2290" t="s">
        <v>1378</v>
      </c>
      <c r="F2290" s="134">
        <v>0.30802083333333335</v>
      </c>
      <c r="G2290" t="s">
        <v>1371</v>
      </c>
      <c r="H2290" t="s">
        <v>1372</v>
      </c>
    </row>
    <row r="2291" spans="1:8">
      <c r="A2291">
        <v>17245009</v>
      </c>
      <c r="B2291" t="s">
        <v>817</v>
      </c>
      <c r="C2291" t="s">
        <v>878</v>
      </c>
      <c r="D2291" t="s">
        <v>956</v>
      </c>
      <c r="E2291" t="s">
        <v>1378</v>
      </c>
      <c r="F2291" s="134">
        <v>0.7381712962962963</v>
      </c>
      <c r="G2291" t="s">
        <v>1373</v>
      </c>
      <c r="H2291" t="s">
        <v>1374</v>
      </c>
    </row>
    <row r="2292" spans="1:8">
      <c r="A2292">
        <v>17542884</v>
      </c>
      <c r="B2292" t="s">
        <v>266</v>
      </c>
      <c r="C2292" t="s">
        <v>264</v>
      </c>
      <c r="D2292" t="s">
        <v>265</v>
      </c>
      <c r="E2292" t="s">
        <v>1370</v>
      </c>
      <c r="F2292" s="134">
        <v>1.4282407407407409E-2</v>
      </c>
      <c r="G2292" t="s">
        <v>1371</v>
      </c>
      <c r="H2292" t="s">
        <v>1372</v>
      </c>
    </row>
    <row r="2293" spans="1:8">
      <c r="A2293">
        <v>17542884</v>
      </c>
      <c r="B2293" t="s">
        <v>266</v>
      </c>
      <c r="C2293" t="s">
        <v>264</v>
      </c>
      <c r="D2293" t="s">
        <v>265</v>
      </c>
      <c r="E2293" t="s">
        <v>1370</v>
      </c>
      <c r="F2293" s="134">
        <v>0.36400462962962959</v>
      </c>
      <c r="G2293" t="s">
        <v>1373</v>
      </c>
      <c r="H2293" t="s">
        <v>1374</v>
      </c>
    </row>
    <row r="2294" spans="1:8">
      <c r="A2294">
        <v>17542884</v>
      </c>
      <c r="B2294" t="s">
        <v>266</v>
      </c>
      <c r="C2294" t="s">
        <v>264</v>
      </c>
      <c r="D2294" t="s">
        <v>265</v>
      </c>
      <c r="E2294" t="s">
        <v>1375</v>
      </c>
      <c r="F2294" s="134">
        <v>0.30201388888888886</v>
      </c>
      <c r="G2294" t="s">
        <v>1371</v>
      </c>
      <c r="H2294" t="s">
        <v>1372</v>
      </c>
    </row>
    <row r="2295" spans="1:8">
      <c r="A2295">
        <v>17542884</v>
      </c>
      <c r="B2295" t="s">
        <v>266</v>
      </c>
      <c r="C2295" t="s">
        <v>264</v>
      </c>
      <c r="D2295" t="s">
        <v>265</v>
      </c>
      <c r="E2295" t="s">
        <v>1375</v>
      </c>
      <c r="F2295" s="134">
        <v>0.73490740740740745</v>
      </c>
      <c r="G2295" t="s">
        <v>1373</v>
      </c>
      <c r="H2295" t="s">
        <v>1374</v>
      </c>
    </row>
    <row r="2296" spans="1:8">
      <c r="A2296">
        <v>17542884</v>
      </c>
      <c r="B2296" t="s">
        <v>266</v>
      </c>
      <c r="C2296" t="s">
        <v>264</v>
      </c>
      <c r="D2296" t="s">
        <v>265</v>
      </c>
      <c r="E2296" t="s">
        <v>1376</v>
      </c>
      <c r="F2296" s="134">
        <v>0.73526620370370377</v>
      </c>
      <c r="G2296" t="s">
        <v>1373</v>
      </c>
      <c r="H2296" t="s">
        <v>1374</v>
      </c>
    </row>
    <row r="2297" spans="1:8">
      <c r="A2297">
        <v>17542884</v>
      </c>
      <c r="B2297" t="s">
        <v>266</v>
      </c>
      <c r="C2297" t="s">
        <v>264</v>
      </c>
      <c r="D2297" t="s">
        <v>265</v>
      </c>
      <c r="E2297" t="s">
        <v>1376</v>
      </c>
      <c r="F2297" s="134">
        <v>0.32364583333333335</v>
      </c>
      <c r="G2297" t="s">
        <v>1371</v>
      </c>
      <c r="H2297" t="s">
        <v>1372</v>
      </c>
    </row>
    <row r="2298" spans="1:8">
      <c r="A2298">
        <v>17542884</v>
      </c>
      <c r="B2298" t="s">
        <v>266</v>
      </c>
      <c r="C2298" t="s">
        <v>264</v>
      </c>
      <c r="D2298" t="s">
        <v>265</v>
      </c>
      <c r="E2298" t="s">
        <v>1377</v>
      </c>
      <c r="F2298" s="134">
        <v>0.31229166666666669</v>
      </c>
      <c r="G2298" t="s">
        <v>1371</v>
      </c>
      <c r="H2298" t="s">
        <v>1372</v>
      </c>
    </row>
    <row r="2299" spans="1:8">
      <c r="A2299">
        <v>17542884</v>
      </c>
      <c r="B2299" t="s">
        <v>266</v>
      </c>
      <c r="C2299" t="s">
        <v>264</v>
      </c>
      <c r="D2299" t="s">
        <v>265</v>
      </c>
      <c r="E2299" t="s">
        <v>1377</v>
      </c>
      <c r="F2299" s="134">
        <v>0.73429398148148151</v>
      </c>
      <c r="G2299" t="s">
        <v>1373</v>
      </c>
      <c r="H2299" t="s">
        <v>1374</v>
      </c>
    </row>
    <row r="2300" spans="1:8">
      <c r="A2300">
        <v>17542884</v>
      </c>
      <c r="B2300" t="s">
        <v>266</v>
      </c>
      <c r="C2300" t="s">
        <v>264</v>
      </c>
      <c r="D2300" t="s">
        <v>265</v>
      </c>
      <c r="E2300" t="s">
        <v>1378</v>
      </c>
      <c r="F2300" s="134">
        <v>0.29538194444444443</v>
      </c>
      <c r="G2300" t="s">
        <v>1371</v>
      </c>
      <c r="H2300" t="s">
        <v>1372</v>
      </c>
    </row>
    <row r="2301" spans="1:8">
      <c r="A2301">
        <v>17542884</v>
      </c>
      <c r="B2301" t="s">
        <v>266</v>
      </c>
      <c r="C2301" t="s">
        <v>264</v>
      </c>
      <c r="D2301" t="s">
        <v>265</v>
      </c>
      <c r="E2301" t="s">
        <v>1378</v>
      </c>
      <c r="F2301" s="134">
        <v>0.6413888888888889</v>
      </c>
      <c r="G2301" t="s">
        <v>1373</v>
      </c>
      <c r="H2301" t="s">
        <v>1374</v>
      </c>
    </row>
    <row r="2302" spans="1:8">
      <c r="A2302">
        <v>17542884</v>
      </c>
      <c r="B2302" t="s">
        <v>266</v>
      </c>
      <c r="C2302" t="s">
        <v>264</v>
      </c>
      <c r="D2302" t="s">
        <v>265</v>
      </c>
      <c r="E2302" t="s">
        <v>1379</v>
      </c>
      <c r="F2302" s="134">
        <v>0.30365740740740738</v>
      </c>
      <c r="G2302" t="s">
        <v>1371</v>
      </c>
      <c r="H2302" t="s">
        <v>1372</v>
      </c>
    </row>
    <row r="2303" spans="1:8">
      <c r="A2303">
        <v>17542884</v>
      </c>
      <c r="B2303" t="s">
        <v>266</v>
      </c>
      <c r="C2303" t="s">
        <v>264</v>
      </c>
      <c r="D2303" t="s">
        <v>265</v>
      </c>
      <c r="E2303" t="s">
        <v>1379</v>
      </c>
      <c r="F2303" s="134">
        <v>0.64277777777777778</v>
      </c>
      <c r="G2303" t="s">
        <v>1373</v>
      </c>
      <c r="H2303" t="s">
        <v>1374</v>
      </c>
    </row>
    <row r="2304" spans="1:8">
      <c r="A2304">
        <v>17543156</v>
      </c>
      <c r="B2304" t="s">
        <v>779</v>
      </c>
      <c r="C2304" t="s">
        <v>777</v>
      </c>
      <c r="D2304" t="s">
        <v>778</v>
      </c>
      <c r="E2304" t="s">
        <v>1370</v>
      </c>
      <c r="F2304" s="134">
        <v>0.61234953703703698</v>
      </c>
      <c r="G2304" t="s">
        <v>1371</v>
      </c>
      <c r="H2304" t="s">
        <v>1372</v>
      </c>
    </row>
    <row r="2305" spans="1:8">
      <c r="A2305">
        <v>17543156</v>
      </c>
      <c r="B2305" t="s">
        <v>779</v>
      </c>
      <c r="C2305" t="s">
        <v>777</v>
      </c>
      <c r="D2305" t="s">
        <v>778</v>
      </c>
      <c r="E2305" t="s">
        <v>1370</v>
      </c>
      <c r="F2305" s="134">
        <v>0.94486111111111104</v>
      </c>
      <c r="G2305" t="s">
        <v>1373</v>
      </c>
      <c r="H2305" t="s">
        <v>1374</v>
      </c>
    </row>
    <row r="2306" spans="1:8">
      <c r="A2306">
        <v>17543156</v>
      </c>
      <c r="B2306" t="s">
        <v>779</v>
      </c>
      <c r="C2306" t="s">
        <v>777</v>
      </c>
      <c r="D2306" t="s">
        <v>778</v>
      </c>
      <c r="E2306" t="s">
        <v>1375</v>
      </c>
      <c r="F2306" s="134">
        <v>0.60996527777777776</v>
      </c>
      <c r="G2306" t="s">
        <v>1371</v>
      </c>
      <c r="H2306" t="s">
        <v>1372</v>
      </c>
    </row>
    <row r="2307" spans="1:8">
      <c r="A2307">
        <v>17543156</v>
      </c>
      <c r="B2307" t="s">
        <v>779</v>
      </c>
      <c r="C2307" t="s">
        <v>777</v>
      </c>
      <c r="D2307" t="s">
        <v>778</v>
      </c>
      <c r="E2307" t="s">
        <v>1375</v>
      </c>
      <c r="F2307" s="134">
        <v>0.948125</v>
      </c>
      <c r="G2307" t="s">
        <v>1373</v>
      </c>
      <c r="H2307" t="s">
        <v>1374</v>
      </c>
    </row>
    <row r="2308" spans="1:8">
      <c r="A2308">
        <v>17543156</v>
      </c>
      <c r="B2308" t="s">
        <v>779</v>
      </c>
      <c r="C2308" t="s">
        <v>777</v>
      </c>
      <c r="D2308" t="s">
        <v>778</v>
      </c>
      <c r="E2308" t="s">
        <v>1376</v>
      </c>
      <c r="F2308" s="134">
        <v>0.94762731481481488</v>
      </c>
      <c r="G2308" t="s">
        <v>1373</v>
      </c>
      <c r="H2308" t="s">
        <v>1374</v>
      </c>
    </row>
    <row r="2309" spans="1:8">
      <c r="A2309">
        <v>17543156</v>
      </c>
      <c r="B2309" t="s">
        <v>779</v>
      </c>
      <c r="C2309" t="s">
        <v>777</v>
      </c>
      <c r="D2309" t="s">
        <v>778</v>
      </c>
      <c r="E2309" t="s">
        <v>1376</v>
      </c>
      <c r="F2309" s="134">
        <v>0.60745370370370366</v>
      </c>
      <c r="G2309" t="s">
        <v>1371</v>
      </c>
      <c r="H2309" t="s">
        <v>1372</v>
      </c>
    </row>
    <row r="2310" spans="1:8">
      <c r="A2310">
        <v>17543156</v>
      </c>
      <c r="B2310" t="s">
        <v>779</v>
      </c>
      <c r="C2310" t="s">
        <v>777</v>
      </c>
      <c r="D2310" t="s">
        <v>778</v>
      </c>
      <c r="E2310" t="s">
        <v>1377</v>
      </c>
      <c r="F2310" s="134">
        <v>0.60736111111111113</v>
      </c>
      <c r="G2310" t="s">
        <v>1371</v>
      </c>
      <c r="H2310" t="s">
        <v>1372</v>
      </c>
    </row>
    <row r="2311" spans="1:8">
      <c r="A2311">
        <v>17543156</v>
      </c>
      <c r="B2311" t="s">
        <v>779</v>
      </c>
      <c r="C2311" t="s">
        <v>777</v>
      </c>
      <c r="D2311" t="s">
        <v>778</v>
      </c>
      <c r="E2311" t="s">
        <v>1377</v>
      </c>
      <c r="F2311" s="134">
        <v>0.9455324074074074</v>
      </c>
      <c r="G2311" t="s">
        <v>1373</v>
      </c>
      <c r="H2311" t="s">
        <v>1374</v>
      </c>
    </row>
    <row r="2312" spans="1:8">
      <c r="A2312">
        <v>17543156</v>
      </c>
      <c r="B2312" t="s">
        <v>779</v>
      </c>
      <c r="C2312" t="s">
        <v>777</v>
      </c>
      <c r="D2312" t="s">
        <v>778</v>
      </c>
      <c r="E2312" t="s">
        <v>1378</v>
      </c>
      <c r="F2312" s="134">
        <v>0.60771990740740744</v>
      </c>
      <c r="G2312" t="s">
        <v>1371</v>
      </c>
      <c r="H2312" t="s">
        <v>1372</v>
      </c>
    </row>
    <row r="2313" spans="1:8">
      <c r="A2313">
        <v>17543156</v>
      </c>
      <c r="B2313" t="s">
        <v>779</v>
      </c>
      <c r="C2313" t="s">
        <v>777</v>
      </c>
      <c r="D2313" t="s">
        <v>778</v>
      </c>
      <c r="E2313" t="s">
        <v>1378</v>
      </c>
      <c r="F2313" s="134">
        <v>0.94825231481481476</v>
      </c>
      <c r="G2313" t="s">
        <v>1373</v>
      </c>
      <c r="H2313" t="s">
        <v>1374</v>
      </c>
    </row>
    <row r="2314" spans="1:8">
      <c r="A2314">
        <v>17543156</v>
      </c>
      <c r="B2314" t="s">
        <v>779</v>
      </c>
      <c r="C2314" t="s">
        <v>777</v>
      </c>
      <c r="D2314" t="s">
        <v>778</v>
      </c>
      <c r="E2314" t="s">
        <v>1379</v>
      </c>
      <c r="F2314" s="134">
        <v>0.61396990740740742</v>
      </c>
      <c r="G2314" t="s">
        <v>1371</v>
      </c>
      <c r="H2314" t="s">
        <v>1372</v>
      </c>
    </row>
    <row r="2315" spans="1:8">
      <c r="A2315">
        <v>17543156</v>
      </c>
      <c r="B2315" t="s">
        <v>779</v>
      </c>
      <c r="C2315" t="s">
        <v>777</v>
      </c>
      <c r="D2315" t="s">
        <v>778</v>
      </c>
      <c r="E2315" t="s">
        <v>1379</v>
      </c>
      <c r="F2315" s="134">
        <v>0.94008101851851855</v>
      </c>
      <c r="G2315" t="s">
        <v>1373</v>
      </c>
      <c r="H2315" t="s">
        <v>1374</v>
      </c>
    </row>
    <row r="2316" spans="1:8">
      <c r="A2316">
        <v>17609782</v>
      </c>
      <c r="B2316" t="s">
        <v>104</v>
      </c>
      <c r="C2316" t="s">
        <v>95</v>
      </c>
      <c r="D2316" t="s">
        <v>103</v>
      </c>
      <c r="E2316" t="s">
        <v>1370</v>
      </c>
      <c r="F2316" s="134">
        <v>0.32353009259259258</v>
      </c>
      <c r="G2316" t="s">
        <v>1371</v>
      </c>
      <c r="H2316" t="s">
        <v>1372</v>
      </c>
    </row>
    <row r="2317" spans="1:8">
      <c r="A2317">
        <v>17609782</v>
      </c>
      <c r="B2317" t="s">
        <v>104</v>
      </c>
      <c r="C2317" t="s">
        <v>95</v>
      </c>
      <c r="D2317" t="s">
        <v>103</v>
      </c>
      <c r="E2317" t="s">
        <v>1370</v>
      </c>
      <c r="F2317" s="134">
        <v>0.73430555555555566</v>
      </c>
      <c r="G2317" t="s">
        <v>1373</v>
      </c>
      <c r="H2317" t="s">
        <v>1374</v>
      </c>
    </row>
    <row r="2318" spans="1:8">
      <c r="A2318">
        <v>17609782</v>
      </c>
      <c r="B2318" t="s">
        <v>104</v>
      </c>
      <c r="C2318" t="s">
        <v>95</v>
      </c>
      <c r="D2318" t="s">
        <v>103</v>
      </c>
      <c r="E2318" t="s">
        <v>1375</v>
      </c>
      <c r="F2318" s="134">
        <v>0.32261574074074073</v>
      </c>
      <c r="G2318" t="s">
        <v>1371</v>
      </c>
      <c r="H2318" t="s">
        <v>1372</v>
      </c>
    </row>
    <row r="2319" spans="1:8">
      <c r="A2319">
        <v>17609782</v>
      </c>
      <c r="B2319" t="s">
        <v>104</v>
      </c>
      <c r="C2319" t="s">
        <v>95</v>
      </c>
      <c r="D2319" t="s">
        <v>103</v>
      </c>
      <c r="E2319" t="s">
        <v>1375</v>
      </c>
      <c r="F2319" s="134">
        <v>0.73008101851851848</v>
      </c>
      <c r="G2319" t="s">
        <v>1373</v>
      </c>
      <c r="H2319" t="s">
        <v>1374</v>
      </c>
    </row>
    <row r="2320" spans="1:8">
      <c r="A2320">
        <v>17609782</v>
      </c>
      <c r="B2320" t="s">
        <v>104</v>
      </c>
      <c r="C2320" t="s">
        <v>95</v>
      </c>
      <c r="D2320" t="s">
        <v>103</v>
      </c>
      <c r="E2320" t="s">
        <v>1376</v>
      </c>
      <c r="F2320" s="134">
        <v>0.32386574074074076</v>
      </c>
      <c r="G2320" t="s">
        <v>1371</v>
      </c>
      <c r="H2320" t="s">
        <v>1372</v>
      </c>
    </row>
    <row r="2321" spans="1:8">
      <c r="A2321">
        <v>17609782</v>
      </c>
      <c r="B2321" t="s">
        <v>104</v>
      </c>
      <c r="C2321" t="s">
        <v>95</v>
      </c>
      <c r="D2321" t="s">
        <v>103</v>
      </c>
      <c r="E2321" t="s">
        <v>1376</v>
      </c>
      <c r="F2321" s="134">
        <v>0.73270833333333341</v>
      </c>
      <c r="G2321" t="s">
        <v>1373</v>
      </c>
      <c r="H2321" t="s">
        <v>1374</v>
      </c>
    </row>
    <row r="2322" spans="1:8">
      <c r="A2322">
        <v>17609782</v>
      </c>
      <c r="B2322" t="s">
        <v>104</v>
      </c>
      <c r="C2322" t="s">
        <v>95</v>
      </c>
      <c r="D2322" t="s">
        <v>103</v>
      </c>
      <c r="E2322" t="s">
        <v>1377</v>
      </c>
      <c r="F2322" s="134">
        <v>0.32070601851851849</v>
      </c>
      <c r="G2322" t="s">
        <v>1371</v>
      </c>
      <c r="H2322" t="s">
        <v>1372</v>
      </c>
    </row>
    <row r="2323" spans="1:8">
      <c r="A2323">
        <v>17609782</v>
      </c>
      <c r="B2323" t="s">
        <v>104</v>
      </c>
      <c r="C2323" t="s">
        <v>95</v>
      </c>
      <c r="D2323" t="s">
        <v>103</v>
      </c>
      <c r="E2323" t="s">
        <v>1377</v>
      </c>
      <c r="F2323" s="134">
        <v>0.73195601851851855</v>
      </c>
      <c r="G2323" t="s">
        <v>1373</v>
      </c>
      <c r="H2323" t="s">
        <v>1374</v>
      </c>
    </row>
    <row r="2324" spans="1:8">
      <c r="A2324">
        <v>17609782</v>
      </c>
      <c r="B2324" t="s">
        <v>104</v>
      </c>
      <c r="C2324" t="s">
        <v>95</v>
      </c>
      <c r="D2324" t="s">
        <v>103</v>
      </c>
      <c r="E2324" t="s">
        <v>1378</v>
      </c>
      <c r="F2324" s="134">
        <v>0.32194444444444442</v>
      </c>
      <c r="G2324" t="s">
        <v>1371</v>
      </c>
      <c r="H2324" t="s">
        <v>1372</v>
      </c>
    </row>
    <row r="2325" spans="1:8">
      <c r="A2325">
        <v>17609782</v>
      </c>
      <c r="B2325" t="s">
        <v>104</v>
      </c>
      <c r="C2325" t="s">
        <v>95</v>
      </c>
      <c r="D2325" t="s">
        <v>103</v>
      </c>
      <c r="E2325" t="s">
        <v>1378</v>
      </c>
      <c r="F2325" s="134">
        <v>0.73472222222222217</v>
      </c>
      <c r="G2325" t="s">
        <v>1373</v>
      </c>
      <c r="H2325" t="s">
        <v>1374</v>
      </c>
    </row>
    <row r="2326" spans="1:8">
      <c r="A2326">
        <v>17755770</v>
      </c>
      <c r="B2326" t="s">
        <v>647</v>
      </c>
      <c r="C2326" t="s">
        <v>646</v>
      </c>
      <c r="D2326" t="s">
        <v>646</v>
      </c>
      <c r="E2326" t="s">
        <v>1370</v>
      </c>
      <c r="F2326" s="134">
        <v>0.91543981481481485</v>
      </c>
      <c r="G2326" t="s">
        <v>1371</v>
      </c>
      <c r="H2326" t="s">
        <v>1372</v>
      </c>
    </row>
    <row r="2327" spans="1:8">
      <c r="A2327">
        <v>17755770</v>
      </c>
      <c r="B2327" t="s">
        <v>647</v>
      </c>
      <c r="C2327" t="s">
        <v>646</v>
      </c>
      <c r="D2327" t="s">
        <v>646</v>
      </c>
      <c r="E2327" t="s">
        <v>1375</v>
      </c>
      <c r="F2327" s="134">
        <v>0.31785879629629626</v>
      </c>
      <c r="G2327" t="s">
        <v>1373</v>
      </c>
      <c r="H2327" t="s">
        <v>1374</v>
      </c>
    </row>
    <row r="2328" spans="1:8">
      <c r="A2328">
        <v>17755770</v>
      </c>
      <c r="B2328" t="s">
        <v>647</v>
      </c>
      <c r="C2328" t="s">
        <v>646</v>
      </c>
      <c r="D2328" t="s">
        <v>646</v>
      </c>
      <c r="E2328" t="s">
        <v>1375</v>
      </c>
      <c r="F2328" s="134">
        <v>0.92099537037037038</v>
      </c>
      <c r="G2328" t="s">
        <v>1371</v>
      </c>
      <c r="H2328" t="s">
        <v>1372</v>
      </c>
    </row>
    <row r="2329" spans="1:8">
      <c r="A2329">
        <v>17755770</v>
      </c>
      <c r="B2329" t="s">
        <v>647</v>
      </c>
      <c r="C2329" t="s">
        <v>646</v>
      </c>
      <c r="D2329" t="s">
        <v>646</v>
      </c>
      <c r="E2329" t="s">
        <v>1376</v>
      </c>
      <c r="F2329" s="134">
        <v>0.32304398148148145</v>
      </c>
      <c r="G2329" t="s">
        <v>1373</v>
      </c>
      <c r="H2329" t="s">
        <v>1374</v>
      </c>
    </row>
    <row r="2330" spans="1:8">
      <c r="A2330">
        <v>17755770</v>
      </c>
      <c r="B2330" t="s">
        <v>647</v>
      </c>
      <c r="C2330" t="s">
        <v>646</v>
      </c>
      <c r="D2330" t="s">
        <v>646</v>
      </c>
      <c r="E2330" t="s">
        <v>1376</v>
      </c>
      <c r="F2330" s="134">
        <v>0.91349537037037043</v>
      </c>
      <c r="G2330" t="s">
        <v>1371</v>
      </c>
      <c r="H2330" t="s">
        <v>1372</v>
      </c>
    </row>
    <row r="2331" spans="1:8">
      <c r="A2331">
        <v>17755770</v>
      </c>
      <c r="B2331" t="s">
        <v>647</v>
      </c>
      <c r="C2331" t="s">
        <v>646</v>
      </c>
      <c r="D2331" t="s">
        <v>646</v>
      </c>
      <c r="E2331" t="s">
        <v>1377</v>
      </c>
      <c r="F2331" s="134">
        <v>0.32587962962962963</v>
      </c>
      <c r="G2331" t="s">
        <v>1373</v>
      </c>
      <c r="H2331" t="s">
        <v>1374</v>
      </c>
    </row>
    <row r="2332" spans="1:8">
      <c r="A2332">
        <v>17755770</v>
      </c>
      <c r="B2332" t="s">
        <v>647</v>
      </c>
      <c r="C2332" t="s">
        <v>646</v>
      </c>
      <c r="D2332" t="s">
        <v>646</v>
      </c>
      <c r="E2332" t="s">
        <v>1377</v>
      </c>
      <c r="F2332" s="134">
        <v>0.92773148148148143</v>
      </c>
      <c r="G2332" t="s">
        <v>1371</v>
      </c>
      <c r="H2332" t="s">
        <v>1372</v>
      </c>
    </row>
    <row r="2333" spans="1:8">
      <c r="A2333">
        <v>17755770</v>
      </c>
      <c r="B2333" t="s">
        <v>647</v>
      </c>
      <c r="C2333" t="s">
        <v>646</v>
      </c>
      <c r="D2333" t="s">
        <v>646</v>
      </c>
      <c r="E2333" t="s">
        <v>1378</v>
      </c>
      <c r="F2333" s="134">
        <v>0.32684027777777774</v>
      </c>
      <c r="G2333" t="s">
        <v>1373</v>
      </c>
      <c r="H2333" t="s">
        <v>1374</v>
      </c>
    </row>
    <row r="2334" spans="1:8">
      <c r="A2334">
        <v>17755770</v>
      </c>
      <c r="B2334" t="s">
        <v>647</v>
      </c>
      <c r="C2334" t="s">
        <v>646</v>
      </c>
      <c r="D2334" t="s">
        <v>646</v>
      </c>
      <c r="E2334" t="s">
        <v>1378</v>
      </c>
      <c r="F2334" s="134">
        <v>0.93341435185185195</v>
      </c>
      <c r="G2334" t="s">
        <v>1371</v>
      </c>
      <c r="H2334" t="s">
        <v>1372</v>
      </c>
    </row>
    <row r="2335" spans="1:8">
      <c r="A2335">
        <v>17755770</v>
      </c>
      <c r="B2335" t="s">
        <v>647</v>
      </c>
      <c r="C2335" t="s">
        <v>646</v>
      </c>
      <c r="D2335" t="s">
        <v>646</v>
      </c>
      <c r="E2335" t="s">
        <v>1379</v>
      </c>
      <c r="F2335" s="134">
        <v>0.32474537037037038</v>
      </c>
      <c r="G2335" t="s">
        <v>1373</v>
      </c>
      <c r="H2335" t="s">
        <v>1374</v>
      </c>
    </row>
    <row r="2336" spans="1:8">
      <c r="A2336">
        <v>17929108</v>
      </c>
      <c r="B2336" t="s">
        <v>362</v>
      </c>
      <c r="C2336" t="s">
        <v>360</v>
      </c>
      <c r="D2336" t="s">
        <v>361</v>
      </c>
      <c r="E2336" t="s">
        <v>1370</v>
      </c>
      <c r="F2336" s="134">
        <v>0.91935185185185186</v>
      </c>
      <c r="G2336" t="s">
        <v>1371</v>
      </c>
      <c r="H2336" t="s">
        <v>1372</v>
      </c>
    </row>
    <row r="2337" spans="1:8">
      <c r="A2337">
        <v>17929108</v>
      </c>
      <c r="B2337" t="s">
        <v>362</v>
      </c>
      <c r="C2337" t="s">
        <v>360</v>
      </c>
      <c r="D2337" t="s">
        <v>361</v>
      </c>
      <c r="E2337" t="s">
        <v>1370</v>
      </c>
      <c r="F2337" s="134">
        <v>0.91935185185185186</v>
      </c>
      <c r="G2337" t="s">
        <v>1371</v>
      </c>
      <c r="H2337" t="s">
        <v>1372</v>
      </c>
    </row>
    <row r="2338" spans="1:8">
      <c r="A2338">
        <v>17929108</v>
      </c>
      <c r="B2338" t="s">
        <v>362</v>
      </c>
      <c r="C2338" t="s">
        <v>360</v>
      </c>
      <c r="D2338" t="s">
        <v>361</v>
      </c>
      <c r="E2338" t="s">
        <v>1375</v>
      </c>
      <c r="F2338" s="134">
        <v>0.32760416666666664</v>
      </c>
      <c r="G2338" t="s">
        <v>1373</v>
      </c>
      <c r="H2338" t="s">
        <v>1374</v>
      </c>
    </row>
    <row r="2339" spans="1:8">
      <c r="A2339">
        <v>17929108</v>
      </c>
      <c r="B2339" t="s">
        <v>362</v>
      </c>
      <c r="C2339" t="s">
        <v>360</v>
      </c>
      <c r="D2339" t="s">
        <v>361</v>
      </c>
      <c r="E2339" t="s">
        <v>1375</v>
      </c>
      <c r="F2339" s="134">
        <v>0.91997685185185185</v>
      </c>
      <c r="G2339" t="s">
        <v>1371</v>
      </c>
      <c r="H2339" t="s">
        <v>1372</v>
      </c>
    </row>
    <row r="2340" spans="1:8">
      <c r="A2340">
        <v>17929108</v>
      </c>
      <c r="B2340" t="s">
        <v>362</v>
      </c>
      <c r="C2340" t="s">
        <v>360</v>
      </c>
      <c r="D2340" t="s">
        <v>361</v>
      </c>
      <c r="E2340" t="s">
        <v>1376</v>
      </c>
      <c r="F2340" s="134">
        <v>0.32440972222222225</v>
      </c>
      <c r="G2340" t="s">
        <v>1373</v>
      </c>
      <c r="H2340" t="s">
        <v>1374</v>
      </c>
    </row>
    <row r="2341" spans="1:8">
      <c r="A2341">
        <v>17929108</v>
      </c>
      <c r="B2341" t="s">
        <v>362</v>
      </c>
      <c r="C2341" t="s">
        <v>360</v>
      </c>
      <c r="D2341" t="s">
        <v>361</v>
      </c>
      <c r="E2341" t="s">
        <v>1377</v>
      </c>
      <c r="F2341" s="134">
        <v>0.29418981481481482</v>
      </c>
      <c r="G2341" t="s">
        <v>1371</v>
      </c>
      <c r="H2341" t="s">
        <v>1372</v>
      </c>
    </row>
    <row r="2342" spans="1:8">
      <c r="A2342">
        <v>17929108</v>
      </c>
      <c r="B2342" t="s">
        <v>362</v>
      </c>
      <c r="C2342" t="s">
        <v>360</v>
      </c>
      <c r="D2342" t="s">
        <v>361</v>
      </c>
      <c r="E2342" t="s">
        <v>1377</v>
      </c>
      <c r="F2342" s="134">
        <v>0.63982638888888888</v>
      </c>
      <c r="G2342" t="s">
        <v>1373</v>
      </c>
      <c r="H2342" t="s">
        <v>1374</v>
      </c>
    </row>
    <row r="2343" spans="1:8">
      <c r="A2343">
        <v>17929108</v>
      </c>
      <c r="B2343" t="s">
        <v>362</v>
      </c>
      <c r="C2343" t="s">
        <v>360</v>
      </c>
      <c r="D2343" t="s">
        <v>361</v>
      </c>
      <c r="E2343" t="s">
        <v>1378</v>
      </c>
      <c r="F2343" s="134">
        <v>0.29577546296296298</v>
      </c>
      <c r="G2343" t="s">
        <v>1371</v>
      </c>
      <c r="H2343" t="s">
        <v>1372</v>
      </c>
    </row>
    <row r="2344" spans="1:8">
      <c r="A2344">
        <v>17929108</v>
      </c>
      <c r="B2344" t="s">
        <v>362</v>
      </c>
      <c r="C2344" t="s">
        <v>360</v>
      </c>
      <c r="D2344" t="s">
        <v>361</v>
      </c>
      <c r="E2344" t="s">
        <v>1378</v>
      </c>
      <c r="F2344" s="134">
        <v>0.6413078703703704</v>
      </c>
      <c r="G2344" t="s">
        <v>1373</v>
      </c>
      <c r="H2344" t="s">
        <v>1374</v>
      </c>
    </row>
    <row r="2345" spans="1:8">
      <c r="A2345">
        <v>18074081</v>
      </c>
      <c r="B2345" t="s">
        <v>921</v>
      </c>
      <c r="C2345" t="s">
        <v>103</v>
      </c>
      <c r="D2345" t="s">
        <v>920</v>
      </c>
      <c r="E2345" t="s">
        <v>1370</v>
      </c>
      <c r="F2345" s="134">
        <v>0.91614583333333333</v>
      </c>
      <c r="G2345" t="s">
        <v>1371</v>
      </c>
      <c r="H2345" t="s">
        <v>1372</v>
      </c>
    </row>
    <row r="2346" spans="1:8">
      <c r="A2346">
        <v>18074081</v>
      </c>
      <c r="B2346" t="s">
        <v>921</v>
      </c>
      <c r="C2346" t="s">
        <v>103</v>
      </c>
      <c r="D2346" t="s">
        <v>920</v>
      </c>
      <c r="E2346" t="s">
        <v>1375</v>
      </c>
      <c r="F2346" s="134">
        <v>0.32884259259259258</v>
      </c>
      <c r="G2346" t="s">
        <v>1373</v>
      </c>
      <c r="H2346" t="s">
        <v>1374</v>
      </c>
    </row>
    <row r="2347" spans="1:8">
      <c r="A2347">
        <v>18074081</v>
      </c>
      <c r="B2347" t="s">
        <v>921</v>
      </c>
      <c r="C2347" t="s">
        <v>103</v>
      </c>
      <c r="D2347" t="s">
        <v>920</v>
      </c>
      <c r="E2347" t="s">
        <v>1375</v>
      </c>
      <c r="F2347" s="134">
        <v>0.92020833333333341</v>
      </c>
      <c r="G2347" t="s">
        <v>1371</v>
      </c>
      <c r="H2347" t="s">
        <v>1372</v>
      </c>
    </row>
    <row r="2348" spans="1:8">
      <c r="A2348">
        <v>18074081</v>
      </c>
      <c r="B2348" t="s">
        <v>921</v>
      </c>
      <c r="C2348" t="s">
        <v>103</v>
      </c>
      <c r="D2348" t="s">
        <v>920</v>
      </c>
      <c r="E2348" t="s">
        <v>1376</v>
      </c>
      <c r="F2348" s="134">
        <v>0.33081018518518518</v>
      </c>
      <c r="G2348" t="s">
        <v>1373</v>
      </c>
      <c r="H2348" t="s">
        <v>1374</v>
      </c>
    </row>
    <row r="2349" spans="1:8">
      <c r="A2349">
        <v>18074081</v>
      </c>
      <c r="B2349" t="s">
        <v>921</v>
      </c>
      <c r="C2349" t="s">
        <v>103</v>
      </c>
      <c r="D2349" t="s">
        <v>920</v>
      </c>
      <c r="E2349" t="s">
        <v>1376</v>
      </c>
      <c r="F2349" s="134">
        <v>0.9180787037037037</v>
      </c>
      <c r="G2349" t="s">
        <v>1371</v>
      </c>
      <c r="H2349" t="s">
        <v>1372</v>
      </c>
    </row>
    <row r="2350" spans="1:8">
      <c r="A2350">
        <v>18074081</v>
      </c>
      <c r="B2350" t="s">
        <v>921</v>
      </c>
      <c r="C2350" t="s">
        <v>103</v>
      </c>
      <c r="D2350" t="s">
        <v>920</v>
      </c>
      <c r="E2350" t="s">
        <v>1377</v>
      </c>
      <c r="F2350" s="134">
        <v>0.32440972222222225</v>
      </c>
      <c r="G2350" t="s">
        <v>1373</v>
      </c>
      <c r="H2350" t="s">
        <v>1374</v>
      </c>
    </row>
    <row r="2351" spans="1:8">
      <c r="A2351">
        <v>18074081</v>
      </c>
      <c r="B2351" t="s">
        <v>921</v>
      </c>
      <c r="C2351" t="s">
        <v>103</v>
      </c>
      <c r="D2351" t="s">
        <v>920</v>
      </c>
      <c r="E2351" t="s">
        <v>1377</v>
      </c>
      <c r="F2351" s="134">
        <v>0.92131944444444447</v>
      </c>
      <c r="G2351" t="s">
        <v>1371</v>
      </c>
      <c r="H2351" t="s">
        <v>1372</v>
      </c>
    </row>
    <row r="2352" spans="1:8">
      <c r="A2352">
        <v>18074081</v>
      </c>
      <c r="B2352" t="s">
        <v>921</v>
      </c>
      <c r="C2352" t="s">
        <v>103</v>
      </c>
      <c r="D2352" t="s">
        <v>920</v>
      </c>
      <c r="E2352" t="s">
        <v>1378</v>
      </c>
      <c r="F2352" s="134">
        <v>0.32983796296296297</v>
      </c>
      <c r="G2352" t="s">
        <v>1373</v>
      </c>
      <c r="H2352" t="s">
        <v>1374</v>
      </c>
    </row>
    <row r="2353" spans="1:8">
      <c r="A2353">
        <v>18074081</v>
      </c>
      <c r="B2353" t="s">
        <v>921</v>
      </c>
      <c r="C2353" t="s">
        <v>103</v>
      </c>
      <c r="D2353" t="s">
        <v>920</v>
      </c>
      <c r="E2353" t="s">
        <v>1378</v>
      </c>
      <c r="F2353" s="134">
        <v>0.91809027777777785</v>
      </c>
      <c r="G2353" t="s">
        <v>1371</v>
      </c>
      <c r="H2353" t="s">
        <v>1372</v>
      </c>
    </row>
    <row r="2354" spans="1:8">
      <c r="A2354">
        <v>18074081</v>
      </c>
      <c r="B2354" t="s">
        <v>921</v>
      </c>
      <c r="C2354" t="s">
        <v>103</v>
      </c>
      <c r="D2354" t="s">
        <v>920</v>
      </c>
      <c r="E2354" t="s">
        <v>1379</v>
      </c>
      <c r="F2354" s="134">
        <v>0.33096064814814813</v>
      </c>
      <c r="G2354" t="s">
        <v>1373</v>
      </c>
      <c r="H2354" t="s">
        <v>1374</v>
      </c>
    </row>
    <row r="2355" spans="1:8">
      <c r="A2355">
        <v>20342651</v>
      </c>
      <c r="B2355" t="s">
        <v>822</v>
      </c>
      <c r="C2355" t="s">
        <v>815</v>
      </c>
      <c r="D2355" t="s">
        <v>821</v>
      </c>
      <c r="E2355" t="s">
        <v>1370</v>
      </c>
      <c r="F2355" s="134">
        <v>0.93443287037037026</v>
      </c>
      <c r="G2355" t="s">
        <v>1371</v>
      </c>
      <c r="H2355" t="s">
        <v>1372</v>
      </c>
    </row>
    <row r="2356" spans="1:8">
      <c r="A2356">
        <v>20342651</v>
      </c>
      <c r="B2356" t="s">
        <v>822</v>
      </c>
      <c r="C2356" t="s">
        <v>815</v>
      </c>
      <c r="D2356" t="s">
        <v>821</v>
      </c>
      <c r="E2356" t="s">
        <v>1375</v>
      </c>
      <c r="F2356" s="134">
        <v>0.31297453703703704</v>
      </c>
      <c r="G2356" t="s">
        <v>1373</v>
      </c>
      <c r="H2356" t="s">
        <v>1374</v>
      </c>
    </row>
    <row r="2357" spans="1:8">
      <c r="A2357">
        <v>20342651</v>
      </c>
      <c r="B2357" t="s">
        <v>822</v>
      </c>
      <c r="C2357" t="s">
        <v>815</v>
      </c>
      <c r="D2357" t="s">
        <v>821</v>
      </c>
      <c r="E2357" t="s">
        <v>1375</v>
      </c>
      <c r="F2357" s="134">
        <v>0.9327199074074074</v>
      </c>
      <c r="G2357" t="s">
        <v>1371</v>
      </c>
      <c r="H2357" t="s">
        <v>1372</v>
      </c>
    </row>
    <row r="2358" spans="1:8">
      <c r="A2358">
        <v>20342651</v>
      </c>
      <c r="B2358" t="s">
        <v>822</v>
      </c>
      <c r="C2358" t="s">
        <v>815</v>
      </c>
      <c r="D2358" t="s">
        <v>821</v>
      </c>
      <c r="E2358" t="s">
        <v>1376</v>
      </c>
      <c r="F2358" s="134">
        <v>0.31291666666666668</v>
      </c>
      <c r="G2358" t="s">
        <v>1373</v>
      </c>
      <c r="H2358" t="s">
        <v>1374</v>
      </c>
    </row>
    <row r="2359" spans="1:8">
      <c r="A2359">
        <v>20342651</v>
      </c>
      <c r="B2359" t="s">
        <v>822</v>
      </c>
      <c r="C2359" t="s">
        <v>815</v>
      </c>
      <c r="D2359" t="s">
        <v>821</v>
      </c>
      <c r="E2359" t="s">
        <v>1376</v>
      </c>
      <c r="F2359" s="134">
        <v>0.93170138888888887</v>
      </c>
      <c r="G2359" t="s">
        <v>1371</v>
      </c>
      <c r="H2359" t="s">
        <v>1372</v>
      </c>
    </row>
    <row r="2360" spans="1:8">
      <c r="A2360">
        <v>20342651</v>
      </c>
      <c r="B2360" t="s">
        <v>822</v>
      </c>
      <c r="C2360" t="s">
        <v>815</v>
      </c>
      <c r="D2360" t="s">
        <v>821</v>
      </c>
      <c r="E2360" t="s">
        <v>1377</v>
      </c>
      <c r="F2360" s="134">
        <v>0.3127314814814815</v>
      </c>
      <c r="G2360" t="s">
        <v>1373</v>
      </c>
      <c r="H2360" t="s">
        <v>1374</v>
      </c>
    </row>
    <row r="2361" spans="1:8">
      <c r="A2361">
        <v>20342651</v>
      </c>
      <c r="B2361" t="s">
        <v>822</v>
      </c>
      <c r="C2361" t="s">
        <v>815</v>
      </c>
      <c r="D2361" t="s">
        <v>821</v>
      </c>
      <c r="E2361" t="s">
        <v>1377</v>
      </c>
      <c r="F2361" s="134">
        <v>0.93398148148148152</v>
      </c>
      <c r="G2361" t="s">
        <v>1371</v>
      </c>
      <c r="H2361" t="s">
        <v>1372</v>
      </c>
    </row>
    <row r="2362" spans="1:8">
      <c r="A2362">
        <v>20342651</v>
      </c>
      <c r="B2362" t="s">
        <v>822</v>
      </c>
      <c r="C2362" t="s">
        <v>815</v>
      </c>
      <c r="D2362" t="s">
        <v>821</v>
      </c>
      <c r="E2362" t="s">
        <v>1378</v>
      </c>
      <c r="F2362" s="134">
        <v>0.31307870370370372</v>
      </c>
      <c r="G2362" t="s">
        <v>1373</v>
      </c>
      <c r="H2362" t="s">
        <v>1374</v>
      </c>
    </row>
    <row r="2363" spans="1:8">
      <c r="A2363">
        <v>20342651</v>
      </c>
      <c r="B2363" t="s">
        <v>822</v>
      </c>
      <c r="C2363" t="s">
        <v>815</v>
      </c>
      <c r="D2363" t="s">
        <v>821</v>
      </c>
      <c r="E2363" t="s">
        <v>1378</v>
      </c>
      <c r="F2363" s="134">
        <v>0.93521990740740746</v>
      </c>
      <c r="G2363" t="s">
        <v>1371</v>
      </c>
      <c r="H2363" t="s">
        <v>1372</v>
      </c>
    </row>
    <row r="2364" spans="1:8">
      <c r="A2364">
        <v>20342651</v>
      </c>
      <c r="B2364" t="s">
        <v>822</v>
      </c>
      <c r="C2364" t="s">
        <v>815</v>
      </c>
      <c r="D2364" t="s">
        <v>821</v>
      </c>
      <c r="E2364" t="s">
        <v>1379</v>
      </c>
      <c r="F2364" s="134">
        <v>0.31310185185185185</v>
      </c>
      <c r="G2364" t="s">
        <v>1373</v>
      </c>
      <c r="H2364" t="s">
        <v>1374</v>
      </c>
    </row>
    <row r="2365" spans="1:8">
      <c r="A2365">
        <v>21318186</v>
      </c>
      <c r="B2365" t="s">
        <v>1176</v>
      </c>
      <c r="C2365" t="s">
        <v>360</v>
      </c>
      <c r="D2365" t="s">
        <v>1175</v>
      </c>
      <c r="E2365" t="s">
        <v>1370</v>
      </c>
      <c r="F2365" s="134">
        <v>0.60780092592592594</v>
      </c>
      <c r="G2365" t="s">
        <v>1371</v>
      </c>
      <c r="H2365" t="s">
        <v>1372</v>
      </c>
    </row>
    <row r="2366" spans="1:8">
      <c r="A2366">
        <v>21318186</v>
      </c>
      <c r="B2366" t="s">
        <v>1176</v>
      </c>
      <c r="C2366" t="s">
        <v>360</v>
      </c>
      <c r="D2366" t="s">
        <v>1175</v>
      </c>
      <c r="E2366" t="s">
        <v>1370</v>
      </c>
      <c r="F2366" s="134">
        <v>0.95170138888888889</v>
      </c>
      <c r="G2366" t="s">
        <v>1373</v>
      </c>
      <c r="H2366" t="s">
        <v>1374</v>
      </c>
    </row>
    <row r="2367" spans="1:8">
      <c r="A2367">
        <v>21318186</v>
      </c>
      <c r="B2367" t="s">
        <v>1176</v>
      </c>
      <c r="C2367" t="s">
        <v>360</v>
      </c>
      <c r="D2367" t="s">
        <v>1175</v>
      </c>
      <c r="E2367" t="s">
        <v>1375</v>
      </c>
      <c r="F2367" s="134">
        <v>0.61040509259259257</v>
      </c>
      <c r="G2367" t="s">
        <v>1371</v>
      </c>
      <c r="H2367" t="s">
        <v>1372</v>
      </c>
    </row>
    <row r="2368" spans="1:8">
      <c r="A2368">
        <v>21318186</v>
      </c>
      <c r="B2368" t="s">
        <v>1176</v>
      </c>
      <c r="C2368" t="s">
        <v>360</v>
      </c>
      <c r="D2368" t="s">
        <v>1175</v>
      </c>
      <c r="E2368" t="s">
        <v>1375</v>
      </c>
      <c r="F2368" s="134">
        <v>0.95181712962962972</v>
      </c>
      <c r="G2368" t="s">
        <v>1373</v>
      </c>
      <c r="H2368" t="s">
        <v>1374</v>
      </c>
    </row>
    <row r="2369" spans="1:8">
      <c r="A2369">
        <v>21318186</v>
      </c>
      <c r="B2369" t="s">
        <v>1176</v>
      </c>
      <c r="C2369" t="s">
        <v>360</v>
      </c>
      <c r="D2369" t="s">
        <v>1175</v>
      </c>
      <c r="E2369" t="s">
        <v>1376</v>
      </c>
      <c r="F2369" s="134">
        <v>0.94986111111111116</v>
      </c>
      <c r="G2369" t="s">
        <v>1373</v>
      </c>
      <c r="H2369" t="s">
        <v>1374</v>
      </c>
    </row>
    <row r="2370" spans="1:8">
      <c r="A2370">
        <v>21318186</v>
      </c>
      <c r="B2370" t="s">
        <v>1176</v>
      </c>
      <c r="C2370" t="s">
        <v>360</v>
      </c>
      <c r="D2370" t="s">
        <v>1175</v>
      </c>
      <c r="E2370" t="s">
        <v>1376</v>
      </c>
      <c r="F2370" s="134">
        <v>0.60798611111111112</v>
      </c>
      <c r="G2370" t="s">
        <v>1371</v>
      </c>
      <c r="H2370" t="s">
        <v>1372</v>
      </c>
    </row>
    <row r="2371" spans="1:8">
      <c r="A2371">
        <v>21318186</v>
      </c>
      <c r="B2371" t="s">
        <v>1176</v>
      </c>
      <c r="C2371" t="s">
        <v>360</v>
      </c>
      <c r="D2371" t="s">
        <v>1175</v>
      </c>
      <c r="E2371" t="s">
        <v>1377</v>
      </c>
      <c r="F2371" s="134">
        <v>0.60754629629629631</v>
      </c>
      <c r="G2371" t="s">
        <v>1371</v>
      </c>
      <c r="H2371" t="s">
        <v>1372</v>
      </c>
    </row>
    <row r="2372" spans="1:8">
      <c r="A2372">
        <v>21318186</v>
      </c>
      <c r="B2372" t="s">
        <v>1176</v>
      </c>
      <c r="C2372" t="s">
        <v>360</v>
      </c>
      <c r="D2372" t="s">
        <v>1175</v>
      </c>
      <c r="E2372" t="s">
        <v>1377</v>
      </c>
      <c r="F2372" s="134">
        <v>0.94972222222222225</v>
      </c>
      <c r="G2372" t="s">
        <v>1373</v>
      </c>
      <c r="H2372" t="s">
        <v>1374</v>
      </c>
    </row>
    <row r="2373" spans="1:8">
      <c r="A2373">
        <v>21318186</v>
      </c>
      <c r="B2373" t="s">
        <v>1176</v>
      </c>
      <c r="C2373" t="s">
        <v>360</v>
      </c>
      <c r="D2373" t="s">
        <v>1175</v>
      </c>
      <c r="E2373" t="s">
        <v>1378</v>
      </c>
      <c r="F2373" s="134">
        <v>0.60880787037037043</v>
      </c>
      <c r="G2373" t="s">
        <v>1371</v>
      </c>
      <c r="H2373" t="s">
        <v>1372</v>
      </c>
    </row>
    <row r="2374" spans="1:8">
      <c r="A2374">
        <v>21318186</v>
      </c>
      <c r="B2374" t="s">
        <v>1176</v>
      </c>
      <c r="C2374" t="s">
        <v>360</v>
      </c>
      <c r="D2374" t="s">
        <v>1175</v>
      </c>
      <c r="E2374" t="s">
        <v>1378</v>
      </c>
      <c r="F2374" s="134">
        <v>0.9509375000000001</v>
      </c>
      <c r="G2374" t="s">
        <v>1373</v>
      </c>
      <c r="H2374" t="s">
        <v>1374</v>
      </c>
    </row>
    <row r="2375" spans="1:8">
      <c r="A2375">
        <v>21318186</v>
      </c>
      <c r="B2375" t="s">
        <v>1176</v>
      </c>
      <c r="C2375" t="s">
        <v>360</v>
      </c>
      <c r="D2375" t="s">
        <v>1175</v>
      </c>
      <c r="E2375" t="s">
        <v>1379</v>
      </c>
      <c r="F2375" s="134">
        <v>0.60996527777777776</v>
      </c>
      <c r="G2375" t="s">
        <v>1371</v>
      </c>
      <c r="H2375" t="s">
        <v>1372</v>
      </c>
    </row>
    <row r="2376" spans="1:8">
      <c r="A2376">
        <v>21318186</v>
      </c>
      <c r="B2376" t="s">
        <v>1176</v>
      </c>
      <c r="C2376" t="s">
        <v>360</v>
      </c>
      <c r="D2376" t="s">
        <v>1175</v>
      </c>
      <c r="E2376" t="s">
        <v>1379</v>
      </c>
      <c r="F2376" s="134">
        <v>0.94680555555555557</v>
      </c>
      <c r="G2376" t="s">
        <v>1373</v>
      </c>
      <c r="H2376" t="s">
        <v>1374</v>
      </c>
    </row>
    <row r="2377" spans="1:8">
      <c r="A2377">
        <v>21516766</v>
      </c>
      <c r="B2377" t="s">
        <v>368</v>
      </c>
      <c r="C2377" t="s">
        <v>1074</v>
      </c>
      <c r="D2377" t="s">
        <v>1075</v>
      </c>
      <c r="E2377" t="s">
        <v>1375</v>
      </c>
      <c r="F2377" s="134">
        <v>0.91829861111111111</v>
      </c>
      <c r="G2377" t="s">
        <v>1371</v>
      </c>
      <c r="H2377" t="s">
        <v>1372</v>
      </c>
    </row>
    <row r="2378" spans="1:8">
      <c r="A2378">
        <v>21516766</v>
      </c>
      <c r="B2378" t="s">
        <v>368</v>
      </c>
      <c r="C2378" t="s">
        <v>1074</v>
      </c>
      <c r="D2378" t="s">
        <v>1075</v>
      </c>
      <c r="E2378" t="s">
        <v>1376</v>
      </c>
      <c r="F2378" s="134">
        <v>0.32461805555555556</v>
      </c>
      <c r="G2378" t="s">
        <v>1373</v>
      </c>
      <c r="H2378" t="s">
        <v>1374</v>
      </c>
    </row>
    <row r="2379" spans="1:8">
      <c r="A2379">
        <v>21516766</v>
      </c>
      <c r="B2379" t="s">
        <v>368</v>
      </c>
      <c r="C2379" t="s">
        <v>1074</v>
      </c>
      <c r="D2379" t="s">
        <v>1075</v>
      </c>
      <c r="E2379" t="s">
        <v>1376</v>
      </c>
      <c r="F2379" s="134">
        <v>0.92708333333333337</v>
      </c>
      <c r="G2379" t="s">
        <v>1371</v>
      </c>
      <c r="H2379" t="s">
        <v>1372</v>
      </c>
    </row>
    <row r="2380" spans="1:8">
      <c r="A2380">
        <v>21516766</v>
      </c>
      <c r="B2380" t="s">
        <v>368</v>
      </c>
      <c r="C2380" t="s">
        <v>1074</v>
      </c>
      <c r="D2380" t="s">
        <v>1075</v>
      </c>
      <c r="E2380" t="s">
        <v>1377</v>
      </c>
      <c r="F2380" s="134">
        <v>0.35715277777777782</v>
      </c>
      <c r="G2380" t="s">
        <v>1373</v>
      </c>
      <c r="H2380" t="s">
        <v>1374</v>
      </c>
    </row>
    <row r="2381" spans="1:8">
      <c r="A2381">
        <v>21516766</v>
      </c>
      <c r="B2381" t="s">
        <v>368</v>
      </c>
      <c r="C2381" t="s">
        <v>1074</v>
      </c>
      <c r="D2381" t="s">
        <v>1075</v>
      </c>
      <c r="E2381" t="s">
        <v>1377</v>
      </c>
      <c r="F2381" s="134">
        <v>0.9190625</v>
      </c>
      <c r="G2381" t="s">
        <v>1371</v>
      </c>
      <c r="H2381" t="s">
        <v>1372</v>
      </c>
    </row>
    <row r="2382" spans="1:8">
      <c r="A2382">
        <v>21516766</v>
      </c>
      <c r="B2382" t="s">
        <v>368</v>
      </c>
      <c r="C2382" t="s">
        <v>1074</v>
      </c>
      <c r="D2382" t="s">
        <v>1075</v>
      </c>
      <c r="E2382" t="s">
        <v>1378</v>
      </c>
      <c r="F2382" s="134">
        <v>0.32760416666666664</v>
      </c>
      <c r="G2382" t="s">
        <v>1373</v>
      </c>
      <c r="H2382" t="s">
        <v>1374</v>
      </c>
    </row>
    <row r="2383" spans="1:8">
      <c r="A2383">
        <v>21516766</v>
      </c>
      <c r="B2383" t="s">
        <v>368</v>
      </c>
      <c r="C2383" t="s">
        <v>1074</v>
      </c>
      <c r="D2383" t="s">
        <v>1075</v>
      </c>
      <c r="E2383" t="s">
        <v>1378</v>
      </c>
      <c r="F2383" s="134">
        <v>0.9191435185185185</v>
      </c>
      <c r="G2383" t="s">
        <v>1371</v>
      </c>
      <c r="H2383" t="s">
        <v>1372</v>
      </c>
    </row>
    <row r="2384" spans="1:8">
      <c r="A2384">
        <v>21516766</v>
      </c>
      <c r="B2384" t="s">
        <v>368</v>
      </c>
      <c r="C2384" t="s">
        <v>1074</v>
      </c>
      <c r="D2384" t="s">
        <v>1075</v>
      </c>
      <c r="E2384" t="s">
        <v>1379</v>
      </c>
      <c r="F2384" s="134">
        <v>0.32890046296296299</v>
      </c>
      <c r="G2384" t="s">
        <v>1371</v>
      </c>
      <c r="H2384" t="s">
        <v>1372</v>
      </c>
    </row>
    <row r="2385" spans="1:8">
      <c r="A2385">
        <v>22637242</v>
      </c>
      <c r="B2385" t="s">
        <v>97</v>
      </c>
      <c r="C2385" t="s">
        <v>95</v>
      </c>
      <c r="D2385" t="s">
        <v>1393</v>
      </c>
      <c r="E2385" t="s">
        <v>1370</v>
      </c>
      <c r="F2385" s="134">
        <v>0.34131944444444445</v>
      </c>
      <c r="G2385" t="s">
        <v>1371</v>
      </c>
      <c r="H2385" t="s">
        <v>1372</v>
      </c>
    </row>
    <row r="2386" spans="1:8">
      <c r="A2386">
        <v>22637242</v>
      </c>
      <c r="B2386" t="s">
        <v>97</v>
      </c>
      <c r="C2386" t="s">
        <v>95</v>
      </c>
      <c r="D2386" t="s">
        <v>1393</v>
      </c>
      <c r="E2386" t="s">
        <v>1370</v>
      </c>
      <c r="F2386" s="134">
        <v>0.74471064814814814</v>
      </c>
      <c r="G2386" t="s">
        <v>1373</v>
      </c>
      <c r="H2386" t="s">
        <v>1374</v>
      </c>
    </row>
    <row r="2387" spans="1:8">
      <c r="A2387">
        <v>22637242</v>
      </c>
      <c r="B2387" t="s">
        <v>97</v>
      </c>
      <c r="C2387" t="s">
        <v>95</v>
      </c>
      <c r="D2387" t="s">
        <v>1393</v>
      </c>
      <c r="E2387" t="s">
        <v>1375</v>
      </c>
      <c r="F2387" s="134">
        <v>0.34104166666666669</v>
      </c>
      <c r="G2387" t="s">
        <v>1371</v>
      </c>
      <c r="H2387" t="s">
        <v>1372</v>
      </c>
    </row>
    <row r="2388" spans="1:8">
      <c r="A2388">
        <v>22637242</v>
      </c>
      <c r="B2388" t="s">
        <v>97</v>
      </c>
      <c r="C2388" t="s">
        <v>95</v>
      </c>
      <c r="D2388" t="s">
        <v>1393</v>
      </c>
      <c r="E2388" t="s">
        <v>1375</v>
      </c>
      <c r="F2388" s="134">
        <v>0.66805555555555562</v>
      </c>
      <c r="G2388" t="s">
        <v>1373</v>
      </c>
      <c r="H2388" t="s">
        <v>1374</v>
      </c>
    </row>
    <row r="2389" spans="1:8">
      <c r="A2389">
        <v>22637242</v>
      </c>
      <c r="B2389" t="s">
        <v>97</v>
      </c>
      <c r="C2389" t="s">
        <v>95</v>
      </c>
      <c r="D2389" t="s">
        <v>1393</v>
      </c>
      <c r="E2389" t="s">
        <v>1376</v>
      </c>
      <c r="F2389" s="134">
        <v>0.34325231481481483</v>
      </c>
      <c r="G2389" t="s">
        <v>1371</v>
      </c>
      <c r="H2389" t="s">
        <v>1372</v>
      </c>
    </row>
    <row r="2390" spans="1:8">
      <c r="A2390">
        <v>22637242</v>
      </c>
      <c r="B2390" t="s">
        <v>97</v>
      </c>
      <c r="C2390" t="s">
        <v>95</v>
      </c>
      <c r="D2390" t="s">
        <v>1393</v>
      </c>
      <c r="E2390" t="s">
        <v>1376</v>
      </c>
      <c r="F2390" s="134">
        <v>0.80271990740740751</v>
      </c>
      <c r="G2390" t="s">
        <v>1373</v>
      </c>
      <c r="H2390" t="s">
        <v>1374</v>
      </c>
    </row>
    <row r="2391" spans="1:8">
      <c r="A2391">
        <v>22637242</v>
      </c>
      <c r="B2391" t="s">
        <v>97</v>
      </c>
      <c r="C2391" t="s">
        <v>95</v>
      </c>
      <c r="D2391" t="s">
        <v>1393</v>
      </c>
      <c r="E2391" t="s">
        <v>1377</v>
      </c>
      <c r="F2391" s="134">
        <v>0.34077546296296296</v>
      </c>
      <c r="G2391" t="s">
        <v>1371</v>
      </c>
      <c r="H2391" t="s">
        <v>1372</v>
      </c>
    </row>
    <row r="2392" spans="1:8">
      <c r="A2392">
        <v>22637242</v>
      </c>
      <c r="B2392" t="s">
        <v>97</v>
      </c>
      <c r="C2392" t="s">
        <v>95</v>
      </c>
      <c r="D2392" t="s">
        <v>1393</v>
      </c>
      <c r="E2392" t="s">
        <v>1377</v>
      </c>
      <c r="F2392" s="134">
        <v>0.76946759259259256</v>
      </c>
      <c r="G2392" t="s">
        <v>1371</v>
      </c>
      <c r="H2392" t="s">
        <v>1372</v>
      </c>
    </row>
    <row r="2393" spans="1:8">
      <c r="A2393">
        <v>22637242</v>
      </c>
      <c r="B2393" t="s">
        <v>97</v>
      </c>
      <c r="C2393" t="s">
        <v>95</v>
      </c>
      <c r="D2393" t="s">
        <v>1393</v>
      </c>
      <c r="E2393" t="s">
        <v>1378</v>
      </c>
      <c r="F2393" s="134">
        <v>0.3420023148148148</v>
      </c>
      <c r="G2393" t="s">
        <v>1371</v>
      </c>
      <c r="H2393" t="s">
        <v>1372</v>
      </c>
    </row>
    <row r="2394" spans="1:8">
      <c r="A2394">
        <v>22637242</v>
      </c>
      <c r="B2394" t="s">
        <v>97</v>
      </c>
      <c r="C2394" t="s">
        <v>95</v>
      </c>
      <c r="D2394" t="s">
        <v>1393</v>
      </c>
      <c r="E2394" t="s">
        <v>1378</v>
      </c>
      <c r="F2394" s="134">
        <v>0.73670138888888881</v>
      </c>
      <c r="G2394" t="s">
        <v>1373</v>
      </c>
      <c r="H2394" t="s">
        <v>1374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8"/>
  <dimension ref="A1:O4066"/>
  <sheetViews>
    <sheetView topLeftCell="I1" workbookViewId="0">
      <selection activeCell="R28" sqref="R28"/>
    </sheetView>
  </sheetViews>
  <sheetFormatPr baseColWidth="10" defaultRowHeight="12.75"/>
  <cols>
    <col min="1" max="1" width="11.42578125" hidden="1" customWidth="1"/>
    <col min="2" max="2" width="25.140625" hidden="1" customWidth="1"/>
    <col min="3" max="3" width="11.140625" hidden="1" customWidth="1"/>
    <col min="4" max="4" width="7" hidden="1" customWidth="1"/>
    <col min="5" max="5" width="11.42578125" style="138" hidden="1" customWidth="1"/>
    <col min="6" max="6" width="13" style="138" hidden="1" customWidth="1"/>
    <col min="7" max="8" width="11.42578125" hidden="1" customWidth="1"/>
    <col min="10" max="10" width="16.28515625" customWidth="1"/>
    <col min="11" max="11" width="20" customWidth="1"/>
    <col min="12" max="12" width="12.5703125" customWidth="1"/>
    <col min="13" max="13" width="11.140625" customWidth="1"/>
  </cols>
  <sheetData>
    <row r="1" spans="1:15">
      <c r="D1" t="s">
        <v>40</v>
      </c>
      <c r="E1" s="137" t="s">
        <v>1394</v>
      </c>
      <c r="F1" s="137" t="s">
        <v>1395</v>
      </c>
    </row>
    <row r="2" spans="1:15">
      <c r="A2" t="s">
        <v>1372</v>
      </c>
      <c r="D2" s="112" t="s">
        <v>29</v>
      </c>
      <c r="E2" s="137">
        <v>0.3125</v>
      </c>
      <c r="F2" s="137">
        <v>0.625</v>
      </c>
    </row>
    <row r="3" spans="1:15">
      <c r="A3" t="s">
        <v>1374</v>
      </c>
      <c r="D3" s="112" t="s">
        <v>1355</v>
      </c>
      <c r="E3" s="137">
        <v>0.625</v>
      </c>
      <c r="F3" s="137">
        <v>0.9375</v>
      </c>
    </row>
    <row r="4" spans="1:15">
      <c r="D4" s="112" t="s">
        <v>1357</v>
      </c>
      <c r="E4" s="137">
        <v>0.9375</v>
      </c>
      <c r="F4" s="137">
        <v>0.3125</v>
      </c>
    </row>
    <row r="7" spans="1:15">
      <c r="A7" t="s">
        <v>1351</v>
      </c>
      <c r="B7" t="s">
        <v>1361</v>
      </c>
      <c r="C7" t="s">
        <v>1396</v>
      </c>
      <c r="D7" t="s">
        <v>14</v>
      </c>
      <c r="E7" s="138" t="s">
        <v>1397</v>
      </c>
      <c r="F7" s="138" t="s">
        <v>1374</v>
      </c>
      <c r="G7" t="s">
        <v>1398</v>
      </c>
    </row>
    <row r="8" spans="1:15">
      <c r="A8" s="112" t="str">
        <f>VLOOKUP('Informe Kelly'!A2,Base!A:B,2,FALSE)</f>
        <v>04.776.546-3</v>
      </c>
      <c r="B8" s="112" t="str">
        <f>VLOOKUP('Informe Kelly'!A2,Base!A:G,7,FALSE)</f>
        <v>OLEKSIUK SEKOWSKA EUGENIO</v>
      </c>
      <c r="C8" s="112" t="str">
        <f>'Informe Kelly'!E2</f>
        <v>04.04.2011</v>
      </c>
      <c r="D8" s="112" t="str">
        <f>VLOOKUP(A8,Ingreso!K:P,6,FALSE)</f>
        <v>Turno B</v>
      </c>
      <c r="E8" s="142">
        <f>(VLOOKUP(D8,$D$2:$E$4,2,FALSE))-(IF('Informe Kelly'!H2=$A$2,'Informe Kelly'!F2,VLOOKUP(D8,$D$2:$E$4,2,FALSE)))</f>
        <v>1.9745370370370385E-2</v>
      </c>
      <c r="F8" s="142">
        <f>IF('Informe Kelly'!H2=$A$3,'Informe Kelly'!F2,VLOOKUP(D8,$D$2:$F$4,3,FALSE))-(VLOOKUP(D8,$D$2:$F$4,3,FALSE))</f>
        <v>0</v>
      </c>
      <c r="G8" s="137">
        <f>IF(E8="",IF(F8&lt;0.0409722222222222,0,E8),IF(E8&lt;0.0409722222222222,0,E8))</f>
        <v>0</v>
      </c>
      <c r="J8" s="141" t="s">
        <v>1399</v>
      </c>
      <c r="K8" t="s">
        <v>1400</v>
      </c>
      <c r="L8" t="s">
        <v>1401</v>
      </c>
    </row>
    <row r="9" spans="1:15">
      <c r="A9" s="112" t="str">
        <f>VLOOKUP('Informe Kelly'!A3,Base!A:B,2,FALSE)</f>
        <v>04.776.546-3</v>
      </c>
      <c r="B9" s="112" t="str">
        <f>VLOOKUP('Informe Kelly'!A3,Base!A:G,7,FALSE)</f>
        <v>OLEKSIUK SEKOWSKA EUGENIO</v>
      </c>
      <c r="C9" s="112" t="str">
        <f>'Informe Kelly'!E3</f>
        <v>04.04.2011</v>
      </c>
      <c r="D9" s="112" t="str">
        <f>VLOOKUP(A9,Ingreso!K:P,6,FALSE)</f>
        <v>Turno B</v>
      </c>
      <c r="E9" s="142">
        <f>(VLOOKUP(D9,$D$2:$E$4,2,FALSE))-(IF('Informe Kelly'!H3=$A$2,'Informe Kelly'!F3,VLOOKUP(D9,$D$2:$E$4,2,FALSE)))</f>
        <v>0</v>
      </c>
      <c r="F9" s="142">
        <f>IF('Informe Kelly'!H3=$A$3,'Informe Kelly'!F3,VLOOKUP(D9,$D$2:$F$4,3,FALSE))-(VLOOKUP(D9,$D$2:$F$4,3,FALSE))</f>
        <v>8.5532407407407085E-3</v>
      </c>
      <c r="G9" s="137">
        <f t="shared" ref="G9:G72" si="0">IF(E9="",IF(F9&lt;0.0409722222222222,0,E9),IF(E9&lt;0.0409722222222222,0,E9))</f>
        <v>0</v>
      </c>
      <c r="J9" s="139" t="s">
        <v>740</v>
      </c>
      <c r="K9" s="140">
        <v>0</v>
      </c>
      <c r="L9" s="112">
        <f>IF(J9="","",VLOOKUP(J9,Ingreso!K:AH,24,FALSE))</f>
        <v>5</v>
      </c>
      <c r="M9" s="112" t="str">
        <f>IF(J9="","",IF(K9&lt;&gt;L9,"Revisar","OK"))</f>
        <v>Revisar</v>
      </c>
    </row>
    <row r="10" spans="1:15">
      <c r="A10" s="112" t="str">
        <f>VLOOKUP('Informe Kelly'!A4,Base!A:B,2,FALSE)</f>
        <v>04.776.546-3</v>
      </c>
      <c r="B10" s="112" t="str">
        <f>VLOOKUP('Informe Kelly'!A4,Base!A:G,7,FALSE)</f>
        <v>OLEKSIUK SEKOWSKA EUGENIO</v>
      </c>
      <c r="C10" s="112" t="str">
        <f>'Informe Kelly'!E4</f>
        <v>05.04.2011</v>
      </c>
      <c r="D10" s="112" t="str">
        <f>VLOOKUP(A10,Ingreso!K:P,6,FALSE)</f>
        <v>Turno B</v>
      </c>
      <c r="E10" s="142">
        <f>(VLOOKUP(D10,$D$2:$E$4,2,FALSE))-(IF('Informe Kelly'!H4=$A$2,'Informe Kelly'!F4,VLOOKUP(D10,$D$2:$E$4,2,FALSE)))</f>
        <v>1.8761574074074083E-2</v>
      </c>
      <c r="F10" s="142">
        <f>IF('Informe Kelly'!H4=$A$3,'Informe Kelly'!F4,VLOOKUP(D10,$D$2:$F$4,3,FALSE))-(VLOOKUP(D10,$D$2:$F$4,3,FALSE))</f>
        <v>0</v>
      </c>
      <c r="G10" s="137">
        <f t="shared" si="0"/>
        <v>0</v>
      </c>
      <c r="J10" s="139" t="s">
        <v>405</v>
      </c>
      <c r="K10" s="140" t="e">
        <v>#N/A</v>
      </c>
      <c r="L10" s="112" t="e">
        <f>IF(J10="","",VLOOKUP(J10,Ingreso!K:AH,24,FALSE))</f>
        <v>#N/A</v>
      </c>
      <c r="M10" s="112" t="e">
        <f t="shared" ref="M10:M73" si="1">IF(J10="","",IF(K10&lt;&gt;L10,"Revisar","OK"))</f>
        <v>#N/A</v>
      </c>
    </row>
    <row r="11" spans="1:15">
      <c r="A11" s="112" t="str">
        <f>VLOOKUP('Informe Kelly'!A5,Base!A:B,2,FALSE)</f>
        <v>04.776.546-3</v>
      </c>
      <c r="B11" s="112" t="str">
        <f>VLOOKUP('Informe Kelly'!A5,Base!A:G,7,FALSE)</f>
        <v>OLEKSIUK SEKOWSKA EUGENIO</v>
      </c>
      <c r="C11" s="112" t="str">
        <f>'Informe Kelly'!E5</f>
        <v>05.04.2011</v>
      </c>
      <c r="D11" s="112" t="str">
        <f>VLOOKUP(A11,Ingreso!K:P,6,FALSE)</f>
        <v>Turno B</v>
      </c>
      <c r="E11" s="142">
        <f>(VLOOKUP(D11,$D$2:$E$4,2,FALSE))-(IF('Informe Kelly'!H5=$A$2,'Informe Kelly'!F5,VLOOKUP(D11,$D$2:$E$4,2,FALSE)))</f>
        <v>0</v>
      </c>
      <c r="F11" s="142">
        <f>IF('Informe Kelly'!H5=$A$3,'Informe Kelly'!F5,VLOOKUP(D11,$D$2:$F$4,3,FALSE))-(VLOOKUP(D11,$D$2:$F$4,3,FALSE))</f>
        <v>1.1446759259259309E-2</v>
      </c>
      <c r="G11" s="137">
        <f t="shared" si="0"/>
        <v>0</v>
      </c>
      <c r="J11" s="139" t="s">
        <v>366</v>
      </c>
      <c r="K11" s="140" t="e">
        <v>#N/A</v>
      </c>
      <c r="L11" s="112" t="e">
        <f>IF(J11="","",VLOOKUP(J11,Ingreso!K:AH,24,FALSE))</f>
        <v>#N/A</v>
      </c>
      <c r="M11" s="112" t="e">
        <f t="shared" si="1"/>
        <v>#N/A</v>
      </c>
    </row>
    <row r="12" spans="1:15">
      <c r="A12" s="112" t="str">
        <f>VLOOKUP('Informe Kelly'!A6,Base!A:B,2,FALSE)</f>
        <v>04.776.546-3</v>
      </c>
      <c r="B12" s="112" t="str">
        <f>VLOOKUP('Informe Kelly'!A6,Base!A:G,7,FALSE)</f>
        <v>OLEKSIUK SEKOWSKA EUGENIO</v>
      </c>
      <c r="C12" s="112" t="str">
        <f>'Informe Kelly'!E6</f>
        <v>06.04.2011</v>
      </c>
      <c r="D12" s="112" t="str">
        <f>VLOOKUP(A12,Ingreso!K:P,6,FALSE)</f>
        <v>Turno B</v>
      </c>
      <c r="E12" s="142">
        <f>(VLOOKUP(D12,$D$2:$E$4,2,FALSE))-(IF('Informe Kelly'!H6=$A$2,'Informe Kelly'!F6,VLOOKUP(D12,$D$2:$E$4,2,FALSE)))</f>
        <v>0</v>
      </c>
      <c r="F12" s="142">
        <f>IF('Informe Kelly'!H6=$A$3,'Informe Kelly'!F6,VLOOKUP(D12,$D$2:$F$4,3,FALSE))-(VLOOKUP(D12,$D$2:$F$4,3,FALSE))</f>
        <v>9.4791666666665941E-3</v>
      </c>
      <c r="G12" s="137">
        <f t="shared" si="0"/>
        <v>0</v>
      </c>
      <c r="J12" s="139" t="s">
        <v>415</v>
      </c>
      <c r="K12" s="140" t="e">
        <v>#N/A</v>
      </c>
      <c r="L12" s="112" t="e">
        <f>IF(J12="","",VLOOKUP(J12,Ingreso!K:AH,24,FALSE))</f>
        <v>#N/A</v>
      </c>
      <c r="M12" s="112" t="e">
        <f t="shared" si="1"/>
        <v>#N/A</v>
      </c>
    </row>
    <row r="13" spans="1:15">
      <c r="A13" s="112" t="str">
        <f>VLOOKUP('Informe Kelly'!A7,Base!A:B,2,FALSE)</f>
        <v>04.776.546-3</v>
      </c>
      <c r="B13" s="112" t="str">
        <f>VLOOKUP('Informe Kelly'!A7,Base!A:G,7,FALSE)</f>
        <v>OLEKSIUK SEKOWSKA EUGENIO</v>
      </c>
      <c r="C13" s="112" t="str">
        <f>'Informe Kelly'!E7</f>
        <v>06.04.2011</v>
      </c>
      <c r="D13" s="112" t="str">
        <f>VLOOKUP(A13,Ingreso!K:P,6,FALSE)</f>
        <v>Turno B</v>
      </c>
      <c r="E13" s="142">
        <f>(VLOOKUP(D13,$D$2:$E$4,2,FALSE))-(IF('Informe Kelly'!H7=$A$2,'Informe Kelly'!F7,VLOOKUP(D13,$D$2:$E$4,2,FALSE)))</f>
        <v>1.8379629629629579E-2</v>
      </c>
      <c r="F13" s="142">
        <f>IF('Informe Kelly'!H7=$A$3,'Informe Kelly'!F7,VLOOKUP(D13,$D$2:$F$4,3,FALSE))-(VLOOKUP(D13,$D$2:$F$4,3,FALSE))</f>
        <v>0</v>
      </c>
      <c r="G13" s="137">
        <f t="shared" si="0"/>
        <v>0</v>
      </c>
      <c r="J13" s="139" t="s">
        <v>436</v>
      </c>
      <c r="K13" s="140" t="e">
        <v>#N/A</v>
      </c>
      <c r="L13" s="112" t="e">
        <f>IF(J13="","",VLOOKUP(J13,Ingreso!K:AH,24,FALSE))</f>
        <v>#N/A</v>
      </c>
      <c r="M13" s="112" t="e">
        <f t="shared" si="1"/>
        <v>#N/A</v>
      </c>
    </row>
    <row r="14" spans="1:15">
      <c r="A14" s="112" t="str">
        <f>VLOOKUP('Informe Kelly'!A8,Base!A:B,2,FALSE)</f>
        <v>04.776.546-3</v>
      </c>
      <c r="B14" s="112" t="str">
        <f>VLOOKUP('Informe Kelly'!A8,Base!A:G,7,FALSE)</f>
        <v>OLEKSIUK SEKOWSKA EUGENIO</v>
      </c>
      <c r="C14" s="112" t="str">
        <f>'Informe Kelly'!E8</f>
        <v>07.04.2011</v>
      </c>
      <c r="D14" s="112" t="str">
        <f>VLOOKUP(A14,Ingreso!K:P,6,FALSE)</f>
        <v>Turno B</v>
      </c>
      <c r="E14" s="142">
        <f>(VLOOKUP(D14,$D$2:$E$4,2,FALSE))-(IF('Informe Kelly'!H8=$A$2,'Informe Kelly'!F8,VLOOKUP(D14,$D$2:$E$4,2,FALSE)))</f>
        <v>1.9525462962962981E-2</v>
      </c>
      <c r="F14" s="142">
        <f>IF('Informe Kelly'!H8=$A$3,'Informe Kelly'!F8,VLOOKUP(D14,$D$2:$F$4,3,FALSE))-(VLOOKUP(D14,$D$2:$F$4,3,FALSE))</f>
        <v>0</v>
      </c>
      <c r="G14" s="137">
        <f t="shared" si="0"/>
        <v>0</v>
      </c>
      <c r="J14" s="139" t="s">
        <v>1319</v>
      </c>
      <c r="K14" s="140" t="e">
        <v>#N/A</v>
      </c>
      <c r="L14" s="112" t="e">
        <f>IF(J14="","",VLOOKUP(J14,Ingreso!K:AH,24,FALSE))</f>
        <v>#N/A</v>
      </c>
      <c r="M14" s="112" t="e">
        <f t="shared" si="1"/>
        <v>#N/A</v>
      </c>
    </row>
    <row r="15" spans="1:15">
      <c r="A15" s="112" t="str">
        <f>VLOOKUP('Informe Kelly'!A9,Base!A:B,2,FALSE)</f>
        <v>04.776.546-3</v>
      </c>
      <c r="B15" s="112" t="str">
        <f>VLOOKUP('Informe Kelly'!A9,Base!A:G,7,FALSE)</f>
        <v>OLEKSIUK SEKOWSKA EUGENIO</v>
      </c>
      <c r="C15" s="112" t="str">
        <f>'Informe Kelly'!E9</f>
        <v>07.04.2011</v>
      </c>
      <c r="D15" s="112" t="str">
        <f>VLOOKUP(A15,Ingreso!K:P,6,FALSE)</f>
        <v>Turno B</v>
      </c>
      <c r="E15" s="142">
        <f>(VLOOKUP(D15,$D$2:$E$4,2,FALSE))-(IF('Informe Kelly'!H9=$A$2,'Informe Kelly'!F9,VLOOKUP(D15,$D$2:$E$4,2,FALSE)))</f>
        <v>0</v>
      </c>
      <c r="F15" s="142">
        <f>IF('Informe Kelly'!H9=$A$3,'Informe Kelly'!F9,VLOOKUP(D15,$D$2:$F$4,3,FALSE))-(VLOOKUP(D15,$D$2:$F$4,3,FALSE))</f>
        <v>1.0925925925925895E-2</v>
      </c>
      <c r="G15" s="137">
        <f t="shared" si="0"/>
        <v>0</v>
      </c>
      <c r="J15" s="139" t="s">
        <v>498</v>
      </c>
      <c r="K15" s="140" t="e">
        <v>#N/A</v>
      </c>
      <c r="L15" s="112" t="e">
        <f>IF(J15="","",VLOOKUP(J15,Ingreso!K:AH,24,FALSE))</f>
        <v>#N/A</v>
      </c>
      <c r="M15" s="112" t="e">
        <f t="shared" si="1"/>
        <v>#N/A</v>
      </c>
      <c r="O15" t="s">
        <v>1402</v>
      </c>
    </row>
    <row r="16" spans="1:15">
      <c r="A16" s="112" t="str">
        <f>VLOOKUP('Informe Kelly'!A10,Base!A:B,2,FALSE)</f>
        <v>04.776.546-3</v>
      </c>
      <c r="B16" s="112" t="str">
        <f>VLOOKUP('Informe Kelly'!A10,Base!A:G,7,FALSE)</f>
        <v>OLEKSIUK SEKOWSKA EUGENIO</v>
      </c>
      <c r="C16" s="112" t="str">
        <f>'Informe Kelly'!E10</f>
        <v>08.04.2011</v>
      </c>
      <c r="D16" s="112" t="str">
        <f>VLOOKUP(A16,Ingreso!K:P,6,FALSE)</f>
        <v>Turno B</v>
      </c>
      <c r="E16" s="142">
        <f>(VLOOKUP(D16,$D$2:$E$4,2,FALSE))-(IF('Informe Kelly'!H10=$A$2,'Informe Kelly'!F10,VLOOKUP(D16,$D$2:$E$4,2,FALSE)))</f>
        <v>1.8310185185185124E-2</v>
      </c>
      <c r="F16" s="142">
        <f>IF('Informe Kelly'!H10=$A$3,'Informe Kelly'!F10,VLOOKUP(D16,$D$2:$F$4,3,FALSE))-(VLOOKUP(D16,$D$2:$F$4,3,FALSE))</f>
        <v>0</v>
      </c>
      <c r="G16" s="137">
        <f t="shared" si="0"/>
        <v>0</v>
      </c>
      <c r="J16" s="139" t="s">
        <v>410</v>
      </c>
      <c r="K16" s="140" t="e">
        <v>#N/A</v>
      </c>
      <c r="L16" s="112" t="e">
        <f>IF(J16="","",VLOOKUP(J16,Ingreso!K:AH,24,FALSE))</f>
        <v>#N/A</v>
      </c>
      <c r="M16" s="112" t="e">
        <f t="shared" si="1"/>
        <v>#N/A</v>
      </c>
    </row>
    <row r="17" spans="1:13">
      <c r="A17" s="112" t="str">
        <f>VLOOKUP('Informe Kelly'!A11,Base!A:B,2,FALSE)</f>
        <v>04.776.546-3</v>
      </c>
      <c r="B17" s="112" t="str">
        <f>VLOOKUP('Informe Kelly'!A11,Base!A:G,7,FALSE)</f>
        <v>OLEKSIUK SEKOWSKA EUGENIO</v>
      </c>
      <c r="C17" s="112" t="str">
        <f>'Informe Kelly'!E11</f>
        <v>08.04.2011</v>
      </c>
      <c r="D17" s="112" t="str">
        <f>VLOOKUP(A17,Ingreso!K:P,6,FALSE)</f>
        <v>Turno B</v>
      </c>
      <c r="E17" s="142">
        <f>(VLOOKUP(D17,$D$2:$E$4,2,FALSE))-(IF('Informe Kelly'!H11=$A$2,'Informe Kelly'!F11,VLOOKUP(D17,$D$2:$E$4,2,FALSE)))</f>
        <v>0</v>
      </c>
      <c r="F17" s="142">
        <f>IF('Informe Kelly'!H11=$A$3,'Informe Kelly'!F11,VLOOKUP(D17,$D$2:$F$4,3,FALSE))-(VLOOKUP(D17,$D$2:$F$4,3,FALSE))</f>
        <v>9.8263888888888706E-3</v>
      </c>
      <c r="G17" s="137">
        <f t="shared" si="0"/>
        <v>0</v>
      </c>
      <c r="J17" s="139" t="s">
        <v>839</v>
      </c>
      <c r="K17" s="140" t="e">
        <v>#N/A</v>
      </c>
      <c r="L17" s="112" t="e">
        <f>IF(J17="","",VLOOKUP(J17,Ingreso!K:AH,24,FALSE))</f>
        <v>#N/A</v>
      </c>
      <c r="M17" s="112" t="e">
        <f t="shared" si="1"/>
        <v>#N/A</v>
      </c>
    </row>
    <row r="18" spans="1:13">
      <c r="A18" s="112" t="str">
        <f>VLOOKUP('Informe Kelly'!A12,Base!A:B,2,FALSE)</f>
        <v>04.776.546-3</v>
      </c>
      <c r="B18" s="112" t="str">
        <f>VLOOKUP('Informe Kelly'!A12,Base!A:G,7,FALSE)</f>
        <v>OLEKSIUK SEKOWSKA EUGENIO</v>
      </c>
      <c r="C18" s="112" t="str">
        <f>'Informe Kelly'!E12</f>
        <v>09.04.2011</v>
      </c>
      <c r="D18" s="112" t="str">
        <f>VLOOKUP(A18,Ingreso!K:P,6,FALSE)</f>
        <v>Turno B</v>
      </c>
      <c r="E18" s="142">
        <f>(VLOOKUP(D18,$D$2:$E$4,2,FALSE))-(IF('Informe Kelly'!H12=$A$2,'Informe Kelly'!F12,VLOOKUP(D18,$D$2:$E$4,2,FALSE)))</f>
        <v>1.1157407407407338E-2</v>
      </c>
      <c r="F18" s="142">
        <f>IF('Informe Kelly'!H12=$A$3,'Informe Kelly'!F12,VLOOKUP(D18,$D$2:$F$4,3,FALSE))-(VLOOKUP(D18,$D$2:$F$4,3,FALSE))</f>
        <v>0</v>
      </c>
      <c r="G18" s="137">
        <f t="shared" si="0"/>
        <v>0</v>
      </c>
      <c r="J18" s="139" t="s">
        <v>322</v>
      </c>
      <c r="K18" s="140" t="e">
        <v>#N/A</v>
      </c>
      <c r="L18" s="112" t="e">
        <f>IF(J18="","",VLOOKUP(J18,Ingreso!K:AH,24,FALSE))</f>
        <v>#N/A</v>
      </c>
      <c r="M18" s="112" t="e">
        <f t="shared" si="1"/>
        <v>#N/A</v>
      </c>
    </row>
    <row r="19" spans="1:13">
      <c r="A19" s="112" t="str">
        <f>VLOOKUP('Informe Kelly'!A13,Base!A:B,2,FALSE)</f>
        <v>04.776.546-3</v>
      </c>
      <c r="B19" s="112" t="str">
        <f>VLOOKUP('Informe Kelly'!A13,Base!A:G,7,FALSE)</f>
        <v>OLEKSIUK SEKOWSKA EUGENIO</v>
      </c>
      <c r="C19" s="112" t="str">
        <f>'Informe Kelly'!E13</f>
        <v>09.04.2011</v>
      </c>
      <c r="D19" s="112" t="str">
        <f>VLOOKUP(A19,Ingreso!K:P,6,FALSE)</f>
        <v>Turno B</v>
      </c>
      <c r="E19" s="142">
        <f>(VLOOKUP(D19,$D$2:$E$4,2,FALSE))-(IF('Informe Kelly'!H13=$A$2,'Informe Kelly'!F13,VLOOKUP(D19,$D$2:$E$4,2,FALSE)))</f>
        <v>0</v>
      </c>
      <c r="F19" s="142">
        <f>IF('Informe Kelly'!H13=$A$3,'Informe Kelly'!F13,VLOOKUP(D19,$D$2:$F$4,3,FALSE))-(VLOOKUP(D19,$D$2:$F$4,3,FALSE))</f>
        <v>3.2754629629629939E-3</v>
      </c>
      <c r="G19" s="137">
        <f t="shared" si="0"/>
        <v>0</v>
      </c>
      <c r="J19" s="139" t="s">
        <v>421</v>
      </c>
      <c r="K19" s="140" t="e">
        <v>#N/A</v>
      </c>
      <c r="L19" s="112" t="e">
        <f>IF(J19="","",VLOOKUP(J19,Ingreso!K:AH,24,FALSE))</f>
        <v>#N/A</v>
      </c>
      <c r="M19" s="112" t="e">
        <f t="shared" si="1"/>
        <v>#N/A</v>
      </c>
    </row>
    <row r="20" spans="1:13">
      <c r="A20" s="112" t="str">
        <f>VLOOKUP('Informe Kelly'!A14,Base!A:B,2,FALSE)</f>
        <v>05.080.993-5</v>
      </c>
      <c r="B20" s="112" t="str">
        <f>VLOOKUP('Informe Kelly'!A14,Base!A:G,7,FALSE)</f>
        <v>FIGUEROA NILO CARLOS</v>
      </c>
      <c r="C20" s="112" t="str">
        <f>'Informe Kelly'!E14</f>
        <v>04.04.2011</v>
      </c>
      <c r="D20" s="112" t="e">
        <f>VLOOKUP(A20,Ingreso!K:P,6,FALSE)</f>
        <v>#N/A</v>
      </c>
      <c r="E20" s="142" t="e">
        <f>(VLOOKUP(D20,$D$2:$E$4,2,FALSE))-(IF('Informe Kelly'!H14=$A$2,'Informe Kelly'!F14,VLOOKUP(D20,$D$2:$E$4,2,FALSE)))</f>
        <v>#N/A</v>
      </c>
      <c r="F20" s="142" t="e">
        <f>IF('Informe Kelly'!H14=$A$3,'Informe Kelly'!F14,VLOOKUP(D20,$D$2:$F$4,3,FALSE))-(VLOOKUP(D20,$D$2:$F$4,3,FALSE))</f>
        <v>#N/A</v>
      </c>
      <c r="G20" s="137" t="e">
        <f t="shared" si="0"/>
        <v>#N/A</v>
      </c>
      <c r="J20" s="139" t="s">
        <v>380</v>
      </c>
      <c r="K20" s="140" t="e">
        <v>#N/A</v>
      </c>
      <c r="L20" s="112" t="e">
        <f>IF(J20="","",VLOOKUP(J20,Ingreso!K:AH,24,FALSE))</f>
        <v>#N/A</v>
      </c>
      <c r="M20" s="112" t="e">
        <f t="shared" si="1"/>
        <v>#N/A</v>
      </c>
    </row>
    <row r="21" spans="1:13">
      <c r="A21" s="112" t="str">
        <f>VLOOKUP('Informe Kelly'!A15,Base!A:B,2,FALSE)</f>
        <v>05.080.993-5</v>
      </c>
      <c r="B21" s="112" t="str">
        <f>VLOOKUP('Informe Kelly'!A15,Base!A:G,7,FALSE)</f>
        <v>FIGUEROA NILO CARLOS</v>
      </c>
      <c r="C21" s="112" t="str">
        <f>'Informe Kelly'!E15</f>
        <v>04.04.2011</v>
      </c>
      <c r="D21" s="112" t="e">
        <f>VLOOKUP(A21,Ingreso!K:P,6,FALSE)</f>
        <v>#N/A</v>
      </c>
      <c r="E21" s="142" t="e">
        <f>(VLOOKUP(D21,$D$2:$E$4,2,FALSE))-(IF('Informe Kelly'!H15=$A$2,'Informe Kelly'!F15,VLOOKUP(D21,$D$2:$E$4,2,FALSE)))</f>
        <v>#N/A</v>
      </c>
      <c r="F21" s="142" t="e">
        <f>IF('Informe Kelly'!H15=$A$3,'Informe Kelly'!F15,VLOOKUP(D21,$D$2:$F$4,3,FALSE))-(VLOOKUP(D21,$D$2:$F$4,3,FALSE))</f>
        <v>#N/A</v>
      </c>
      <c r="G21" s="137" t="e">
        <f t="shared" si="0"/>
        <v>#N/A</v>
      </c>
      <c r="J21" s="139" t="s">
        <v>41</v>
      </c>
      <c r="K21" s="140" t="e">
        <v>#N/A</v>
      </c>
      <c r="L21" s="112" t="e">
        <f>IF(J21="","",VLOOKUP(J21,Ingreso!K:AH,24,FALSE))</f>
        <v>#N/A</v>
      </c>
      <c r="M21" s="112" t="e">
        <f t="shared" si="1"/>
        <v>#N/A</v>
      </c>
    </row>
    <row r="22" spans="1:13">
      <c r="A22" s="112" t="str">
        <f>VLOOKUP('Informe Kelly'!A16,Base!A:B,2,FALSE)</f>
        <v>05.080.993-5</v>
      </c>
      <c r="B22" s="112" t="str">
        <f>VLOOKUP('Informe Kelly'!A16,Base!A:G,7,FALSE)</f>
        <v>FIGUEROA NILO CARLOS</v>
      </c>
      <c r="C22" s="112" t="str">
        <f>'Informe Kelly'!E16</f>
        <v>05.04.2011</v>
      </c>
      <c r="D22" s="112" t="e">
        <f>VLOOKUP(A22,Ingreso!K:P,6,FALSE)</f>
        <v>#N/A</v>
      </c>
      <c r="E22" s="142" t="e">
        <f>(VLOOKUP(D22,$D$2:$E$4,2,FALSE))-(IF('Informe Kelly'!H16=$A$2,'Informe Kelly'!F16,VLOOKUP(D22,$D$2:$E$4,2,FALSE)))</f>
        <v>#N/A</v>
      </c>
      <c r="F22" s="142" t="e">
        <f>IF('Informe Kelly'!H16=$A$3,'Informe Kelly'!F16,VLOOKUP(D22,$D$2:$F$4,3,FALSE))-(VLOOKUP(D22,$D$2:$F$4,3,FALSE))</f>
        <v>#N/A</v>
      </c>
      <c r="G22" s="137" t="e">
        <f t="shared" si="0"/>
        <v>#N/A</v>
      </c>
      <c r="J22" s="139" t="s">
        <v>1058</v>
      </c>
      <c r="K22" s="140" t="e">
        <v>#N/A</v>
      </c>
      <c r="L22" s="112" t="e">
        <f>IF(J22="","",VLOOKUP(J22,Ingreso!K:AH,24,FALSE))</f>
        <v>#N/A</v>
      </c>
      <c r="M22" s="112" t="e">
        <f t="shared" si="1"/>
        <v>#N/A</v>
      </c>
    </row>
    <row r="23" spans="1:13">
      <c r="A23" s="112" t="str">
        <f>VLOOKUP('Informe Kelly'!A17,Base!A:B,2,FALSE)</f>
        <v>05.080.993-5</v>
      </c>
      <c r="B23" s="112" t="str">
        <f>VLOOKUP('Informe Kelly'!A17,Base!A:G,7,FALSE)</f>
        <v>FIGUEROA NILO CARLOS</v>
      </c>
      <c r="C23" s="112" t="str">
        <f>'Informe Kelly'!E17</f>
        <v>05.04.2011</v>
      </c>
      <c r="D23" s="112" t="e">
        <f>VLOOKUP(A23,Ingreso!K:P,6,FALSE)</f>
        <v>#N/A</v>
      </c>
      <c r="E23" s="142" t="e">
        <f>(VLOOKUP(D23,$D$2:$E$4,2,FALSE))-(IF('Informe Kelly'!H17=$A$2,'Informe Kelly'!F17,VLOOKUP(D23,$D$2:$E$4,2,FALSE)))</f>
        <v>#N/A</v>
      </c>
      <c r="F23" s="142" t="e">
        <f>IF('Informe Kelly'!H17=$A$3,'Informe Kelly'!F17,VLOOKUP(D23,$D$2:$F$4,3,FALSE))-(VLOOKUP(D23,$D$2:$F$4,3,FALSE))</f>
        <v>#N/A</v>
      </c>
      <c r="G23" s="137" t="e">
        <f t="shared" si="0"/>
        <v>#N/A</v>
      </c>
      <c r="J23" s="139" t="s">
        <v>835</v>
      </c>
      <c r="K23" s="140" t="e">
        <v>#N/A</v>
      </c>
      <c r="L23" s="112" t="e">
        <f>IF(J23="","",VLOOKUP(J23,Ingreso!K:AH,24,FALSE))</f>
        <v>#N/A</v>
      </c>
      <c r="M23" s="112" t="e">
        <f t="shared" si="1"/>
        <v>#N/A</v>
      </c>
    </row>
    <row r="24" spans="1:13">
      <c r="A24" s="112" t="str">
        <f>VLOOKUP('Informe Kelly'!A18,Base!A:B,2,FALSE)</f>
        <v>05.080.993-5</v>
      </c>
      <c r="B24" s="112" t="str">
        <f>VLOOKUP('Informe Kelly'!A18,Base!A:G,7,FALSE)</f>
        <v>FIGUEROA NILO CARLOS</v>
      </c>
      <c r="C24" s="112" t="str">
        <f>'Informe Kelly'!E18</f>
        <v>06.04.2011</v>
      </c>
      <c r="D24" s="112" t="e">
        <f>VLOOKUP(A24,Ingreso!K:P,6,FALSE)</f>
        <v>#N/A</v>
      </c>
      <c r="E24" s="142" t="e">
        <f>(VLOOKUP(D24,$D$2:$E$4,2,FALSE))-(IF('Informe Kelly'!H18=$A$2,'Informe Kelly'!F18,VLOOKUP(D24,$D$2:$E$4,2,FALSE)))</f>
        <v>#N/A</v>
      </c>
      <c r="F24" s="142" t="e">
        <f>IF('Informe Kelly'!H18=$A$3,'Informe Kelly'!F18,VLOOKUP(D24,$D$2:$F$4,3,FALSE))-(VLOOKUP(D24,$D$2:$F$4,3,FALSE))</f>
        <v>#N/A</v>
      </c>
      <c r="G24" s="137" t="e">
        <f t="shared" si="0"/>
        <v>#N/A</v>
      </c>
      <c r="J24" s="139" t="s">
        <v>804</v>
      </c>
      <c r="K24" s="140" t="e">
        <v>#N/A</v>
      </c>
      <c r="L24" s="112" t="e">
        <f>IF(J24="","",VLOOKUP(J24,Ingreso!K:AH,24,FALSE))</f>
        <v>#N/A</v>
      </c>
      <c r="M24" s="112" t="e">
        <f t="shared" si="1"/>
        <v>#N/A</v>
      </c>
    </row>
    <row r="25" spans="1:13">
      <c r="A25" s="112" t="str">
        <f>VLOOKUP('Informe Kelly'!A19,Base!A:B,2,FALSE)</f>
        <v>05.080.993-5</v>
      </c>
      <c r="B25" s="112" t="str">
        <f>VLOOKUP('Informe Kelly'!A19,Base!A:G,7,FALSE)</f>
        <v>FIGUEROA NILO CARLOS</v>
      </c>
      <c r="C25" s="112" t="str">
        <f>'Informe Kelly'!E19</f>
        <v>06.04.2011</v>
      </c>
      <c r="D25" s="112" t="e">
        <f>VLOOKUP(A25,Ingreso!K:P,6,FALSE)</f>
        <v>#N/A</v>
      </c>
      <c r="E25" s="142" t="e">
        <f>(VLOOKUP(D25,$D$2:$E$4,2,FALSE))-(IF('Informe Kelly'!H19=$A$2,'Informe Kelly'!F19,VLOOKUP(D25,$D$2:$E$4,2,FALSE)))</f>
        <v>#N/A</v>
      </c>
      <c r="F25" s="142" t="e">
        <f>IF('Informe Kelly'!H19=$A$3,'Informe Kelly'!F19,VLOOKUP(D25,$D$2:$F$4,3,FALSE))-(VLOOKUP(D25,$D$2:$F$4,3,FALSE))</f>
        <v>#N/A</v>
      </c>
      <c r="G25" s="137" t="e">
        <f t="shared" si="0"/>
        <v>#N/A</v>
      </c>
      <c r="J25" s="139" t="s">
        <v>204</v>
      </c>
      <c r="K25" s="140" t="e">
        <v>#N/A</v>
      </c>
      <c r="L25" s="112" t="e">
        <f>IF(J25="","",VLOOKUP(J25,Ingreso!K:AH,24,FALSE))</f>
        <v>#N/A</v>
      </c>
      <c r="M25" s="112" t="e">
        <f t="shared" si="1"/>
        <v>#N/A</v>
      </c>
    </row>
    <row r="26" spans="1:13">
      <c r="A26" s="112" t="str">
        <f>VLOOKUP('Informe Kelly'!A20,Base!A:B,2,FALSE)</f>
        <v>05.080.993-5</v>
      </c>
      <c r="B26" s="112" t="str">
        <f>VLOOKUP('Informe Kelly'!A20,Base!A:G,7,FALSE)</f>
        <v>FIGUEROA NILO CARLOS</v>
      </c>
      <c r="C26" s="112" t="str">
        <f>'Informe Kelly'!E20</f>
        <v>07.04.2011</v>
      </c>
      <c r="D26" s="112" t="e">
        <f>VLOOKUP(A26,Ingreso!K:P,6,FALSE)</f>
        <v>#N/A</v>
      </c>
      <c r="E26" s="142" t="e">
        <f>(VLOOKUP(D26,$D$2:$E$4,2,FALSE))-(IF('Informe Kelly'!H20=$A$2,'Informe Kelly'!F20,VLOOKUP(D26,$D$2:$E$4,2,FALSE)))</f>
        <v>#N/A</v>
      </c>
      <c r="F26" s="142" t="e">
        <f>IF('Informe Kelly'!H20=$A$3,'Informe Kelly'!F20,VLOOKUP(D26,$D$2:$F$4,3,FALSE))-(VLOOKUP(D26,$D$2:$F$4,3,FALSE))</f>
        <v>#N/A</v>
      </c>
      <c r="G26" s="137" t="e">
        <f t="shared" si="0"/>
        <v>#N/A</v>
      </c>
      <c r="J26" s="139" t="s">
        <v>843</v>
      </c>
      <c r="K26" s="140" t="e">
        <v>#N/A</v>
      </c>
      <c r="L26" s="112" t="e">
        <f>IF(J26="","",VLOOKUP(J26,Ingreso!K:AH,24,FALSE))</f>
        <v>#N/A</v>
      </c>
      <c r="M26" s="112" t="e">
        <f t="shared" si="1"/>
        <v>#N/A</v>
      </c>
    </row>
    <row r="27" spans="1:13">
      <c r="A27" s="112" t="str">
        <f>VLOOKUP('Informe Kelly'!A21,Base!A:B,2,FALSE)</f>
        <v>05.080.993-5</v>
      </c>
      <c r="B27" s="112" t="str">
        <f>VLOOKUP('Informe Kelly'!A21,Base!A:G,7,FALSE)</f>
        <v>FIGUEROA NILO CARLOS</v>
      </c>
      <c r="C27" s="112" t="str">
        <f>'Informe Kelly'!E21</f>
        <v>07.04.2011</v>
      </c>
      <c r="D27" s="112" t="e">
        <f>VLOOKUP(A27,Ingreso!K:P,6,FALSE)</f>
        <v>#N/A</v>
      </c>
      <c r="E27" s="142" t="e">
        <f>(VLOOKUP(D27,$D$2:$E$4,2,FALSE))-(IF('Informe Kelly'!H21=$A$2,'Informe Kelly'!F21,VLOOKUP(D27,$D$2:$E$4,2,FALSE)))</f>
        <v>#N/A</v>
      </c>
      <c r="F27" s="142" t="e">
        <f>IF('Informe Kelly'!H21=$A$3,'Informe Kelly'!F21,VLOOKUP(D27,$D$2:$F$4,3,FALSE))-(VLOOKUP(D27,$D$2:$F$4,3,FALSE))</f>
        <v>#N/A</v>
      </c>
      <c r="G27" s="137" t="e">
        <f t="shared" si="0"/>
        <v>#N/A</v>
      </c>
      <c r="J27" s="139" t="s">
        <v>985</v>
      </c>
      <c r="K27" s="140" t="e">
        <v>#N/A</v>
      </c>
      <c r="L27" s="112" t="e">
        <f>IF(J27="","",VLOOKUP(J27,Ingreso!K:AH,24,FALSE))</f>
        <v>#N/A</v>
      </c>
      <c r="M27" s="112" t="e">
        <f t="shared" si="1"/>
        <v>#N/A</v>
      </c>
    </row>
    <row r="28" spans="1:13">
      <c r="A28" s="112" t="str">
        <f>VLOOKUP('Informe Kelly'!A22,Base!A:B,2,FALSE)</f>
        <v>05.080.993-5</v>
      </c>
      <c r="B28" s="112" t="str">
        <f>VLOOKUP('Informe Kelly'!A22,Base!A:G,7,FALSE)</f>
        <v>FIGUEROA NILO CARLOS</v>
      </c>
      <c r="C28" s="112" t="str">
        <f>'Informe Kelly'!E22</f>
        <v>08.04.2011</v>
      </c>
      <c r="D28" s="112" t="e">
        <f>VLOOKUP(A28,Ingreso!K:P,6,FALSE)</f>
        <v>#N/A</v>
      </c>
      <c r="E28" s="142" t="e">
        <f>(VLOOKUP(D28,$D$2:$E$4,2,FALSE))-(IF('Informe Kelly'!H22=$A$2,'Informe Kelly'!F22,VLOOKUP(D28,$D$2:$E$4,2,FALSE)))</f>
        <v>#N/A</v>
      </c>
      <c r="F28" s="142" t="e">
        <f>IF('Informe Kelly'!H22=$A$3,'Informe Kelly'!F22,VLOOKUP(D28,$D$2:$F$4,3,FALSE))-(VLOOKUP(D28,$D$2:$F$4,3,FALSE))</f>
        <v>#N/A</v>
      </c>
      <c r="G28" s="137" t="e">
        <f t="shared" si="0"/>
        <v>#N/A</v>
      </c>
      <c r="J28" s="139" t="s">
        <v>425</v>
      </c>
      <c r="K28" s="140" t="e">
        <v>#N/A</v>
      </c>
      <c r="L28" s="112" t="e">
        <f>IF(J28="","",VLOOKUP(J28,Ingreso!K:AH,24,FALSE))</f>
        <v>#N/A</v>
      </c>
      <c r="M28" s="112" t="e">
        <f t="shared" si="1"/>
        <v>#N/A</v>
      </c>
    </row>
    <row r="29" spans="1:13">
      <c r="A29" s="112" t="str">
        <f>VLOOKUP('Informe Kelly'!A23,Base!A:B,2,FALSE)</f>
        <v>05.080.993-5</v>
      </c>
      <c r="B29" s="112" t="str">
        <f>VLOOKUP('Informe Kelly'!A23,Base!A:G,7,FALSE)</f>
        <v>FIGUEROA NILO CARLOS</v>
      </c>
      <c r="C29" s="112" t="str">
        <f>'Informe Kelly'!E23</f>
        <v>08.04.2011</v>
      </c>
      <c r="D29" s="112" t="e">
        <f>VLOOKUP(A29,Ingreso!K:P,6,FALSE)</f>
        <v>#N/A</v>
      </c>
      <c r="E29" s="142" t="e">
        <f>(VLOOKUP(D29,$D$2:$E$4,2,FALSE))-(IF('Informe Kelly'!H23=$A$2,'Informe Kelly'!F23,VLOOKUP(D29,$D$2:$E$4,2,FALSE)))</f>
        <v>#N/A</v>
      </c>
      <c r="F29" s="142" t="e">
        <f>IF('Informe Kelly'!H23=$A$3,'Informe Kelly'!F23,VLOOKUP(D29,$D$2:$F$4,3,FALSE))-(VLOOKUP(D29,$D$2:$F$4,3,FALSE))</f>
        <v>#N/A</v>
      </c>
      <c r="G29" s="137" t="e">
        <f t="shared" si="0"/>
        <v>#N/A</v>
      </c>
      <c r="J29" s="139" t="s">
        <v>729</v>
      </c>
      <c r="K29" s="140" t="e">
        <v>#N/A</v>
      </c>
      <c r="L29" s="112" t="e">
        <f>IF(J29="","",VLOOKUP(J29,Ingreso!K:AH,24,FALSE))</f>
        <v>#N/A</v>
      </c>
      <c r="M29" s="112" t="e">
        <f t="shared" si="1"/>
        <v>#N/A</v>
      </c>
    </row>
    <row r="30" spans="1:13">
      <c r="A30" s="112" t="str">
        <f>VLOOKUP('Informe Kelly'!A24,Base!A:B,2,FALSE)</f>
        <v>05.080.993-5</v>
      </c>
      <c r="B30" s="112" t="str">
        <f>VLOOKUP('Informe Kelly'!A24,Base!A:G,7,FALSE)</f>
        <v>FIGUEROA NILO CARLOS</v>
      </c>
      <c r="C30" s="112" t="str">
        <f>'Informe Kelly'!E24</f>
        <v>09.04.2011</v>
      </c>
      <c r="D30" s="112" t="e">
        <f>VLOOKUP(A30,Ingreso!K:P,6,FALSE)</f>
        <v>#N/A</v>
      </c>
      <c r="E30" s="142" t="e">
        <f>(VLOOKUP(D30,$D$2:$E$4,2,FALSE))-(IF('Informe Kelly'!H24=$A$2,'Informe Kelly'!F24,VLOOKUP(D30,$D$2:$E$4,2,FALSE)))</f>
        <v>#N/A</v>
      </c>
      <c r="F30" s="142" t="e">
        <f>IF('Informe Kelly'!H24=$A$3,'Informe Kelly'!F24,VLOOKUP(D30,$D$2:$F$4,3,FALSE))-(VLOOKUP(D30,$D$2:$F$4,3,FALSE))</f>
        <v>#N/A</v>
      </c>
      <c r="G30" s="137" t="e">
        <f t="shared" si="0"/>
        <v>#N/A</v>
      </c>
      <c r="J30" s="139" t="s">
        <v>271</v>
      </c>
      <c r="K30" s="140" t="e">
        <v>#N/A</v>
      </c>
      <c r="L30" s="112" t="e">
        <f>IF(J30="","",VLOOKUP(J30,Ingreso!K:AH,24,FALSE))</f>
        <v>#N/A</v>
      </c>
      <c r="M30" s="112" t="e">
        <f t="shared" si="1"/>
        <v>#N/A</v>
      </c>
    </row>
    <row r="31" spans="1:13">
      <c r="A31" s="112" t="str">
        <f>VLOOKUP('Informe Kelly'!A25,Base!A:B,2,FALSE)</f>
        <v>05.080.993-5</v>
      </c>
      <c r="B31" s="112" t="str">
        <f>VLOOKUP('Informe Kelly'!A25,Base!A:G,7,FALSE)</f>
        <v>FIGUEROA NILO CARLOS</v>
      </c>
      <c r="C31" s="112" t="str">
        <f>'Informe Kelly'!E25</f>
        <v>09.04.2011</v>
      </c>
      <c r="D31" s="112" t="e">
        <f>VLOOKUP(A31,Ingreso!K:P,6,FALSE)</f>
        <v>#N/A</v>
      </c>
      <c r="E31" s="142" t="e">
        <f>(VLOOKUP(D31,$D$2:$E$4,2,FALSE))-(IF('Informe Kelly'!H25=$A$2,'Informe Kelly'!F25,VLOOKUP(D31,$D$2:$E$4,2,FALSE)))</f>
        <v>#N/A</v>
      </c>
      <c r="F31" s="142" t="e">
        <f>IF('Informe Kelly'!H25=$A$3,'Informe Kelly'!F25,VLOOKUP(D31,$D$2:$F$4,3,FALSE))-(VLOOKUP(D31,$D$2:$F$4,3,FALSE))</f>
        <v>#N/A</v>
      </c>
      <c r="G31" s="137" t="e">
        <f t="shared" si="0"/>
        <v>#N/A</v>
      </c>
      <c r="J31" s="139" t="s">
        <v>867</v>
      </c>
      <c r="K31" s="140" t="e">
        <v>#N/A</v>
      </c>
      <c r="L31" s="112" t="e">
        <f>IF(J31="","",VLOOKUP(J31,Ingreso!K:AH,24,FALSE))</f>
        <v>#N/A</v>
      </c>
      <c r="M31" s="112" t="e">
        <f t="shared" si="1"/>
        <v>#N/A</v>
      </c>
    </row>
    <row r="32" spans="1:13">
      <c r="A32" s="112" t="str">
        <f>VLOOKUP('Informe Kelly'!A26,Base!A:B,2,FALSE)</f>
        <v>05.267.317-8</v>
      </c>
      <c r="B32" s="112" t="str">
        <f>VLOOKUP('Informe Kelly'!A26,Base!A:G,7,FALSE)</f>
        <v xml:space="preserve">DUARTE BECERRA LUIS </v>
      </c>
      <c r="C32" s="112" t="str">
        <f>'Informe Kelly'!E26</f>
        <v>04.04.2011</v>
      </c>
      <c r="D32" s="112" t="e">
        <f>VLOOKUP(A32,Ingreso!K:P,6,FALSE)</f>
        <v>#N/A</v>
      </c>
      <c r="E32" s="142" t="e">
        <f>(VLOOKUP(D32,$D$2:$E$4,2,FALSE))-(IF('Informe Kelly'!H26=$A$2,'Informe Kelly'!F26,VLOOKUP(D32,$D$2:$E$4,2,FALSE)))</f>
        <v>#N/A</v>
      </c>
      <c r="F32" s="142" t="e">
        <f>IF('Informe Kelly'!H26=$A$3,'Informe Kelly'!F26,VLOOKUP(D32,$D$2:$F$4,3,FALSE))-(VLOOKUP(D32,$D$2:$F$4,3,FALSE))</f>
        <v>#N/A</v>
      </c>
      <c r="G32" s="137" t="e">
        <f t="shared" si="0"/>
        <v>#N/A</v>
      </c>
      <c r="J32" s="139" t="s">
        <v>80</v>
      </c>
      <c r="K32" s="140" t="e">
        <v>#N/A</v>
      </c>
      <c r="L32" s="112" t="e">
        <f>IF(J32="","",VLOOKUP(J32,Ingreso!K:AH,24,FALSE))</f>
        <v>#N/A</v>
      </c>
      <c r="M32" s="112" t="e">
        <f t="shared" si="1"/>
        <v>#N/A</v>
      </c>
    </row>
    <row r="33" spans="1:13">
      <c r="A33" s="112" t="str">
        <f>VLOOKUP('Informe Kelly'!A27,Base!A:B,2,FALSE)</f>
        <v>05.267.317-8</v>
      </c>
      <c r="B33" s="112" t="str">
        <f>VLOOKUP('Informe Kelly'!A27,Base!A:G,7,FALSE)</f>
        <v xml:space="preserve">DUARTE BECERRA LUIS </v>
      </c>
      <c r="C33" s="112" t="str">
        <f>'Informe Kelly'!E27</f>
        <v>04.04.2011</v>
      </c>
      <c r="D33" s="112" t="e">
        <f>VLOOKUP(A33,Ingreso!K:P,6,FALSE)</f>
        <v>#N/A</v>
      </c>
      <c r="E33" s="142" t="e">
        <f>(VLOOKUP(D33,$D$2:$E$4,2,FALSE))-(IF('Informe Kelly'!H27=$A$2,'Informe Kelly'!F27,VLOOKUP(D33,$D$2:$E$4,2,FALSE)))</f>
        <v>#N/A</v>
      </c>
      <c r="F33" s="142" t="e">
        <f>IF('Informe Kelly'!H27=$A$3,'Informe Kelly'!F27,VLOOKUP(D33,$D$2:$F$4,3,FALSE))-(VLOOKUP(D33,$D$2:$F$4,3,FALSE))</f>
        <v>#N/A</v>
      </c>
      <c r="G33" s="137" t="e">
        <f t="shared" si="0"/>
        <v>#N/A</v>
      </c>
      <c r="J33" s="139" t="s">
        <v>1123</v>
      </c>
      <c r="K33" s="140" t="e">
        <v>#N/A</v>
      </c>
      <c r="L33" s="112" t="e">
        <f>IF(J33="","",VLOOKUP(J33,Ingreso!K:AH,24,FALSE))</f>
        <v>#N/A</v>
      </c>
      <c r="M33" s="112" t="e">
        <f t="shared" si="1"/>
        <v>#N/A</v>
      </c>
    </row>
    <row r="34" spans="1:13">
      <c r="A34" s="112" t="str">
        <f>VLOOKUP('Informe Kelly'!A28,Base!A:B,2,FALSE)</f>
        <v>05.267.317-8</v>
      </c>
      <c r="B34" s="112" t="str">
        <f>VLOOKUP('Informe Kelly'!A28,Base!A:G,7,FALSE)</f>
        <v xml:space="preserve">DUARTE BECERRA LUIS </v>
      </c>
      <c r="C34" s="112" t="str">
        <f>'Informe Kelly'!E28</f>
        <v>05.04.2011</v>
      </c>
      <c r="D34" s="112" t="e">
        <f>VLOOKUP(A34,Ingreso!K:P,6,FALSE)</f>
        <v>#N/A</v>
      </c>
      <c r="E34" s="142" t="e">
        <f>(VLOOKUP(D34,$D$2:$E$4,2,FALSE))-(IF('Informe Kelly'!H28=$A$2,'Informe Kelly'!F28,VLOOKUP(D34,$D$2:$E$4,2,FALSE)))</f>
        <v>#N/A</v>
      </c>
      <c r="F34" s="142" t="e">
        <f>IF('Informe Kelly'!H28=$A$3,'Informe Kelly'!F28,VLOOKUP(D34,$D$2:$F$4,3,FALSE))-(VLOOKUP(D34,$D$2:$F$4,3,FALSE))</f>
        <v>#N/A</v>
      </c>
      <c r="G34" s="137" t="e">
        <f t="shared" si="0"/>
        <v>#N/A</v>
      </c>
      <c r="J34" s="139" t="s">
        <v>1201</v>
      </c>
      <c r="K34" s="140" t="e">
        <v>#N/A</v>
      </c>
      <c r="L34" s="112" t="e">
        <f>IF(J34="","",VLOOKUP(J34,Ingreso!K:AH,24,FALSE))</f>
        <v>#N/A</v>
      </c>
      <c r="M34" s="112" t="e">
        <f t="shared" si="1"/>
        <v>#N/A</v>
      </c>
    </row>
    <row r="35" spans="1:13">
      <c r="A35" s="112" t="str">
        <f>VLOOKUP('Informe Kelly'!A29,Base!A:B,2,FALSE)</f>
        <v>05.267.317-8</v>
      </c>
      <c r="B35" s="112" t="str">
        <f>VLOOKUP('Informe Kelly'!A29,Base!A:G,7,FALSE)</f>
        <v xml:space="preserve">DUARTE BECERRA LUIS </v>
      </c>
      <c r="C35" s="112" t="str">
        <f>'Informe Kelly'!E29</f>
        <v>05.04.2011</v>
      </c>
      <c r="D35" s="112" t="e">
        <f>VLOOKUP(A35,Ingreso!K:P,6,FALSE)</f>
        <v>#N/A</v>
      </c>
      <c r="E35" s="142" t="e">
        <f>(VLOOKUP(D35,$D$2:$E$4,2,FALSE))-(IF('Informe Kelly'!H29=$A$2,'Informe Kelly'!F29,VLOOKUP(D35,$D$2:$E$4,2,FALSE)))</f>
        <v>#N/A</v>
      </c>
      <c r="F35" s="142" t="e">
        <f>IF('Informe Kelly'!H29=$A$3,'Informe Kelly'!F29,VLOOKUP(D35,$D$2:$F$4,3,FALSE))-(VLOOKUP(D35,$D$2:$F$4,3,FALSE))</f>
        <v>#N/A</v>
      </c>
      <c r="G35" s="137" t="e">
        <f t="shared" si="0"/>
        <v>#N/A</v>
      </c>
      <c r="J35" s="139" t="s">
        <v>799</v>
      </c>
      <c r="K35" s="140" t="e">
        <v>#N/A</v>
      </c>
      <c r="L35" s="112" t="e">
        <f>IF(J35="","",VLOOKUP(J35,Ingreso!K:AH,24,FALSE))</f>
        <v>#N/A</v>
      </c>
      <c r="M35" s="112" t="e">
        <f t="shared" si="1"/>
        <v>#N/A</v>
      </c>
    </row>
    <row r="36" spans="1:13">
      <c r="A36" s="112" t="str">
        <f>VLOOKUP('Informe Kelly'!A30,Base!A:B,2,FALSE)</f>
        <v>05.267.317-8</v>
      </c>
      <c r="B36" s="112" t="str">
        <f>VLOOKUP('Informe Kelly'!A30,Base!A:G,7,FALSE)</f>
        <v xml:space="preserve">DUARTE BECERRA LUIS </v>
      </c>
      <c r="C36" s="112" t="str">
        <f>'Informe Kelly'!E30</f>
        <v>06.04.2011</v>
      </c>
      <c r="D36" s="112" t="e">
        <f>VLOOKUP(A36,Ingreso!K:P,6,FALSE)</f>
        <v>#N/A</v>
      </c>
      <c r="E36" s="142" t="e">
        <f>(VLOOKUP(D36,$D$2:$E$4,2,FALSE))-(IF('Informe Kelly'!H30=$A$2,'Informe Kelly'!F30,VLOOKUP(D36,$D$2:$E$4,2,FALSE)))</f>
        <v>#N/A</v>
      </c>
      <c r="F36" s="142" t="e">
        <f>IF('Informe Kelly'!H30=$A$3,'Informe Kelly'!F30,VLOOKUP(D36,$D$2:$F$4,3,FALSE))-(VLOOKUP(D36,$D$2:$F$4,3,FALSE))</f>
        <v>#N/A</v>
      </c>
      <c r="G36" s="137" t="e">
        <f t="shared" si="0"/>
        <v>#N/A</v>
      </c>
      <c r="J36" s="139" t="s">
        <v>316</v>
      </c>
      <c r="K36" s="140" t="e">
        <v>#N/A</v>
      </c>
      <c r="L36" s="112" t="e">
        <f>IF(J36="","",VLOOKUP(J36,Ingreso!K:AH,24,FALSE))</f>
        <v>#N/A</v>
      </c>
      <c r="M36" s="112" t="e">
        <f t="shared" si="1"/>
        <v>#N/A</v>
      </c>
    </row>
    <row r="37" spans="1:13">
      <c r="A37" s="112" t="str">
        <f>VLOOKUP('Informe Kelly'!A31,Base!A:B,2,FALSE)</f>
        <v>05.267.317-8</v>
      </c>
      <c r="B37" s="112" t="str">
        <f>VLOOKUP('Informe Kelly'!A31,Base!A:G,7,FALSE)</f>
        <v xml:space="preserve">DUARTE BECERRA LUIS </v>
      </c>
      <c r="C37" s="112" t="str">
        <f>'Informe Kelly'!E31</f>
        <v>06.04.2011</v>
      </c>
      <c r="D37" s="112" t="e">
        <f>VLOOKUP(A37,Ingreso!K:P,6,FALSE)</f>
        <v>#N/A</v>
      </c>
      <c r="E37" s="142" t="e">
        <f>(VLOOKUP(D37,$D$2:$E$4,2,FALSE))-(IF('Informe Kelly'!H31=$A$2,'Informe Kelly'!F31,VLOOKUP(D37,$D$2:$E$4,2,FALSE)))</f>
        <v>#N/A</v>
      </c>
      <c r="F37" s="142" t="e">
        <f>IF('Informe Kelly'!H31=$A$3,'Informe Kelly'!F31,VLOOKUP(D37,$D$2:$F$4,3,FALSE))-(VLOOKUP(D37,$D$2:$F$4,3,FALSE))</f>
        <v>#N/A</v>
      </c>
      <c r="G37" s="137" t="e">
        <f t="shared" si="0"/>
        <v>#N/A</v>
      </c>
      <c r="J37" s="139" t="s">
        <v>282</v>
      </c>
      <c r="K37" s="140" t="e">
        <v>#N/A</v>
      </c>
      <c r="L37" s="112" t="e">
        <f>IF(J37="","",VLOOKUP(J37,Ingreso!K:AH,24,FALSE))</f>
        <v>#N/A</v>
      </c>
      <c r="M37" s="112" t="e">
        <f t="shared" si="1"/>
        <v>#N/A</v>
      </c>
    </row>
    <row r="38" spans="1:13">
      <c r="A38" s="112" t="str">
        <f>VLOOKUP('Informe Kelly'!A32,Base!A:B,2,FALSE)</f>
        <v>05.267.317-8</v>
      </c>
      <c r="B38" s="112" t="str">
        <f>VLOOKUP('Informe Kelly'!A32,Base!A:G,7,FALSE)</f>
        <v xml:space="preserve">DUARTE BECERRA LUIS </v>
      </c>
      <c r="C38" s="112" t="str">
        <f>'Informe Kelly'!E32</f>
        <v>07.04.2011</v>
      </c>
      <c r="D38" s="112" t="e">
        <f>VLOOKUP(A38,Ingreso!K:P,6,FALSE)</f>
        <v>#N/A</v>
      </c>
      <c r="E38" s="142" t="e">
        <f>(VLOOKUP(D38,$D$2:$E$4,2,FALSE))-(IF('Informe Kelly'!H32=$A$2,'Informe Kelly'!F32,VLOOKUP(D38,$D$2:$E$4,2,FALSE)))</f>
        <v>#N/A</v>
      </c>
      <c r="F38" s="142" t="e">
        <f>IF('Informe Kelly'!H32=$A$3,'Informe Kelly'!F32,VLOOKUP(D38,$D$2:$F$4,3,FALSE))-(VLOOKUP(D38,$D$2:$F$4,3,FALSE))</f>
        <v>#N/A</v>
      </c>
      <c r="G38" s="137" t="e">
        <f t="shared" si="0"/>
        <v>#N/A</v>
      </c>
      <c r="J38" s="139" t="s">
        <v>1237</v>
      </c>
      <c r="K38" s="140" t="e">
        <v>#N/A</v>
      </c>
      <c r="L38" s="112" t="e">
        <f>IF(J38="","",VLOOKUP(J38,Ingreso!K:AH,24,FALSE))</f>
        <v>#N/A</v>
      </c>
      <c r="M38" s="112" t="e">
        <f t="shared" si="1"/>
        <v>#N/A</v>
      </c>
    </row>
    <row r="39" spans="1:13">
      <c r="A39" s="112" t="str">
        <f>VLOOKUP('Informe Kelly'!A33,Base!A:B,2,FALSE)</f>
        <v>05.267.317-8</v>
      </c>
      <c r="B39" s="112" t="str">
        <f>VLOOKUP('Informe Kelly'!A33,Base!A:G,7,FALSE)</f>
        <v xml:space="preserve">DUARTE BECERRA LUIS </v>
      </c>
      <c r="C39" s="112" t="str">
        <f>'Informe Kelly'!E33</f>
        <v>07.04.2011</v>
      </c>
      <c r="D39" s="112" t="e">
        <f>VLOOKUP(A39,Ingreso!K:P,6,FALSE)</f>
        <v>#N/A</v>
      </c>
      <c r="E39" s="142" t="e">
        <f>(VLOOKUP(D39,$D$2:$E$4,2,FALSE))-(IF('Informe Kelly'!H33=$A$2,'Informe Kelly'!F33,VLOOKUP(D39,$D$2:$E$4,2,FALSE)))</f>
        <v>#N/A</v>
      </c>
      <c r="F39" s="142" t="e">
        <f>IF('Informe Kelly'!H33=$A$3,'Informe Kelly'!F33,VLOOKUP(D39,$D$2:$F$4,3,FALSE))-(VLOOKUP(D39,$D$2:$F$4,3,FALSE))</f>
        <v>#N/A</v>
      </c>
      <c r="G39" s="137" t="e">
        <f t="shared" si="0"/>
        <v>#N/A</v>
      </c>
      <c r="J39" s="139" t="s">
        <v>977</v>
      </c>
      <c r="K39" s="140" t="e">
        <v>#N/A</v>
      </c>
      <c r="L39" s="112" t="e">
        <f>IF(J39="","",VLOOKUP(J39,Ingreso!K:AH,24,FALSE))</f>
        <v>#N/A</v>
      </c>
      <c r="M39" s="112" t="e">
        <f t="shared" si="1"/>
        <v>#N/A</v>
      </c>
    </row>
    <row r="40" spans="1:13">
      <c r="A40" s="112" t="str">
        <f>VLOOKUP('Informe Kelly'!A34,Base!A:B,2,FALSE)</f>
        <v>05.267.317-8</v>
      </c>
      <c r="B40" s="112" t="str">
        <f>VLOOKUP('Informe Kelly'!A34,Base!A:G,7,FALSE)</f>
        <v xml:space="preserve">DUARTE BECERRA LUIS </v>
      </c>
      <c r="C40" s="112" t="str">
        <f>'Informe Kelly'!E34</f>
        <v>08.04.2011</v>
      </c>
      <c r="D40" s="112" t="e">
        <f>VLOOKUP(A40,Ingreso!K:P,6,FALSE)</f>
        <v>#N/A</v>
      </c>
      <c r="E40" s="142" t="e">
        <f>(VLOOKUP(D40,$D$2:$E$4,2,FALSE))-(IF('Informe Kelly'!H34=$A$2,'Informe Kelly'!F34,VLOOKUP(D40,$D$2:$E$4,2,FALSE)))</f>
        <v>#N/A</v>
      </c>
      <c r="F40" s="142" t="e">
        <f>IF('Informe Kelly'!H34=$A$3,'Informe Kelly'!F34,VLOOKUP(D40,$D$2:$F$4,3,FALSE))-(VLOOKUP(D40,$D$2:$F$4,3,FALSE))</f>
        <v>#N/A</v>
      </c>
      <c r="G40" s="137" t="e">
        <f t="shared" si="0"/>
        <v>#N/A</v>
      </c>
      <c r="J40" s="139" t="s">
        <v>877</v>
      </c>
      <c r="K40" s="140" t="e">
        <v>#N/A</v>
      </c>
      <c r="L40" s="112" t="e">
        <f>IF(J40="","",VLOOKUP(J40,Ingreso!K:AH,24,FALSE))</f>
        <v>#N/A</v>
      </c>
      <c r="M40" s="112" t="e">
        <f t="shared" si="1"/>
        <v>#N/A</v>
      </c>
    </row>
    <row r="41" spans="1:13">
      <c r="A41" s="112" t="str">
        <f>VLOOKUP('Informe Kelly'!A35,Base!A:B,2,FALSE)</f>
        <v>05.267.317-8</v>
      </c>
      <c r="B41" s="112" t="str">
        <f>VLOOKUP('Informe Kelly'!A35,Base!A:G,7,FALSE)</f>
        <v xml:space="preserve">DUARTE BECERRA LUIS </v>
      </c>
      <c r="C41" s="112" t="str">
        <f>'Informe Kelly'!E35</f>
        <v>08.04.2011</v>
      </c>
      <c r="D41" s="112" t="e">
        <f>VLOOKUP(A41,Ingreso!K:P,6,FALSE)</f>
        <v>#N/A</v>
      </c>
      <c r="E41" s="142" t="e">
        <f>(VLOOKUP(D41,$D$2:$E$4,2,FALSE))-(IF('Informe Kelly'!H35=$A$2,'Informe Kelly'!F35,VLOOKUP(D41,$D$2:$E$4,2,FALSE)))</f>
        <v>#N/A</v>
      </c>
      <c r="F41" s="142" t="e">
        <f>IF('Informe Kelly'!H35=$A$3,'Informe Kelly'!F35,VLOOKUP(D41,$D$2:$F$4,3,FALSE))-(VLOOKUP(D41,$D$2:$F$4,3,FALSE))</f>
        <v>#N/A</v>
      </c>
      <c r="G41" s="137" t="e">
        <f t="shared" si="0"/>
        <v>#N/A</v>
      </c>
      <c r="J41" s="139" t="s">
        <v>963</v>
      </c>
      <c r="K41" s="140" t="e">
        <v>#N/A</v>
      </c>
      <c r="L41" s="112" t="e">
        <f>IF(J41="","",VLOOKUP(J41,Ingreso!K:AH,24,FALSE))</f>
        <v>#N/A</v>
      </c>
      <c r="M41" s="112" t="e">
        <f t="shared" si="1"/>
        <v>#N/A</v>
      </c>
    </row>
    <row r="42" spans="1:13">
      <c r="A42" s="112" t="str">
        <f>VLOOKUP('Informe Kelly'!A36,Base!A:B,2,FALSE)</f>
        <v>05.267.317-8</v>
      </c>
      <c r="B42" s="112" t="str">
        <f>VLOOKUP('Informe Kelly'!A36,Base!A:G,7,FALSE)</f>
        <v xml:space="preserve">DUARTE BECERRA LUIS </v>
      </c>
      <c r="C42" s="112" t="str">
        <f>'Informe Kelly'!E36</f>
        <v>09.04.2011</v>
      </c>
      <c r="D42" s="112" t="e">
        <f>VLOOKUP(A42,Ingreso!K:P,6,FALSE)</f>
        <v>#N/A</v>
      </c>
      <c r="E42" s="142" t="e">
        <f>(VLOOKUP(D42,$D$2:$E$4,2,FALSE))-(IF('Informe Kelly'!H36=$A$2,'Informe Kelly'!F36,VLOOKUP(D42,$D$2:$E$4,2,FALSE)))</f>
        <v>#N/A</v>
      </c>
      <c r="F42" s="142" t="e">
        <f>IF('Informe Kelly'!H36=$A$3,'Informe Kelly'!F36,VLOOKUP(D42,$D$2:$F$4,3,FALSE))-(VLOOKUP(D42,$D$2:$F$4,3,FALSE))</f>
        <v>#N/A</v>
      </c>
      <c r="G42" s="137" t="e">
        <f t="shared" si="0"/>
        <v>#N/A</v>
      </c>
      <c r="J42" s="139" t="s">
        <v>335</v>
      </c>
      <c r="K42" s="140" t="e">
        <v>#N/A</v>
      </c>
      <c r="L42" s="112" t="e">
        <f>IF(J42="","",VLOOKUP(J42,Ingreso!K:AH,24,FALSE))</f>
        <v>#N/A</v>
      </c>
      <c r="M42" s="112" t="e">
        <f t="shared" si="1"/>
        <v>#N/A</v>
      </c>
    </row>
    <row r="43" spans="1:13">
      <c r="A43" s="112" t="str">
        <f>VLOOKUP('Informe Kelly'!A37,Base!A:B,2,FALSE)</f>
        <v>05.267.317-8</v>
      </c>
      <c r="B43" s="112" t="str">
        <f>VLOOKUP('Informe Kelly'!A37,Base!A:G,7,FALSE)</f>
        <v xml:space="preserve">DUARTE BECERRA LUIS </v>
      </c>
      <c r="C43" s="112" t="str">
        <f>'Informe Kelly'!E37</f>
        <v>09.04.2011</v>
      </c>
      <c r="D43" s="112" t="e">
        <f>VLOOKUP(A43,Ingreso!K:P,6,FALSE)</f>
        <v>#N/A</v>
      </c>
      <c r="E43" s="142" t="e">
        <f>(VLOOKUP(D43,$D$2:$E$4,2,FALSE))-(IF('Informe Kelly'!H37=$A$2,'Informe Kelly'!F37,VLOOKUP(D43,$D$2:$E$4,2,FALSE)))</f>
        <v>#N/A</v>
      </c>
      <c r="F43" s="142" t="e">
        <f>IF('Informe Kelly'!H37=$A$3,'Informe Kelly'!F37,VLOOKUP(D43,$D$2:$F$4,3,FALSE))-(VLOOKUP(D43,$D$2:$F$4,3,FALSE))</f>
        <v>#N/A</v>
      </c>
      <c r="G43" s="137" t="e">
        <f t="shared" si="0"/>
        <v>#N/A</v>
      </c>
      <c r="J43" s="139" t="s">
        <v>1196</v>
      </c>
      <c r="K43" s="140" t="e">
        <v>#N/A</v>
      </c>
      <c r="L43" s="112" t="e">
        <f>IF(J43="","",VLOOKUP(J43,Ingreso!K:AH,24,FALSE))</f>
        <v>#N/A</v>
      </c>
      <c r="M43" s="112" t="e">
        <f t="shared" si="1"/>
        <v>#N/A</v>
      </c>
    </row>
    <row r="44" spans="1:13">
      <c r="A44" s="112" t="str">
        <f>VLOOKUP('Informe Kelly'!A38,Base!A:B,2,FALSE)</f>
        <v>05.281.950-4</v>
      </c>
      <c r="B44" s="112" t="str">
        <f>VLOOKUP('Informe Kelly'!A38,Base!A:G,7,FALSE)</f>
        <v>FUENTES  YAÑEZ,BLANCA</v>
      </c>
      <c r="C44" s="112" t="str">
        <f>'Informe Kelly'!E38</f>
        <v>04.04.2011</v>
      </c>
      <c r="D44" s="112" t="e">
        <f>VLOOKUP(A44,Ingreso!K:P,6,FALSE)</f>
        <v>#N/A</v>
      </c>
      <c r="E44" s="142" t="e">
        <f>(VLOOKUP(D44,$D$2:$E$4,2,FALSE))-(IF('Informe Kelly'!H38=$A$2,'Informe Kelly'!F38,VLOOKUP(D44,$D$2:$E$4,2,FALSE)))</f>
        <v>#N/A</v>
      </c>
      <c r="F44" s="142" t="e">
        <f>IF('Informe Kelly'!H38=$A$3,'Informe Kelly'!F38,VLOOKUP(D44,$D$2:$F$4,3,FALSE))-(VLOOKUP(D44,$D$2:$F$4,3,FALSE))</f>
        <v>#N/A</v>
      </c>
      <c r="G44" s="137" t="e">
        <f t="shared" si="0"/>
        <v>#N/A</v>
      </c>
      <c r="J44" s="139" t="s">
        <v>567</v>
      </c>
      <c r="K44" s="140" t="e">
        <v>#N/A</v>
      </c>
      <c r="L44" s="112" t="e">
        <f>IF(J44="","",VLOOKUP(J44,Ingreso!K:AH,24,FALSE))</f>
        <v>#N/A</v>
      </c>
      <c r="M44" s="112" t="e">
        <f t="shared" si="1"/>
        <v>#N/A</v>
      </c>
    </row>
    <row r="45" spans="1:13">
      <c r="A45" s="112" t="str">
        <f>VLOOKUP('Informe Kelly'!A39,Base!A:B,2,FALSE)</f>
        <v>05.281.950-4</v>
      </c>
      <c r="B45" s="112" t="str">
        <f>VLOOKUP('Informe Kelly'!A39,Base!A:G,7,FALSE)</f>
        <v>FUENTES  YAÑEZ,BLANCA</v>
      </c>
      <c r="C45" s="112" t="str">
        <f>'Informe Kelly'!E39</f>
        <v>04.04.2011</v>
      </c>
      <c r="D45" s="112" t="e">
        <f>VLOOKUP(A45,Ingreso!K:P,6,FALSE)</f>
        <v>#N/A</v>
      </c>
      <c r="E45" s="142" t="e">
        <f>(VLOOKUP(D45,$D$2:$E$4,2,FALSE))-(IF('Informe Kelly'!H39=$A$2,'Informe Kelly'!F39,VLOOKUP(D45,$D$2:$E$4,2,FALSE)))</f>
        <v>#N/A</v>
      </c>
      <c r="F45" s="142" t="e">
        <f>IF('Informe Kelly'!H39=$A$3,'Informe Kelly'!F39,VLOOKUP(D45,$D$2:$F$4,3,FALSE))-(VLOOKUP(D45,$D$2:$F$4,3,FALSE))</f>
        <v>#N/A</v>
      </c>
      <c r="G45" s="137" t="e">
        <f t="shared" si="0"/>
        <v>#N/A</v>
      </c>
      <c r="J45" s="139" t="s">
        <v>1026</v>
      </c>
      <c r="K45" s="140" t="e">
        <v>#N/A</v>
      </c>
      <c r="L45" s="112" t="e">
        <f>IF(J45="","",VLOOKUP(J45,Ingreso!K:AH,24,FALSE))</f>
        <v>#N/A</v>
      </c>
      <c r="M45" s="112" t="e">
        <f t="shared" si="1"/>
        <v>#N/A</v>
      </c>
    </row>
    <row r="46" spans="1:13">
      <c r="A46" s="112" t="str">
        <f>VLOOKUP('Informe Kelly'!A40,Base!A:B,2,FALSE)</f>
        <v>05.281.950-4</v>
      </c>
      <c r="B46" s="112" t="str">
        <f>VLOOKUP('Informe Kelly'!A40,Base!A:G,7,FALSE)</f>
        <v>FUENTES  YAÑEZ,BLANCA</v>
      </c>
      <c r="C46" s="112" t="str">
        <f>'Informe Kelly'!E40</f>
        <v>05.04.2011</v>
      </c>
      <c r="D46" s="112" t="e">
        <f>VLOOKUP(A46,Ingreso!K:P,6,FALSE)</f>
        <v>#N/A</v>
      </c>
      <c r="E46" s="142" t="e">
        <f>(VLOOKUP(D46,$D$2:$E$4,2,FALSE))-(IF('Informe Kelly'!H40=$A$2,'Informe Kelly'!F40,VLOOKUP(D46,$D$2:$E$4,2,FALSE)))</f>
        <v>#N/A</v>
      </c>
      <c r="F46" s="142" t="e">
        <f>IF('Informe Kelly'!H40=$A$3,'Informe Kelly'!F40,VLOOKUP(D46,$D$2:$F$4,3,FALSE))-(VLOOKUP(D46,$D$2:$F$4,3,FALSE))</f>
        <v>#N/A</v>
      </c>
      <c r="G46" s="137" t="e">
        <f t="shared" si="0"/>
        <v>#N/A</v>
      </c>
      <c r="J46" s="139" t="s">
        <v>1277</v>
      </c>
      <c r="K46" s="140" t="e">
        <v>#N/A</v>
      </c>
      <c r="L46" s="112" t="e">
        <f>IF(J46="","",VLOOKUP(J46,Ingreso!K:AH,24,FALSE))</f>
        <v>#N/A</v>
      </c>
      <c r="M46" s="112" t="e">
        <f t="shared" si="1"/>
        <v>#N/A</v>
      </c>
    </row>
    <row r="47" spans="1:13">
      <c r="A47" s="112" t="str">
        <f>VLOOKUP('Informe Kelly'!A41,Base!A:B,2,FALSE)</f>
        <v>05.281.950-4</v>
      </c>
      <c r="B47" s="112" t="str">
        <f>VLOOKUP('Informe Kelly'!A41,Base!A:G,7,FALSE)</f>
        <v>FUENTES  YAÑEZ,BLANCA</v>
      </c>
      <c r="C47" s="112" t="str">
        <f>'Informe Kelly'!E41</f>
        <v>05.04.2011</v>
      </c>
      <c r="D47" s="112" t="e">
        <f>VLOOKUP(A47,Ingreso!K:P,6,FALSE)</f>
        <v>#N/A</v>
      </c>
      <c r="E47" s="142" t="e">
        <f>(VLOOKUP(D47,$D$2:$E$4,2,FALSE))-(IF('Informe Kelly'!H41=$A$2,'Informe Kelly'!F41,VLOOKUP(D47,$D$2:$E$4,2,FALSE)))</f>
        <v>#N/A</v>
      </c>
      <c r="F47" s="142" t="e">
        <f>IF('Informe Kelly'!H41=$A$3,'Informe Kelly'!F41,VLOOKUP(D47,$D$2:$F$4,3,FALSE))-(VLOOKUP(D47,$D$2:$F$4,3,FALSE))</f>
        <v>#N/A</v>
      </c>
      <c r="G47" s="137" t="e">
        <f t="shared" si="0"/>
        <v>#N/A</v>
      </c>
      <c r="J47" s="139" t="s">
        <v>49</v>
      </c>
      <c r="K47" s="140" t="e">
        <v>#N/A</v>
      </c>
      <c r="L47" s="112" t="e">
        <f>IF(J47="","",VLOOKUP(J47,Ingreso!K:AH,24,FALSE))</f>
        <v>#N/A</v>
      </c>
      <c r="M47" s="112" t="e">
        <f t="shared" si="1"/>
        <v>#N/A</v>
      </c>
    </row>
    <row r="48" spans="1:13">
      <c r="A48" s="112" t="str">
        <f>VLOOKUP('Informe Kelly'!A42,Base!A:B,2,FALSE)</f>
        <v>05.281.950-4</v>
      </c>
      <c r="B48" s="112" t="str">
        <f>VLOOKUP('Informe Kelly'!A42,Base!A:G,7,FALSE)</f>
        <v>FUENTES  YAÑEZ,BLANCA</v>
      </c>
      <c r="C48" s="112" t="str">
        <f>'Informe Kelly'!E42</f>
        <v>06.04.2011</v>
      </c>
      <c r="D48" s="112" t="e">
        <f>VLOOKUP(A48,Ingreso!K:P,6,FALSE)</f>
        <v>#N/A</v>
      </c>
      <c r="E48" s="142" t="e">
        <f>(VLOOKUP(D48,$D$2:$E$4,2,FALSE))-(IF('Informe Kelly'!H42=$A$2,'Informe Kelly'!F42,VLOOKUP(D48,$D$2:$E$4,2,FALSE)))</f>
        <v>#N/A</v>
      </c>
      <c r="F48" s="142" t="e">
        <f>IF('Informe Kelly'!H42=$A$3,'Informe Kelly'!F42,VLOOKUP(D48,$D$2:$F$4,3,FALSE))-(VLOOKUP(D48,$D$2:$F$4,3,FALSE))</f>
        <v>#N/A</v>
      </c>
      <c r="G48" s="137" t="e">
        <f t="shared" si="0"/>
        <v>#N/A</v>
      </c>
      <c r="J48" s="139" t="s">
        <v>990</v>
      </c>
      <c r="K48" s="140" t="e">
        <v>#N/A</v>
      </c>
      <c r="L48" s="112" t="e">
        <f>IF(J48="","",VLOOKUP(J48,Ingreso!K:AH,24,FALSE))</f>
        <v>#N/A</v>
      </c>
      <c r="M48" s="112" t="e">
        <f t="shared" si="1"/>
        <v>#N/A</v>
      </c>
    </row>
    <row r="49" spans="1:13">
      <c r="A49" s="112" t="str">
        <f>VLOOKUP('Informe Kelly'!A43,Base!A:B,2,FALSE)</f>
        <v>05.281.950-4</v>
      </c>
      <c r="B49" s="112" t="str">
        <f>VLOOKUP('Informe Kelly'!A43,Base!A:G,7,FALSE)</f>
        <v>FUENTES  YAÑEZ,BLANCA</v>
      </c>
      <c r="C49" s="112" t="str">
        <f>'Informe Kelly'!E43</f>
        <v>06.04.2011</v>
      </c>
      <c r="D49" s="112" t="e">
        <f>VLOOKUP(A49,Ingreso!K:P,6,FALSE)</f>
        <v>#N/A</v>
      </c>
      <c r="E49" s="142" t="e">
        <f>(VLOOKUP(D49,$D$2:$E$4,2,FALSE))-(IF('Informe Kelly'!H43=$A$2,'Informe Kelly'!F43,VLOOKUP(D49,$D$2:$E$4,2,FALSE)))</f>
        <v>#N/A</v>
      </c>
      <c r="F49" s="142" t="e">
        <f>IF('Informe Kelly'!H43=$A$3,'Informe Kelly'!F43,VLOOKUP(D49,$D$2:$F$4,3,FALSE))-(VLOOKUP(D49,$D$2:$F$4,3,FALSE))</f>
        <v>#N/A</v>
      </c>
      <c r="G49" s="137" t="e">
        <f t="shared" si="0"/>
        <v>#N/A</v>
      </c>
      <c r="J49" s="139" t="s">
        <v>1186</v>
      </c>
      <c r="K49" s="140" t="e">
        <v>#N/A</v>
      </c>
      <c r="L49" s="112" t="e">
        <f>IF(J49="","",VLOOKUP(J49,Ingreso!K:AH,24,FALSE))</f>
        <v>#N/A</v>
      </c>
      <c r="M49" s="112" t="e">
        <f t="shared" si="1"/>
        <v>#N/A</v>
      </c>
    </row>
    <row r="50" spans="1:13">
      <c r="A50" s="112" t="str">
        <f>VLOOKUP('Informe Kelly'!A44,Base!A:B,2,FALSE)</f>
        <v>05.281.950-4</v>
      </c>
      <c r="B50" s="112" t="str">
        <f>VLOOKUP('Informe Kelly'!A44,Base!A:G,7,FALSE)</f>
        <v>FUENTES  YAÑEZ,BLANCA</v>
      </c>
      <c r="C50" s="112" t="str">
        <f>'Informe Kelly'!E44</f>
        <v>07.04.2011</v>
      </c>
      <c r="D50" s="112" t="e">
        <f>VLOOKUP(A50,Ingreso!K:P,6,FALSE)</f>
        <v>#N/A</v>
      </c>
      <c r="E50" s="142" t="e">
        <f>(VLOOKUP(D50,$D$2:$E$4,2,FALSE))-(IF('Informe Kelly'!H44=$A$2,'Informe Kelly'!F44,VLOOKUP(D50,$D$2:$E$4,2,FALSE)))</f>
        <v>#N/A</v>
      </c>
      <c r="F50" s="142" t="e">
        <f>IF('Informe Kelly'!H44=$A$3,'Informe Kelly'!F44,VLOOKUP(D50,$D$2:$F$4,3,FALSE))-(VLOOKUP(D50,$D$2:$F$4,3,FALSE))</f>
        <v>#N/A</v>
      </c>
      <c r="G50" s="137" t="e">
        <f t="shared" si="0"/>
        <v>#N/A</v>
      </c>
      <c r="J50" s="139" t="s">
        <v>761</v>
      </c>
      <c r="K50" s="140" t="e">
        <v>#N/A</v>
      </c>
      <c r="L50" s="112" t="e">
        <f>IF(J50="","",VLOOKUP(J50,Ingreso!K:AH,24,FALSE))</f>
        <v>#N/A</v>
      </c>
      <c r="M50" s="112" t="e">
        <f t="shared" si="1"/>
        <v>#N/A</v>
      </c>
    </row>
    <row r="51" spans="1:13">
      <c r="A51" s="112" t="str">
        <f>VLOOKUP('Informe Kelly'!A45,Base!A:B,2,FALSE)</f>
        <v>05.281.950-4</v>
      </c>
      <c r="B51" s="112" t="str">
        <f>VLOOKUP('Informe Kelly'!A45,Base!A:G,7,FALSE)</f>
        <v>FUENTES  YAÑEZ,BLANCA</v>
      </c>
      <c r="C51" s="112" t="str">
        <f>'Informe Kelly'!E45</f>
        <v>07.04.2011</v>
      </c>
      <c r="D51" s="112" t="e">
        <f>VLOOKUP(A51,Ingreso!K:P,6,FALSE)</f>
        <v>#N/A</v>
      </c>
      <c r="E51" s="142" t="e">
        <f>(VLOOKUP(D51,$D$2:$E$4,2,FALSE))-(IF('Informe Kelly'!H45=$A$2,'Informe Kelly'!F45,VLOOKUP(D51,$D$2:$E$4,2,FALSE)))</f>
        <v>#N/A</v>
      </c>
      <c r="F51" s="142" t="e">
        <f>IF('Informe Kelly'!H45=$A$3,'Informe Kelly'!F45,VLOOKUP(D51,$D$2:$F$4,3,FALSE))-(VLOOKUP(D51,$D$2:$F$4,3,FALSE))</f>
        <v>#N/A</v>
      </c>
      <c r="G51" s="137" t="e">
        <f t="shared" si="0"/>
        <v>#N/A</v>
      </c>
      <c r="J51" s="139" t="s">
        <v>128</v>
      </c>
      <c r="K51" s="140" t="e">
        <v>#N/A</v>
      </c>
      <c r="L51" s="112" t="e">
        <f>IF(J51="","",VLOOKUP(J51,Ingreso!K:AH,24,FALSE))</f>
        <v>#N/A</v>
      </c>
      <c r="M51" s="112" t="e">
        <f t="shared" si="1"/>
        <v>#N/A</v>
      </c>
    </row>
    <row r="52" spans="1:13">
      <c r="A52" s="112" t="str">
        <f>VLOOKUP('Informe Kelly'!A46,Base!A:B,2,FALSE)</f>
        <v>05.281.950-4</v>
      </c>
      <c r="B52" s="112" t="str">
        <f>VLOOKUP('Informe Kelly'!A46,Base!A:G,7,FALSE)</f>
        <v>FUENTES  YAÑEZ,BLANCA</v>
      </c>
      <c r="C52" s="112" t="str">
        <f>'Informe Kelly'!E46</f>
        <v>08.04.2011</v>
      </c>
      <c r="D52" s="112" t="e">
        <f>VLOOKUP(A52,Ingreso!K:P,6,FALSE)</f>
        <v>#N/A</v>
      </c>
      <c r="E52" s="142" t="e">
        <f>(VLOOKUP(D52,$D$2:$E$4,2,FALSE))-(IF('Informe Kelly'!H46=$A$2,'Informe Kelly'!F46,VLOOKUP(D52,$D$2:$E$4,2,FALSE)))</f>
        <v>#N/A</v>
      </c>
      <c r="F52" s="142" t="e">
        <f>IF('Informe Kelly'!H46=$A$3,'Informe Kelly'!F46,VLOOKUP(D52,$D$2:$F$4,3,FALSE))-(VLOOKUP(D52,$D$2:$F$4,3,FALSE))</f>
        <v>#N/A</v>
      </c>
      <c r="G52" s="137" t="e">
        <f t="shared" si="0"/>
        <v>#N/A</v>
      </c>
      <c r="J52" s="139" t="s">
        <v>146</v>
      </c>
      <c r="K52" s="140" t="e">
        <v>#N/A</v>
      </c>
      <c r="L52" s="112" t="e">
        <f>IF(J52="","",VLOOKUP(J52,Ingreso!K:AH,24,FALSE))</f>
        <v>#N/A</v>
      </c>
      <c r="M52" s="112" t="e">
        <f t="shared" si="1"/>
        <v>#N/A</v>
      </c>
    </row>
    <row r="53" spans="1:13">
      <c r="A53" s="112" t="str">
        <f>VLOOKUP('Informe Kelly'!A47,Base!A:B,2,FALSE)</f>
        <v>05.281.950-4</v>
      </c>
      <c r="B53" s="112" t="str">
        <f>VLOOKUP('Informe Kelly'!A47,Base!A:G,7,FALSE)</f>
        <v>FUENTES  YAÑEZ,BLANCA</v>
      </c>
      <c r="C53" s="112" t="str">
        <f>'Informe Kelly'!E47</f>
        <v>08.04.2011</v>
      </c>
      <c r="D53" s="112" t="e">
        <f>VLOOKUP(A53,Ingreso!K:P,6,FALSE)</f>
        <v>#N/A</v>
      </c>
      <c r="E53" s="142" t="e">
        <f>(VLOOKUP(D53,$D$2:$E$4,2,FALSE))-(IF('Informe Kelly'!H47=$A$2,'Informe Kelly'!F47,VLOOKUP(D53,$D$2:$E$4,2,FALSE)))</f>
        <v>#N/A</v>
      </c>
      <c r="F53" s="142" t="e">
        <f>IF('Informe Kelly'!H47=$A$3,'Informe Kelly'!F47,VLOOKUP(D53,$D$2:$F$4,3,FALSE))-(VLOOKUP(D53,$D$2:$F$4,3,FALSE))</f>
        <v>#N/A</v>
      </c>
      <c r="G53" s="137" t="e">
        <f t="shared" si="0"/>
        <v>#N/A</v>
      </c>
      <c r="J53" s="139" t="s">
        <v>245</v>
      </c>
      <c r="K53" s="140" t="e">
        <v>#N/A</v>
      </c>
      <c r="L53" s="112" t="e">
        <f>IF(J53="","",VLOOKUP(J53,Ingreso!K:AH,24,FALSE))</f>
        <v>#N/A</v>
      </c>
      <c r="M53" s="112" t="e">
        <f t="shared" si="1"/>
        <v>#N/A</v>
      </c>
    </row>
    <row r="54" spans="1:13">
      <c r="A54" s="112" t="str">
        <f>VLOOKUP('Informe Kelly'!A48,Base!A:B,2,FALSE)</f>
        <v>05.281.950-4</v>
      </c>
      <c r="B54" s="112" t="str">
        <f>VLOOKUP('Informe Kelly'!A48,Base!A:G,7,FALSE)</f>
        <v>FUENTES  YAÑEZ,BLANCA</v>
      </c>
      <c r="C54" s="112" t="str">
        <f>'Informe Kelly'!E48</f>
        <v>09.04.2011</v>
      </c>
      <c r="D54" s="112" t="e">
        <f>VLOOKUP(A54,Ingreso!K:P,6,FALSE)</f>
        <v>#N/A</v>
      </c>
      <c r="E54" s="142" t="e">
        <f>(VLOOKUP(D54,$D$2:$E$4,2,FALSE))-(IF('Informe Kelly'!H48=$A$2,'Informe Kelly'!F48,VLOOKUP(D54,$D$2:$E$4,2,FALSE)))</f>
        <v>#N/A</v>
      </c>
      <c r="F54" s="142" t="e">
        <f>IF('Informe Kelly'!H48=$A$3,'Informe Kelly'!F48,VLOOKUP(D54,$D$2:$F$4,3,FALSE))-(VLOOKUP(D54,$D$2:$F$4,3,FALSE))</f>
        <v>#N/A</v>
      </c>
      <c r="G54" s="137" t="e">
        <f t="shared" si="0"/>
        <v>#N/A</v>
      </c>
      <c r="J54" s="139" t="s">
        <v>1159</v>
      </c>
      <c r="K54" s="140" t="e">
        <v>#N/A</v>
      </c>
      <c r="L54" s="112" t="e">
        <f>IF(J54="","",VLOOKUP(J54,Ingreso!K:AH,24,FALSE))</f>
        <v>#N/A</v>
      </c>
      <c r="M54" s="112" t="e">
        <f t="shared" si="1"/>
        <v>#N/A</v>
      </c>
    </row>
    <row r="55" spans="1:13">
      <c r="A55" s="112" t="str">
        <f>VLOOKUP('Informe Kelly'!A49,Base!A:B,2,FALSE)</f>
        <v>05.281.950-4</v>
      </c>
      <c r="B55" s="112" t="str">
        <f>VLOOKUP('Informe Kelly'!A49,Base!A:G,7,FALSE)</f>
        <v>FUENTES  YAÑEZ,BLANCA</v>
      </c>
      <c r="C55" s="112" t="str">
        <f>'Informe Kelly'!E49</f>
        <v>09.04.2011</v>
      </c>
      <c r="D55" s="112" t="e">
        <f>VLOOKUP(A55,Ingreso!K:P,6,FALSE)</f>
        <v>#N/A</v>
      </c>
      <c r="E55" s="142" t="e">
        <f>(VLOOKUP(D55,$D$2:$E$4,2,FALSE))-(IF('Informe Kelly'!H49=$A$2,'Informe Kelly'!F49,VLOOKUP(D55,$D$2:$E$4,2,FALSE)))</f>
        <v>#N/A</v>
      </c>
      <c r="F55" s="142" t="e">
        <f>IF('Informe Kelly'!H49=$A$3,'Informe Kelly'!F49,VLOOKUP(D55,$D$2:$F$4,3,FALSE))-(VLOOKUP(D55,$D$2:$F$4,3,FALSE))</f>
        <v>#N/A</v>
      </c>
      <c r="G55" s="137" t="e">
        <f t="shared" si="0"/>
        <v>#N/A</v>
      </c>
      <c r="J55" s="139" t="s">
        <v>228</v>
      </c>
      <c r="K55" s="140" t="e">
        <v>#N/A</v>
      </c>
      <c r="L55" s="112" t="e">
        <f>IF(J55="","",VLOOKUP(J55,Ingreso!K:AH,24,FALSE))</f>
        <v>#N/A</v>
      </c>
      <c r="M55" s="112" t="e">
        <f t="shared" si="1"/>
        <v>#N/A</v>
      </c>
    </row>
    <row r="56" spans="1:13">
      <c r="A56" s="112" t="str">
        <f>VLOOKUP('Informe Kelly'!A50,Base!A:B,2,FALSE)</f>
        <v>05.428.350-4</v>
      </c>
      <c r="B56" s="112" t="str">
        <f>VLOOKUP('Informe Kelly'!A50,Base!A:G,7,FALSE)</f>
        <v>GALAZ  DEL,PINO NELSON</v>
      </c>
      <c r="C56" s="112" t="str">
        <f>'Informe Kelly'!E50</f>
        <v>07.04.2011</v>
      </c>
      <c r="D56" s="112" t="e">
        <f>VLOOKUP(A56,Ingreso!K:P,6,FALSE)</f>
        <v>#N/A</v>
      </c>
      <c r="E56" s="142" t="e">
        <f>(VLOOKUP(D56,$D$2:$E$4,2,FALSE))-(IF('Informe Kelly'!H50=$A$2,'Informe Kelly'!F50,VLOOKUP(D56,$D$2:$E$4,2,FALSE)))</f>
        <v>#N/A</v>
      </c>
      <c r="F56" s="142" t="e">
        <f>IF('Informe Kelly'!H50=$A$3,'Informe Kelly'!F50,VLOOKUP(D56,$D$2:$F$4,3,FALSE))-(VLOOKUP(D56,$D$2:$F$4,3,FALSE))</f>
        <v>#N/A</v>
      </c>
      <c r="G56" s="137" t="e">
        <f t="shared" si="0"/>
        <v>#N/A</v>
      </c>
      <c r="J56" s="139" t="s">
        <v>257</v>
      </c>
      <c r="K56" s="140" t="e">
        <v>#N/A</v>
      </c>
      <c r="L56" s="112" t="e">
        <f>IF(J56="","",VLOOKUP(J56,Ingreso!K:AH,24,FALSE))</f>
        <v>#N/A</v>
      </c>
      <c r="M56" s="112" t="e">
        <f t="shared" si="1"/>
        <v>#N/A</v>
      </c>
    </row>
    <row r="57" spans="1:13">
      <c r="A57" s="112" t="str">
        <f>VLOOKUP('Informe Kelly'!A51,Base!A:B,2,FALSE)</f>
        <v>05.428.350-4</v>
      </c>
      <c r="B57" s="112" t="str">
        <f>VLOOKUP('Informe Kelly'!A51,Base!A:G,7,FALSE)</f>
        <v>GALAZ  DEL,PINO NELSON</v>
      </c>
      <c r="C57" s="112" t="str">
        <f>'Informe Kelly'!E51</f>
        <v>07.04.2011</v>
      </c>
      <c r="D57" s="112" t="e">
        <f>VLOOKUP(A57,Ingreso!K:P,6,FALSE)</f>
        <v>#N/A</v>
      </c>
      <c r="E57" s="142" t="e">
        <f>(VLOOKUP(D57,$D$2:$E$4,2,FALSE))-(IF('Informe Kelly'!H51=$A$2,'Informe Kelly'!F51,VLOOKUP(D57,$D$2:$E$4,2,FALSE)))</f>
        <v>#N/A</v>
      </c>
      <c r="F57" s="142" t="e">
        <f>IF('Informe Kelly'!H51=$A$3,'Informe Kelly'!F51,VLOOKUP(D57,$D$2:$F$4,3,FALSE))-(VLOOKUP(D57,$D$2:$F$4,3,FALSE))</f>
        <v>#N/A</v>
      </c>
      <c r="G57" s="137" t="e">
        <f t="shared" si="0"/>
        <v>#N/A</v>
      </c>
      <c r="J57" s="139" t="s">
        <v>1017</v>
      </c>
      <c r="K57" s="140" t="e">
        <v>#N/A</v>
      </c>
      <c r="L57" s="112" t="e">
        <f>IF(J57="","",VLOOKUP(J57,Ingreso!K:AH,24,FALSE))</f>
        <v>#N/A</v>
      </c>
      <c r="M57" s="112" t="e">
        <f t="shared" si="1"/>
        <v>#N/A</v>
      </c>
    </row>
    <row r="58" spans="1:13">
      <c r="A58" s="112" t="str">
        <f>VLOOKUP('Informe Kelly'!A52,Base!A:B,2,FALSE)</f>
        <v>05.428.350-4</v>
      </c>
      <c r="B58" s="112" t="str">
        <f>VLOOKUP('Informe Kelly'!A52,Base!A:G,7,FALSE)</f>
        <v>GALAZ  DEL,PINO NELSON</v>
      </c>
      <c r="C58" s="112" t="str">
        <f>'Informe Kelly'!E52</f>
        <v>08.04.2011</v>
      </c>
      <c r="D58" s="112" t="e">
        <f>VLOOKUP(A58,Ingreso!K:P,6,FALSE)</f>
        <v>#N/A</v>
      </c>
      <c r="E58" s="142" t="e">
        <f>(VLOOKUP(D58,$D$2:$E$4,2,FALSE))-(IF('Informe Kelly'!H52=$A$2,'Informe Kelly'!F52,VLOOKUP(D58,$D$2:$E$4,2,FALSE)))</f>
        <v>#N/A</v>
      </c>
      <c r="F58" s="142" t="e">
        <f>IF('Informe Kelly'!H52=$A$3,'Informe Kelly'!F52,VLOOKUP(D58,$D$2:$F$4,3,FALSE))-(VLOOKUP(D58,$D$2:$F$4,3,FALSE))</f>
        <v>#N/A</v>
      </c>
      <c r="G58" s="137" t="e">
        <f t="shared" si="0"/>
        <v>#N/A</v>
      </c>
      <c r="J58" s="139" t="s">
        <v>947</v>
      </c>
      <c r="K58" s="140" t="e">
        <v>#N/A</v>
      </c>
      <c r="L58" s="112" t="e">
        <f>IF(J58="","",VLOOKUP(J58,Ingreso!K:AH,24,FALSE))</f>
        <v>#N/A</v>
      </c>
      <c r="M58" s="112" t="e">
        <f t="shared" si="1"/>
        <v>#N/A</v>
      </c>
    </row>
    <row r="59" spans="1:13">
      <c r="A59" s="112" t="str">
        <f>VLOOKUP('Informe Kelly'!A53,Base!A:B,2,FALSE)</f>
        <v>05.428.350-4</v>
      </c>
      <c r="B59" s="112" t="str">
        <f>VLOOKUP('Informe Kelly'!A53,Base!A:G,7,FALSE)</f>
        <v>GALAZ  DEL,PINO NELSON</v>
      </c>
      <c r="C59" s="112" t="str">
        <f>'Informe Kelly'!E53</f>
        <v>08.04.2011</v>
      </c>
      <c r="D59" s="112" t="e">
        <f>VLOOKUP(A59,Ingreso!K:P,6,FALSE)</f>
        <v>#N/A</v>
      </c>
      <c r="E59" s="142" t="e">
        <f>(VLOOKUP(D59,$D$2:$E$4,2,FALSE))-(IF('Informe Kelly'!H53=$A$2,'Informe Kelly'!F53,VLOOKUP(D59,$D$2:$E$4,2,FALSE)))</f>
        <v>#N/A</v>
      </c>
      <c r="F59" s="142" t="e">
        <f>IF('Informe Kelly'!H53=$A$3,'Informe Kelly'!F53,VLOOKUP(D59,$D$2:$F$4,3,FALSE))-(VLOOKUP(D59,$D$2:$F$4,3,FALSE))</f>
        <v>#N/A</v>
      </c>
      <c r="G59" s="137" t="e">
        <f t="shared" si="0"/>
        <v>#N/A</v>
      </c>
      <c r="J59" s="139" t="s">
        <v>431</v>
      </c>
      <c r="K59" s="140" t="e">
        <v>#N/A</v>
      </c>
      <c r="L59" s="112" t="e">
        <f>IF(J59="","",VLOOKUP(J59,Ingreso!K:AH,24,FALSE))</f>
        <v>#N/A</v>
      </c>
      <c r="M59" s="112" t="e">
        <f t="shared" si="1"/>
        <v>#N/A</v>
      </c>
    </row>
    <row r="60" spans="1:13">
      <c r="A60" s="112" t="str">
        <f>VLOOKUP('Informe Kelly'!A54,Base!A:B,2,FALSE)</f>
        <v>05.428.350-4</v>
      </c>
      <c r="B60" s="112" t="str">
        <f>VLOOKUP('Informe Kelly'!A54,Base!A:G,7,FALSE)</f>
        <v>GALAZ  DEL,PINO NELSON</v>
      </c>
      <c r="C60" s="112" t="str">
        <f>'Informe Kelly'!E54</f>
        <v>09.04.2011</v>
      </c>
      <c r="D60" s="112" t="e">
        <f>VLOOKUP(A60,Ingreso!K:P,6,FALSE)</f>
        <v>#N/A</v>
      </c>
      <c r="E60" s="142" t="e">
        <f>(VLOOKUP(D60,$D$2:$E$4,2,FALSE))-(IF('Informe Kelly'!H54=$A$2,'Informe Kelly'!F54,VLOOKUP(D60,$D$2:$E$4,2,FALSE)))</f>
        <v>#N/A</v>
      </c>
      <c r="F60" s="142" t="e">
        <f>IF('Informe Kelly'!H54=$A$3,'Informe Kelly'!F54,VLOOKUP(D60,$D$2:$F$4,3,FALSE))-(VLOOKUP(D60,$D$2:$F$4,3,FALSE))</f>
        <v>#N/A</v>
      </c>
      <c r="G60" s="137" t="e">
        <f t="shared" si="0"/>
        <v>#N/A</v>
      </c>
      <c r="J60" s="139" t="s">
        <v>550</v>
      </c>
      <c r="K60" s="140" t="e">
        <v>#N/A</v>
      </c>
      <c r="L60" s="112" t="e">
        <f>IF(J60="","",VLOOKUP(J60,Ingreso!K:AH,24,FALSE))</f>
        <v>#N/A</v>
      </c>
      <c r="M60" s="112" t="e">
        <f t="shared" si="1"/>
        <v>#N/A</v>
      </c>
    </row>
    <row r="61" spans="1:13">
      <c r="A61" s="112" t="str">
        <f>VLOOKUP('Informe Kelly'!A55,Base!A:B,2,FALSE)</f>
        <v>05.428.350-4</v>
      </c>
      <c r="B61" s="112" t="str">
        <f>VLOOKUP('Informe Kelly'!A55,Base!A:G,7,FALSE)</f>
        <v>GALAZ  DEL,PINO NELSON</v>
      </c>
      <c r="C61" s="112" t="str">
        <f>'Informe Kelly'!E55</f>
        <v>09.04.2011</v>
      </c>
      <c r="D61" s="112" t="e">
        <f>VLOOKUP(A61,Ingreso!K:P,6,FALSE)</f>
        <v>#N/A</v>
      </c>
      <c r="E61" s="142" t="e">
        <f>(VLOOKUP(D61,$D$2:$E$4,2,FALSE))-(IF('Informe Kelly'!H55=$A$2,'Informe Kelly'!F55,VLOOKUP(D61,$D$2:$E$4,2,FALSE)))</f>
        <v>#N/A</v>
      </c>
      <c r="F61" s="142" t="e">
        <f>IF('Informe Kelly'!H55=$A$3,'Informe Kelly'!F55,VLOOKUP(D61,$D$2:$F$4,3,FALSE))-(VLOOKUP(D61,$D$2:$F$4,3,FALSE))</f>
        <v>#N/A</v>
      </c>
      <c r="G61" s="137" t="e">
        <f t="shared" si="0"/>
        <v>#N/A</v>
      </c>
      <c r="J61" s="139" t="s">
        <v>65</v>
      </c>
      <c r="K61" s="140" t="e">
        <v>#N/A</v>
      </c>
      <c r="L61" s="112" t="e">
        <f>IF(J61="","",VLOOKUP(J61,Ingreso!K:AH,24,FALSE))</f>
        <v>#N/A</v>
      </c>
      <c r="M61" s="112" t="e">
        <f t="shared" si="1"/>
        <v>#N/A</v>
      </c>
    </row>
    <row r="62" spans="1:13">
      <c r="A62" s="112" t="str">
        <f>VLOOKUP('Informe Kelly'!A56,Base!A:B,2,FALSE)</f>
        <v>5.738.427-1</v>
      </c>
      <c r="B62" s="112" t="str">
        <f>VLOOKUP('Informe Kelly'!A56,Base!A:G,7,FALSE)</f>
        <v>MARTINEZ VASQUEZ RAÚL</v>
      </c>
      <c r="C62" s="112" t="str">
        <f>'Informe Kelly'!E56</f>
        <v>04.04.2011</v>
      </c>
      <c r="D62" s="112" t="e">
        <f>VLOOKUP(A62,Ingreso!K:P,6,FALSE)</f>
        <v>#N/A</v>
      </c>
      <c r="E62" s="142" t="e">
        <f>(VLOOKUP(D62,$D$2:$E$4,2,FALSE))-(IF('Informe Kelly'!H56=$A$2,'Informe Kelly'!F56,VLOOKUP(D62,$D$2:$E$4,2,FALSE)))</f>
        <v>#N/A</v>
      </c>
      <c r="F62" s="142" t="e">
        <f>IF('Informe Kelly'!H56=$A$3,'Informe Kelly'!F56,VLOOKUP(D62,$D$2:$F$4,3,FALSE))-(VLOOKUP(D62,$D$2:$F$4,3,FALSE))</f>
        <v>#N/A</v>
      </c>
      <c r="G62" s="137" t="e">
        <f t="shared" si="0"/>
        <v>#N/A</v>
      </c>
      <c r="J62" s="139" t="s">
        <v>1100</v>
      </c>
      <c r="K62" s="140" t="e">
        <v>#N/A</v>
      </c>
      <c r="L62" s="112" t="e">
        <f>IF(J62="","",VLOOKUP(J62,Ingreso!K:AH,24,FALSE))</f>
        <v>#N/A</v>
      </c>
      <c r="M62" s="112" t="e">
        <f t="shared" si="1"/>
        <v>#N/A</v>
      </c>
    </row>
    <row r="63" spans="1:13">
      <c r="A63" s="112" t="str">
        <f>VLOOKUP('Informe Kelly'!A57,Base!A:B,2,FALSE)</f>
        <v>5.738.427-1</v>
      </c>
      <c r="B63" s="112" t="str">
        <f>VLOOKUP('Informe Kelly'!A57,Base!A:G,7,FALSE)</f>
        <v>MARTINEZ VASQUEZ RAÚL</v>
      </c>
      <c r="C63" s="112" t="str">
        <f>'Informe Kelly'!E57</f>
        <v>04.04.2011</v>
      </c>
      <c r="D63" s="112" t="e">
        <f>VLOOKUP(A63,Ingreso!K:P,6,FALSE)</f>
        <v>#N/A</v>
      </c>
      <c r="E63" s="142" t="e">
        <f>(VLOOKUP(D63,$D$2:$E$4,2,FALSE))-(IF('Informe Kelly'!H57=$A$2,'Informe Kelly'!F57,VLOOKUP(D63,$D$2:$E$4,2,FALSE)))</f>
        <v>#N/A</v>
      </c>
      <c r="F63" s="142" t="e">
        <f>IF('Informe Kelly'!H57=$A$3,'Informe Kelly'!F57,VLOOKUP(D63,$D$2:$F$4,3,FALSE))-(VLOOKUP(D63,$D$2:$F$4,3,FALSE))</f>
        <v>#N/A</v>
      </c>
      <c r="G63" s="137" t="e">
        <f t="shared" si="0"/>
        <v>#N/A</v>
      </c>
      <c r="J63" s="139" t="s">
        <v>494</v>
      </c>
      <c r="K63" s="140" t="e">
        <v>#N/A</v>
      </c>
      <c r="L63" s="112" t="e">
        <f>IF(J63="","",VLOOKUP(J63,Ingreso!K:AH,24,FALSE))</f>
        <v>#N/A</v>
      </c>
      <c r="M63" s="112" t="e">
        <f t="shared" si="1"/>
        <v>#N/A</v>
      </c>
    </row>
    <row r="64" spans="1:13">
      <c r="A64" s="112" t="str">
        <f>VLOOKUP('Informe Kelly'!A58,Base!A:B,2,FALSE)</f>
        <v>5.738.427-1</v>
      </c>
      <c r="B64" s="112" t="str">
        <f>VLOOKUP('Informe Kelly'!A58,Base!A:G,7,FALSE)</f>
        <v>MARTINEZ VASQUEZ RAÚL</v>
      </c>
      <c r="C64" s="112" t="str">
        <f>'Informe Kelly'!E58</f>
        <v>05.04.2011</v>
      </c>
      <c r="D64" s="112" t="e">
        <f>VLOOKUP(A64,Ingreso!K:P,6,FALSE)</f>
        <v>#N/A</v>
      </c>
      <c r="E64" s="142" t="e">
        <f>(VLOOKUP(D64,$D$2:$E$4,2,FALSE))-(IF('Informe Kelly'!H58=$A$2,'Informe Kelly'!F58,VLOOKUP(D64,$D$2:$E$4,2,FALSE)))</f>
        <v>#N/A</v>
      </c>
      <c r="F64" s="142" t="e">
        <f>IF('Informe Kelly'!H58=$A$3,'Informe Kelly'!F58,VLOOKUP(D64,$D$2:$F$4,3,FALSE))-(VLOOKUP(D64,$D$2:$F$4,3,FALSE))</f>
        <v>#N/A</v>
      </c>
      <c r="G64" s="137" t="e">
        <f t="shared" si="0"/>
        <v>#N/A</v>
      </c>
      <c r="J64" s="139" t="s">
        <v>473</v>
      </c>
      <c r="K64" s="140" t="e">
        <v>#N/A</v>
      </c>
      <c r="L64" s="112" t="e">
        <f>IF(J64="","",VLOOKUP(J64,Ingreso!K:AH,24,FALSE))</f>
        <v>#N/A</v>
      </c>
      <c r="M64" s="112" t="e">
        <f t="shared" si="1"/>
        <v>#N/A</v>
      </c>
    </row>
    <row r="65" spans="1:13">
      <c r="A65" s="112" t="str">
        <f>VLOOKUP('Informe Kelly'!A59,Base!A:B,2,FALSE)</f>
        <v>5.738.427-1</v>
      </c>
      <c r="B65" s="112" t="str">
        <f>VLOOKUP('Informe Kelly'!A59,Base!A:G,7,FALSE)</f>
        <v>MARTINEZ VASQUEZ RAÚL</v>
      </c>
      <c r="C65" s="112" t="str">
        <f>'Informe Kelly'!E59</f>
        <v>05.04.2011</v>
      </c>
      <c r="D65" s="112" t="e">
        <f>VLOOKUP(A65,Ingreso!K:P,6,FALSE)</f>
        <v>#N/A</v>
      </c>
      <c r="E65" s="142" t="e">
        <f>(VLOOKUP(D65,$D$2:$E$4,2,FALSE))-(IF('Informe Kelly'!H59=$A$2,'Informe Kelly'!F59,VLOOKUP(D65,$D$2:$E$4,2,FALSE)))</f>
        <v>#N/A</v>
      </c>
      <c r="F65" s="142" t="e">
        <f>IF('Informe Kelly'!H59=$A$3,'Informe Kelly'!F59,VLOOKUP(D65,$D$2:$F$4,3,FALSE))-(VLOOKUP(D65,$D$2:$F$4,3,FALSE))</f>
        <v>#N/A</v>
      </c>
      <c r="G65" s="137" t="e">
        <f t="shared" si="0"/>
        <v>#N/A</v>
      </c>
      <c r="J65" s="139" t="s">
        <v>484</v>
      </c>
      <c r="K65" s="140" t="e">
        <v>#N/A</v>
      </c>
      <c r="L65" s="112" t="e">
        <f>IF(J65="","",VLOOKUP(J65,Ingreso!K:AH,24,FALSE))</f>
        <v>#N/A</v>
      </c>
      <c r="M65" s="112" t="e">
        <f t="shared" si="1"/>
        <v>#N/A</v>
      </c>
    </row>
    <row r="66" spans="1:13">
      <c r="A66" s="112" t="str">
        <f>VLOOKUP('Informe Kelly'!A60,Base!A:B,2,FALSE)</f>
        <v>5.738.427-1</v>
      </c>
      <c r="B66" s="112" t="str">
        <f>VLOOKUP('Informe Kelly'!A60,Base!A:G,7,FALSE)</f>
        <v>MARTINEZ VASQUEZ RAÚL</v>
      </c>
      <c r="C66" s="112" t="str">
        <f>'Informe Kelly'!E60</f>
        <v>06.04.2011</v>
      </c>
      <c r="D66" s="112" t="e">
        <f>VLOOKUP(A66,Ingreso!K:P,6,FALSE)</f>
        <v>#N/A</v>
      </c>
      <c r="E66" s="142" t="e">
        <f>(VLOOKUP(D66,$D$2:$E$4,2,FALSE))-(IF('Informe Kelly'!H60=$A$2,'Informe Kelly'!F60,VLOOKUP(D66,$D$2:$E$4,2,FALSE)))</f>
        <v>#N/A</v>
      </c>
      <c r="F66" s="142" t="e">
        <f>IF('Informe Kelly'!H60=$A$3,'Informe Kelly'!F60,VLOOKUP(D66,$D$2:$F$4,3,FALSE))-(VLOOKUP(D66,$D$2:$F$4,3,FALSE))</f>
        <v>#N/A</v>
      </c>
      <c r="G66" s="137" t="e">
        <f t="shared" si="0"/>
        <v>#N/A</v>
      </c>
      <c r="J66" s="139" t="s">
        <v>619</v>
      </c>
      <c r="K66" s="140" t="e">
        <v>#N/A</v>
      </c>
      <c r="L66" s="112" t="e">
        <f>IF(J66="","",VLOOKUP(J66,Ingreso!K:AH,24,FALSE))</f>
        <v>#N/A</v>
      </c>
      <c r="M66" s="112" t="e">
        <f t="shared" si="1"/>
        <v>#N/A</v>
      </c>
    </row>
    <row r="67" spans="1:13">
      <c r="A67" s="112" t="str">
        <f>VLOOKUP('Informe Kelly'!A61,Base!A:B,2,FALSE)</f>
        <v>5.738.427-1</v>
      </c>
      <c r="B67" s="112" t="str">
        <f>VLOOKUP('Informe Kelly'!A61,Base!A:G,7,FALSE)</f>
        <v>MARTINEZ VASQUEZ RAÚL</v>
      </c>
      <c r="C67" s="112" t="str">
        <f>'Informe Kelly'!E61</f>
        <v>06.04.2011</v>
      </c>
      <c r="D67" s="112" t="e">
        <f>VLOOKUP(A67,Ingreso!K:P,6,FALSE)</f>
        <v>#N/A</v>
      </c>
      <c r="E67" s="142" t="e">
        <f>(VLOOKUP(D67,$D$2:$E$4,2,FALSE))-(IF('Informe Kelly'!H61=$A$2,'Informe Kelly'!F61,VLOOKUP(D67,$D$2:$E$4,2,FALSE)))</f>
        <v>#N/A</v>
      </c>
      <c r="F67" s="142" t="e">
        <f>IF('Informe Kelly'!H61=$A$3,'Informe Kelly'!F61,VLOOKUP(D67,$D$2:$F$4,3,FALSE))-(VLOOKUP(D67,$D$2:$F$4,3,FALSE))</f>
        <v>#N/A</v>
      </c>
      <c r="G67" s="137" t="e">
        <f t="shared" si="0"/>
        <v>#N/A</v>
      </c>
      <c r="J67" s="139" t="s">
        <v>163</v>
      </c>
      <c r="K67" s="140" t="e">
        <v>#N/A</v>
      </c>
      <c r="L67" s="112" t="e">
        <f>IF(J67="","",VLOOKUP(J67,Ingreso!K:AH,24,FALSE))</f>
        <v>#N/A</v>
      </c>
      <c r="M67" s="112" t="e">
        <f t="shared" si="1"/>
        <v>#N/A</v>
      </c>
    </row>
    <row r="68" spans="1:13">
      <c r="A68" s="112" t="str">
        <f>VLOOKUP('Informe Kelly'!A62,Base!A:B,2,FALSE)</f>
        <v>5.738.427-1</v>
      </c>
      <c r="B68" s="112" t="str">
        <f>VLOOKUP('Informe Kelly'!A62,Base!A:G,7,FALSE)</f>
        <v>MARTINEZ VASQUEZ RAÚL</v>
      </c>
      <c r="C68" s="112" t="str">
        <f>'Informe Kelly'!E62</f>
        <v>07.04.2011</v>
      </c>
      <c r="D68" s="112" t="e">
        <f>VLOOKUP(A68,Ingreso!K:P,6,FALSE)</f>
        <v>#N/A</v>
      </c>
      <c r="E68" s="142" t="e">
        <f>(VLOOKUP(D68,$D$2:$E$4,2,FALSE))-(IF('Informe Kelly'!H62=$A$2,'Informe Kelly'!F62,VLOOKUP(D68,$D$2:$E$4,2,FALSE)))</f>
        <v>#N/A</v>
      </c>
      <c r="F68" s="142" t="e">
        <f>IF('Informe Kelly'!H62=$A$3,'Informe Kelly'!F62,VLOOKUP(D68,$D$2:$F$4,3,FALSE))-(VLOOKUP(D68,$D$2:$F$4,3,FALSE))</f>
        <v>#N/A</v>
      </c>
      <c r="G68" s="137" t="e">
        <f t="shared" si="0"/>
        <v>#N/A</v>
      </c>
      <c r="J68" s="139" t="s">
        <v>586</v>
      </c>
      <c r="K68" s="140" t="e">
        <v>#N/A</v>
      </c>
      <c r="L68" s="112" t="e">
        <f>IF(J68="","",VLOOKUP(J68,Ingreso!K:AH,24,FALSE))</f>
        <v>#N/A</v>
      </c>
      <c r="M68" s="112" t="e">
        <f t="shared" si="1"/>
        <v>#N/A</v>
      </c>
    </row>
    <row r="69" spans="1:13">
      <c r="A69" s="112" t="str">
        <f>VLOOKUP('Informe Kelly'!A63,Base!A:B,2,FALSE)</f>
        <v>5.738.427-1</v>
      </c>
      <c r="B69" s="112" t="str">
        <f>VLOOKUP('Informe Kelly'!A63,Base!A:G,7,FALSE)</f>
        <v>MARTINEZ VASQUEZ RAÚL</v>
      </c>
      <c r="C69" s="112" t="str">
        <f>'Informe Kelly'!E63</f>
        <v>07.04.2011</v>
      </c>
      <c r="D69" s="112" t="e">
        <f>VLOOKUP(A69,Ingreso!K:P,6,FALSE)</f>
        <v>#N/A</v>
      </c>
      <c r="E69" s="142" t="e">
        <f>(VLOOKUP(D69,$D$2:$E$4,2,FALSE))-(IF('Informe Kelly'!H63=$A$2,'Informe Kelly'!F63,VLOOKUP(D69,$D$2:$E$4,2,FALSE)))</f>
        <v>#N/A</v>
      </c>
      <c r="F69" s="142" t="e">
        <f>IF('Informe Kelly'!H63=$A$3,'Informe Kelly'!F63,VLOOKUP(D69,$D$2:$F$4,3,FALSE))-(VLOOKUP(D69,$D$2:$F$4,3,FALSE))</f>
        <v>#N/A</v>
      </c>
      <c r="G69" s="137" t="e">
        <f t="shared" si="0"/>
        <v>#N/A</v>
      </c>
      <c r="J69" s="139" t="s">
        <v>133</v>
      </c>
      <c r="K69" s="140" t="e">
        <v>#N/A</v>
      </c>
      <c r="L69" s="112" t="e">
        <f>IF(J69="","",VLOOKUP(J69,Ingreso!K:AH,24,FALSE))</f>
        <v>#N/A</v>
      </c>
      <c r="M69" s="112" t="e">
        <f t="shared" si="1"/>
        <v>#N/A</v>
      </c>
    </row>
    <row r="70" spans="1:13">
      <c r="A70" s="112" t="str">
        <f>VLOOKUP('Informe Kelly'!A64,Base!A:B,2,FALSE)</f>
        <v>5.738.427-1</v>
      </c>
      <c r="B70" s="112" t="str">
        <f>VLOOKUP('Informe Kelly'!A64,Base!A:G,7,FALSE)</f>
        <v>MARTINEZ VASQUEZ RAÚL</v>
      </c>
      <c r="C70" s="112" t="str">
        <f>'Informe Kelly'!E64</f>
        <v>08.04.2011</v>
      </c>
      <c r="D70" s="112" t="e">
        <f>VLOOKUP(A70,Ingreso!K:P,6,FALSE)</f>
        <v>#N/A</v>
      </c>
      <c r="E70" s="142" t="e">
        <f>(VLOOKUP(D70,$D$2:$E$4,2,FALSE))-(IF('Informe Kelly'!H64=$A$2,'Informe Kelly'!F64,VLOOKUP(D70,$D$2:$E$4,2,FALSE)))</f>
        <v>#N/A</v>
      </c>
      <c r="F70" s="142" t="e">
        <f>IF('Informe Kelly'!H64=$A$3,'Informe Kelly'!F64,VLOOKUP(D70,$D$2:$F$4,3,FALSE))-(VLOOKUP(D70,$D$2:$F$4,3,FALSE))</f>
        <v>#N/A</v>
      </c>
      <c r="G70" s="137" t="e">
        <f t="shared" si="0"/>
        <v>#N/A</v>
      </c>
      <c r="J70" s="139" t="s">
        <v>952</v>
      </c>
      <c r="K70" s="140" t="e">
        <v>#N/A</v>
      </c>
      <c r="L70" s="112" t="e">
        <f>IF(J70="","",VLOOKUP(J70,Ingreso!K:AH,24,FALSE))</f>
        <v>#N/A</v>
      </c>
      <c r="M70" s="112" t="e">
        <f t="shared" si="1"/>
        <v>#N/A</v>
      </c>
    </row>
    <row r="71" spans="1:13">
      <c r="A71" s="112" t="str">
        <f>VLOOKUP('Informe Kelly'!A65,Base!A:B,2,FALSE)</f>
        <v>5.738.427-1</v>
      </c>
      <c r="B71" s="112" t="str">
        <f>VLOOKUP('Informe Kelly'!A65,Base!A:G,7,FALSE)</f>
        <v>MARTINEZ VASQUEZ RAÚL</v>
      </c>
      <c r="C71" s="112" t="str">
        <f>'Informe Kelly'!E65</f>
        <v>08.04.2011</v>
      </c>
      <c r="D71" s="112" t="e">
        <f>VLOOKUP(A71,Ingreso!K:P,6,FALSE)</f>
        <v>#N/A</v>
      </c>
      <c r="E71" s="142" t="e">
        <f>(VLOOKUP(D71,$D$2:$E$4,2,FALSE))-(IF('Informe Kelly'!H65=$A$2,'Informe Kelly'!F65,VLOOKUP(D71,$D$2:$E$4,2,FALSE)))</f>
        <v>#N/A</v>
      </c>
      <c r="F71" s="142" t="e">
        <f>IF('Informe Kelly'!H65=$A$3,'Informe Kelly'!F65,VLOOKUP(D71,$D$2:$F$4,3,FALSE))-(VLOOKUP(D71,$D$2:$F$4,3,FALSE))</f>
        <v>#N/A</v>
      </c>
      <c r="G71" s="137" t="e">
        <f t="shared" si="0"/>
        <v>#N/A</v>
      </c>
      <c r="J71" s="139" t="s">
        <v>807</v>
      </c>
      <c r="K71" s="140" t="e">
        <v>#N/A</v>
      </c>
      <c r="L71" s="112" t="e">
        <f>IF(J71="","",VLOOKUP(J71,Ingreso!K:AH,24,FALSE))</f>
        <v>#N/A</v>
      </c>
      <c r="M71" s="112" t="e">
        <f t="shared" si="1"/>
        <v>#N/A</v>
      </c>
    </row>
    <row r="72" spans="1:13">
      <c r="A72" s="112" t="str">
        <f>VLOOKUP('Informe Kelly'!A66,Base!A:B,2,FALSE)</f>
        <v>5.738.427-1</v>
      </c>
      <c r="B72" s="112" t="str">
        <f>VLOOKUP('Informe Kelly'!A66,Base!A:G,7,FALSE)</f>
        <v>MARTINEZ VASQUEZ RAÚL</v>
      </c>
      <c r="C72" s="112" t="str">
        <f>'Informe Kelly'!E66</f>
        <v>09.04.2011</v>
      </c>
      <c r="D72" s="112" t="e">
        <f>VLOOKUP(A72,Ingreso!K:P,6,FALSE)</f>
        <v>#N/A</v>
      </c>
      <c r="E72" s="142" t="e">
        <f>(VLOOKUP(D72,$D$2:$E$4,2,FALSE))-(IF('Informe Kelly'!H66=$A$2,'Informe Kelly'!F66,VLOOKUP(D72,$D$2:$E$4,2,FALSE)))</f>
        <v>#N/A</v>
      </c>
      <c r="F72" s="142" t="e">
        <f>IF('Informe Kelly'!H66=$A$3,'Informe Kelly'!F66,VLOOKUP(D72,$D$2:$F$4,3,FALSE))-(VLOOKUP(D72,$D$2:$F$4,3,FALSE))</f>
        <v>#N/A</v>
      </c>
      <c r="G72" s="137" t="e">
        <f t="shared" si="0"/>
        <v>#N/A</v>
      </c>
      <c r="J72" s="139" t="s">
        <v>689</v>
      </c>
      <c r="K72" s="140" t="e">
        <v>#N/A</v>
      </c>
      <c r="L72" s="112" t="e">
        <f>IF(J72="","",VLOOKUP(J72,Ingreso!K:AH,24,FALSE))</f>
        <v>#N/A</v>
      </c>
      <c r="M72" s="112" t="e">
        <f t="shared" si="1"/>
        <v>#N/A</v>
      </c>
    </row>
    <row r="73" spans="1:13">
      <c r="A73" s="112" t="str">
        <f>VLOOKUP('Informe Kelly'!A67,Base!A:B,2,FALSE)</f>
        <v>5.738.427-1</v>
      </c>
      <c r="B73" s="112" t="str">
        <f>VLOOKUP('Informe Kelly'!A67,Base!A:G,7,FALSE)</f>
        <v>MARTINEZ VASQUEZ RAÚL</v>
      </c>
      <c r="C73" s="112" t="str">
        <f>'Informe Kelly'!E67</f>
        <v>09.04.2011</v>
      </c>
      <c r="D73" s="112" t="e">
        <f>VLOOKUP(A73,Ingreso!K:P,6,FALSE)</f>
        <v>#N/A</v>
      </c>
      <c r="E73" s="142" t="e">
        <f>(VLOOKUP(D73,$D$2:$E$4,2,FALSE))-(IF('Informe Kelly'!H67=$A$2,'Informe Kelly'!F67,VLOOKUP(D73,$D$2:$E$4,2,FALSE)))</f>
        <v>#N/A</v>
      </c>
      <c r="F73" s="142" t="e">
        <f>IF('Informe Kelly'!H67=$A$3,'Informe Kelly'!F67,VLOOKUP(D73,$D$2:$F$4,3,FALSE))-(VLOOKUP(D73,$D$2:$F$4,3,FALSE))</f>
        <v>#N/A</v>
      </c>
      <c r="G73" s="137" t="e">
        <f t="shared" ref="G73:G136" si="2">IF(E73="",IF(F73&lt;0.0409722222222222,0,E73),IF(E73&lt;0.0409722222222222,0,E73))</f>
        <v>#N/A</v>
      </c>
      <c r="J73" s="139" t="s">
        <v>756</v>
      </c>
      <c r="K73" s="140" t="e">
        <v>#N/A</v>
      </c>
      <c r="L73" s="112" t="e">
        <f>IF(J73="","",VLOOKUP(J73,Ingreso!K:AH,24,FALSE))</f>
        <v>#N/A</v>
      </c>
      <c r="M73" s="112" t="e">
        <f t="shared" si="1"/>
        <v>#N/A</v>
      </c>
    </row>
    <row r="74" spans="1:13">
      <c r="A74" s="112" t="str">
        <f>VLOOKUP('Informe Kelly'!A68,Base!A:B,2,FALSE)</f>
        <v>05.921.603-1</v>
      </c>
      <c r="B74" s="112" t="str">
        <f>VLOOKUP('Informe Kelly'!A68,Base!A:G,7,FALSE)</f>
        <v>GUERRERO  MONTANO,JUAN MANUEL</v>
      </c>
      <c r="C74" s="112" t="str">
        <f>'Informe Kelly'!E68</f>
        <v>04.04.2011</v>
      </c>
      <c r="D74" s="112" t="e">
        <f>VLOOKUP(A74,Ingreso!K:P,6,FALSE)</f>
        <v>#N/A</v>
      </c>
      <c r="E74" s="142" t="e">
        <f>(VLOOKUP(D74,$D$2:$E$4,2,FALSE))-(IF('Informe Kelly'!H68=$A$2,'Informe Kelly'!F68,VLOOKUP(D74,$D$2:$E$4,2,FALSE)))</f>
        <v>#N/A</v>
      </c>
      <c r="F74" s="142" t="e">
        <f>IF('Informe Kelly'!H68=$A$3,'Informe Kelly'!F68,VLOOKUP(D74,$D$2:$F$4,3,FALSE))-(VLOOKUP(D74,$D$2:$F$4,3,FALSE))</f>
        <v>#N/A</v>
      </c>
      <c r="G74" s="137" t="e">
        <f t="shared" si="2"/>
        <v>#N/A</v>
      </c>
      <c r="J74" s="139" t="s">
        <v>448</v>
      </c>
      <c r="K74" s="140" t="e">
        <v>#N/A</v>
      </c>
      <c r="L74" s="112" t="e">
        <f>IF(J74="","",VLOOKUP(J74,Ingreso!K:AH,24,FALSE))</f>
        <v>#N/A</v>
      </c>
      <c r="M74" s="112" t="e">
        <f t="shared" ref="M74:M137" si="3">IF(J74="","",IF(K74&lt;&gt;L74,"Revisar","OK"))</f>
        <v>#N/A</v>
      </c>
    </row>
    <row r="75" spans="1:13">
      <c r="A75" s="112" t="str">
        <f>VLOOKUP('Informe Kelly'!A69,Base!A:B,2,FALSE)</f>
        <v>05.921.603-1</v>
      </c>
      <c r="B75" s="112" t="str">
        <f>VLOOKUP('Informe Kelly'!A69,Base!A:G,7,FALSE)</f>
        <v>GUERRERO  MONTANO,JUAN MANUEL</v>
      </c>
      <c r="C75" s="112" t="str">
        <f>'Informe Kelly'!E69</f>
        <v>04.04.2011</v>
      </c>
      <c r="D75" s="112" t="e">
        <f>VLOOKUP(A75,Ingreso!K:P,6,FALSE)</f>
        <v>#N/A</v>
      </c>
      <c r="E75" s="142" t="e">
        <f>(VLOOKUP(D75,$D$2:$E$4,2,FALSE))-(IF('Informe Kelly'!H69=$A$2,'Informe Kelly'!F69,VLOOKUP(D75,$D$2:$E$4,2,FALSE)))</f>
        <v>#N/A</v>
      </c>
      <c r="F75" s="142" t="e">
        <f>IF('Informe Kelly'!H69=$A$3,'Informe Kelly'!F69,VLOOKUP(D75,$D$2:$F$4,3,FALSE))-(VLOOKUP(D75,$D$2:$F$4,3,FALSE))</f>
        <v>#N/A</v>
      </c>
      <c r="G75" s="137" t="e">
        <f t="shared" si="2"/>
        <v>#N/A</v>
      </c>
      <c r="J75" s="139" t="s">
        <v>692</v>
      </c>
      <c r="K75" s="140" t="e">
        <v>#N/A</v>
      </c>
      <c r="L75" s="112" t="e">
        <f>IF(J75="","",VLOOKUP(J75,Ingreso!K:AH,24,FALSE))</f>
        <v>#N/A</v>
      </c>
      <c r="M75" s="112" t="e">
        <f t="shared" si="3"/>
        <v>#N/A</v>
      </c>
    </row>
    <row r="76" spans="1:13">
      <c r="A76" s="112" t="str">
        <f>VLOOKUP('Informe Kelly'!A70,Base!A:B,2,FALSE)</f>
        <v>05.921.603-1</v>
      </c>
      <c r="B76" s="112" t="str">
        <f>VLOOKUP('Informe Kelly'!A70,Base!A:G,7,FALSE)</f>
        <v>GUERRERO  MONTANO,JUAN MANUEL</v>
      </c>
      <c r="C76" s="112" t="str">
        <f>'Informe Kelly'!E70</f>
        <v>06.04.2011</v>
      </c>
      <c r="D76" s="112" t="e">
        <f>VLOOKUP(A76,Ingreso!K:P,6,FALSE)</f>
        <v>#N/A</v>
      </c>
      <c r="E76" s="142" t="e">
        <f>(VLOOKUP(D76,$D$2:$E$4,2,FALSE))-(IF('Informe Kelly'!H70=$A$2,'Informe Kelly'!F70,VLOOKUP(D76,$D$2:$E$4,2,FALSE)))</f>
        <v>#N/A</v>
      </c>
      <c r="F76" s="142" t="e">
        <f>IF('Informe Kelly'!H70=$A$3,'Informe Kelly'!F70,VLOOKUP(D76,$D$2:$F$4,3,FALSE))-(VLOOKUP(D76,$D$2:$F$4,3,FALSE))</f>
        <v>#N/A</v>
      </c>
      <c r="G76" s="137" t="e">
        <f t="shared" si="2"/>
        <v>#N/A</v>
      </c>
      <c r="J76" s="139" t="s">
        <v>886</v>
      </c>
      <c r="K76" s="140" t="e">
        <v>#N/A</v>
      </c>
      <c r="L76" s="112" t="e">
        <f>IF(J76="","",VLOOKUP(J76,Ingreso!K:AH,24,FALSE))</f>
        <v>#N/A</v>
      </c>
      <c r="M76" s="112" t="e">
        <f t="shared" si="3"/>
        <v>#N/A</v>
      </c>
    </row>
    <row r="77" spans="1:13">
      <c r="A77" s="112" t="str">
        <f>VLOOKUP('Informe Kelly'!A71,Base!A:B,2,FALSE)</f>
        <v>05.921.603-1</v>
      </c>
      <c r="B77" s="112" t="str">
        <f>VLOOKUP('Informe Kelly'!A71,Base!A:G,7,FALSE)</f>
        <v>GUERRERO  MONTANO,JUAN MANUEL</v>
      </c>
      <c r="C77" s="112" t="str">
        <f>'Informe Kelly'!E71</f>
        <v>06.04.2011</v>
      </c>
      <c r="D77" s="112" t="e">
        <f>VLOOKUP(A77,Ingreso!K:P,6,FALSE)</f>
        <v>#N/A</v>
      </c>
      <c r="E77" s="142" t="e">
        <f>(VLOOKUP(D77,$D$2:$E$4,2,FALSE))-(IF('Informe Kelly'!H71=$A$2,'Informe Kelly'!F71,VLOOKUP(D77,$D$2:$E$4,2,FALSE)))</f>
        <v>#N/A</v>
      </c>
      <c r="F77" s="142" t="e">
        <f>IF('Informe Kelly'!H71=$A$3,'Informe Kelly'!F71,VLOOKUP(D77,$D$2:$F$4,3,FALSE))-(VLOOKUP(D77,$D$2:$F$4,3,FALSE))</f>
        <v>#N/A</v>
      </c>
      <c r="G77" s="137" t="e">
        <f t="shared" si="2"/>
        <v>#N/A</v>
      </c>
      <c r="J77" s="139" t="s">
        <v>504</v>
      </c>
      <c r="K77" s="140" t="e">
        <v>#N/A</v>
      </c>
      <c r="L77" s="112" t="e">
        <f>IF(J77="","",VLOOKUP(J77,Ingreso!K:AH,24,FALSE))</f>
        <v>#N/A</v>
      </c>
      <c r="M77" s="112" t="e">
        <f t="shared" si="3"/>
        <v>#N/A</v>
      </c>
    </row>
    <row r="78" spans="1:13">
      <c r="A78" s="112" t="str">
        <f>VLOOKUP('Informe Kelly'!A72,Base!A:B,2,FALSE)</f>
        <v>05.921.603-1</v>
      </c>
      <c r="B78" s="112" t="str">
        <f>VLOOKUP('Informe Kelly'!A72,Base!A:G,7,FALSE)</f>
        <v>GUERRERO  MONTANO,JUAN MANUEL</v>
      </c>
      <c r="C78" s="112" t="str">
        <f>'Informe Kelly'!E72</f>
        <v>07.04.2011</v>
      </c>
      <c r="D78" s="112" t="e">
        <f>VLOOKUP(A78,Ingreso!K:P,6,FALSE)</f>
        <v>#N/A</v>
      </c>
      <c r="E78" s="142" t="e">
        <f>(VLOOKUP(D78,$D$2:$E$4,2,FALSE))-(IF('Informe Kelly'!H72=$A$2,'Informe Kelly'!F72,VLOOKUP(D78,$D$2:$E$4,2,FALSE)))</f>
        <v>#N/A</v>
      </c>
      <c r="F78" s="142" t="e">
        <f>IF('Informe Kelly'!H72=$A$3,'Informe Kelly'!F72,VLOOKUP(D78,$D$2:$F$4,3,FALSE))-(VLOOKUP(D78,$D$2:$F$4,3,FALSE))</f>
        <v>#N/A</v>
      </c>
      <c r="G78" s="137" t="e">
        <f t="shared" si="2"/>
        <v>#N/A</v>
      </c>
      <c r="J78" s="139" t="s">
        <v>1156</v>
      </c>
      <c r="K78" s="140" t="e">
        <v>#N/A</v>
      </c>
      <c r="L78" s="112" t="e">
        <f>IF(J78="","",VLOOKUP(J78,Ingreso!K:AH,24,FALSE))</f>
        <v>#N/A</v>
      </c>
      <c r="M78" s="112" t="e">
        <f t="shared" si="3"/>
        <v>#N/A</v>
      </c>
    </row>
    <row r="79" spans="1:13">
      <c r="A79" s="112" t="str">
        <f>VLOOKUP('Informe Kelly'!A73,Base!A:B,2,FALSE)</f>
        <v>05.921.603-1</v>
      </c>
      <c r="B79" s="112" t="str">
        <f>VLOOKUP('Informe Kelly'!A73,Base!A:G,7,FALSE)</f>
        <v>GUERRERO  MONTANO,JUAN MANUEL</v>
      </c>
      <c r="C79" s="112" t="str">
        <f>'Informe Kelly'!E73</f>
        <v>07.04.2011</v>
      </c>
      <c r="D79" s="112" t="e">
        <f>VLOOKUP(A79,Ingreso!K:P,6,FALSE)</f>
        <v>#N/A</v>
      </c>
      <c r="E79" s="142" t="e">
        <f>(VLOOKUP(D79,$D$2:$E$4,2,FALSE))-(IF('Informe Kelly'!H73=$A$2,'Informe Kelly'!F73,VLOOKUP(D79,$D$2:$E$4,2,FALSE)))</f>
        <v>#N/A</v>
      </c>
      <c r="F79" s="142" t="e">
        <f>IF('Informe Kelly'!H73=$A$3,'Informe Kelly'!F73,VLOOKUP(D79,$D$2:$F$4,3,FALSE))-(VLOOKUP(D79,$D$2:$F$4,3,FALSE))</f>
        <v>#N/A</v>
      </c>
      <c r="G79" s="137" t="e">
        <f t="shared" si="2"/>
        <v>#N/A</v>
      </c>
      <c r="J79" s="139" t="s">
        <v>924</v>
      </c>
      <c r="K79" s="140" t="e">
        <v>#N/A</v>
      </c>
      <c r="L79" s="112" t="e">
        <f>IF(J79="","",VLOOKUP(J79,Ingreso!K:AH,24,FALSE))</f>
        <v>#N/A</v>
      </c>
      <c r="M79" s="112" t="e">
        <f t="shared" si="3"/>
        <v>#N/A</v>
      </c>
    </row>
    <row r="80" spans="1:13">
      <c r="A80" s="112" t="str">
        <f>VLOOKUP('Informe Kelly'!A74,Base!A:B,2,FALSE)</f>
        <v>05.921.603-1</v>
      </c>
      <c r="B80" s="112" t="str">
        <f>VLOOKUP('Informe Kelly'!A74,Base!A:G,7,FALSE)</f>
        <v>GUERRERO  MONTANO,JUAN MANUEL</v>
      </c>
      <c r="C80" s="112" t="str">
        <f>'Informe Kelly'!E74</f>
        <v>08.04.2011</v>
      </c>
      <c r="D80" s="112" t="e">
        <f>VLOOKUP(A80,Ingreso!K:P,6,FALSE)</f>
        <v>#N/A</v>
      </c>
      <c r="E80" s="142" t="e">
        <f>(VLOOKUP(D80,$D$2:$E$4,2,FALSE))-(IF('Informe Kelly'!H74=$A$2,'Informe Kelly'!F74,VLOOKUP(D80,$D$2:$E$4,2,FALSE)))</f>
        <v>#N/A</v>
      </c>
      <c r="F80" s="142" t="e">
        <f>IF('Informe Kelly'!H74=$A$3,'Informe Kelly'!F74,VLOOKUP(D80,$D$2:$F$4,3,FALSE))-(VLOOKUP(D80,$D$2:$F$4,3,FALSE))</f>
        <v>#N/A</v>
      </c>
      <c r="G80" s="137" t="e">
        <f t="shared" si="2"/>
        <v>#N/A</v>
      </c>
      <c r="J80" s="139" t="s">
        <v>233</v>
      </c>
      <c r="K80" s="140" t="e">
        <v>#N/A</v>
      </c>
      <c r="L80" s="112" t="e">
        <f>IF(J80="","",VLOOKUP(J80,Ingreso!K:AH,24,FALSE))</f>
        <v>#N/A</v>
      </c>
      <c r="M80" s="112" t="e">
        <f t="shared" si="3"/>
        <v>#N/A</v>
      </c>
    </row>
    <row r="81" spans="1:13">
      <c r="A81" s="112" t="str">
        <f>VLOOKUP('Informe Kelly'!A75,Base!A:B,2,FALSE)</f>
        <v>05.921.603-1</v>
      </c>
      <c r="B81" s="112" t="str">
        <f>VLOOKUP('Informe Kelly'!A75,Base!A:G,7,FALSE)</f>
        <v>GUERRERO  MONTANO,JUAN MANUEL</v>
      </c>
      <c r="C81" s="112" t="str">
        <f>'Informe Kelly'!E75</f>
        <v>08.04.2011</v>
      </c>
      <c r="D81" s="112" t="e">
        <f>VLOOKUP(A81,Ingreso!K:P,6,FALSE)</f>
        <v>#N/A</v>
      </c>
      <c r="E81" s="142" t="e">
        <f>(VLOOKUP(D81,$D$2:$E$4,2,FALSE))-(IF('Informe Kelly'!H75=$A$2,'Informe Kelly'!F75,VLOOKUP(D81,$D$2:$E$4,2,FALSE)))</f>
        <v>#N/A</v>
      </c>
      <c r="F81" s="142" t="e">
        <f>IF('Informe Kelly'!H75=$A$3,'Informe Kelly'!F75,VLOOKUP(D81,$D$2:$F$4,3,FALSE))-(VLOOKUP(D81,$D$2:$F$4,3,FALSE))</f>
        <v>#N/A</v>
      </c>
      <c r="G81" s="137" t="e">
        <f t="shared" si="2"/>
        <v>#N/A</v>
      </c>
      <c r="J81" s="139" t="s">
        <v>581</v>
      </c>
      <c r="K81" s="140" t="e">
        <v>#N/A</v>
      </c>
      <c r="L81" s="112" t="e">
        <f>IF(J81="","",VLOOKUP(J81,Ingreso!K:AH,24,FALSE))</f>
        <v>#N/A</v>
      </c>
      <c r="M81" s="112" t="e">
        <f t="shared" si="3"/>
        <v>#N/A</v>
      </c>
    </row>
    <row r="82" spans="1:13">
      <c r="A82" s="112" t="str">
        <f>VLOOKUP('Informe Kelly'!A76,Base!A:B,2,FALSE)</f>
        <v>05.989.878-7</v>
      </c>
      <c r="B82" s="112" t="str">
        <f>VLOOKUP('Informe Kelly'!A76,Base!A:G,7,FALSE)</f>
        <v>FIGUEROA PAVEZ NELLY E.</v>
      </c>
      <c r="C82" s="112" t="str">
        <f>'Informe Kelly'!E76</f>
        <v>04.04.2011</v>
      </c>
      <c r="D82" s="112" t="e">
        <f>VLOOKUP(A82,Ingreso!K:P,6,FALSE)</f>
        <v>#N/A</v>
      </c>
      <c r="E82" s="142" t="e">
        <f>(VLOOKUP(D82,$D$2:$E$4,2,FALSE))-(IF('Informe Kelly'!H76=$A$2,'Informe Kelly'!F76,VLOOKUP(D82,$D$2:$E$4,2,FALSE)))</f>
        <v>#N/A</v>
      </c>
      <c r="F82" s="142" t="e">
        <f>IF('Informe Kelly'!H76=$A$3,'Informe Kelly'!F76,VLOOKUP(D82,$D$2:$F$4,3,FALSE))-(VLOOKUP(D82,$D$2:$F$4,3,FALSE))</f>
        <v>#N/A</v>
      </c>
      <c r="G82" s="137" t="e">
        <f t="shared" si="2"/>
        <v>#N/A</v>
      </c>
      <c r="J82" s="139" t="s">
        <v>376</v>
      </c>
      <c r="K82" s="140" t="e">
        <v>#N/A</v>
      </c>
      <c r="L82" s="112" t="e">
        <f>IF(J82="","",VLOOKUP(J82,Ingreso!K:AH,24,FALSE))</f>
        <v>#N/A</v>
      </c>
      <c r="M82" s="112" t="e">
        <f t="shared" si="3"/>
        <v>#N/A</v>
      </c>
    </row>
    <row r="83" spans="1:13">
      <c r="A83" s="112" t="str">
        <f>VLOOKUP('Informe Kelly'!A77,Base!A:B,2,FALSE)</f>
        <v>05.989.878-7</v>
      </c>
      <c r="B83" s="112" t="str">
        <f>VLOOKUP('Informe Kelly'!A77,Base!A:G,7,FALSE)</f>
        <v>FIGUEROA PAVEZ NELLY E.</v>
      </c>
      <c r="C83" s="112" t="str">
        <f>'Informe Kelly'!E77</f>
        <v>04.04.2011</v>
      </c>
      <c r="D83" s="112" t="e">
        <f>VLOOKUP(A83,Ingreso!K:P,6,FALSE)</f>
        <v>#N/A</v>
      </c>
      <c r="E83" s="142" t="e">
        <f>(VLOOKUP(D83,$D$2:$E$4,2,FALSE))-(IF('Informe Kelly'!H77=$A$2,'Informe Kelly'!F77,VLOOKUP(D83,$D$2:$E$4,2,FALSE)))</f>
        <v>#N/A</v>
      </c>
      <c r="F83" s="142" t="e">
        <f>IF('Informe Kelly'!H77=$A$3,'Informe Kelly'!F77,VLOOKUP(D83,$D$2:$F$4,3,FALSE))-(VLOOKUP(D83,$D$2:$F$4,3,FALSE))</f>
        <v>#N/A</v>
      </c>
      <c r="G83" s="137" t="e">
        <f t="shared" si="2"/>
        <v>#N/A</v>
      </c>
      <c r="J83" s="139" t="s">
        <v>508</v>
      </c>
      <c r="K83" s="140" t="e">
        <v>#N/A</v>
      </c>
      <c r="L83" s="112" t="e">
        <f>IF(J83="","",VLOOKUP(J83,Ingreso!K:AH,24,FALSE))</f>
        <v>#N/A</v>
      </c>
      <c r="M83" s="112" t="e">
        <f t="shared" si="3"/>
        <v>#N/A</v>
      </c>
    </row>
    <row r="84" spans="1:13">
      <c r="A84" s="112" t="str">
        <f>VLOOKUP('Informe Kelly'!A78,Base!A:B,2,FALSE)</f>
        <v>05.989.878-7</v>
      </c>
      <c r="B84" s="112" t="str">
        <f>VLOOKUP('Informe Kelly'!A78,Base!A:G,7,FALSE)</f>
        <v>FIGUEROA PAVEZ NELLY E.</v>
      </c>
      <c r="C84" s="112" t="str">
        <f>'Informe Kelly'!E78</f>
        <v>05.04.2011</v>
      </c>
      <c r="D84" s="112" t="e">
        <f>VLOOKUP(A84,Ingreso!K:P,6,FALSE)</f>
        <v>#N/A</v>
      </c>
      <c r="E84" s="142" t="e">
        <f>(VLOOKUP(D84,$D$2:$E$4,2,FALSE))-(IF('Informe Kelly'!H78=$A$2,'Informe Kelly'!F78,VLOOKUP(D84,$D$2:$E$4,2,FALSE)))</f>
        <v>#N/A</v>
      </c>
      <c r="F84" s="142" t="e">
        <f>IF('Informe Kelly'!H78=$A$3,'Informe Kelly'!F78,VLOOKUP(D84,$D$2:$F$4,3,FALSE))-(VLOOKUP(D84,$D$2:$F$4,3,FALSE))</f>
        <v>#N/A</v>
      </c>
      <c r="G84" s="137" t="e">
        <f t="shared" si="2"/>
        <v>#N/A</v>
      </c>
      <c r="J84" s="139" t="s">
        <v>1217</v>
      </c>
      <c r="K84" s="140" t="e">
        <v>#N/A</v>
      </c>
      <c r="L84" s="112" t="e">
        <f>IF(J84="","",VLOOKUP(J84,Ingreso!K:AH,24,FALSE))</f>
        <v>#N/A</v>
      </c>
      <c r="M84" s="112" t="e">
        <f t="shared" si="3"/>
        <v>#N/A</v>
      </c>
    </row>
    <row r="85" spans="1:13">
      <c r="A85" s="112" t="str">
        <f>VLOOKUP('Informe Kelly'!A79,Base!A:B,2,FALSE)</f>
        <v>05.989.878-7</v>
      </c>
      <c r="B85" s="112" t="str">
        <f>VLOOKUP('Informe Kelly'!A79,Base!A:G,7,FALSE)</f>
        <v>FIGUEROA PAVEZ NELLY E.</v>
      </c>
      <c r="C85" s="112" t="str">
        <f>'Informe Kelly'!E79</f>
        <v>05.04.2011</v>
      </c>
      <c r="D85" s="112" t="e">
        <f>VLOOKUP(A85,Ingreso!K:P,6,FALSE)</f>
        <v>#N/A</v>
      </c>
      <c r="E85" s="142" t="e">
        <f>(VLOOKUP(D85,$D$2:$E$4,2,FALSE))-(IF('Informe Kelly'!H79=$A$2,'Informe Kelly'!F79,VLOOKUP(D85,$D$2:$E$4,2,FALSE)))</f>
        <v>#N/A</v>
      </c>
      <c r="F85" s="142" t="e">
        <f>IF('Informe Kelly'!H79=$A$3,'Informe Kelly'!F79,VLOOKUP(D85,$D$2:$F$4,3,FALSE))-(VLOOKUP(D85,$D$2:$F$4,3,FALSE))</f>
        <v>#N/A</v>
      </c>
      <c r="G85" s="137" t="e">
        <f t="shared" si="2"/>
        <v>#N/A</v>
      </c>
      <c r="J85" s="139" t="s">
        <v>1241</v>
      </c>
      <c r="K85" s="140" t="e">
        <v>#N/A</v>
      </c>
      <c r="L85" s="112" t="e">
        <f>IF(J85="","",VLOOKUP(J85,Ingreso!K:AH,24,FALSE))</f>
        <v>#N/A</v>
      </c>
      <c r="M85" s="112" t="e">
        <f t="shared" si="3"/>
        <v>#N/A</v>
      </c>
    </row>
    <row r="86" spans="1:13">
      <c r="A86" s="112" t="str">
        <f>VLOOKUP('Informe Kelly'!A80,Base!A:B,2,FALSE)</f>
        <v>05.989.878-7</v>
      </c>
      <c r="B86" s="112" t="str">
        <f>VLOOKUP('Informe Kelly'!A80,Base!A:G,7,FALSE)</f>
        <v>FIGUEROA PAVEZ NELLY E.</v>
      </c>
      <c r="C86" s="112" t="str">
        <f>'Informe Kelly'!E80</f>
        <v>06.04.2011</v>
      </c>
      <c r="D86" s="112" t="e">
        <f>VLOOKUP(A86,Ingreso!K:P,6,FALSE)</f>
        <v>#N/A</v>
      </c>
      <c r="E86" s="142" t="e">
        <f>(VLOOKUP(D86,$D$2:$E$4,2,FALSE))-(IF('Informe Kelly'!H80=$A$2,'Informe Kelly'!F80,VLOOKUP(D86,$D$2:$E$4,2,FALSE)))</f>
        <v>#N/A</v>
      </c>
      <c r="F86" s="142" t="e">
        <f>IF('Informe Kelly'!H80=$A$3,'Informe Kelly'!F80,VLOOKUP(D86,$D$2:$F$4,3,FALSE))-(VLOOKUP(D86,$D$2:$F$4,3,FALSE))</f>
        <v>#N/A</v>
      </c>
      <c r="G86" s="137" t="e">
        <f t="shared" si="2"/>
        <v>#N/A</v>
      </c>
      <c r="J86" s="139" t="s">
        <v>1164</v>
      </c>
      <c r="K86" s="140" t="e">
        <v>#N/A</v>
      </c>
      <c r="L86" s="112" t="e">
        <f>IF(J86="","",VLOOKUP(J86,Ingreso!K:AH,24,FALSE))</f>
        <v>#N/A</v>
      </c>
      <c r="M86" s="112" t="e">
        <f t="shared" si="3"/>
        <v>#N/A</v>
      </c>
    </row>
    <row r="87" spans="1:13">
      <c r="A87" s="112" t="str">
        <f>VLOOKUP('Informe Kelly'!A81,Base!A:B,2,FALSE)</f>
        <v>05.989.878-7</v>
      </c>
      <c r="B87" s="112" t="str">
        <f>VLOOKUP('Informe Kelly'!A81,Base!A:G,7,FALSE)</f>
        <v>FIGUEROA PAVEZ NELLY E.</v>
      </c>
      <c r="C87" s="112" t="str">
        <f>'Informe Kelly'!E81</f>
        <v>06.04.2011</v>
      </c>
      <c r="D87" s="112" t="e">
        <f>VLOOKUP(A87,Ingreso!K:P,6,FALSE)</f>
        <v>#N/A</v>
      </c>
      <c r="E87" s="142" t="e">
        <f>(VLOOKUP(D87,$D$2:$E$4,2,FALSE))-(IF('Informe Kelly'!H81=$A$2,'Informe Kelly'!F81,VLOOKUP(D87,$D$2:$E$4,2,FALSE)))</f>
        <v>#N/A</v>
      </c>
      <c r="F87" s="142" t="e">
        <f>IF('Informe Kelly'!H81=$A$3,'Informe Kelly'!F81,VLOOKUP(D87,$D$2:$F$4,3,FALSE))-(VLOOKUP(D87,$D$2:$F$4,3,FALSE))</f>
        <v>#N/A</v>
      </c>
      <c r="G87" s="137" t="e">
        <f t="shared" si="2"/>
        <v>#N/A</v>
      </c>
      <c r="J87" s="139" t="s">
        <v>199</v>
      </c>
      <c r="K87" s="140" t="e">
        <v>#N/A</v>
      </c>
      <c r="L87" s="112" t="e">
        <f>IF(J87="","",VLOOKUP(J87,Ingreso!K:AH,24,FALSE))</f>
        <v>#N/A</v>
      </c>
      <c r="M87" s="112" t="e">
        <f t="shared" si="3"/>
        <v>#N/A</v>
      </c>
    </row>
    <row r="88" spans="1:13">
      <c r="A88" s="112" t="str">
        <f>VLOOKUP('Informe Kelly'!A82,Base!A:B,2,FALSE)</f>
        <v>05.989.878-7</v>
      </c>
      <c r="B88" s="112" t="str">
        <f>VLOOKUP('Informe Kelly'!A82,Base!A:G,7,FALSE)</f>
        <v>FIGUEROA PAVEZ NELLY E.</v>
      </c>
      <c r="C88" s="112" t="str">
        <f>'Informe Kelly'!E82</f>
        <v>07.04.2011</v>
      </c>
      <c r="D88" s="112" t="e">
        <f>VLOOKUP(A88,Ingreso!K:P,6,FALSE)</f>
        <v>#N/A</v>
      </c>
      <c r="E88" s="142" t="e">
        <f>(VLOOKUP(D88,$D$2:$E$4,2,FALSE))-(IF('Informe Kelly'!H82=$A$2,'Informe Kelly'!F82,VLOOKUP(D88,$D$2:$E$4,2,FALSE)))</f>
        <v>#N/A</v>
      </c>
      <c r="F88" s="142" t="e">
        <f>IF('Informe Kelly'!H82=$A$3,'Informe Kelly'!F82,VLOOKUP(D88,$D$2:$F$4,3,FALSE))-(VLOOKUP(D88,$D$2:$F$4,3,FALSE))</f>
        <v>#N/A</v>
      </c>
      <c r="G88" s="137" t="e">
        <f t="shared" si="2"/>
        <v>#N/A</v>
      </c>
      <c r="J88" s="139" t="s">
        <v>640</v>
      </c>
      <c r="K88" s="140" t="e">
        <v>#N/A</v>
      </c>
      <c r="L88" s="112" t="e">
        <f>IF(J88="","",VLOOKUP(J88,Ingreso!K:AH,24,FALSE))</f>
        <v>#N/A</v>
      </c>
      <c r="M88" s="112" t="e">
        <f t="shared" si="3"/>
        <v>#N/A</v>
      </c>
    </row>
    <row r="89" spans="1:13">
      <c r="A89" s="112" t="str">
        <f>VLOOKUP('Informe Kelly'!A83,Base!A:B,2,FALSE)</f>
        <v>05.989.878-7</v>
      </c>
      <c r="B89" s="112" t="str">
        <f>VLOOKUP('Informe Kelly'!A83,Base!A:G,7,FALSE)</f>
        <v>FIGUEROA PAVEZ NELLY E.</v>
      </c>
      <c r="C89" s="112" t="str">
        <f>'Informe Kelly'!E83</f>
        <v>07.04.2011</v>
      </c>
      <c r="D89" s="112" t="e">
        <f>VLOOKUP(A89,Ingreso!K:P,6,FALSE)</f>
        <v>#N/A</v>
      </c>
      <c r="E89" s="142" t="e">
        <f>(VLOOKUP(D89,$D$2:$E$4,2,FALSE))-(IF('Informe Kelly'!H83=$A$2,'Informe Kelly'!F83,VLOOKUP(D89,$D$2:$E$4,2,FALSE)))</f>
        <v>#N/A</v>
      </c>
      <c r="F89" s="142" t="e">
        <f>IF('Informe Kelly'!H83=$A$3,'Informe Kelly'!F83,VLOOKUP(D89,$D$2:$F$4,3,FALSE))-(VLOOKUP(D89,$D$2:$F$4,3,FALSE))</f>
        <v>#N/A</v>
      </c>
      <c r="G89" s="137" t="e">
        <f t="shared" si="2"/>
        <v>#N/A</v>
      </c>
      <c r="J89" s="139" t="s">
        <v>882</v>
      </c>
      <c r="K89" s="140" t="e">
        <v>#N/A</v>
      </c>
      <c r="L89" s="112" t="e">
        <f>IF(J89="","",VLOOKUP(J89,Ingreso!K:AH,24,FALSE))</f>
        <v>#N/A</v>
      </c>
      <c r="M89" s="112" t="e">
        <f t="shared" si="3"/>
        <v>#N/A</v>
      </c>
    </row>
    <row r="90" spans="1:13">
      <c r="A90" s="112" t="str">
        <f>VLOOKUP('Informe Kelly'!A84,Base!A:B,2,FALSE)</f>
        <v>05.989.878-7</v>
      </c>
      <c r="B90" s="112" t="str">
        <f>VLOOKUP('Informe Kelly'!A84,Base!A:G,7,FALSE)</f>
        <v>FIGUEROA PAVEZ NELLY E.</v>
      </c>
      <c r="C90" s="112" t="str">
        <f>'Informe Kelly'!E84</f>
        <v>08.04.2011</v>
      </c>
      <c r="D90" s="112" t="e">
        <f>VLOOKUP(A90,Ingreso!K:P,6,FALSE)</f>
        <v>#N/A</v>
      </c>
      <c r="E90" s="142" t="e">
        <f>(VLOOKUP(D90,$D$2:$E$4,2,FALSE))-(IF('Informe Kelly'!H84=$A$2,'Informe Kelly'!F84,VLOOKUP(D90,$D$2:$E$4,2,FALSE)))</f>
        <v>#N/A</v>
      </c>
      <c r="F90" s="142" t="e">
        <f>IF('Informe Kelly'!H84=$A$3,'Informe Kelly'!F84,VLOOKUP(D90,$D$2:$F$4,3,FALSE))-(VLOOKUP(D90,$D$2:$F$4,3,FALSE))</f>
        <v>#N/A</v>
      </c>
      <c r="G90" s="137" t="e">
        <f t="shared" si="2"/>
        <v>#N/A</v>
      </c>
      <c r="J90" s="139" t="s">
        <v>151</v>
      </c>
      <c r="K90" s="140" t="e">
        <v>#N/A</v>
      </c>
      <c r="L90" s="112" t="e">
        <f>IF(J90="","",VLOOKUP(J90,Ingreso!K:AH,24,FALSE))</f>
        <v>#N/A</v>
      </c>
      <c r="M90" s="112" t="e">
        <f t="shared" si="3"/>
        <v>#N/A</v>
      </c>
    </row>
    <row r="91" spans="1:13">
      <c r="A91" s="112" t="str">
        <f>VLOOKUP('Informe Kelly'!A85,Base!A:B,2,FALSE)</f>
        <v>05.989.878-7</v>
      </c>
      <c r="B91" s="112" t="str">
        <f>VLOOKUP('Informe Kelly'!A85,Base!A:G,7,FALSE)</f>
        <v>FIGUEROA PAVEZ NELLY E.</v>
      </c>
      <c r="C91" s="112" t="str">
        <f>'Informe Kelly'!E85</f>
        <v>08.04.2011</v>
      </c>
      <c r="D91" s="112" t="e">
        <f>VLOOKUP(A91,Ingreso!K:P,6,FALSE)</f>
        <v>#N/A</v>
      </c>
      <c r="E91" s="142" t="e">
        <f>(VLOOKUP(D91,$D$2:$E$4,2,FALSE))-(IF('Informe Kelly'!H85=$A$2,'Informe Kelly'!F85,VLOOKUP(D91,$D$2:$E$4,2,FALSE)))</f>
        <v>#N/A</v>
      </c>
      <c r="F91" s="142" t="e">
        <f>IF('Informe Kelly'!H85=$A$3,'Informe Kelly'!F85,VLOOKUP(D91,$D$2:$F$4,3,FALSE))-(VLOOKUP(D91,$D$2:$F$4,3,FALSE))</f>
        <v>#N/A</v>
      </c>
      <c r="G91" s="137" t="e">
        <f t="shared" si="2"/>
        <v>#N/A</v>
      </c>
      <c r="J91" s="139" t="s">
        <v>514</v>
      </c>
      <c r="K91" s="140" t="e">
        <v>#N/A</v>
      </c>
      <c r="L91" s="112" t="e">
        <f>IF(J91="","",VLOOKUP(J91,Ingreso!K:AH,24,FALSE))</f>
        <v>#N/A</v>
      </c>
      <c r="M91" s="112" t="e">
        <f t="shared" si="3"/>
        <v>#N/A</v>
      </c>
    </row>
    <row r="92" spans="1:13">
      <c r="A92" s="112" t="str">
        <f>VLOOKUP('Informe Kelly'!A86,Base!A:B,2,FALSE)</f>
        <v>05.989.878-7</v>
      </c>
      <c r="B92" s="112" t="str">
        <f>VLOOKUP('Informe Kelly'!A86,Base!A:G,7,FALSE)</f>
        <v>FIGUEROA PAVEZ NELLY E.</v>
      </c>
      <c r="C92" s="112" t="str">
        <f>'Informe Kelly'!E86</f>
        <v>09.04.2011</v>
      </c>
      <c r="D92" s="112" t="e">
        <f>VLOOKUP(A92,Ingreso!K:P,6,FALSE)</f>
        <v>#N/A</v>
      </c>
      <c r="E92" s="142" t="e">
        <f>(VLOOKUP(D92,$D$2:$E$4,2,FALSE))-(IF('Informe Kelly'!H86=$A$2,'Informe Kelly'!F86,VLOOKUP(D92,$D$2:$E$4,2,FALSE)))</f>
        <v>#N/A</v>
      </c>
      <c r="F92" s="142" t="e">
        <f>IF('Informe Kelly'!H86=$A$3,'Informe Kelly'!F86,VLOOKUP(D92,$D$2:$F$4,3,FALSE))-(VLOOKUP(D92,$D$2:$F$4,3,FALSE))</f>
        <v>#N/A</v>
      </c>
      <c r="G92" s="137" t="e">
        <f t="shared" si="2"/>
        <v>#N/A</v>
      </c>
      <c r="J92" s="139" t="s">
        <v>914</v>
      </c>
      <c r="K92" s="140" t="e">
        <v>#N/A</v>
      </c>
      <c r="L92" s="112" t="e">
        <f>IF(J92="","",VLOOKUP(J92,Ingreso!K:AH,24,FALSE))</f>
        <v>#N/A</v>
      </c>
      <c r="M92" s="112" t="e">
        <f t="shared" si="3"/>
        <v>#N/A</v>
      </c>
    </row>
    <row r="93" spans="1:13">
      <c r="A93" s="112" t="str">
        <f>VLOOKUP('Informe Kelly'!A87,Base!A:B,2,FALSE)</f>
        <v>05.989.878-7</v>
      </c>
      <c r="B93" s="112" t="str">
        <f>VLOOKUP('Informe Kelly'!A87,Base!A:G,7,FALSE)</f>
        <v>FIGUEROA PAVEZ NELLY E.</v>
      </c>
      <c r="C93" s="112" t="str">
        <f>'Informe Kelly'!E87</f>
        <v>09.04.2011</v>
      </c>
      <c r="D93" s="112" t="e">
        <f>VLOOKUP(A93,Ingreso!K:P,6,FALSE)</f>
        <v>#N/A</v>
      </c>
      <c r="E93" s="142" t="e">
        <f>(VLOOKUP(D93,$D$2:$E$4,2,FALSE))-(IF('Informe Kelly'!H87=$A$2,'Informe Kelly'!F87,VLOOKUP(D93,$D$2:$E$4,2,FALSE)))</f>
        <v>#N/A</v>
      </c>
      <c r="F93" s="142" t="e">
        <f>IF('Informe Kelly'!H87=$A$3,'Informe Kelly'!F87,VLOOKUP(D93,$D$2:$F$4,3,FALSE))-(VLOOKUP(D93,$D$2:$F$4,3,FALSE))</f>
        <v>#N/A</v>
      </c>
      <c r="G93" s="137" t="e">
        <f t="shared" si="2"/>
        <v>#N/A</v>
      </c>
      <c r="J93" s="139" t="s">
        <v>1118</v>
      </c>
      <c r="K93" s="140" t="e">
        <v>#N/A</v>
      </c>
      <c r="L93" s="112" t="e">
        <f>IF(J93="","",VLOOKUP(J93,Ingreso!K:AH,24,FALSE))</f>
        <v>#N/A</v>
      </c>
      <c r="M93" s="112" t="e">
        <f t="shared" si="3"/>
        <v>#N/A</v>
      </c>
    </row>
    <row r="94" spans="1:13">
      <c r="A94" s="112" t="str">
        <f>VLOOKUP('Informe Kelly'!A88,Base!A:B,2,FALSE)</f>
        <v>06.010.169-8</v>
      </c>
      <c r="B94" s="112" t="str">
        <f>VLOOKUP('Informe Kelly'!A88,Base!A:G,7,FALSE)</f>
        <v>PINO QUINTANILLA GUILLERMO</v>
      </c>
      <c r="C94" s="112" t="str">
        <f>'Informe Kelly'!E88</f>
        <v>04.04.2011</v>
      </c>
      <c r="D94" s="112" t="e">
        <f>VLOOKUP(A94,Ingreso!K:P,6,FALSE)</f>
        <v>#N/A</v>
      </c>
      <c r="E94" s="142" t="e">
        <f>(VLOOKUP(D94,$D$2:$E$4,2,FALSE))-(IF('Informe Kelly'!H88=$A$2,'Informe Kelly'!F88,VLOOKUP(D94,$D$2:$E$4,2,FALSE)))</f>
        <v>#N/A</v>
      </c>
      <c r="F94" s="142" t="e">
        <f>IF('Informe Kelly'!H88=$A$3,'Informe Kelly'!F88,VLOOKUP(D94,$D$2:$F$4,3,FALSE))-(VLOOKUP(D94,$D$2:$F$4,3,FALSE))</f>
        <v>#N/A</v>
      </c>
      <c r="G94" s="137" t="e">
        <f t="shared" si="2"/>
        <v>#N/A</v>
      </c>
      <c r="J94" s="139" t="s">
        <v>658</v>
      </c>
      <c r="K94" s="140" t="e">
        <v>#N/A</v>
      </c>
      <c r="L94" s="112" t="e">
        <f>IF(J94="","",VLOOKUP(J94,Ingreso!K:AH,24,FALSE))</f>
        <v>#N/A</v>
      </c>
      <c r="M94" s="112" t="e">
        <f t="shared" si="3"/>
        <v>#N/A</v>
      </c>
    </row>
    <row r="95" spans="1:13">
      <c r="A95" s="112" t="str">
        <f>VLOOKUP('Informe Kelly'!A89,Base!A:B,2,FALSE)</f>
        <v>06.010.169-8</v>
      </c>
      <c r="B95" s="112" t="str">
        <f>VLOOKUP('Informe Kelly'!A89,Base!A:G,7,FALSE)</f>
        <v>PINO QUINTANILLA GUILLERMO</v>
      </c>
      <c r="C95" s="112" t="str">
        <f>'Informe Kelly'!E89</f>
        <v>04.04.2011</v>
      </c>
      <c r="D95" s="112" t="e">
        <f>VLOOKUP(A95,Ingreso!K:P,6,FALSE)</f>
        <v>#N/A</v>
      </c>
      <c r="E95" s="142" t="e">
        <f>(VLOOKUP(D95,$D$2:$E$4,2,FALSE))-(IF('Informe Kelly'!H89=$A$2,'Informe Kelly'!F89,VLOOKUP(D95,$D$2:$E$4,2,FALSE)))</f>
        <v>#N/A</v>
      </c>
      <c r="F95" s="142" t="e">
        <f>IF('Informe Kelly'!H89=$A$3,'Informe Kelly'!F89,VLOOKUP(D95,$D$2:$F$4,3,FALSE))-(VLOOKUP(D95,$D$2:$F$4,3,FALSE))</f>
        <v>#N/A</v>
      </c>
      <c r="G95" s="137" t="e">
        <f t="shared" si="2"/>
        <v>#N/A</v>
      </c>
      <c r="J95" s="139" t="s">
        <v>1092</v>
      </c>
      <c r="K95" s="140" t="e">
        <v>#N/A</v>
      </c>
      <c r="L95" s="112" t="e">
        <f>IF(J95="","",VLOOKUP(J95,Ingreso!K:AH,24,FALSE))</f>
        <v>#N/A</v>
      </c>
      <c r="M95" s="112" t="e">
        <f t="shared" si="3"/>
        <v>#N/A</v>
      </c>
    </row>
    <row r="96" spans="1:13">
      <c r="A96" s="112" t="str">
        <f>VLOOKUP('Informe Kelly'!A90,Base!A:B,2,FALSE)</f>
        <v>06.010.169-8</v>
      </c>
      <c r="B96" s="112" t="str">
        <f>VLOOKUP('Informe Kelly'!A90,Base!A:G,7,FALSE)</f>
        <v>PINO QUINTANILLA GUILLERMO</v>
      </c>
      <c r="C96" s="112" t="str">
        <f>'Informe Kelly'!E90</f>
        <v>05.04.2011</v>
      </c>
      <c r="D96" s="112" t="e">
        <f>VLOOKUP(A96,Ingreso!K:P,6,FALSE)</f>
        <v>#N/A</v>
      </c>
      <c r="E96" s="142" t="e">
        <f>(VLOOKUP(D96,$D$2:$E$4,2,FALSE))-(IF('Informe Kelly'!H90=$A$2,'Informe Kelly'!F90,VLOOKUP(D96,$D$2:$E$4,2,FALSE)))</f>
        <v>#N/A</v>
      </c>
      <c r="F96" s="142" t="e">
        <f>IF('Informe Kelly'!H90=$A$3,'Informe Kelly'!F90,VLOOKUP(D96,$D$2:$F$4,3,FALSE))-(VLOOKUP(D96,$D$2:$F$4,3,FALSE))</f>
        <v>#N/A</v>
      </c>
      <c r="G96" s="137" t="e">
        <f t="shared" si="2"/>
        <v>#N/A</v>
      </c>
      <c r="J96" s="139" t="s">
        <v>746</v>
      </c>
      <c r="K96" s="140" t="e">
        <v>#N/A</v>
      </c>
      <c r="L96" s="112" t="e">
        <f>IF(J96="","",VLOOKUP(J96,Ingreso!K:AH,24,FALSE))</f>
        <v>#N/A</v>
      </c>
      <c r="M96" s="112" t="e">
        <f t="shared" si="3"/>
        <v>#N/A</v>
      </c>
    </row>
    <row r="97" spans="1:13">
      <c r="A97" s="112" t="str">
        <f>VLOOKUP('Informe Kelly'!A91,Base!A:B,2,FALSE)</f>
        <v>06.010.169-8</v>
      </c>
      <c r="B97" s="112" t="str">
        <f>VLOOKUP('Informe Kelly'!A91,Base!A:G,7,FALSE)</f>
        <v>PINO QUINTANILLA GUILLERMO</v>
      </c>
      <c r="C97" s="112" t="str">
        <f>'Informe Kelly'!E91</f>
        <v>05.04.2011</v>
      </c>
      <c r="D97" s="112" t="e">
        <f>VLOOKUP(A97,Ingreso!K:P,6,FALSE)</f>
        <v>#N/A</v>
      </c>
      <c r="E97" s="142" t="e">
        <f>(VLOOKUP(D97,$D$2:$E$4,2,FALSE))-(IF('Informe Kelly'!H91=$A$2,'Informe Kelly'!F91,VLOOKUP(D97,$D$2:$E$4,2,FALSE)))</f>
        <v>#N/A</v>
      </c>
      <c r="F97" s="142" t="e">
        <f>IF('Informe Kelly'!H91=$A$3,'Informe Kelly'!F91,VLOOKUP(D97,$D$2:$F$4,3,FALSE))-(VLOOKUP(D97,$D$2:$F$4,3,FALSE))</f>
        <v>#N/A</v>
      </c>
      <c r="G97" s="137" t="e">
        <f t="shared" si="2"/>
        <v>#N/A</v>
      </c>
      <c r="J97" s="139" t="s">
        <v>1013</v>
      </c>
      <c r="K97" s="140" t="e">
        <v>#N/A</v>
      </c>
      <c r="L97" s="112" t="e">
        <f>IF(J97="","",VLOOKUP(J97,Ingreso!K:AH,24,FALSE))</f>
        <v>#N/A</v>
      </c>
      <c r="M97" s="112" t="e">
        <f t="shared" si="3"/>
        <v>#N/A</v>
      </c>
    </row>
    <row r="98" spans="1:13">
      <c r="A98" s="112" t="str">
        <f>VLOOKUP('Informe Kelly'!A92,Base!A:B,2,FALSE)</f>
        <v>06.010.169-8</v>
      </c>
      <c r="B98" s="112" t="str">
        <f>VLOOKUP('Informe Kelly'!A92,Base!A:G,7,FALSE)</f>
        <v>PINO QUINTANILLA GUILLERMO</v>
      </c>
      <c r="C98" s="112" t="str">
        <f>'Informe Kelly'!E92</f>
        <v>06.04.2011</v>
      </c>
      <c r="D98" s="112" t="e">
        <f>VLOOKUP(A98,Ingreso!K:P,6,FALSE)</f>
        <v>#N/A</v>
      </c>
      <c r="E98" s="142" t="e">
        <f>(VLOOKUP(D98,$D$2:$E$4,2,FALSE))-(IF('Informe Kelly'!H92=$A$2,'Informe Kelly'!F92,VLOOKUP(D98,$D$2:$E$4,2,FALSE)))</f>
        <v>#N/A</v>
      </c>
      <c r="F98" s="142" t="e">
        <f>IF('Informe Kelly'!H92=$A$3,'Informe Kelly'!F92,VLOOKUP(D98,$D$2:$F$4,3,FALSE))-(VLOOKUP(D98,$D$2:$F$4,3,FALSE))</f>
        <v>#N/A</v>
      </c>
      <c r="G98" s="137" t="e">
        <f t="shared" si="2"/>
        <v>#N/A</v>
      </c>
      <c r="J98" s="139" t="s">
        <v>108</v>
      </c>
      <c r="K98" s="140" t="e">
        <v>#N/A</v>
      </c>
      <c r="L98" s="112" t="e">
        <f>IF(J98="","",VLOOKUP(J98,Ingreso!K:AH,24,FALSE))</f>
        <v>#N/A</v>
      </c>
      <c r="M98" s="112" t="e">
        <f t="shared" si="3"/>
        <v>#N/A</v>
      </c>
    </row>
    <row r="99" spans="1:13">
      <c r="A99" s="112" t="str">
        <f>VLOOKUP('Informe Kelly'!A93,Base!A:B,2,FALSE)</f>
        <v>06.010.169-8</v>
      </c>
      <c r="B99" s="112" t="str">
        <f>VLOOKUP('Informe Kelly'!A93,Base!A:G,7,FALSE)</f>
        <v>PINO QUINTANILLA GUILLERMO</v>
      </c>
      <c r="C99" s="112" t="str">
        <f>'Informe Kelly'!E93</f>
        <v>06.04.2011</v>
      </c>
      <c r="D99" s="112" t="e">
        <f>VLOOKUP(A99,Ingreso!K:P,6,FALSE)</f>
        <v>#N/A</v>
      </c>
      <c r="E99" s="142" t="e">
        <f>(VLOOKUP(D99,$D$2:$E$4,2,FALSE))-(IF('Informe Kelly'!H93=$A$2,'Informe Kelly'!F93,VLOOKUP(D99,$D$2:$E$4,2,FALSE)))</f>
        <v>#N/A</v>
      </c>
      <c r="F99" s="142" t="e">
        <f>IF('Informe Kelly'!H93=$A$3,'Informe Kelly'!F93,VLOOKUP(D99,$D$2:$F$4,3,FALSE))-(VLOOKUP(D99,$D$2:$F$4,3,FALSE))</f>
        <v>#N/A</v>
      </c>
      <c r="G99" s="137" t="e">
        <f t="shared" si="2"/>
        <v>#N/A</v>
      </c>
      <c r="J99" s="139" t="s">
        <v>1031</v>
      </c>
      <c r="K99" s="140" t="e">
        <v>#N/A</v>
      </c>
      <c r="L99" s="112" t="e">
        <f>IF(J99="","",VLOOKUP(J99,Ingreso!K:AH,24,FALSE))</f>
        <v>#N/A</v>
      </c>
      <c r="M99" s="112" t="e">
        <f t="shared" si="3"/>
        <v>#N/A</v>
      </c>
    </row>
    <row r="100" spans="1:13">
      <c r="A100" s="112" t="str">
        <f>VLOOKUP('Informe Kelly'!A94,Base!A:B,2,FALSE)</f>
        <v>06.010.169-8</v>
      </c>
      <c r="B100" s="112" t="str">
        <f>VLOOKUP('Informe Kelly'!A94,Base!A:G,7,FALSE)</f>
        <v>PINO QUINTANILLA GUILLERMO</v>
      </c>
      <c r="C100" s="112" t="str">
        <f>'Informe Kelly'!E94</f>
        <v>07.04.2011</v>
      </c>
      <c r="D100" s="112" t="e">
        <f>VLOOKUP(A100,Ingreso!K:P,6,FALSE)</f>
        <v>#N/A</v>
      </c>
      <c r="E100" s="142" t="e">
        <f>(VLOOKUP(D100,$D$2:$E$4,2,FALSE))-(IF('Informe Kelly'!H94=$A$2,'Informe Kelly'!F94,VLOOKUP(D100,$D$2:$E$4,2,FALSE)))</f>
        <v>#N/A</v>
      </c>
      <c r="F100" s="142" t="e">
        <f>IF('Informe Kelly'!H94=$A$3,'Informe Kelly'!F94,VLOOKUP(D100,$D$2:$F$4,3,FALSE))-(VLOOKUP(D100,$D$2:$F$4,3,FALSE))</f>
        <v>#N/A</v>
      </c>
      <c r="G100" s="137" t="e">
        <f t="shared" si="2"/>
        <v>#N/A</v>
      </c>
      <c r="J100" s="139" t="s">
        <v>1262</v>
      </c>
      <c r="K100" s="140" t="e">
        <v>#N/A</v>
      </c>
      <c r="L100" s="112" t="e">
        <f>IF(J100="","",VLOOKUP(J100,Ingreso!K:AH,24,FALSE))</f>
        <v>#N/A</v>
      </c>
      <c r="M100" s="112" t="e">
        <f t="shared" si="3"/>
        <v>#N/A</v>
      </c>
    </row>
    <row r="101" spans="1:13">
      <c r="A101" s="112" t="str">
        <f>VLOOKUP('Informe Kelly'!A95,Base!A:B,2,FALSE)</f>
        <v>06.010.169-8</v>
      </c>
      <c r="B101" s="112" t="str">
        <f>VLOOKUP('Informe Kelly'!A95,Base!A:G,7,FALSE)</f>
        <v>PINO QUINTANILLA GUILLERMO</v>
      </c>
      <c r="C101" s="112" t="str">
        <f>'Informe Kelly'!E95</f>
        <v>07.04.2011</v>
      </c>
      <c r="D101" s="112" t="e">
        <f>VLOOKUP(A101,Ingreso!K:P,6,FALSE)</f>
        <v>#N/A</v>
      </c>
      <c r="E101" s="142" t="e">
        <f>(VLOOKUP(D101,$D$2:$E$4,2,FALSE))-(IF('Informe Kelly'!H95=$A$2,'Informe Kelly'!F95,VLOOKUP(D101,$D$2:$E$4,2,FALSE)))</f>
        <v>#N/A</v>
      </c>
      <c r="F101" s="142" t="e">
        <f>IF('Informe Kelly'!H95=$A$3,'Informe Kelly'!F95,VLOOKUP(D101,$D$2:$F$4,3,FALSE))-(VLOOKUP(D101,$D$2:$F$4,3,FALSE))</f>
        <v>#N/A</v>
      </c>
      <c r="G101" s="137" t="e">
        <f t="shared" si="2"/>
        <v>#N/A</v>
      </c>
      <c r="J101" s="139" t="s">
        <v>597</v>
      </c>
      <c r="K101" s="140" t="e">
        <v>#N/A</v>
      </c>
      <c r="L101" s="112" t="e">
        <f>IF(J101="","",VLOOKUP(J101,Ingreso!K:AH,24,FALSE))</f>
        <v>#N/A</v>
      </c>
      <c r="M101" s="112" t="e">
        <f t="shared" si="3"/>
        <v>#N/A</v>
      </c>
    </row>
    <row r="102" spans="1:13">
      <c r="A102" s="112" t="str">
        <f>VLOOKUP('Informe Kelly'!A96,Base!A:B,2,FALSE)</f>
        <v>06.010.169-8</v>
      </c>
      <c r="B102" s="112" t="str">
        <f>VLOOKUP('Informe Kelly'!A96,Base!A:G,7,FALSE)</f>
        <v>PINO QUINTANILLA GUILLERMO</v>
      </c>
      <c r="C102" s="112" t="str">
        <f>'Informe Kelly'!E96</f>
        <v>08.04.2011</v>
      </c>
      <c r="D102" s="112" t="e">
        <f>VLOOKUP(A102,Ingreso!K:P,6,FALSE)</f>
        <v>#N/A</v>
      </c>
      <c r="E102" s="142" t="e">
        <f>(VLOOKUP(D102,$D$2:$E$4,2,FALSE))-(IF('Informe Kelly'!H96=$A$2,'Informe Kelly'!F96,VLOOKUP(D102,$D$2:$E$4,2,FALSE)))</f>
        <v>#N/A</v>
      </c>
      <c r="F102" s="142" t="e">
        <f>IF('Informe Kelly'!H96=$A$3,'Informe Kelly'!F96,VLOOKUP(D102,$D$2:$F$4,3,FALSE))-(VLOOKUP(D102,$D$2:$F$4,3,FALSE))</f>
        <v>#N/A</v>
      </c>
      <c r="G102" s="137" t="e">
        <f t="shared" si="2"/>
        <v>#N/A</v>
      </c>
      <c r="J102" s="139" t="s">
        <v>345</v>
      </c>
      <c r="K102" s="140" t="e">
        <v>#N/A</v>
      </c>
      <c r="L102" s="112" t="e">
        <f>IF(J102="","",VLOOKUP(J102,Ingreso!K:AH,24,FALSE))</f>
        <v>#N/A</v>
      </c>
      <c r="M102" s="112" t="e">
        <f t="shared" si="3"/>
        <v>#N/A</v>
      </c>
    </row>
    <row r="103" spans="1:13">
      <c r="A103" s="112" t="str">
        <f>VLOOKUP('Informe Kelly'!A97,Base!A:B,2,FALSE)</f>
        <v>06.010.169-8</v>
      </c>
      <c r="B103" s="112" t="str">
        <f>VLOOKUP('Informe Kelly'!A97,Base!A:G,7,FALSE)</f>
        <v>PINO QUINTANILLA GUILLERMO</v>
      </c>
      <c r="C103" s="112" t="str">
        <f>'Informe Kelly'!E97</f>
        <v>08.04.2011</v>
      </c>
      <c r="D103" s="112" t="e">
        <f>VLOOKUP(A103,Ingreso!K:P,6,FALSE)</f>
        <v>#N/A</v>
      </c>
      <c r="E103" s="142" t="e">
        <f>(VLOOKUP(D103,$D$2:$E$4,2,FALSE))-(IF('Informe Kelly'!H97=$A$2,'Informe Kelly'!F97,VLOOKUP(D103,$D$2:$E$4,2,FALSE)))</f>
        <v>#N/A</v>
      </c>
      <c r="F103" s="142" t="e">
        <f>IF('Informe Kelly'!H97=$A$3,'Informe Kelly'!F97,VLOOKUP(D103,$D$2:$F$4,3,FALSE))-(VLOOKUP(D103,$D$2:$F$4,3,FALSE))</f>
        <v>#N/A</v>
      </c>
      <c r="G103" s="137" t="e">
        <f t="shared" si="2"/>
        <v>#N/A</v>
      </c>
      <c r="J103" s="139" t="s">
        <v>794</v>
      </c>
      <c r="K103" s="140" t="e">
        <v>#N/A</v>
      </c>
      <c r="L103" s="112" t="e">
        <f>IF(J103="","",VLOOKUP(J103,Ingreso!K:AH,24,FALSE))</f>
        <v>#N/A</v>
      </c>
      <c r="M103" s="112" t="e">
        <f t="shared" si="3"/>
        <v>#N/A</v>
      </c>
    </row>
    <row r="104" spans="1:13">
      <c r="A104" s="112" t="str">
        <f>VLOOKUP('Informe Kelly'!A98,Base!A:B,2,FALSE)</f>
        <v>06.010.169-8</v>
      </c>
      <c r="B104" s="112" t="str">
        <f>VLOOKUP('Informe Kelly'!A98,Base!A:G,7,FALSE)</f>
        <v>PINO QUINTANILLA GUILLERMO</v>
      </c>
      <c r="C104" s="112" t="str">
        <f>'Informe Kelly'!E98</f>
        <v>09.04.2011</v>
      </c>
      <c r="D104" s="112" t="e">
        <f>VLOOKUP(A104,Ingreso!K:P,6,FALSE)</f>
        <v>#N/A</v>
      </c>
      <c r="E104" s="142" t="e">
        <f>(VLOOKUP(D104,$D$2:$E$4,2,FALSE))-(IF('Informe Kelly'!H98=$A$2,'Informe Kelly'!F98,VLOOKUP(D104,$D$2:$E$4,2,FALSE)))</f>
        <v>#N/A</v>
      </c>
      <c r="F104" s="142" t="e">
        <f>IF('Informe Kelly'!H98=$A$3,'Informe Kelly'!F98,VLOOKUP(D104,$D$2:$F$4,3,FALSE))-(VLOOKUP(D104,$D$2:$F$4,3,FALSE))</f>
        <v>#N/A</v>
      </c>
      <c r="G104" s="137" t="e">
        <f t="shared" si="2"/>
        <v>#N/A</v>
      </c>
      <c r="J104" s="139" t="s">
        <v>942</v>
      </c>
      <c r="K104" s="140" t="e">
        <v>#N/A</v>
      </c>
      <c r="L104" s="112" t="e">
        <f>IF(J104="","",VLOOKUP(J104,Ingreso!K:AH,24,FALSE))</f>
        <v>#N/A</v>
      </c>
      <c r="M104" s="112" t="e">
        <f t="shared" si="3"/>
        <v>#N/A</v>
      </c>
    </row>
    <row r="105" spans="1:13">
      <c r="A105" s="112" t="str">
        <f>VLOOKUP('Informe Kelly'!A99,Base!A:B,2,FALSE)</f>
        <v>06.010.169-8</v>
      </c>
      <c r="B105" s="112" t="str">
        <f>VLOOKUP('Informe Kelly'!A99,Base!A:G,7,FALSE)</f>
        <v>PINO QUINTANILLA GUILLERMO</v>
      </c>
      <c r="C105" s="112" t="str">
        <f>'Informe Kelly'!E99</f>
        <v>09.04.2011</v>
      </c>
      <c r="D105" s="112" t="e">
        <f>VLOOKUP(A105,Ingreso!K:P,6,FALSE)</f>
        <v>#N/A</v>
      </c>
      <c r="E105" s="142" t="e">
        <f>(VLOOKUP(D105,$D$2:$E$4,2,FALSE))-(IF('Informe Kelly'!H99=$A$2,'Informe Kelly'!F99,VLOOKUP(D105,$D$2:$E$4,2,FALSE)))</f>
        <v>#N/A</v>
      </c>
      <c r="F105" s="142" t="e">
        <f>IF('Informe Kelly'!H99=$A$3,'Informe Kelly'!F99,VLOOKUP(D105,$D$2:$F$4,3,FALSE))-(VLOOKUP(D105,$D$2:$F$4,3,FALSE))</f>
        <v>#N/A</v>
      </c>
      <c r="G105" s="137" t="e">
        <f t="shared" si="2"/>
        <v>#N/A</v>
      </c>
      <c r="J105" s="139" t="s">
        <v>572</v>
      </c>
      <c r="K105" s="140" t="e">
        <v>#N/A</v>
      </c>
      <c r="L105" s="112" t="e">
        <f>IF(J105="","",VLOOKUP(J105,Ingreso!K:AH,24,FALSE))</f>
        <v>#N/A</v>
      </c>
      <c r="M105" s="112" t="e">
        <f t="shared" si="3"/>
        <v>#N/A</v>
      </c>
    </row>
    <row r="106" spans="1:13">
      <c r="A106" s="112" t="str">
        <f>VLOOKUP('Informe Kelly'!A100,Base!A:B,2,FALSE)</f>
        <v>06.143.912-9</v>
      </c>
      <c r="B106" s="112" t="str">
        <f>VLOOKUP('Informe Kelly'!A100,Base!A:G,7,FALSE)</f>
        <v>CURIN  MILLAN,ARTURO BERNABE</v>
      </c>
      <c r="C106" s="112" t="str">
        <f>'Informe Kelly'!E100</f>
        <v>04.04.2011</v>
      </c>
      <c r="D106" s="112" t="e">
        <f>VLOOKUP(A106,Ingreso!K:P,6,FALSE)</f>
        <v>#N/A</v>
      </c>
      <c r="E106" s="142" t="e">
        <f>(VLOOKUP(D106,$D$2:$E$4,2,FALSE))-(IF('Informe Kelly'!H100=$A$2,'Informe Kelly'!F100,VLOOKUP(D106,$D$2:$E$4,2,FALSE)))</f>
        <v>#N/A</v>
      </c>
      <c r="F106" s="142" t="e">
        <f>IF('Informe Kelly'!H100=$A$3,'Informe Kelly'!F100,VLOOKUP(D106,$D$2:$F$4,3,FALSE))-(VLOOKUP(D106,$D$2:$F$4,3,FALSE))</f>
        <v>#N/A</v>
      </c>
      <c r="G106" s="137" t="e">
        <f t="shared" si="2"/>
        <v>#N/A</v>
      </c>
      <c r="J106" s="139" t="s">
        <v>1088</v>
      </c>
      <c r="K106" s="140" t="e">
        <v>#N/A</v>
      </c>
      <c r="L106" s="112" t="e">
        <f>IF(J106="","",VLOOKUP(J106,Ingreso!K:AH,24,FALSE))</f>
        <v>#N/A</v>
      </c>
      <c r="M106" s="112" t="e">
        <f t="shared" si="3"/>
        <v>#N/A</v>
      </c>
    </row>
    <row r="107" spans="1:13">
      <c r="A107" s="112" t="str">
        <f>VLOOKUP('Informe Kelly'!A101,Base!A:B,2,FALSE)</f>
        <v>06.143.912-9</v>
      </c>
      <c r="B107" s="112" t="str">
        <f>VLOOKUP('Informe Kelly'!A101,Base!A:G,7,FALSE)</f>
        <v>CURIN  MILLAN,ARTURO BERNABE</v>
      </c>
      <c r="C107" s="112" t="str">
        <f>'Informe Kelly'!E101</f>
        <v>04.04.2011</v>
      </c>
      <c r="D107" s="112" t="e">
        <f>VLOOKUP(A107,Ingreso!K:P,6,FALSE)</f>
        <v>#N/A</v>
      </c>
      <c r="E107" s="142" t="e">
        <f>(VLOOKUP(D107,$D$2:$E$4,2,FALSE))-(IF('Informe Kelly'!H101=$A$2,'Informe Kelly'!F101,VLOOKUP(D107,$D$2:$E$4,2,FALSE)))</f>
        <v>#N/A</v>
      </c>
      <c r="F107" s="142" t="e">
        <f>IF('Informe Kelly'!H101=$A$3,'Informe Kelly'!F101,VLOOKUP(D107,$D$2:$F$4,3,FALSE))-(VLOOKUP(D107,$D$2:$F$4,3,FALSE))</f>
        <v>#N/A</v>
      </c>
      <c r="G107" s="137" t="e">
        <f t="shared" si="2"/>
        <v>#N/A</v>
      </c>
      <c r="J107" s="139" t="s">
        <v>700</v>
      </c>
      <c r="K107" s="140" t="e">
        <v>#N/A</v>
      </c>
      <c r="L107" s="112" t="e">
        <f>IF(J107="","",VLOOKUP(J107,Ingreso!K:AH,24,FALSE))</f>
        <v>#N/A</v>
      </c>
      <c r="M107" s="112" t="e">
        <f t="shared" si="3"/>
        <v>#N/A</v>
      </c>
    </row>
    <row r="108" spans="1:13">
      <c r="A108" s="112" t="str">
        <f>VLOOKUP('Informe Kelly'!A102,Base!A:B,2,FALSE)</f>
        <v>06.143.912-9</v>
      </c>
      <c r="B108" s="112" t="str">
        <f>VLOOKUP('Informe Kelly'!A102,Base!A:G,7,FALSE)</f>
        <v>CURIN  MILLAN,ARTURO BERNABE</v>
      </c>
      <c r="C108" s="112" t="str">
        <f>'Informe Kelly'!E102</f>
        <v>05.04.2011</v>
      </c>
      <c r="D108" s="112" t="e">
        <f>VLOOKUP(A108,Ingreso!K:P,6,FALSE)</f>
        <v>#N/A</v>
      </c>
      <c r="E108" s="142" t="e">
        <f>(VLOOKUP(D108,$D$2:$E$4,2,FALSE))-(IF('Informe Kelly'!H102=$A$2,'Informe Kelly'!F102,VLOOKUP(D108,$D$2:$E$4,2,FALSE)))</f>
        <v>#N/A</v>
      </c>
      <c r="F108" s="142" t="e">
        <f>IF('Informe Kelly'!H102=$A$3,'Informe Kelly'!F102,VLOOKUP(D108,$D$2:$F$4,3,FALSE))-(VLOOKUP(D108,$D$2:$F$4,3,FALSE))</f>
        <v>#N/A</v>
      </c>
      <c r="G108" s="137" t="e">
        <f t="shared" si="2"/>
        <v>#N/A</v>
      </c>
      <c r="J108" s="139" t="s">
        <v>385</v>
      </c>
      <c r="K108" s="140" t="e">
        <v>#N/A</v>
      </c>
      <c r="L108" s="112" t="e">
        <f>IF(J108="","",VLOOKUP(J108,Ingreso!K:AH,24,FALSE))</f>
        <v>#N/A</v>
      </c>
      <c r="M108" s="112" t="e">
        <f t="shared" si="3"/>
        <v>#N/A</v>
      </c>
    </row>
    <row r="109" spans="1:13">
      <c r="A109" s="112" t="str">
        <f>VLOOKUP('Informe Kelly'!A103,Base!A:B,2,FALSE)</f>
        <v>06.143.912-9</v>
      </c>
      <c r="B109" s="112" t="str">
        <f>VLOOKUP('Informe Kelly'!A103,Base!A:G,7,FALSE)</f>
        <v>CURIN  MILLAN,ARTURO BERNABE</v>
      </c>
      <c r="C109" s="112" t="str">
        <f>'Informe Kelly'!E103</f>
        <v>05.04.2011</v>
      </c>
      <c r="D109" s="112" t="e">
        <f>VLOOKUP(A109,Ingreso!K:P,6,FALSE)</f>
        <v>#N/A</v>
      </c>
      <c r="E109" s="142" t="e">
        <f>(VLOOKUP(D109,$D$2:$E$4,2,FALSE))-(IF('Informe Kelly'!H103=$A$2,'Informe Kelly'!F103,VLOOKUP(D109,$D$2:$E$4,2,FALSE)))</f>
        <v>#N/A</v>
      </c>
      <c r="F109" s="142" t="e">
        <f>IF('Informe Kelly'!H103=$A$3,'Informe Kelly'!F103,VLOOKUP(D109,$D$2:$F$4,3,FALSE))-(VLOOKUP(D109,$D$2:$F$4,3,FALSE))</f>
        <v>#N/A</v>
      </c>
      <c r="G109" s="137" t="e">
        <f t="shared" si="2"/>
        <v>#N/A</v>
      </c>
      <c r="J109" s="139" t="s">
        <v>602</v>
      </c>
      <c r="K109" s="140" t="e">
        <v>#N/A</v>
      </c>
      <c r="L109" s="112" t="e">
        <f>IF(J109="","",VLOOKUP(J109,Ingreso!K:AH,24,FALSE))</f>
        <v>#N/A</v>
      </c>
      <c r="M109" s="112" t="e">
        <f t="shared" si="3"/>
        <v>#N/A</v>
      </c>
    </row>
    <row r="110" spans="1:13">
      <c r="A110" s="112" t="str">
        <f>VLOOKUP('Informe Kelly'!A104,Base!A:B,2,FALSE)</f>
        <v>06.143.912-9</v>
      </c>
      <c r="B110" s="112" t="str">
        <f>VLOOKUP('Informe Kelly'!A104,Base!A:G,7,FALSE)</f>
        <v>CURIN  MILLAN,ARTURO BERNABE</v>
      </c>
      <c r="C110" s="112" t="str">
        <f>'Informe Kelly'!E104</f>
        <v>06.04.2011</v>
      </c>
      <c r="D110" s="112" t="e">
        <f>VLOOKUP(A110,Ingreso!K:P,6,FALSE)</f>
        <v>#N/A</v>
      </c>
      <c r="E110" s="142" t="e">
        <f>(VLOOKUP(D110,$D$2:$E$4,2,FALSE))-(IF('Informe Kelly'!H104=$A$2,'Informe Kelly'!F104,VLOOKUP(D110,$D$2:$E$4,2,FALSE)))</f>
        <v>#N/A</v>
      </c>
      <c r="F110" s="142" t="e">
        <f>IF('Informe Kelly'!H104=$A$3,'Informe Kelly'!F104,VLOOKUP(D110,$D$2:$F$4,3,FALSE))-(VLOOKUP(D110,$D$2:$F$4,3,FALSE))</f>
        <v>#N/A</v>
      </c>
      <c r="G110" s="137" t="e">
        <f t="shared" si="2"/>
        <v>#N/A</v>
      </c>
      <c r="J110" s="139" t="s">
        <v>158</v>
      </c>
      <c r="K110" s="140" t="e">
        <v>#N/A</v>
      </c>
      <c r="L110" s="112" t="e">
        <f>IF(J110="","",VLOOKUP(J110,Ingreso!K:AH,24,FALSE))</f>
        <v>#N/A</v>
      </c>
      <c r="M110" s="112" t="e">
        <f t="shared" si="3"/>
        <v>#N/A</v>
      </c>
    </row>
    <row r="111" spans="1:13">
      <c r="A111" s="112" t="str">
        <f>VLOOKUP('Informe Kelly'!A105,Base!A:B,2,FALSE)</f>
        <v>06.143.912-9</v>
      </c>
      <c r="B111" s="112" t="str">
        <f>VLOOKUP('Informe Kelly'!A105,Base!A:G,7,FALSE)</f>
        <v>CURIN  MILLAN,ARTURO BERNABE</v>
      </c>
      <c r="C111" s="112" t="str">
        <f>'Informe Kelly'!E105</f>
        <v>06.04.2011</v>
      </c>
      <c r="D111" s="112" t="e">
        <f>VLOOKUP(A111,Ingreso!K:P,6,FALSE)</f>
        <v>#N/A</v>
      </c>
      <c r="E111" s="142" t="e">
        <f>(VLOOKUP(D111,$D$2:$E$4,2,FALSE))-(IF('Informe Kelly'!H105=$A$2,'Informe Kelly'!F105,VLOOKUP(D111,$D$2:$E$4,2,FALSE)))</f>
        <v>#N/A</v>
      </c>
      <c r="F111" s="142" t="e">
        <f>IF('Informe Kelly'!H105=$A$3,'Informe Kelly'!F105,VLOOKUP(D111,$D$2:$F$4,3,FALSE))-(VLOOKUP(D111,$D$2:$F$4,3,FALSE))</f>
        <v>#N/A</v>
      </c>
      <c r="G111" s="137" t="e">
        <f t="shared" si="2"/>
        <v>#N/A</v>
      </c>
      <c r="J111" s="139" t="s">
        <v>310</v>
      </c>
      <c r="K111" s="140" t="e">
        <v>#N/A</v>
      </c>
      <c r="L111" s="112" t="e">
        <f>IF(J111="","",VLOOKUP(J111,Ingreso!K:AH,24,FALSE))</f>
        <v>#N/A</v>
      </c>
      <c r="M111" s="112" t="e">
        <f t="shared" si="3"/>
        <v>#N/A</v>
      </c>
    </row>
    <row r="112" spans="1:13">
      <c r="A112" s="112" t="str">
        <f>VLOOKUP('Informe Kelly'!A106,Base!A:B,2,FALSE)</f>
        <v>06.143.912-9</v>
      </c>
      <c r="B112" s="112" t="str">
        <f>VLOOKUP('Informe Kelly'!A106,Base!A:G,7,FALSE)</f>
        <v>CURIN  MILLAN,ARTURO BERNABE</v>
      </c>
      <c r="C112" s="112" t="str">
        <f>'Informe Kelly'!E106</f>
        <v>07.04.2011</v>
      </c>
      <c r="D112" s="112" t="e">
        <f>VLOOKUP(A112,Ingreso!K:P,6,FALSE)</f>
        <v>#N/A</v>
      </c>
      <c r="E112" s="142" t="e">
        <f>(VLOOKUP(D112,$D$2:$E$4,2,FALSE))-(IF('Informe Kelly'!H106=$A$2,'Informe Kelly'!F106,VLOOKUP(D112,$D$2:$E$4,2,FALSE)))</f>
        <v>#N/A</v>
      </c>
      <c r="F112" s="142" t="e">
        <f>IF('Informe Kelly'!H106=$A$3,'Informe Kelly'!F106,VLOOKUP(D112,$D$2:$F$4,3,FALSE))-(VLOOKUP(D112,$D$2:$F$4,3,FALSE))</f>
        <v>#N/A</v>
      </c>
      <c r="G112" s="137" t="e">
        <f t="shared" si="2"/>
        <v>#N/A</v>
      </c>
      <c r="J112" s="139" t="s">
        <v>614</v>
      </c>
      <c r="K112" s="140" t="e">
        <v>#N/A</v>
      </c>
      <c r="L112" s="112" t="e">
        <f>IF(J112="","",VLOOKUP(J112,Ingreso!K:AH,24,FALSE))</f>
        <v>#N/A</v>
      </c>
      <c r="M112" s="112" t="e">
        <f t="shared" si="3"/>
        <v>#N/A</v>
      </c>
    </row>
    <row r="113" spans="1:13">
      <c r="A113" s="112" t="str">
        <f>VLOOKUP('Informe Kelly'!A107,Base!A:B,2,FALSE)</f>
        <v>06.143.912-9</v>
      </c>
      <c r="B113" s="112" t="str">
        <f>VLOOKUP('Informe Kelly'!A107,Base!A:G,7,FALSE)</f>
        <v>CURIN  MILLAN,ARTURO BERNABE</v>
      </c>
      <c r="C113" s="112" t="str">
        <f>'Informe Kelly'!E107</f>
        <v>07.04.2011</v>
      </c>
      <c r="D113" s="112" t="e">
        <f>VLOOKUP(A113,Ingreso!K:P,6,FALSE)</f>
        <v>#N/A</v>
      </c>
      <c r="E113" s="142" t="e">
        <f>(VLOOKUP(D113,$D$2:$E$4,2,FALSE))-(IF('Informe Kelly'!H107=$A$2,'Informe Kelly'!F107,VLOOKUP(D113,$D$2:$E$4,2,FALSE)))</f>
        <v>#N/A</v>
      </c>
      <c r="F113" s="142" t="e">
        <f>IF('Informe Kelly'!H107=$A$3,'Informe Kelly'!F107,VLOOKUP(D113,$D$2:$F$4,3,FALSE))-(VLOOKUP(D113,$D$2:$F$4,3,FALSE))</f>
        <v>#N/A</v>
      </c>
      <c r="G113" s="137" t="e">
        <f t="shared" si="2"/>
        <v>#N/A</v>
      </c>
      <c r="J113" s="139" t="s">
        <v>301</v>
      </c>
      <c r="K113" s="140" t="e">
        <v>#N/A</v>
      </c>
      <c r="L113" s="112" t="e">
        <f>IF(J113="","",VLOOKUP(J113,Ingreso!K:AH,24,FALSE))</f>
        <v>#N/A</v>
      </c>
      <c r="M113" s="112" t="e">
        <f t="shared" si="3"/>
        <v>#N/A</v>
      </c>
    </row>
    <row r="114" spans="1:13">
      <c r="A114" s="112" t="str">
        <f>VLOOKUP('Informe Kelly'!A108,Base!A:B,2,FALSE)</f>
        <v>06.143.912-9</v>
      </c>
      <c r="B114" s="112" t="str">
        <f>VLOOKUP('Informe Kelly'!A108,Base!A:G,7,FALSE)</f>
        <v>CURIN  MILLAN,ARTURO BERNABE</v>
      </c>
      <c r="C114" s="112" t="str">
        <f>'Informe Kelly'!E108</f>
        <v>08.04.2011</v>
      </c>
      <c r="D114" s="112" t="e">
        <f>VLOOKUP(A114,Ingreso!K:P,6,FALSE)</f>
        <v>#N/A</v>
      </c>
      <c r="E114" s="142" t="e">
        <f>(VLOOKUP(D114,$D$2:$E$4,2,FALSE))-(IF('Informe Kelly'!H108=$A$2,'Informe Kelly'!F108,VLOOKUP(D114,$D$2:$E$4,2,FALSE)))</f>
        <v>#N/A</v>
      </c>
      <c r="F114" s="142" t="e">
        <f>IF('Informe Kelly'!H108=$A$3,'Informe Kelly'!F108,VLOOKUP(D114,$D$2:$F$4,3,FALSE))-(VLOOKUP(D114,$D$2:$F$4,3,FALSE))</f>
        <v>#N/A</v>
      </c>
      <c r="G114" s="137" t="e">
        <f t="shared" si="2"/>
        <v>#N/A</v>
      </c>
      <c r="J114" s="139" t="s">
        <v>726</v>
      </c>
      <c r="K114" s="140" t="e">
        <v>#N/A</v>
      </c>
      <c r="L114" s="112" t="e">
        <f>IF(J114="","",VLOOKUP(J114,Ingreso!K:AH,24,FALSE))</f>
        <v>#N/A</v>
      </c>
      <c r="M114" s="112" t="e">
        <f t="shared" si="3"/>
        <v>#N/A</v>
      </c>
    </row>
    <row r="115" spans="1:13">
      <c r="A115" s="112" t="str">
        <f>VLOOKUP('Informe Kelly'!A109,Base!A:B,2,FALSE)</f>
        <v>06.143.912-9</v>
      </c>
      <c r="B115" s="112" t="str">
        <f>VLOOKUP('Informe Kelly'!A109,Base!A:G,7,FALSE)</f>
        <v>CURIN  MILLAN,ARTURO BERNABE</v>
      </c>
      <c r="C115" s="112" t="str">
        <f>'Informe Kelly'!E109</f>
        <v>08.04.2011</v>
      </c>
      <c r="D115" s="112" t="e">
        <f>VLOOKUP(A115,Ingreso!K:P,6,FALSE)</f>
        <v>#N/A</v>
      </c>
      <c r="E115" s="142" t="e">
        <f>(VLOOKUP(D115,$D$2:$E$4,2,FALSE))-(IF('Informe Kelly'!H109=$A$2,'Informe Kelly'!F109,VLOOKUP(D115,$D$2:$E$4,2,FALSE)))</f>
        <v>#N/A</v>
      </c>
      <c r="F115" s="142" t="e">
        <f>IF('Informe Kelly'!H109=$A$3,'Informe Kelly'!F109,VLOOKUP(D115,$D$2:$F$4,3,FALSE))-(VLOOKUP(D115,$D$2:$F$4,3,FALSE))</f>
        <v>#N/A</v>
      </c>
      <c r="G115" s="137" t="e">
        <f t="shared" si="2"/>
        <v>#N/A</v>
      </c>
      <c r="J115" s="139" t="s">
        <v>531</v>
      </c>
      <c r="K115" s="140" t="e">
        <v>#N/A</v>
      </c>
      <c r="L115" s="112" t="e">
        <f>IF(J115="","",VLOOKUP(J115,Ingreso!K:AH,24,FALSE))</f>
        <v>#N/A</v>
      </c>
      <c r="M115" s="112" t="e">
        <f t="shared" si="3"/>
        <v>#N/A</v>
      </c>
    </row>
    <row r="116" spans="1:13">
      <c r="A116" s="112" t="str">
        <f>VLOOKUP('Informe Kelly'!A110,Base!A:B,2,FALSE)</f>
        <v>06.187.914-5</v>
      </c>
      <c r="B116" s="112" t="str">
        <f>VLOOKUP('Informe Kelly'!A110,Base!A:G,7,FALSE)</f>
        <v>FUENTES  YAÑEZ,PATRICIA</v>
      </c>
      <c r="C116" s="112" t="str">
        <f>'Informe Kelly'!E110</f>
        <v>04.04.2011</v>
      </c>
      <c r="D116" s="112" t="e">
        <f>VLOOKUP(A116,Ingreso!K:P,6,FALSE)</f>
        <v>#N/A</v>
      </c>
      <c r="E116" s="142" t="e">
        <f>(VLOOKUP(D116,$D$2:$E$4,2,FALSE))-(IF('Informe Kelly'!H110=$A$2,'Informe Kelly'!F110,VLOOKUP(D116,$D$2:$E$4,2,FALSE)))</f>
        <v>#N/A</v>
      </c>
      <c r="F116" s="142" t="e">
        <f>IF('Informe Kelly'!H110=$A$3,'Informe Kelly'!F110,VLOOKUP(D116,$D$2:$F$4,3,FALSE))-(VLOOKUP(D116,$D$2:$F$4,3,FALSE))</f>
        <v>#N/A</v>
      </c>
      <c r="G116" s="137" t="e">
        <f t="shared" si="2"/>
        <v>#N/A</v>
      </c>
      <c r="J116" s="139" t="s">
        <v>973</v>
      </c>
      <c r="K116" s="140" t="e">
        <v>#N/A</v>
      </c>
      <c r="L116" s="112" t="e">
        <f>IF(J116="","",VLOOKUP(J116,Ingreso!K:AH,24,FALSE))</f>
        <v>#N/A</v>
      </c>
      <c r="M116" s="112" t="e">
        <f t="shared" si="3"/>
        <v>#N/A</v>
      </c>
    </row>
    <row r="117" spans="1:13">
      <c r="A117" s="112" t="str">
        <f>VLOOKUP('Informe Kelly'!A111,Base!A:B,2,FALSE)</f>
        <v>06.187.914-5</v>
      </c>
      <c r="B117" s="112" t="str">
        <f>VLOOKUP('Informe Kelly'!A111,Base!A:G,7,FALSE)</f>
        <v>FUENTES  YAÑEZ,PATRICIA</v>
      </c>
      <c r="C117" s="112" t="str">
        <f>'Informe Kelly'!E111</f>
        <v>05.04.2011</v>
      </c>
      <c r="D117" s="112" t="e">
        <f>VLOOKUP(A117,Ingreso!K:P,6,FALSE)</f>
        <v>#N/A</v>
      </c>
      <c r="E117" s="142" t="e">
        <f>(VLOOKUP(D117,$D$2:$E$4,2,FALSE))-(IF('Informe Kelly'!H111=$A$2,'Informe Kelly'!F111,VLOOKUP(D117,$D$2:$E$4,2,FALSE)))</f>
        <v>#N/A</v>
      </c>
      <c r="F117" s="142" t="e">
        <f>IF('Informe Kelly'!H111=$A$3,'Informe Kelly'!F111,VLOOKUP(D117,$D$2:$F$4,3,FALSE))-(VLOOKUP(D117,$D$2:$F$4,3,FALSE))</f>
        <v>#N/A</v>
      </c>
      <c r="G117" s="137" t="e">
        <f t="shared" si="2"/>
        <v>#N/A</v>
      </c>
      <c r="J117" s="139" t="s">
        <v>696</v>
      </c>
      <c r="K117" s="140" t="e">
        <v>#N/A</v>
      </c>
      <c r="L117" s="112" t="e">
        <f>IF(J117="","",VLOOKUP(J117,Ingreso!K:AH,24,FALSE))</f>
        <v>#N/A</v>
      </c>
      <c r="M117" s="112" t="e">
        <f t="shared" si="3"/>
        <v>#N/A</v>
      </c>
    </row>
    <row r="118" spans="1:13">
      <c r="A118" s="112" t="str">
        <f>VLOOKUP('Informe Kelly'!A112,Base!A:B,2,FALSE)</f>
        <v>06.187.914-5</v>
      </c>
      <c r="B118" s="112" t="str">
        <f>VLOOKUP('Informe Kelly'!A112,Base!A:G,7,FALSE)</f>
        <v>FUENTES  YAÑEZ,PATRICIA</v>
      </c>
      <c r="C118" s="112" t="str">
        <f>'Informe Kelly'!E112</f>
        <v>05.04.2011</v>
      </c>
      <c r="D118" s="112" t="e">
        <f>VLOOKUP(A118,Ingreso!K:P,6,FALSE)</f>
        <v>#N/A</v>
      </c>
      <c r="E118" s="142" t="e">
        <f>(VLOOKUP(D118,$D$2:$E$4,2,FALSE))-(IF('Informe Kelly'!H112=$A$2,'Informe Kelly'!F112,VLOOKUP(D118,$D$2:$E$4,2,FALSE)))</f>
        <v>#N/A</v>
      </c>
      <c r="F118" s="142" t="e">
        <f>IF('Informe Kelly'!H112=$A$3,'Informe Kelly'!F112,VLOOKUP(D118,$D$2:$F$4,3,FALSE))-(VLOOKUP(D118,$D$2:$F$4,3,FALSE))</f>
        <v>#N/A</v>
      </c>
      <c r="G118" s="137" t="e">
        <f t="shared" si="2"/>
        <v>#N/A</v>
      </c>
      <c r="J118" s="139" t="s">
        <v>294</v>
      </c>
      <c r="K118" s="140" t="e">
        <v>#N/A</v>
      </c>
      <c r="L118" s="112" t="e">
        <f>IF(J118="","",VLOOKUP(J118,Ingreso!K:AH,24,FALSE))</f>
        <v>#N/A</v>
      </c>
      <c r="M118" s="112" t="e">
        <f t="shared" si="3"/>
        <v>#N/A</v>
      </c>
    </row>
    <row r="119" spans="1:13">
      <c r="A119" s="112" t="str">
        <f>VLOOKUP('Informe Kelly'!A113,Base!A:B,2,FALSE)</f>
        <v>06.187.914-5</v>
      </c>
      <c r="B119" s="112" t="str">
        <f>VLOOKUP('Informe Kelly'!A113,Base!A:G,7,FALSE)</f>
        <v>FUENTES  YAÑEZ,PATRICIA</v>
      </c>
      <c r="C119" s="112" t="str">
        <f>'Informe Kelly'!E113</f>
        <v>06.04.2011</v>
      </c>
      <c r="D119" s="112" t="e">
        <f>VLOOKUP(A119,Ingreso!K:P,6,FALSE)</f>
        <v>#N/A</v>
      </c>
      <c r="E119" s="142" t="e">
        <f>(VLOOKUP(D119,$D$2:$E$4,2,FALSE))-(IF('Informe Kelly'!H113=$A$2,'Informe Kelly'!F113,VLOOKUP(D119,$D$2:$E$4,2,FALSE)))</f>
        <v>#N/A</v>
      </c>
      <c r="F119" s="142" t="e">
        <f>IF('Informe Kelly'!H113=$A$3,'Informe Kelly'!F113,VLOOKUP(D119,$D$2:$F$4,3,FALSE))-(VLOOKUP(D119,$D$2:$F$4,3,FALSE))</f>
        <v>#N/A</v>
      </c>
      <c r="G119" s="137" t="e">
        <f t="shared" si="2"/>
        <v>#N/A</v>
      </c>
      <c r="J119" s="139" t="s">
        <v>716</v>
      </c>
      <c r="K119" s="140" t="e">
        <v>#N/A</v>
      </c>
      <c r="L119" s="112" t="e">
        <f>IF(J119="","",VLOOKUP(J119,Ingreso!K:AH,24,FALSE))</f>
        <v>#N/A</v>
      </c>
      <c r="M119" s="112" t="e">
        <f t="shared" si="3"/>
        <v>#N/A</v>
      </c>
    </row>
    <row r="120" spans="1:13">
      <c r="A120" s="112" t="str">
        <f>VLOOKUP('Informe Kelly'!A114,Base!A:B,2,FALSE)</f>
        <v>06.187.914-5</v>
      </c>
      <c r="B120" s="112" t="str">
        <f>VLOOKUP('Informe Kelly'!A114,Base!A:G,7,FALSE)</f>
        <v>FUENTES  YAÑEZ,PATRICIA</v>
      </c>
      <c r="C120" s="112" t="str">
        <f>'Informe Kelly'!E114</f>
        <v>06.04.2011</v>
      </c>
      <c r="D120" s="112" t="e">
        <f>VLOOKUP(A120,Ingreso!K:P,6,FALSE)</f>
        <v>#N/A</v>
      </c>
      <c r="E120" s="142" t="e">
        <f>(VLOOKUP(D120,$D$2:$E$4,2,FALSE))-(IF('Informe Kelly'!H114=$A$2,'Informe Kelly'!F114,VLOOKUP(D120,$D$2:$E$4,2,FALSE)))</f>
        <v>#N/A</v>
      </c>
      <c r="F120" s="142" t="e">
        <f>IF('Informe Kelly'!H114=$A$3,'Informe Kelly'!F114,VLOOKUP(D120,$D$2:$F$4,3,FALSE))-(VLOOKUP(D120,$D$2:$F$4,3,FALSE))</f>
        <v>#N/A</v>
      </c>
      <c r="G120" s="137" t="e">
        <f t="shared" si="2"/>
        <v>#N/A</v>
      </c>
      <c r="J120" s="139" t="s">
        <v>1062</v>
      </c>
      <c r="K120" s="140" t="e">
        <v>#N/A</v>
      </c>
      <c r="L120" s="112" t="e">
        <f>IF(J120="","",VLOOKUP(J120,Ingreso!K:AH,24,FALSE))</f>
        <v>#N/A</v>
      </c>
      <c r="M120" s="112" t="e">
        <f t="shared" si="3"/>
        <v>#N/A</v>
      </c>
    </row>
    <row r="121" spans="1:13">
      <c r="A121" s="112" t="str">
        <f>VLOOKUP('Informe Kelly'!A115,Base!A:B,2,FALSE)</f>
        <v>06.187.914-5</v>
      </c>
      <c r="B121" s="112" t="str">
        <f>VLOOKUP('Informe Kelly'!A115,Base!A:G,7,FALSE)</f>
        <v>FUENTES  YAÑEZ,PATRICIA</v>
      </c>
      <c r="C121" s="112" t="str">
        <f>'Informe Kelly'!E115</f>
        <v>07.04.2011</v>
      </c>
      <c r="D121" s="112" t="e">
        <f>VLOOKUP(A121,Ingreso!K:P,6,FALSE)</f>
        <v>#N/A</v>
      </c>
      <c r="E121" s="142" t="e">
        <f>(VLOOKUP(D121,$D$2:$E$4,2,FALSE))-(IF('Informe Kelly'!H115=$A$2,'Informe Kelly'!F115,VLOOKUP(D121,$D$2:$E$4,2,FALSE)))</f>
        <v>#N/A</v>
      </c>
      <c r="F121" s="142" t="e">
        <f>IF('Informe Kelly'!H115=$A$3,'Informe Kelly'!F115,VLOOKUP(D121,$D$2:$F$4,3,FALSE))-(VLOOKUP(D121,$D$2:$F$4,3,FALSE))</f>
        <v>#N/A</v>
      </c>
      <c r="G121" s="137" t="e">
        <f t="shared" si="2"/>
        <v>#N/A</v>
      </c>
      <c r="J121" s="139" t="s">
        <v>576</v>
      </c>
      <c r="K121" s="140" t="e">
        <v>#N/A</v>
      </c>
      <c r="L121" s="112" t="e">
        <f>IF(J121="","",VLOOKUP(J121,Ingreso!K:AH,24,FALSE))</f>
        <v>#N/A</v>
      </c>
      <c r="M121" s="112" t="e">
        <f t="shared" si="3"/>
        <v>#N/A</v>
      </c>
    </row>
    <row r="122" spans="1:13">
      <c r="A122" s="112" t="str">
        <f>VLOOKUP('Informe Kelly'!A116,Base!A:B,2,FALSE)</f>
        <v>06.187.914-5</v>
      </c>
      <c r="B122" s="112" t="str">
        <f>VLOOKUP('Informe Kelly'!A116,Base!A:G,7,FALSE)</f>
        <v>FUENTES  YAÑEZ,PATRICIA</v>
      </c>
      <c r="C122" s="112" t="str">
        <f>'Informe Kelly'!E116</f>
        <v>07.04.2011</v>
      </c>
      <c r="D122" s="112" t="e">
        <f>VLOOKUP(A122,Ingreso!K:P,6,FALSE)</f>
        <v>#N/A</v>
      </c>
      <c r="E122" s="142" t="e">
        <f>(VLOOKUP(D122,$D$2:$E$4,2,FALSE))-(IF('Informe Kelly'!H116=$A$2,'Informe Kelly'!F116,VLOOKUP(D122,$D$2:$E$4,2,FALSE)))</f>
        <v>#N/A</v>
      </c>
      <c r="F122" s="142" t="e">
        <f>IF('Informe Kelly'!H116=$A$3,'Informe Kelly'!F116,VLOOKUP(D122,$D$2:$F$4,3,FALSE))-(VLOOKUP(D122,$D$2:$F$4,3,FALSE))</f>
        <v>#N/A</v>
      </c>
      <c r="G122" s="137" t="e">
        <f t="shared" si="2"/>
        <v>#N/A</v>
      </c>
      <c r="J122" s="139" t="s">
        <v>396</v>
      </c>
      <c r="K122" s="140" t="e">
        <v>#N/A</v>
      </c>
      <c r="L122" s="112" t="e">
        <f>IF(J122="","",VLOOKUP(J122,Ingreso!K:AH,24,FALSE))</f>
        <v>#N/A</v>
      </c>
      <c r="M122" s="112" t="e">
        <f t="shared" si="3"/>
        <v>#N/A</v>
      </c>
    </row>
    <row r="123" spans="1:13">
      <c r="A123" s="112" t="str">
        <f>VLOOKUP('Informe Kelly'!A117,Base!A:B,2,FALSE)</f>
        <v>06.187.914-5</v>
      </c>
      <c r="B123" s="112" t="str">
        <f>VLOOKUP('Informe Kelly'!A117,Base!A:G,7,FALSE)</f>
        <v>FUENTES  YAÑEZ,PATRICIA</v>
      </c>
      <c r="C123" s="112" t="str">
        <f>'Informe Kelly'!E117</f>
        <v>08.04.2011</v>
      </c>
      <c r="D123" s="112" t="e">
        <f>VLOOKUP(A123,Ingreso!K:P,6,FALSE)</f>
        <v>#N/A</v>
      </c>
      <c r="E123" s="142" t="e">
        <f>(VLOOKUP(D123,$D$2:$E$4,2,FALSE))-(IF('Informe Kelly'!H117=$A$2,'Informe Kelly'!F117,VLOOKUP(D123,$D$2:$E$4,2,FALSE)))</f>
        <v>#N/A</v>
      </c>
      <c r="F123" s="142" t="e">
        <f>IF('Informe Kelly'!H117=$A$3,'Informe Kelly'!F117,VLOOKUP(D123,$D$2:$F$4,3,FALSE))-(VLOOKUP(D123,$D$2:$F$4,3,FALSE))</f>
        <v>#N/A</v>
      </c>
      <c r="G123" s="137" t="e">
        <f t="shared" si="2"/>
        <v>#N/A</v>
      </c>
      <c r="J123" s="139" t="s">
        <v>830</v>
      </c>
      <c r="K123" s="140" t="e">
        <v>#N/A</v>
      </c>
      <c r="L123" s="112" t="e">
        <f>IF(J123="","",VLOOKUP(J123,Ingreso!K:AH,24,FALSE))</f>
        <v>#N/A</v>
      </c>
      <c r="M123" s="112" t="e">
        <f t="shared" si="3"/>
        <v>#N/A</v>
      </c>
    </row>
    <row r="124" spans="1:13">
      <c r="A124" s="112" t="str">
        <f>VLOOKUP('Informe Kelly'!A118,Base!A:B,2,FALSE)</f>
        <v>06.187.914-5</v>
      </c>
      <c r="B124" s="112" t="str">
        <f>VLOOKUP('Informe Kelly'!A118,Base!A:G,7,FALSE)</f>
        <v>FUENTES  YAÑEZ,PATRICIA</v>
      </c>
      <c r="C124" s="112" t="str">
        <f>'Informe Kelly'!E118</f>
        <v>08.04.2011</v>
      </c>
      <c r="D124" s="112" t="e">
        <f>VLOOKUP(A124,Ingreso!K:P,6,FALSE)</f>
        <v>#N/A</v>
      </c>
      <c r="E124" s="142" t="e">
        <f>(VLOOKUP(D124,$D$2:$E$4,2,FALSE))-(IF('Informe Kelly'!H118=$A$2,'Informe Kelly'!F118,VLOOKUP(D124,$D$2:$E$4,2,FALSE)))</f>
        <v>#N/A</v>
      </c>
      <c r="F124" s="142" t="e">
        <f>IF('Informe Kelly'!H118=$A$3,'Informe Kelly'!F118,VLOOKUP(D124,$D$2:$F$4,3,FALSE))-(VLOOKUP(D124,$D$2:$F$4,3,FALSE))</f>
        <v>#N/A</v>
      </c>
      <c r="G124" s="137" t="e">
        <f t="shared" si="2"/>
        <v>#N/A</v>
      </c>
      <c r="J124" s="139" t="s">
        <v>872</v>
      </c>
      <c r="K124" s="140" t="e">
        <v>#N/A</v>
      </c>
      <c r="L124" s="112" t="e">
        <f>IF(J124="","",VLOOKUP(J124,Ingreso!K:AH,24,FALSE))</f>
        <v>#N/A</v>
      </c>
      <c r="M124" s="112" t="e">
        <f t="shared" si="3"/>
        <v>#N/A</v>
      </c>
    </row>
    <row r="125" spans="1:13">
      <c r="A125" s="112" t="str">
        <f>VLOOKUP('Informe Kelly'!A119,Base!A:B,2,FALSE)</f>
        <v>06.187.914-5</v>
      </c>
      <c r="B125" s="112" t="str">
        <f>VLOOKUP('Informe Kelly'!A119,Base!A:G,7,FALSE)</f>
        <v>FUENTES  YAÑEZ,PATRICIA</v>
      </c>
      <c r="C125" s="112" t="str">
        <f>'Informe Kelly'!E119</f>
        <v>09.04.2011</v>
      </c>
      <c r="D125" s="112" t="e">
        <f>VLOOKUP(A125,Ingreso!K:P,6,FALSE)</f>
        <v>#N/A</v>
      </c>
      <c r="E125" s="142" t="e">
        <f>(VLOOKUP(D125,$D$2:$E$4,2,FALSE))-(IF('Informe Kelly'!H119=$A$2,'Informe Kelly'!F119,VLOOKUP(D125,$D$2:$E$4,2,FALSE)))</f>
        <v>#N/A</v>
      </c>
      <c r="F125" s="142" t="e">
        <f>IF('Informe Kelly'!H119=$A$3,'Informe Kelly'!F119,VLOOKUP(D125,$D$2:$F$4,3,FALSE))-(VLOOKUP(D125,$D$2:$F$4,3,FALSE))</f>
        <v>#N/A</v>
      </c>
      <c r="G125" s="137" t="e">
        <f t="shared" si="2"/>
        <v>#N/A</v>
      </c>
      <c r="J125" s="139" t="s">
        <v>1170</v>
      </c>
      <c r="K125" s="140" t="e">
        <v>#N/A</v>
      </c>
      <c r="L125" s="112" t="e">
        <f>IF(J125="","",VLOOKUP(J125,Ingreso!K:AH,24,FALSE))</f>
        <v>#N/A</v>
      </c>
      <c r="M125" s="112" t="e">
        <f t="shared" si="3"/>
        <v>#N/A</v>
      </c>
    </row>
    <row r="126" spans="1:13">
      <c r="A126" s="112" t="str">
        <f>VLOOKUP('Informe Kelly'!A120,Base!A:B,2,FALSE)</f>
        <v>06.326.657-4</v>
      </c>
      <c r="B126" s="112" t="str">
        <f>VLOOKUP('Informe Kelly'!A120,Base!A:G,7,FALSE)</f>
        <v>DURAN SOTO FERNANDO</v>
      </c>
      <c r="C126" s="112" t="str">
        <f>'Informe Kelly'!E120</f>
        <v>04.04.2011</v>
      </c>
      <c r="D126" s="112" t="e">
        <f>VLOOKUP(A126,Ingreso!K:P,6,FALSE)</f>
        <v>#N/A</v>
      </c>
      <c r="E126" s="142" t="e">
        <f>(VLOOKUP(D126,$D$2:$E$4,2,FALSE))-(IF('Informe Kelly'!H120=$A$2,'Informe Kelly'!F120,VLOOKUP(D126,$D$2:$E$4,2,FALSE)))</f>
        <v>#N/A</v>
      </c>
      <c r="F126" s="142" t="e">
        <f>IF('Informe Kelly'!H120=$A$3,'Informe Kelly'!F120,VLOOKUP(D126,$D$2:$F$4,3,FALSE))-(VLOOKUP(D126,$D$2:$F$4,3,FALSE))</f>
        <v>#N/A</v>
      </c>
      <c r="G126" s="137" t="e">
        <f t="shared" si="2"/>
        <v>#N/A</v>
      </c>
      <c r="J126" s="139" t="s">
        <v>116</v>
      </c>
      <c r="K126" s="140" t="e">
        <v>#N/A</v>
      </c>
      <c r="L126" s="112" t="e">
        <f>IF(J126="","",VLOOKUP(J126,Ingreso!K:AH,24,FALSE))</f>
        <v>#N/A</v>
      </c>
      <c r="M126" s="112" t="e">
        <f t="shared" si="3"/>
        <v>#N/A</v>
      </c>
    </row>
    <row r="127" spans="1:13">
      <c r="A127" s="112" t="str">
        <f>VLOOKUP('Informe Kelly'!A121,Base!A:B,2,FALSE)</f>
        <v>06.326.657-4</v>
      </c>
      <c r="B127" s="112" t="str">
        <f>VLOOKUP('Informe Kelly'!A121,Base!A:G,7,FALSE)</f>
        <v>DURAN SOTO FERNANDO</v>
      </c>
      <c r="C127" s="112" t="str">
        <f>'Informe Kelly'!E121</f>
        <v>04.04.2011</v>
      </c>
      <c r="D127" s="112" t="e">
        <f>VLOOKUP(A127,Ingreso!K:P,6,FALSE)</f>
        <v>#N/A</v>
      </c>
      <c r="E127" s="142" t="e">
        <f>(VLOOKUP(D127,$D$2:$E$4,2,FALSE))-(IF('Informe Kelly'!H121=$A$2,'Informe Kelly'!F121,VLOOKUP(D127,$D$2:$E$4,2,FALSE)))</f>
        <v>#N/A</v>
      </c>
      <c r="F127" s="142" t="e">
        <f>IF('Informe Kelly'!H121=$A$3,'Informe Kelly'!F121,VLOOKUP(D127,$D$2:$F$4,3,FALSE))-(VLOOKUP(D127,$D$2:$F$4,3,FALSE))</f>
        <v>#N/A</v>
      </c>
      <c r="G127" s="137" t="e">
        <f t="shared" si="2"/>
        <v>#N/A</v>
      </c>
      <c r="J127" s="139" t="s">
        <v>1292</v>
      </c>
      <c r="K127" s="140" t="e">
        <v>#N/A</v>
      </c>
      <c r="L127" s="112" t="e">
        <f>IF(J127="","",VLOOKUP(J127,Ingreso!K:AH,24,FALSE))</f>
        <v>#N/A</v>
      </c>
      <c r="M127" s="112" t="e">
        <f t="shared" si="3"/>
        <v>#N/A</v>
      </c>
    </row>
    <row r="128" spans="1:13">
      <c r="A128" s="112" t="str">
        <f>VLOOKUP('Informe Kelly'!A122,Base!A:B,2,FALSE)</f>
        <v>06.326.657-4</v>
      </c>
      <c r="B128" s="112" t="str">
        <f>VLOOKUP('Informe Kelly'!A122,Base!A:G,7,FALSE)</f>
        <v>DURAN SOTO FERNANDO</v>
      </c>
      <c r="C128" s="112" t="str">
        <f>'Informe Kelly'!E122</f>
        <v>05.04.2011</v>
      </c>
      <c r="D128" s="112" t="e">
        <f>VLOOKUP(A128,Ingreso!K:P,6,FALSE)</f>
        <v>#N/A</v>
      </c>
      <c r="E128" s="142" t="e">
        <f>(VLOOKUP(D128,$D$2:$E$4,2,FALSE))-(IF('Informe Kelly'!H122=$A$2,'Informe Kelly'!F122,VLOOKUP(D128,$D$2:$E$4,2,FALSE)))</f>
        <v>#N/A</v>
      </c>
      <c r="F128" s="142" t="e">
        <f>IF('Informe Kelly'!H122=$A$3,'Informe Kelly'!F122,VLOOKUP(D128,$D$2:$F$4,3,FALSE))-(VLOOKUP(D128,$D$2:$F$4,3,FALSE))</f>
        <v>#N/A</v>
      </c>
      <c r="G128" s="137" t="e">
        <f t="shared" si="2"/>
        <v>#N/A</v>
      </c>
      <c r="J128" s="139" t="s">
        <v>1049</v>
      </c>
      <c r="K128" s="140" t="e">
        <v>#N/A</v>
      </c>
      <c r="L128" s="112" t="e">
        <f>IF(J128="","",VLOOKUP(J128,Ingreso!K:AH,24,FALSE))</f>
        <v>#N/A</v>
      </c>
      <c r="M128" s="112" t="e">
        <f t="shared" si="3"/>
        <v>#N/A</v>
      </c>
    </row>
    <row r="129" spans="1:13">
      <c r="A129" s="112" t="str">
        <f>VLOOKUP('Informe Kelly'!A123,Base!A:B,2,FALSE)</f>
        <v>06.326.657-4</v>
      </c>
      <c r="B129" s="112" t="str">
        <f>VLOOKUP('Informe Kelly'!A123,Base!A:G,7,FALSE)</f>
        <v>DURAN SOTO FERNANDO</v>
      </c>
      <c r="C129" s="112" t="str">
        <f>'Informe Kelly'!E123</f>
        <v>05.04.2011</v>
      </c>
      <c r="D129" s="112" t="e">
        <f>VLOOKUP(A129,Ingreso!K:P,6,FALSE)</f>
        <v>#N/A</v>
      </c>
      <c r="E129" s="142" t="e">
        <f>(VLOOKUP(D129,$D$2:$E$4,2,FALSE))-(IF('Informe Kelly'!H123=$A$2,'Informe Kelly'!F123,VLOOKUP(D129,$D$2:$E$4,2,FALSE)))</f>
        <v>#N/A</v>
      </c>
      <c r="F129" s="142" t="e">
        <f>IF('Informe Kelly'!H123=$A$3,'Informe Kelly'!F123,VLOOKUP(D129,$D$2:$F$4,3,FALSE))-(VLOOKUP(D129,$D$2:$F$4,3,FALSE))</f>
        <v>#N/A</v>
      </c>
      <c r="G129" s="137" t="e">
        <f t="shared" si="2"/>
        <v>#N/A</v>
      </c>
      <c r="J129" s="139" t="s">
        <v>239</v>
      </c>
      <c r="K129" s="140" t="e">
        <v>#N/A</v>
      </c>
      <c r="L129" s="112" t="e">
        <f>IF(J129="","",VLOOKUP(J129,Ingreso!K:AH,24,FALSE))</f>
        <v>#N/A</v>
      </c>
      <c r="M129" s="112" t="e">
        <f t="shared" si="3"/>
        <v>#N/A</v>
      </c>
    </row>
    <row r="130" spans="1:13">
      <c r="A130" s="112" t="str">
        <f>VLOOKUP('Informe Kelly'!A124,Base!A:B,2,FALSE)</f>
        <v>06.326.657-4</v>
      </c>
      <c r="B130" s="112" t="str">
        <f>VLOOKUP('Informe Kelly'!A124,Base!A:G,7,FALSE)</f>
        <v>DURAN SOTO FERNANDO</v>
      </c>
      <c r="C130" s="112" t="str">
        <f>'Informe Kelly'!E124</f>
        <v>06.04.2011</v>
      </c>
      <c r="D130" s="112" t="e">
        <f>VLOOKUP(A130,Ingreso!K:P,6,FALSE)</f>
        <v>#N/A</v>
      </c>
      <c r="E130" s="142" t="e">
        <f>(VLOOKUP(D130,$D$2:$E$4,2,FALSE))-(IF('Informe Kelly'!H124=$A$2,'Informe Kelly'!F124,VLOOKUP(D130,$D$2:$E$4,2,FALSE)))</f>
        <v>#N/A</v>
      </c>
      <c r="F130" s="142" t="e">
        <f>IF('Informe Kelly'!H124=$A$3,'Informe Kelly'!F124,VLOOKUP(D130,$D$2:$F$4,3,FALSE))-(VLOOKUP(D130,$D$2:$F$4,3,FALSE))</f>
        <v>#N/A</v>
      </c>
      <c r="G130" s="137" t="e">
        <f t="shared" si="2"/>
        <v>#N/A</v>
      </c>
      <c r="J130" s="139" t="s">
        <v>1004</v>
      </c>
      <c r="K130" s="140" t="e">
        <v>#N/A</v>
      </c>
      <c r="L130" s="112" t="e">
        <f>IF(J130="","",VLOOKUP(J130,Ingreso!K:AH,24,FALSE))</f>
        <v>#N/A</v>
      </c>
      <c r="M130" s="112" t="e">
        <f t="shared" si="3"/>
        <v>#N/A</v>
      </c>
    </row>
    <row r="131" spans="1:13">
      <c r="A131" s="112" t="str">
        <f>VLOOKUP('Informe Kelly'!A125,Base!A:B,2,FALSE)</f>
        <v>06.326.657-4</v>
      </c>
      <c r="B131" s="112" t="str">
        <f>VLOOKUP('Informe Kelly'!A125,Base!A:G,7,FALSE)</f>
        <v>DURAN SOTO FERNANDO</v>
      </c>
      <c r="C131" s="112" t="str">
        <f>'Informe Kelly'!E125</f>
        <v>06.04.2011</v>
      </c>
      <c r="D131" s="112" t="e">
        <f>VLOOKUP(A131,Ingreso!K:P,6,FALSE)</f>
        <v>#N/A</v>
      </c>
      <c r="E131" s="142" t="e">
        <f>(VLOOKUP(D131,$D$2:$E$4,2,FALSE))-(IF('Informe Kelly'!H125=$A$2,'Informe Kelly'!F125,VLOOKUP(D131,$D$2:$E$4,2,FALSE)))</f>
        <v>#N/A</v>
      </c>
      <c r="F131" s="142" t="e">
        <f>IF('Informe Kelly'!H125=$A$3,'Informe Kelly'!F125,VLOOKUP(D131,$D$2:$F$4,3,FALSE))-(VLOOKUP(D131,$D$2:$F$4,3,FALSE))</f>
        <v>#N/A</v>
      </c>
      <c r="G131" s="137" t="e">
        <f t="shared" si="2"/>
        <v>#N/A</v>
      </c>
      <c r="J131" s="139" t="s">
        <v>140</v>
      </c>
      <c r="K131" s="140" t="e">
        <v>#N/A</v>
      </c>
      <c r="L131" s="112" t="e">
        <f>IF(J131="","",VLOOKUP(J131,Ingreso!K:AH,24,FALSE))</f>
        <v>#N/A</v>
      </c>
      <c r="M131" s="112" t="e">
        <f t="shared" si="3"/>
        <v>#N/A</v>
      </c>
    </row>
    <row r="132" spans="1:13">
      <c r="A132" s="112" t="str">
        <f>VLOOKUP('Informe Kelly'!A126,Base!A:B,2,FALSE)</f>
        <v>06.326.657-4</v>
      </c>
      <c r="B132" s="112" t="str">
        <f>VLOOKUP('Informe Kelly'!A126,Base!A:G,7,FALSE)</f>
        <v>DURAN SOTO FERNANDO</v>
      </c>
      <c r="C132" s="112" t="str">
        <f>'Informe Kelly'!E126</f>
        <v>07.04.2011</v>
      </c>
      <c r="D132" s="112" t="e">
        <f>VLOOKUP(A132,Ingreso!K:P,6,FALSE)</f>
        <v>#N/A</v>
      </c>
      <c r="E132" s="142" t="e">
        <f>(VLOOKUP(D132,$D$2:$E$4,2,FALSE))-(IF('Informe Kelly'!H126=$A$2,'Informe Kelly'!F126,VLOOKUP(D132,$D$2:$E$4,2,FALSE)))</f>
        <v>#N/A</v>
      </c>
      <c r="F132" s="142" t="e">
        <f>IF('Informe Kelly'!H126=$A$3,'Informe Kelly'!F126,VLOOKUP(D132,$D$2:$F$4,3,FALSE))-(VLOOKUP(D132,$D$2:$F$4,3,FALSE))</f>
        <v>#N/A</v>
      </c>
      <c r="G132" s="137" t="e">
        <f t="shared" si="2"/>
        <v>#N/A</v>
      </c>
      <c r="J132" s="139" t="s">
        <v>980</v>
      </c>
      <c r="K132" s="140" t="e">
        <v>#N/A</v>
      </c>
      <c r="L132" s="112" t="e">
        <f>IF(J132="","",VLOOKUP(J132,Ingreso!K:AH,24,FALSE))</f>
        <v>#N/A</v>
      </c>
      <c r="M132" s="112" t="e">
        <f t="shared" si="3"/>
        <v>#N/A</v>
      </c>
    </row>
    <row r="133" spans="1:13">
      <c r="A133" s="112" t="str">
        <f>VLOOKUP('Informe Kelly'!A127,Base!A:B,2,FALSE)</f>
        <v>06.326.657-4</v>
      </c>
      <c r="B133" s="112" t="str">
        <f>VLOOKUP('Informe Kelly'!A127,Base!A:G,7,FALSE)</f>
        <v>DURAN SOTO FERNANDO</v>
      </c>
      <c r="C133" s="112" t="str">
        <f>'Informe Kelly'!E127</f>
        <v>07.04.2011</v>
      </c>
      <c r="D133" s="112" t="e">
        <f>VLOOKUP(A133,Ingreso!K:P,6,FALSE)</f>
        <v>#N/A</v>
      </c>
      <c r="E133" s="142" t="e">
        <f>(VLOOKUP(D133,$D$2:$E$4,2,FALSE))-(IF('Informe Kelly'!H127=$A$2,'Informe Kelly'!F127,VLOOKUP(D133,$D$2:$E$4,2,FALSE)))</f>
        <v>#N/A</v>
      </c>
      <c r="F133" s="142" t="e">
        <f>IF('Informe Kelly'!H127=$A$3,'Informe Kelly'!F127,VLOOKUP(D133,$D$2:$F$4,3,FALSE))-(VLOOKUP(D133,$D$2:$F$4,3,FALSE))</f>
        <v>#N/A</v>
      </c>
      <c r="G133" s="137" t="e">
        <f t="shared" si="2"/>
        <v>#N/A</v>
      </c>
      <c r="J133" s="139" t="s">
        <v>222</v>
      </c>
      <c r="K133" s="140" t="e">
        <v>#N/A</v>
      </c>
      <c r="L133" s="112" t="e">
        <f>IF(J133="","",VLOOKUP(J133,Ingreso!K:AH,24,FALSE))</f>
        <v>#N/A</v>
      </c>
      <c r="M133" s="112" t="e">
        <f t="shared" si="3"/>
        <v>#N/A</v>
      </c>
    </row>
    <row r="134" spans="1:13">
      <c r="A134" s="112" t="str">
        <f>VLOOKUP('Informe Kelly'!A128,Base!A:B,2,FALSE)</f>
        <v>06.326.657-4</v>
      </c>
      <c r="B134" s="112" t="str">
        <f>VLOOKUP('Informe Kelly'!A128,Base!A:G,7,FALSE)</f>
        <v>DURAN SOTO FERNANDO</v>
      </c>
      <c r="C134" s="112" t="str">
        <f>'Informe Kelly'!E128</f>
        <v>08.04.2011</v>
      </c>
      <c r="D134" s="112" t="e">
        <f>VLOOKUP(A134,Ingreso!K:P,6,FALSE)</f>
        <v>#N/A</v>
      </c>
      <c r="E134" s="142" t="e">
        <f>(VLOOKUP(D134,$D$2:$E$4,2,FALSE))-(IF('Informe Kelly'!H128=$A$2,'Informe Kelly'!F128,VLOOKUP(D134,$D$2:$E$4,2,FALSE)))</f>
        <v>#N/A</v>
      </c>
      <c r="F134" s="142" t="e">
        <f>IF('Informe Kelly'!H128=$A$3,'Informe Kelly'!F128,VLOOKUP(D134,$D$2:$F$4,3,FALSE))-(VLOOKUP(D134,$D$2:$F$4,3,FALSE))</f>
        <v>#N/A</v>
      </c>
      <c r="G134" s="137" t="e">
        <f t="shared" si="2"/>
        <v>#N/A</v>
      </c>
      <c r="J134" s="139" t="s">
        <v>58</v>
      </c>
      <c r="K134" s="140" t="e">
        <v>#N/A</v>
      </c>
      <c r="L134" s="112" t="e">
        <f>IF(J134="","",VLOOKUP(J134,Ingreso!K:AH,24,FALSE))</f>
        <v>#N/A</v>
      </c>
      <c r="M134" s="112" t="e">
        <f t="shared" si="3"/>
        <v>#N/A</v>
      </c>
    </row>
    <row r="135" spans="1:13">
      <c r="A135" s="112" t="str">
        <f>VLOOKUP('Informe Kelly'!A129,Base!A:B,2,FALSE)</f>
        <v>06.326.657-4</v>
      </c>
      <c r="B135" s="112" t="str">
        <f>VLOOKUP('Informe Kelly'!A129,Base!A:G,7,FALSE)</f>
        <v>DURAN SOTO FERNANDO</v>
      </c>
      <c r="C135" s="112" t="str">
        <f>'Informe Kelly'!E129</f>
        <v>08.04.2011</v>
      </c>
      <c r="D135" s="112" t="e">
        <f>VLOOKUP(A135,Ingreso!K:P,6,FALSE)</f>
        <v>#N/A</v>
      </c>
      <c r="E135" s="142" t="e">
        <f>(VLOOKUP(D135,$D$2:$E$4,2,FALSE))-(IF('Informe Kelly'!H129=$A$2,'Informe Kelly'!F129,VLOOKUP(D135,$D$2:$E$4,2,FALSE)))</f>
        <v>#N/A</v>
      </c>
      <c r="F135" s="142" t="e">
        <f>IF('Informe Kelly'!H129=$A$3,'Informe Kelly'!F129,VLOOKUP(D135,$D$2:$F$4,3,FALSE))-(VLOOKUP(D135,$D$2:$F$4,3,FALSE))</f>
        <v>#N/A</v>
      </c>
      <c r="G135" s="137" t="e">
        <f t="shared" si="2"/>
        <v>#N/A</v>
      </c>
      <c r="J135" s="139" t="s">
        <v>933</v>
      </c>
      <c r="K135" s="140" t="e">
        <v>#N/A</v>
      </c>
      <c r="L135" s="112" t="e">
        <f>IF(J135="","",VLOOKUP(J135,Ingreso!K:AH,24,FALSE))</f>
        <v>#N/A</v>
      </c>
      <c r="M135" s="112" t="e">
        <f t="shared" si="3"/>
        <v>#N/A</v>
      </c>
    </row>
    <row r="136" spans="1:13">
      <c r="A136" s="112" t="str">
        <f>VLOOKUP('Informe Kelly'!A130,Base!A:B,2,FALSE)</f>
        <v>06.326.657-4</v>
      </c>
      <c r="B136" s="112" t="str">
        <f>VLOOKUP('Informe Kelly'!A130,Base!A:G,7,FALSE)</f>
        <v>DURAN SOTO FERNANDO</v>
      </c>
      <c r="C136" s="112" t="str">
        <f>'Informe Kelly'!E130</f>
        <v>09.04.2011</v>
      </c>
      <c r="D136" s="112" t="e">
        <f>VLOOKUP(A136,Ingreso!K:P,6,FALSE)</f>
        <v>#N/A</v>
      </c>
      <c r="E136" s="142" t="e">
        <f>(VLOOKUP(D136,$D$2:$E$4,2,FALSE))-(IF('Informe Kelly'!H130=$A$2,'Informe Kelly'!F130,VLOOKUP(D136,$D$2:$E$4,2,FALSE)))</f>
        <v>#N/A</v>
      </c>
      <c r="F136" s="142" t="e">
        <f>IF('Informe Kelly'!H130=$A$3,'Informe Kelly'!F130,VLOOKUP(D136,$D$2:$F$4,3,FALSE))-(VLOOKUP(D136,$D$2:$F$4,3,FALSE))</f>
        <v>#N/A</v>
      </c>
      <c r="G136" s="137" t="e">
        <f t="shared" si="2"/>
        <v>#N/A</v>
      </c>
      <c r="J136" s="139" t="s">
        <v>668</v>
      </c>
      <c r="K136" s="140" t="e">
        <v>#N/A</v>
      </c>
      <c r="L136" s="112" t="e">
        <f>IF(J136="","",VLOOKUP(J136,Ingreso!K:AH,24,FALSE))</f>
        <v>#N/A</v>
      </c>
      <c r="M136" s="112" t="e">
        <f t="shared" si="3"/>
        <v>#N/A</v>
      </c>
    </row>
    <row r="137" spans="1:13">
      <c r="A137" s="112" t="str">
        <f>VLOOKUP('Informe Kelly'!A131,Base!A:B,2,FALSE)</f>
        <v>06.326.657-4</v>
      </c>
      <c r="B137" s="112" t="str">
        <f>VLOOKUP('Informe Kelly'!A131,Base!A:G,7,FALSE)</f>
        <v>DURAN SOTO FERNANDO</v>
      </c>
      <c r="C137" s="112" t="str">
        <f>'Informe Kelly'!E131</f>
        <v>09.04.2011</v>
      </c>
      <c r="D137" s="112" t="e">
        <f>VLOOKUP(A137,Ingreso!K:P,6,FALSE)</f>
        <v>#N/A</v>
      </c>
      <c r="E137" s="142" t="e">
        <f>(VLOOKUP(D137,$D$2:$E$4,2,FALSE))-(IF('Informe Kelly'!H131=$A$2,'Informe Kelly'!F131,VLOOKUP(D137,$D$2:$E$4,2,FALSE)))</f>
        <v>#N/A</v>
      </c>
      <c r="F137" s="142" t="e">
        <f>IF('Informe Kelly'!H131=$A$3,'Informe Kelly'!F131,VLOOKUP(D137,$D$2:$F$4,3,FALSE))-(VLOOKUP(D137,$D$2:$F$4,3,FALSE))</f>
        <v>#N/A</v>
      </c>
      <c r="G137" s="137" t="e">
        <f t="shared" ref="G137:G200" si="4">IF(E137="",IF(F137&lt;0.0409722222222222,0,E137),IF(E137&lt;0.0409722222222222,0,E137))</f>
        <v>#N/A</v>
      </c>
      <c r="J137" s="139" t="s">
        <v>608</v>
      </c>
      <c r="K137" s="140" t="e">
        <v>#N/A</v>
      </c>
      <c r="L137" s="112" t="e">
        <f>IF(J137="","",VLOOKUP(J137,Ingreso!K:AH,24,FALSE))</f>
        <v>#N/A</v>
      </c>
      <c r="M137" s="112" t="e">
        <f t="shared" si="3"/>
        <v>#N/A</v>
      </c>
    </row>
    <row r="138" spans="1:13">
      <c r="A138" s="112" t="str">
        <f>VLOOKUP('Informe Kelly'!A132,Base!A:B,2,FALSE)</f>
        <v>06.434.911-2</v>
      </c>
      <c r="B138" s="112" t="str">
        <f>VLOOKUP('Informe Kelly'!A132,Base!A:G,7,FALSE)</f>
        <v>ABARCA  JARA,EDUARDO A</v>
      </c>
      <c r="C138" s="112" t="str">
        <f>'Informe Kelly'!E132</f>
        <v>04.04.2011</v>
      </c>
      <c r="D138" s="112" t="e">
        <f>VLOOKUP(A138,Ingreso!K:P,6,FALSE)</f>
        <v>#N/A</v>
      </c>
      <c r="E138" s="142" t="e">
        <f>(VLOOKUP(D138,$D$2:$E$4,2,FALSE))-(IF('Informe Kelly'!H132=$A$2,'Informe Kelly'!F132,VLOOKUP(D138,$D$2:$E$4,2,FALSE)))</f>
        <v>#N/A</v>
      </c>
      <c r="F138" s="142" t="e">
        <f>IF('Informe Kelly'!H132=$A$3,'Informe Kelly'!F132,VLOOKUP(D138,$D$2:$F$4,3,FALSE))-(VLOOKUP(D138,$D$2:$F$4,3,FALSE))</f>
        <v>#N/A</v>
      </c>
      <c r="G138" s="137" t="e">
        <f t="shared" si="4"/>
        <v>#N/A</v>
      </c>
      <c r="J138" s="139" t="s">
        <v>722</v>
      </c>
      <c r="K138" s="140" t="e">
        <v>#N/A</v>
      </c>
      <c r="L138" s="112" t="e">
        <f>IF(J138="","",VLOOKUP(J138,Ingreso!K:AH,24,FALSE))</f>
        <v>#N/A</v>
      </c>
      <c r="M138" s="112" t="e">
        <f t="shared" ref="M138:M201" si="5">IF(J138="","",IF(K138&lt;&gt;L138,"Revisar","OK"))</f>
        <v>#N/A</v>
      </c>
    </row>
    <row r="139" spans="1:13">
      <c r="A139" s="112" t="str">
        <f>VLOOKUP('Informe Kelly'!A133,Base!A:B,2,FALSE)</f>
        <v>06.434.911-2</v>
      </c>
      <c r="B139" s="112" t="str">
        <f>VLOOKUP('Informe Kelly'!A133,Base!A:G,7,FALSE)</f>
        <v>ABARCA  JARA,EDUARDO A</v>
      </c>
      <c r="C139" s="112" t="str">
        <f>'Informe Kelly'!E133</f>
        <v>04.04.2011</v>
      </c>
      <c r="D139" s="112" t="e">
        <f>VLOOKUP(A139,Ingreso!K:P,6,FALSE)</f>
        <v>#N/A</v>
      </c>
      <c r="E139" s="142" t="e">
        <f>(VLOOKUP(D139,$D$2:$E$4,2,FALSE))-(IF('Informe Kelly'!H133=$A$2,'Informe Kelly'!F133,VLOOKUP(D139,$D$2:$E$4,2,FALSE)))</f>
        <v>#N/A</v>
      </c>
      <c r="F139" s="142" t="e">
        <f>IF('Informe Kelly'!H133=$A$3,'Informe Kelly'!F133,VLOOKUP(D139,$D$2:$F$4,3,FALSE))-(VLOOKUP(D139,$D$2:$F$4,3,FALSE))</f>
        <v>#N/A</v>
      </c>
      <c r="G139" s="137" t="e">
        <f t="shared" si="4"/>
        <v>#N/A</v>
      </c>
      <c r="J139" s="139" t="s">
        <v>1040</v>
      </c>
      <c r="K139" s="140" t="e">
        <v>#N/A</v>
      </c>
      <c r="L139" s="112" t="e">
        <f>IF(J139="","",VLOOKUP(J139,Ingreso!K:AH,24,FALSE))</f>
        <v>#N/A</v>
      </c>
      <c r="M139" s="112" t="e">
        <f t="shared" si="5"/>
        <v>#N/A</v>
      </c>
    </row>
    <row r="140" spans="1:13">
      <c r="A140" s="112" t="str">
        <f>VLOOKUP('Informe Kelly'!A134,Base!A:B,2,FALSE)</f>
        <v>06.434.911-2</v>
      </c>
      <c r="B140" s="112" t="str">
        <f>VLOOKUP('Informe Kelly'!A134,Base!A:G,7,FALSE)</f>
        <v>ABARCA  JARA,EDUARDO A</v>
      </c>
      <c r="C140" s="112" t="str">
        <f>'Informe Kelly'!E134</f>
        <v>05.04.2011</v>
      </c>
      <c r="D140" s="112" t="e">
        <f>VLOOKUP(A140,Ingreso!K:P,6,FALSE)</f>
        <v>#N/A</v>
      </c>
      <c r="E140" s="142" t="e">
        <f>(VLOOKUP(D140,$D$2:$E$4,2,FALSE))-(IF('Informe Kelly'!H134=$A$2,'Informe Kelly'!F134,VLOOKUP(D140,$D$2:$E$4,2,FALSE)))</f>
        <v>#N/A</v>
      </c>
      <c r="F140" s="142" t="e">
        <f>IF('Informe Kelly'!H134=$A$3,'Informe Kelly'!F134,VLOOKUP(D140,$D$2:$F$4,3,FALSE))-(VLOOKUP(D140,$D$2:$F$4,3,FALSE))</f>
        <v>#N/A</v>
      </c>
      <c r="G140" s="137" t="e">
        <f t="shared" si="4"/>
        <v>#N/A</v>
      </c>
      <c r="J140" s="139" t="s">
        <v>1306</v>
      </c>
      <c r="K140" s="140" t="e">
        <v>#N/A</v>
      </c>
      <c r="L140" s="112" t="e">
        <f>IF(J140="","",VLOOKUP(J140,Ingreso!K:AH,24,FALSE))</f>
        <v>#N/A</v>
      </c>
      <c r="M140" s="112" t="e">
        <f t="shared" si="5"/>
        <v>#N/A</v>
      </c>
    </row>
    <row r="141" spans="1:13">
      <c r="A141" s="112" t="str">
        <f>VLOOKUP('Informe Kelly'!A135,Base!A:B,2,FALSE)</f>
        <v>06.434.911-2</v>
      </c>
      <c r="B141" s="112" t="str">
        <f>VLOOKUP('Informe Kelly'!A135,Base!A:G,7,FALSE)</f>
        <v>ABARCA  JARA,EDUARDO A</v>
      </c>
      <c r="C141" s="112" t="str">
        <f>'Informe Kelly'!E135</f>
        <v>05.04.2011</v>
      </c>
      <c r="D141" s="112" t="e">
        <f>VLOOKUP(A141,Ingreso!K:P,6,FALSE)</f>
        <v>#N/A</v>
      </c>
      <c r="E141" s="142" t="e">
        <f>(VLOOKUP(D141,$D$2:$E$4,2,FALSE))-(IF('Informe Kelly'!H135=$A$2,'Informe Kelly'!F135,VLOOKUP(D141,$D$2:$E$4,2,FALSE)))</f>
        <v>#N/A</v>
      </c>
      <c r="F141" s="142" t="e">
        <f>IF('Informe Kelly'!H135=$A$3,'Informe Kelly'!F135,VLOOKUP(D141,$D$2:$F$4,3,FALSE))-(VLOOKUP(D141,$D$2:$F$4,3,FALSE))</f>
        <v>#N/A</v>
      </c>
      <c r="G141" s="137" t="e">
        <f t="shared" si="4"/>
        <v>#N/A</v>
      </c>
      <c r="J141" s="139" t="s">
        <v>1045</v>
      </c>
      <c r="K141" s="140" t="e">
        <v>#N/A</v>
      </c>
      <c r="L141" s="112" t="e">
        <f>IF(J141="","",VLOOKUP(J141,Ingreso!K:AH,24,FALSE))</f>
        <v>#N/A</v>
      </c>
      <c r="M141" s="112" t="e">
        <f t="shared" si="5"/>
        <v>#N/A</v>
      </c>
    </row>
    <row r="142" spans="1:13">
      <c r="A142" s="112" t="str">
        <f>VLOOKUP('Informe Kelly'!A136,Base!A:B,2,FALSE)</f>
        <v>06.434.911-2</v>
      </c>
      <c r="B142" s="112" t="str">
        <f>VLOOKUP('Informe Kelly'!A136,Base!A:G,7,FALSE)</f>
        <v>ABARCA  JARA,EDUARDO A</v>
      </c>
      <c r="C142" s="112" t="str">
        <f>'Informe Kelly'!E136</f>
        <v>06.04.2011</v>
      </c>
      <c r="D142" s="112" t="e">
        <f>VLOOKUP(A142,Ingreso!K:P,6,FALSE)</f>
        <v>#N/A</v>
      </c>
      <c r="E142" s="142" t="e">
        <f>(VLOOKUP(D142,$D$2:$E$4,2,FALSE))-(IF('Informe Kelly'!H136=$A$2,'Informe Kelly'!F136,VLOOKUP(D142,$D$2:$E$4,2,FALSE)))</f>
        <v>#N/A</v>
      </c>
      <c r="F142" s="142" t="e">
        <f>IF('Informe Kelly'!H136=$A$3,'Informe Kelly'!F136,VLOOKUP(D142,$D$2:$F$4,3,FALSE))-(VLOOKUP(D142,$D$2:$F$4,3,FALSE))</f>
        <v>#N/A</v>
      </c>
      <c r="G142" s="137" t="e">
        <f t="shared" si="4"/>
        <v>#N/A</v>
      </c>
      <c r="J142" s="139" t="s">
        <v>788</v>
      </c>
      <c r="K142" s="140" t="e">
        <v>#N/A</v>
      </c>
      <c r="L142" s="112" t="e">
        <f>IF(J142="","",VLOOKUP(J142,Ingreso!K:AH,24,FALSE))</f>
        <v>#N/A</v>
      </c>
      <c r="M142" s="112" t="e">
        <f t="shared" si="5"/>
        <v>#N/A</v>
      </c>
    </row>
    <row r="143" spans="1:13">
      <c r="A143" s="112" t="str">
        <f>VLOOKUP('Informe Kelly'!A137,Base!A:B,2,FALSE)</f>
        <v>06.434.911-2</v>
      </c>
      <c r="B143" s="112" t="str">
        <f>VLOOKUP('Informe Kelly'!A137,Base!A:G,7,FALSE)</f>
        <v>ABARCA  JARA,EDUARDO A</v>
      </c>
      <c r="C143" s="112" t="str">
        <f>'Informe Kelly'!E137</f>
        <v>06.04.2011</v>
      </c>
      <c r="D143" s="112" t="e">
        <f>VLOOKUP(A143,Ingreso!K:P,6,FALSE)</f>
        <v>#N/A</v>
      </c>
      <c r="E143" s="142" t="e">
        <f>(VLOOKUP(D143,$D$2:$E$4,2,FALSE))-(IF('Informe Kelly'!H137=$A$2,'Informe Kelly'!F137,VLOOKUP(D143,$D$2:$E$4,2,FALSE)))</f>
        <v>#N/A</v>
      </c>
      <c r="F143" s="142" t="e">
        <f>IF('Informe Kelly'!H137=$A$3,'Informe Kelly'!F137,VLOOKUP(D143,$D$2:$F$4,3,FALSE))-(VLOOKUP(D143,$D$2:$F$4,3,FALSE))</f>
        <v>#N/A</v>
      </c>
      <c r="G143" s="137" t="e">
        <f t="shared" si="4"/>
        <v>#N/A</v>
      </c>
      <c r="J143" s="139" t="s">
        <v>1143</v>
      </c>
      <c r="K143" s="140" t="e">
        <v>#N/A</v>
      </c>
      <c r="L143" s="112" t="e">
        <f>IF(J143="","",VLOOKUP(J143,Ingreso!K:AH,24,FALSE))</f>
        <v>#N/A</v>
      </c>
      <c r="M143" s="112" t="e">
        <f t="shared" si="5"/>
        <v>#N/A</v>
      </c>
    </row>
    <row r="144" spans="1:13">
      <c r="A144" s="112" t="str">
        <f>VLOOKUP('Informe Kelly'!A138,Base!A:B,2,FALSE)</f>
        <v>06.434.911-2</v>
      </c>
      <c r="B144" s="112" t="str">
        <f>VLOOKUP('Informe Kelly'!A138,Base!A:G,7,FALSE)</f>
        <v>ABARCA  JARA,EDUARDO A</v>
      </c>
      <c r="C144" s="112" t="str">
        <f>'Informe Kelly'!E138</f>
        <v>07.04.2011</v>
      </c>
      <c r="D144" s="112" t="e">
        <f>VLOOKUP(A144,Ingreso!K:P,6,FALSE)</f>
        <v>#N/A</v>
      </c>
      <c r="E144" s="142" t="e">
        <f>(VLOOKUP(D144,$D$2:$E$4,2,FALSE))-(IF('Informe Kelly'!H138=$A$2,'Informe Kelly'!F138,VLOOKUP(D144,$D$2:$E$4,2,FALSE)))</f>
        <v>#N/A</v>
      </c>
      <c r="F144" s="142" t="e">
        <f>IF('Informe Kelly'!H138=$A$3,'Informe Kelly'!F138,VLOOKUP(D144,$D$2:$F$4,3,FALSE))-(VLOOKUP(D144,$D$2:$F$4,3,FALSE))</f>
        <v>#N/A</v>
      </c>
      <c r="G144" s="137" t="e">
        <f t="shared" si="4"/>
        <v>#N/A</v>
      </c>
      <c r="J144" s="139" t="s">
        <v>629</v>
      </c>
      <c r="K144" s="140" t="e">
        <v>#N/A</v>
      </c>
      <c r="L144" s="112" t="e">
        <f>IF(J144="","",VLOOKUP(J144,Ingreso!K:AH,24,FALSE))</f>
        <v>#N/A</v>
      </c>
      <c r="M144" s="112" t="e">
        <f t="shared" si="5"/>
        <v>#N/A</v>
      </c>
    </row>
    <row r="145" spans="1:13">
      <c r="A145" s="112" t="str">
        <f>VLOOKUP('Informe Kelly'!A139,Base!A:B,2,FALSE)</f>
        <v>06.434.911-2</v>
      </c>
      <c r="B145" s="112" t="str">
        <f>VLOOKUP('Informe Kelly'!A139,Base!A:G,7,FALSE)</f>
        <v>ABARCA  JARA,EDUARDO A</v>
      </c>
      <c r="C145" s="112" t="str">
        <f>'Informe Kelly'!E139</f>
        <v>07.04.2011</v>
      </c>
      <c r="D145" s="112" t="e">
        <f>VLOOKUP(A145,Ingreso!K:P,6,FALSE)</f>
        <v>#N/A</v>
      </c>
      <c r="E145" s="142" t="e">
        <f>(VLOOKUP(D145,$D$2:$E$4,2,FALSE))-(IF('Informe Kelly'!H139=$A$2,'Informe Kelly'!F139,VLOOKUP(D145,$D$2:$E$4,2,FALSE)))</f>
        <v>#N/A</v>
      </c>
      <c r="F145" s="142" t="e">
        <f>IF('Informe Kelly'!H139=$A$3,'Informe Kelly'!F139,VLOOKUP(D145,$D$2:$F$4,3,FALSE))-(VLOOKUP(D145,$D$2:$F$4,3,FALSE))</f>
        <v>#N/A</v>
      </c>
      <c r="G145" s="137" t="e">
        <f t="shared" si="4"/>
        <v>#N/A</v>
      </c>
      <c r="J145" s="139" t="s">
        <v>1035</v>
      </c>
      <c r="K145" s="140" t="e">
        <v>#N/A</v>
      </c>
      <c r="L145" s="112" t="e">
        <f>IF(J145="","",VLOOKUP(J145,Ingreso!K:AH,24,FALSE))</f>
        <v>#N/A</v>
      </c>
      <c r="M145" s="112" t="e">
        <f t="shared" si="5"/>
        <v>#N/A</v>
      </c>
    </row>
    <row r="146" spans="1:13">
      <c r="A146" s="112" t="str">
        <f>VLOOKUP('Informe Kelly'!A140,Base!A:B,2,FALSE)</f>
        <v>06.434.911-2</v>
      </c>
      <c r="B146" s="112" t="str">
        <f>VLOOKUP('Informe Kelly'!A140,Base!A:G,7,FALSE)</f>
        <v>ABARCA  JARA,EDUARDO A</v>
      </c>
      <c r="C146" s="112" t="str">
        <f>'Informe Kelly'!E140</f>
        <v>08.04.2011</v>
      </c>
      <c r="D146" s="112" t="e">
        <f>VLOOKUP(A146,Ingreso!K:P,6,FALSE)</f>
        <v>#N/A</v>
      </c>
      <c r="E146" s="142" t="e">
        <f>(VLOOKUP(D146,$D$2:$E$4,2,FALSE))-(IF('Informe Kelly'!H140=$A$2,'Informe Kelly'!F140,VLOOKUP(D146,$D$2:$E$4,2,FALSE)))</f>
        <v>#N/A</v>
      </c>
      <c r="F146" s="142" t="e">
        <f>IF('Informe Kelly'!H140=$A$3,'Informe Kelly'!F140,VLOOKUP(D146,$D$2:$F$4,3,FALSE))-(VLOOKUP(D146,$D$2:$F$4,3,FALSE))</f>
        <v>#N/A</v>
      </c>
      <c r="G146" s="137" t="e">
        <f t="shared" si="4"/>
        <v>#N/A</v>
      </c>
      <c r="J146" s="139" t="s">
        <v>458</v>
      </c>
      <c r="K146" s="140" t="e">
        <v>#N/A</v>
      </c>
      <c r="L146" s="112" t="e">
        <f>IF(J146="","",VLOOKUP(J146,Ingreso!K:AH,24,FALSE))</f>
        <v>#N/A</v>
      </c>
      <c r="M146" s="112" t="e">
        <f t="shared" si="5"/>
        <v>#N/A</v>
      </c>
    </row>
    <row r="147" spans="1:13">
      <c r="A147" s="112" t="str">
        <f>VLOOKUP('Informe Kelly'!A141,Base!A:B,2,FALSE)</f>
        <v>06.434.911-2</v>
      </c>
      <c r="B147" s="112" t="str">
        <f>VLOOKUP('Informe Kelly'!A141,Base!A:G,7,FALSE)</f>
        <v>ABARCA  JARA,EDUARDO A</v>
      </c>
      <c r="C147" s="112" t="str">
        <f>'Informe Kelly'!E141</f>
        <v>08.04.2011</v>
      </c>
      <c r="D147" s="112" t="e">
        <f>VLOOKUP(A147,Ingreso!K:P,6,FALSE)</f>
        <v>#N/A</v>
      </c>
      <c r="E147" s="142" t="e">
        <f>(VLOOKUP(D147,$D$2:$E$4,2,FALSE))-(IF('Informe Kelly'!H141=$A$2,'Informe Kelly'!F141,VLOOKUP(D147,$D$2:$E$4,2,FALSE)))</f>
        <v>#N/A</v>
      </c>
      <c r="F147" s="142" t="e">
        <f>IF('Informe Kelly'!H141=$A$3,'Informe Kelly'!F141,VLOOKUP(D147,$D$2:$F$4,3,FALSE))-(VLOOKUP(D147,$D$2:$F$4,3,FALSE))</f>
        <v>#N/A</v>
      </c>
      <c r="G147" s="137" t="e">
        <f t="shared" si="4"/>
        <v>#N/A</v>
      </c>
      <c r="J147" s="139" t="s">
        <v>1403</v>
      </c>
      <c r="K147" s="140" t="e">
        <v>#N/A</v>
      </c>
      <c r="L147" s="112" t="e">
        <f>IF(J147="","",VLOOKUP(J147,Ingreso!K:AH,24,FALSE))</f>
        <v>#N/A</v>
      </c>
      <c r="M147" s="112" t="e">
        <f t="shared" si="5"/>
        <v>#N/A</v>
      </c>
    </row>
    <row r="148" spans="1:13">
      <c r="A148" s="112" t="str">
        <f>VLOOKUP('Informe Kelly'!A142,Base!A:B,2,FALSE)</f>
        <v>06.434.911-2</v>
      </c>
      <c r="B148" s="112" t="str">
        <f>VLOOKUP('Informe Kelly'!A142,Base!A:G,7,FALSE)</f>
        <v>ABARCA  JARA,EDUARDO A</v>
      </c>
      <c r="C148" s="112" t="str">
        <f>'Informe Kelly'!E142</f>
        <v>09.04.2011</v>
      </c>
      <c r="D148" s="112" t="e">
        <f>VLOOKUP(A148,Ingreso!K:P,6,FALSE)</f>
        <v>#N/A</v>
      </c>
      <c r="E148" s="142" t="e">
        <f>(VLOOKUP(D148,$D$2:$E$4,2,FALSE))-(IF('Informe Kelly'!H142=$A$2,'Informe Kelly'!F142,VLOOKUP(D148,$D$2:$E$4,2,FALSE)))</f>
        <v>#N/A</v>
      </c>
      <c r="F148" s="142" t="e">
        <f>IF('Informe Kelly'!H142=$A$3,'Informe Kelly'!F142,VLOOKUP(D148,$D$2:$F$4,3,FALSE))-(VLOOKUP(D148,$D$2:$F$4,3,FALSE))</f>
        <v>#N/A</v>
      </c>
      <c r="G148" s="137" t="e">
        <f t="shared" si="4"/>
        <v>#N/A</v>
      </c>
      <c r="J148" s="139" t="s">
        <v>190</v>
      </c>
      <c r="K148" s="140" t="e">
        <v>#N/A</v>
      </c>
      <c r="L148" s="112" t="e">
        <f>IF(J148="","",VLOOKUP(J148,Ingreso!K:AH,24,FALSE))</f>
        <v>#N/A</v>
      </c>
      <c r="M148" s="112" t="e">
        <f t="shared" si="5"/>
        <v>#N/A</v>
      </c>
    </row>
    <row r="149" spans="1:13">
      <c r="A149" s="112" t="str">
        <f>VLOOKUP('Informe Kelly'!A143,Base!A:B,2,FALSE)</f>
        <v>06.434.911-2</v>
      </c>
      <c r="B149" s="112" t="str">
        <f>VLOOKUP('Informe Kelly'!A143,Base!A:G,7,FALSE)</f>
        <v>ABARCA  JARA,EDUARDO A</v>
      </c>
      <c r="C149" s="112" t="str">
        <f>'Informe Kelly'!E143</f>
        <v>09.04.2011</v>
      </c>
      <c r="D149" s="112" t="e">
        <f>VLOOKUP(A149,Ingreso!K:P,6,FALSE)</f>
        <v>#N/A</v>
      </c>
      <c r="E149" s="142" t="e">
        <f>(VLOOKUP(D149,$D$2:$E$4,2,FALSE))-(IF('Informe Kelly'!H143=$A$2,'Informe Kelly'!F143,VLOOKUP(D149,$D$2:$E$4,2,FALSE)))</f>
        <v>#N/A</v>
      </c>
      <c r="F149" s="142" t="e">
        <f>IF('Informe Kelly'!H143=$A$3,'Informe Kelly'!F143,VLOOKUP(D149,$D$2:$F$4,3,FALSE))-(VLOOKUP(D149,$D$2:$F$4,3,FALSE))</f>
        <v>#N/A</v>
      </c>
      <c r="G149" s="137" t="e">
        <f t="shared" si="4"/>
        <v>#N/A</v>
      </c>
      <c r="J149" s="139" t="s">
        <v>1233</v>
      </c>
      <c r="K149" s="140" t="e">
        <v>#N/A</v>
      </c>
      <c r="L149" s="112" t="e">
        <f>IF(J149="","",VLOOKUP(J149,Ingreso!K:AH,24,FALSE))</f>
        <v>#N/A</v>
      </c>
      <c r="M149" s="112" t="e">
        <f t="shared" si="5"/>
        <v>#N/A</v>
      </c>
    </row>
    <row r="150" spans="1:13">
      <c r="A150" s="112" t="str">
        <f>VLOOKUP('Informe Kelly'!A144,Base!A:B,2,FALSE)</f>
        <v>06.467.952-K</v>
      </c>
      <c r="B150" s="112" t="str">
        <f>VLOOKUP('Informe Kelly'!A144,Base!A:G,7,FALSE)</f>
        <v>TAPIA OLIVARES ORLANDINO GUMERCINDO</v>
      </c>
      <c r="C150" s="112" t="str">
        <f>'Informe Kelly'!E144</f>
        <v>04.04.2011</v>
      </c>
      <c r="D150" s="112" t="e">
        <f>VLOOKUP(A150,Ingreso!K:P,6,FALSE)</f>
        <v>#N/A</v>
      </c>
      <c r="E150" s="142" t="e">
        <f>(VLOOKUP(D150,$D$2:$E$4,2,FALSE))-(IF('Informe Kelly'!H144=$A$2,'Informe Kelly'!F144,VLOOKUP(D150,$D$2:$E$4,2,FALSE)))</f>
        <v>#N/A</v>
      </c>
      <c r="F150" s="142" t="e">
        <f>IF('Informe Kelly'!H144=$A$3,'Informe Kelly'!F144,VLOOKUP(D150,$D$2:$F$4,3,FALSE))-(VLOOKUP(D150,$D$2:$F$4,3,FALSE))</f>
        <v>#N/A</v>
      </c>
      <c r="G150" s="137" t="e">
        <f t="shared" si="4"/>
        <v>#N/A</v>
      </c>
      <c r="J150" s="139" t="s">
        <v>1256</v>
      </c>
      <c r="K150" s="140" t="e">
        <v>#N/A</v>
      </c>
      <c r="L150" s="112" t="e">
        <f>IF(J150="","",VLOOKUP(J150,Ingreso!K:AH,24,FALSE))</f>
        <v>#N/A</v>
      </c>
      <c r="M150" s="112" t="e">
        <f t="shared" si="5"/>
        <v>#N/A</v>
      </c>
    </row>
    <row r="151" spans="1:13">
      <c r="A151" s="112" t="str">
        <f>VLOOKUP('Informe Kelly'!A145,Base!A:B,2,FALSE)</f>
        <v>06.467.952-K</v>
      </c>
      <c r="B151" s="112" t="str">
        <f>VLOOKUP('Informe Kelly'!A145,Base!A:G,7,FALSE)</f>
        <v>TAPIA OLIVARES ORLANDINO GUMERCINDO</v>
      </c>
      <c r="C151" s="112" t="str">
        <f>'Informe Kelly'!E145</f>
        <v>04.04.2011</v>
      </c>
      <c r="D151" s="112" t="e">
        <f>VLOOKUP(A151,Ingreso!K:P,6,FALSE)</f>
        <v>#N/A</v>
      </c>
      <c r="E151" s="142" t="e">
        <f>(VLOOKUP(D151,$D$2:$E$4,2,FALSE))-(IF('Informe Kelly'!H145=$A$2,'Informe Kelly'!F145,VLOOKUP(D151,$D$2:$E$4,2,FALSE)))</f>
        <v>#N/A</v>
      </c>
      <c r="F151" s="142" t="e">
        <f>IF('Informe Kelly'!H145=$A$3,'Informe Kelly'!F145,VLOOKUP(D151,$D$2:$F$4,3,FALSE))-(VLOOKUP(D151,$D$2:$F$4,3,FALSE))</f>
        <v>#N/A</v>
      </c>
      <c r="G151" s="137" t="e">
        <f t="shared" si="4"/>
        <v>#N/A</v>
      </c>
      <c r="J151" s="139" t="s">
        <v>853</v>
      </c>
      <c r="K151" s="140" t="e">
        <v>#N/A</v>
      </c>
      <c r="L151" s="112" t="e">
        <f>IF(J151="","",VLOOKUP(J151,Ingreso!K:AH,24,FALSE))</f>
        <v>#N/A</v>
      </c>
      <c r="M151" s="112" t="e">
        <f t="shared" si="5"/>
        <v>#N/A</v>
      </c>
    </row>
    <row r="152" spans="1:13">
      <c r="A152" s="112" t="str">
        <f>VLOOKUP('Informe Kelly'!A146,Base!A:B,2,FALSE)</f>
        <v>06.467.952-K</v>
      </c>
      <c r="B152" s="112" t="str">
        <f>VLOOKUP('Informe Kelly'!A146,Base!A:G,7,FALSE)</f>
        <v>TAPIA OLIVARES ORLANDINO GUMERCINDO</v>
      </c>
      <c r="C152" s="112" t="str">
        <f>'Informe Kelly'!E146</f>
        <v>05.04.2011</v>
      </c>
      <c r="D152" s="112" t="e">
        <f>VLOOKUP(A152,Ingreso!K:P,6,FALSE)</f>
        <v>#N/A</v>
      </c>
      <c r="E152" s="142" t="e">
        <f>(VLOOKUP(D152,$D$2:$E$4,2,FALSE))-(IF('Informe Kelly'!H146=$A$2,'Informe Kelly'!F146,VLOOKUP(D152,$D$2:$E$4,2,FALSE)))</f>
        <v>#N/A</v>
      </c>
      <c r="F152" s="142" t="e">
        <f>IF('Informe Kelly'!H146=$A$3,'Informe Kelly'!F146,VLOOKUP(D152,$D$2:$F$4,3,FALSE))-(VLOOKUP(D152,$D$2:$F$4,3,FALSE))</f>
        <v>#N/A</v>
      </c>
      <c r="G152" s="137" t="e">
        <f t="shared" si="4"/>
        <v>#N/A</v>
      </c>
      <c r="J152" s="139" t="s">
        <v>288</v>
      </c>
      <c r="K152" s="140" t="e">
        <v>#N/A</v>
      </c>
      <c r="L152" s="112" t="e">
        <f>IF(J152="","",VLOOKUP(J152,Ingreso!K:AH,24,FALSE))</f>
        <v>#N/A</v>
      </c>
      <c r="M152" s="112" t="e">
        <f t="shared" si="5"/>
        <v>#N/A</v>
      </c>
    </row>
    <row r="153" spans="1:13">
      <c r="A153" s="112" t="str">
        <f>VLOOKUP('Informe Kelly'!A147,Base!A:B,2,FALSE)</f>
        <v>06.467.952-K</v>
      </c>
      <c r="B153" s="112" t="str">
        <f>VLOOKUP('Informe Kelly'!A147,Base!A:G,7,FALSE)</f>
        <v>TAPIA OLIVARES ORLANDINO GUMERCINDO</v>
      </c>
      <c r="C153" s="112" t="str">
        <f>'Informe Kelly'!E147</f>
        <v>05.04.2011</v>
      </c>
      <c r="D153" s="112" t="e">
        <f>VLOOKUP(A153,Ingreso!K:P,6,FALSE)</f>
        <v>#N/A</v>
      </c>
      <c r="E153" s="142" t="e">
        <f>(VLOOKUP(D153,$D$2:$E$4,2,FALSE))-(IF('Informe Kelly'!H147=$A$2,'Informe Kelly'!F147,VLOOKUP(D153,$D$2:$E$4,2,FALSE)))</f>
        <v>#N/A</v>
      </c>
      <c r="F153" s="142" t="e">
        <f>IF('Informe Kelly'!H147=$A$3,'Informe Kelly'!F147,VLOOKUP(D153,$D$2:$F$4,3,FALSE))-(VLOOKUP(D153,$D$2:$F$4,3,FALSE))</f>
        <v>#N/A</v>
      </c>
      <c r="G153" s="137" t="e">
        <f t="shared" si="4"/>
        <v>#N/A</v>
      </c>
      <c r="J153" s="139" t="s">
        <v>478</v>
      </c>
      <c r="K153" s="140" t="e">
        <v>#N/A</v>
      </c>
      <c r="L153" s="112" t="e">
        <f>IF(J153="","",VLOOKUP(J153,Ingreso!K:AH,24,FALSE))</f>
        <v>#N/A</v>
      </c>
      <c r="M153" s="112" t="e">
        <f t="shared" si="5"/>
        <v>#N/A</v>
      </c>
    </row>
    <row r="154" spans="1:13">
      <c r="A154" s="112" t="str">
        <f>VLOOKUP('Informe Kelly'!A148,Base!A:B,2,FALSE)</f>
        <v>06.467.952-K</v>
      </c>
      <c r="B154" s="112" t="str">
        <f>VLOOKUP('Informe Kelly'!A148,Base!A:G,7,FALSE)</f>
        <v>TAPIA OLIVARES ORLANDINO GUMERCINDO</v>
      </c>
      <c r="C154" s="112" t="str">
        <f>'Informe Kelly'!E148</f>
        <v>06.04.2011</v>
      </c>
      <c r="D154" s="112" t="e">
        <f>VLOOKUP(A154,Ingreso!K:P,6,FALSE)</f>
        <v>#N/A</v>
      </c>
      <c r="E154" s="142" t="e">
        <f>(VLOOKUP(D154,$D$2:$E$4,2,FALSE))-(IF('Informe Kelly'!H148=$A$2,'Informe Kelly'!F148,VLOOKUP(D154,$D$2:$E$4,2,FALSE)))</f>
        <v>#N/A</v>
      </c>
      <c r="F154" s="142" t="e">
        <f>IF('Informe Kelly'!H148=$A$3,'Informe Kelly'!F148,VLOOKUP(D154,$D$2:$F$4,3,FALSE))-(VLOOKUP(D154,$D$2:$F$4,3,FALSE))</f>
        <v>#N/A</v>
      </c>
      <c r="G154" s="137" t="e">
        <f t="shared" si="4"/>
        <v>#N/A</v>
      </c>
      <c r="J154" s="139" t="s">
        <v>683</v>
      </c>
      <c r="K154" s="140" t="e">
        <v>#N/A</v>
      </c>
      <c r="L154" s="112" t="e">
        <f>IF(J154="","",VLOOKUP(J154,Ingreso!K:AH,24,FALSE))</f>
        <v>#N/A</v>
      </c>
      <c r="M154" s="112" t="e">
        <f t="shared" si="5"/>
        <v>#N/A</v>
      </c>
    </row>
    <row r="155" spans="1:13">
      <c r="A155" s="112" t="str">
        <f>VLOOKUP('Informe Kelly'!A149,Base!A:B,2,FALSE)</f>
        <v>06.467.952-K</v>
      </c>
      <c r="B155" s="112" t="str">
        <f>VLOOKUP('Informe Kelly'!A149,Base!A:G,7,FALSE)</f>
        <v>TAPIA OLIVARES ORLANDINO GUMERCINDO</v>
      </c>
      <c r="C155" s="112" t="str">
        <f>'Informe Kelly'!E149</f>
        <v>06.04.2011</v>
      </c>
      <c r="D155" s="112" t="e">
        <f>VLOOKUP(A155,Ingreso!K:P,6,FALSE)</f>
        <v>#N/A</v>
      </c>
      <c r="E155" s="142" t="e">
        <f>(VLOOKUP(D155,$D$2:$E$4,2,FALSE))-(IF('Informe Kelly'!H149=$A$2,'Informe Kelly'!F149,VLOOKUP(D155,$D$2:$E$4,2,FALSE)))</f>
        <v>#N/A</v>
      </c>
      <c r="F155" s="142" t="e">
        <f>IF('Informe Kelly'!H149=$A$3,'Informe Kelly'!F149,VLOOKUP(D155,$D$2:$F$4,3,FALSE))-(VLOOKUP(D155,$D$2:$F$4,3,FALSE))</f>
        <v>#N/A</v>
      </c>
      <c r="G155" s="137" t="e">
        <f t="shared" si="4"/>
        <v>#N/A</v>
      </c>
      <c r="J155" s="139" t="s">
        <v>898</v>
      </c>
      <c r="K155" s="140" t="e">
        <v>#N/A</v>
      </c>
      <c r="L155" s="112" t="e">
        <f>IF(J155="","",VLOOKUP(J155,Ingreso!K:AH,24,FALSE))</f>
        <v>#N/A</v>
      </c>
      <c r="M155" s="112" t="e">
        <f t="shared" si="5"/>
        <v>#N/A</v>
      </c>
    </row>
    <row r="156" spans="1:13">
      <c r="A156" s="112" t="str">
        <f>VLOOKUP('Informe Kelly'!A150,Base!A:B,2,FALSE)</f>
        <v>06.467.952-K</v>
      </c>
      <c r="B156" s="112" t="str">
        <f>VLOOKUP('Informe Kelly'!A150,Base!A:G,7,FALSE)</f>
        <v>TAPIA OLIVARES ORLANDINO GUMERCINDO</v>
      </c>
      <c r="C156" s="112" t="str">
        <f>'Informe Kelly'!E150</f>
        <v>07.04.2011</v>
      </c>
      <c r="D156" s="112" t="e">
        <f>VLOOKUP(A156,Ingreso!K:P,6,FALSE)</f>
        <v>#N/A</v>
      </c>
      <c r="E156" s="142" t="e">
        <f>(VLOOKUP(D156,$D$2:$E$4,2,FALSE))-(IF('Informe Kelly'!H150=$A$2,'Informe Kelly'!F150,VLOOKUP(D156,$D$2:$E$4,2,FALSE)))</f>
        <v>#N/A</v>
      </c>
      <c r="F156" s="142" t="e">
        <f>IF('Informe Kelly'!H150=$A$3,'Informe Kelly'!F150,VLOOKUP(D156,$D$2:$F$4,3,FALSE))-(VLOOKUP(D156,$D$2:$F$4,3,FALSE))</f>
        <v>#N/A</v>
      </c>
      <c r="G156" s="137" t="e">
        <f t="shared" si="4"/>
        <v>#N/A</v>
      </c>
      <c r="J156" s="139" t="s">
        <v>175</v>
      </c>
      <c r="K156" s="140" t="e">
        <v>#N/A</v>
      </c>
      <c r="L156" s="112" t="e">
        <f>IF(J156="","",VLOOKUP(J156,Ingreso!K:AH,24,FALSE))</f>
        <v>#N/A</v>
      </c>
      <c r="M156" s="112" t="e">
        <f t="shared" si="5"/>
        <v>#N/A</v>
      </c>
    </row>
    <row r="157" spans="1:13">
      <c r="A157" s="112" t="str">
        <f>VLOOKUP('Informe Kelly'!A151,Base!A:B,2,FALSE)</f>
        <v>06.467.952-K</v>
      </c>
      <c r="B157" s="112" t="str">
        <f>VLOOKUP('Informe Kelly'!A151,Base!A:G,7,FALSE)</f>
        <v>TAPIA OLIVARES ORLANDINO GUMERCINDO</v>
      </c>
      <c r="C157" s="112" t="str">
        <f>'Informe Kelly'!E151</f>
        <v>07.04.2011</v>
      </c>
      <c r="D157" s="112" t="e">
        <f>VLOOKUP(A157,Ingreso!K:P,6,FALSE)</f>
        <v>#N/A</v>
      </c>
      <c r="E157" s="142" t="e">
        <f>(VLOOKUP(D157,$D$2:$E$4,2,FALSE))-(IF('Informe Kelly'!H151=$A$2,'Informe Kelly'!F151,VLOOKUP(D157,$D$2:$E$4,2,FALSE)))</f>
        <v>#N/A</v>
      </c>
      <c r="F157" s="142" t="e">
        <f>IF('Informe Kelly'!H151=$A$3,'Informe Kelly'!F151,VLOOKUP(D157,$D$2:$F$4,3,FALSE))-(VLOOKUP(D157,$D$2:$F$4,3,FALSE))</f>
        <v>#N/A</v>
      </c>
      <c r="G157" s="137" t="e">
        <f t="shared" si="4"/>
        <v>#N/A</v>
      </c>
      <c r="J157" s="139" t="s">
        <v>994</v>
      </c>
      <c r="K157" s="140" t="e">
        <v>#N/A</v>
      </c>
      <c r="L157" s="112" t="e">
        <f>IF(J157="","",VLOOKUP(J157,Ingreso!K:AH,24,FALSE))</f>
        <v>#N/A</v>
      </c>
      <c r="M157" s="112" t="e">
        <f t="shared" si="5"/>
        <v>#N/A</v>
      </c>
    </row>
    <row r="158" spans="1:13">
      <c r="A158" s="112" t="str">
        <f>VLOOKUP('Informe Kelly'!A152,Base!A:B,2,FALSE)</f>
        <v>06.467.952-K</v>
      </c>
      <c r="B158" s="112" t="str">
        <f>VLOOKUP('Informe Kelly'!A152,Base!A:G,7,FALSE)</f>
        <v>TAPIA OLIVARES ORLANDINO GUMERCINDO</v>
      </c>
      <c r="C158" s="112" t="str">
        <f>'Informe Kelly'!E152</f>
        <v>08.04.2011</v>
      </c>
      <c r="D158" s="112" t="e">
        <f>VLOOKUP(A158,Ingreso!K:P,6,FALSE)</f>
        <v>#N/A</v>
      </c>
      <c r="E158" s="142" t="e">
        <f>(VLOOKUP(D158,$D$2:$E$4,2,FALSE))-(IF('Informe Kelly'!H152=$A$2,'Informe Kelly'!F152,VLOOKUP(D158,$D$2:$E$4,2,FALSE)))</f>
        <v>#N/A</v>
      </c>
      <c r="F158" s="142" t="e">
        <f>IF('Informe Kelly'!H152=$A$3,'Informe Kelly'!F152,VLOOKUP(D158,$D$2:$F$4,3,FALSE))-(VLOOKUP(D158,$D$2:$F$4,3,FALSE))</f>
        <v>#N/A</v>
      </c>
      <c r="G158" s="137" t="e">
        <f t="shared" si="4"/>
        <v>#N/A</v>
      </c>
      <c r="J158" s="139" t="s">
        <v>766</v>
      </c>
      <c r="K158" s="140" t="e">
        <v>#N/A</v>
      </c>
      <c r="L158" s="112" t="e">
        <f>IF(J158="","",VLOOKUP(J158,Ingreso!K:AH,24,FALSE))</f>
        <v>#N/A</v>
      </c>
      <c r="M158" s="112" t="e">
        <f t="shared" si="5"/>
        <v>#N/A</v>
      </c>
    </row>
    <row r="159" spans="1:13">
      <c r="A159" s="112" t="str">
        <f>VLOOKUP('Informe Kelly'!A153,Base!A:B,2,FALSE)</f>
        <v>06.467.952-K</v>
      </c>
      <c r="B159" s="112" t="str">
        <f>VLOOKUP('Informe Kelly'!A153,Base!A:G,7,FALSE)</f>
        <v>TAPIA OLIVARES ORLANDINO GUMERCINDO</v>
      </c>
      <c r="C159" s="112" t="str">
        <f>'Informe Kelly'!E153</f>
        <v>08.04.2011</v>
      </c>
      <c r="D159" s="112" t="e">
        <f>VLOOKUP(A159,Ingreso!K:P,6,FALSE)</f>
        <v>#N/A</v>
      </c>
      <c r="E159" s="142" t="e">
        <f>(VLOOKUP(D159,$D$2:$E$4,2,FALSE))-(IF('Informe Kelly'!H153=$A$2,'Informe Kelly'!F153,VLOOKUP(D159,$D$2:$E$4,2,FALSE)))</f>
        <v>#N/A</v>
      </c>
      <c r="F159" s="142" t="e">
        <f>IF('Informe Kelly'!H153=$A$3,'Informe Kelly'!F153,VLOOKUP(D159,$D$2:$F$4,3,FALSE))-(VLOOKUP(D159,$D$2:$F$4,3,FALSE))</f>
        <v>#N/A</v>
      </c>
      <c r="G159" s="137" t="e">
        <f t="shared" si="4"/>
        <v>#N/A</v>
      </c>
      <c r="J159" s="139" t="s">
        <v>1273</v>
      </c>
      <c r="K159" s="140" t="e">
        <v>#N/A</v>
      </c>
      <c r="L159" s="112" t="e">
        <f>IF(J159="","",VLOOKUP(J159,Ingreso!K:AH,24,FALSE))</f>
        <v>#N/A</v>
      </c>
      <c r="M159" s="112" t="e">
        <f t="shared" si="5"/>
        <v>#N/A</v>
      </c>
    </row>
    <row r="160" spans="1:13">
      <c r="A160" s="112" t="str">
        <f>VLOOKUP('Informe Kelly'!A154,Base!A:B,2,FALSE)</f>
        <v>06.467.952-K</v>
      </c>
      <c r="B160" s="112" t="str">
        <f>VLOOKUP('Informe Kelly'!A154,Base!A:G,7,FALSE)</f>
        <v>TAPIA OLIVARES ORLANDINO GUMERCINDO</v>
      </c>
      <c r="C160" s="112" t="str">
        <f>'Informe Kelly'!E154</f>
        <v>09.04.2011</v>
      </c>
      <c r="D160" s="112" t="e">
        <f>VLOOKUP(A160,Ingreso!K:P,6,FALSE)</f>
        <v>#N/A</v>
      </c>
      <c r="E160" s="142" t="e">
        <f>(VLOOKUP(D160,$D$2:$E$4,2,FALSE))-(IF('Informe Kelly'!H154=$A$2,'Informe Kelly'!F154,VLOOKUP(D160,$D$2:$E$4,2,FALSE)))</f>
        <v>#N/A</v>
      </c>
      <c r="F160" s="142" t="e">
        <f>IF('Informe Kelly'!H154=$A$3,'Informe Kelly'!F154,VLOOKUP(D160,$D$2:$F$4,3,FALSE))-(VLOOKUP(D160,$D$2:$F$4,3,FALSE))</f>
        <v>#N/A</v>
      </c>
      <c r="G160" s="137" t="e">
        <f t="shared" si="4"/>
        <v>#N/A</v>
      </c>
      <c r="J160" s="139" t="s">
        <v>663</v>
      </c>
      <c r="K160" s="140" t="e">
        <v>#N/A</v>
      </c>
      <c r="L160" s="112" t="e">
        <f>IF(J160="","",VLOOKUP(J160,Ingreso!K:AH,24,FALSE))</f>
        <v>#N/A</v>
      </c>
      <c r="M160" s="112" t="e">
        <f t="shared" si="5"/>
        <v>#N/A</v>
      </c>
    </row>
    <row r="161" spans="1:13">
      <c r="A161" s="112" t="str">
        <f>VLOOKUP('Informe Kelly'!A155,Base!A:B,2,FALSE)</f>
        <v>06.467.952-K</v>
      </c>
      <c r="B161" s="112" t="str">
        <f>VLOOKUP('Informe Kelly'!A155,Base!A:G,7,FALSE)</f>
        <v>TAPIA OLIVARES ORLANDINO GUMERCINDO</v>
      </c>
      <c r="C161" s="112" t="str">
        <f>'Informe Kelly'!E155</f>
        <v>09.04.2011</v>
      </c>
      <c r="D161" s="112" t="e">
        <f>VLOOKUP(A161,Ingreso!K:P,6,FALSE)</f>
        <v>#N/A</v>
      </c>
      <c r="E161" s="142" t="e">
        <f>(VLOOKUP(D161,$D$2:$E$4,2,FALSE))-(IF('Informe Kelly'!H155=$A$2,'Informe Kelly'!F155,VLOOKUP(D161,$D$2:$E$4,2,FALSE)))</f>
        <v>#N/A</v>
      </c>
      <c r="F161" s="142" t="e">
        <f>IF('Informe Kelly'!H155=$A$3,'Informe Kelly'!F155,VLOOKUP(D161,$D$2:$F$4,3,FALSE))-(VLOOKUP(D161,$D$2:$F$4,3,FALSE))</f>
        <v>#N/A</v>
      </c>
      <c r="G161" s="137" t="e">
        <f t="shared" si="4"/>
        <v>#N/A</v>
      </c>
      <c r="J161" s="139" t="s">
        <v>1009</v>
      </c>
      <c r="K161" s="140" t="e">
        <v>#N/A</v>
      </c>
      <c r="L161" s="112" t="e">
        <f>IF(J161="","",VLOOKUP(J161,Ingreso!K:AH,24,FALSE))</f>
        <v>#N/A</v>
      </c>
      <c r="M161" s="112" t="e">
        <f t="shared" si="5"/>
        <v>#N/A</v>
      </c>
    </row>
    <row r="162" spans="1:13">
      <c r="A162" s="112" t="str">
        <f>VLOOKUP('Informe Kelly'!A156,Base!A:B,2,FALSE)</f>
        <v>06.528.911-3</v>
      </c>
      <c r="B162" s="112" t="str">
        <f>VLOOKUP('Informe Kelly'!A156,Base!A:G,7,FALSE)</f>
        <v>PINO MARTINEZ CARLOS</v>
      </c>
      <c r="C162" s="112" t="str">
        <f>'Informe Kelly'!E156</f>
        <v>04.04.2011</v>
      </c>
      <c r="D162" s="112" t="e">
        <f>VLOOKUP(A162,Ingreso!K:P,6,FALSE)</f>
        <v>#N/A</v>
      </c>
      <c r="E162" s="142" t="e">
        <f>(VLOOKUP(D162,$D$2:$E$4,2,FALSE))-(IF('Informe Kelly'!H156=$A$2,'Informe Kelly'!F156,VLOOKUP(D162,$D$2:$E$4,2,FALSE)))</f>
        <v>#N/A</v>
      </c>
      <c r="F162" s="142" t="e">
        <f>IF('Informe Kelly'!H156=$A$3,'Informe Kelly'!F156,VLOOKUP(D162,$D$2:$F$4,3,FALSE))-(VLOOKUP(D162,$D$2:$F$4,3,FALSE))</f>
        <v>#N/A</v>
      </c>
      <c r="G162" s="137" t="e">
        <f t="shared" si="4"/>
        <v>#N/A</v>
      </c>
      <c r="J162" s="139" t="s">
        <v>562</v>
      </c>
      <c r="K162" s="140" t="e">
        <v>#N/A</v>
      </c>
      <c r="L162" s="112" t="e">
        <f>IF(J162="","",VLOOKUP(J162,Ingreso!K:AH,24,FALSE))</f>
        <v>#N/A</v>
      </c>
      <c r="M162" s="112" t="e">
        <f t="shared" si="5"/>
        <v>#N/A</v>
      </c>
    </row>
    <row r="163" spans="1:13">
      <c r="A163" s="112" t="str">
        <f>VLOOKUP('Informe Kelly'!A157,Base!A:B,2,FALSE)</f>
        <v>06.528.911-3</v>
      </c>
      <c r="B163" s="112" t="str">
        <f>VLOOKUP('Informe Kelly'!A157,Base!A:G,7,FALSE)</f>
        <v>PINO MARTINEZ CARLOS</v>
      </c>
      <c r="C163" s="112" t="str">
        <f>'Informe Kelly'!E157</f>
        <v>04.04.2011</v>
      </c>
      <c r="D163" s="112" t="e">
        <f>VLOOKUP(A163,Ingreso!K:P,6,FALSE)</f>
        <v>#N/A</v>
      </c>
      <c r="E163" s="142" t="e">
        <f>(VLOOKUP(D163,$D$2:$E$4,2,FALSE))-(IF('Informe Kelly'!H157=$A$2,'Informe Kelly'!F157,VLOOKUP(D163,$D$2:$E$4,2,FALSE)))</f>
        <v>#N/A</v>
      </c>
      <c r="F163" s="142" t="e">
        <f>IF('Informe Kelly'!H157=$A$3,'Informe Kelly'!F157,VLOOKUP(D163,$D$2:$F$4,3,FALSE))-(VLOOKUP(D163,$D$2:$F$4,3,FALSE))</f>
        <v>#N/A</v>
      </c>
      <c r="G163" s="137" t="e">
        <f t="shared" si="4"/>
        <v>#N/A</v>
      </c>
      <c r="J163" s="139" t="s">
        <v>650</v>
      </c>
      <c r="K163" s="140" t="e">
        <v>#N/A</v>
      </c>
      <c r="L163" s="112" t="e">
        <f>IF(J163="","",VLOOKUP(J163,Ingreso!K:AH,24,FALSE))</f>
        <v>#N/A</v>
      </c>
      <c r="M163" s="112" t="e">
        <f t="shared" si="5"/>
        <v>#N/A</v>
      </c>
    </row>
    <row r="164" spans="1:13">
      <c r="A164" s="112" t="str">
        <f>VLOOKUP('Informe Kelly'!A158,Base!A:B,2,FALSE)</f>
        <v>06.528.911-3</v>
      </c>
      <c r="B164" s="112" t="str">
        <f>VLOOKUP('Informe Kelly'!A158,Base!A:G,7,FALSE)</f>
        <v>PINO MARTINEZ CARLOS</v>
      </c>
      <c r="C164" s="112" t="str">
        <f>'Informe Kelly'!E158</f>
        <v>05.04.2011</v>
      </c>
      <c r="D164" s="112" t="e">
        <f>VLOOKUP(A164,Ingreso!K:P,6,FALSE)</f>
        <v>#N/A</v>
      </c>
      <c r="E164" s="142" t="e">
        <f>(VLOOKUP(D164,$D$2:$E$4,2,FALSE))-(IF('Informe Kelly'!H158=$A$2,'Informe Kelly'!F158,VLOOKUP(D164,$D$2:$E$4,2,FALSE)))</f>
        <v>#N/A</v>
      </c>
      <c r="F164" s="142" t="e">
        <f>IF('Informe Kelly'!H158=$A$3,'Informe Kelly'!F158,VLOOKUP(D164,$D$2:$F$4,3,FALSE))-(VLOOKUP(D164,$D$2:$F$4,3,FALSE))</f>
        <v>#N/A</v>
      </c>
      <c r="G164" s="137" t="e">
        <f t="shared" si="4"/>
        <v>#N/A</v>
      </c>
      <c r="J164" s="139" t="s">
        <v>1221</v>
      </c>
      <c r="K164" s="140" t="e">
        <v>#N/A</v>
      </c>
      <c r="L164" s="112" t="e">
        <f>IF(J164="","",VLOOKUP(J164,Ingreso!K:AH,24,FALSE))</f>
        <v>#N/A</v>
      </c>
      <c r="M164" s="112" t="e">
        <f t="shared" si="5"/>
        <v>#N/A</v>
      </c>
    </row>
    <row r="165" spans="1:13">
      <c r="A165" s="112" t="str">
        <f>VLOOKUP('Informe Kelly'!A159,Base!A:B,2,FALSE)</f>
        <v>06.528.911-3</v>
      </c>
      <c r="B165" s="112" t="str">
        <f>VLOOKUP('Informe Kelly'!A159,Base!A:G,7,FALSE)</f>
        <v>PINO MARTINEZ CARLOS</v>
      </c>
      <c r="C165" s="112" t="str">
        <f>'Informe Kelly'!E159</f>
        <v>05.04.2011</v>
      </c>
      <c r="D165" s="112" t="e">
        <f>VLOOKUP(A165,Ingreso!K:P,6,FALSE)</f>
        <v>#N/A</v>
      </c>
      <c r="E165" s="142" t="e">
        <f>(VLOOKUP(D165,$D$2:$E$4,2,FALSE))-(IF('Informe Kelly'!H159=$A$2,'Informe Kelly'!F159,VLOOKUP(D165,$D$2:$E$4,2,FALSE)))</f>
        <v>#N/A</v>
      </c>
      <c r="F165" s="142" t="e">
        <f>IF('Informe Kelly'!H159=$A$3,'Informe Kelly'!F159,VLOOKUP(D165,$D$2:$F$4,3,FALSE))-(VLOOKUP(D165,$D$2:$F$4,3,FALSE))</f>
        <v>#N/A</v>
      </c>
      <c r="G165" s="137" t="e">
        <f t="shared" si="4"/>
        <v>#N/A</v>
      </c>
      <c r="J165" s="139" t="s">
        <v>623</v>
      </c>
      <c r="K165" s="140" t="e">
        <v>#N/A</v>
      </c>
      <c r="L165" s="112" t="e">
        <f>IF(J165="","",VLOOKUP(J165,Ingreso!K:AH,24,FALSE))</f>
        <v>#N/A</v>
      </c>
      <c r="M165" s="112" t="e">
        <f t="shared" si="5"/>
        <v>#N/A</v>
      </c>
    </row>
    <row r="166" spans="1:13">
      <c r="A166" s="112" t="str">
        <f>VLOOKUP('Informe Kelly'!A160,Base!A:B,2,FALSE)</f>
        <v>06.528.911-3</v>
      </c>
      <c r="B166" s="112" t="str">
        <f>VLOOKUP('Informe Kelly'!A160,Base!A:G,7,FALSE)</f>
        <v>PINO MARTINEZ CARLOS</v>
      </c>
      <c r="C166" s="112" t="str">
        <f>'Informe Kelly'!E160</f>
        <v>06.04.2011</v>
      </c>
      <c r="D166" s="112" t="e">
        <f>VLOOKUP(A166,Ingreso!K:P,6,FALSE)</f>
        <v>#N/A</v>
      </c>
      <c r="E166" s="142" t="e">
        <f>(VLOOKUP(D166,$D$2:$E$4,2,FALSE))-(IF('Informe Kelly'!H160=$A$2,'Informe Kelly'!F160,VLOOKUP(D166,$D$2:$E$4,2,FALSE)))</f>
        <v>#N/A</v>
      </c>
      <c r="F166" s="142" t="e">
        <f>IF('Informe Kelly'!H160=$A$3,'Informe Kelly'!F160,VLOOKUP(D166,$D$2:$F$4,3,FALSE))-(VLOOKUP(D166,$D$2:$F$4,3,FALSE))</f>
        <v>#N/A</v>
      </c>
      <c r="G166" s="137" t="e">
        <f t="shared" si="4"/>
        <v>#N/A</v>
      </c>
      <c r="J166" s="139" t="s">
        <v>1127</v>
      </c>
      <c r="K166" s="140" t="e">
        <v>#N/A</v>
      </c>
      <c r="L166" s="112" t="e">
        <f>IF(J166="","",VLOOKUP(J166,Ingreso!K:AH,24,FALSE))</f>
        <v>#N/A</v>
      </c>
      <c r="M166" s="112" t="e">
        <f t="shared" si="5"/>
        <v>#N/A</v>
      </c>
    </row>
    <row r="167" spans="1:13">
      <c r="A167" s="112" t="str">
        <f>VLOOKUP('Informe Kelly'!A161,Base!A:B,2,FALSE)</f>
        <v>06.528.911-3</v>
      </c>
      <c r="B167" s="112" t="str">
        <f>VLOOKUP('Informe Kelly'!A161,Base!A:G,7,FALSE)</f>
        <v>PINO MARTINEZ CARLOS</v>
      </c>
      <c r="C167" s="112" t="str">
        <f>'Informe Kelly'!E161</f>
        <v>06.04.2011</v>
      </c>
      <c r="D167" s="112" t="e">
        <f>VLOOKUP(A167,Ingreso!K:P,6,FALSE)</f>
        <v>#N/A</v>
      </c>
      <c r="E167" s="142" t="e">
        <f>(VLOOKUP(D167,$D$2:$E$4,2,FALSE))-(IF('Informe Kelly'!H161=$A$2,'Informe Kelly'!F161,VLOOKUP(D167,$D$2:$E$4,2,FALSE)))</f>
        <v>#N/A</v>
      </c>
      <c r="F167" s="142" t="e">
        <f>IF('Informe Kelly'!H161=$A$3,'Informe Kelly'!F161,VLOOKUP(D167,$D$2:$F$4,3,FALSE))-(VLOOKUP(D167,$D$2:$F$4,3,FALSE))</f>
        <v>#N/A</v>
      </c>
      <c r="G167" s="137" t="e">
        <f t="shared" si="4"/>
        <v>#N/A</v>
      </c>
      <c r="J167" s="139" t="s">
        <v>1251</v>
      </c>
      <c r="K167" s="140" t="e">
        <v>#N/A</v>
      </c>
      <c r="L167" s="112" t="e">
        <f>IF(J167="","",VLOOKUP(J167,Ingreso!K:AH,24,FALSE))</f>
        <v>#N/A</v>
      </c>
      <c r="M167" s="112" t="e">
        <f t="shared" si="5"/>
        <v>#N/A</v>
      </c>
    </row>
    <row r="168" spans="1:13">
      <c r="A168" s="112" t="str">
        <f>VLOOKUP('Informe Kelly'!A162,Base!A:B,2,FALSE)</f>
        <v>06.528.911-3</v>
      </c>
      <c r="B168" s="112" t="str">
        <f>VLOOKUP('Informe Kelly'!A162,Base!A:G,7,FALSE)</f>
        <v>PINO MARTINEZ CARLOS</v>
      </c>
      <c r="C168" s="112" t="str">
        <f>'Informe Kelly'!E162</f>
        <v>07.04.2011</v>
      </c>
      <c r="D168" s="112" t="e">
        <f>VLOOKUP(A168,Ingreso!K:P,6,FALSE)</f>
        <v>#N/A</v>
      </c>
      <c r="E168" s="142" t="e">
        <f>(VLOOKUP(D168,$D$2:$E$4,2,FALSE))-(IF('Informe Kelly'!H162=$A$2,'Informe Kelly'!F162,VLOOKUP(D168,$D$2:$E$4,2,FALSE)))</f>
        <v>#N/A</v>
      </c>
      <c r="F168" s="142" t="e">
        <f>IF('Informe Kelly'!H162=$A$3,'Informe Kelly'!F162,VLOOKUP(D168,$D$2:$F$4,3,FALSE))-(VLOOKUP(D168,$D$2:$F$4,3,FALSE))</f>
        <v>#N/A</v>
      </c>
      <c r="G168" s="137" t="e">
        <f t="shared" si="4"/>
        <v>#N/A</v>
      </c>
      <c r="J168" s="139" t="s">
        <v>86</v>
      </c>
      <c r="K168" s="140" t="e">
        <v>#N/A</v>
      </c>
      <c r="L168" s="112" t="e">
        <f>IF(J168="","",VLOOKUP(J168,Ingreso!K:AH,24,FALSE))</f>
        <v>#N/A</v>
      </c>
      <c r="M168" s="112" t="e">
        <f t="shared" si="5"/>
        <v>#N/A</v>
      </c>
    </row>
    <row r="169" spans="1:13">
      <c r="A169" s="112" t="str">
        <f>VLOOKUP('Informe Kelly'!A163,Base!A:B,2,FALSE)</f>
        <v>06.528.911-3</v>
      </c>
      <c r="B169" s="112" t="str">
        <f>VLOOKUP('Informe Kelly'!A163,Base!A:G,7,FALSE)</f>
        <v>PINO MARTINEZ CARLOS</v>
      </c>
      <c r="C169" s="112" t="str">
        <f>'Informe Kelly'!E163</f>
        <v>07.04.2011</v>
      </c>
      <c r="D169" s="112" t="e">
        <f>VLOOKUP(A169,Ingreso!K:P,6,FALSE)</f>
        <v>#N/A</v>
      </c>
      <c r="E169" s="142" t="e">
        <f>(VLOOKUP(D169,$D$2:$E$4,2,FALSE))-(IF('Informe Kelly'!H163=$A$2,'Informe Kelly'!F163,VLOOKUP(D169,$D$2:$E$4,2,FALSE)))</f>
        <v>#N/A</v>
      </c>
      <c r="F169" s="142" t="e">
        <f>IF('Informe Kelly'!H163=$A$3,'Informe Kelly'!F163,VLOOKUP(D169,$D$2:$F$4,3,FALSE))-(VLOOKUP(D169,$D$2:$F$4,3,FALSE))</f>
        <v>#N/A</v>
      </c>
      <c r="G169" s="137" t="e">
        <f t="shared" si="4"/>
        <v>#N/A</v>
      </c>
      <c r="J169" s="139" t="s">
        <v>1067</v>
      </c>
      <c r="K169" s="140" t="e">
        <v>#N/A</v>
      </c>
      <c r="L169" s="112" t="e">
        <f>IF(J169="","",VLOOKUP(J169,Ingreso!K:AH,24,FALSE))</f>
        <v>#N/A</v>
      </c>
      <c r="M169" s="112" t="e">
        <f t="shared" si="5"/>
        <v>#N/A</v>
      </c>
    </row>
    <row r="170" spans="1:13">
      <c r="A170" s="112" t="str">
        <f>VLOOKUP('Informe Kelly'!A164,Base!A:B,2,FALSE)</f>
        <v>06.528.911-3</v>
      </c>
      <c r="B170" s="112" t="str">
        <f>VLOOKUP('Informe Kelly'!A164,Base!A:G,7,FALSE)</f>
        <v>PINO MARTINEZ CARLOS</v>
      </c>
      <c r="C170" s="112" t="str">
        <f>'Informe Kelly'!E164</f>
        <v>08.04.2011</v>
      </c>
      <c r="D170" s="112" t="e">
        <f>VLOOKUP(A170,Ingreso!K:P,6,FALSE)</f>
        <v>#N/A</v>
      </c>
      <c r="E170" s="142" t="e">
        <f>(VLOOKUP(D170,$D$2:$E$4,2,FALSE))-(IF('Informe Kelly'!H164=$A$2,'Informe Kelly'!F164,VLOOKUP(D170,$D$2:$E$4,2,FALSE)))</f>
        <v>#N/A</v>
      </c>
      <c r="F170" s="142" t="e">
        <f>IF('Informe Kelly'!H164=$A$3,'Informe Kelly'!F164,VLOOKUP(D170,$D$2:$F$4,3,FALSE))-(VLOOKUP(D170,$D$2:$F$4,3,FALSE))</f>
        <v>#N/A</v>
      </c>
      <c r="G170" s="137" t="e">
        <f t="shared" si="4"/>
        <v>#N/A</v>
      </c>
      <c r="J170" s="139" t="s">
        <v>537</v>
      </c>
      <c r="K170" s="140" t="e">
        <v>#N/A</v>
      </c>
      <c r="L170" s="112" t="e">
        <f>IF(J170="","",VLOOKUP(J170,Ingreso!K:AH,24,FALSE))</f>
        <v>#N/A</v>
      </c>
      <c r="M170" s="112" t="e">
        <f t="shared" si="5"/>
        <v>#N/A</v>
      </c>
    </row>
    <row r="171" spans="1:13">
      <c r="A171" s="112" t="str">
        <f>VLOOKUP('Informe Kelly'!A165,Base!A:B,2,FALSE)</f>
        <v>06.528.911-3</v>
      </c>
      <c r="B171" s="112" t="str">
        <f>VLOOKUP('Informe Kelly'!A165,Base!A:G,7,FALSE)</f>
        <v>PINO MARTINEZ CARLOS</v>
      </c>
      <c r="C171" s="112" t="str">
        <f>'Informe Kelly'!E165</f>
        <v>08.04.2011</v>
      </c>
      <c r="D171" s="112" t="e">
        <f>VLOOKUP(A171,Ingreso!K:P,6,FALSE)</f>
        <v>#N/A</v>
      </c>
      <c r="E171" s="142" t="e">
        <f>(VLOOKUP(D171,$D$2:$E$4,2,FALSE))-(IF('Informe Kelly'!H165=$A$2,'Informe Kelly'!F165,VLOOKUP(D171,$D$2:$E$4,2,FALSE)))</f>
        <v>#N/A</v>
      </c>
      <c r="F171" s="142" t="e">
        <f>IF('Informe Kelly'!H165=$A$3,'Informe Kelly'!F165,VLOOKUP(D171,$D$2:$F$4,3,FALSE))-(VLOOKUP(D171,$D$2:$F$4,3,FALSE))</f>
        <v>#N/A</v>
      </c>
      <c r="G171" s="137" t="e">
        <f t="shared" si="4"/>
        <v>#N/A</v>
      </c>
      <c r="J171" s="139" t="s">
        <v>195</v>
      </c>
      <c r="K171" s="140" t="e">
        <v>#N/A</v>
      </c>
      <c r="L171" s="112" t="e">
        <f>IF(J171="","",VLOOKUP(J171,Ingreso!K:AH,24,FALSE))</f>
        <v>#N/A</v>
      </c>
      <c r="M171" s="112" t="e">
        <f t="shared" si="5"/>
        <v>#N/A</v>
      </c>
    </row>
    <row r="172" spans="1:13">
      <c r="A172" s="112" t="str">
        <f>VLOOKUP('Informe Kelly'!A166,Base!A:B,2,FALSE)</f>
        <v>06.528.911-3</v>
      </c>
      <c r="B172" s="112" t="str">
        <f>VLOOKUP('Informe Kelly'!A166,Base!A:G,7,FALSE)</f>
        <v>PINO MARTINEZ CARLOS</v>
      </c>
      <c r="C172" s="112" t="str">
        <f>'Informe Kelly'!E166</f>
        <v>09.04.2011</v>
      </c>
      <c r="D172" s="112" t="e">
        <f>VLOOKUP(A172,Ingreso!K:P,6,FALSE)</f>
        <v>#N/A</v>
      </c>
      <c r="E172" s="142" t="e">
        <f>(VLOOKUP(D172,$D$2:$E$4,2,FALSE))-(IF('Informe Kelly'!H166=$A$2,'Informe Kelly'!F166,VLOOKUP(D172,$D$2:$E$4,2,FALSE)))</f>
        <v>#N/A</v>
      </c>
      <c r="F172" s="142" t="e">
        <f>IF('Informe Kelly'!H166=$A$3,'Informe Kelly'!F166,VLOOKUP(D172,$D$2:$F$4,3,FALSE))-(VLOOKUP(D172,$D$2:$F$4,3,FALSE))</f>
        <v>#N/A</v>
      </c>
      <c r="G172" s="137" t="e">
        <f t="shared" si="4"/>
        <v>#N/A</v>
      </c>
      <c r="J172" s="139" t="s">
        <v>635</v>
      </c>
      <c r="K172" s="140" t="e">
        <v>#N/A</v>
      </c>
      <c r="L172" s="112" t="e">
        <f>IF(J172="","",VLOOKUP(J172,Ingreso!K:AH,24,FALSE))</f>
        <v>#N/A</v>
      </c>
      <c r="M172" s="112" t="e">
        <f t="shared" si="5"/>
        <v>#N/A</v>
      </c>
    </row>
    <row r="173" spans="1:13">
      <c r="A173" s="112" t="str">
        <f>VLOOKUP('Informe Kelly'!A167,Base!A:B,2,FALSE)</f>
        <v>06.528.911-3</v>
      </c>
      <c r="B173" s="112" t="str">
        <f>VLOOKUP('Informe Kelly'!A167,Base!A:G,7,FALSE)</f>
        <v>PINO MARTINEZ CARLOS</v>
      </c>
      <c r="C173" s="112" t="str">
        <f>'Informe Kelly'!E167</f>
        <v>09.04.2011</v>
      </c>
      <c r="D173" s="112" t="e">
        <f>VLOOKUP(A173,Ingreso!K:P,6,FALSE)</f>
        <v>#N/A</v>
      </c>
      <c r="E173" s="142" t="e">
        <f>(VLOOKUP(D173,$D$2:$E$4,2,FALSE))-(IF('Informe Kelly'!H167=$A$2,'Informe Kelly'!F167,VLOOKUP(D173,$D$2:$E$4,2,FALSE)))</f>
        <v>#N/A</v>
      </c>
      <c r="F173" s="142" t="e">
        <f>IF('Informe Kelly'!H167=$A$3,'Informe Kelly'!F167,VLOOKUP(D173,$D$2:$F$4,3,FALSE))-(VLOOKUP(D173,$D$2:$F$4,3,FALSE))</f>
        <v>#N/A</v>
      </c>
      <c r="G173" s="137" t="e">
        <f t="shared" si="4"/>
        <v>#N/A</v>
      </c>
      <c r="J173" s="139" t="s">
        <v>1246</v>
      </c>
      <c r="K173" s="140" t="e">
        <v>#N/A</v>
      </c>
      <c r="L173" s="112" t="e">
        <f>IF(J173="","",VLOOKUP(J173,Ingreso!K:AH,24,FALSE))</f>
        <v>#N/A</v>
      </c>
      <c r="M173" s="112" t="e">
        <f t="shared" si="5"/>
        <v>#N/A</v>
      </c>
    </row>
    <row r="174" spans="1:13">
      <c r="A174" s="112" t="str">
        <f>VLOOKUP('Informe Kelly'!A168,Base!A:B,2,FALSE)</f>
        <v>06.646.724-4</v>
      </c>
      <c r="B174" s="112" t="str">
        <f>VLOOKUP('Informe Kelly'!A168,Base!A:G,7,FALSE)</f>
        <v>PALMA  SEREÑO,JUAN RAMON</v>
      </c>
      <c r="C174" s="112" t="str">
        <f>'Informe Kelly'!E168</f>
        <v>04.04.2011</v>
      </c>
      <c r="D174" s="112" t="e">
        <f>VLOOKUP(A174,Ingreso!K:P,6,FALSE)</f>
        <v>#N/A</v>
      </c>
      <c r="E174" s="142" t="e">
        <f>(VLOOKUP(D174,$D$2:$E$4,2,FALSE))-(IF('Informe Kelly'!H168=$A$2,'Informe Kelly'!F168,VLOOKUP(D174,$D$2:$E$4,2,FALSE)))</f>
        <v>#N/A</v>
      </c>
      <c r="F174" s="142" t="e">
        <f>IF('Informe Kelly'!H168=$A$3,'Informe Kelly'!F168,VLOOKUP(D174,$D$2:$F$4,3,FALSE))-(VLOOKUP(D174,$D$2:$F$4,3,FALSE))</f>
        <v>#N/A</v>
      </c>
      <c r="G174" s="137" t="e">
        <f t="shared" si="4"/>
        <v>#N/A</v>
      </c>
      <c r="J174" s="139" t="s">
        <v>772</v>
      </c>
      <c r="K174" s="140" t="e">
        <v>#N/A</v>
      </c>
      <c r="L174" s="112" t="e">
        <f>IF(J174="","",VLOOKUP(J174,Ingreso!K:AH,24,FALSE))</f>
        <v>#N/A</v>
      </c>
      <c r="M174" s="112" t="e">
        <f t="shared" si="5"/>
        <v>#N/A</v>
      </c>
    </row>
    <row r="175" spans="1:13">
      <c r="A175" s="112" t="str">
        <f>VLOOKUP('Informe Kelly'!A169,Base!A:B,2,FALSE)</f>
        <v>06.646.724-4</v>
      </c>
      <c r="B175" s="112" t="str">
        <f>VLOOKUP('Informe Kelly'!A169,Base!A:G,7,FALSE)</f>
        <v>PALMA  SEREÑO,JUAN RAMON</v>
      </c>
      <c r="C175" s="112" t="str">
        <f>'Informe Kelly'!E169</f>
        <v>04.04.2011</v>
      </c>
      <c r="D175" s="112" t="e">
        <f>VLOOKUP(A175,Ingreso!K:P,6,FALSE)</f>
        <v>#N/A</v>
      </c>
      <c r="E175" s="142" t="e">
        <f>(VLOOKUP(D175,$D$2:$E$4,2,FALSE))-(IF('Informe Kelly'!H169=$A$2,'Informe Kelly'!F169,VLOOKUP(D175,$D$2:$E$4,2,FALSE)))</f>
        <v>#N/A</v>
      </c>
      <c r="F175" s="142" t="e">
        <f>IF('Informe Kelly'!H169=$A$3,'Informe Kelly'!F169,VLOOKUP(D175,$D$2:$F$4,3,FALSE))-(VLOOKUP(D175,$D$2:$F$4,3,FALSE))</f>
        <v>#N/A</v>
      </c>
      <c r="G175" s="137" t="e">
        <f t="shared" si="4"/>
        <v>#N/A</v>
      </c>
      <c r="J175" s="139" t="s">
        <v>216</v>
      </c>
      <c r="K175" s="140" t="e">
        <v>#N/A</v>
      </c>
      <c r="L175" s="112" t="e">
        <f>IF(J175="","",VLOOKUP(J175,Ingreso!K:AH,24,FALSE))</f>
        <v>#N/A</v>
      </c>
      <c r="M175" s="112" t="e">
        <f t="shared" si="5"/>
        <v>#N/A</v>
      </c>
    </row>
    <row r="176" spans="1:13">
      <c r="A176" s="112" t="str">
        <f>VLOOKUP('Informe Kelly'!A170,Base!A:B,2,FALSE)</f>
        <v>06.646.724-4</v>
      </c>
      <c r="B176" s="112" t="str">
        <f>VLOOKUP('Informe Kelly'!A170,Base!A:G,7,FALSE)</f>
        <v>PALMA  SEREÑO,JUAN RAMON</v>
      </c>
      <c r="C176" s="112" t="str">
        <f>'Informe Kelly'!E170</f>
        <v>05.04.2011</v>
      </c>
      <c r="D176" s="112" t="e">
        <f>VLOOKUP(A176,Ingreso!K:P,6,FALSE)</f>
        <v>#N/A</v>
      </c>
      <c r="E176" s="142" t="e">
        <f>(VLOOKUP(D176,$D$2:$E$4,2,FALSE))-(IF('Informe Kelly'!H170=$A$2,'Informe Kelly'!F170,VLOOKUP(D176,$D$2:$E$4,2,FALSE)))</f>
        <v>#N/A</v>
      </c>
      <c r="F176" s="142" t="e">
        <f>IF('Informe Kelly'!H170=$A$3,'Informe Kelly'!F170,VLOOKUP(D176,$D$2:$F$4,3,FALSE))-(VLOOKUP(D176,$D$2:$F$4,3,FALSE))</f>
        <v>#N/A</v>
      </c>
      <c r="G176" s="137" t="e">
        <f t="shared" si="4"/>
        <v>#N/A</v>
      </c>
      <c r="J176" s="139" t="s">
        <v>329</v>
      </c>
      <c r="K176" s="140" t="e">
        <v>#N/A</v>
      </c>
      <c r="L176" s="112" t="e">
        <f>IF(J176="","",VLOOKUP(J176,Ingreso!K:AH,24,FALSE))</f>
        <v>#N/A</v>
      </c>
      <c r="M176" s="112" t="e">
        <f t="shared" si="5"/>
        <v>#N/A</v>
      </c>
    </row>
    <row r="177" spans="1:13">
      <c r="A177" s="112" t="str">
        <f>VLOOKUP('Informe Kelly'!A171,Base!A:B,2,FALSE)</f>
        <v>06.646.724-4</v>
      </c>
      <c r="B177" s="112" t="str">
        <f>VLOOKUP('Informe Kelly'!A171,Base!A:G,7,FALSE)</f>
        <v>PALMA  SEREÑO,JUAN RAMON</v>
      </c>
      <c r="C177" s="112" t="str">
        <f>'Informe Kelly'!E171</f>
        <v>05.04.2011</v>
      </c>
      <c r="D177" s="112" t="e">
        <f>VLOOKUP(A177,Ingreso!K:P,6,FALSE)</f>
        <v>#N/A</v>
      </c>
      <c r="E177" s="142" t="e">
        <f>(VLOOKUP(D177,$D$2:$E$4,2,FALSE))-(IF('Informe Kelly'!H171=$A$2,'Informe Kelly'!F171,VLOOKUP(D177,$D$2:$E$4,2,FALSE)))</f>
        <v>#N/A</v>
      </c>
      <c r="F177" s="142" t="e">
        <f>IF('Informe Kelly'!H171=$A$3,'Informe Kelly'!F171,VLOOKUP(D177,$D$2:$F$4,3,FALSE))-(VLOOKUP(D177,$D$2:$F$4,3,FALSE))</f>
        <v>#N/A</v>
      </c>
      <c r="G177" s="137" t="e">
        <f t="shared" si="4"/>
        <v>#N/A</v>
      </c>
      <c r="J177" s="139" t="s">
        <v>1109</v>
      </c>
      <c r="K177" s="140" t="e">
        <v>#N/A</v>
      </c>
      <c r="L177" s="112" t="e">
        <f>IF(J177="","",VLOOKUP(J177,Ingreso!K:AH,24,FALSE))</f>
        <v>#N/A</v>
      </c>
      <c r="M177" s="112" t="e">
        <f t="shared" si="5"/>
        <v>#N/A</v>
      </c>
    </row>
    <row r="178" spans="1:13">
      <c r="A178" s="112" t="str">
        <f>VLOOKUP('Informe Kelly'!A172,Base!A:B,2,FALSE)</f>
        <v>06.646.724-4</v>
      </c>
      <c r="B178" s="112" t="str">
        <f>VLOOKUP('Informe Kelly'!A172,Base!A:G,7,FALSE)</f>
        <v>PALMA  SEREÑO,JUAN RAMON</v>
      </c>
      <c r="C178" s="112" t="str">
        <f>'Informe Kelly'!E172</f>
        <v>06.04.2011</v>
      </c>
      <c r="D178" s="112" t="e">
        <f>VLOOKUP(A178,Ingreso!K:P,6,FALSE)</f>
        <v>#N/A</v>
      </c>
      <c r="E178" s="142" t="e">
        <f>(VLOOKUP(D178,$D$2:$E$4,2,FALSE))-(IF('Informe Kelly'!H172=$A$2,'Informe Kelly'!F172,VLOOKUP(D178,$D$2:$E$4,2,FALSE)))</f>
        <v>#N/A</v>
      </c>
      <c r="F178" s="142" t="e">
        <f>IF('Informe Kelly'!H172=$A$3,'Informe Kelly'!F172,VLOOKUP(D178,$D$2:$F$4,3,FALSE))-(VLOOKUP(D178,$D$2:$F$4,3,FALSE))</f>
        <v>#N/A</v>
      </c>
      <c r="G178" s="137" t="e">
        <f t="shared" si="4"/>
        <v>#N/A</v>
      </c>
      <c r="J178" s="139" t="s">
        <v>906</v>
      </c>
      <c r="K178" s="140" t="e">
        <v>#N/A</v>
      </c>
      <c r="L178" s="112" t="e">
        <f>IF(J178="","",VLOOKUP(J178,Ingreso!K:AH,24,FALSE))</f>
        <v>#N/A</v>
      </c>
      <c r="M178" s="112" t="e">
        <f t="shared" si="5"/>
        <v>#N/A</v>
      </c>
    </row>
    <row r="179" spans="1:13">
      <c r="A179" s="112" t="str">
        <f>VLOOKUP('Informe Kelly'!A173,Base!A:B,2,FALSE)</f>
        <v>06.646.724-4</v>
      </c>
      <c r="B179" s="112" t="str">
        <f>VLOOKUP('Informe Kelly'!A173,Base!A:G,7,FALSE)</f>
        <v>PALMA  SEREÑO,JUAN RAMON</v>
      </c>
      <c r="C179" s="112" t="str">
        <f>'Informe Kelly'!E173</f>
        <v>06.04.2011</v>
      </c>
      <c r="D179" s="112" t="e">
        <f>VLOOKUP(A179,Ingreso!K:P,6,FALSE)</f>
        <v>#N/A</v>
      </c>
      <c r="E179" s="142" t="e">
        <f>(VLOOKUP(D179,$D$2:$E$4,2,FALSE))-(IF('Informe Kelly'!H173=$A$2,'Informe Kelly'!F173,VLOOKUP(D179,$D$2:$E$4,2,FALSE)))</f>
        <v>#N/A</v>
      </c>
      <c r="F179" s="142" t="e">
        <f>IF('Informe Kelly'!H173=$A$3,'Informe Kelly'!F173,VLOOKUP(D179,$D$2:$F$4,3,FALSE))-(VLOOKUP(D179,$D$2:$F$4,3,FALSE))</f>
        <v>#N/A</v>
      </c>
      <c r="G179" s="137" t="e">
        <f t="shared" si="4"/>
        <v>#N/A</v>
      </c>
      <c r="J179" s="139" t="s">
        <v>1054</v>
      </c>
      <c r="K179" s="140" t="e">
        <v>#N/A</v>
      </c>
      <c r="L179" s="112" t="e">
        <f>IF(J179="","",VLOOKUP(J179,Ingreso!K:AH,24,FALSE))</f>
        <v>#N/A</v>
      </c>
      <c r="M179" s="112" t="e">
        <f t="shared" si="5"/>
        <v>#N/A</v>
      </c>
    </row>
    <row r="180" spans="1:13">
      <c r="A180" s="112" t="str">
        <f>VLOOKUP('Informe Kelly'!A174,Base!A:B,2,FALSE)</f>
        <v>06.646.724-4</v>
      </c>
      <c r="B180" s="112" t="str">
        <f>VLOOKUP('Informe Kelly'!A174,Base!A:G,7,FALSE)</f>
        <v>PALMA  SEREÑO,JUAN RAMON</v>
      </c>
      <c r="C180" s="112" t="str">
        <f>'Informe Kelly'!E174</f>
        <v>07.04.2011</v>
      </c>
      <c r="D180" s="112" t="e">
        <f>VLOOKUP(A180,Ingreso!K:P,6,FALSE)</f>
        <v>#N/A</v>
      </c>
      <c r="E180" s="142" t="e">
        <f>(VLOOKUP(D180,$D$2:$E$4,2,FALSE))-(IF('Informe Kelly'!H174=$A$2,'Informe Kelly'!F174,VLOOKUP(D180,$D$2:$E$4,2,FALSE)))</f>
        <v>#N/A</v>
      </c>
      <c r="F180" s="142" t="e">
        <f>IF('Informe Kelly'!H174=$A$3,'Informe Kelly'!F174,VLOOKUP(D180,$D$2:$F$4,3,FALSE))-(VLOOKUP(D180,$D$2:$F$4,3,FALSE))</f>
        <v>#N/A</v>
      </c>
      <c r="G180" s="137" t="e">
        <f t="shared" si="4"/>
        <v>#N/A</v>
      </c>
      <c r="J180" s="139" t="s">
        <v>1302</v>
      </c>
      <c r="K180" s="140" t="e">
        <v>#N/A</v>
      </c>
      <c r="L180" s="112" t="e">
        <f>IF(J180="","",VLOOKUP(J180,Ingreso!K:AH,24,FALSE))</f>
        <v>#N/A</v>
      </c>
      <c r="M180" s="112" t="e">
        <f t="shared" si="5"/>
        <v>#N/A</v>
      </c>
    </row>
    <row r="181" spans="1:13">
      <c r="A181" s="112" t="str">
        <f>VLOOKUP('Informe Kelly'!A175,Base!A:B,2,FALSE)</f>
        <v>06.646.724-4</v>
      </c>
      <c r="B181" s="112" t="str">
        <f>VLOOKUP('Informe Kelly'!A175,Base!A:G,7,FALSE)</f>
        <v>PALMA  SEREÑO,JUAN RAMON</v>
      </c>
      <c r="C181" s="112" t="str">
        <f>'Informe Kelly'!E175</f>
        <v>07.04.2011</v>
      </c>
      <c r="D181" s="112" t="e">
        <f>VLOOKUP(A181,Ingreso!K:P,6,FALSE)</f>
        <v>#N/A</v>
      </c>
      <c r="E181" s="142" t="e">
        <f>(VLOOKUP(D181,$D$2:$E$4,2,FALSE))-(IF('Informe Kelly'!H175=$A$2,'Informe Kelly'!F175,VLOOKUP(D181,$D$2:$E$4,2,FALSE)))</f>
        <v>#N/A</v>
      </c>
      <c r="F181" s="142" t="e">
        <f>IF('Informe Kelly'!H175=$A$3,'Informe Kelly'!F175,VLOOKUP(D181,$D$2:$F$4,3,FALSE))-(VLOOKUP(D181,$D$2:$F$4,3,FALSE))</f>
        <v>#N/A</v>
      </c>
      <c r="G181" s="137" t="e">
        <f t="shared" si="4"/>
        <v>#N/A</v>
      </c>
      <c r="J181" s="139" t="s">
        <v>1147</v>
      </c>
      <c r="K181" s="140" t="e">
        <v>#N/A</v>
      </c>
      <c r="L181" s="112" t="e">
        <f>IF(J181="","",VLOOKUP(J181,Ingreso!K:AH,24,FALSE))</f>
        <v>#N/A</v>
      </c>
      <c r="M181" s="112" t="e">
        <f t="shared" si="5"/>
        <v>#N/A</v>
      </c>
    </row>
    <row r="182" spans="1:13">
      <c r="A182" s="112" t="str">
        <f>VLOOKUP('Informe Kelly'!A176,Base!A:B,2,FALSE)</f>
        <v>06.646.724-4</v>
      </c>
      <c r="B182" s="112" t="str">
        <f>VLOOKUP('Informe Kelly'!A176,Base!A:G,7,FALSE)</f>
        <v>PALMA  SEREÑO,JUAN RAMON</v>
      </c>
      <c r="C182" s="112" t="str">
        <f>'Informe Kelly'!E176</f>
        <v>08.04.2011</v>
      </c>
      <c r="D182" s="112" t="e">
        <f>VLOOKUP(A182,Ingreso!K:P,6,FALSE)</f>
        <v>#N/A</v>
      </c>
      <c r="E182" s="142" t="e">
        <f>(VLOOKUP(D182,$D$2:$E$4,2,FALSE))-(IF('Informe Kelly'!H176=$A$2,'Informe Kelly'!F176,VLOOKUP(D182,$D$2:$E$4,2,FALSE)))</f>
        <v>#N/A</v>
      </c>
      <c r="F182" s="142" t="e">
        <f>IF('Informe Kelly'!H176=$A$3,'Informe Kelly'!F176,VLOOKUP(D182,$D$2:$F$4,3,FALSE))-(VLOOKUP(D182,$D$2:$F$4,3,FALSE))</f>
        <v>#N/A</v>
      </c>
      <c r="G182" s="137" t="e">
        <f t="shared" si="4"/>
        <v>#N/A</v>
      </c>
      <c r="J182" s="139" t="s">
        <v>371</v>
      </c>
      <c r="K182" s="140" t="e">
        <v>#N/A</v>
      </c>
      <c r="L182" s="112" t="e">
        <f>IF(J182="","",VLOOKUP(J182,Ingreso!K:AH,24,FALSE))</f>
        <v>#N/A</v>
      </c>
      <c r="M182" s="112" t="e">
        <f t="shared" si="5"/>
        <v>#N/A</v>
      </c>
    </row>
    <row r="183" spans="1:13">
      <c r="A183" s="112" t="str">
        <f>VLOOKUP('Informe Kelly'!A177,Base!A:B,2,FALSE)</f>
        <v>06.646.724-4</v>
      </c>
      <c r="B183" s="112" t="str">
        <f>VLOOKUP('Informe Kelly'!A177,Base!A:G,7,FALSE)</f>
        <v>PALMA  SEREÑO,JUAN RAMON</v>
      </c>
      <c r="C183" s="112" t="str">
        <f>'Informe Kelly'!E177</f>
        <v>08.04.2011</v>
      </c>
      <c r="D183" s="112" t="e">
        <f>VLOOKUP(A183,Ingreso!K:P,6,FALSE)</f>
        <v>#N/A</v>
      </c>
      <c r="E183" s="142" t="e">
        <f>(VLOOKUP(D183,$D$2:$E$4,2,FALSE))-(IF('Informe Kelly'!H177=$A$2,'Informe Kelly'!F177,VLOOKUP(D183,$D$2:$E$4,2,FALSE)))</f>
        <v>#N/A</v>
      </c>
      <c r="F183" s="142" t="e">
        <f>IF('Informe Kelly'!H177=$A$3,'Informe Kelly'!F177,VLOOKUP(D183,$D$2:$F$4,3,FALSE))-(VLOOKUP(D183,$D$2:$F$4,3,FALSE))</f>
        <v>#N/A</v>
      </c>
      <c r="G183" s="137" t="e">
        <f t="shared" si="4"/>
        <v>#N/A</v>
      </c>
      <c r="J183" s="139" t="s">
        <v>518</v>
      </c>
      <c r="K183" s="140" t="e">
        <v>#N/A</v>
      </c>
      <c r="L183" s="112" t="e">
        <f>IF(J183="","",VLOOKUP(J183,Ingreso!K:AH,24,FALSE))</f>
        <v>#N/A</v>
      </c>
      <c r="M183" s="112" t="e">
        <f t="shared" si="5"/>
        <v>#N/A</v>
      </c>
    </row>
    <row r="184" spans="1:13">
      <c r="A184" s="112" t="str">
        <f>VLOOKUP('Informe Kelly'!A178,Base!A:B,2,FALSE)</f>
        <v>06.646.724-4</v>
      </c>
      <c r="B184" s="112" t="str">
        <f>VLOOKUP('Informe Kelly'!A178,Base!A:G,7,FALSE)</f>
        <v>PALMA  SEREÑO,JUAN RAMON</v>
      </c>
      <c r="C184" s="112" t="str">
        <f>'Informe Kelly'!E178</f>
        <v>09.04.2011</v>
      </c>
      <c r="D184" s="112" t="e">
        <f>VLOOKUP(A184,Ingreso!K:P,6,FALSE)</f>
        <v>#N/A</v>
      </c>
      <c r="E184" s="142" t="e">
        <f>(VLOOKUP(D184,$D$2:$E$4,2,FALSE))-(IF('Informe Kelly'!H178=$A$2,'Informe Kelly'!F178,VLOOKUP(D184,$D$2:$E$4,2,FALSE)))</f>
        <v>#N/A</v>
      </c>
      <c r="F184" s="142" t="e">
        <f>IF('Informe Kelly'!H178=$A$3,'Informe Kelly'!F178,VLOOKUP(D184,$D$2:$F$4,3,FALSE))-(VLOOKUP(D184,$D$2:$F$4,3,FALSE))</f>
        <v>#N/A</v>
      </c>
      <c r="G184" s="137" t="e">
        <f t="shared" si="4"/>
        <v>#N/A</v>
      </c>
      <c r="J184" s="139" t="s">
        <v>968</v>
      </c>
      <c r="K184" s="140" t="e">
        <v>#N/A</v>
      </c>
      <c r="L184" s="112" t="e">
        <f>IF(J184="","",VLOOKUP(J184,Ingreso!K:AH,24,FALSE))</f>
        <v>#N/A</v>
      </c>
      <c r="M184" s="112" t="e">
        <f t="shared" si="5"/>
        <v>#N/A</v>
      </c>
    </row>
    <row r="185" spans="1:13">
      <c r="A185" s="112" t="str">
        <f>VLOOKUP('Informe Kelly'!A179,Base!A:B,2,FALSE)</f>
        <v>06.646.724-4</v>
      </c>
      <c r="B185" s="112" t="str">
        <f>VLOOKUP('Informe Kelly'!A179,Base!A:G,7,FALSE)</f>
        <v>PALMA  SEREÑO,JUAN RAMON</v>
      </c>
      <c r="C185" s="112" t="str">
        <f>'Informe Kelly'!E179</f>
        <v>09.04.2011</v>
      </c>
      <c r="D185" s="112" t="e">
        <f>VLOOKUP(A185,Ingreso!K:P,6,FALSE)</f>
        <v>#N/A</v>
      </c>
      <c r="E185" s="142" t="e">
        <f>(VLOOKUP(D185,$D$2:$E$4,2,FALSE))-(IF('Informe Kelly'!H179=$A$2,'Informe Kelly'!F179,VLOOKUP(D185,$D$2:$E$4,2,FALSE)))</f>
        <v>#N/A</v>
      </c>
      <c r="F185" s="142" t="e">
        <f>IF('Informe Kelly'!H179=$A$3,'Informe Kelly'!F179,VLOOKUP(D185,$D$2:$F$4,3,FALSE))-(VLOOKUP(D185,$D$2:$F$4,3,FALSE))</f>
        <v>#N/A</v>
      </c>
      <c r="G185" s="137" t="e">
        <f t="shared" si="4"/>
        <v>#N/A</v>
      </c>
      <c r="J185" s="139" t="s">
        <v>1210</v>
      </c>
      <c r="K185" s="140" t="e">
        <v>#N/A</v>
      </c>
      <c r="L185" s="112" t="e">
        <f>IF(J185="","",VLOOKUP(J185,Ingreso!K:AH,24,FALSE))</f>
        <v>#N/A</v>
      </c>
      <c r="M185" s="112" t="e">
        <f t="shared" si="5"/>
        <v>#N/A</v>
      </c>
    </row>
    <row r="186" spans="1:13">
      <c r="A186" s="112" t="str">
        <f>VLOOKUP('Informe Kelly'!A180,Base!A:B,2,FALSE)</f>
        <v>06.933.508-K</v>
      </c>
      <c r="B186" s="112" t="str">
        <f>VLOOKUP('Informe Kelly'!A180,Base!A:G,7,FALSE)</f>
        <v>CABELLO DIAZ JUAN RAMON</v>
      </c>
      <c r="C186" s="112" t="str">
        <f>'Informe Kelly'!E180</f>
        <v>04.04.2011</v>
      </c>
      <c r="D186" s="112" t="e">
        <f>VLOOKUP(A186,Ingreso!K:P,6,FALSE)</f>
        <v>#N/A</v>
      </c>
      <c r="E186" s="142" t="e">
        <f>(VLOOKUP(D186,$D$2:$E$4,2,FALSE))-(IF('Informe Kelly'!H180=$A$2,'Informe Kelly'!F180,VLOOKUP(D186,$D$2:$E$4,2,FALSE)))</f>
        <v>#N/A</v>
      </c>
      <c r="F186" s="142" t="e">
        <f>IF('Informe Kelly'!H180=$A$3,'Informe Kelly'!F180,VLOOKUP(D186,$D$2:$F$4,3,FALSE))-(VLOOKUP(D186,$D$2:$F$4,3,FALSE))</f>
        <v>#N/A</v>
      </c>
      <c r="G186" s="137" t="e">
        <f t="shared" si="4"/>
        <v>#N/A</v>
      </c>
      <c r="J186" s="139" t="s">
        <v>1095</v>
      </c>
      <c r="K186" s="140" t="e">
        <v>#N/A</v>
      </c>
      <c r="L186" s="112" t="e">
        <f>IF(J186="","",VLOOKUP(J186,Ingreso!K:AH,24,FALSE))</f>
        <v>#N/A</v>
      </c>
      <c r="M186" s="112" t="e">
        <f t="shared" si="5"/>
        <v>#N/A</v>
      </c>
    </row>
    <row r="187" spans="1:13">
      <c r="A187" s="112" t="str">
        <f>VLOOKUP('Informe Kelly'!A181,Base!A:B,2,FALSE)</f>
        <v>06.933.508-K</v>
      </c>
      <c r="B187" s="112" t="str">
        <f>VLOOKUP('Informe Kelly'!A181,Base!A:G,7,FALSE)</f>
        <v>CABELLO DIAZ JUAN RAMON</v>
      </c>
      <c r="C187" s="112" t="str">
        <f>'Informe Kelly'!E181</f>
        <v>04.04.2011</v>
      </c>
      <c r="D187" s="112" t="e">
        <f>VLOOKUP(A187,Ingreso!K:P,6,FALSE)</f>
        <v>#N/A</v>
      </c>
      <c r="E187" s="142" t="e">
        <f>(VLOOKUP(D187,$D$2:$E$4,2,FALSE))-(IF('Informe Kelly'!H181=$A$2,'Informe Kelly'!F181,VLOOKUP(D187,$D$2:$E$4,2,FALSE)))</f>
        <v>#N/A</v>
      </c>
      <c r="F187" s="142" t="e">
        <f>IF('Informe Kelly'!H181=$A$3,'Informe Kelly'!F181,VLOOKUP(D187,$D$2:$F$4,3,FALSE))-(VLOOKUP(D187,$D$2:$F$4,3,FALSE))</f>
        <v>#N/A</v>
      </c>
      <c r="G187" s="137" t="e">
        <f t="shared" si="4"/>
        <v>#N/A</v>
      </c>
      <c r="J187" s="139" t="s">
        <v>1311</v>
      </c>
      <c r="K187" s="140" t="e">
        <v>#N/A</v>
      </c>
      <c r="L187" s="112" t="e">
        <f>IF(J187="","",VLOOKUP(J187,Ingreso!K:AH,24,FALSE))</f>
        <v>#N/A</v>
      </c>
      <c r="M187" s="112" t="e">
        <f t="shared" si="5"/>
        <v>#N/A</v>
      </c>
    </row>
    <row r="188" spans="1:13">
      <c r="A188" s="112" t="str">
        <f>VLOOKUP('Informe Kelly'!A182,Base!A:B,2,FALSE)</f>
        <v>06.933.508-K</v>
      </c>
      <c r="B188" s="112" t="str">
        <f>VLOOKUP('Informe Kelly'!A182,Base!A:G,7,FALSE)</f>
        <v>CABELLO DIAZ JUAN RAMON</v>
      </c>
      <c r="C188" s="112" t="str">
        <f>'Informe Kelly'!E182</f>
        <v>05.04.2011</v>
      </c>
      <c r="D188" s="112" t="e">
        <f>VLOOKUP(A188,Ingreso!K:P,6,FALSE)</f>
        <v>#N/A</v>
      </c>
      <c r="E188" s="142" t="e">
        <f>(VLOOKUP(D188,$D$2:$E$4,2,FALSE))-(IF('Informe Kelly'!H182=$A$2,'Informe Kelly'!F182,VLOOKUP(D188,$D$2:$E$4,2,FALSE)))</f>
        <v>#N/A</v>
      </c>
      <c r="F188" s="142" t="e">
        <f>IF('Informe Kelly'!H182=$A$3,'Informe Kelly'!F182,VLOOKUP(D188,$D$2:$F$4,3,FALSE))-(VLOOKUP(D188,$D$2:$F$4,3,FALSE))</f>
        <v>#N/A</v>
      </c>
      <c r="G188" s="137" t="e">
        <f t="shared" si="4"/>
        <v>#N/A</v>
      </c>
      <c r="J188" s="139" t="s">
        <v>1078</v>
      </c>
      <c r="K188" s="140" t="e">
        <v>#N/A</v>
      </c>
      <c r="L188" s="112" t="e">
        <f>IF(J188="","",VLOOKUP(J188,Ingreso!K:AH,24,FALSE))</f>
        <v>#N/A</v>
      </c>
      <c r="M188" s="112" t="e">
        <f t="shared" si="5"/>
        <v>#N/A</v>
      </c>
    </row>
    <row r="189" spans="1:13">
      <c r="A189" s="112" t="str">
        <f>VLOOKUP('Informe Kelly'!A183,Base!A:B,2,FALSE)</f>
        <v>06.933.508-K</v>
      </c>
      <c r="B189" s="112" t="str">
        <f>VLOOKUP('Informe Kelly'!A183,Base!A:G,7,FALSE)</f>
        <v>CABELLO DIAZ JUAN RAMON</v>
      </c>
      <c r="C189" s="112" t="str">
        <f>'Informe Kelly'!E183</f>
        <v>05.04.2011</v>
      </c>
      <c r="D189" s="112" t="e">
        <f>VLOOKUP(A189,Ingreso!K:P,6,FALSE)</f>
        <v>#N/A</v>
      </c>
      <c r="E189" s="142" t="e">
        <f>(VLOOKUP(D189,$D$2:$E$4,2,FALSE))-(IF('Informe Kelly'!H183=$A$2,'Informe Kelly'!F183,VLOOKUP(D189,$D$2:$E$4,2,FALSE)))</f>
        <v>#N/A</v>
      </c>
      <c r="F189" s="142" t="e">
        <f>IF('Informe Kelly'!H183=$A$3,'Informe Kelly'!F183,VLOOKUP(D189,$D$2:$F$4,3,FALSE))-(VLOOKUP(D189,$D$2:$F$4,3,FALSE))</f>
        <v>#N/A</v>
      </c>
      <c r="G189" s="137" t="e">
        <f t="shared" si="4"/>
        <v>#N/A</v>
      </c>
      <c r="J189" s="139" t="s">
        <v>709</v>
      </c>
      <c r="K189" s="140" t="e">
        <v>#N/A</v>
      </c>
      <c r="L189" s="112" t="e">
        <f>IF(J189="","",VLOOKUP(J189,Ingreso!K:AH,24,FALSE))</f>
        <v>#N/A</v>
      </c>
      <c r="M189" s="112" t="e">
        <f t="shared" si="5"/>
        <v>#N/A</v>
      </c>
    </row>
    <row r="190" spans="1:13">
      <c r="A190" s="112" t="str">
        <f>VLOOKUP('Informe Kelly'!A184,Base!A:B,2,FALSE)</f>
        <v>06.933.508-K</v>
      </c>
      <c r="B190" s="112" t="str">
        <f>VLOOKUP('Informe Kelly'!A184,Base!A:G,7,FALSE)</f>
        <v>CABELLO DIAZ JUAN RAMON</v>
      </c>
      <c r="C190" s="112" t="str">
        <f>'Informe Kelly'!E184</f>
        <v>06.04.2011</v>
      </c>
      <c r="D190" s="112" t="e">
        <f>VLOOKUP(A190,Ingreso!K:P,6,FALSE)</f>
        <v>#N/A</v>
      </c>
      <c r="E190" s="142" t="e">
        <f>(VLOOKUP(D190,$D$2:$E$4,2,FALSE))-(IF('Informe Kelly'!H184=$A$2,'Informe Kelly'!F184,VLOOKUP(D190,$D$2:$E$4,2,FALSE)))</f>
        <v>#N/A</v>
      </c>
      <c r="F190" s="142" t="e">
        <f>IF('Informe Kelly'!H184=$A$3,'Informe Kelly'!F184,VLOOKUP(D190,$D$2:$F$4,3,FALSE))-(VLOOKUP(D190,$D$2:$F$4,3,FALSE))</f>
        <v>#N/A</v>
      </c>
      <c r="G190" s="137" t="e">
        <f t="shared" si="4"/>
        <v>#N/A</v>
      </c>
      <c r="J190" s="139" t="s">
        <v>1151</v>
      </c>
      <c r="K190" s="140" t="e">
        <v>#N/A</v>
      </c>
      <c r="L190" s="112" t="e">
        <f>IF(J190="","",VLOOKUP(J190,Ingreso!K:AH,24,FALSE))</f>
        <v>#N/A</v>
      </c>
      <c r="M190" s="112" t="e">
        <f t="shared" si="5"/>
        <v>#N/A</v>
      </c>
    </row>
    <row r="191" spans="1:13">
      <c r="A191" s="112" t="str">
        <f>VLOOKUP('Informe Kelly'!A185,Base!A:B,2,FALSE)</f>
        <v>06.933.508-K</v>
      </c>
      <c r="B191" s="112" t="str">
        <f>VLOOKUP('Informe Kelly'!A185,Base!A:G,7,FALSE)</f>
        <v>CABELLO DIAZ JUAN RAMON</v>
      </c>
      <c r="C191" s="112" t="str">
        <f>'Informe Kelly'!E185</f>
        <v>06.04.2011</v>
      </c>
      <c r="D191" s="112" t="e">
        <f>VLOOKUP(A191,Ingreso!K:P,6,FALSE)</f>
        <v>#N/A</v>
      </c>
      <c r="E191" s="142" t="e">
        <f>(VLOOKUP(D191,$D$2:$E$4,2,FALSE))-(IF('Informe Kelly'!H185=$A$2,'Informe Kelly'!F185,VLOOKUP(D191,$D$2:$E$4,2,FALSE)))</f>
        <v>#N/A</v>
      </c>
      <c r="F191" s="142" t="e">
        <f>IF('Informe Kelly'!H185=$A$3,'Informe Kelly'!F185,VLOOKUP(D191,$D$2:$F$4,3,FALSE))-(VLOOKUP(D191,$D$2:$F$4,3,FALSE))</f>
        <v>#N/A</v>
      </c>
      <c r="G191" s="137" t="e">
        <f t="shared" si="4"/>
        <v>#N/A</v>
      </c>
      <c r="J191" s="139" t="s">
        <v>1267</v>
      </c>
      <c r="K191" s="140" t="e">
        <v>#N/A</v>
      </c>
      <c r="L191" s="112" t="e">
        <f>IF(J191="","",VLOOKUP(J191,Ingreso!K:AH,24,FALSE))</f>
        <v>#N/A</v>
      </c>
      <c r="M191" s="112" t="e">
        <f t="shared" si="5"/>
        <v>#N/A</v>
      </c>
    </row>
    <row r="192" spans="1:13">
      <c r="A192" s="112" t="str">
        <f>VLOOKUP('Informe Kelly'!A186,Base!A:B,2,FALSE)</f>
        <v>06.933.508-K</v>
      </c>
      <c r="B192" s="112" t="str">
        <f>VLOOKUP('Informe Kelly'!A186,Base!A:G,7,FALSE)</f>
        <v>CABELLO DIAZ JUAN RAMON</v>
      </c>
      <c r="C192" s="112" t="str">
        <f>'Informe Kelly'!E186</f>
        <v>07.04.2011</v>
      </c>
      <c r="D192" s="112" t="e">
        <f>VLOOKUP(A192,Ingreso!K:P,6,FALSE)</f>
        <v>#N/A</v>
      </c>
      <c r="E192" s="142" t="e">
        <f>(VLOOKUP(D192,$D$2:$E$4,2,FALSE))-(IF('Informe Kelly'!H186=$A$2,'Informe Kelly'!F186,VLOOKUP(D192,$D$2:$E$4,2,FALSE)))</f>
        <v>#N/A</v>
      </c>
      <c r="F192" s="142" t="e">
        <f>IF('Informe Kelly'!H186=$A$3,'Informe Kelly'!F186,VLOOKUP(D192,$D$2:$F$4,3,FALSE))-(VLOOKUP(D192,$D$2:$F$4,3,FALSE))</f>
        <v>#N/A</v>
      </c>
      <c r="G192" s="137" t="e">
        <f t="shared" si="4"/>
        <v>#N/A</v>
      </c>
      <c r="J192" s="139" t="s">
        <v>1281</v>
      </c>
      <c r="K192" s="140" t="e">
        <v>#N/A</v>
      </c>
      <c r="L192" s="112" t="e">
        <f>IF(J192="","",VLOOKUP(J192,Ingreso!K:AH,24,FALSE))</f>
        <v>#N/A</v>
      </c>
      <c r="M192" s="112" t="e">
        <f t="shared" si="5"/>
        <v>#N/A</v>
      </c>
    </row>
    <row r="193" spans="1:13">
      <c r="A193" s="112" t="str">
        <f>VLOOKUP('Informe Kelly'!A187,Base!A:B,2,FALSE)</f>
        <v>06.933.508-K</v>
      </c>
      <c r="B193" s="112" t="str">
        <f>VLOOKUP('Informe Kelly'!A187,Base!A:G,7,FALSE)</f>
        <v>CABELLO DIAZ JUAN RAMON</v>
      </c>
      <c r="C193" s="112" t="str">
        <f>'Informe Kelly'!E187</f>
        <v>07.04.2011</v>
      </c>
      <c r="D193" s="112" t="e">
        <f>VLOOKUP(A193,Ingreso!K:P,6,FALSE)</f>
        <v>#N/A</v>
      </c>
      <c r="E193" s="142" t="e">
        <f>(VLOOKUP(D193,$D$2:$E$4,2,FALSE))-(IF('Informe Kelly'!H187=$A$2,'Informe Kelly'!F187,VLOOKUP(D193,$D$2:$E$4,2,FALSE)))</f>
        <v>#N/A</v>
      </c>
      <c r="F193" s="142" t="e">
        <f>IF('Informe Kelly'!H187=$A$3,'Informe Kelly'!F187,VLOOKUP(D193,$D$2:$F$4,3,FALSE))-(VLOOKUP(D193,$D$2:$F$4,3,FALSE))</f>
        <v>#N/A</v>
      </c>
      <c r="G193" s="137" t="e">
        <f t="shared" si="4"/>
        <v>#N/A</v>
      </c>
      <c r="J193" s="139" t="s">
        <v>892</v>
      </c>
      <c r="K193" s="140" t="e">
        <v>#N/A</v>
      </c>
      <c r="L193" s="112" t="e">
        <f>IF(J193="","",VLOOKUP(J193,Ingreso!K:AH,24,FALSE))</f>
        <v>#N/A</v>
      </c>
      <c r="M193" s="112" t="e">
        <f t="shared" si="5"/>
        <v>#N/A</v>
      </c>
    </row>
    <row r="194" spans="1:13">
      <c r="A194" s="112" t="str">
        <f>VLOOKUP('Informe Kelly'!A188,Base!A:B,2,FALSE)</f>
        <v>06.933.508-K</v>
      </c>
      <c r="B194" s="112" t="str">
        <f>VLOOKUP('Informe Kelly'!A188,Base!A:G,7,FALSE)</f>
        <v>CABELLO DIAZ JUAN RAMON</v>
      </c>
      <c r="C194" s="112" t="str">
        <f>'Informe Kelly'!E188</f>
        <v>08.04.2011</v>
      </c>
      <c r="D194" s="112" t="e">
        <f>VLOOKUP(A194,Ingreso!K:P,6,FALSE)</f>
        <v>#N/A</v>
      </c>
      <c r="E194" s="142" t="e">
        <f>(VLOOKUP(D194,$D$2:$E$4,2,FALSE))-(IF('Informe Kelly'!H188=$A$2,'Informe Kelly'!F188,VLOOKUP(D194,$D$2:$E$4,2,FALSE)))</f>
        <v>#N/A</v>
      </c>
      <c r="F194" s="142" t="e">
        <f>IF('Informe Kelly'!H188=$A$3,'Informe Kelly'!F188,VLOOKUP(D194,$D$2:$F$4,3,FALSE))-(VLOOKUP(D194,$D$2:$F$4,3,FALSE))</f>
        <v>#N/A</v>
      </c>
      <c r="G194" s="137" t="e">
        <f t="shared" si="4"/>
        <v>#N/A</v>
      </c>
      <c r="J194" s="139" t="s">
        <v>849</v>
      </c>
      <c r="K194" s="140" t="e">
        <v>#N/A</v>
      </c>
      <c r="L194" s="112" t="e">
        <f>IF(J194="","",VLOOKUP(J194,Ingreso!K:AH,24,FALSE))</f>
        <v>#N/A</v>
      </c>
      <c r="M194" s="112" t="e">
        <f t="shared" si="5"/>
        <v>#N/A</v>
      </c>
    </row>
    <row r="195" spans="1:13">
      <c r="A195" s="112" t="str">
        <f>VLOOKUP('Informe Kelly'!A189,Base!A:B,2,FALSE)</f>
        <v>06.933.508-K</v>
      </c>
      <c r="B195" s="112" t="str">
        <f>VLOOKUP('Informe Kelly'!A189,Base!A:G,7,FALSE)</f>
        <v>CABELLO DIAZ JUAN RAMON</v>
      </c>
      <c r="C195" s="112" t="str">
        <f>'Informe Kelly'!E189</f>
        <v>08.04.2011</v>
      </c>
      <c r="D195" s="112" t="e">
        <f>VLOOKUP(A195,Ingreso!K:P,6,FALSE)</f>
        <v>#N/A</v>
      </c>
      <c r="E195" s="142" t="e">
        <f>(VLOOKUP(D195,$D$2:$E$4,2,FALSE))-(IF('Informe Kelly'!H189=$A$2,'Informe Kelly'!F189,VLOOKUP(D195,$D$2:$E$4,2,FALSE)))</f>
        <v>#N/A</v>
      </c>
      <c r="F195" s="142" t="e">
        <f>IF('Informe Kelly'!H189=$A$3,'Informe Kelly'!F189,VLOOKUP(D195,$D$2:$F$4,3,FALSE))-(VLOOKUP(D195,$D$2:$F$4,3,FALSE))</f>
        <v>#N/A</v>
      </c>
      <c r="G195" s="137" t="e">
        <f t="shared" si="4"/>
        <v>#N/A</v>
      </c>
      <c r="J195" s="139" t="s">
        <v>1206</v>
      </c>
      <c r="K195" s="140" t="e">
        <v>#N/A</v>
      </c>
      <c r="L195" s="112" t="e">
        <f>IF(J195="","",VLOOKUP(J195,Ingreso!K:AH,24,FALSE))</f>
        <v>#N/A</v>
      </c>
      <c r="M195" s="112" t="e">
        <f t="shared" si="5"/>
        <v>#N/A</v>
      </c>
    </row>
    <row r="196" spans="1:13">
      <c r="A196" s="112" t="str">
        <f>VLOOKUP('Informe Kelly'!A190,Base!A:B,2,FALSE)</f>
        <v>06.933.508-K</v>
      </c>
      <c r="B196" s="112" t="str">
        <f>VLOOKUP('Informe Kelly'!A190,Base!A:G,7,FALSE)</f>
        <v>CABELLO DIAZ JUAN RAMON</v>
      </c>
      <c r="C196" s="112" t="str">
        <f>'Informe Kelly'!E190</f>
        <v>09.04.2011</v>
      </c>
      <c r="D196" s="112" t="e">
        <f>VLOOKUP(A196,Ingreso!K:P,6,FALSE)</f>
        <v>#N/A</v>
      </c>
      <c r="E196" s="142" t="e">
        <f>(VLOOKUP(D196,$D$2:$E$4,2,FALSE))-(IF('Informe Kelly'!H190=$A$2,'Informe Kelly'!F190,VLOOKUP(D196,$D$2:$E$4,2,FALSE)))</f>
        <v>#N/A</v>
      </c>
      <c r="F196" s="142" t="e">
        <f>IF('Informe Kelly'!H190=$A$3,'Informe Kelly'!F190,VLOOKUP(D196,$D$2:$F$4,3,FALSE))-(VLOOKUP(D196,$D$2:$F$4,3,FALSE))</f>
        <v>#N/A</v>
      </c>
      <c r="G196" s="137" t="e">
        <f t="shared" si="4"/>
        <v>#N/A</v>
      </c>
      <c r="J196" s="139" t="s">
        <v>1182</v>
      </c>
      <c r="K196" s="140" t="e">
        <v>#N/A</v>
      </c>
      <c r="L196" s="112" t="e">
        <f>IF(J196="","",VLOOKUP(J196,Ingreso!K:AH,24,FALSE))</f>
        <v>#N/A</v>
      </c>
      <c r="M196" s="112" t="e">
        <f t="shared" si="5"/>
        <v>#N/A</v>
      </c>
    </row>
    <row r="197" spans="1:13">
      <c r="A197" s="112" t="str">
        <f>VLOOKUP('Informe Kelly'!A191,Base!A:B,2,FALSE)</f>
        <v>06.933.508-K</v>
      </c>
      <c r="B197" s="112" t="str">
        <f>VLOOKUP('Informe Kelly'!A191,Base!A:G,7,FALSE)</f>
        <v>CABELLO DIAZ JUAN RAMON</v>
      </c>
      <c r="C197" s="112" t="str">
        <f>'Informe Kelly'!E191</f>
        <v>09.04.2011</v>
      </c>
      <c r="D197" s="112" t="e">
        <f>VLOOKUP(A197,Ingreso!K:P,6,FALSE)</f>
        <v>#N/A</v>
      </c>
      <c r="E197" s="142" t="e">
        <f>(VLOOKUP(D197,$D$2:$E$4,2,FALSE))-(IF('Informe Kelly'!H191=$A$2,'Informe Kelly'!F191,VLOOKUP(D197,$D$2:$E$4,2,FALSE)))</f>
        <v>#N/A</v>
      </c>
      <c r="F197" s="142" t="e">
        <f>IF('Informe Kelly'!H191=$A$3,'Informe Kelly'!F191,VLOOKUP(D197,$D$2:$F$4,3,FALSE))-(VLOOKUP(D197,$D$2:$F$4,3,FALSE))</f>
        <v>#N/A</v>
      </c>
      <c r="G197" s="137" t="e">
        <f t="shared" si="4"/>
        <v>#N/A</v>
      </c>
      <c r="J197" s="139" t="s">
        <v>1179</v>
      </c>
      <c r="K197" s="140" t="e">
        <v>#N/A</v>
      </c>
      <c r="L197" s="112" t="e">
        <f>IF(J197="","",VLOOKUP(J197,Ingreso!K:AH,24,FALSE))</f>
        <v>#N/A</v>
      </c>
      <c r="M197" s="112" t="e">
        <f t="shared" si="5"/>
        <v>#N/A</v>
      </c>
    </row>
    <row r="198" spans="1:13">
      <c r="A198" s="112" t="str">
        <f>VLOOKUP('Informe Kelly'!A192,Base!A:B,2,FALSE)</f>
        <v>06.940.813-3</v>
      </c>
      <c r="B198" s="112" t="str">
        <f>VLOOKUP('Informe Kelly'!A192,Base!A:G,7,FALSE)</f>
        <v>PLAZA ALFARO ISAIAS</v>
      </c>
      <c r="C198" s="112" t="str">
        <f>'Informe Kelly'!E192</f>
        <v>04.04.2011</v>
      </c>
      <c r="D198" s="112" t="e">
        <f>VLOOKUP(A198,Ingreso!K:P,6,FALSE)</f>
        <v>#N/A</v>
      </c>
      <c r="E198" s="142" t="e">
        <f>(VLOOKUP(D198,$D$2:$E$4,2,FALSE))-(IF('Informe Kelly'!H192=$A$2,'Informe Kelly'!F192,VLOOKUP(D198,$D$2:$E$4,2,FALSE)))</f>
        <v>#N/A</v>
      </c>
      <c r="F198" s="142" t="e">
        <f>IF('Informe Kelly'!H192=$A$3,'Informe Kelly'!F192,VLOOKUP(D198,$D$2:$F$4,3,FALSE))-(VLOOKUP(D198,$D$2:$F$4,3,FALSE))</f>
        <v>#N/A</v>
      </c>
      <c r="G198" s="137" t="e">
        <f t="shared" si="4"/>
        <v>#N/A</v>
      </c>
      <c r="J198" s="139" t="s">
        <v>278</v>
      </c>
      <c r="K198" s="140" t="e">
        <v>#N/A</v>
      </c>
      <c r="L198" s="112" t="e">
        <f>IF(J198="","",VLOOKUP(J198,Ingreso!K:AH,24,FALSE))</f>
        <v>#N/A</v>
      </c>
      <c r="M198" s="112" t="e">
        <f t="shared" si="5"/>
        <v>#N/A</v>
      </c>
    </row>
    <row r="199" spans="1:13">
      <c r="A199" s="112" t="str">
        <f>VLOOKUP('Informe Kelly'!A193,Base!A:B,2,FALSE)</f>
        <v>06.940.813-3</v>
      </c>
      <c r="B199" s="112" t="str">
        <f>VLOOKUP('Informe Kelly'!A193,Base!A:G,7,FALSE)</f>
        <v>PLAZA ALFARO ISAIAS</v>
      </c>
      <c r="C199" s="112" t="str">
        <f>'Informe Kelly'!E193</f>
        <v>04.04.2011</v>
      </c>
      <c r="D199" s="112" t="e">
        <f>VLOOKUP(A199,Ingreso!K:P,6,FALSE)</f>
        <v>#N/A</v>
      </c>
      <c r="E199" s="142" t="e">
        <f>(VLOOKUP(D199,$D$2:$E$4,2,FALSE))-(IF('Informe Kelly'!H193=$A$2,'Informe Kelly'!F193,VLOOKUP(D199,$D$2:$E$4,2,FALSE)))</f>
        <v>#N/A</v>
      </c>
      <c r="F199" s="142" t="e">
        <f>IF('Informe Kelly'!H193=$A$3,'Informe Kelly'!F193,VLOOKUP(D199,$D$2:$F$4,3,FALSE))-(VLOOKUP(D199,$D$2:$F$4,3,FALSE))</f>
        <v>#N/A</v>
      </c>
      <c r="G199" s="137" t="e">
        <f t="shared" si="4"/>
        <v>#N/A</v>
      </c>
      <c r="J199" s="139" t="s">
        <v>811</v>
      </c>
      <c r="K199" s="140" t="e">
        <v>#N/A</v>
      </c>
      <c r="L199" s="112" t="e">
        <f>IF(J199="","",VLOOKUP(J199,Ingreso!K:AH,24,FALSE))</f>
        <v>#N/A</v>
      </c>
      <c r="M199" s="112" t="e">
        <f t="shared" si="5"/>
        <v>#N/A</v>
      </c>
    </row>
    <row r="200" spans="1:13">
      <c r="A200" s="112" t="str">
        <f>VLOOKUP('Informe Kelly'!A194,Base!A:B,2,FALSE)</f>
        <v>06.940.813-3</v>
      </c>
      <c r="B200" s="112" t="str">
        <f>VLOOKUP('Informe Kelly'!A194,Base!A:G,7,FALSE)</f>
        <v>PLAZA ALFARO ISAIAS</v>
      </c>
      <c r="C200" s="112" t="str">
        <f>'Informe Kelly'!E194</f>
        <v>05.04.2011</v>
      </c>
      <c r="D200" s="112" t="e">
        <f>VLOOKUP(A200,Ingreso!K:P,6,FALSE)</f>
        <v>#N/A</v>
      </c>
      <c r="E200" s="142" t="e">
        <f>(VLOOKUP(D200,$D$2:$E$4,2,FALSE))-(IF('Informe Kelly'!H194=$A$2,'Informe Kelly'!F194,VLOOKUP(D200,$D$2:$E$4,2,FALSE)))</f>
        <v>#N/A</v>
      </c>
      <c r="F200" s="142" t="e">
        <f>IF('Informe Kelly'!H194=$A$3,'Informe Kelly'!F194,VLOOKUP(D200,$D$2:$F$4,3,FALSE))-(VLOOKUP(D200,$D$2:$F$4,3,FALSE))</f>
        <v>#N/A</v>
      </c>
      <c r="G200" s="137" t="e">
        <f t="shared" si="4"/>
        <v>#N/A</v>
      </c>
      <c r="J200" s="139" t="s">
        <v>751</v>
      </c>
      <c r="K200" s="140" t="e">
        <v>#N/A</v>
      </c>
      <c r="L200" s="112" t="e">
        <f>IF(J200="","",VLOOKUP(J200,Ingreso!K:AH,24,FALSE))</f>
        <v>#N/A</v>
      </c>
      <c r="M200" s="112" t="e">
        <f t="shared" si="5"/>
        <v>#N/A</v>
      </c>
    </row>
    <row r="201" spans="1:13">
      <c r="A201" s="112" t="str">
        <f>VLOOKUP('Informe Kelly'!A195,Base!A:B,2,FALSE)</f>
        <v>06.940.813-3</v>
      </c>
      <c r="B201" s="112" t="str">
        <f>VLOOKUP('Informe Kelly'!A195,Base!A:G,7,FALSE)</f>
        <v>PLAZA ALFARO ISAIAS</v>
      </c>
      <c r="C201" s="112" t="str">
        <f>'Informe Kelly'!E195</f>
        <v>05.04.2011</v>
      </c>
      <c r="D201" s="112" t="e">
        <f>VLOOKUP(A201,Ingreso!K:P,6,FALSE)</f>
        <v>#N/A</v>
      </c>
      <c r="E201" s="142" t="e">
        <f>(VLOOKUP(D201,$D$2:$E$4,2,FALSE))-(IF('Informe Kelly'!H195=$A$2,'Informe Kelly'!F195,VLOOKUP(D201,$D$2:$E$4,2,FALSE)))</f>
        <v>#N/A</v>
      </c>
      <c r="F201" s="142" t="e">
        <f>IF('Informe Kelly'!H195=$A$3,'Informe Kelly'!F195,VLOOKUP(D201,$D$2:$F$4,3,FALSE))-(VLOOKUP(D201,$D$2:$F$4,3,FALSE))</f>
        <v>#N/A</v>
      </c>
      <c r="G201" s="137" t="e">
        <f t="shared" ref="G201:G264" si="6">IF(E201="",IF(F201&lt;0.0409722222222222,0,E201),IF(E201&lt;0.0409722222222222,0,E201))</f>
        <v>#N/A</v>
      </c>
      <c r="J201" s="139" t="s">
        <v>998</v>
      </c>
      <c r="K201" s="140" t="e">
        <v>#N/A</v>
      </c>
      <c r="L201" s="112" t="e">
        <f>IF(J201="","",VLOOKUP(J201,Ingreso!K:AH,24,FALSE))</f>
        <v>#N/A</v>
      </c>
      <c r="M201" s="112" t="e">
        <f t="shared" si="5"/>
        <v>#N/A</v>
      </c>
    </row>
    <row r="202" spans="1:13">
      <c r="A202" s="112" t="str">
        <f>VLOOKUP('Informe Kelly'!A196,Base!A:B,2,FALSE)</f>
        <v>06.940.813-3</v>
      </c>
      <c r="B202" s="112" t="str">
        <f>VLOOKUP('Informe Kelly'!A196,Base!A:G,7,FALSE)</f>
        <v>PLAZA ALFARO ISAIAS</v>
      </c>
      <c r="C202" s="112" t="str">
        <f>'Informe Kelly'!E196</f>
        <v>06.04.2011</v>
      </c>
      <c r="D202" s="112" t="e">
        <f>VLOOKUP(A202,Ingreso!K:P,6,FALSE)</f>
        <v>#N/A</v>
      </c>
      <c r="E202" s="142" t="e">
        <f>(VLOOKUP(D202,$D$2:$E$4,2,FALSE))-(IF('Informe Kelly'!H196=$A$2,'Informe Kelly'!F196,VLOOKUP(D202,$D$2:$E$4,2,FALSE)))</f>
        <v>#N/A</v>
      </c>
      <c r="F202" s="142" t="e">
        <f>IF('Informe Kelly'!H196=$A$3,'Informe Kelly'!F196,VLOOKUP(D202,$D$2:$F$4,3,FALSE))-(VLOOKUP(D202,$D$2:$F$4,3,FALSE))</f>
        <v>#N/A</v>
      </c>
      <c r="G202" s="137" t="e">
        <f t="shared" si="6"/>
        <v>#N/A</v>
      </c>
      <c r="J202" s="139" t="s">
        <v>544</v>
      </c>
      <c r="K202" s="140" t="e">
        <v>#N/A</v>
      </c>
      <c r="L202" s="112" t="e">
        <f>IF(J202="","",VLOOKUP(J202,Ingreso!K:AH,24,FALSE))</f>
        <v>#N/A</v>
      </c>
      <c r="M202" s="112" t="e">
        <f t="shared" ref="M202:M249" si="7">IF(J202="","",IF(K202&lt;&gt;L202,"Revisar","OK"))</f>
        <v>#N/A</v>
      </c>
    </row>
    <row r="203" spans="1:13">
      <c r="A203" s="112" t="str">
        <f>VLOOKUP('Informe Kelly'!A197,Base!A:B,2,FALSE)</f>
        <v>06.940.813-3</v>
      </c>
      <c r="B203" s="112" t="str">
        <f>VLOOKUP('Informe Kelly'!A197,Base!A:G,7,FALSE)</f>
        <v>PLAZA ALFARO ISAIAS</v>
      </c>
      <c r="C203" s="112" t="str">
        <f>'Informe Kelly'!E197</f>
        <v>06.04.2011</v>
      </c>
      <c r="D203" s="112" t="e">
        <f>VLOOKUP(A203,Ingreso!K:P,6,FALSE)</f>
        <v>#N/A</v>
      </c>
      <c r="E203" s="142" t="e">
        <f>(VLOOKUP(D203,$D$2:$E$4,2,FALSE))-(IF('Informe Kelly'!H197=$A$2,'Informe Kelly'!F197,VLOOKUP(D203,$D$2:$E$4,2,FALSE)))</f>
        <v>#N/A</v>
      </c>
      <c r="F203" s="142" t="e">
        <f>IF('Informe Kelly'!H197=$A$3,'Informe Kelly'!F197,VLOOKUP(D203,$D$2:$F$4,3,FALSE))-(VLOOKUP(D203,$D$2:$F$4,3,FALSE))</f>
        <v>#N/A</v>
      </c>
      <c r="G203" s="137" t="e">
        <f t="shared" si="6"/>
        <v>#N/A</v>
      </c>
      <c r="J203" s="139" t="s">
        <v>910</v>
      </c>
      <c r="K203" s="140" t="e">
        <v>#N/A</v>
      </c>
      <c r="L203" s="112" t="e">
        <f>IF(J203="","",VLOOKUP(J203,Ingreso!K:AH,24,FALSE))</f>
        <v>#N/A</v>
      </c>
      <c r="M203" s="112" t="e">
        <f t="shared" si="7"/>
        <v>#N/A</v>
      </c>
    </row>
    <row r="204" spans="1:13">
      <c r="A204" s="112" t="str">
        <f>VLOOKUP('Informe Kelly'!A198,Base!A:B,2,FALSE)</f>
        <v>06.940.813-3</v>
      </c>
      <c r="B204" s="112" t="str">
        <f>VLOOKUP('Informe Kelly'!A198,Base!A:G,7,FALSE)</f>
        <v>PLAZA ALFARO ISAIAS</v>
      </c>
      <c r="C204" s="112" t="str">
        <f>'Informe Kelly'!E198</f>
        <v>07.04.2011</v>
      </c>
      <c r="D204" s="112" t="e">
        <f>VLOOKUP(A204,Ingreso!K:P,6,FALSE)</f>
        <v>#N/A</v>
      </c>
      <c r="E204" s="142" t="e">
        <f>(VLOOKUP(D204,$D$2:$E$4,2,FALSE))-(IF('Informe Kelly'!H198=$A$2,'Informe Kelly'!F198,VLOOKUP(D204,$D$2:$E$4,2,FALSE)))</f>
        <v>#N/A</v>
      </c>
      <c r="F204" s="142" t="e">
        <f>IF('Informe Kelly'!H198=$A$3,'Informe Kelly'!F198,VLOOKUP(D204,$D$2:$F$4,3,FALSE))-(VLOOKUP(D204,$D$2:$F$4,3,FALSE))</f>
        <v>#N/A</v>
      </c>
      <c r="G204" s="137" t="e">
        <f t="shared" si="6"/>
        <v>#N/A</v>
      </c>
      <c r="J204" s="139" t="s">
        <v>401</v>
      </c>
      <c r="K204" s="140" t="e">
        <v>#N/A</v>
      </c>
      <c r="L204" s="112" t="e">
        <f>IF(J204="","",VLOOKUP(J204,Ingreso!K:AH,24,FALSE))</f>
        <v>#N/A</v>
      </c>
      <c r="M204" s="112" t="e">
        <f t="shared" si="7"/>
        <v>#N/A</v>
      </c>
    </row>
    <row r="205" spans="1:13">
      <c r="A205" s="112" t="str">
        <f>VLOOKUP('Informe Kelly'!A199,Base!A:B,2,FALSE)</f>
        <v>06.940.813-3</v>
      </c>
      <c r="B205" s="112" t="str">
        <f>VLOOKUP('Informe Kelly'!A199,Base!A:G,7,FALSE)</f>
        <v>PLAZA ALFARO ISAIAS</v>
      </c>
      <c r="C205" s="112" t="str">
        <f>'Informe Kelly'!E199</f>
        <v>07.04.2011</v>
      </c>
      <c r="D205" s="112" t="e">
        <f>VLOOKUP(A205,Ingreso!K:P,6,FALSE)</f>
        <v>#N/A</v>
      </c>
      <c r="E205" s="142" t="e">
        <f>(VLOOKUP(D205,$D$2:$E$4,2,FALSE))-(IF('Informe Kelly'!H199=$A$2,'Informe Kelly'!F199,VLOOKUP(D205,$D$2:$E$4,2,FALSE)))</f>
        <v>#N/A</v>
      </c>
      <c r="F205" s="142" t="e">
        <f>IF('Informe Kelly'!H199=$A$3,'Informe Kelly'!F199,VLOOKUP(D205,$D$2:$F$4,3,FALSE))-(VLOOKUP(D205,$D$2:$F$4,3,FALSE))</f>
        <v>#N/A</v>
      </c>
      <c r="G205" s="137" t="e">
        <f t="shared" si="6"/>
        <v>#N/A</v>
      </c>
      <c r="J205" s="139" t="s">
        <v>453</v>
      </c>
      <c r="K205" s="140" t="e">
        <v>#N/A</v>
      </c>
      <c r="L205" s="112" t="e">
        <f>IF(J205="","",VLOOKUP(J205,Ingreso!K:AH,24,FALSE))</f>
        <v>#N/A</v>
      </c>
      <c r="M205" s="112" t="e">
        <f t="shared" si="7"/>
        <v>#N/A</v>
      </c>
    </row>
    <row r="206" spans="1:13">
      <c r="A206" s="112" t="str">
        <f>VLOOKUP('Informe Kelly'!A200,Base!A:B,2,FALSE)</f>
        <v>06.940.813-3</v>
      </c>
      <c r="B206" s="112" t="str">
        <f>VLOOKUP('Informe Kelly'!A200,Base!A:G,7,FALSE)</f>
        <v>PLAZA ALFARO ISAIAS</v>
      </c>
      <c r="C206" s="112" t="str">
        <f>'Informe Kelly'!E200</f>
        <v>08.04.2011</v>
      </c>
      <c r="D206" s="112" t="e">
        <f>VLOOKUP(A206,Ingreso!K:P,6,FALSE)</f>
        <v>#N/A</v>
      </c>
      <c r="E206" s="142" t="e">
        <f>(VLOOKUP(D206,$D$2:$E$4,2,FALSE))-(IF('Informe Kelly'!H200=$A$2,'Informe Kelly'!F200,VLOOKUP(D206,$D$2:$E$4,2,FALSE)))</f>
        <v>#N/A</v>
      </c>
      <c r="F206" s="142" t="e">
        <f>IF('Informe Kelly'!H200=$A$3,'Informe Kelly'!F200,VLOOKUP(D206,$D$2:$F$4,3,FALSE))-(VLOOKUP(D206,$D$2:$F$4,3,FALSE))</f>
        <v>#N/A</v>
      </c>
      <c r="G206" s="137" t="e">
        <f t="shared" si="6"/>
        <v>#N/A</v>
      </c>
      <c r="J206" s="139" t="s">
        <v>857</v>
      </c>
      <c r="K206" s="140" t="e">
        <v>#N/A</v>
      </c>
      <c r="L206" s="112" t="e">
        <f>IF(J206="","",VLOOKUP(J206,Ingreso!K:AH,24,FALSE))</f>
        <v>#N/A</v>
      </c>
      <c r="M206" s="112" t="e">
        <f t="shared" si="7"/>
        <v>#N/A</v>
      </c>
    </row>
    <row r="207" spans="1:13">
      <c r="A207" s="112" t="str">
        <f>VLOOKUP('Informe Kelly'!A201,Base!A:B,2,FALSE)</f>
        <v>06.940.813-3</v>
      </c>
      <c r="B207" s="112" t="str">
        <f>VLOOKUP('Informe Kelly'!A201,Base!A:G,7,FALSE)</f>
        <v>PLAZA ALFARO ISAIAS</v>
      </c>
      <c r="C207" s="112" t="str">
        <f>'Informe Kelly'!E201</f>
        <v>08.04.2011</v>
      </c>
      <c r="D207" s="112" t="e">
        <f>VLOOKUP(A207,Ingreso!K:P,6,FALSE)</f>
        <v>#N/A</v>
      </c>
      <c r="E207" s="142" t="e">
        <f>(VLOOKUP(D207,$D$2:$E$4,2,FALSE))-(IF('Informe Kelly'!H201=$A$2,'Informe Kelly'!F201,VLOOKUP(D207,$D$2:$E$4,2,FALSE)))</f>
        <v>#N/A</v>
      </c>
      <c r="F207" s="142" t="e">
        <f>IF('Informe Kelly'!H201=$A$3,'Informe Kelly'!F201,VLOOKUP(D207,$D$2:$F$4,3,FALSE))-(VLOOKUP(D207,$D$2:$F$4,3,FALSE))</f>
        <v>#N/A</v>
      </c>
      <c r="G207" s="137" t="e">
        <f t="shared" si="6"/>
        <v>#N/A</v>
      </c>
      <c r="J207" s="139" t="s">
        <v>1227</v>
      </c>
      <c r="K207" s="140" t="e">
        <v>#N/A</v>
      </c>
      <c r="L207" s="112" t="e">
        <f>IF(J207="","",VLOOKUP(J207,Ingreso!K:AH,24,FALSE))</f>
        <v>#N/A</v>
      </c>
      <c r="M207" s="112" t="e">
        <f t="shared" si="7"/>
        <v>#N/A</v>
      </c>
    </row>
    <row r="208" spans="1:13">
      <c r="A208" s="112" t="str">
        <f>VLOOKUP('Informe Kelly'!A202,Base!A:B,2,FALSE)</f>
        <v>06.940.813-3</v>
      </c>
      <c r="B208" s="112" t="str">
        <f>VLOOKUP('Informe Kelly'!A202,Base!A:G,7,FALSE)</f>
        <v>PLAZA ALFARO ISAIAS</v>
      </c>
      <c r="C208" s="112" t="str">
        <f>'Informe Kelly'!E202</f>
        <v>09.04.2011</v>
      </c>
      <c r="D208" s="112" t="e">
        <f>VLOOKUP(A208,Ingreso!K:P,6,FALSE)</f>
        <v>#N/A</v>
      </c>
      <c r="E208" s="142" t="e">
        <f>(VLOOKUP(D208,$D$2:$E$4,2,FALSE))-(IF('Informe Kelly'!H202=$A$2,'Informe Kelly'!F202,VLOOKUP(D208,$D$2:$E$4,2,FALSE)))</f>
        <v>#N/A</v>
      </c>
      <c r="F208" s="142" t="e">
        <f>IF('Informe Kelly'!H202=$A$3,'Informe Kelly'!F202,VLOOKUP(D208,$D$2:$F$4,3,FALSE))-(VLOOKUP(D208,$D$2:$F$4,3,FALSE))</f>
        <v>#N/A</v>
      </c>
      <c r="G208" s="137" t="e">
        <f t="shared" si="6"/>
        <v>#N/A</v>
      </c>
      <c r="J208" s="139" t="s">
        <v>73</v>
      </c>
      <c r="K208" s="140" t="e">
        <v>#N/A</v>
      </c>
      <c r="L208" s="112" t="e">
        <f>IF(J208="","",VLOOKUP(J208,Ingreso!K:AH,24,FALSE))</f>
        <v>#N/A</v>
      </c>
      <c r="M208" s="112" t="e">
        <f t="shared" si="7"/>
        <v>#N/A</v>
      </c>
    </row>
    <row r="209" spans="1:13">
      <c r="A209" s="112" t="str">
        <f>VLOOKUP('Informe Kelly'!A203,Base!A:B,2,FALSE)</f>
        <v>06.940.813-3</v>
      </c>
      <c r="B209" s="112" t="str">
        <f>VLOOKUP('Informe Kelly'!A203,Base!A:G,7,FALSE)</f>
        <v>PLAZA ALFARO ISAIAS</v>
      </c>
      <c r="C209" s="112" t="str">
        <f>'Informe Kelly'!E203</f>
        <v>09.04.2011</v>
      </c>
      <c r="D209" s="112" t="e">
        <f>VLOOKUP(A209,Ingreso!K:P,6,FALSE)</f>
        <v>#N/A</v>
      </c>
      <c r="E209" s="142" t="e">
        <f>(VLOOKUP(D209,$D$2:$E$4,2,FALSE))-(IF('Informe Kelly'!H203=$A$2,'Informe Kelly'!F203,VLOOKUP(D209,$D$2:$E$4,2,FALSE)))</f>
        <v>#N/A</v>
      </c>
      <c r="F209" s="142" t="e">
        <f>IF('Informe Kelly'!H203=$A$3,'Informe Kelly'!F203,VLOOKUP(D209,$D$2:$F$4,3,FALSE))-(VLOOKUP(D209,$D$2:$F$4,3,FALSE))</f>
        <v>#N/A</v>
      </c>
      <c r="G209" s="137" t="e">
        <f t="shared" si="6"/>
        <v>#N/A</v>
      </c>
      <c r="J209" s="139" t="s">
        <v>814</v>
      </c>
      <c r="K209" s="140" t="e">
        <v>#N/A</v>
      </c>
      <c r="L209" s="112" t="e">
        <f>IF(J209="","",VLOOKUP(J209,Ingreso!K:AH,24,FALSE))</f>
        <v>#N/A</v>
      </c>
      <c r="M209" s="112" t="e">
        <f t="shared" si="7"/>
        <v>#N/A</v>
      </c>
    </row>
    <row r="210" spans="1:13">
      <c r="A210" s="112" t="str">
        <f>VLOOKUP('Informe Kelly'!A204,Base!A:B,2,FALSE)</f>
        <v>07.009.784-2</v>
      </c>
      <c r="B210" s="112" t="str">
        <f>VLOOKUP('Informe Kelly'!A204,Base!A:G,7,FALSE)</f>
        <v>SALAZAR VIDELA HECTOR ENRIQUE</v>
      </c>
      <c r="C210" s="112" t="str">
        <f>'Informe Kelly'!E204</f>
        <v>04.04.2011</v>
      </c>
      <c r="D210" s="112" t="e">
        <f>VLOOKUP(A210,Ingreso!K:P,6,FALSE)</f>
        <v>#N/A</v>
      </c>
      <c r="E210" s="142" t="e">
        <f>(VLOOKUP(D210,$D$2:$E$4,2,FALSE))-(IF('Informe Kelly'!H204=$A$2,'Informe Kelly'!F204,VLOOKUP(D210,$D$2:$E$4,2,FALSE)))</f>
        <v>#N/A</v>
      </c>
      <c r="F210" s="142" t="e">
        <f>IF('Informe Kelly'!H204=$A$3,'Informe Kelly'!F204,VLOOKUP(D210,$D$2:$F$4,3,FALSE))-(VLOOKUP(D210,$D$2:$F$4,3,FALSE))</f>
        <v>#N/A</v>
      </c>
      <c r="G210" s="137" t="e">
        <f t="shared" si="6"/>
        <v>#N/A</v>
      </c>
      <c r="J210" s="139" t="s">
        <v>654</v>
      </c>
      <c r="K210" s="140" t="e">
        <v>#N/A</v>
      </c>
      <c r="L210" s="112" t="e">
        <f>IF(J210="","",VLOOKUP(J210,Ingreso!K:AH,24,FALSE))</f>
        <v>#N/A</v>
      </c>
      <c r="M210" s="112" t="e">
        <f t="shared" si="7"/>
        <v>#N/A</v>
      </c>
    </row>
    <row r="211" spans="1:13">
      <c r="A211" s="112" t="str">
        <f>VLOOKUP('Informe Kelly'!A205,Base!A:B,2,FALSE)</f>
        <v>07.009.784-2</v>
      </c>
      <c r="B211" s="112" t="str">
        <f>VLOOKUP('Informe Kelly'!A205,Base!A:G,7,FALSE)</f>
        <v>SALAZAR VIDELA HECTOR ENRIQUE</v>
      </c>
      <c r="C211" s="112" t="str">
        <f>'Informe Kelly'!E205</f>
        <v>05.04.2011</v>
      </c>
      <c r="D211" s="112" t="e">
        <f>VLOOKUP(A211,Ingreso!K:P,6,FALSE)</f>
        <v>#N/A</v>
      </c>
      <c r="E211" s="142" t="e">
        <f>(VLOOKUP(D211,$D$2:$E$4,2,FALSE))-(IF('Informe Kelly'!H205=$A$2,'Informe Kelly'!F205,VLOOKUP(D211,$D$2:$E$4,2,FALSE)))</f>
        <v>#N/A</v>
      </c>
      <c r="F211" s="142" t="e">
        <f>IF('Informe Kelly'!H205=$A$3,'Informe Kelly'!F205,VLOOKUP(D211,$D$2:$F$4,3,FALSE))-(VLOOKUP(D211,$D$2:$F$4,3,FALSE))</f>
        <v>#N/A</v>
      </c>
      <c r="G211" s="137" t="e">
        <f t="shared" si="6"/>
        <v>#N/A</v>
      </c>
      <c r="J211" s="139" t="s">
        <v>1113</v>
      </c>
      <c r="K211" s="140" t="e">
        <v>#N/A</v>
      </c>
      <c r="L211" s="112" t="e">
        <f>IF(J211="","",VLOOKUP(J211,Ingreso!K:AH,24,FALSE))</f>
        <v>#N/A</v>
      </c>
      <c r="M211" s="112" t="e">
        <f t="shared" si="7"/>
        <v>#N/A</v>
      </c>
    </row>
    <row r="212" spans="1:13">
      <c r="A212" s="112" t="str">
        <f>VLOOKUP('Informe Kelly'!A206,Base!A:B,2,FALSE)</f>
        <v>07.009.784-2</v>
      </c>
      <c r="B212" s="112" t="str">
        <f>VLOOKUP('Informe Kelly'!A206,Base!A:G,7,FALSE)</f>
        <v>SALAZAR VIDELA HECTOR ENRIQUE</v>
      </c>
      <c r="C212" s="112" t="str">
        <f>'Informe Kelly'!E206</f>
        <v>05.04.2011</v>
      </c>
      <c r="D212" s="112" t="e">
        <f>VLOOKUP(A212,Ingreso!K:P,6,FALSE)</f>
        <v>#N/A</v>
      </c>
      <c r="E212" s="142" t="e">
        <f>(VLOOKUP(D212,$D$2:$E$4,2,FALSE))-(IF('Informe Kelly'!H206=$A$2,'Informe Kelly'!F206,VLOOKUP(D212,$D$2:$E$4,2,FALSE)))</f>
        <v>#N/A</v>
      </c>
      <c r="F212" s="142" t="e">
        <f>IF('Informe Kelly'!H206=$A$3,'Informe Kelly'!F206,VLOOKUP(D212,$D$2:$F$4,3,FALSE))-(VLOOKUP(D212,$D$2:$F$4,3,FALSE))</f>
        <v>#N/A</v>
      </c>
      <c r="G212" s="137" t="e">
        <f t="shared" si="6"/>
        <v>#N/A</v>
      </c>
      <c r="J212" s="139" t="s">
        <v>1315</v>
      </c>
      <c r="K212" s="140" t="e">
        <v>#N/A</v>
      </c>
      <c r="L212" s="112" t="e">
        <f>IF(J212="","",VLOOKUP(J212,Ingreso!K:AH,24,FALSE))</f>
        <v>#N/A</v>
      </c>
      <c r="M212" s="112" t="e">
        <f t="shared" si="7"/>
        <v>#N/A</v>
      </c>
    </row>
    <row r="213" spans="1:13">
      <c r="A213" s="112" t="str">
        <f>VLOOKUP('Informe Kelly'!A207,Base!A:B,2,FALSE)</f>
        <v>07.009.784-2</v>
      </c>
      <c r="B213" s="112" t="str">
        <f>VLOOKUP('Informe Kelly'!A207,Base!A:G,7,FALSE)</f>
        <v>SALAZAR VIDELA HECTOR ENRIQUE</v>
      </c>
      <c r="C213" s="112" t="str">
        <f>'Informe Kelly'!E207</f>
        <v>06.04.2011</v>
      </c>
      <c r="D213" s="112" t="e">
        <f>VLOOKUP(A213,Ingreso!K:P,6,FALSE)</f>
        <v>#N/A</v>
      </c>
      <c r="E213" s="142" t="e">
        <f>(VLOOKUP(D213,$D$2:$E$4,2,FALSE))-(IF('Informe Kelly'!H207=$A$2,'Informe Kelly'!F207,VLOOKUP(D213,$D$2:$E$4,2,FALSE)))</f>
        <v>#N/A</v>
      </c>
      <c r="F213" s="142" t="e">
        <f>IF('Informe Kelly'!H207=$A$3,'Informe Kelly'!F207,VLOOKUP(D213,$D$2:$F$4,3,FALSE))-(VLOOKUP(D213,$D$2:$F$4,3,FALSE))</f>
        <v>#N/A</v>
      </c>
      <c r="G213" s="137" t="e">
        <f t="shared" si="6"/>
        <v>#N/A</v>
      </c>
      <c r="J213" s="139" t="s">
        <v>929</v>
      </c>
      <c r="K213" s="140" t="e">
        <v>#N/A</v>
      </c>
      <c r="L213" s="112" t="e">
        <f>IF(J213="","",VLOOKUP(J213,Ingreso!K:AH,24,FALSE))</f>
        <v>#N/A</v>
      </c>
      <c r="M213" s="112" t="e">
        <f t="shared" si="7"/>
        <v>#N/A</v>
      </c>
    </row>
    <row r="214" spans="1:13">
      <c r="A214" s="112" t="str">
        <f>VLOOKUP('Informe Kelly'!A208,Base!A:B,2,FALSE)</f>
        <v>07.009.784-2</v>
      </c>
      <c r="B214" s="112" t="str">
        <f>VLOOKUP('Informe Kelly'!A208,Base!A:G,7,FALSE)</f>
        <v>SALAZAR VIDELA HECTOR ENRIQUE</v>
      </c>
      <c r="C214" s="112" t="str">
        <f>'Informe Kelly'!E208</f>
        <v>06.04.2011</v>
      </c>
      <c r="D214" s="112" t="e">
        <f>VLOOKUP(A214,Ingreso!K:P,6,FALSE)</f>
        <v>#N/A</v>
      </c>
      <c r="E214" s="142" t="e">
        <f>(VLOOKUP(D214,$D$2:$E$4,2,FALSE))-(IF('Informe Kelly'!H208=$A$2,'Informe Kelly'!F208,VLOOKUP(D214,$D$2:$E$4,2,FALSE)))</f>
        <v>#N/A</v>
      </c>
      <c r="F214" s="142" t="e">
        <f>IF('Informe Kelly'!H208=$A$3,'Informe Kelly'!F208,VLOOKUP(D214,$D$2:$F$4,3,FALSE))-(VLOOKUP(D214,$D$2:$F$4,3,FALSE))</f>
        <v>#N/A</v>
      </c>
      <c r="G214" s="137" t="e">
        <f t="shared" si="6"/>
        <v>#N/A</v>
      </c>
      <c r="J214" s="139" t="s">
        <v>860</v>
      </c>
      <c r="K214" s="140" t="e">
        <v>#N/A</v>
      </c>
      <c r="L214" s="112" t="e">
        <f>IF(J214="","",VLOOKUP(J214,Ingreso!K:AH,24,FALSE))</f>
        <v>#N/A</v>
      </c>
      <c r="M214" s="112" t="e">
        <f t="shared" si="7"/>
        <v>#N/A</v>
      </c>
    </row>
    <row r="215" spans="1:13">
      <c r="A215" s="112" t="str">
        <f>VLOOKUP('Informe Kelly'!A209,Base!A:B,2,FALSE)</f>
        <v>07.009.784-2</v>
      </c>
      <c r="B215" s="112" t="str">
        <f>VLOOKUP('Informe Kelly'!A209,Base!A:G,7,FALSE)</f>
        <v>SALAZAR VIDELA HECTOR ENRIQUE</v>
      </c>
      <c r="C215" s="112" t="str">
        <f>'Informe Kelly'!E209</f>
        <v>07.04.2011</v>
      </c>
      <c r="D215" s="112" t="e">
        <f>VLOOKUP(A215,Ingreso!K:P,6,FALSE)</f>
        <v>#N/A</v>
      </c>
      <c r="E215" s="142" t="e">
        <f>(VLOOKUP(D215,$D$2:$E$4,2,FALSE))-(IF('Informe Kelly'!H209=$A$2,'Informe Kelly'!F209,VLOOKUP(D215,$D$2:$E$4,2,FALSE)))</f>
        <v>#N/A</v>
      </c>
      <c r="F215" s="142" t="e">
        <f>IF('Informe Kelly'!H209=$A$3,'Informe Kelly'!F209,VLOOKUP(D215,$D$2:$F$4,3,FALSE))-(VLOOKUP(D215,$D$2:$F$4,3,FALSE))</f>
        <v>#N/A</v>
      </c>
      <c r="G215" s="137" t="e">
        <f t="shared" si="6"/>
        <v>#N/A</v>
      </c>
      <c r="J215" s="139" t="s">
        <v>1192</v>
      </c>
      <c r="K215" s="140" t="e">
        <v>#N/A</v>
      </c>
      <c r="L215" s="112" t="e">
        <f>IF(J215="","",VLOOKUP(J215,Ingreso!K:AH,24,FALSE))</f>
        <v>#N/A</v>
      </c>
      <c r="M215" s="112" t="e">
        <f t="shared" si="7"/>
        <v>#N/A</v>
      </c>
    </row>
    <row r="216" spans="1:13">
      <c r="A216" s="112" t="str">
        <f>VLOOKUP('Informe Kelly'!A210,Base!A:B,2,FALSE)</f>
        <v>07.009.784-2</v>
      </c>
      <c r="B216" s="112" t="str">
        <f>VLOOKUP('Informe Kelly'!A210,Base!A:G,7,FALSE)</f>
        <v>SALAZAR VIDELA HECTOR ENRIQUE</v>
      </c>
      <c r="C216" s="112" t="str">
        <f>'Informe Kelly'!E210</f>
        <v>07.04.2011</v>
      </c>
      <c r="D216" s="112" t="e">
        <f>VLOOKUP(A216,Ingreso!K:P,6,FALSE)</f>
        <v>#N/A</v>
      </c>
      <c r="E216" s="142" t="e">
        <f>(VLOOKUP(D216,$D$2:$E$4,2,FALSE))-(IF('Informe Kelly'!H210=$A$2,'Informe Kelly'!F210,VLOOKUP(D216,$D$2:$E$4,2,FALSE)))</f>
        <v>#N/A</v>
      </c>
      <c r="F216" s="142" t="e">
        <f>IF('Informe Kelly'!H210=$A$3,'Informe Kelly'!F210,VLOOKUP(D216,$D$2:$F$4,3,FALSE))-(VLOOKUP(D216,$D$2:$F$4,3,FALSE))</f>
        <v>#N/A</v>
      </c>
      <c r="G216" s="137" t="e">
        <f t="shared" si="6"/>
        <v>#N/A</v>
      </c>
      <c r="J216" s="139" t="s">
        <v>210</v>
      </c>
      <c r="K216" s="140" t="e">
        <v>#N/A</v>
      </c>
      <c r="L216" s="112" t="e">
        <f>IF(J216="","",VLOOKUP(J216,Ingreso!K:AH,24,FALSE))</f>
        <v>#N/A</v>
      </c>
      <c r="M216" s="112" t="e">
        <f t="shared" si="7"/>
        <v>#N/A</v>
      </c>
    </row>
    <row r="217" spans="1:13">
      <c r="A217" s="112" t="str">
        <f>VLOOKUP('Informe Kelly'!A211,Base!A:B,2,FALSE)</f>
        <v>07.009.784-2</v>
      </c>
      <c r="B217" s="112" t="str">
        <f>VLOOKUP('Informe Kelly'!A211,Base!A:G,7,FALSE)</f>
        <v>SALAZAR VIDELA HECTOR ENRIQUE</v>
      </c>
      <c r="C217" s="112" t="str">
        <f>'Informe Kelly'!E211</f>
        <v>08.04.2011</v>
      </c>
      <c r="D217" s="112" t="e">
        <f>VLOOKUP(A217,Ingreso!K:P,6,FALSE)</f>
        <v>#N/A</v>
      </c>
      <c r="E217" s="142" t="e">
        <f>(VLOOKUP(D217,$D$2:$E$4,2,FALSE))-(IF('Informe Kelly'!H211=$A$2,'Informe Kelly'!F211,VLOOKUP(D217,$D$2:$E$4,2,FALSE)))</f>
        <v>#N/A</v>
      </c>
      <c r="F217" s="142" t="e">
        <f>IF('Informe Kelly'!H211=$A$3,'Informe Kelly'!F211,VLOOKUP(D217,$D$2:$F$4,3,FALSE))-(VLOOKUP(D217,$D$2:$F$4,3,FALSE))</f>
        <v>#N/A</v>
      </c>
      <c r="G217" s="137" t="e">
        <f t="shared" si="6"/>
        <v>#N/A</v>
      </c>
      <c r="J217" s="139" t="s">
        <v>1285</v>
      </c>
      <c r="K217" s="140" t="e">
        <v>#N/A</v>
      </c>
      <c r="L217" s="112" t="e">
        <f>IF(J217="","",VLOOKUP(J217,Ingreso!K:AH,24,FALSE))</f>
        <v>#N/A</v>
      </c>
      <c r="M217" s="112" t="e">
        <f t="shared" si="7"/>
        <v>#N/A</v>
      </c>
    </row>
    <row r="218" spans="1:13">
      <c r="A218" s="112" t="str">
        <f>VLOOKUP('Informe Kelly'!A212,Base!A:B,2,FALSE)</f>
        <v>07.009.784-2</v>
      </c>
      <c r="B218" s="112" t="str">
        <f>VLOOKUP('Informe Kelly'!A212,Base!A:G,7,FALSE)</f>
        <v>SALAZAR VIDELA HECTOR ENRIQUE</v>
      </c>
      <c r="C218" s="112" t="str">
        <f>'Informe Kelly'!E212</f>
        <v>08.04.2011</v>
      </c>
      <c r="D218" s="112" t="e">
        <f>VLOOKUP(A218,Ingreso!K:P,6,FALSE)</f>
        <v>#N/A</v>
      </c>
      <c r="E218" s="142" t="e">
        <f>(VLOOKUP(D218,$D$2:$E$4,2,FALSE))-(IF('Informe Kelly'!H212=$A$2,'Informe Kelly'!F212,VLOOKUP(D218,$D$2:$E$4,2,FALSE)))</f>
        <v>#N/A</v>
      </c>
      <c r="F218" s="142" t="e">
        <f>IF('Informe Kelly'!H212=$A$3,'Informe Kelly'!F212,VLOOKUP(D218,$D$2:$F$4,3,FALSE))-(VLOOKUP(D218,$D$2:$F$4,3,FALSE))</f>
        <v>#N/A</v>
      </c>
      <c r="G218" s="137" t="e">
        <f t="shared" si="6"/>
        <v>#N/A</v>
      </c>
      <c r="J218" s="139" t="s">
        <v>1213</v>
      </c>
      <c r="K218" s="140" t="e">
        <v>#N/A</v>
      </c>
      <c r="L218" s="112" t="e">
        <f>IF(J218="","",VLOOKUP(J218,Ingreso!K:AH,24,FALSE))</f>
        <v>#N/A</v>
      </c>
      <c r="M218" s="112" t="e">
        <f t="shared" si="7"/>
        <v>#N/A</v>
      </c>
    </row>
    <row r="219" spans="1:13">
      <c r="A219" s="112" t="str">
        <f>VLOOKUP('Informe Kelly'!A213,Base!A:B,2,FALSE)</f>
        <v>07.009.784-2</v>
      </c>
      <c r="B219" s="112" t="str">
        <f>VLOOKUP('Informe Kelly'!A213,Base!A:G,7,FALSE)</f>
        <v>SALAZAR VIDELA HECTOR ENRIQUE</v>
      </c>
      <c r="C219" s="112" t="str">
        <f>'Informe Kelly'!E213</f>
        <v>09.04.2011</v>
      </c>
      <c r="D219" s="112" t="e">
        <f>VLOOKUP(A219,Ingreso!K:P,6,FALSE)</f>
        <v>#N/A</v>
      </c>
      <c r="E219" s="142" t="e">
        <f>(VLOOKUP(D219,$D$2:$E$4,2,FALSE))-(IF('Informe Kelly'!H213=$A$2,'Informe Kelly'!F213,VLOOKUP(D219,$D$2:$E$4,2,FALSE)))</f>
        <v>#N/A</v>
      </c>
      <c r="F219" s="142" t="e">
        <f>IF('Informe Kelly'!H213=$A$3,'Informe Kelly'!F213,VLOOKUP(D219,$D$2:$F$4,3,FALSE))-(VLOOKUP(D219,$D$2:$F$4,3,FALSE))</f>
        <v>#N/A</v>
      </c>
      <c r="G219" s="137" t="e">
        <f t="shared" si="6"/>
        <v>#N/A</v>
      </c>
      <c r="J219" s="139" t="s">
        <v>1021</v>
      </c>
      <c r="K219" s="140" t="e">
        <v>#N/A</v>
      </c>
      <c r="L219" s="112" t="e">
        <f>IF(J219="","",VLOOKUP(J219,Ingreso!K:AH,24,FALSE))</f>
        <v>#N/A</v>
      </c>
      <c r="M219" s="112" t="e">
        <f t="shared" si="7"/>
        <v>#N/A</v>
      </c>
    </row>
    <row r="220" spans="1:13">
      <c r="A220" s="112" t="str">
        <f>VLOOKUP('Informe Kelly'!A214,Base!A:B,2,FALSE)</f>
        <v>07.023.216-2</v>
      </c>
      <c r="B220" s="112" t="str">
        <f>VLOOKUP('Informe Kelly'!A214,Base!A:G,7,FALSE)</f>
        <v>FUENZALIDA ADASME FIDEL</v>
      </c>
      <c r="C220" s="112" t="str">
        <f>'Informe Kelly'!E214</f>
        <v>00.00.0000</v>
      </c>
      <c r="D220" s="112" t="e">
        <f>VLOOKUP(A220,Ingreso!K:P,6,FALSE)</f>
        <v>#N/A</v>
      </c>
      <c r="E220" s="142" t="e">
        <f>(VLOOKUP(D220,$D$2:$E$4,2,FALSE))-(IF('Informe Kelly'!H214=$A$2,'Informe Kelly'!F214,VLOOKUP(D220,$D$2:$E$4,2,FALSE)))</f>
        <v>#N/A</v>
      </c>
      <c r="F220" s="142" t="e">
        <f>IF('Informe Kelly'!H214=$A$3,'Informe Kelly'!F214,VLOOKUP(D220,$D$2:$F$4,3,FALSE))-(VLOOKUP(D220,$D$2:$F$4,3,FALSE))</f>
        <v>#N/A</v>
      </c>
      <c r="G220" s="137" t="e">
        <f t="shared" si="6"/>
        <v>#N/A</v>
      </c>
      <c r="J220" s="139" t="s">
        <v>251</v>
      </c>
      <c r="K220" s="140" t="e">
        <v>#N/A</v>
      </c>
      <c r="L220" s="112" t="e">
        <f>IF(J220="","",VLOOKUP(J220,Ingreso!K:AH,24,FALSE))</f>
        <v>#N/A</v>
      </c>
      <c r="M220" s="112" t="e">
        <f t="shared" si="7"/>
        <v>#N/A</v>
      </c>
    </row>
    <row r="221" spans="1:13">
      <c r="A221" s="112" t="str">
        <f>VLOOKUP('Informe Kelly'!A215,Base!A:B,2,FALSE)</f>
        <v>07.481.602-9</v>
      </c>
      <c r="B221" s="112" t="str">
        <f>VLOOKUP('Informe Kelly'!A215,Base!A:G,7,FALSE)</f>
        <v>NARVAI RIVERA JORGE PATRICIO</v>
      </c>
      <c r="C221" s="112" t="str">
        <f>'Informe Kelly'!E215</f>
        <v>04.04.2011</v>
      </c>
      <c r="D221" s="112" t="e">
        <f>VLOOKUP(A221,Ingreso!K:P,6,FALSE)</f>
        <v>#N/A</v>
      </c>
      <c r="E221" s="142" t="e">
        <f>(VLOOKUP(D221,$D$2:$E$4,2,FALSE))-(IF('Informe Kelly'!H215=$A$2,'Informe Kelly'!F215,VLOOKUP(D221,$D$2:$E$4,2,FALSE)))</f>
        <v>#N/A</v>
      </c>
      <c r="F221" s="142" t="e">
        <f>IF('Informe Kelly'!H215=$A$3,'Informe Kelly'!F215,VLOOKUP(D221,$D$2:$F$4,3,FALSE))-(VLOOKUP(D221,$D$2:$F$4,3,FALSE))</f>
        <v>#N/A</v>
      </c>
      <c r="G221" s="137" t="e">
        <f t="shared" si="6"/>
        <v>#N/A</v>
      </c>
      <c r="J221" s="139" t="s">
        <v>902</v>
      </c>
      <c r="K221" s="140" t="e">
        <v>#N/A</v>
      </c>
      <c r="L221" s="112" t="e">
        <f>IF(J221="","",VLOOKUP(J221,Ingreso!K:AH,24,FALSE))</f>
        <v>#N/A</v>
      </c>
      <c r="M221" s="112" t="e">
        <f t="shared" si="7"/>
        <v>#N/A</v>
      </c>
    </row>
    <row r="222" spans="1:13">
      <c r="A222" s="112" t="str">
        <f>VLOOKUP('Informe Kelly'!A216,Base!A:B,2,FALSE)</f>
        <v>07.481.602-9</v>
      </c>
      <c r="B222" s="112" t="str">
        <f>VLOOKUP('Informe Kelly'!A216,Base!A:G,7,FALSE)</f>
        <v>NARVAI RIVERA JORGE PATRICIO</v>
      </c>
      <c r="C222" s="112" t="str">
        <f>'Informe Kelly'!E216</f>
        <v>04.04.2011</v>
      </c>
      <c r="D222" s="112" t="e">
        <f>VLOOKUP(A222,Ingreso!K:P,6,FALSE)</f>
        <v>#N/A</v>
      </c>
      <c r="E222" s="142" t="e">
        <f>(VLOOKUP(D222,$D$2:$E$4,2,FALSE))-(IF('Informe Kelly'!H216=$A$2,'Informe Kelly'!F216,VLOOKUP(D222,$D$2:$E$4,2,FALSE)))</f>
        <v>#N/A</v>
      </c>
      <c r="F222" s="142" t="e">
        <f>IF('Informe Kelly'!H216=$A$3,'Informe Kelly'!F216,VLOOKUP(D222,$D$2:$F$4,3,FALSE))-(VLOOKUP(D222,$D$2:$F$4,3,FALSE))</f>
        <v>#N/A</v>
      </c>
      <c r="G222" s="137" t="e">
        <f t="shared" si="6"/>
        <v>#N/A</v>
      </c>
      <c r="J222" s="139" t="s">
        <v>182</v>
      </c>
      <c r="K222" s="140" t="e">
        <v>#N/A</v>
      </c>
      <c r="L222" s="112" t="e">
        <f>IF(J222="","",VLOOKUP(J222,Ingreso!K:AH,24,FALSE))</f>
        <v>#N/A</v>
      </c>
      <c r="M222" s="112" t="e">
        <f t="shared" si="7"/>
        <v>#N/A</v>
      </c>
    </row>
    <row r="223" spans="1:13">
      <c r="A223" s="112" t="str">
        <f>VLOOKUP('Informe Kelly'!A217,Base!A:B,2,FALSE)</f>
        <v>07.481.602-9</v>
      </c>
      <c r="B223" s="112" t="str">
        <f>VLOOKUP('Informe Kelly'!A217,Base!A:G,7,FALSE)</f>
        <v>NARVAI RIVERA JORGE PATRICIO</v>
      </c>
      <c r="C223" s="112" t="str">
        <f>'Informe Kelly'!E217</f>
        <v>05.04.2011</v>
      </c>
      <c r="D223" s="112" t="e">
        <f>VLOOKUP(A223,Ingreso!K:P,6,FALSE)</f>
        <v>#N/A</v>
      </c>
      <c r="E223" s="142" t="e">
        <f>(VLOOKUP(D223,$D$2:$E$4,2,FALSE))-(IF('Informe Kelly'!H217=$A$2,'Informe Kelly'!F217,VLOOKUP(D223,$D$2:$E$4,2,FALSE)))</f>
        <v>#N/A</v>
      </c>
      <c r="F223" s="142" t="e">
        <f>IF('Informe Kelly'!H217=$A$3,'Informe Kelly'!F217,VLOOKUP(D223,$D$2:$F$4,3,FALSE))-(VLOOKUP(D223,$D$2:$F$4,3,FALSE))</f>
        <v>#N/A</v>
      </c>
      <c r="G223" s="137" t="e">
        <f t="shared" si="6"/>
        <v>#N/A</v>
      </c>
      <c r="J223" s="139" t="s">
        <v>467</v>
      </c>
      <c r="K223" s="140" t="e">
        <v>#N/A</v>
      </c>
      <c r="L223" s="112" t="e">
        <f>IF(J223="","",VLOOKUP(J223,Ingreso!K:AH,24,FALSE))</f>
        <v>#N/A</v>
      </c>
      <c r="M223" s="112" t="e">
        <f t="shared" si="7"/>
        <v>#N/A</v>
      </c>
    </row>
    <row r="224" spans="1:13">
      <c r="A224" s="112" t="str">
        <f>VLOOKUP('Informe Kelly'!A218,Base!A:B,2,FALSE)</f>
        <v>07.481.602-9</v>
      </c>
      <c r="B224" s="112" t="str">
        <f>VLOOKUP('Informe Kelly'!A218,Base!A:G,7,FALSE)</f>
        <v>NARVAI RIVERA JORGE PATRICIO</v>
      </c>
      <c r="C224" s="112" t="str">
        <f>'Informe Kelly'!E218</f>
        <v>05.04.2011</v>
      </c>
      <c r="D224" s="112" t="e">
        <f>VLOOKUP(A224,Ingreso!K:P,6,FALSE)</f>
        <v>#N/A</v>
      </c>
      <c r="E224" s="142" t="e">
        <f>(VLOOKUP(D224,$D$2:$E$4,2,FALSE))-(IF('Informe Kelly'!H218=$A$2,'Informe Kelly'!F218,VLOOKUP(D224,$D$2:$E$4,2,FALSE)))</f>
        <v>#N/A</v>
      </c>
      <c r="F224" s="142" t="e">
        <f>IF('Informe Kelly'!H218=$A$3,'Informe Kelly'!F218,VLOOKUP(D224,$D$2:$F$4,3,FALSE))-(VLOOKUP(D224,$D$2:$F$4,3,FALSE))</f>
        <v>#N/A</v>
      </c>
      <c r="G224" s="137" t="e">
        <f t="shared" si="6"/>
        <v>#N/A</v>
      </c>
      <c r="J224" s="139" t="s">
        <v>463</v>
      </c>
      <c r="K224" s="140" t="e">
        <v>#N/A</v>
      </c>
      <c r="L224" s="112" t="e">
        <f>IF(J224="","",VLOOKUP(J224,Ingreso!K:AH,24,FALSE))</f>
        <v>#N/A</v>
      </c>
      <c r="M224" s="112" t="e">
        <f t="shared" si="7"/>
        <v>#N/A</v>
      </c>
    </row>
    <row r="225" spans="1:13">
      <c r="A225" s="112" t="str">
        <f>VLOOKUP('Informe Kelly'!A219,Base!A:B,2,FALSE)</f>
        <v>07.481.602-9</v>
      </c>
      <c r="B225" s="112" t="str">
        <f>VLOOKUP('Informe Kelly'!A219,Base!A:G,7,FALSE)</f>
        <v>NARVAI RIVERA JORGE PATRICIO</v>
      </c>
      <c r="C225" s="112" t="str">
        <f>'Informe Kelly'!E219</f>
        <v>06.04.2011</v>
      </c>
      <c r="D225" s="112" t="e">
        <f>VLOOKUP(A225,Ingreso!K:P,6,FALSE)</f>
        <v>#N/A</v>
      </c>
      <c r="E225" s="142" t="e">
        <f>(VLOOKUP(D225,$D$2:$E$4,2,FALSE))-(IF('Informe Kelly'!H219=$A$2,'Informe Kelly'!F219,VLOOKUP(D225,$D$2:$E$4,2,FALSE)))</f>
        <v>#N/A</v>
      </c>
      <c r="F225" s="142" t="e">
        <f>IF('Informe Kelly'!H219=$A$3,'Informe Kelly'!F219,VLOOKUP(D225,$D$2:$F$4,3,FALSE))-(VLOOKUP(D225,$D$2:$F$4,3,FALSE))</f>
        <v>#N/A</v>
      </c>
      <c r="G225" s="137" t="e">
        <f t="shared" si="6"/>
        <v>#N/A</v>
      </c>
      <c r="J225" s="139" t="s">
        <v>955</v>
      </c>
      <c r="K225" s="140" t="e">
        <v>#N/A</v>
      </c>
      <c r="L225" s="112" t="e">
        <f>IF(J225="","",VLOOKUP(J225,Ingreso!K:AH,24,FALSE))</f>
        <v>#N/A</v>
      </c>
      <c r="M225" s="112" t="e">
        <f t="shared" si="7"/>
        <v>#N/A</v>
      </c>
    </row>
    <row r="226" spans="1:13">
      <c r="A226" s="112" t="str">
        <f>VLOOKUP('Informe Kelly'!A220,Base!A:B,2,FALSE)</f>
        <v>07.481.602-9</v>
      </c>
      <c r="B226" s="112" t="str">
        <f>VLOOKUP('Informe Kelly'!A220,Base!A:G,7,FALSE)</f>
        <v>NARVAI RIVERA JORGE PATRICIO</v>
      </c>
      <c r="C226" s="112" t="str">
        <f>'Informe Kelly'!E220</f>
        <v>06.04.2011</v>
      </c>
      <c r="D226" s="112" t="e">
        <f>VLOOKUP(A226,Ingreso!K:P,6,FALSE)</f>
        <v>#N/A</v>
      </c>
      <c r="E226" s="142" t="e">
        <f>(VLOOKUP(D226,$D$2:$E$4,2,FALSE))-(IF('Informe Kelly'!H220=$A$2,'Informe Kelly'!F220,VLOOKUP(D226,$D$2:$E$4,2,FALSE)))</f>
        <v>#N/A</v>
      </c>
      <c r="F226" s="142" t="e">
        <f>IF('Informe Kelly'!H220=$A$3,'Informe Kelly'!F220,VLOOKUP(D226,$D$2:$F$4,3,FALSE))-(VLOOKUP(D226,$D$2:$F$4,3,FALSE))</f>
        <v>#N/A</v>
      </c>
      <c r="G226" s="137" t="e">
        <f t="shared" si="6"/>
        <v>#N/A</v>
      </c>
      <c r="J226" s="139" t="s">
        <v>263</v>
      </c>
      <c r="K226" s="140" t="e">
        <v>#N/A</v>
      </c>
      <c r="L226" s="112" t="e">
        <f>IF(J226="","",VLOOKUP(J226,Ingreso!K:AH,24,FALSE))</f>
        <v>#N/A</v>
      </c>
      <c r="M226" s="112" t="e">
        <f t="shared" si="7"/>
        <v>#N/A</v>
      </c>
    </row>
    <row r="227" spans="1:13">
      <c r="A227" s="112" t="str">
        <f>VLOOKUP('Informe Kelly'!A221,Base!A:B,2,FALSE)</f>
        <v>07.481.602-9</v>
      </c>
      <c r="B227" s="112" t="str">
        <f>VLOOKUP('Informe Kelly'!A221,Base!A:G,7,FALSE)</f>
        <v>NARVAI RIVERA JORGE PATRICIO</v>
      </c>
      <c r="C227" s="112" t="str">
        <f>'Informe Kelly'!E221</f>
        <v>07.04.2011</v>
      </c>
      <c r="D227" s="112" t="e">
        <f>VLOOKUP(A227,Ingreso!K:P,6,FALSE)</f>
        <v>#N/A</v>
      </c>
      <c r="E227" s="142" t="e">
        <f>(VLOOKUP(D227,$D$2:$E$4,2,FALSE))-(IF('Informe Kelly'!H221=$A$2,'Informe Kelly'!F221,VLOOKUP(D227,$D$2:$E$4,2,FALSE)))</f>
        <v>#N/A</v>
      </c>
      <c r="F227" s="142" t="e">
        <f>IF('Informe Kelly'!H221=$A$3,'Informe Kelly'!F221,VLOOKUP(D227,$D$2:$F$4,3,FALSE))-(VLOOKUP(D227,$D$2:$F$4,3,FALSE))</f>
        <v>#N/A</v>
      </c>
      <c r="G227" s="137" t="e">
        <f t="shared" si="6"/>
        <v>#N/A</v>
      </c>
      <c r="J227" s="139" t="s">
        <v>776</v>
      </c>
      <c r="K227" s="140" t="e">
        <v>#N/A</v>
      </c>
      <c r="L227" s="112" t="e">
        <f>IF(J227="","",VLOOKUP(J227,Ingreso!K:AH,24,FALSE))</f>
        <v>#N/A</v>
      </c>
      <c r="M227" s="112" t="e">
        <f t="shared" si="7"/>
        <v>#N/A</v>
      </c>
    </row>
    <row r="228" spans="1:13">
      <c r="A228" s="112" t="str">
        <f>VLOOKUP('Informe Kelly'!A222,Base!A:B,2,FALSE)</f>
        <v>07.481.602-9</v>
      </c>
      <c r="B228" s="112" t="str">
        <f>VLOOKUP('Informe Kelly'!A222,Base!A:G,7,FALSE)</f>
        <v>NARVAI RIVERA JORGE PATRICIO</v>
      </c>
      <c r="C228" s="112" t="str">
        <f>'Informe Kelly'!E222</f>
        <v>07.04.2011</v>
      </c>
      <c r="D228" s="112" t="e">
        <f>VLOOKUP(A228,Ingreso!K:P,6,FALSE)</f>
        <v>#N/A</v>
      </c>
      <c r="E228" s="142" t="e">
        <f>(VLOOKUP(D228,$D$2:$E$4,2,FALSE))-(IF('Informe Kelly'!H222=$A$2,'Informe Kelly'!F222,VLOOKUP(D228,$D$2:$E$4,2,FALSE)))</f>
        <v>#N/A</v>
      </c>
      <c r="F228" s="142" t="e">
        <f>IF('Informe Kelly'!H222=$A$3,'Informe Kelly'!F222,VLOOKUP(D228,$D$2:$F$4,3,FALSE))-(VLOOKUP(D228,$D$2:$F$4,3,FALSE))</f>
        <v>#N/A</v>
      </c>
      <c r="G228" s="137" t="e">
        <f t="shared" si="6"/>
        <v>#N/A</v>
      </c>
      <c r="J228" s="139" t="s">
        <v>102</v>
      </c>
      <c r="K228" s="140" t="e">
        <v>#N/A</v>
      </c>
      <c r="L228" s="112" t="e">
        <f>IF(J228="","",VLOOKUP(J228,Ingreso!K:AH,24,FALSE))</f>
        <v>#N/A</v>
      </c>
      <c r="M228" s="112" t="e">
        <f t="shared" si="7"/>
        <v>#N/A</v>
      </c>
    </row>
    <row r="229" spans="1:13">
      <c r="A229" s="112" t="str">
        <f>VLOOKUP('Informe Kelly'!A223,Base!A:B,2,FALSE)</f>
        <v>07.481.602-9</v>
      </c>
      <c r="B229" s="112" t="str">
        <f>VLOOKUP('Informe Kelly'!A223,Base!A:G,7,FALSE)</f>
        <v>NARVAI RIVERA JORGE PATRICIO</v>
      </c>
      <c r="C229" s="112" t="str">
        <f>'Informe Kelly'!E223</f>
        <v>08.04.2011</v>
      </c>
      <c r="D229" s="112" t="e">
        <f>VLOOKUP(A229,Ingreso!K:P,6,FALSE)</f>
        <v>#N/A</v>
      </c>
      <c r="E229" s="142" t="e">
        <f>(VLOOKUP(D229,$D$2:$E$4,2,FALSE))-(IF('Informe Kelly'!H223=$A$2,'Informe Kelly'!F223,VLOOKUP(D229,$D$2:$E$4,2,FALSE)))</f>
        <v>#N/A</v>
      </c>
      <c r="F229" s="142" t="e">
        <f>IF('Informe Kelly'!H223=$A$3,'Informe Kelly'!F223,VLOOKUP(D229,$D$2:$F$4,3,FALSE))-(VLOOKUP(D229,$D$2:$F$4,3,FALSE))</f>
        <v>#N/A</v>
      </c>
      <c r="G229" s="137" t="e">
        <f t="shared" si="6"/>
        <v>#N/A</v>
      </c>
      <c r="J229" s="139" t="s">
        <v>645</v>
      </c>
      <c r="K229" s="140" t="e">
        <v>#N/A</v>
      </c>
      <c r="L229" s="112" t="e">
        <f>IF(J229="","",VLOOKUP(J229,Ingreso!K:AH,24,FALSE))</f>
        <v>#N/A</v>
      </c>
      <c r="M229" s="112" t="e">
        <f t="shared" si="7"/>
        <v>#N/A</v>
      </c>
    </row>
    <row r="230" spans="1:13">
      <c r="A230" s="112" t="str">
        <f>VLOOKUP('Informe Kelly'!A224,Base!A:B,2,FALSE)</f>
        <v>07.481.602-9</v>
      </c>
      <c r="B230" s="112" t="str">
        <f>VLOOKUP('Informe Kelly'!A224,Base!A:G,7,FALSE)</f>
        <v>NARVAI RIVERA JORGE PATRICIO</v>
      </c>
      <c r="C230" s="112" t="str">
        <f>'Informe Kelly'!E224</f>
        <v>08.04.2011</v>
      </c>
      <c r="D230" s="112" t="e">
        <f>VLOOKUP(A230,Ingreso!K:P,6,FALSE)</f>
        <v>#N/A</v>
      </c>
      <c r="E230" s="142" t="e">
        <f>(VLOOKUP(D230,$D$2:$E$4,2,FALSE))-(IF('Informe Kelly'!H224=$A$2,'Informe Kelly'!F224,VLOOKUP(D230,$D$2:$E$4,2,FALSE)))</f>
        <v>#N/A</v>
      </c>
      <c r="F230" s="142" t="e">
        <f>IF('Informe Kelly'!H224=$A$3,'Informe Kelly'!F224,VLOOKUP(D230,$D$2:$F$4,3,FALSE))-(VLOOKUP(D230,$D$2:$F$4,3,FALSE))</f>
        <v>#N/A</v>
      </c>
      <c r="G230" s="137" t="e">
        <f t="shared" si="6"/>
        <v>#N/A</v>
      </c>
      <c r="J230" s="139" t="s">
        <v>359</v>
      </c>
      <c r="K230" s="140" t="e">
        <v>#N/A</v>
      </c>
      <c r="L230" s="112" t="e">
        <f>IF(J230="","",VLOOKUP(J230,Ingreso!K:AH,24,FALSE))</f>
        <v>#N/A</v>
      </c>
      <c r="M230" s="112" t="e">
        <f t="shared" si="7"/>
        <v>#N/A</v>
      </c>
    </row>
    <row r="231" spans="1:13">
      <c r="A231" s="112" t="str">
        <f>VLOOKUP('Informe Kelly'!A225,Base!A:B,2,FALSE)</f>
        <v>07.481.602-9</v>
      </c>
      <c r="B231" s="112" t="str">
        <f>VLOOKUP('Informe Kelly'!A225,Base!A:G,7,FALSE)</f>
        <v>NARVAI RIVERA JORGE PATRICIO</v>
      </c>
      <c r="C231" s="112" t="str">
        <f>'Informe Kelly'!E225</f>
        <v>09.04.2011</v>
      </c>
      <c r="D231" s="112" t="e">
        <f>VLOOKUP(A231,Ingreso!K:P,6,FALSE)</f>
        <v>#N/A</v>
      </c>
      <c r="E231" s="142" t="e">
        <f>(VLOOKUP(D231,$D$2:$E$4,2,FALSE))-(IF('Informe Kelly'!H225=$A$2,'Informe Kelly'!F225,VLOOKUP(D231,$D$2:$E$4,2,FALSE)))</f>
        <v>#N/A</v>
      </c>
      <c r="F231" s="142" t="e">
        <f>IF('Informe Kelly'!H225=$A$3,'Informe Kelly'!F225,VLOOKUP(D231,$D$2:$F$4,3,FALSE))-(VLOOKUP(D231,$D$2:$F$4,3,FALSE))</f>
        <v>#N/A</v>
      </c>
      <c r="G231" s="137" t="e">
        <f t="shared" si="6"/>
        <v>#N/A</v>
      </c>
      <c r="J231" s="139" t="s">
        <v>919</v>
      </c>
      <c r="K231" s="140" t="e">
        <v>#N/A</v>
      </c>
      <c r="L231" s="112" t="e">
        <f>IF(J231="","",VLOOKUP(J231,Ingreso!K:AH,24,FALSE))</f>
        <v>#N/A</v>
      </c>
      <c r="M231" s="112" t="e">
        <f t="shared" si="7"/>
        <v>#N/A</v>
      </c>
    </row>
    <row r="232" spans="1:13">
      <c r="A232" s="112" t="str">
        <f>VLOOKUP('Informe Kelly'!A226,Base!A:B,2,FALSE)</f>
        <v>07.481.602-9</v>
      </c>
      <c r="B232" s="112" t="str">
        <f>VLOOKUP('Informe Kelly'!A226,Base!A:G,7,FALSE)</f>
        <v>NARVAI RIVERA JORGE PATRICIO</v>
      </c>
      <c r="C232" s="112" t="str">
        <f>'Informe Kelly'!E226</f>
        <v>09.04.2011</v>
      </c>
      <c r="D232" s="112" t="e">
        <f>VLOOKUP(A232,Ingreso!K:P,6,FALSE)</f>
        <v>#N/A</v>
      </c>
      <c r="E232" s="142" t="e">
        <f>(VLOOKUP(D232,$D$2:$E$4,2,FALSE))-(IF('Informe Kelly'!H226=$A$2,'Informe Kelly'!F226,VLOOKUP(D232,$D$2:$E$4,2,FALSE)))</f>
        <v>#N/A</v>
      </c>
      <c r="F232" s="142" t="e">
        <f>IF('Informe Kelly'!H226=$A$3,'Informe Kelly'!F226,VLOOKUP(D232,$D$2:$F$4,3,FALSE))-(VLOOKUP(D232,$D$2:$F$4,3,FALSE))</f>
        <v>#N/A</v>
      </c>
      <c r="G232" s="137" t="e">
        <f t="shared" si="6"/>
        <v>#N/A</v>
      </c>
      <c r="J232" s="139" t="s">
        <v>820</v>
      </c>
      <c r="K232" s="140" t="e">
        <v>#N/A</v>
      </c>
      <c r="L232" s="112" t="e">
        <f>IF(J232="","",VLOOKUP(J232,Ingreso!K:AH,24,FALSE))</f>
        <v>#N/A</v>
      </c>
      <c r="M232" s="112" t="e">
        <f t="shared" si="7"/>
        <v>#N/A</v>
      </c>
    </row>
    <row r="233" spans="1:13">
      <c r="A233" s="112" t="str">
        <f>VLOOKUP('Informe Kelly'!A227,Base!A:B,2,FALSE)</f>
        <v>07.717.451-6</v>
      </c>
      <c r="B233" s="112" t="str">
        <f>VLOOKUP('Informe Kelly'!A227,Base!A:G,7,FALSE)</f>
        <v>CERNA  CONTRERAS,JUAN FCO.</v>
      </c>
      <c r="C233" s="112" t="str">
        <f>'Informe Kelly'!E227</f>
        <v>04.04.2011</v>
      </c>
      <c r="D233" s="112" t="e">
        <f>VLOOKUP(A233,Ingreso!K:P,6,FALSE)</f>
        <v>#N/A</v>
      </c>
      <c r="E233" s="142" t="e">
        <f>(VLOOKUP(D233,$D$2:$E$4,2,FALSE))-(IF('Informe Kelly'!H227=$A$2,'Informe Kelly'!F227,VLOOKUP(D233,$D$2:$E$4,2,FALSE)))</f>
        <v>#N/A</v>
      </c>
      <c r="F233" s="142" t="e">
        <f>IF('Informe Kelly'!H227=$A$3,'Informe Kelly'!F227,VLOOKUP(D233,$D$2:$F$4,3,FALSE))-(VLOOKUP(D233,$D$2:$F$4,3,FALSE))</f>
        <v>#N/A</v>
      </c>
      <c r="G233" s="137" t="e">
        <f t="shared" si="6"/>
        <v>#N/A</v>
      </c>
      <c r="J233" s="139" t="s">
        <v>1174</v>
      </c>
      <c r="K233" s="140" t="e">
        <v>#N/A</v>
      </c>
      <c r="L233" s="112" t="e">
        <f>IF(J233="","",VLOOKUP(J233,Ingreso!K:AH,24,FALSE))</f>
        <v>#N/A</v>
      </c>
      <c r="M233" s="112" t="e">
        <f t="shared" si="7"/>
        <v>#N/A</v>
      </c>
    </row>
    <row r="234" spans="1:13">
      <c r="A234" s="112" t="str">
        <f>VLOOKUP('Informe Kelly'!A228,Base!A:B,2,FALSE)</f>
        <v>07.717.451-6</v>
      </c>
      <c r="B234" s="112" t="str">
        <f>VLOOKUP('Informe Kelly'!A228,Base!A:G,7,FALSE)</f>
        <v>CERNA  CONTRERAS,JUAN FCO.</v>
      </c>
      <c r="C234" s="112" t="str">
        <f>'Informe Kelly'!E228</f>
        <v>04.04.2011</v>
      </c>
      <c r="D234" s="112" t="e">
        <f>VLOOKUP(A234,Ingreso!K:P,6,FALSE)</f>
        <v>#N/A</v>
      </c>
      <c r="E234" s="142" t="e">
        <f>(VLOOKUP(D234,$D$2:$E$4,2,FALSE))-(IF('Informe Kelly'!H228=$A$2,'Informe Kelly'!F228,VLOOKUP(D234,$D$2:$E$4,2,FALSE)))</f>
        <v>#N/A</v>
      </c>
      <c r="F234" s="142" t="e">
        <f>IF('Informe Kelly'!H228=$A$3,'Informe Kelly'!F228,VLOOKUP(D234,$D$2:$F$4,3,FALSE))-(VLOOKUP(D234,$D$2:$F$4,3,FALSE))</f>
        <v>#N/A</v>
      </c>
      <c r="G234" s="137" t="e">
        <f t="shared" si="6"/>
        <v>#N/A</v>
      </c>
      <c r="J234" s="139" t="s">
        <v>1073</v>
      </c>
      <c r="K234" s="140" t="e">
        <v>#N/A</v>
      </c>
      <c r="L234" s="112" t="e">
        <f>IF(J234="","",VLOOKUP(J234,Ingreso!K:AH,24,FALSE))</f>
        <v>#N/A</v>
      </c>
      <c r="M234" s="112" t="e">
        <f t="shared" si="7"/>
        <v>#N/A</v>
      </c>
    </row>
    <row r="235" spans="1:13">
      <c r="A235" s="112" t="str">
        <f>VLOOKUP('Informe Kelly'!A229,Base!A:B,2,FALSE)</f>
        <v>07.717.451-6</v>
      </c>
      <c r="B235" s="112" t="str">
        <f>VLOOKUP('Informe Kelly'!A229,Base!A:G,7,FALSE)</f>
        <v>CERNA  CONTRERAS,JUAN FCO.</v>
      </c>
      <c r="C235" s="112" t="str">
        <f>'Informe Kelly'!E229</f>
        <v>05.04.2011</v>
      </c>
      <c r="D235" s="112" t="e">
        <f>VLOOKUP(A235,Ingreso!K:P,6,FALSE)</f>
        <v>#N/A</v>
      </c>
      <c r="E235" s="142" t="e">
        <f>(VLOOKUP(D235,$D$2:$E$4,2,FALSE))-(IF('Informe Kelly'!H229=$A$2,'Informe Kelly'!F229,VLOOKUP(D235,$D$2:$E$4,2,FALSE)))</f>
        <v>#N/A</v>
      </c>
      <c r="F235" s="142" t="e">
        <f>IF('Informe Kelly'!H229=$A$3,'Informe Kelly'!F229,VLOOKUP(D235,$D$2:$F$4,3,FALSE))-(VLOOKUP(D235,$D$2:$F$4,3,FALSE))</f>
        <v>#N/A</v>
      </c>
      <c r="G235" s="137" t="e">
        <f t="shared" si="6"/>
        <v>#N/A</v>
      </c>
      <c r="J235" s="139" t="s">
        <v>94</v>
      </c>
      <c r="K235" s="140" t="e">
        <v>#N/A</v>
      </c>
      <c r="L235" s="112" t="e">
        <f>IF(J235="","",VLOOKUP(J235,Ingreso!K:AH,24,FALSE))</f>
        <v>#N/A</v>
      </c>
      <c r="M235" s="112" t="e">
        <f t="shared" si="7"/>
        <v>#N/A</v>
      </c>
    </row>
    <row r="236" spans="1:13">
      <c r="A236" s="112" t="str">
        <f>VLOOKUP('Informe Kelly'!A230,Base!A:B,2,FALSE)</f>
        <v>07.717.451-6</v>
      </c>
      <c r="B236" s="112" t="str">
        <f>VLOOKUP('Informe Kelly'!A230,Base!A:G,7,FALSE)</f>
        <v>CERNA  CONTRERAS,JUAN FCO.</v>
      </c>
      <c r="C236" s="112" t="str">
        <f>'Informe Kelly'!E230</f>
        <v>05.04.2011</v>
      </c>
      <c r="D236" s="112" t="e">
        <f>VLOOKUP(A236,Ingreso!K:P,6,FALSE)</f>
        <v>#N/A</v>
      </c>
      <c r="E236" s="142" t="e">
        <f>(VLOOKUP(D236,$D$2:$E$4,2,FALSE))-(IF('Informe Kelly'!H230=$A$2,'Informe Kelly'!F230,VLOOKUP(D236,$D$2:$E$4,2,FALSE)))</f>
        <v>#N/A</v>
      </c>
      <c r="F236" s="142" t="e">
        <f>IF('Informe Kelly'!H230=$A$3,'Informe Kelly'!F230,VLOOKUP(D236,$D$2:$F$4,3,FALSE))-(VLOOKUP(D236,$D$2:$F$4,3,FALSE))</f>
        <v>#N/A</v>
      </c>
      <c r="G236" s="137" t="e">
        <f t="shared" si="6"/>
        <v>#N/A</v>
      </c>
      <c r="L236" s="112" t="str">
        <f>IF(J236="","",VLOOKUP(J236,Ingreso!K:AH,24,FALSE))</f>
        <v/>
      </c>
      <c r="M236" s="112" t="str">
        <f t="shared" si="7"/>
        <v/>
      </c>
    </row>
    <row r="237" spans="1:13">
      <c r="A237" s="112" t="str">
        <f>VLOOKUP('Informe Kelly'!A231,Base!A:B,2,FALSE)</f>
        <v>07.717.451-6</v>
      </c>
      <c r="B237" s="112" t="str">
        <f>VLOOKUP('Informe Kelly'!A231,Base!A:G,7,FALSE)</f>
        <v>CERNA  CONTRERAS,JUAN FCO.</v>
      </c>
      <c r="C237" s="112" t="str">
        <f>'Informe Kelly'!E231</f>
        <v>06.04.2011</v>
      </c>
      <c r="D237" s="112" t="e">
        <f>VLOOKUP(A237,Ingreso!K:P,6,FALSE)</f>
        <v>#N/A</v>
      </c>
      <c r="E237" s="142" t="e">
        <f>(VLOOKUP(D237,$D$2:$E$4,2,FALSE))-(IF('Informe Kelly'!H231=$A$2,'Informe Kelly'!F231,VLOOKUP(D237,$D$2:$E$4,2,FALSE)))</f>
        <v>#N/A</v>
      </c>
      <c r="F237" s="142" t="e">
        <f>IF('Informe Kelly'!H231=$A$3,'Informe Kelly'!F231,VLOOKUP(D237,$D$2:$F$4,3,FALSE))-(VLOOKUP(D237,$D$2:$F$4,3,FALSE))</f>
        <v>#N/A</v>
      </c>
      <c r="G237" s="137" t="e">
        <f t="shared" si="6"/>
        <v>#N/A</v>
      </c>
      <c r="L237" s="112" t="str">
        <f>IF(J237="","",VLOOKUP(J237,Ingreso!K:AH,24,FALSE))</f>
        <v/>
      </c>
      <c r="M237" s="112" t="str">
        <f t="shared" si="7"/>
        <v/>
      </c>
    </row>
    <row r="238" spans="1:13">
      <c r="A238" s="112" t="str">
        <f>VLOOKUP('Informe Kelly'!A232,Base!A:B,2,FALSE)</f>
        <v>07.717.451-6</v>
      </c>
      <c r="B238" s="112" t="str">
        <f>VLOOKUP('Informe Kelly'!A232,Base!A:G,7,FALSE)</f>
        <v>CERNA  CONTRERAS,JUAN FCO.</v>
      </c>
      <c r="C238" s="112" t="str">
        <f>'Informe Kelly'!E232</f>
        <v>06.04.2011</v>
      </c>
      <c r="D238" s="112" t="e">
        <f>VLOOKUP(A238,Ingreso!K:P,6,FALSE)</f>
        <v>#N/A</v>
      </c>
      <c r="E238" s="142" t="e">
        <f>(VLOOKUP(D238,$D$2:$E$4,2,FALSE))-(IF('Informe Kelly'!H232=$A$2,'Informe Kelly'!F232,VLOOKUP(D238,$D$2:$E$4,2,FALSE)))</f>
        <v>#N/A</v>
      </c>
      <c r="F238" s="142" t="e">
        <f>IF('Informe Kelly'!H232=$A$3,'Informe Kelly'!F232,VLOOKUP(D238,$D$2:$F$4,3,FALSE))-(VLOOKUP(D238,$D$2:$F$4,3,FALSE))</f>
        <v>#N/A</v>
      </c>
      <c r="G238" s="137" t="e">
        <f t="shared" si="6"/>
        <v>#N/A</v>
      </c>
      <c r="L238" s="112" t="str">
        <f>IF(J238="","",VLOOKUP(J238,Ingreso!K:AH,24,FALSE))</f>
        <v/>
      </c>
      <c r="M238" s="112" t="str">
        <f t="shared" si="7"/>
        <v/>
      </c>
    </row>
    <row r="239" spans="1:13">
      <c r="A239" s="112" t="str">
        <f>VLOOKUP('Informe Kelly'!A233,Base!A:B,2,FALSE)</f>
        <v>07.717.451-6</v>
      </c>
      <c r="B239" s="112" t="str">
        <f>VLOOKUP('Informe Kelly'!A233,Base!A:G,7,FALSE)</f>
        <v>CERNA  CONTRERAS,JUAN FCO.</v>
      </c>
      <c r="C239" s="112" t="str">
        <f>'Informe Kelly'!E233</f>
        <v>07.04.2011</v>
      </c>
      <c r="D239" s="112" t="e">
        <f>VLOOKUP(A239,Ingreso!K:P,6,FALSE)</f>
        <v>#N/A</v>
      </c>
      <c r="E239" s="142" t="e">
        <f>(VLOOKUP(D239,$D$2:$E$4,2,FALSE))-(IF('Informe Kelly'!H233=$A$2,'Informe Kelly'!F233,VLOOKUP(D239,$D$2:$E$4,2,FALSE)))</f>
        <v>#N/A</v>
      </c>
      <c r="F239" s="142" t="e">
        <f>IF('Informe Kelly'!H233=$A$3,'Informe Kelly'!F233,VLOOKUP(D239,$D$2:$F$4,3,FALSE))-(VLOOKUP(D239,$D$2:$F$4,3,FALSE))</f>
        <v>#N/A</v>
      </c>
      <c r="G239" s="137" t="e">
        <f t="shared" si="6"/>
        <v>#N/A</v>
      </c>
      <c r="L239" s="112" t="str">
        <f>IF(J239="","",VLOOKUP(J239,Ingreso!K:AH,24,FALSE))</f>
        <v/>
      </c>
      <c r="M239" s="112" t="str">
        <f t="shared" si="7"/>
        <v/>
      </c>
    </row>
    <row r="240" spans="1:13">
      <c r="A240" s="112" t="str">
        <f>VLOOKUP('Informe Kelly'!A234,Base!A:B,2,FALSE)</f>
        <v>07.717.451-6</v>
      </c>
      <c r="B240" s="112" t="str">
        <f>VLOOKUP('Informe Kelly'!A234,Base!A:G,7,FALSE)</f>
        <v>CERNA  CONTRERAS,JUAN FCO.</v>
      </c>
      <c r="C240" s="112" t="str">
        <f>'Informe Kelly'!E234</f>
        <v>07.04.2011</v>
      </c>
      <c r="D240" s="112" t="e">
        <f>VLOOKUP(A240,Ingreso!K:P,6,FALSE)</f>
        <v>#N/A</v>
      </c>
      <c r="E240" s="142" t="e">
        <f>(VLOOKUP(D240,$D$2:$E$4,2,FALSE))-(IF('Informe Kelly'!H234=$A$2,'Informe Kelly'!F234,VLOOKUP(D240,$D$2:$E$4,2,FALSE)))</f>
        <v>#N/A</v>
      </c>
      <c r="F240" s="142" t="e">
        <f>IF('Informe Kelly'!H234=$A$3,'Informe Kelly'!F234,VLOOKUP(D240,$D$2:$F$4,3,FALSE))-(VLOOKUP(D240,$D$2:$F$4,3,FALSE))</f>
        <v>#N/A</v>
      </c>
      <c r="G240" s="137" t="e">
        <f t="shared" si="6"/>
        <v>#N/A</v>
      </c>
      <c r="L240" s="112" t="str">
        <f>IF(J240="","",VLOOKUP(J240,Ingreso!K:AH,24,FALSE))</f>
        <v/>
      </c>
      <c r="M240" s="112" t="str">
        <f t="shared" si="7"/>
        <v/>
      </c>
    </row>
    <row r="241" spans="1:13">
      <c r="A241" s="112" t="str">
        <f>VLOOKUP('Informe Kelly'!A235,Base!A:B,2,FALSE)</f>
        <v>07.717.451-6</v>
      </c>
      <c r="B241" s="112" t="str">
        <f>VLOOKUP('Informe Kelly'!A235,Base!A:G,7,FALSE)</f>
        <v>CERNA  CONTRERAS,JUAN FCO.</v>
      </c>
      <c r="C241" s="112" t="str">
        <f>'Informe Kelly'!E235</f>
        <v>08.04.2011</v>
      </c>
      <c r="D241" s="112" t="e">
        <f>VLOOKUP(A241,Ingreso!K:P,6,FALSE)</f>
        <v>#N/A</v>
      </c>
      <c r="E241" s="142" t="e">
        <f>(VLOOKUP(D241,$D$2:$E$4,2,FALSE))-(IF('Informe Kelly'!H235=$A$2,'Informe Kelly'!F235,VLOOKUP(D241,$D$2:$E$4,2,FALSE)))</f>
        <v>#N/A</v>
      </c>
      <c r="F241" s="142" t="e">
        <f>IF('Informe Kelly'!H235=$A$3,'Informe Kelly'!F235,VLOOKUP(D241,$D$2:$F$4,3,FALSE))-(VLOOKUP(D241,$D$2:$F$4,3,FALSE))</f>
        <v>#N/A</v>
      </c>
      <c r="G241" s="137" t="e">
        <f t="shared" si="6"/>
        <v>#N/A</v>
      </c>
      <c r="L241" s="112" t="str">
        <f>IF(J241="","",VLOOKUP(J241,Ingreso!K:AH,24,FALSE))</f>
        <v/>
      </c>
      <c r="M241" s="112" t="str">
        <f t="shared" si="7"/>
        <v/>
      </c>
    </row>
    <row r="242" spans="1:13">
      <c r="A242" s="112" t="str">
        <f>VLOOKUP('Informe Kelly'!A236,Base!A:B,2,FALSE)</f>
        <v>07.717.451-6</v>
      </c>
      <c r="B242" s="112" t="str">
        <f>VLOOKUP('Informe Kelly'!A236,Base!A:G,7,FALSE)</f>
        <v>CERNA  CONTRERAS,JUAN FCO.</v>
      </c>
      <c r="C242" s="112" t="str">
        <f>'Informe Kelly'!E236</f>
        <v>08.04.2011</v>
      </c>
      <c r="D242" s="112" t="e">
        <f>VLOOKUP(A242,Ingreso!K:P,6,FALSE)</f>
        <v>#N/A</v>
      </c>
      <c r="E242" s="142" t="e">
        <f>(VLOOKUP(D242,$D$2:$E$4,2,FALSE))-(IF('Informe Kelly'!H236=$A$2,'Informe Kelly'!F236,VLOOKUP(D242,$D$2:$E$4,2,FALSE)))</f>
        <v>#N/A</v>
      </c>
      <c r="F242" s="142" t="e">
        <f>IF('Informe Kelly'!H236=$A$3,'Informe Kelly'!F236,VLOOKUP(D242,$D$2:$F$4,3,FALSE))-(VLOOKUP(D242,$D$2:$F$4,3,FALSE))</f>
        <v>#N/A</v>
      </c>
      <c r="G242" s="137" t="e">
        <f t="shared" si="6"/>
        <v>#N/A</v>
      </c>
      <c r="L242" s="112" t="str">
        <f>IF(J242="","",VLOOKUP(J242,Ingreso!K:AH,24,FALSE))</f>
        <v/>
      </c>
      <c r="M242" s="112" t="str">
        <f t="shared" si="7"/>
        <v/>
      </c>
    </row>
    <row r="243" spans="1:13">
      <c r="A243" s="112" t="str">
        <f>VLOOKUP('Informe Kelly'!A237,Base!A:B,2,FALSE)</f>
        <v>07.721.223-K</v>
      </c>
      <c r="B243" s="112" t="str">
        <f>VLOOKUP('Informe Kelly'!A237,Base!A:G,7,FALSE)</f>
        <v xml:space="preserve">QUIROZ VENEGAS JOSE MANUEL </v>
      </c>
      <c r="C243" s="112" t="str">
        <f>'Informe Kelly'!E237</f>
        <v>04.04.2011</v>
      </c>
      <c r="D243" s="112" t="e">
        <f>VLOOKUP(A243,Ingreso!K:P,6,FALSE)</f>
        <v>#N/A</v>
      </c>
      <c r="E243" s="142" t="e">
        <f>(VLOOKUP(D243,$D$2:$E$4,2,FALSE))-(IF('Informe Kelly'!H237=$A$2,'Informe Kelly'!F237,VLOOKUP(D243,$D$2:$E$4,2,FALSE)))</f>
        <v>#N/A</v>
      </c>
      <c r="F243" s="142" t="e">
        <f>IF('Informe Kelly'!H237=$A$3,'Informe Kelly'!F237,VLOOKUP(D243,$D$2:$F$4,3,FALSE))-(VLOOKUP(D243,$D$2:$F$4,3,FALSE))</f>
        <v>#N/A</v>
      </c>
      <c r="G243" s="137" t="e">
        <f t="shared" si="6"/>
        <v>#N/A</v>
      </c>
      <c r="L243" s="112" t="str">
        <f>IF(J243="","",VLOOKUP(J243,Ingreso!K:AH,24,FALSE))</f>
        <v/>
      </c>
      <c r="M243" s="112" t="str">
        <f t="shared" si="7"/>
        <v/>
      </c>
    </row>
    <row r="244" spans="1:13">
      <c r="A244" s="112" t="str">
        <f>VLOOKUP('Informe Kelly'!A238,Base!A:B,2,FALSE)</f>
        <v>07.721.223-K</v>
      </c>
      <c r="B244" s="112" t="str">
        <f>VLOOKUP('Informe Kelly'!A238,Base!A:G,7,FALSE)</f>
        <v xml:space="preserve">QUIROZ VENEGAS JOSE MANUEL </v>
      </c>
      <c r="C244" s="112" t="str">
        <f>'Informe Kelly'!E238</f>
        <v>04.04.2011</v>
      </c>
      <c r="D244" s="112" t="e">
        <f>VLOOKUP(A244,Ingreso!K:P,6,FALSE)</f>
        <v>#N/A</v>
      </c>
      <c r="E244" s="142" t="e">
        <f>(VLOOKUP(D244,$D$2:$E$4,2,FALSE))-(IF('Informe Kelly'!H238=$A$2,'Informe Kelly'!F238,VLOOKUP(D244,$D$2:$E$4,2,FALSE)))</f>
        <v>#N/A</v>
      </c>
      <c r="F244" s="142" t="e">
        <f>IF('Informe Kelly'!H238=$A$3,'Informe Kelly'!F238,VLOOKUP(D244,$D$2:$F$4,3,FALSE))-(VLOOKUP(D244,$D$2:$F$4,3,FALSE))</f>
        <v>#N/A</v>
      </c>
      <c r="G244" s="137" t="e">
        <f t="shared" si="6"/>
        <v>#N/A</v>
      </c>
      <c r="L244" s="112" t="str">
        <f>IF(J244="","",VLOOKUP(J244,Ingreso!K:AH,24,FALSE))</f>
        <v/>
      </c>
      <c r="M244" s="112" t="str">
        <f t="shared" si="7"/>
        <v/>
      </c>
    </row>
    <row r="245" spans="1:13">
      <c r="A245" s="112" t="str">
        <f>VLOOKUP('Informe Kelly'!A239,Base!A:B,2,FALSE)</f>
        <v>07.721.223-K</v>
      </c>
      <c r="B245" s="112" t="str">
        <f>VLOOKUP('Informe Kelly'!A239,Base!A:G,7,FALSE)</f>
        <v xml:space="preserve">QUIROZ VENEGAS JOSE MANUEL </v>
      </c>
      <c r="C245" s="112" t="str">
        <f>'Informe Kelly'!E239</f>
        <v>05.04.2011</v>
      </c>
      <c r="D245" s="112" t="e">
        <f>VLOOKUP(A245,Ingreso!K:P,6,FALSE)</f>
        <v>#N/A</v>
      </c>
      <c r="E245" s="142" t="e">
        <f>(VLOOKUP(D245,$D$2:$E$4,2,FALSE))-(IF('Informe Kelly'!H239=$A$2,'Informe Kelly'!F239,VLOOKUP(D245,$D$2:$E$4,2,FALSE)))</f>
        <v>#N/A</v>
      </c>
      <c r="F245" s="142" t="e">
        <f>IF('Informe Kelly'!H239=$A$3,'Informe Kelly'!F239,VLOOKUP(D245,$D$2:$F$4,3,FALSE))-(VLOOKUP(D245,$D$2:$F$4,3,FALSE))</f>
        <v>#N/A</v>
      </c>
      <c r="G245" s="137" t="e">
        <f t="shared" si="6"/>
        <v>#N/A</v>
      </c>
      <c r="L245" s="112" t="str">
        <f>IF(J245="","",VLOOKUP(J245,Ingreso!K:AH,24,FALSE))</f>
        <v/>
      </c>
      <c r="M245" s="112" t="str">
        <f t="shared" si="7"/>
        <v/>
      </c>
    </row>
    <row r="246" spans="1:13">
      <c r="A246" s="112" t="str">
        <f>VLOOKUP('Informe Kelly'!A240,Base!A:B,2,FALSE)</f>
        <v>07.721.223-K</v>
      </c>
      <c r="B246" s="112" t="str">
        <f>VLOOKUP('Informe Kelly'!A240,Base!A:G,7,FALSE)</f>
        <v xml:space="preserve">QUIROZ VENEGAS JOSE MANUEL </v>
      </c>
      <c r="C246" s="112" t="str">
        <f>'Informe Kelly'!E240</f>
        <v>05.04.2011</v>
      </c>
      <c r="D246" s="112" t="e">
        <f>VLOOKUP(A246,Ingreso!K:P,6,FALSE)</f>
        <v>#N/A</v>
      </c>
      <c r="E246" s="142" t="e">
        <f>(VLOOKUP(D246,$D$2:$E$4,2,FALSE))-(IF('Informe Kelly'!H240=$A$2,'Informe Kelly'!F240,VLOOKUP(D246,$D$2:$E$4,2,FALSE)))</f>
        <v>#N/A</v>
      </c>
      <c r="F246" s="142" t="e">
        <f>IF('Informe Kelly'!H240=$A$3,'Informe Kelly'!F240,VLOOKUP(D246,$D$2:$F$4,3,FALSE))-(VLOOKUP(D246,$D$2:$F$4,3,FALSE))</f>
        <v>#N/A</v>
      </c>
      <c r="G246" s="137" t="e">
        <f t="shared" si="6"/>
        <v>#N/A</v>
      </c>
      <c r="L246" s="112" t="str">
        <f>IF(J246="","",VLOOKUP(J246,Ingreso!K:AH,24,FALSE))</f>
        <v/>
      </c>
      <c r="M246" s="112" t="str">
        <f t="shared" si="7"/>
        <v/>
      </c>
    </row>
    <row r="247" spans="1:13">
      <c r="A247" s="112" t="str">
        <f>VLOOKUP('Informe Kelly'!A241,Base!A:B,2,FALSE)</f>
        <v>07.721.223-K</v>
      </c>
      <c r="B247" s="112" t="str">
        <f>VLOOKUP('Informe Kelly'!A241,Base!A:G,7,FALSE)</f>
        <v xml:space="preserve">QUIROZ VENEGAS JOSE MANUEL </v>
      </c>
      <c r="C247" s="112" t="str">
        <f>'Informe Kelly'!E241</f>
        <v>06.04.2011</v>
      </c>
      <c r="D247" s="112" t="e">
        <f>VLOOKUP(A247,Ingreso!K:P,6,FALSE)</f>
        <v>#N/A</v>
      </c>
      <c r="E247" s="142" t="e">
        <f>(VLOOKUP(D247,$D$2:$E$4,2,FALSE))-(IF('Informe Kelly'!H241=$A$2,'Informe Kelly'!F241,VLOOKUP(D247,$D$2:$E$4,2,FALSE)))</f>
        <v>#N/A</v>
      </c>
      <c r="F247" s="142" t="e">
        <f>IF('Informe Kelly'!H241=$A$3,'Informe Kelly'!F241,VLOOKUP(D247,$D$2:$F$4,3,FALSE))-(VLOOKUP(D247,$D$2:$F$4,3,FALSE))</f>
        <v>#N/A</v>
      </c>
      <c r="G247" s="137" t="e">
        <f t="shared" si="6"/>
        <v>#N/A</v>
      </c>
      <c r="L247" s="112" t="str">
        <f>IF(J247="","",VLOOKUP(J247,Ingreso!K:AH,24,FALSE))</f>
        <v/>
      </c>
      <c r="M247" s="112" t="str">
        <f t="shared" si="7"/>
        <v/>
      </c>
    </row>
    <row r="248" spans="1:13">
      <c r="A248" s="112" t="str">
        <f>VLOOKUP('Informe Kelly'!A242,Base!A:B,2,FALSE)</f>
        <v>07.721.223-K</v>
      </c>
      <c r="B248" s="112" t="str">
        <f>VLOOKUP('Informe Kelly'!A242,Base!A:G,7,FALSE)</f>
        <v xml:space="preserve">QUIROZ VENEGAS JOSE MANUEL </v>
      </c>
      <c r="C248" s="112" t="str">
        <f>'Informe Kelly'!E242</f>
        <v>06.04.2011</v>
      </c>
      <c r="D248" s="112" t="e">
        <f>VLOOKUP(A248,Ingreso!K:P,6,FALSE)</f>
        <v>#N/A</v>
      </c>
      <c r="E248" s="142" t="e">
        <f>(VLOOKUP(D248,$D$2:$E$4,2,FALSE))-(IF('Informe Kelly'!H242=$A$2,'Informe Kelly'!F242,VLOOKUP(D248,$D$2:$E$4,2,FALSE)))</f>
        <v>#N/A</v>
      </c>
      <c r="F248" s="142" t="e">
        <f>IF('Informe Kelly'!H242=$A$3,'Informe Kelly'!F242,VLOOKUP(D248,$D$2:$F$4,3,FALSE))-(VLOOKUP(D248,$D$2:$F$4,3,FALSE))</f>
        <v>#N/A</v>
      </c>
      <c r="G248" s="137" t="e">
        <f t="shared" si="6"/>
        <v>#N/A</v>
      </c>
      <c r="L248" s="112" t="str">
        <f>IF(J248="","",VLOOKUP(J248,Ingreso!K:AH,24,FALSE))</f>
        <v/>
      </c>
      <c r="M248" s="112" t="str">
        <f t="shared" si="7"/>
        <v/>
      </c>
    </row>
    <row r="249" spans="1:13">
      <c r="A249" s="112" t="str">
        <f>VLOOKUP('Informe Kelly'!A243,Base!A:B,2,FALSE)</f>
        <v>07.721.223-K</v>
      </c>
      <c r="B249" s="112" t="str">
        <f>VLOOKUP('Informe Kelly'!A243,Base!A:G,7,FALSE)</f>
        <v xml:space="preserve">QUIROZ VENEGAS JOSE MANUEL </v>
      </c>
      <c r="C249" s="112" t="str">
        <f>'Informe Kelly'!E243</f>
        <v>07.04.2011</v>
      </c>
      <c r="D249" s="112" t="e">
        <f>VLOOKUP(A249,Ingreso!K:P,6,FALSE)</f>
        <v>#N/A</v>
      </c>
      <c r="E249" s="142" t="e">
        <f>(VLOOKUP(D249,$D$2:$E$4,2,FALSE))-(IF('Informe Kelly'!H243=$A$2,'Informe Kelly'!F243,VLOOKUP(D249,$D$2:$E$4,2,FALSE)))</f>
        <v>#N/A</v>
      </c>
      <c r="F249" s="142" t="e">
        <f>IF('Informe Kelly'!H243=$A$3,'Informe Kelly'!F243,VLOOKUP(D249,$D$2:$F$4,3,FALSE))-(VLOOKUP(D249,$D$2:$F$4,3,FALSE))</f>
        <v>#N/A</v>
      </c>
      <c r="G249" s="137" t="e">
        <f t="shared" si="6"/>
        <v>#N/A</v>
      </c>
      <c r="L249" s="112" t="str">
        <f>IF(J249="","",VLOOKUP(J249,Ingreso!K:AH,24,FALSE))</f>
        <v/>
      </c>
      <c r="M249" s="112" t="str">
        <f t="shared" si="7"/>
        <v/>
      </c>
    </row>
    <row r="250" spans="1:13">
      <c r="A250" s="112" t="str">
        <f>VLOOKUP('Informe Kelly'!A244,Base!A:B,2,FALSE)</f>
        <v>07.721.223-K</v>
      </c>
      <c r="B250" s="112" t="str">
        <f>VLOOKUP('Informe Kelly'!A244,Base!A:G,7,FALSE)</f>
        <v xml:space="preserve">QUIROZ VENEGAS JOSE MANUEL </v>
      </c>
      <c r="C250" s="112" t="str">
        <f>'Informe Kelly'!E244</f>
        <v>07.04.2011</v>
      </c>
      <c r="D250" s="112" t="e">
        <f>VLOOKUP(A250,Ingreso!K:P,6,FALSE)</f>
        <v>#N/A</v>
      </c>
      <c r="E250" s="142" t="e">
        <f>(VLOOKUP(D250,$D$2:$E$4,2,FALSE))-(IF('Informe Kelly'!H244=$A$2,'Informe Kelly'!F244,VLOOKUP(D250,$D$2:$E$4,2,FALSE)))</f>
        <v>#N/A</v>
      </c>
      <c r="F250" s="142" t="e">
        <f>IF('Informe Kelly'!H244=$A$3,'Informe Kelly'!F244,VLOOKUP(D250,$D$2:$F$4,3,FALSE))-(VLOOKUP(D250,$D$2:$F$4,3,FALSE))</f>
        <v>#N/A</v>
      </c>
      <c r="G250" s="137" t="e">
        <f t="shared" si="6"/>
        <v>#N/A</v>
      </c>
    </row>
    <row r="251" spans="1:13">
      <c r="A251" s="112" t="str">
        <f>VLOOKUP('Informe Kelly'!A245,Base!A:B,2,FALSE)</f>
        <v>07.721.223-K</v>
      </c>
      <c r="B251" s="112" t="str">
        <f>VLOOKUP('Informe Kelly'!A245,Base!A:G,7,FALSE)</f>
        <v xml:space="preserve">QUIROZ VENEGAS JOSE MANUEL </v>
      </c>
      <c r="C251" s="112" t="str">
        <f>'Informe Kelly'!E245</f>
        <v>08.04.2011</v>
      </c>
      <c r="D251" s="112" t="e">
        <f>VLOOKUP(A251,Ingreso!K:P,6,FALSE)</f>
        <v>#N/A</v>
      </c>
      <c r="E251" s="142" t="e">
        <f>(VLOOKUP(D251,$D$2:$E$4,2,FALSE))-(IF('Informe Kelly'!H245=$A$2,'Informe Kelly'!F245,VLOOKUP(D251,$D$2:$E$4,2,FALSE)))</f>
        <v>#N/A</v>
      </c>
      <c r="F251" s="142" t="e">
        <f>IF('Informe Kelly'!H245=$A$3,'Informe Kelly'!F245,VLOOKUP(D251,$D$2:$F$4,3,FALSE))-(VLOOKUP(D251,$D$2:$F$4,3,FALSE))</f>
        <v>#N/A</v>
      </c>
      <c r="G251" s="137" t="e">
        <f t="shared" si="6"/>
        <v>#N/A</v>
      </c>
    </row>
    <row r="252" spans="1:13">
      <c r="A252" s="112" t="str">
        <f>VLOOKUP('Informe Kelly'!A246,Base!A:B,2,FALSE)</f>
        <v>07.721.223-K</v>
      </c>
      <c r="B252" s="112" t="str">
        <f>VLOOKUP('Informe Kelly'!A246,Base!A:G,7,FALSE)</f>
        <v xml:space="preserve">QUIROZ VENEGAS JOSE MANUEL </v>
      </c>
      <c r="C252" s="112" t="str">
        <f>'Informe Kelly'!E246</f>
        <v>08.04.2011</v>
      </c>
      <c r="D252" s="112" t="e">
        <f>VLOOKUP(A252,Ingreso!K:P,6,FALSE)</f>
        <v>#N/A</v>
      </c>
      <c r="E252" s="142" t="e">
        <f>(VLOOKUP(D252,$D$2:$E$4,2,FALSE))-(IF('Informe Kelly'!H246=$A$2,'Informe Kelly'!F246,VLOOKUP(D252,$D$2:$E$4,2,FALSE)))</f>
        <v>#N/A</v>
      </c>
      <c r="F252" s="142" t="e">
        <f>IF('Informe Kelly'!H246=$A$3,'Informe Kelly'!F246,VLOOKUP(D252,$D$2:$F$4,3,FALSE))-(VLOOKUP(D252,$D$2:$F$4,3,FALSE))</f>
        <v>#N/A</v>
      </c>
      <c r="G252" s="137" t="e">
        <f t="shared" si="6"/>
        <v>#N/A</v>
      </c>
    </row>
    <row r="253" spans="1:13">
      <c r="A253" s="112" t="str">
        <f>VLOOKUP('Informe Kelly'!A247,Base!A:B,2,FALSE)</f>
        <v>07.721.223-K</v>
      </c>
      <c r="B253" s="112" t="str">
        <f>VLOOKUP('Informe Kelly'!A247,Base!A:G,7,FALSE)</f>
        <v xml:space="preserve">QUIROZ VENEGAS JOSE MANUEL </v>
      </c>
      <c r="C253" s="112" t="str">
        <f>'Informe Kelly'!E247</f>
        <v>09.04.2011</v>
      </c>
      <c r="D253" s="112" t="e">
        <f>VLOOKUP(A253,Ingreso!K:P,6,FALSE)</f>
        <v>#N/A</v>
      </c>
      <c r="E253" s="142" t="e">
        <f>(VLOOKUP(D253,$D$2:$E$4,2,FALSE))-(IF('Informe Kelly'!H247=$A$2,'Informe Kelly'!F247,VLOOKUP(D253,$D$2:$E$4,2,FALSE)))</f>
        <v>#N/A</v>
      </c>
      <c r="F253" s="142" t="e">
        <f>IF('Informe Kelly'!H247=$A$3,'Informe Kelly'!F247,VLOOKUP(D253,$D$2:$F$4,3,FALSE))-(VLOOKUP(D253,$D$2:$F$4,3,FALSE))</f>
        <v>#N/A</v>
      </c>
      <c r="G253" s="137" t="e">
        <f t="shared" si="6"/>
        <v>#N/A</v>
      </c>
    </row>
    <row r="254" spans="1:13">
      <c r="A254" s="112" t="str">
        <f>VLOOKUP('Informe Kelly'!A248,Base!A:B,2,FALSE)</f>
        <v>07.721.223-K</v>
      </c>
      <c r="B254" s="112" t="str">
        <f>VLOOKUP('Informe Kelly'!A248,Base!A:G,7,FALSE)</f>
        <v xml:space="preserve">QUIROZ VENEGAS JOSE MANUEL </v>
      </c>
      <c r="C254" s="112" t="str">
        <f>'Informe Kelly'!E248</f>
        <v>09.04.2011</v>
      </c>
      <c r="D254" s="112" t="e">
        <f>VLOOKUP(A254,Ingreso!K:P,6,FALSE)</f>
        <v>#N/A</v>
      </c>
      <c r="E254" s="142" t="e">
        <f>(VLOOKUP(D254,$D$2:$E$4,2,FALSE))-(IF('Informe Kelly'!H248=$A$2,'Informe Kelly'!F248,VLOOKUP(D254,$D$2:$E$4,2,FALSE)))</f>
        <v>#N/A</v>
      </c>
      <c r="F254" s="142" t="e">
        <f>IF('Informe Kelly'!H248=$A$3,'Informe Kelly'!F248,VLOOKUP(D254,$D$2:$F$4,3,FALSE))-(VLOOKUP(D254,$D$2:$F$4,3,FALSE))</f>
        <v>#N/A</v>
      </c>
      <c r="G254" s="137" t="e">
        <f t="shared" si="6"/>
        <v>#N/A</v>
      </c>
    </row>
    <row r="255" spans="1:13">
      <c r="A255" s="112" t="str">
        <f>VLOOKUP('Informe Kelly'!A249,Base!A:B,2,FALSE)</f>
        <v>07.760.886-9</v>
      </c>
      <c r="B255" s="112" t="str">
        <f>VLOOKUP('Informe Kelly'!A249,Base!A:G,7,FALSE)</f>
        <v>ALBORNOZ ROA OSCAR ALFREDO</v>
      </c>
      <c r="C255" s="112" t="str">
        <f>'Informe Kelly'!E249</f>
        <v>04.04.2011</v>
      </c>
      <c r="D255" s="112" t="e">
        <f>VLOOKUP(A255,Ingreso!K:P,6,FALSE)</f>
        <v>#N/A</v>
      </c>
      <c r="E255" s="142" t="e">
        <f>(VLOOKUP(D255,$D$2:$E$4,2,FALSE))-(IF('Informe Kelly'!H249=$A$2,'Informe Kelly'!F249,VLOOKUP(D255,$D$2:$E$4,2,FALSE)))</f>
        <v>#N/A</v>
      </c>
      <c r="F255" s="142" t="e">
        <f>IF('Informe Kelly'!H249=$A$3,'Informe Kelly'!F249,VLOOKUP(D255,$D$2:$F$4,3,FALSE))-(VLOOKUP(D255,$D$2:$F$4,3,FALSE))</f>
        <v>#N/A</v>
      </c>
      <c r="G255" s="137" t="e">
        <f t="shared" si="6"/>
        <v>#N/A</v>
      </c>
    </row>
    <row r="256" spans="1:13">
      <c r="A256" s="112" t="str">
        <f>VLOOKUP('Informe Kelly'!A250,Base!A:B,2,FALSE)</f>
        <v>07.760.886-9</v>
      </c>
      <c r="B256" s="112" t="str">
        <f>VLOOKUP('Informe Kelly'!A250,Base!A:G,7,FALSE)</f>
        <v>ALBORNOZ ROA OSCAR ALFREDO</v>
      </c>
      <c r="C256" s="112" t="str">
        <f>'Informe Kelly'!E250</f>
        <v>04.04.2011</v>
      </c>
      <c r="D256" s="112" t="e">
        <f>VLOOKUP(A256,Ingreso!K:P,6,FALSE)</f>
        <v>#N/A</v>
      </c>
      <c r="E256" s="142" t="e">
        <f>(VLOOKUP(D256,$D$2:$E$4,2,FALSE))-(IF('Informe Kelly'!H250=$A$2,'Informe Kelly'!F250,VLOOKUP(D256,$D$2:$E$4,2,FALSE)))</f>
        <v>#N/A</v>
      </c>
      <c r="F256" s="142" t="e">
        <f>IF('Informe Kelly'!H250=$A$3,'Informe Kelly'!F250,VLOOKUP(D256,$D$2:$F$4,3,FALSE))-(VLOOKUP(D256,$D$2:$F$4,3,FALSE))</f>
        <v>#N/A</v>
      </c>
      <c r="G256" s="137" t="e">
        <f t="shared" si="6"/>
        <v>#N/A</v>
      </c>
    </row>
    <row r="257" spans="1:7">
      <c r="A257" s="112" t="str">
        <f>VLOOKUP('Informe Kelly'!A251,Base!A:B,2,FALSE)</f>
        <v>07.760.886-9</v>
      </c>
      <c r="B257" s="112" t="str">
        <f>VLOOKUP('Informe Kelly'!A251,Base!A:G,7,FALSE)</f>
        <v>ALBORNOZ ROA OSCAR ALFREDO</v>
      </c>
      <c r="C257" s="112" t="str">
        <f>'Informe Kelly'!E251</f>
        <v>05.04.2011</v>
      </c>
      <c r="D257" s="112" t="e">
        <f>VLOOKUP(A257,Ingreso!K:P,6,FALSE)</f>
        <v>#N/A</v>
      </c>
      <c r="E257" s="142" t="e">
        <f>(VLOOKUP(D257,$D$2:$E$4,2,FALSE))-(IF('Informe Kelly'!H251=$A$2,'Informe Kelly'!F251,VLOOKUP(D257,$D$2:$E$4,2,FALSE)))</f>
        <v>#N/A</v>
      </c>
      <c r="F257" s="142" t="e">
        <f>IF('Informe Kelly'!H251=$A$3,'Informe Kelly'!F251,VLOOKUP(D257,$D$2:$F$4,3,FALSE))-(VLOOKUP(D257,$D$2:$F$4,3,FALSE))</f>
        <v>#N/A</v>
      </c>
      <c r="G257" s="137" t="e">
        <f t="shared" si="6"/>
        <v>#N/A</v>
      </c>
    </row>
    <row r="258" spans="1:7">
      <c r="A258" s="112" t="str">
        <f>VLOOKUP('Informe Kelly'!A252,Base!A:B,2,FALSE)</f>
        <v>07.760.886-9</v>
      </c>
      <c r="B258" s="112" t="str">
        <f>VLOOKUP('Informe Kelly'!A252,Base!A:G,7,FALSE)</f>
        <v>ALBORNOZ ROA OSCAR ALFREDO</v>
      </c>
      <c r="C258" s="112" t="str">
        <f>'Informe Kelly'!E252</f>
        <v>05.04.2011</v>
      </c>
      <c r="D258" s="112" t="e">
        <f>VLOOKUP(A258,Ingreso!K:P,6,FALSE)</f>
        <v>#N/A</v>
      </c>
      <c r="E258" s="142" t="e">
        <f>(VLOOKUP(D258,$D$2:$E$4,2,FALSE))-(IF('Informe Kelly'!H252=$A$2,'Informe Kelly'!F252,VLOOKUP(D258,$D$2:$E$4,2,FALSE)))</f>
        <v>#N/A</v>
      </c>
      <c r="F258" s="142" t="e">
        <f>IF('Informe Kelly'!H252=$A$3,'Informe Kelly'!F252,VLOOKUP(D258,$D$2:$F$4,3,FALSE))-(VLOOKUP(D258,$D$2:$F$4,3,FALSE))</f>
        <v>#N/A</v>
      </c>
      <c r="G258" s="137" t="e">
        <f t="shared" si="6"/>
        <v>#N/A</v>
      </c>
    </row>
    <row r="259" spans="1:7">
      <c r="A259" s="112" t="str">
        <f>VLOOKUP('Informe Kelly'!A253,Base!A:B,2,FALSE)</f>
        <v>07.760.886-9</v>
      </c>
      <c r="B259" s="112" t="str">
        <f>VLOOKUP('Informe Kelly'!A253,Base!A:G,7,FALSE)</f>
        <v>ALBORNOZ ROA OSCAR ALFREDO</v>
      </c>
      <c r="C259" s="112" t="str">
        <f>'Informe Kelly'!E253</f>
        <v>06.04.2011</v>
      </c>
      <c r="D259" s="112" t="e">
        <f>VLOOKUP(A259,Ingreso!K:P,6,FALSE)</f>
        <v>#N/A</v>
      </c>
      <c r="E259" s="142" t="e">
        <f>(VLOOKUP(D259,$D$2:$E$4,2,FALSE))-(IF('Informe Kelly'!H253=$A$2,'Informe Kelly'!F253,VLOOKUP(D259,$D$2:$E$4,2,FALSE)))</f>
        <v>#N/A</v>
      </c>
      <c r="F259" s="142" t="e">
        <f>IF('Informe Kelly'!H253=$A$3,'Informe Kelly'!F253,VLOOKUP(D259,$D$2:$F$4,3,FALSE))-(VLOOKUP(D259,$D$2:$F$4,3,FALSE))</f>
        <v>#N/A</v>
      </c>
      <c r="G259" s="137" t="e">
        <f t="shared" si="6"/>
        <v>#N/A</v>
      </c>
    </row>
    <row r="260" spans="1:7">
      <c r="A260" s="112" t="str">
        <f>VLOOKUP('Informe Kelly'!A254,Base!A:B,2,FALSE)</f>
        <v>07.760.886-9</v>
      </c>
      <c r="B260" s="112" t="str">
        <f>VLOOKUP('Informe Kelly'!A254,Base!A:G,7,FALSE)</f>
        <v>ALBORNOZ ROA OSCAR ALFREDO</v>
      </c>
      <c r="C260" s="112" t="str">
        <f>'Informe Kelly'!E254</f>
        <v>06.04.2011</v>
      </c>
      <c r="D260" s="112" t="e">
        <f>VLOOKUP(A260,Ingreso!K:P,6,FALSE)</f>
        <v>#N/A</v>
      </c>
      <c r="E260" s="142" t="e">
        <f>(VLOOKUP(D260,$D$2:$E$4,2,FALSE))-(IF('Informe Kelly'!H254=$A$2,'Informe Kelly'!F254,VLOOKUP(D260,$D$2:$E$4,2,FALSE)))</f>
        <v>#N/A</v>
      </c>
      <c r="F260" s="142" t="e">
        <f>IF('Informe Kelly'!H254=$A$3,'Informe Kelly'!F254,VLOOKUP(D260,$D$2:$F$4,3,FALSE))-(VLOOKUP(D260,$D$2:$F$4,3,FALSE))</f>
        <v>#N/A</v>
      </c>
      <c r="G260" s="137" t="e">
        <f t="shared" si="6"/>
        <v>#N/A</v>
      </c>
    </row>
    <row r="261" spans="1:7">
      <c r="A261" s="112" t="str">
        <f>VLOOKUP('Informe Kelly'!A255,Base!A:B,2,FALSE)</f>
        <v>07.760.886-9</v>
      </c>
      <c r="B261" s="112" t="str">
        <f>VLOOKUP('Informe Kelly'!A255,Base!A:G,7,FALSE)</f>
        <v>ALBORNOZ ROA OSCAR ALFREDO</v>
      </c>
      <c r="C261" s="112" t="str">
        <f>'Informe Kelly'!E255</f>
        <v>07.04.2011</v>
      </c>
      <c r="D261" s="112" t="e">
        <f>VLOOKUP(A261,Ingreso!K:P,6,FALSE)</f>
        <v>#N/A</v>
      </c>
      <c r="E261" s="142" t="e">
        <f>(VLOOKUP(D261,$D$2:$E$4,2,FALSE))-(IF('Informe Kelly'!H255=$A$2,'Informe Kelly'!F255,VLOOKUP(D261,$D$2:$E$4,2,FALSE)))</f>
        <v>#N/A</v>
      </c>
      <c r="F261" s="142" t="e">
        <f>IF('Informe Kelly'!H255=$A$3,'Informe Kelly'!F255,VLOOKUP(D261,$D$2:$F$4,3,FALSE))-(VLOOKUP(D261,$D$2:$F$4,3,FALSE))</f>
        <v>#N/A</v>
      </c>
      <c r="G261" s="137" t="e">
        <f t="shared" si="6"/>
        <v>#N/A</v>
      </c>
    </row>
    <row r="262" spans="1:7">
      <c r="A262" s="112" t="str">
        <f>VLOOKUP('Informe Kelly'!A256,Base!A:B,2,FALSE)</f>
        <v>07.760.886-9</v>
      </c>
      <c r="B262" s="112" t="str">
        <f>VLOOKUP('Informe Kelly'!A256,Base!A:G,7,FALSE)</f>
        <v>ALBORNOZ ROA OSCAR ALFREDO</v>
      </c>
      <c r="C262" s="112" t="str">
        <f>'Informe Kelly'!E256</f>
        <v>07.04.2011</v>
      </c>
      <c r="D262" s="112" t="e">
        <f>VLOOKUP(A262,Ingreso!K:P,6,FALSE)</f>
        <v>#N/A</v>
      </c>
      <c r="E262" s="142" t="e">
        <f>(VLOOKUP(D262,$D$2:$E$4,2,FALSE))-(IF('Informe Kelly'!H256=$A$2,'Informe Kelly'!F256,VLOOKUP(D262,$D$2:$E$4,2,FALSE)))</f>
        <v>#N/A</v>
      </c>
      <c r="F262" s="142" t="e">
        <f>IF('Informe Kelly'!H256=$A$3,'Informe Kelly'!F256,VLOOKUP(D262,$D$2:$F$4,3,FALSE))-(VLOOKUP(D262,$D$2:$F$4,3,FALSE))</f>
        <v>#N/A</v>
      </c>
      <c r="G262" s="137" t="e">
        <f t="shared" si="6"/>
        <v>#N/A</v>
      </c>
    </row>
    <row r="263" spans="1:7">
      <c r="A263" s="112" t="str">
        <f>VLOOKUP('Informe Kelly'!A257,Base!A:B,2,FALSE)</f>
        <v>07.760.886-9</v>
      </c>
      <c r="B263" s="112" t="str">
        <f>VLOOKUP('Informe Kelly'!A257,Base!A:G,7,FALSE)</f>
        <v>ALBORNOZ ROA OSCAR ALFREDO</v>
      </c>
      <c r="C263" s="112" t="str">
        <f>'Informe Kelly'!E257</f>
        <v>08.04.2011</v>
      </c>
      <c r="D263" s="112" t="e">
        <f>VLOOKUP(A263,Ingreso!K:P,6,FALSE)</f>
        <v>#N/A</v>
      </c>
      <c r="E263" s="142" t="e">
        <f>(VLOOKUP(D263,$D$2:$E$4,2,FALSE))-(IF('Informe Kelly'!H257=$A$2,'Informe Kelly'!F257,VLOOKUP(D263,$D$2:$E$4,2,FALSE)))</f>
        <v>#N/A</v>
      </c>
      <c r="F263" s="142" t="e">
        <f>IF('Informe Kelly'!H257=$A$3,'Informe Kelly'!F257,VLOOKUP(D263,$D$2:$F$4,3,FALSE))-(VLOOKUP(D263,$D$2:$F$4,3,FALSE))</f>
        <v>#N/A</v>
      </c>
      <c r="G263" s="137" t="e">
        <f t="shared" si="6"/>
        <v>#N/A</v>
      </c>
    </row>
    <row r="264" spans="1:7">
      <c r="A264" s="112" t="str">
        <f>VLOOKUP('Informe Kelly'!A258,Base!A:B,2,FALSE)</f>
        <v>07.760.886-9</v>
      </c>
      <c r="B264" s="112" t="str">
        <f>VLOOKUP('Informe Kelly'!A258,Base!A:G,7,FALSE)</f>
        <v>ALBORNOZ ROA OSCAR ALFREDO</v>
      </c>
      <c r="C264" s="112" t="str">
        <f>'Informe Kelly'!E258</f>
        <v>08.04.2011</v>
      </c>
      <c r="D264" s="112" t="e">
        <f>VLOOKUP(A264,Ingreso!K:P,6,FALSE)</f>
        <v>#N/A</v>
      </c>
      <c r="E264" s="142" t="e">
        <f>(VLOOKUP(D264,$D$2:$E$4,2,FALSE))-(IF('Informe Kelly'!H258=$A$2,'Informe Kelly'!F258,VLOOKUP(D264,$D$2:$E$4,2,FALSE)))</f>
        <v>#N/A</v>
      </c>
      <c r="F264" s="142" t="e">
        <f>IF('Informe Kelly'!H258=$A$3,'Informe Kelly'!F258,VLOOKUP(D264,$D$2:$F$4,3,FALSE))-(VLOOKUP(D264,$D$2:$F$4,3,FALSE))</f>
        <v>#N/A</v>
      </c>
      <c r="G264" s="137" t="e">
        <f t="shared" si="6"/>
        <v>#N/A</v>
      </c>
    </row>
    <row r="265" spans="1:7">
      <c r="A265" s="112" t="str">
        <f>VLOOKUP('Informe Kelly'!A259,Base!A:B,2,FALSE)</f>
        <v>07.807.741-7</v>
      </c>
      <c r="B265" s="112" t="str">
        <f>VLOOKUP('Informe Kelly'!A259,Base!A:G,7,FALSE)</f>
        <v>VIDAL  ORMAZABAL,RUBEN A</v>
      </c>
      <c r="C265" s="112" t="str">
        <f>'Informe Kelly'!E259</f>
        <v>04.04.2011</v>
      </c>
      <c r="D265" s="112" t="e">
        <f>VLOOKUP(A265,Ingreso!K:P,6,FALSE)</f>
        <v>#N/A</v>
      </c>
      <c r="E265" s="142" t="e">
        <f>(VLOOKUP(D265,$D$2:$E$4,2,FALSE))-(IF('Informe Kelly'!H259=$A$2,'Informe Kelly'!F259,VLOOKUP(D265,$D$2:$E$4,2,FALSE)))</f>
        <v>#N/A</v>
      </c>
      <c r="F265" s="142" t="e">
        <f>IF('Informe Kelly'!H259=$A$3,'Informe Kelly'!F259,VLOOKUP(D265,$D$2:$F$4,3,FALSE))-(VLOOKUP(D265,$D$2:$F$4,3,FALSE))</f>
        <v>#N/A</v>
      </c>
      <c r="G265" s="137" t="e">
        <f t="shared" ref="G265:G328" si="8">IF(E265="",IF(F265&lt;0.0409722222222222,0,E265),IF(E265&lt;0.0409722222222222,0,E265))</f>
        <v>#N/A</v>
      </c>
    </row>
    <row r="266" spans="1:7">
      <c r="A266" s="112" t="str">
        <f>VLOOKUP('Informe Kelly'!A260,Base!A:B,2,FALSE)</f>
        <v>07.807.741-7</v>
      </c>
      <c r="B266" s="112" t="str">
        <f>VLOOKUP('Informe Kelly'!A260,Base!A:G,7,FALSE)</f>
        <v>VIDAL  ORMAZABAL,RUBEN A</v>
      </c>
      <c r="C266" s="112" t="str">
        <f>'Informe Kelly'!E260</f>
        <v>04.04.2011</v>
      </c>
      <c r="D266" s="112" t="e">
        <f>VLOOKUP(A266,Ingreso!K:P,6,FALSE)</f>
        <v>#N/A</v>
      </c>
      <c r="E266" s="142" t="e">
        <f>(VLOOKUP(D266,$D$2:$E$4,2,FALSE))-(IF('Informe Kelly'!H260=$A$2,'Informe Kelly'!F260,VLOOKUP(D266,$D$2:$E$4,2,FALSE)))</f>
        <v>#N/A</v>
      </c>
      <c r="F266" s="142" t="e">
        <f>IF('Informe Kelly'!H260=$A$3,'Informe Kelly'!F260,VLOOKUP(D266,$D$2:$F$4,3,FALSE))-(VLOOKUP(D266,$D$2:$F$4,3,FALSE))</f>
        <v>#N/A</v>
      </c>
      <c r="G266" s="137" t="e">
        <f t="shared" si="8"/>
        <v>#N/A</v>
      </c>
    </row>
    <row r="267" spans="1:7">
      <c r="A267" s="112" t="str">
        <f>VLOOKUP('Informe Kelly'!A261,Base!A:B,2,FALSE)</f>
        <v>07.807.741-7</v>
      </c>
      <c r="B267" s="112" t="str">
        <f>VLOOKUP('Informe Kelly'!A261,Base!A:G,7,FALSE)</f>
        <v>VIDAL  ORMAZABAL,RUBEN A</v>
      </c>
      <c r="C267" s="112" t="str">
        <f>'Informe Kelly'!E261</f>
        <v>05.04.2011</v>
      </c>
      <c r="D267" s="112" t="e">
        <f>VLOOKUP(A267,Ingreso!K:P,6,FALSE)</f>
        <v>#N/A</v>
      </c>
      <c r="E267" s="142" t="e">
        <f>(VLOOKUP(D267,$D$2:$E$4,2,FALSE))-(IF('Informe Kelly'!H261=$A$2,'Informe Kelly'!F261,VLOOKUP(D267,$D$2:$E$4,2,FALSE)))</f>
        <v>#N/A</v>
      </c>
      <c r="F267" s="142" t="e">
        <f>IF('Informe Kelly'!H261=$A$3,'Informe Kelly'!F261,VLOOKUP(D267,$D$2:$F$4,3,FALSE))-(VLOOKUP(D267,$D$2:$F$4,3,FALSE))</f>
        <v>#N/A</v>
      </c>
      <c r="G267" s="137" t="e">
        <f t="shared" si="8"/>
        <v>#N/A</v>
      </c>
    </row>
    <row r="268" spans="1:7">
      <c r="A268" s="112" t="str">
        <f>VLOOKUP('Informe Kelly'!A262,Base!A:B,2,FALSE)</f>
        <v>07.807.741-7</v>
      </c>
      <c r="B268" s="112" t="str">
        <f>VLOOKUP('Informe Kelly'!A262,Base!A:G,7,FALSE)</f>
        <v>VIDAL  ORMAZABAL,RUBEN A</v>
      </c>
      <c r="C268" s="112" t="str">
        <f>'Informe Kelly'!E262</f>
        <v>05.04.2011</v>
      </c>
      <c r="D268" s="112" t="e">
        <f>VLOOKUP(A268,Ingreso!K:P,6,FALSE)</f>
        <v>#N/A</v>
      </c>
      <c r="E268" s="142" t="e">
        <f>(VLOOKUP(D268,$D$2:$E$4,2,FALSE))-(IF('Informe Kelly'!H262=$A$2,'Informe Kelly'!F262,VLOOKUP(D268,$D$2:$E$4,2,FALSE)))</f>
        <v>#N/A</v>
      </c>
      <c r="F268" s="142" t="e">
        <f>IF('Informe Kelly'!H262=$A$3,'Informe Kelly'!F262,VLOOKUP(D268,$D$2:$F$4,3,FALSE))-(VLOOKUP(D268,$D$2:$F$4,3,FALSE))</f>
        <v>#N/A</v>
      </c>
      <c r="G268" s="137" t="e">
        <f t="shared" si="8"/>
        <v>#N/A</v>
      </c>
    </row>
    <row r="269" spans="1:7">
      <c r="A269" s="112" t="str">
        <f>VLOOKUP('Informe Kelly'!A263,Base!A:B,2,FALSE)</f>
        <v>07.807.741-7</v>
      </c>
      <c r="B269" s="112" t="str">
        <f>VLOOKUP('Informe Kelly'!A263,Base!A:G,7,FALSE)</f>
        <v>VIDAL  ORMAZABAL,RUBEN A</v>
      </c>
      <c r="C269" s="112" t="str">
        <f>'Informe Kelly'!E263</f>
        <v>06.04.2011</v>
      </c>
      <c r="D269" s="112" t="e">
        <f>VLOOKUP(A269,Ingreso!K:P,6,FALSE)</f>
        <v>#N/A</v>
      </c>
      <c r="E269" s="142" t="e">
        <f>(VLOOKUP(D269,$D$2:$E$4,2,FALSE))-(IF('Informe Kelly'!H263=$A$2,'Informe Kelly'!F263,VLOOKUP(D269,$D$2:$E$4,2,FALSE)))</f>
        <v>#N/A</v>
      </c>
      <c r="F269" s="142" t="e">
        <f>IF('Informe Kelly'!H263=$A$3,'Informe Kelly'!F263,VLOOKUP(D269,$D$2:$F$4,3,FALSE))-(VLOOKUP(D269,$D$2:$F$4,3,FALSE))</f>
        <v>#N/A</v>
      </c>
      <c r="G269" s="137" t="e">
        <f t="shared" si="8"/>
        <v>#N/A</v>
      </c>
    </row>
    <row r="270" spans="1:7">
      <c r="A270" s="112" t="str">
        <f>VLOOKUP('Informe Kelly'!A264,Base!A:B,2,FALSE)</f>
        <v>07.807.741-7</v>
      </c>
      <c r="B270" s="112" t="str">
        <f>VLOOKUP('Informe Kelly'!A264,Base!A:G,7,FALSE)</f>
        <v>VIDAL  ORMAZABAL,RUBEN A</v>
      </c>
      <c r="C270" s="112" t="str">
        <f>'Informe Kelly'!E264</f>
        <v>06.04.2011</v>
      </c>
      <c r="D270" s="112" t="e">
        <f>VLOOKUP(A270,Ingreso!K:P,6,FALSE)</f>
        <v>#N/A</v>
      </c>
      <c r="E270" s="142" t="e">
        <f>(VLOOKUP(D270,$D$2:$E$4,2,FALSE))-(IF('Informe Kelly'!H264=$A$2,'Informe Kelly'!F264,VLOOKUP(D270,$D$2:$E$4,2,FALSE)))</f>
        <v>#N/A</v>
      </c>
      <c r="F270" s="142" t="e">
        <f>IF('Informe Kelly'!H264=$A$3,'Informe Kelly'!F264,VLOOKUP(D270,$D$2:$F$4,3,FALSE))-(VLOOKUP(D270,$D$2:$F$4,3,FALSE))</f>
        <v>#N/A</v>
      </c>
      <c r="G270" s="137" t="e">
        <f t="shared" si="8"/>
        <v>#N/A</v>
      </c>
    </row>
    <row r="271" spans="1:7">
      <c r="A271" s="112" t="str">
        <f>VLOOKUP('Informe Kelly'!A265,Base!A:B,2,FALSE)</f>
        <v>07.807.741-7</v>
      </c>
      <c r="B271" s="112" t="str">
        <f>VLOOKUP('Informe Kelly'!A265,Base!A:G,7,FALSE)</f>
        <v>VIDAL  ORMAZABAL,RUBEN A</v>
      </c>
      <c r="C271" s="112" t="str">
        <f>'Informe Kelly'!E265</f>
        <v>07.04.2011</v>
      </c>
      <c r="D271" s="112" t="e">
        <f>VLOOKUP(A271,Ingreso!K:P,6,FALSE)</f>
        <v>#N/A</v>
      </c>
      <c r="E271" s="142" t="e">
        <f>(VLOOKUP(D271,$D$2:$E$4,2,FALSE))-(IF('Informe Kelly'!H265=$A$2,'Informe Kelly'!F265,VLOOKUP(D271,$D$2:$E$4,2,FALSE)))</f>
        <v>#N/A</v>
      </c>
      <c r="F271" s="142" t="e">
        <f>IF('Informe Kelly'!H265=$A$3,'Informe Kelly'!F265,VLOOKUP(D271,$D$2:$F$4,3,FALSE))-(VLOOKUP(D271,$D$2:$F$4,3,FALSE))</f>
        <v>#N/A</v>
      </c>
      <c r="G271" s="137" t="e">
        <f t="shared" si="8"/>
        <v>#N/A</v>
      </c>
    </row>
    <row r="272" spans="1:7">
      <c r="A272" s="112" t="str">
        <f>VLOOKUP('Informe Kelly'!A266,Base!A:B,2,FALSE)</f>
        <v>07.807.741-7</v>
      </c>
      <c r="B272" s="112" t="str">
        <f>VLOOKUP('Informe Kelly'!A266,Base!A:G,7,FALSE)</f>
        <v>VIDAL  ORMAZABAL,RUBEN A</v>
      </c>
      <c r="C272" s="112" t="str">
        <f>'Informe Kelly'!E266</f>
        <v>07.04.2011</v>
      </c>
      <c r="D272" s="112" t="e">
        <f>VLOOKUP(A272,Ingreso!K:P,6,FALSE)</f>
        <v>#N/A</v>
      </c>
      <c r="E272" s="142" t="e">
        <f>(VLOOKUP(D272,$D$2:$E$4,2,FALSE))-(IF('Informe Kelly'!H266=$A$2,'Informe Kelly'!F266,VLOOKUP(D272,$D$2:$E$4,2,FALSE)))</f>
        <v>#N/A</v>
      </c>
      <c r="F272" s="142" t="e">
        <f>IF('Informe Kelly'!H266=$A$3,'Informe Kelly'!F266,VLOOKUP(D272,$D$2:$F$4,3,FALSE))-(VLOOKUP(D272,$D$2:$F$4,3,FALSE))</f>
        <v>#N/A</v>
      </c>
      <c r="G272" s="137" t="e">
        <f t="shared" si="8"/>
        <v>#N/A</v>
      </c>
    </row>
    <row r="273" spans="1:7">
      <c r="A273" s="112" t="str">
        <f>VLOOKUP('Informe Kelly'!A267,Base!A:B,2,FALSE)</f>
        <v>07.807.741-7</v>
      </c>
      <c r="B273" s="112" t="str">
        <f>VLOOKUP('Informe Kelly'!A267,Base!A:G,7,FALSE)</f>
        <v>VIDAL  ORMAZABAL,RUBEN A</v>
      </c>
      <c r="C273" s="112" t="str">
        <f>'Informe Kelly'!E267</f>
        <v>08.04.2011</v>
      </c>
      <c r="D273" s="112" t="e">
        <f>VLOOKUP(A273,Ingreso!K:P,6,FALSE)</f>
        <v>#N/A</v>
      </c>
      <c r="E273" s="142" t="e">
        <f>(VLOOKUP(D273,$D$2:$E$4,2,FALSE))-(IF('Informe Kelly'!H267=$A$2,'Informe Kelly'!F267,VLOOKUP(D273,$D$2:$E$4,2,FALSE)))</f>
        <v>#N/A</v>
      </c>
      <c r="F273" s="142" t="e">
        <f>IF('Informe Kelly'!H267=$A$3,'Informe Kelly'!F267,VLOOKUP(D273,$D$2:$F$4,3,FALSE))-(VLOOKUP(D273,$D$2:$F$4,3,FALSE))</f>
        <v>#N/A</v>
      </c>
      <c r="G273" s="137" t="e">
        <f t="shared" si="8"/>
        <v>#N/A</v>
      </c>
    </row>
    <row r="274" spans="1:7">
      <c r="A274" s="112" t="str">
        <f>VLOOKUP('Informe Kelly'!A268,Base!A:B,2,FALSE)</f>
        <v>07.807.741-7</v>
      </c>
      <c r="B274" s="112" t="str">
        <f>VLOOKUP('Informe Kelly'!A268,Base!A:G,7,FALSE)</f>
        <v>VIDAL  ORMAZABAL,RUBEN A</v>
      </c>
      <c r="C274" s="112" t="str">
        <f>'Informe Kelly'!E268</f>
        <v>08.04.2011</v>
      </c>
      <c r="D274" s="112" t="e">
        <f>VLOOKUP(A274,Ingreso!K:P,6,FALSE)</f>
        <v>#N/A</v>
      </c>
      <c r="E274" s="142" t="e">
        <f>(VLOOKUP(D274,$D$2:$E$4,2,FALSE))-(IF('Informe Kelly'!H268=$A$2,'Informe Kelly'!F268,VLOOKUP(D274,$D$2:$E$4,2,FALSE)))</f>
        <v>#N/A</v>
      </c>
      <c r="F274" s="142" t="e">
        <f>IF('Informe Kelly'!H268=$A$3,'Informe Kelly'!F268,VLOOKUP(D274,$D$2:$F$4,3,FALSE))-(VLOOKUP(D274,$D$2:$F$4,3,FALSE))</f>
        <v>#N/A</v>
      </c>
      <c r="G274" s="137" t="e">
        <f t="shared" si="8"/>
        <v>#N/A</v>
      </c>
    </row>
    <row r="275" spans="1:7">
      <c r="A275" s="112" t="str">
        <f>VLOOKUP('Informe Kelly'!A269,Base!A:B,2,FALSE)</f>
        <v>07.807.741-7</v>
      </c>
      <c r="B275" s="112" t="str">
        <f>VLOOKUP('Informe Kelly'!A269,Base!A:G,7,FALSE)</f>
        <v>VIDAL  ORMAZABAL,RUBEN A</v>
      </c>
      <c r="C275" s="112" t="str">
        <f>'Informe Kelly'!E269</f>
        <v>09.04.2011</v>
      </c>
      <c r="D275" s="112" t="e">
        <f>VLOOKUP(A275,Ingreso!K:P,6,FALSE)</f>
        <v>#N/A</v>
      </c>
      <c r="E275" s="142" t="e">
        <f>(VLOOKUP(D275,$D$2:$E$4,2,FALSE))-(IF('Informe Kelly'!H269=$A$2,'Informe Kelly'!F269,VLOOKUP(D275,$D$2:$E$4,2,FALSE)))</f>
        <v>#N/A</v>
      </c>
      <c r="F275" s="142" t="e">
        <f>IF('Informe Kelly'!H269=$A$3,'Informe Kelly'!F269,VLOOKUP(D275,$D$2:$F$4,3,FALSE))-(VLOOKUP(D275,$D$2:$F$4,3,FALSE))</f>
        <v>#N/A</v>
      </c>
      <c r="G275" s="137" t="e">
        <f t="shared" si="8"/>
        <v>#N/A</v>
      </c>
    </row>
    <row r="276" spans="1:7">
      <c r="A276" s="112" t="str">
        <f>VLOOKUP('Informe Kelly'!A270,Base!A:B,2,FALSE)</f>
        <v>07.807.741-7</v>
      </c>
      <c r="B276" s="112" t="str">
        <f>VLOOKUP('Informe Kelly'!A270,Base!A:G,7,FALSE)</f>
        <v>VIDAL  ORMAZABAL,RUBEN A</v>
      </c>
      <c r="C276" s="112" t="str">
        <f>'Informe Kelly'!E270</f>
        <v>09.04.2011</v>
      </c>
      <c r="D276" s="112" t="e">
        <f>VLOOKUP(A276,Ingreso!K:P,6,FALSE)</f>
        <v>#N/A</v>
      </c>
      <c r="E276" s="142" t="e">
        <f>(VLOOKUP(D276,$D$2:$E$4,2,FALSE))-(IF('Informe Kelly'!H270=$A$2,'Informe Kelly'!F270,VLOOKUP(D276,$D$2:$E$4,2,FALSE)))</f>
        <v>#N/A</v>
      </c>
      <c r="F276" s="142" t="e">
        <f>IF('Informe Kelly'!H270=$A$3,'Informe Kelly'!F270,VLOOKUP(D276,$D$2:$F$4,3,FALSE))-(VLOOKUP(D276,$D$2:$F$4,3,FALSE))</f>
        <v>#N/A</v>
      </c>
      <c r="G276" s="137" t="e">
        <f t="shared" si="8"/>
        <v>#N/A</v>
      </c>
    </row>
    <row r="277" spans="1:7">
      <c r="A277" s="112" t="str">
        <f>VLOOKUP('Informe Kelly'!A271,Base!A:B,2,FALSE)</f>
        <v>07.815.068-8</v>
      </c>
      <c r="B277" s="112" t="str">
        <f>VLOOKUP('Informe Kelly'!A271,Base!A:G,7,FALSE)</f>
        <v>JORQUERA  DURAN,ANA MARITZA</v>
      </c>
      <c r="C277" s="112" t="str">
        <f>'Informe Kelly'!E271</f>
        <v>04.04.2011</v>
      </c>
      <c r="D277" s="112" t="e">
        <f>VLOOKUP(A277,Ingreso!K:P,6,FALSE)</f>
        <v>#N/A</v>
      </c>
      <c r="E277" s="142" t="e">
        <f>(VLOOKUP(D277,$D$2:$E$4,2,FALSE))-(IF('Informe Kelly'!H271=$A$2,'Informe Kelly'!F271,VLOOKUP(D277,$D$2:$E$4,2,FALSE)))</f>
        <v>#N/A</v>
      </c>
      <c r="F277" s="142" t="e">
        <f>IF('Informe Kelly'!H271=$A$3,'Informe Kelly'!F271,VLOOKUP(D277,$D$2:$F$4,3,FALSE))-(VLOOKUP(D277,$D$2:$F$4,3,FALSE))</f>
        <v>#N/A</v>
      </c>
      <c r="G277" s="137" t="e">
        <f t="shared" si="8"/>
        <v>#N/A</v>
      </c>
    </row>
    <row r="278" spans="1:7">
      <c r="A278" s="112" t="str">
        <f>VLOOKUP('Informe Kelly'!A272,Base!A:B,2,FALSE)</f>
        <v>07.815.068-8</v>
      </c>
      <c r="B278" s="112" t="str">
        <f>VLOOKUP('Informe Kelly'!A272,Base!A:G,7,FALSE)</f>
        <v>JORQUERA  DURAN,ANA MARITZA</v>
      </c>
      <c r="C278" s="112" t="str">
        <f>'Informe Kelly'!E272</f>
        <v>05.04.2011</v>
      </c>
      <c r="D278" s="112" t="e">
        <f>VLOOKUP(A278,Ingreso!K:P,6,FALSE)</f>
        <v>#N/A</v>
      </c>
      <c r="E278" s="142" t="e">
        <f>(VLOOKUP(D278,$D$2:$E$4,2,FALSE))-(IF('Informe Kelly'!H272=$A$2,'Informe Kelly'!F272,VLOOKUP(D278,$D$2:$E$4,2,FALSE)))</f>
        <v>#N/A</v>
      </c>
      <c r="F278" s="142" t="e">
        <f>IF('Informe Kelly'!H272=$A$3,'Informe Kelly'!F272,VLOOKUP(D278,$D$2:$F$4,3,FALSE))-(VLOOKUP(D278,$D$2:$F$4,3,FALSE))</f>
        <v>#N/A</v>
      </c>
      <c r="G278" s="137" t="e">
        <f t="shared" si="8"/>
        <v>#N/A</v>
      </c>
    </row>
    <row r="279" spans="1:7">
      <c r="A279" s="112" t="str">
        <f>VLOOKUP('Informe Kelly'!A273,Base!A:B,2,FALSE)</f>
        <v>07.815.068-8</v>
      </c>
      <c r="B279" s="112" t="str">
        <f>VLOOKUP('Informe Kelly'!A273,Base!A:G,7,FALSE)</f>
        <v>JORQUERA  DURAN,ANA MARITZA</v>
      </c>
      <c r="C279" s="112" t="str">
        <f>'Informe Kelly'!E273</f>
        <v>05.04.2011</v>
      </c>
      <c r="D279" s="112" t="e">
        <f>VLOOKUP(A279,Ingreso!K:P,6,FALSE)</f>
        <v>#N/A</v>
      </c>
      <c r="E279" s="142" t="e">
        <f>(VLOOKUP(D279,$D$2:$E$4,2,FALSE))-(IF('Informe Kelly'!H273=$A$2,'Informe Kelly'!F273,VLOOKUP(D279,$D$2:$E$4,2,FALSE)))</f>
        <v>#N/A</v>
      </c>
      <c r="F279" s="142" t="e">
        <f>IF('Informe Kelly'!H273=$A$3,'Informe Kelly'!F273,VLOOKUP(D279,$D$2:$F$4,3,FALSE))-(VLOOKUP(D279,$D$2:$F$4,3,FALSE))</f>
        <v>#N/A</v>
      </c>
      <c r="G279" s="137" t="e">
        <f t="shared" si="8"/>
        <v>#N/A</v>
      </c>
    </row>
    <row r="280" spans="1:7">
      <c r="A280" s="112" t="str">
        <f>VLOOKUP('Informe Kelly'!A274,Base!A:B,2,FALSE)</f>
        <v>07.815.068-8</v>
      </c>
      <c r="B280" s="112" t="str">
        <f>VLOOKUP('Informe Kelly'!A274,Base!A:G,7,FALSE)</f>
        <v>JORQUERA  DURAN,ANA MARITZA</v>
      </c>
      <c r="C280" s="112" t="str">
        <f>'Informe Kelly'!E274</f>
        <v>06.04.2011</v>
      </c>
      <c r="D280" s="112" t="e">
        <f>VLOOKUP(A280,Ingreso!K:P,6,FALSE)</f>
        <v>#N/A</v>
      </c>
      <c r="E280" s="142" t="e">
        <f>(VLOOKUP(D280,$D$2:$E$4,2,FALSE))-(IF('Informe Kelly'!H274=$A$2,'Informe Kelly'!F274,VLOOKUP(D280,$D$2:$E$4,2,FALSE)))</f>
        <v>#N/A</v>
      </c>
      <c r="F280" s="142" t="e">
        <f>IF('Informe Kelly'!H274=$A$3,'Informe Kelly'!F274,VLOOKUP(D280,$D$2:$F$4,3,FALSE))-(VLOOKUP(D280,$D$2:$F$4,3,FALSE))</f>
        <v>#N/A</v>
      </c>
      <c r="G280" s="137" t="e">
        <f t="shared" si="8"/>
        <v>#N/A</v>
      </c>
    </row>
    <row r="281" spans="1:7">
      <c r="A281" s="112" t="str">
        <f>VLOOKUP('Informe Kelly'!A275,Base!A:B,2,FALSE)</f>
        <v>07.815.068-8</v>
      </c>
      <c r="B281" s="112" t="str">
        <f>VLOOKUP('Informe Kelly'!A275,Base!A:G,7,FALSE)</f>
        <v>JORQUERA  DURAN,ANA MARITZA</v>
      </c>
      <c r="C281" s="112" t="str">
        <f>'Informe Kelly'!E275</f>
        <v>06.04.2011</v>
      </c>
      <c r="D281" s="112" t="e">
        <f>VLOOKUP(A281,Ingreso!K:P,6,FALSE)</f>
        <v>#N/A</v>
      </c>
      <c r="E281" s="142" t="e">
        <f>(VLOOKUP(D281,$D$2:$E$4,2,FALSE))-(IF('Informe Kelly'!H275=$A$2,'Informe Kelly'!F275,VLOOKUP(D281,$D$2:$E$4,2,FALSE)))</f>
        <v>#N/A</v>
      </c>
      <c r="F281" s="142" t="e">
        <f>IF('Informe Kelly'!H275=$A$3,'Informe Kelly'!F275,VLOOKUP(D281,$D$2:$F$4,3,FALSE))-(VLOOKUP(D281,$D$2:$F$4,3,FALSE))</f>
        <v>#N/A</v>
      </c>
      <c r="G281" s="137" t="e">
        <f t="shared" si="8"/>
        <v>#N/A</v>
      </c>
    </row>
    <row r="282" spans="1:7">
      <c r="A282" s="112" t="str">
        <f>VLOOKUP('Informe Kelly'!A276,Base!A:B,2,FALSE)</f>
        <v>07.815.068-8</v>
      </c>
      <c r="B282" s="112" t="str">
        <f>VLOOKUP('Informe Kelly'!A276,Base!A:G,7,FALSE)</f>
        <v>JORQUERA  DURAN,ANA MARITZA</v>
      </c>
      <c r="C282" s="112" t="str">
        <f>'Informe Kelly'!E276</f>
        <v>07.04.2011</v>
      </c>
      <c r="D282" s="112" t="e">
        <f>VLOOKUP(A282,Ingreso!K:P,6,FALSE)</f>
        <v>#N/A</v>
      </c>
      <c r="E282" s="142" t="e">
        <f>(VLOOKUP(D282,$D$2:$E$4,2,FALSE))-(IF('Informe Kelly'!H276=$A$2,'Informe Kelly'!F276,VLOOKUP(D282,$D$2:$E$4,2,FALSE)))</f>
        <v>#N/A</v>
      </c>
      <c r="F282" s="142" t="e">
        <f>IF('Informe Kelly'!H276=$A$3,'Informe Kelly'!F276,VLOOKUP(D282,$D$2:$F$4,3,FALSE))-(VLOOKUP(D282,$D$2:$F$4,3,FALSE))</f>
        <v>#N/A</v>
      </c>
      <c r="G282" s="137" t="e">
        <f t="shared" si="8"/>
        <v>#N/A</v>
      </c>
    </row>
    <row r="283" spans="1:7">
      <c r="A283" s="112" t="str">
        <f>VLOOKUP('Informe Kelly'!A277,Base!A:B,2,FALSE)</f>
        <v>07.815.068-8</v>
      </c>
      <c r="B283" s="112" t="str">
        <f>VLOOKUP('Informe Kelly'!A277,Base!A:G,7,FALSE)</f>
        <v>JORQUERA  DURAN,ANA MARITZA</v>
      </c>
      <c r="C283" s="112" t="str">
        <f>'Informe Kelly'!E277</f>
        <v>07.04.2011</v>
      </c>
      <c r="D283" s="112" t="e">
        <f>VLOOKUP(A283,Ingreso!K:P,6,FALSE)</f>
        <v>#N/A</v>
      </c>
      <c r="E283" s="142" t="e">
        <f>(VLOOKUP(D283,$D$2:$E$4,2,FALSE))-(IF('Informe Kelly'!H277=$A$2,'Informe Kelly'!F277,VLOOKUP(D283,$D$2:$E$4,2,FALSE)))</f>
        <v>#N/A</v>
      </c>
      <c r="F283" s="142" t="e">
        <f>IF('Informe Kelly'!H277=$A$3,'Informe Kelly'!F277,VLOOKUP(D283,$D$2:$F$4,3,FALSE))-(VLOOKUP(D283,$D$2:$F$4,3,FALSE))</f>
        <v>#N/A</v>
      </c>
      <c r="G283" s="137" t="e">
        <f t="shared" si="8"/>
        <v>#N/A</v>
      </c>
    </row>
    <row r="284" spans="1:7">
      <c r="A284" s="112" t="str">
        <f>VLOOKUP('Informe Kelly'!A278,Base!A:B,2,FALSE)</f>
        <v>07.815.068-8</v>
      </c>
      <c r="B284" s="112" t="str">
        <f>VLOOKUP('Informe Kelly'!A278,Base!A:G,7,FALSE)</f>
        <v>JORQUERA  DURAN,ANA MARITZA</v>
      </c>
      <c r="C284" s="112" t="str">
        <f>'Informe Kelly'!E278</f>
        <v>08.04.2011</v>
      </c>
      <c r="D284" s="112" t="e">
        <f>VLOOKUP(A284,Ingreso!K:P,6,FALSE)</f>
        <v>#N/A</v>
      </c>
      <c r="E284" s="142" t="e">
        <f>(VLOOKUP(D284,$D$2:$E$4,2,FALSE))-(IF('Informe Kelly'!H278=$A$2,'Informe Kelly'!F278,VLOOKUP(D284,$D$2:$E$4,2,FALSE)))</f>
        <v>#N/A</v>
      </c>
      <c r="F284" s="142" t="e">
        <f>IF('Informe Kelly'!H278=$A$3,'Informe Kelly'!F278,VLOOKUP(D284,$D$2:$F$4,3,FALSE))-(VLOOKUP(D284,$D$2:$F$4,3,FALSE))</f>
        <v>#N/A</v>
      </c>
      <c r="G284" s="137" t="e">
        <f t="shared" si="8"/>
        <v>#N/A</v>
      </c>
    </row>
    <row r="285" spans="1:7">
      <c r="A285" s="112" t="str">
        <f>VLOOKUP('Informe Kelly'!A279,Base!A:B,2,FALSE)</f>
        <v>07.815.068-8</v>
      </c>
      <c r="B285" s="112" t="str">
        <f>VLOOKUP('Informe Kelly'!A279,Base!A:G,7,FALSE)</f>
        <v>JORQUERA  DURAN,ANA MARITZA</v>
      </c>
      <c r="C285" s="112" t="str">
        <f>'Informe Kelly'!E279</f>
        <v>08.04.2011</v>
      </c>
      <c r="D285" s="112" t="e">
        <f>VLOOKUP(A285,Ingreso!K:P,6,FALSE)</f>
        <v>#N/A</v>
      </c>
      <c r="E285" s="142" t="e">
        <f>(VLOOKUP(D285,$D$2:$E$4,2,FALSE))-(IF('Informe Kelly'!H279=$A$2,'Informe Kelly'!F279,VLOOKUP(D285,$D$2:$E$4,2,FALSE)))</f>
        <v>#N/A</v>
      </c>
      <c r="F285" s="142" t="e">
        <f>IF('Informe Kelly'!H279=$A$3,'Informe Kelly'!F279,VLOOKUP(D285,$D$2:$F$4,3,FALSE))-(VLOOKUP(D285,$D$2:$F$4,3,FALSE))</f>
        <v>#N/A</v>
      </c>
      <c r="G285" s="137" t="e">
        <f t="shared" si="8"/>
        <v>#N/A</v>
      </c>
    </row>
    <row r="286" spans="1:7">
      <c r="A286" s="112" t="str">
        <f>VLOOKUP('Informe Kelly'!A280,Base!A:B,2,FALSE)</f>
        <v>07.815.068-8</v>
      </c>
      <c r="B286" s="112" t="str">
        <f>VLOOKUP('Informe Kelly'!A280,Base!A:G,7,FALSE)</f>
        <v>JORQUERA  DURAN,ANA MARITZA</v>
      </c>
      <c r="C286" s="112" t="str">
        <f>'Informe Kelly'!E280</f>
        <v>09.04.2011</v>
      </c>
      <c r="D286" s="112" t="e">
        <f>VLOOKUP(A286,Ingreso!K:P,6,FALSE)</f>
        <v>#N/A</v>
      </c>
      <c r="E286" s="142" t="e">
        <f>(VLOOKUP(D286,$D$2:$E$4,2,FALSE))-(IF('Informe Kelly'!H280=$A$2,'Informe Kelly'!F280,VLOOKUP(D286,$D$2:$E$4,2,FALSE)))</f>
        <v>#N/A</v>
      </c>
      <c r="F286" s="142" t="e">
        <f>IF('Informe Kelly'!H280=$A$3,'Informe Kelly'!F280,VLOOKUP(D286,$D$2:$F$4,3,FALSE))-(VLOOKUP(D286,$D$2:$F$4,3,FALSE))</f>
        <v>#N/A</v>
      </c>
      <c r="G286" s="137" t="e">
        <f t="shared" si="8"/>
        <v>#N/A</v>
      </c>
    </row>
    <row r="287" spans="1:7">
      <c r="A287" s="112" t="str">
        <f>VLOOKUP('Informe Kelly'!A281,Base!A:B,2,FALSE)</f>
        <v>07.815.083-1</v>
      </c>
      <c r="B287" s="112" t="str">
        <f>VLOOKUP('Informe Kelly'!A281,Base!A:G,7,FALSE)</f>
        <v>PALMA  SEREÑO,ELOY ENRIQUE</v>
      </c>
      <c r="C287" s="112" t="str">
        <f>'Informe Kelly'!E281</f>
        <v>04.04.2011</v>
      </c>
      <c r="D287" s="112" t="e">
        <f>VLOOKUP(A287,Ingreso!K:P,6,FALSE)</f>
        <v>#N/A</v>
      </c>
      <c r="E287" s="142" t="e">
        <f>(VLOOKUP(D287,$D$2:$E$4,2,FALSE))-(IF('Informe Kelly'!H281=$A$2,'Informe Kelly'!F281,VLOOKUP(D287,$D$2:$E$4,2,FALSE)))</f>
        <v>#N/A</v>
      </c>
      <c r="F287" s="142" t="e">
        <f>IF('Informe Kelly'!H281=$A$3,'Informe Kelly'!F281,VLOOKUP(D287,$D$2:$F$4,3,FALSE))-(VLOOKUP(D287,$D$2:$F$4,3,FALSE))</f>
        <v>#N/A</v>
      </c>
      <c r="G287" s="137" t="e">
        <f t="shared" si="8"/>
        <v>#N/A</v>
      </c>
    </row>
    <row r="288" spans="1:7">
      <c r="A288" s="112" t="str">
        <f>VLOOKUP('Informe Kelly'!A282,Base!A:B,2,FALSE)</f>
        <v>07.815.083-1</v>
      </c>
      <c r="B288" s="112" t="str">
        <f>VLOOKUP('Informe Kelly'!A282,Base!A:G,7,FALSE)</f>
        <v>PALMA  SEREÑO,ELOY ENRIQUE</v>
      </c>
      <c r="C288" s="112" t="str">
        <f>'Informe Kelly'!E282</f>
        <v>05.04.2011</v>
      </c>
      <c r="D288" s="112" t="e">
        <f>VLOOKUP(A288,Ingreso!K:P,6,FALSE)</f>
        <v>#N/A</v>
      </c>
      <c r="E288" s="142" t="e">
        <f>(VLOOKUP(D288,$D$2:$E$4,2,FALSE))-(IF('Informe Kelly'!H282=$A$2,'Informe Kelly'!F282,VLOOKUP(D288,$D$2:$E$4,2,FALSE)))</f>
        <v>#N/A</v>
      </c>
      <c r="F288" s="142" t="e">
        <f>IF('Informe Kelly'!H282=$A$3,'Informe Kelly'!F282,VLOOKUP(D288,$D$2:$F$4,3,FALSE))-(VLOOKUP(D288,$D$2:$F$4,3,FALSE))</f>
        <v>#N/A</v>
      </c>
      <c r="G288" s="137" t="e">
        <f t="shared" si="8"/>
        <v>#N/A</v>
      </c>
    </row>
    <row r="289" spans="1:7">
      <c r="A289" s="112" t="str">
        <f>VLOOKUP('Informe Kelly'!A283,Base!A:B,2,FALSE)</f>
        <v>07.815.083-1</v>
      </c>
      <c r="B289" s="112" t="str">
        <f>VLOOKUP('Informe Kelly'!A283,Base!A:G,7,FALSE)</f>
        <v>PALMA  SEREÑO,ELOY ENRIQUE</v>
      </c>
      <c r="C289" s="112" t="str">
        <f>'Informe Kelly'!E283</f>
        <v>05.04.2011</v>
      </c>
      <c r="D289" s="112" t="e">
        <f>VLOOKUP(A289,Ingreso!K:P,6,FALSE)</f>
        <v>#N/A</v>
      </c>
      <c r="E289" s="142" t="e">
        <f>(VLOOKUP(D289,$D$2:$E$4,2,FALSE))-(IF('Informe Kelly'!H283=$A$2,'Informe Kelly'!F283,VLOOKUP(D289,$D$2:$E$4,2,FALSE)))</f>
        <v>#N/A</v>
      </c>
      <c r="F289" s="142" t="e">
        <f>IF('Informe Kelly'!H283=$A$3,'Informe Kelly'!F283,VLOOKUP(D289,$D$2:$F$4,3,FALSE))-(VLOOKUP(D289,$D$2:$F$4,3,FALSE))</f>
        <v>#N/A</v>
      </c>
      <c r="G289" s="137" t="e">
        <f t="shared" si="8"/>
        <v>#N/A</v>
      </c>
    </row>
    <row r="290" spans="1:7">
      <c r="A290" s="112" t="str">
        <f>VLOOKUP('Informe Kelly'!A284,Base!A:B,2,FALSE)</f>
        <v>07.815.083-1</v>
      </c>
      <c r="B290" s="112" t="str">
        <f>VLOOKUP('Informe Kelly'!A284,Base!A:G,7,FALSE)</f>
        <v>PALMA  SEREÑO,ELOY ENRIQUE</v>
      </c>
      <c r="C290" s="112" t="str">
        <f>'Informe Kelly'!E284</f>
        <v>06.04.2011</v>
      </c>
      <c r="D290" s="112" t="e">
        <f>VLOOKUP(A290,Ingreso!K:P,6,FALSE)</f>
        <v>#N/A</v>
      </c>
      <c r="E290" s="142" t="e">
        <f>(VLOOKUP(D290,$D$2:$E$4,2,FALSE))-(IF('Informe Kelly'!H284=$A$2,'Informe Kelly'!F284,VLOOKUP(D290,$D$2:$E$4,2,FALSE)))</f>
        <v>#N/A</v>
      </c>
      <c r="F290" s="142" t="e">
        <f>IF('Informe Kelly'!H284=$A$3,'Informe Kelly'!F284,VLOOKUP(D290,$D$2:$F$4,3,FALSE))-(VLOOKUP(D290,$D$2:$F$4,3,FALSE))</f>
        <v>#N/A</v>
      </c>
      <c r="G290" s="137" t="e">
        <f t="shared" si="8"/>
        <v>#N/A</v>
      </c>
    </row>
    <row r="291" spans="1:7">
      <c r="A291" s="112" t="str">
        <f>VLOOKUP('Informe Kelly'!A285,Base!A:B,2,FALSE)</f>
        <v>07.815.083-1</v>
      </c>
      <c r="B291" s="112" t="str">
        <f>VLOOKUP('Informe Kelly'!A285,Base!A:G,7,FALSE)</f>
        <v>PALMA  SEREÑO,ELOY ENRIQUE</v>
      </c>
      <c r="C291" s="112" t="str">
        <f>'Informe Kelly'!E285</f>
        <v>06.04.2011</v>
      </c>
      <c r="D291" s="112" t="e">
        <f>VLOOKUP(A291,Ingreso!K:P,6,FALSE)</f>
        <v>#N/A</v>
      </c>
      <c r="E291" s="142" t="e">
        <f>(VLOOKUP(D291,$D$2:$E$4,2,FALSE))-(IF('Informe Kelly'!H285=$A$2,'Informe Kelly'!F285,VLOOKUP(D291,$D$2:$E$4,2,FALSE)))</f>
        <v>#N/A</v>
      </c>
      <c r="F291" s="142" t="e">
        <f>IF('Informe Kelly'!H285=$A$3,'Informe Kelly'!F285,VLOOKUP(D291,$D$2:$F$4,3,FALSE))-(VLOOKUP(D291,$D$2:$F$4,3,FALSE))</f>
        <v>#N/A</v>
      </c>
      <c r="G291" s="137" t="e">
        <f t="shared" si="8"/>
        <v>#N/A</v>
      </c>
    </row>
    <row r="292" spans="1:7">
      <c r="A292" s="112" t="str">
        <f>VLOOKUP('Informe Kelly'!A286,Base!A:B,2,FALSE)</f>
        <v>07.815.083-1</v>
      </c>
      <c r="B292" s="112" t="str">
        <f>VLOOKUP('Informe Kelly'!A286,Base!A:G,7,FALSE)</f>
        <v>PALMA  SEREÑO,ELOY ENRIQUE</v>
      </c>
      <c r="C292" s="112" t="str">
        <f>'Informe Kelly'!E286</f>
        <v>07.04.2011</v>
      </c>
      <c r="D292" s="112" t="e">
        <f>VLOOKUP(A292,Ingreso!K:P,6,FALSE)</f>
        <v>#N/A</v>
      </c>
      <c r="E292" s="142" t="e">
        <f>(VLOOKUP(D292,$D$2:$E$4,2,FALSE))-(IF('Informe Kelly'!H286=$A$2,'Informe Kelly'!F286,VLOOKUP(D292,$D$2:$E$4,2,FALSE)))</f>
        <v>#N/A</v>
      </c>
      <c r="F292" s="142" t="e">
        <f>IF('Informe Kelly'!H286=$A$3,'Informe Kelly'!F286,VLOOKUP(D292,$D$2:$F$4,3,FALSE))-(VLOOKUP(D292,$D$2:$F$4,3,FALSE))</f>
        <v>#N/A</v>
      </c>
      <c r="G292" s="137" t="e">
        <f t="shared" si="8"/>
        <v>#N/A</v>
      </c>
    </row>
    <row r="293" spans="1:7">
      <c r="A293" s="112" t="str">
        <f>VLOOKUP('Informe Kelly'!A287,Base!A:B,2,FALSE)</f>
        <v>07.815.083-1</v>
      </c>
      <c r="B293" s="112" t="str">
        <f>VLOOKUP('Informe Kelly'!A287,Base!A:G,7,FALSE)</f>
        <v>PALMA  SEREÑO,ELOY ENRIQUE</v>
      </c>
      <c r="C293" s="112" t="str">
        <f>'Informe Kelly'!E287</f>
        <v>07.04.2011</v>
      </c>
      <c r="D293" s="112" t="e">
        <f>VLOOKUP(A293,Ingreso!K:P,6,FALSE)</f>
        <v>#N/A</v>
      </c>
      <c r="E293" s="142" t="e">
        <f>(VLOOKUP(D293,$D$2:$E$4,2,FALSE))-(IF('Informe Kelly'!H287=$A$2,'Informe Kelly'!F287,VLOOKUP(D293,$D$2:$E$4,2,FALSE)))</f>
        <v>#N/A</v>
      </c>
      <c r="F293" s="142" t="e">
        <f>IF('Informe Kelly'!H287=$A$3,'Informe Kelly'!F287,VLOOKUP(D293,$D$2:$F$4,3,FALSE))-(VLOOKUP(D293,$D$2:$F$4,3,FALSE))</f>
        <v>#N/A</v>
      </c>
      <c r="G293" s="137" t="e">
        <f t="shared" si="8"/>
        <v>#N/A</v>
      </c>
    </row>
    <row r="294" spans="1:7">
      <c r="A294" s="112" t="str">
        <f>VLOOKUP('Informe Kelly'!A288,Base!A:B,2,FALSE)</f>
        <v>07.815.083-1</v>
      </c>
      <c r="B294" s="112" t="str">
        <f>VLOOKUP('Informe Kelly'!A288,Base!A:G,7,FALSE)</f>
        <v>PALMA  SEREÑO,ELOY ENRIQUE</v>
      </c>
      <c r="C294" s="112" t="str">
        <f>'Informe Kelly'!E288</f>
        <v>08.04.2011</v>
      </c>
      <c r="D294" s="112" t="e">
        <f>VLOOKUP(A294,Ingreso!K:P,6,FALSE)</f>
        <v>#N/A</v>
      </c>
      <c r="E294" s="142" t="e">
        <f>(VLOOKUP(D294,$D$2:$E$4,2,FALSE))-(IF('Informe Kelly'!H288=$A$2,'Informe Kelly'!F288,VLOOKUP(D294,$D$2:$E$4,2,FALSE)))</f>
        <v>#N/A</v>
      </c>
      <c r="F294" s="142" t="e">
        <f>IF('Informe Kelly'!H288=$A$3,'Informe Kelly'!F288,VLOOKUP(D294,$D$2:$F$4,3,FALSE))-(VLOOKUP(D294,$D$2:$F$4,3,FALSE))</f>
        <v>#N/A</v>
      </c>
      <c r="G294" s="137" t="e">
        <f t="shared" si="8"/>
        <v>#N/A</v>
      </c>
    </row>
    <row r="295" spans="1:7">
      <c r="A295" s="112" t="str">
        <f>VLOOKUP('Informe Kelly'!A289,Base!A:B,2,FALSE)</f>
        <v>07.815.083-1</v>
      </c>
      <c r="B295" s="112" t="str">
        <f>VLOOKUP('Informe Kelly'!A289,Base!A:G,7,FALSE)</f>
        <v>PALMA  SEREÑO,ELOY ENRIQUE</v>
      </c>
      <c r="C295" s="112" t="str">
        <f>'Informe Kelly'!E289</f>
        <v>08.04.2011</v>
      </c>
      <c r="D295" s="112" t="e">
        <f>VLOOKUP(A295,Ingreso!K:P,6,FALSE)</f>
        <v>#N/A</v>
      </c>
      <c r="E295" s="142" t="e">
        <f>(VLOOKUP(D295,$D$2:$E$4,2,FALSE))-(IF('Informe Kelly'!H289=$A$2,'Informe Kelly'!F289,VLOOKUP(D295,$D$2:$E$4,2,FALSE)))</f>
        <v>#N/A</v>
      </c>
      <c r="F295" s="142" t="e">
        <f>IF('Informe Kelly'!H289=$A$3,'Informe Kelly'!F289,VLOOKUP(D295,$D$2:$F$4,3,FALSE))-(VLOOKUP(D295,$D$2:$F$4,3,FALSE))</f>
        <v>#N/A</v>
      </c>
      <c r="G295" s="137" t="e">
        <f t="shared" si="8"/>
        <v>#N/A</v>
      </c>
    </row>
    <row r="296" spans="1:7">
      <c r="A296" s="112" t="str">
        <f>VLOOKUP('Informe Kelly'!A290,Base!A:B,2,FALSE)</f>
        <v>07.815.083-1</v>
      </c>
      <c r="B296" s="112" t="str">
        <f>VLOOKUP('Informe Kelly'!A290,Base!A:G,7,FALSE)</f>
        <v>PALMA  SEREÑO,ELOY ENRIQUE</v>
      </c>
      <c r="C296" s="112" t="str">
        <f>'Informe Kelly'!E290</f>
        <v>09.04.2011</v>
      </c>
      <c r="D296" s="112" t="e">
        <f>VLOOKUP(A296,Ingreso!K:P,6,FALSE)</f>
        <v>#N/A</v>
      </c>
      <c r="E296" s="142" t="e">
        <f>(VLOOKUP(D296,$D$2:$E$4,2,FALSE))-(IF('Informe Kelly'!H290=$A$2,'Informe Kelly'!F290,VLOOKUP(D296,$D$2:$E$4,2,FALSE)))</f>
        <v>#N/A</v>
      </c>
      <c r="F296" s="142" t="e">
        <f>IF('Informe Kelly'!H290=$A$3,'Informe Kelly'!F290,VLOOKUP(D296,$D$2:$F$4,3,FALSE))-(VLOOKUP(D296,$D$2:$F$4,3,FALSE))</f>
        <v>#N/A</v>
      </c>
      <c r="G296" s="137" t="e">
        <f t="shared" si="8"/>
        <v>#N/A</v>
      </c>
    </row>
    <row r="297" spans="1:7">
      <c r="A297" s="112" t="str">
        <f>VLOOKUP('Informe Kelly'!A291,Base!A:B,2,FALSE)</f>
        <v>07.815.607-4</v>
      </c>
      <c r="B297" s="112" t="str">
        <f>VLOOKUP('Informe Kelly'!A291,Base!A:G,7,FALSE)</f>
        <v>CUEVAS ORDENES PATRICIO HERNAN</v>
      </c>
      <c r="C297" s="112" t="str">
        <f>'Informe Kelly'!E291</f>
        <v>04.04.2011</v>
      </c>
      <c r="D297" s="112" t="e">
        <f>VLOOKUP(A297,Ingreso!K:P,6,FALSE)</f>
        <v>#N/A</v>
      </c>
      <c r="E297" s="142" t="e">
        <f>(VLOOKUP(D297,$D$2:$E$4,2,FALSE))-(IF('Informe Kelly'!H291=$A$2,'Informe Kelly'!F291,VLOOKUP(D297,$D$2:$E$4,2,FALSE)))</f>
        <v>#N/A</v>
      </c>
      <c r="F297" s="142" t="e">
        <f>IF('Informe Kelly'!H291=$A$3,'Informe Kelly'!F291,VLOOKUP(D297,$D$2:$F$4,3,FALSE))-(VLOOKUP(D297,$D$2:$F$4,3,FALSE))</f>
        <v>#N/A</v>
      </c>
      <c r="G297" s="137" t="e">
        <f t="shared" si="8"/>
        <v>#N/A</v>
      </c>
    </row>
    <row r="298" spans="1:7">
      <c r="A298" s="112" t="str">
        <f>VLOOKUP('Informe Kelly'!A292,Base!A:B,2,FALSE)</f>
        <v>07.815.607-4</v>
      </c>
      <c r="B298" s="112" t="str">
        <f>VLOOKUP('Informe Kelly'!A292,Base!A:G,7,FALSE)</f>
        <v>CUEVAS ORDENES PATRICIO HERNAN</v>
      </c>
      <c r="C298" s="112" t="str">
        <f>'Informe Kelly'!E292</f>
        <v>04.04.2011</v>
      </c>
      <c r="D298" s="112" t="e">
        <f>VLOOKUP(A298,Ingreso!K:P,6,FALSE)</f>
        <v>#N/A</v>
      </c>
      <c r="E298" s="142" t="e">
        <f>(VLOOKUP(D298,$D$2:$E$4,2,FALSE))-(IF('Informe Kelly'!H292=$A$2,'Informe Kelly'!F292,VLOOKUP(D298,$D$2:$E$4,2,FALSE)))</f>
        <v>#N/A</v>
      </c>
      <c r="F298" s="142" t="e">
        <f>IF('Informe Kelly'!H292=$A$3,'Informe Kelly'!F292,VLOOKUP(D298,$D$2:$F$4,3,FALSE))-(VLOOKUP(D298,$D$2:$F$4,3,FALSE))</f>
        <v>#N/A</v>
      </c>
      <c r="G298" s="137" t="e">
        <f t="shared" si="8"/>
        <v>#N/A</v>
      </c>
    </row>
    <row r="299" spans="1:7">
      <c r="A299" s="112" t="str">
        <f>VLOOKUP('Informe Kelly'!A293,Base!A:B,2,FALSE)</f>
        <v>07.815.607-4</v>
      </c>
      <c r="B299" s="112" t="str">
        <f>VLOOKUP('Informe Kelly'!A293,Base!A:G,7,FALSE)</f>
        <v>CUEVAS ORDENES PATRICIO HERNAN</v>
      </c>
      <c r="C299" s="112" t="str">
        <f>'Informe Kelly'!E293</f>
        <v>05.04.2011</v>
      </c>
      <c r="D299" s="112" t="e">
        <f>VLOOKUP(A299,Ingreso!K:P,6,FALSE)</f>
        <v>#N/A</v>
      </c>
      <c r="E299" s="142" t="e">
        <f>(VLOOKUP(D299,$D$2:$E$4,2,FALSE))-(IF('Informe Kelly'!H293=$A$2,'Informe Kelly'!F293,VLOOKUP(D299,$D$2:$E$4,2,FALSE)))</f>
        <v>#N/A</v>
      </c>
      <c r="F299" s="142" t="e">
        <f>IF('Informe Kelly'!H293=$A$3,'Informe Kelly'!F293,VLOOKUP(D299,$D$2:$F$4,3,FALSE))-(VLOOKUP(D299,$D$2:$F$4,3,FALSE))</f>
        <v>#N/A</v>
      </c>
      <c r="G299" s="137" t="e">
        <f t="shared" si="8"/>
        <v>#N/A</v>
      </c>
    </row>
    <row r="300" spans="1:7">
      <c r="A300" s="112" t="str">
        <f>VLOOKUP('Informe Kelly'!A294,Base!A:B,2,FALSE)</f>
        <v>07.815.607-4</v>
      </c>
      <c r="B300" s="112" t="str">
        <f>VLOOKUP('Informe Kelly'!A294,Base!A:G,7,FALSE)</f>
        <v>CUEVAS ORDENES PATRICIO HERNAN</v>
      </c>
      <c r="C300" s="112" t="str">
        <f>'Informe Kelly'!E294</f>
        <v>05.04.2011</v>
      </c>
      <c r="D300" s="112" t="e">
        <f>VLOOKUP(A300,Ingreso!K:P,6,FALSE)</f>
        <v>#N/A</v>
      </c>
      <c r="E300" s="142" t="e">
        <f>(VLOOKUP(D300,$D$2:$E$4,2,FALSE))-(IF('Informe Kelly'!H294=$A$2,'Informe Kelly'!F294,VLOOKUP(D300,$D$2:$E$4,2,FALSE)))</f>
        <v>#N/A</v>
      </c>
      <c r="F300" s="142" t="e">
        <f>IF('Informe Kelly'!H294=$A$3,'Informe Kelly'!F294,VLOOKUP(D300,$D$2:$F$4,3,FALSE))-(VLOOKUP(D300,$D$2:$F$4,3,FALSE))</f>
        <v>#N/A</v>
      </c>
      <c r="G300" s="137" t="e">
        <f t="shared" si="8"/>
        <v>#N/A</v>
      </c>
    </row>
    <row r="301" spans="1:7">
      <c r="A301" s="112" t="str">
        <f>VLOOKUP('Informe Kelly'!A295,Base!A:B,2,FALSE)</f>
        <v>07.815.607-4</v>
      </c>
      <c r="B301" s="112" t="str">
        <f>VLOOKUP('Informe Kelly'!A295,Base!A:G,7,FALSE)</f>
        <v>CUEVAS ORDENES PATRICIO HERNAN</v>
      </c>
      <c r="C301" s="112" t="str">
        <f>'Informe Kelly'!E295</f>
        <v>06.04.2011</v>
      </c>
      <c r="D301" s="112" t="e">
        <f>VLOOKUP(A301,Ingreso!K:P,6,FALSE)</f>
        <v>#N/A</v>
      </c>
      <c r="E301" s="142" t="e">
        <f>(VLOOKUP(D301,$D$2:$E$4,2,FALSE))-(IF('Informe Kelly'!H295=$A$2,'Informe Kelly'!F295,VLOOKUP(D301,$D$2:$E$4,2,FALSE)))</f>
        <v>#N/A</v>
      </c>
      <c r="F301" s="142" t="e">
        <f>IF('Informe Kelly'!H295=$A$3,'Informe Kelly'!F295,VLOOKUP(D301,$D$2:$F$4,3,FALSE))-(VLOOKUP(D301,$D$2:$F$4,3,FALSE))</f>
        <v>#N/A</v>
      </c>
      <c r="G301" s="137" t="e">
        <f t="shared" si="8"/>
        <v>#N/A</v>
      </c>
    </row>
    <row r="302" spans="1:7">
      <c r="A302" s="112" t="str">
        <f>VLOOKUP('Informe Kelly'!A296,Base!A:B,2,FALSE)</f>
        <v>07.815.607-4</v>
      </c>
      <c r="B302" s="112" t="str">
        <f>VLOOKUP('Informe Kelly'!A296,Base!A:G,7,FALSE)</f>
        <v>CUEVAS ORDENES PATRICIO HERNAN</v>
      </c>
      <c r="C302" s="112" t="str">
        <f>'Informe Kelly'!E296</f>
        <v>06.04.2011</v>
      </c>
      <c r="D302" s="112" t="e">
        <f>VLOOKUP(A302,Ingreso!K:P,6,FALSE)</f>
        <v>#N/A</v>
      </c>
      <c r="E302" s="142" t="e">
        <f>(VLOOKUP(D302,$D$2:$E$4,2,FALSE))-(IF('Informe Kelly'!H296=$A$2,'Informe Kelly'!F296,VLOOKUP(D302,$D$2:$E$4,2,FALSE)))</f>
        <v>#N/A</v>
      </c>
      <c r="F302" s="142" t="e">
        <f>IF('Informe Kelly'!H296=$A$3,'Informe Kelly'!F296,VLOOKUP(D302,$D$2:$F$4,3,FALSE))-(VLOOKUP(D302,$D$2:$F$4,3,FALSE))</f>
        <v>#N/A</v>
      </c>
      <c r="G302" s="137" t="e">
        <f t="shared" si="8"/>
        <v>#N/A</v>
      </c>
    </row>
    <row r="303" spans="1:7">
      <c r="A303" s="112" t="str">
        <f>VLOOKUP('Informe Kelly'!A297,Base!A:B,2,FALSE)</f>
        <v>07.815.607-4</v>
      </c>
      <c r="B303" s="112" t="str">
        <f>VLOOKUP('Informe Kelly'!A297,Base!A:G,7,FALSE)</f>
        <v>CUEVAS ORDENES PATRICIO HERNAN</v>
      </c>
      <c r="C303" s="112" t="str">
        <f>'Informe Kelly'!E297</f>
        <v>07.04.2011</v>
      </c>
      <c r="D303" s="112" t="e">
        <f>VLOOKUP(A303,Ingreso!K:P,6,FALSE)</f>
        <v>#N/A</v>
      </c>
      <c r="E303" s="142" t="e">
        <f>(VLOOKUP(D303,$D$2:$E$4,2,FALSE))-(IF('Informe Kelly'!H297=$A$2,'Informe Kelly'!F297,VLOOKUP(D303,$D$2:$E$4,2,FALSE)))</f>
        <v>#N/A</v>
      </c>
      <c r="F303" s="142" t="e">
        <f>IF('Informe Kelly'!H297=$A$3,'Informe Kelly'!F297,VLOOKUP(D303,$D$2:$F$4,3,FALSE))-(VLOOKUP(D303,$D$2:$F$4,3,FALSE))</f>
        <v>#N/A</v>
      </c>
      <c r="G303" s="137" t="e">
        <f t="shared" si="8"/>
        <v>#N/A</v>
      </c>
    </row>
    <row r="304" spans="1:7">
      <c r="A304" s="112" t="str">
        <f>VLOOKUP('Informe Kelly'!A298,Base!A:B,2,FALSE)</f>
        <v>07.815.607-4</v>
      </c>
      <c r="B304" s="112" t="str">
        <f>VLOOKUP('Informe Kelly'!A298,Base!A:G,7,FALSE)</f>
        <v>CUEVAS ORDENES PATRICIO HERNAN</v>
      </c>
      <c r="C304" s="112" t="str">
        <f>'Informe Kelly'!E298</f>
        <v>07.04.2011</v>
      </c>
      <c r="D304" s="112" t="e">
        <f>VLOOKUP(A304,Ingreso!K:P,6,FALSE)</f>
        <v>#N/A</v>
      </c>
      <c r="E304" s="142" t="e">
        <f>(VLOOKUP(D304,$D$2:$E$4,2,FALSE))-(IF('Informe Kelly'!H298=$A$2,'Informe Kelly'!F298,VLOOKUP(D304,$D$2:$E$4,2,FALSE)))</f>
        <v>#N/A</v>
      </c>
      <c r="F304" s="142" t="e">
        <f>IF('Informe Kelly'!H298=$A$3,'Informe Kelly'!F298,VLOOKUP(D304,$D$2:$F$4,3,FALSE))-(VLOOKUP(D304,$D$2:$F$4,3,FALSE))</f>
        <v>#N/A</v>
      </c>
      <c r="G304" s="137" t="e">
        <f t="shared" si="8"/>
        <v>#N/A</v>
      </c>
    </row>
    <row r="305" spans="1:7">
      <c r="A305" s="112" t="str">
        <f>VLOOKUP('Informe Kelly'!A299,Base!A:B,2,FALSE)</f>
        <v>07.815.607-4</v>
      </c>
      <c r="B305" s="112" t="str">
        <f>VLOOKUP('Informe Kelly'!A299,Base!A:G,7,FALSE)</f>
        <v>CUEVAS ORDENES PATRICIO HERNAN</v>
      </c>
      <c r="C305" s="112" t="str">
        <f>'Informe Kelly'!E299</f>
        <v>08.04.2011</v>
      </c>
      <c r="D305" s="112" t="e">
        <f>VLOOKUP(A305,Ingreso!K:P,6,FALSE)</f>
        <v>#N/A</v>
      </c>
      <c r="E305" s="142" t="e">
        <f>(VLOOKUP(D305,$D$2:$E$4,2,FALSE))-(IF('Informe Kelly'!H299=$A$2,'Informe Kelly'!F299,VLOOKUP(D305,$D$2:$E$4,2,FALSE)))</f>
        <v>#N/A</v>
      </c>
      <c r="F305" s="142" t="e">
        <f>IF('Informe Kelly'!H299=$A$3,'Informe Kelly'!F299,VLOOKUP(D305,$D$2:$F$4,3,FALSE))-(VLOOKUP(D305,$D$2:$F$4,3,FALSE))</f>
        <v>#N/A</v>
      </c>
      <c r="G305" s="137" t="e">
        <f t="shared" si="8"/>
        <v>#N/A</v>
      </c>
    </row>
    <row r="306" spans="1:7">
      <c r="A306" s="112" t="str">
        <f>VLOOKUP('Informe Kelly'!A300,Base!A:B,2,FALSE)</f>
        <v>07.815.607-4</v>
      </c>
      <c r="B306" s="112" t="str">
        <f>VLOOKUP('Informe Kelly'!A300,Base!A:G,7,FALSE)</f>
        <v>CUEVAS ORDENES PATRICIO HERNAN</v>
      </c>
      <c r="C306" s="112" t="str">
        <f>'Informe Kelly'!E300</f>
        <v>08.04.2011</v>
      </c>
      <c r="D306" s="112" t="e">
        <f>VLOOKUP(A306,Ingreso!K:P,6,FALSE)</f>
        <v>#N/A</v>
      </c>
      <c r="E306" s="142" t="e">
        <f>(VLOOKUP(D306,$D$2:$E$4,2,FALSE))-(IF('Informe Kelly'!H300=$A$2,'Informe Kelly'!F300,VLOOKUP(D306,$D$2:$E$4,2,FALSE)))</f>
        <v>#N/A</v>
      </c>
      <c r="F306" s="142" t="e">
        <f>IF('Informe Kelly'!H300=$A$3,'Informe Kelly'!F300,VLOOKUP(D306,$D$2:$F$4,3,FALSE))-(VLOOKUP(D306,$D$2:$F$4,3,FALSE))</f>
        <v>#N/A</v>
      </c>
      <c r="G306" s="137" t="e">
        <f t="shared" si="8"/>
        <v>#N/A</v>
      </c>
    </row>
    <row r="307" spans="1:7">
      <c r="A307" s="112" t="str">
        <f>VLOOKUP('Informe Kelly'!A301,Base!A:B,2,FALSE)</f>
        <v>07.815.607-4</v>
      </c>
      <c r="B307" s="112" t="str">
        <f>VLOOKUP('Informe Kelly'!A301,Base!A:G,7,FALSE)</f>
        <v>CUEVAS ORDENES PATRICIO HERNAN</v>
      </c>
      <c r="C307" s="112" t="str">
        <f>'Informe Kelly'!E301</f>
        <v>09.04.2011</v>
      </c>
      <c r="D307" s="112" t="e">
        <f>VLOOKUP(A307,Ingreso!K:P,6,FALSE)</f>
        <v>#N/A</v>
      </c>
      <c r="E307" s="142" t="e">
        <f>(VLOOKUP(D307,$D$2:$E$4,2,FALSE))-(IF('Informe Kelly'!H301=$A$2,'Informe Kelly'!F301,VLOOKUP(D307,$D$2:$E$4,2,FALSE)))</f>
        <v>#N/A</v>
      </c>
      <c r="F307" s="142" t="e">
        <f>IF('Informe Kelly'!H301=$A$3,'Informe Kelly'!F301,VLOOKUP(D307,$D$2:$F$4,3,FALSE))-(VLOOKUP(D307,$D$2:$F$4,3,FALSE))</f>
        <v>#N/A</v>
      </c>
      <c r="G307" s="137" t="e">
        <f t="shared" si="8"/>
        <v>#N/A</v>
      </c>
    </row>
    <row r="308" spans="1:7">
      <c r="A308" s="112" t="str">
        <f>VLOOKUP('Informe Kelly'!A302,Base!A:B,2,FALSE)</f>
        <v>07.815.607-4</v>
      </c>
      <c r="B308" s="112" t="str">
        <f>VLOOKUP('Informe Kelly'!A302,Base!A:G,7,FALSE)</f>
        <v>CUEVAS ORDENES PATRICIO HERNAN</v>
      </c>
      <c r="C308" s="112" t="str">
        <f>'Informe Kelly'!E302</f>
        <v>09.04.2011</v>
      </c>
      <c r="D308" s="112" t="e">
        <f>VLOOKUP(A308,Ingreso!K:P,6,FALSE)</f>
        <v>#N/A</v>
      </c>
      <c r="E308" s="142" t="e">
        <f>(VLOOKUP(D308,$D$2:$E$4,2,FALSE))-(IF('Informe Kelly'!H302=$A$2,'Informe Kelly'!F302,VLOOKUP(D308,$D$2:$E$4,2,FALSE)))</f>
        <v>#N/A</v>
      </c>
      <c r="F308" s="142" t="e">
        <f>IF('Informe Kelly'!H302=$A$3,'Informe Kelly'!F302,VLOOKUP(D308,$D$2:$F$4,3,FALSE))-(VLOOKUP(D308,$D$2:$F$4,3,FALSE))</f>
        <v>#N/A</v>
      </c>
      <c r="G308" s="137" t="e">
        <f t="shared" si="8"/>
        <v>#N/A</v>
      </c>
    </row>
    <row r="309" spans="1:7">
      <c r="A309" s="112" t="str">
        <f>VLOOKUP('Informe Kelly'!A303,Base!A:B,2,FALSE)</f>
        <v>07.816.535-9</v>
      </c>
      <c r="B309" s="112" t="str">
        <f>VLOOKUP('Informe Kelly'!A303,Base!A:G,7,FALSE)</f>
        <v>CERONI  PIZARRO,CARLOS</v>
      </c>
      <c r="C309" s="112" t="str">
        <f>'Informe Kelly'!E303</f>
        <v>04.04.2011</v>
      </c>
      <c r="D309" s="112" t="e">
        <f>VLOOKUP(A309,Ingreso!K:P,6,FALSE)</f>
        <v>#N/A</v>
      </c>
      <c r="E309" s="142" t="e">
        <f>(VLOOKUP(D309,$D$2:$E$4,2,FALSE))-(IF('Informe Kelly'!H303=$A$2,'Informe Kelly'!F303,VLOOKUP(D309,$D$2:$E$4,2,FALSE)))</f>
        <v>#N/A</v>
      </c>
      <c r="F309" s="142" t="e">
        <f>IF('Informe Kelly'!H303=$A$3,'Informe Kelly'!F303,VLOOKUP(D309,$D$2:$F$4,3,FALSE))-(VLOOKUP(D309,$D$2:$F$4,3,FALSE))</f>
        <v>#N/A</v>
      </c>
      <c r="G309" s="137" t="e">
        <f t="shared" si="8"/>
        <v>#N/A</v>
      </c>
    </row>
    <row r="310" spans="1:7">
      <c r="A310" s="112" t="str">
        <f>VLOOKUP('Informe Kelly'!A304,Base!A:B,2,FALSE)</f>
        <v>07.816.535-9</v>
      </c>
      <c r="B310" s="112" t="str">
        <f>VLOOKUP('Informe Kelly'!A304,Base!A:G,7,FALSE)</f>
        <v>CERONI  PIZARRO,CARLOS</v>
      </c>
      <c r="C310" s="112" t="str">
        <f>'Informe Kelly'!E304</f>
        <v>04.04.2011</v>
      </c>
      <c r="D310" s="112" t="e">
        <f>VLOOKUP(A310,Ingreso!K:P,6,FALSE)</f>
        <v>#N/A</v>
      </c>
      <c r="E310" s="142" t="e">
        <f>(VLOOKUP(D310,$D$2:$E$4,2,FALSE))-(IF('Informe Kelly'!H304=$A$2,'Informe Kelly'!F304,VLOOKUP(D310,$D$2:$E$4,2,FALSE)))</f>
        <v>#N/A</v>
      </c>
      <c r="F310" s="142" t="e">
        <f>IF('Informe Kelly'!H304=$A$3,'Informe Kelly'!F304,VLOOKUP(D310,$D$2:$F$4,3,FALSE))-(VLOOKUP(D310,$D$2:$F$4,3,FALSE))</f>
        <v>#N/A</v>
      </c>
      <c r="G310" s="137" t="e">
        <f t="shared" si="8"/>
        <v>#N/A</v>
      </c>
    </row>
    <row r="311" spans="1:7">
      <c r="A311" s="112" t="str">
        <f>VLOOKUP('Informe Kelly'!A305,Base!A:B,2,FALSE)</f>
        <v>07.816.535-9</v>
      </c>
      <c r="B311" s="112" t="str">
        <f>VLOOKUP('Informe Kelly'!A305,Base!A:G,7,FALSE)</f>
        <v>CERONI  PIZARRO,CARLOS</v>
      </c>
      <c r="C311" s="112" t="str">
        <f>'Informe Kelly'!E305</f>
        <v>05.04.2011</v>
      </c>
      <c r="D311" s="112" t="e">
        <f>VLOOKUP(A311,Ingreso!K:P,6,FALSE)</f>
        <v>#N/A</v>
      </c>
      <c r="E311" s="142" t="e">
        <f>(VLOOKUP(D311,$D$2:$E$4,2,FALSE))-(IF('Informe Kelly'!H305=$A$2,'Informe Kelly'!F305,VLOOKUP(D311,$D$2:$E$4,2,FALSE)))</f>
        <v>#N/A</v>
      </c>
      <c r="F311" s="142" t="e">
        <f>IF('Informe Kelly'!H305=$A$3,'Informe Kelly'!F305,VLOOKUP(D311,$D$2:$F$4,3,FALSE))-(VLOOKUP(D311,$D$2:$F$4,3,FALSE))</f>
        <v>#N/A</v>
      </c>
      <c r="G311" s="137" t="e">
        <f t="shared" si="8"/>
        <v>#N/A</v>
      </c>
    </row>
    <row r="312" spans="1:7">
      <c r="A312" s="112" t="str">
        <f>VLOOKUP('Informe Kelly'!A306,Base!A:B,2,FALSE)</f>
        <v>07.816.535-9</v>
      </c>
      <c r="B312" s="112" t="str">
        <f>VLOOKUP('Informe Kelly'!A306,Base!A:G,7,FALSE)</f>
        <v>CERONI  PIZARRO,CARLOS</v>
      </c>
      <c r="C312" s="112" t="str">
        <f>'Informe Kelly'!E306</f>
        <v>05.04.2011</v>
      </c>
      <c r="D312" s="112" t="e">
        <f>VLOOKUP(A312,Ingreso!K:P,6,FALSE)</f>
        <v>#N/A</v>
      </c>
      <c r="E312" s="142" t="e">
        <f>(VLOOKUP(D312,$D$2:$E$4,2,FALSE))-(IF('Informe Kelly'!H306=$A$2,'Informe Kelly'!F306,VLOOKUP(D312,$D$2:$E$4,2,FALSE)))</f>
        <v>#N/A</v>
      </c>
      <c r="F312" s="142" t="e">
        <f>IF('Informe Kelly'!H306=$A$3,'Informe Kelly'!F306,VLOOKUP(D312,$D$2:$F$4,3,FALSE))-(VLOOKUP(D312,$D$2:$F$4,3,FALSE))</f>
        <v>#N/A</v>
      </c>
      <c r="G312" s="137" t="e">
        <f t="shared" si="8"/>
        <v>#N/A</v>
      </c>
    </row>
    <row r="313" spans="1:7">
      <c r="A313" s="112" t="str">
        <f>VLOOKUP('Informe Kelly'!A307,Base!A:B,2,FALSE)</f>
        <v>07.816.535-9</v>
      </c>
      <c r="B313" s="112" t="str">
        <f>VLOOKUP('Informe Kelly'!A307,Base!A:G,7,FALSE)</f>
        <v>CERONI  PIZARRO,CARLOS</v>
      </c>
      <c r="C313" s="112" t="str">
        <f>'Informe Kelly'!E307</f>
        <v>06.04.2011</v>
      </c>
      <c r="D313" s="112" t="e">
        <f>VLOOKUP(A313,Ingreso!K:P,6,FALSE)</f>
        <v>#N/A</v>
      </c>
      <c r="E313" s="142" t="e">
        <f>(VLOOKUP(D313,$D$2:$E$4,2,FALSE))-(IF('Informe Kelly'!H307=$A$2,'Informe Kelly'!F307,VLOOKUP(D313,$D$2:$E$4,2,FALSE)))</f>
        <v>#N/A</v>
      </c>
      <c r="F313" s="142" t="e">
        <f>IF('Informe Kelly'!H307=$A$3,'Informe Kelly'!F307,VLOOKUP(D313,$D$2:$F$4,3,FALSE))-(VLOOKUP(D313,$D$2:$F$4,3,FALSE))</f>
        <v>#N/A</v>
      </c>
      <c r="G313" s="137" t="e">
        <f t="shared" si="8"/>
        <v>#N/A</v>
      </c>
    </row>
    <row r="314" spans="1:7">
      <c r="A314" s="112" t="str">
        <f>VLOOKUP('Informe Kelly'!A308,Base!A:B,2,FALSE)</f>
        <v>07.816.535-9</v>
      </c>
      <c r="B314" s="112" t="str">
        <f>VLOOKUP('Informe Kelly'!A308,Base!A:G,7,FALSE)</f>
        <v>CERONI  PIZARRO,CARLOS</v>
      </c>
      <c r="C314" s="112" t="str">
        <f>'Informe Kelly'!E308</f>
        <v>06.04.2011</v>
      </c>
      <c r="D314" s="112" t="e">
        <f>VLOOKUP(A314,Ingreso!K:P,6,FALSE)</f>
        <v>#N/A</v>
      </c>
      <c r="E314" s="142" t="e">
        <f>(VLOOKUP(D314,$D$2:$E$4,2,FALSE))-(IF('Informe Kelly'!H308=$A$2,'Informe Kelly'!F308,VLOOKUP(D314,$D$2:$E$4,2,FALSE)))</f>
        <v>#N/A</v>
      </c>
      <c r="F314" s="142" t="e">
        <f>IF('Informe Kelly'!H308=$A$3,'Informe Kelly'!F308,VLOOKUP(D314,$D$2:$F$4,3,FALSE))-(VLOOKUP(D314,$D$2:$F$4,3,FALSE))</f>
        <v>#N/A</v>
      </c>
      <c r="G314" s="137" t="e">
        <f t="shared" si="8"/>
        <v>#N/A</v>
      </c>
    </row>
    <row r="315" spans="1:7">
      <c r="A315" s="112" t="str">
        <f>VLOOKUP('Informe Kelly'!A309,Base!A:B,2,FALSE)</f>
        <v>07.816.535-9</v>
      </c>
      <c r="B315" s="112" t="str">
        <f>VLOOKUP('Informe Kelly'!A309,Base!A:G,7,FALSE)</f>
        <v>CERONI  PIZARRO,CARLOS</v>
      </c>
      <c r="C315" s="112" t="str">
        <f>'Informe Kelly'!E309</f>
        <v>07.04.2011</v>
      </c>
      <c r="D315" s="112" t="e">
        <f>VLOOKUP(A315,Ingreso!K:P,6,FALSE)</f>
        <v>#N/A</v>
      </c>
      <c r="E315" s="142" t="e">
        <f>(VLOOKUP(D315,$D$2:$E$4,2,FALSE))-(IF('Informe Kelly'!H309=$A$2,'Informe Kelly'!F309,VLOOKUP(D315,$D$2:$E$4,2,FALSE)))</f>
        <v>#N/A</v>
      </c>
      <c r="F315" s="142" t="e">
        <f>IF('Informe Kelly'!H309=$A$3,'Informe Kelly'!F309,VLOOKUP(D315,$D$2:$F$4,3,FALSE))-(VLOOKUP(D315,$D$2:$F$4,3,FALSE))</f>
        <v>#N/A</v>
      </c>
      <c r="G315" s="137" t="e">
        <f t="shared" si="8"/>
        <v>#N/A</v>
      </c>
    </row>
    <row r="316" spans="1:7">
      <c r="A316" s="112" t="str">
        <f>VLOOKUP('Informe Kelly'!A310,Base!A:B,2,FALSE)</f>
        <v>07.816.535-9</v>
      </c>
      <c r="B316" s="112" t="str">
        <f>VLOOKUP('Informe Kelly'!A310,Base!A:G,7,FALSE)</f>
        <v>CERONI  PIZARRO,CARLOS</v>
      </c>
      <c r="C316" s="112" t="str">
        <f>'Informe Kelly'!E310</f>
        <v>07.04.2011</v>
      </c>
      <c r="D316" s="112" t="e">
        <f>VLOOKUP(A316,Ingreso!K:P,6,FALSE)</f>
        <v>#N/A</v>
      </c>
      <c r="E316" s="142" t="e">
        <f>(VLOOKUP(D316,$D$2:$E$4,2,FALSE))-(IF('Informe Kelly'!H310=$A$2,'Informe Kelly'!F310,VLOOKUP(D316,$D$2:$E$4,2,FALSE)))</f>
        <v>#N/A</v>
      </c>
      <c r="F316" s="142" t="e">
        <f>IF('Informe Kelly'!H310=$A$3,'Informe Kelly'!F310,VLOOKUP(D316,$D$2:$F$4,3,FALSE))-(VLOOKUP(D316,$D$2:$F$4,3,FALSE))</f>
        <v>#N/A</v>
      </c>
      <c r="G316" s="137" t="e">
        <f t="shared" si="8"/>
        <v>#N/A</v>
      </c>
    </row>
    <row r="317" spans="1:7">
      <c r="A317" s="112" t="str">
        <f>VLOOKUP('Informe Kelly'!A311,Base!A:B,2,FALSE)</f>
        <v>07.816.535-9</v>
      </c>
      <c r="B317" s="112" t="str">
        <f>VLOOKUP('Informe Kelly'!A311,Base!A:G,7,FALSE)</f>
        <v>CERONI  PIZARRO,CARLOS</v>
      </c>
      <c r="C317" s="112" t="str">
        <f>'Informe Kelly'!E311</f>
        <v>08.04.2011</v>
      </c>
      <c r="D317" s="112" t="e">
        <f>VLOOKUP(A317,Ingreso!K:P,6,FALSE)</f>
        <v>#N/A</v>
      </c>
      <c r="E317" s="142" t="e">
        <f>(VLOOKUP(D317,$D$2:$E$4,2,FALSE))-(IF('Informe Kelly'!H311=$A$2,'Informe Kelly'!F311,VLOOKUP(D317,$D$2:$E$4,2,FALSE)))</f>
        <v>#N/A</v>
      </c>
      <c r="F317" s="142" t="e">
        <f>IF('Informe Kelly'!H311=$A$3,'Informe Kelly'!F311,VLOOKUP(D317,$D$2:$F$4,3,FALSE))-(VLOOKUP(D317,$D$2:$F$4,3,FALSE))</f>
        <v>#N/A</v>
      </c>
      <c r="G317" s="137" t="e">
        <f t="shared" si="8"/>
        <v>#N/A</v>
      </c>
    </row>
    <row r="318" spans="1:7">
      <c r="A318" s="112" t="str">
        <f>VLOOKUP('Informe Kelly'!A312,Base!A:B,2,FALSE)</f>
        <v>07.816.535-9</v>
      </c>
      <c r="B318" s="112" t="str">
        <f>VLOOKUP('Informe Kelly'!A312,Base!A:G,7,FALSE)</f>
        <v>CERONI  PIZARRO,CARLOS</v>
      </c>
      <c r="C318" s="112" t="str">
        <f>'Informe Kelly'!E312</f>
        <v>08.04.2011</v>
      </c>
      <c r="D318" s="112" t="e">
        <f>VLOOKUP(A318,Ingreso!K:P,6,FALSE)</f>
        <v>#N/A</v>
      </c>
      <c r="E318" s="142" t="e">
        <f>(VLOOKUP(D318,$D$2:$E$4,2,FALSE))-(IF('Informe Kelly'!H312=$A$2,'Informe Kelly'!F312,VLOOKUP(D318,$D$2:$E$4,2,FALSE)))</f>
        <v>#N/A</v>
      </c>
      <c r="F318" s="142" t="e">
        <f>IF('Informe Kelly'!H312=$A$3,'Informe Kelly'!F312,VLOOKUP(D318,$D$2:$F$4,3,FALSE))-(VLOOKUP(D318,$D$2:$F$4,3,FALSE))</f>
        <v>#N/A</v>
      </c>
      <c r="G318" s="137" t="e">
        <f t="shared" si="8"/>
        <v>#N/A</v>
      </c>
    </row>
    <row r="319" spans="1:7">
      <c r="A319" s="112" t="str">
        <f>VLOOKUP('Informe Kelly'!A313,Base!A:B,2,FALSE)</f>
        <v>07.816.535-9</v>
      </c>
      <c r="B319" s="112" t="str">
        <f>VLOOKUP('Informe Kelly'!A313,Base!A:G,7,FALSE)</f>
        <v>CERONI  PIZARRO,CARLOS</v>
      </c>
      <c r="C319" s="112" t="str">
        <f>'Informe Kelly'!E313</f>
        <v>09.04.2011</v>
      </c>
      <c r="D319" s="112" t="e">
        <f>VLOOKUP(A319,Ingreso!K:P,6,FALSE)</f>
        <v>#N/A</v>
      </c>
      <c r="E319" s="142" t="e">
        <f>(VLOOKUP(D319,$D$2:$E$4,2,FALSE))-(IF('Informe Kelly'!H313=$A$2,'Informe Kelly'!F313,VLOOKUP(D319,$D$2:$E$4,2,FALSE)))</f>
        <v>#N/A</v>
      </c>
      <c r="F319" s="142" t="e">
        <f>IF('Informe Kelly'!H313=$A$3,'Informe Kelly'!F313,VLOOKUP(D319,$D$2:$F$4,3,FALSE))-(VLOOKUP(D319,$D$2:$F$4,3,FALSE))</f>
        <v>#N/A</v>
      </c>
      <c r="G319" s="137" t="e">
        <f t="shared" si="8"/>
        <v>#N/A</v>
      </c>
    </row>
    <row r="320" spans="1:7">
      <c r="A320" s="112" t="str">
        <f>VLOOKUP('Informe Kelly'!A314,Base!A:B,2,FALSE)</f>
        <v>07.816.535-9</v>
      </c>
      <c r="B320" s="112" t="str">
        <f>VLOOKUP('Informe Kelly'!A314,Base!A:G,7,FALSE)</f>
        <v>CERONI  PIZARRO,CARLOS</v>
      </c>
      <c r="C320" s="112" t="str">
        <f>'Informe Kelly'!E314</f>
        <v>09.04.2011</v>
      </c>
      <c r="D320" s="112" t="e">
        <f>VLOOKUP(A320,Ingreso!K:P,6,FALSE)</f>
        <v>#N/A</v>
      </c>
      <c r="E320" s="142" t="e">
        <f>(VLOOKUP(D320,$D$2:$E$4,2,FALSE))-(IF('Informe Kelly'!H314=$A$2,'Informe Kelly'!F314,VLOOKUP(D320,$D$2:$E$4,2,FALSE)))</f>
        <v>#N/A</v>
      </c>
      <c r="F320" s="142" t="e">
        <f>IF('Informe Kelly'!H314=$A$3,'Informe Kelly'!F314,VLOOKUP(D320,$D$2:$F$4,3,FALSE))-(VLOOKUP(D320,$D$2:$F$4,3,FALSE))</f>
        <v>#N/A</v>
      </c>
      <c r="G320" s="137" t="e">
        <f t="shared" si="8"/>
        <v>#N/A</v>
      </c>
    </row>
    <row r="321" spans="1:7">
      <c r="A321" s="112" t="str">
        <f>VLOOKUP('Informe Kelly'!A315,Base!A:B,2,FALSE)</f>
        <v>07.816.805-6</v>
      </c>
      <c r="B321" s="112" t="str">
        <f>VLOOKUP('Informe Kelly'!A315,Base!A:G,7,FALSE)</f>
        <v>PINTO  FLORES,JULIO CESAR</v>
      </c>
      <c r="C321" s="112" t="str">
        <f>'Informe Kelly'!E315</f>
        <v>04.04.2011</v>
      </c>
      <c r="D321" s="112" t="e">
        <f>VLOOKUP(A321,Ingreso!K:P,6,FALSE)</f>
        <v>#N/A</v>
      </c>
      <c r="E321" s="142" t="e">
        <f>(VLOOKUP(D321,$D$2:$E$4,2,FALSE))-(IF('Informe Kelly'!H315=$A$2,'Informe Kelly'!F315,VLOOKUP(D321,$D$2:$E$4,2,FALSE)))</f>
        <v>#N/A</v>
      </c>
      <c r="F321" s="142" t="e">
        <f>IF('Informe Kelly'!H315=$A$3,'Informe Kelly'!F315,VLOOKUP(D321,$D$2:$F$4,3,FALSE))-(VLOOKUP(D321,$D$2:$F$4,3,FALSE))</f>
        <v>#N/A</v>
      </c>
      <c r="G321" s="137" t="e">
        <f t="shared" si="8"/>
        <v>#N/A</v>
      </c>
    </row>
    <row r="322" spans="1:7">
      <c r="A322" s="112" t="str">
        <f>VLOOKUP('Informe Kelly'!A316,Base!A:B,2,FALSE)</f>
        <v>07.816.805-6</v>
      </c>
      <c r="B322" s="112" t="str">
        <f>VLOOKUP('Informe Kelly'!A316,Base!A:G,7,FALSE)</f>
        <v>PINTO  FLORES,JULIO CESAR</v>
      </c>
      <c r="C322" s="112" t="str">
        <f>'Informe Kelly'!E316</f>
        <v>04.04.2011</v>
      </c>
      <c r="D322" s="112" t="e">
        <f>VLOOKUP(A322,Ingreso!K:P,6,FALSE)</f>
        <v>#N/A</v>
      </c>
      <c r="E322" s="142" t="e">
        <f>(VLOOKUP(D322,$D$2:$E$4,2,FALSE))-(IF('Informe Kelly'!H316=$A$2,'Informe Kelly'!F316,VLOOKUP(D322,$D$2:$E$4,2,FALSE)))</f>
        <v>#N/A</v>
      </c>
      <c r="F322" s="142" t="e">
        <f>IF('Informe Kelly'!H316=$A$3,'Informe Kelly'!F316,VLOOKUP(D322,$D$2:$F$4,3,FALSE))-(VLOOKUP(D322,$D$2:$F$4,3,FALSE))</f>
        <v>#N/A</v>
      </c>
      <c r="G322" s="137" t="e">
        <f t="shared" si="8"/>
        <v>#N/A</v>
      </c>
    </row>
    <row r="323" spans="1:7">
      <c r="A323" s="112" t="str">
        <f>VLOOKUP('Informe Kelly'!A317,Base!A:B,2,FALSE)</f>
        <v>07.816.805-6</v>
      </c>
      <c r="B323" s="112" t="str">
        <f>VLOOKUP('Informe Kelly'!A317,Base!A:G,7,FALSE)</f>
        <v>PINTO  FLORES,JULIO CESAR</v>
      </c>
      <c r="C323" s="112" t="str">
        <f>'Informe Kelly'!E317</f>
        <v>05.04.2011</v>
      </c>
      <c r="D323" s="112" t="e">
        <f>VLOOKUP(A323,Ingreso!K:P,6,FALSE)</f>
        <v>#N/A</v>
      </c>
      <c r="E323" s="142" t="e">
        <f>(VLOOKUP(D323,$D$2:$E$4,2,FALSE))-(IF('Informe Kelly'!H317=$A$2,'Informe Kelly'!F317,VLOOKUP(D323,$D$2:$E$4,2,FALSE)))</f>
        <v>#N/A</v>
      </c>
      <c r="F323" s="142" t="e">
        <f>IF('Informe Kelly'!H317=$A$3,'Informe Kelly'!F317,VLOOKUP(D323,$D$2:$F$4,3,FALSE))-(VLOOKUP(D323,$D$2:$F$4,3,FALSE))</f>
        <v>#N/A</v>
      </c>
      <c r="G323" s="137" t="e">
        <f t="shared" si="8"/>
        <v>#N/A</v>
      </c>
    </row>
    <row r="324" spans="1:7">
      <c r="A324" s="112" t="str">
        <f>VLOOKUP('Informe Kelly'!A318,Base!A:B,2,FALSE)</f>
        <v>07.816.805-6</v>
      </c>
      <c r="B324" s="112" t="str">
        <f>VLOOKUP('Informe Kelly'!A318,Base!A:G,7,FALSE)</f>
        <v>PINTO  FLORES,JULIO CESAR</v>
      </c>
      <c r="C324" s="112" t="str">
        <f>'Informe Kelly'!E318</f>
        <v>05.04.2011</v>
      </c>
      <c r="D324" s="112" t="e">
        <f>VLOOKUP(A324,Ingreso!K:P,6,FALSE)</f>
        <v>#N/A</v>
      </c>
      <c r="E324" s="142" t="e">
        <f>(VLOOKUP(D324,$D$2:$E$4,2,FALSE))-(IF('Informe Kelly'!H318=$A$2,'Informe Kelly'!F318,VLOOKUP(D324,$D$2:$E$4,2,FALSE)))</f>
        <v>#N/A</v>
      </c>
      <c r="F324" s="142" t="e">
        <f>IF('Informe Kelly'!H318=$A$3,'Informe Kelly'!F318,VLOOKUP(D324,$D$2:$F$4,3,FALSE))-(VLOOKUP(D324,$D$2:$F$4,3,FALSE))</f>
        <v>#N/A</v>
      </c>
      <c r="G324" s="137" t="e">
        <f t="shared" si="8"/>
        <v>#N/A</v>
      </c>
    </row>
    <row r="325" spans="1:7">
      <c r="A325" s="112" t="str">
        <f>VLOOKUP('Informe Kelly'!A319,Base!A:B,2,FALSE)</f>
        <v>07.816.805-6</v>
      </c>
      <c r="B325" s="112" t="str">
        <f>VLOOKUP('Informe Kelly'!A319,Base!A:G,7,FALSE)</f>
        <v>PINTO  FLORES,JULIO CESAR</v>
      </c>
      <c r="C325" s="112" t="str">
        <f>'Informe Kelly'!E319</f>
        <v>06.04.2011</v>
      </c>
      <c r="D325" s="112" t="e">
        <f>VLOOKUP(A325,Ingreso!K:P,6,FALSE)</f>
        <v>#N/A</v>
      </c>
      <c r="E325" s="142" t="e">
        <f>(VLOOKUP(D325,$D$2:$E$4,2,FALSE))-(IF('Informe Kelly'!H319=$A$2,'Informe Kelly'!F319,VLOOKUP(D325,$D$2:$E$4,2,FALSE)))</f>
        <v>#N/A</v>
      </c>
      <c r="F325" s="142" t="e">
        <f>IF('Informe Kelly'!H319=$A$3,'Informe Kelly'!F319,VLOOKUP(D325,$D$2:$F$4,3,FALSE))-(VLOOKUP(D325,$D$2:$F$4,3,FALSE))</f>
        <v>#N/A</v>
      </c>
      <c r="G325" s="137" t="e">
        <f t="shared" si="8"/>
        <v>#N/A</v>
      </c>
    </row>
    <row r="326" spans="1:7">
      <c r="A326" s="112" t="str">
        <f>VLOOKUP('Informe Kelly'!A320,Base!A:B,2,FALSE)</f>
        <v>07.816.805-6</v>
      </c>
      <c r="B326" s="112" t="str">
        <f>VLOOKUP('Informe Kelly'!A320,Base!A:G,7,FALSE)</f>
        <v>PINTO  FLORES,JULIO CESAR</v>
      </c>
      <c r="C326" s="112" t="str">
        <f>'Informe Kelly'!E320</f>
        <v>06.04.2011</v>
      </c>
      <c r="D326" s="112" t="e">
        <f>VLOOKUP(A326,Ingreso!K:P,6,FALSE)</f>
        <v>#N/A</v>
      </c>
      <c r="E326" s="142" t="e">
        <f>(VLOOKUP(D326,$D$2:$E$4,2,FALSE))-(IF('Informe Kelly'!H320=$A$2,'Informe Kelly'!F320,VLOOKUP(D326,$D$2:$E$4,2,FALSE)))</f>
        <v>#N/A</v>
      </c>
      <c r="F326" s="142" t="e">
        <f>IF('Informe Kelly'!H320=$A$3,'Informe Kelly'!F320,VLOOKUP(D326,$D$2:$F$4,3,FALSE))-(VLOOKUP(D326,$D$2:$F$4,3,FALSE))</f>
        <v>#N/A</v>
      </c>
      <c r="G326" s="137" t="e">
        <f t="shared" si="8"/>
        <v>#N/A</v>
      </c>
    </row>
    <row r="327" spans="1:7">
      <c r="A327" s="112" t="str">
        <f>VLOOKUP('Informe Kelly'!A321,Base!A:B,2,FALSE)</f>
        <v>07.816.805-6</v>
      </c>
      <c r="B327" s="112" t="str">
        <f>VLOOKUP('Informe Kelly'!A321,Base!A:G,7,FALSE)</f>
        <v>PINTO  FLORES,JULIO CESAR</v>
      </c>
      <c r="C327" s="112" t="str">
        <f>'Informe Kelly'!E321</f>
        <v>07.04.2011</v>
      </c>
      <c r="D327" s="112" t="e">
        <f>VLOOKUP(A327,Ingreso!K:P,6,FALSE)</f>
        <v>#N/A</v>
      </c>
      <c r="E327" s="142" t="e">
        <f>(VLOOKUP(D327,$D$2:$E$4,2,FALSE))-(IF('Informe Kelly'!H321=$A$2,'Informe Kelly'!F321,VLOOKUP(D327,$D$2:$E$4,2,FALSE)))</f>
        <v>#N/A</v>
      </c>
      <c r="F327" s="142" t="e">
        <f>IF('Informe Kelly'!H321=$A$3,'Informe Kelly'!F321,VLOOKUP(D327,$D$2:$F$4,3,FALSE))-(VLOOKUP(D327,$D$2:$F$4,3,FALSE))</f>
        <v>#N/A</v>
      </c>
      <c r="G327" s="137" t="e">
        <f t="shared" si="8"/>
        <v>#N/A</v>
      </c>
    </row>
    <row r="328" spans="1:7">
      <c r="A328" s="112" t="str">
        <f>VLOOKUP('Informe Kelly'!A322,Base!A:B,2,FALSE)</f>
        <v>07.816.805-6</v>
      </c>
      <c r="B328" s="112" t="str">
        <f>VLOOKUP('Informe Kelly'!A322,Base!A:G,7,FALSE)</f>
        <v>PINTO  FLORES,JULIO CESAR</v>
      </c>
      <c r="C328" s="112" t="str">
        <f>'Informe Kelly'!E322</f>
        <v>07.04.2011</v>
      </c>
      <c r="D328" s="112" t="e">
        <f>VLOOKUP(A328,Ingreso!K:P,6,FALSE)</f>
        <v>#N/A</v>
      </c>
      <c r="E328" s="142" t="e">
        <f>(VLOOKUP(D328,$D$2:$E$4,2,FALSE))-(IF('Informe Kelly'!H322=$A$2,'Informe Kelly'!F322,VLOOKUP(D328,$D$2:$E$4,2,FALSE)))</f>
        <v>#N/A</v>
      </c>
      <c r="F328" s="142" t="e">
        <f>IF('Informe Kelly'!H322=$A$3,'Informe Kelly'!F322,VLOOKUP(D328,$D$2:$F$4,3,FALSE))-(VLOOKUP(D328,$D$2:$F$4,3,FALSE))</f>
        <v>#N/A</v>
      </c>
      <c r="G328" s="137" t="e">
        <f t="shared" si="8"/>
        <v>#N/A</v>
      </c>
    </row>
    <row r="329" spans="1:7">
      <c r="A329" s="112" t="str">
        <f>VLOOKUP('Informe Kelly'!A323,Base!A:B,2,FALSE)</f>
        <v>07.816.805-6</v>
      </c>
      <c r="B329" s="112" t="str">
        <f>VLOOKUP('Informe Kelly'!A323,Base!A:G,7,FALSE)</f>
        <v>PINTO  FLORES,JULIO CESAR</v>
      </c>
      <c r="C329" s="112" t="str">
        <f>'Informe Kelly'!E323</f>
        <v>08.04.2011</v>
      </c>
      <c r="D329" s="112" t="e">
        <f>VLOOKUP(A329,Ingreso!K:P,6,FALSE)</f>
        <v>#N/A</v>
      </c>
      <c r="E329" s="142" t="e">
        <f>(VLOOKUP(D329,$D$2:$E$4,2,FALSE))-(IF('Informe Kelly'!H323=$A$2,'Informe Kelly'!F323,VLOOKUP(D329,$D$2:$E$4,2,FALSE)))</f>
        <v>#N/A</v>
      </c>
      <c r="F329" s="142" t="e">
        <f>IF('Informe Kelly'!H323=$A$3,'Informe Kelly'!F323,VLOOKUP(D329,$D$2:$F$4,3,FALSE))-(VLOOKUP(D329,$D$2:$F$4,3,FALSE))</f>
        <v>#N/A</v>
      </c>
      <c r="G329" s="137" t="e">
        <f t="shared" ref="G329:G392" si="9">IF(E329="",IF(F329&lt;0.0409722222222222,0,E329),IF(E329&lt;0.0409722222222222,0,E329))</f>
        <v>#N/A</v>
      </c>
    </row>
    <row r="330" spans="1:7">
      <c r="A330" s="112" t="str">
        <f>VLOOKUP('Informe Kelly'!A324,Base!A:B,2,FALSE)</f>
        <v>07.816.805-6</v>
      </c>
      <c r="B330" s="112" t="str">
        <f>VLOOKUP('Informe Kelly'!A324,Base!A:G,7,FALSE)</f>
        <v>PINTO  FLORES,JULIO CESAR</v>
      </c>
      <c r="C330" s="112" t="str">
        <f>'Informe Kelly'!E324</f>
        <v>08.04.2011</v>
      </c>
      <c r="D330" s="112" t="e">
        <f>VLOOKUP(A330,Ingreso!K:P,6,FALSE)</f>
        <v>#N/A</v>
      </c>
      <c r="E330" s="142" t="e">
        <f>(VLOOKUP(D330,$D$2:$E$4,2,FALSE))-(IF('Informe Kelly'!H324=$A$2,'Informe Kelly'!F324,VLOOKUP(D330,$D$2:$E$4,2,FALSE)))</f>
        <v>#N/A</v>
      </c>
      <c r="F330" s="142" t="e">
        <f>IF('Informe Kelly'!H324=$A$3,'Informe Kelly'!F324,VLOOKUP(D330,$D$2:$F$4,3,FALSE))-(VLOOKUP(D330,$D$2:$F$4,3,FALSE))</f>
        <v>#N/A</v>
      </c>
      <c r="G330" s="137" t="e">
        <f t="shared" si="9"/>
        <v>#N/A</v>
      </c>
    </row>
    <row r="331" spans="1:7">
      <c r="A331" s="112" t="str">
        <f>VLOOKUP('Informe Kelly'!A325,Base!A:B,2,FALSE)</f>
        <v>07.816.805-6</v>
      </c>
      <c r="B331" s="112" t="str">
        <f>VLOOKUP('Informe Kelly'!A325,Base!A:G,7,FALSE)</f>
        <v>PINTO  FLORES,JULIO CESAR</v>
      </c>
      <c r="C331" s="112" t="str">
        <f>'Informe Kelly'!E325</f>
        <v>09.04.2011</v>
      </c>
      <c r="D331" s="112" t="e">
        <f>VLOOKUP(A331,Ingreso!K:P,6,FALSE)</f>
        <v>#N/A</v>
      </c>
      <c r="E331" s="142" t="e">
        <f>(VLOOKUP(D331,$D$2:$E$4,2,FALSE))-(IF('Informe Kelly'!H325=$A$2,'Informe Kelly'!F325,VLOOKUP(D331,$D$2:$E$4,2,FALSE)))</f>
        <v>#N/A</v>
      </c>
      <c r="F331" s="142" t="e">
        <f>IF('Informe Kelly'!H325=$A$3,'Informe Kelly'!F325,VLOOKUP(D331,$D$2:$F$4,3,FALSE))-(VLOOKUP(D331,$D$2:$F$4,3,FALSE))</f>
        <v>#N/A</v>
      </c>
      <c r="G331" s="137" t="e">
        <f t="shared" si="9"/>
        <v>#N/A</v>
      </c>
    </row>
    <row r="332" spans="1:7">
      <c r="A332" s="112" t="str">
        <f>VLOOKUP('Informe Kelly'!A326,Base!A:B,2,FALSE)</f>
        <v>07.816.805-6</v>
      </c>
      <c r="B332" s="112" t="str">
        <f>VLOOKUP('Informe Kelly'!A326,Base!A:G,7,FALSE)</f>
        <v>PINTO  FLORES,JULIO CESAR</v>
      </c>
      <c r="C332" s="112" t="str">
        <f>'Informe Kelly'!E326</f>
        <v>09.04.2011</v>
      </c>
      <c r="D332" s="112" t="e">
        <f>VLOOKUP(A332,Ingreso!K:P,6,FALSE)</f>
        <v>#N/A</v>
      </c>
      <c r="E332" s="142" t="e">
        <f>(VLOOKUP(D332,$D$2:$E$4,2,FALSE))-(IF('Informe Kelly'!H326=$A$2,'Informe Kelly'!F326,VLOOKUP(D332,$D$2:$E$4,2,FALSE)))</f>
        <v>#N/A</v>
      </c>
      <c r="F332" s="142" t="e">
        <f>IF('Informe Kelly'!H326=$A$3,'Informe Kelly'!F326,VLOOKUP(D332,$D$2:$F$4,3,FALSE))-(VLOOKUP(D332,$D$2:$F$4,3,FALSE))</f>
        <v>#N/A</v>
      </c>
      <c r="G332" s="137" t="e">
        <f t="shared" si="9"/>
        <v>#N/A</v>
      </c>
    </row>
    <row r="333" spans="1:7">
      <c r="A333" s="112" t="str">
        <f>VLOOKUP('Informe Kelly'!A327,Base!A:B,2,FALSE)</f>
        <v>07.832.770-7</v>
      </c>
      <c r="B333" s="112" t="str">
        <f>VLOOKUP('Informe Kelly'!A327,Base!A:G,7,FALSE)</f>
        <v>SALAS  VALENZUELA,MIGUEL</v>
      </c>
      <c r="C333" s="112" t="str">
        <f>'Informe Kelly'!E327</f>
        <v>04.04.2011</v>
      </c>
      <c r="D333" s="112" t="e">
        <f>VLOOKUP(A333,Ingreso!K:P,6,FALSE)</f>
        <v>#N/A</v>
      </c>
      <c r="E333" s="142" t="e">
        <f>(VLOOKUP(D333,$D$2:$E$4,2,FALSE))-(IF('Informe Kelly'!H327=$A$2,'Informe Kelly'!F327,VLOOKUP(D333,$D$2:$E$4,2,FALSE)))</f>
        <v>#N/A</v>
      </c>
      <c r="F333" s="142" t="e">
        <f>IF('Informe Kelly'!H327=$A$3,'Informe Kelly'!F327,VLOOKUP(D333,$D$2:$F$4,3,FALSE))-(VLOOKUP(D333,$D$2:$F$4,3,FALSE))</f>
        <v>#N/A</v>
      </c>
      <c r="G333" s="137" t="e">
        <f t="shared" si="9"/>
        <v>#N/A</v>
      </c>
    </row>
    <row r="334" spans="1:7">
      <c r="A334" s="112" t="str">
        <f>VLOOKUP('Informe Kelly'!A328,Base!A:B,2,FALSE)</f>
        <v>07.832.770-7</v>
      </c>
      <c r="B334" s="112" t="str">
        <f>VLOOKUP('Informe Kelly'!A328,Base!A:G,7,FALSE)</f>
        <v>SALAS  VALENZUELA,MIGUEL</v>
      </c>
      <c r="C334" s="112" t="str">
        <f>'Informe Kelly'!E328</f>
        <v>05.04.2011</v>
      </c>
      <c r="D334" s="112" t="e">
        <f>VLOOKUP(A334,Ingreso!K:P,6,FALSE)</f>
        <v>#N/A</v>
      </c>
      <c r="E334" s="142" t="e">
        <f>(VLOOKUP(D334,$D$2:$E$4,2,FALSE))-(IF('Informe Kelly'!H328=$A$2,'Informe Kelly'!F328,VLOOKUP(D334,$D$2:$E$4,2,FALSE)))</f>
        <v>#N/A</v>
      </c>
      <c r="F334" s="142" t="e">
        <f>IF('Informe Kelly'!H328=$A$3,'Informe Kelly'!F328,VLOOKUP(D334,$D$2:$F$4,3,FALSE))-(VLOOKUP(D334,$D$2:$F$4,3,FALSE))</f>
        <v>#N/A</v>
      </c>
      <c r="G334" s="137" t="e">
        <f t="shared" si="9"/>
        <v>#N/A</v>
      </c>
    </row>
    <row r="335" spans="1:7">
      <c r="A335" s="112" t="str">
        <f>VLOOKUP('Informe Kelly'!A329,Base!A:B,2,FALSE)</f>
        <v>07.832.770-7</v>
      </c>
      <c r="B335" s="112" t="str">
        <f>VLOOKUP('Informe Kelly'!A329,Base!A:G,7,FALSE)</f>
        <v>SALAS  VALENZUELA,MIGUEL</v>
      </c>
      <c r="C335" s="112" t="str">
        <f>'Informe Kelly'!E329</f>
        <v>05.04.2011</v>
      </c>
      <c r="D335" s="112" t="e">
        <f>VLOOKUP(A335,Ingreso!K:P,6,FALSE)</f>
        <v>#N/A</v>
      </c>
      <c r="E335" s="142" t="e">
        <f>(VLOOKUP(D335,$D$2:$E$4,2,FALSE))-(IF('Informe Kelly'!H329=$A$2,'Informe Kelly'!F329,VLOOKUP(D335,$D$2:$E$4,2,FALSE)))</f>
        <v>#N/A</v>
      </c>
      <c r="F335" s="142" t="e">
        <f>IF('Informe Kelly'!H329=$A$3,'Informe Kelly'!F329,VLOOKUP(D335,$D$2:$F$4,3,FALSE))-(VLOOKUP(D335,$D$2:$F$4,3,FALSE))</f>
        <v>#N/A</v>
      </c>
      <c r="G335" s="137" t="e">
        <f t="shared" si="9"/>
        <v>#N/A</v>
      </c>
    </row>
    <row r="336" spans="1:7">
      <c r="A336" s="112" t="str">
        <f>VLOOKUP('Informe Kelly'!A330,Base!A:B,2,FALSE)</f>
        <v>07.832.770-7</v>
      </c>
      <c r="B336" s="112" t="str">
        <f>VLOOKUP('Informe Kelly'!A330,Base!A:G,7,FALSE)</f>
        <v>SALAS  VALENZUELA,MIGUEL</v>
      </c>
      <c r="C336" s="112" t="str">
        <f>'Informe Kelly'!E330</f>
        <v>06.04.2011</v>
      </c>
      <c r="D336" s="112" t="e">
        <f>VLOOKUP(A336,Ingreso!K:P,6,FALSE)</f>
        <v>#N/A</v>
      </c>
      <c r="E336" s="142" t="e">
        <f>(VLOOKUP(D336,$D$2:$E$4,2,FALSE))-(IF('Informe Kelly'!H330=$A$2,'Informe Kelly'!F330,VLOOKUP(D336,$D$2:$E$4,2,FALSE)))</f>
        <v>#N/A</v>
      </c>
      <c r="F336" s="142" t="e">
        <f>IF('Informe Kelly'!H330=$A$3,'Informe Kelly'!F330,VLOOKUP(D336,$D$2:$F$4,3,FALSE))-(VLOOKUP(D336,$D$2:$F$4,3,FALSE))</f>
        <v>#N/A</v>
      </c>
      <c r="G336" s="137" t="e">
        <f t="shared" si="9"/>
        <v>#N/A</v>
      </c>
    </row>
    <row r="337" spans="1:7">
      <c r="A337" s="112" t="str">
        <f>VLOOKUP('Informe Kelly'!A331,Base!A:B,2,FALSE)</f>
        <v>07.832.770-7</v>
      </c>
      <c r="B337" s="112" t="str">
        <f>VLOOKUP('Informe Kelly'!A331,Base!A:G,7,FALSE)</f>
        <v>SALAS  VALENZUELA,MIGUEL</v>
      </c>
      <c r="C337" s="112" t="str">
        <f>'Informe Kelly'!E331</f>
        <v>06.04.2011</v>
      </c>
      <c r="D337" s="112" t="e">
        <f>VLOOKUP(A337,Ingreso!K:P,6,FALSE)</f>
        <v>#N/A</v>
      </c>
      <c r="E337" s="142" t="e">
        <f>(VLOOKUP(D337,$D$2:$E$4,2,FALSE))-(IF('Informe Kelly'!H331=$A$2,'Informe Kelly'!F331,VLOOKUP(D337,$D$2:$E$4,2,FALSE)))</f>
        <v>#N/A</v>
      </c>
      <c r="F337" s="142" t="e">
        <f>IF('Informe Kelly'!H331=$A$3,'Informe Kelly'!F331,VLOOKUP(D337,$D$2:$F$4,3,FALSE))-(VLOOKUP(D337,$D$2:$F$4,3,FALSE))</f>
        <v>#N/A</v>
      </c>
      <c r="G337" s="137" t="e">
        <f t="shared" si="9"/>
        <v>#N/A</v>
      </c>
    </row>
    <row r="338" spans="1:7">
      <c r="A338" s="112" t="str">
        <f>VLOOKUP('Informe Kelly'!A332,Base!A:B,2,FALSE)</f>
        <v>07.832.770-7</v>
      </c>
      <c r="B338" s="112" t="str">
        <f>VLOOKUP('Informe Kelly'!A332,Base!A:G,7,FALSE)</f>
        <v>SALAS  VALENZUELA,MIGUEL</v>
      </c>
      <c r="C338" s="112" t="str">
        <f>'Informe Kelly'!E332</f>
        <v>07.04.2011</v>
      </c>
      <c r="D338" s="112" t="e">
        <f>VLOOKUP(A338,Ingreso!K:P,6,FALSE)</f>
        <v>#N/A</v>
      </c>
      <c r="E338" s="142" t="e">
        <f>(VLOOKUP(D338,$D$2:$E$4,2,FALSE))-(IF('Informe Kelly'!H332=$A$2,'Informe Kelly'!F332,VLOOKUP(D338,$D$2:$E$4,2,FALSE)))</f>
        <v>#N/A</v>
      </c>
      <c r="F338" s="142" t="e">
        <f>IF('Informe Kelly'!H332=$A$3,'Informe Kelly'!F332,VLOOKUP(D338,$D$2:$F$4,3,FALSE))-(VLOOKUP(D338,$D$2:$F$4,3,FALSE))</f>
        <v>#N/A</v>
      </c>
      <c r="G338" s="137" t="e">
        <f t="shared" si="9"/>
        <v>#N/A</v>
      </c>
    </row>
    <row r="339" spans="1:7">
      <c r="A339" s="112" t="str">
        <f>VLOOKUP('Informe Kelly'!A333,Base!A:B,2,FALSE)</f>
        <v>07.832.770-7</v>
      </c>
      <c r="B339" s="112" t="str">
        <f>VLOOKUP('Informe Kelly'!A333,Base!A:G,7,FALSE)</f>
        <v>SALAS  VALENZUELA,MIGUEL</v>
      </c>
      <c r="C339" s="112" t="str">
        <f>'Informe Kelly'!E333</f>
        <v>07.04.2011</v>
      </c>
      <c r="D339" s="112" t="e">
        <f>VLOOKUP(A339,Ingreso!K:P,6,FALSE)</f>
        <v>#N/A</v>
      </c>
      <c r="E339" s="142" t="e">
        <f>(VLOOKUP(D339,$D$2:$E$4,2,FALSE))-(IF('Informe Kelly'!H333=$A$2,'Informe Kelly'!F333,VLOOKUP(D339,$D$2:$E$4,2,FALSE)))</f>
        <v>#N/A</v>
      </c>
      <c r="F339" s="142" t="e">
        <f>IF('Informe Kelly'!H333=$A$3,'Informe Kelly'!F333,VLOOKUP(D339,$D$2:$F$4,3,FALSE))-(VLOOKUP(D339,$D$2:$F$4,3,FALSE))</f>
        <v>#N/A</v>
      </c>
      <c r="G339" s="137" t="e">
        <f t="shared" si="9"/>
        <v>#N/A</v>
      </c>
    </row>
    <row r="340" spans="1:7">
      <c r="A340" s="112" t="str">
        <f>VLOOKUP('Informe Kelly'!A334,Base!A:B,2,FALSE)</f>
        <v>07.832.770-7</v>
      </c>
      <c r="B340" s="112" t="str">
        <f>VLOOKUP('Informe Kelly'!A334,Base!A:G,7,FALSE)</f>
        <v>SALAS  VALENZUELA,MIGUEL</v>
      </c>
      <c r="C340" s="112" t="str">
        <f>'Informe Kelly'!E334</f>
        <v>08.04.2011</v>
      </c>
      <c r="D340" s="112" t="e">
        <f>VLOOKUP(A340,Ingreso!K:P,6,FALSE)</f>
        <v>#N/A</v>
      </c>
      <c r="E340" s="142" t="e">
        <f>(VLOOKUP(D340,$D$2:$E$4,2,FALSE))-(IF('Informe Kelly'!H334=$A$2,'Informe Kelly'!F334,VLOOKUP(D340,$D$2:$E$4,2,FALSE)))</f>
        <v>#N/A</v>
      </c>
      <c r="F340" s="142" t="e">
        <f>IF('Informe Kelly'!H334=$A$3,'Informe Kelly'!F334,VLOOKUP(D340,$D$2:$F$4,3,FALSE))-(VLOOKUP(D340,$D$2:$F$4,3,FALSE))</f>
        <v>#N/A</v>
      </c>
      <c r="G340" s="137" t="e">
        <f t="shared" si="9"/>
        <v>#N/A</v>
      </c>
    </row>
    <row r="341" spans="1:7">
      <c r="A341" s="112" t="str">
        <f>VLOOKUP('Informe Kelly'!A335,Base!A:B,2,FALSE)</f>
        <v>07.832.770-7</v>
      </c>
      <c r="B341" s="112" t="str">
        <f>VLOOKUP('Informe Kelly'!A335,Base!A:G,7,FALSE)</f>
        <v>SALAS  VALENZUELA,MIGUEL</v>
      </c>
      <c r="C341" s="112" t="str">
        <f>'Informe Kelly'!E335</f>
        <v>08.04.2011</v>
      </c>
      <c r="D341" s="112" t="e">
        <f>VLOOKUP(A341,Ingreso!K:P,6,FALSE)</f>
        <v>#N/A</v>
      </c>
      <c r="E341" s="142" t="e">
        <f>(VLOOKUP(D341,$D$2:$E$4,2,FALSE))-(IF('Informe Kelly'!H335=$A$2,'Informe Kelly'!F335,VLOOKUP(D341,$D$2:$E$4,2,FALSE)))</f>
        <v>#N/A</v>
      </c>
      <c r="F341" s="142" t="e">
        <f>IF('Informe Kelly'!H335=$A$3,'Informe Kelly'!F335,VLOOKUP(D341,$D$2:$F$4,3,FALSE))-(VLOOKUP(D341,$D$2:$F$4,3,FALSE))</f>
        <v>#N/A</v>
      </c>
      <c r="G341" s="137" t="e">
        <f t="shared" si="9"/>
        <v>#N/A</v>
      </c>
    </row>
    <row r="342" spans="1:7">
      <c r="A342" s="112" t="str">
        <f>VLOOKUP('Informe Kelly'!A336,Base!A:B,2,FALSE)</f>
        <v>07.832.770-7</v>
      </c>
      <c r="B342" s="112" t="str">
        <f>VLOOKUP('Informe Kelly'!A336,Base!A:G,7,FALSE)</f>
        <v>SALAS  VALENZUELA,MIGUEL</v>
      </c>
      <c r="C342" s="112" t="str">
        <f>'Informe Kelly'!E336</f>
        <v>09.04.2011</v>
      </c>
      <c r="D342" s="112" t="e">
        <f>VLOOKUP(A342,Ingreso!K:P,6,FALSE)</f>
        <v>#N/A</v>
      </c>
      <c r="E342" s="142" t="e">
        <f>(VLOOKUP(D342,$D$2:$E$4,2,FALSE))-(IF('Informe Kelly'!H336=$A$2,'Informe Kelly'!F336,VLOOKUP(D342,$D$2:$E$4,2,FALSE)))</f>
        <v>#N/A</v>
      </c>
      <c r="F342" s="142" t="e">
        <f>IF('Informe Kelly'!H336=$A$3,'Informe Kelly'!F336,VLOOKUP(D342,$D$2:$F$4,3,FALSE))-(VLOOKUP(D342,$D$2:$F$4,3,FALSE))</f>
        <v>#N/A</v>
      </c>
      <c r="G342" s="137" t="e">
        <f t="shared" si="9"/>
        <v>#N/A</v>
      </c>
    </row>
    <row r="343" spans="1:7">
      <c r="A343" s="112" t="str">
        <f>VLOOKUP('Informe Kelly'!A337,Base!A:B,2,FALSE)</f>
        <v>07.913.597-6</v>
      </c>
      <c r="B343" s="112" t="str">
        <f>VLOOKUP('Informe Kelly'!A337,Base!A:G,7,FALSE)</f>
        <v>RAMIREZ ROJAS JOSE</v>
      </c>
      <c r="C343" s="112" t="str">
        <f>'Informe Kelly'!E337</f>
        <v>04.04.2011</v>
      </c>
      <c r="D343" s="112" t="e">
        <f>VLOOKUP(A343,Ingreso!K:P,6,FALSE)</f>
        <v>#N/A</v>
      </c>
      <c r="E343" s="142" t="e">
        <f>(VLOOKUP(D343,$D$2:$E$4,2,FALSE))-(IF('Informe Kelly'!H337=$A$2,'Informe Kelly'!F337,VLOOKUP(D343,$D$2:$E$4,2,FALSE)))</f>
        <v>#N/A</v>
      </c>
      <c r="F343" s="142" t="e">
        <f>IF('Informe Kelly'!H337=$A$3,'Informe Kelly'!F337,VLOOKUP(D343,$D$2:$F$4,3,FALSE))-(VLOOKUP(D343,$D$2:$F$4,3,FALSE))</f>
        <v>#N/A</v>
      </c>
      <c r="G343" s="137" t="e">
        <f t="shared" si="9"/>
        <v>#N/A</v>
      </c>
    </row>
    <row r="344" spans="1:7">
      <c r="A344" s="112" t="str">
        <f>VLOOKUP('Informe Kelly'!A338,Base!A:B,2,FALSE)</f>
        <v>07.913.597-6</v>
      </c>
      <c r="B344" s="112" t="str">
        <f>VLOOKUP('Informe Kelly'!A338,Base!A:G,7,FALSE)</f>
        <v>RAMIREZ ROJAS JOSE</v>
      </c>
      <c r="C344" s="112" t="str">
        <f>'Informe Kelly'!E338</f>
        <v>04.04.2011</v>
      </c>
      <c r="D344" s="112" t="e">
        <f>VLOOKUP(A344,Ingreso!K:P,6,FALSE)</f>
        <v>#N/A</v>
      </c>
      <c r="E344" s="142" t="e">
        <f>(VLOOKUP(D344,$D$2:$E$4,2,FALSE))-(IF('Informe Kelly'!H338=$A$2,'Informe Kelly'!F338,VLOOKUP(D344,$D$2:$E$4,2,FALSE)))</f>
        <v>#N/A</v>
      </c>
      <c r="F344" s="142" t="e">
        <f>IF('Informe Kelly'!H338=$A$3,'Informe Kelly'!F338,VLOOKUP(D344,$D$2:$F$4,3,FALSE))-(VLOOKUP(D344,$D$2:$F$4,3,FALSE))</f>
        <v>#N/A</v>
      </c>
      <c r="G344" s="137" t="e">
        <f t="shared" si="9"/>
        <v>#N/A</v>
      </c>
    </row>
    <row r="345" spans="1:7">
      <c r="A345" s="112" t="str">
        <f>VLOOKUP('Informe Kelly'!A339,Base!A:B,2,FALSE)</f>
        <v>07.913.597-6</v>
      </c>
      <c r="B345" s="112" t="str">
        <f>VLOOKUP('Informe Kelly'!A339,Base!A:G,7,FALSE)</f>
        <v>RAMIREZ ROJAS JOSE</v>
      </c>
      <c r="C345" s="112" t="str">
        <f>'Informe Kelly'!E339</f>
        <v>05.04.2011</v>
      </c>
      <c r="D345" s="112" t="e">
        <f>VLOOKUP(A345,Ingreso!K:P,6,FALSE)</f>
        <v>#N/A</v>
      </c>
      <c r="E345" s="142" t="e">
        <f>(VLOOKUP(D345,$D$2:$E$4,2,FALSE))-(IF('Informe Kelly'!H339=$A$2,'Informe Kelly'!F339,VLOOKUP(D345,$D$2:$E$4,2,FALSE)))</f>
        <v>#N/A</v>
      </c>
      <c r="F345" s="142" t="e">
        <f>IF('Informe Kelly'!H339=$A$3,'Informe Kelly'!F339,VLOOKUP(D345,$D$2:$F$4,3,FALSE))-(VLOOKUP(D345,$D$2:$F$4,3,FALSE))</f>
        <v>#N/A</v>
      </c>
      <c r="G345" s="137" t="e">
        <f t="shared" si="9"/>
        <v>#N/A</v>
      </c>
    </row>
    <row r="346" spans="1:7">
      <c r="A346" s="112" t="str">
        <f>VLOOKUP('Informe Kelly'!A340,Base!A:B,2,FALSE)</f>
        <v>07.913.597-6</v>
      </c>
      <c r="B346" s="112" t="str">
        <f>VLOOKUP('Informe Kelly'!A340,Base!A:G,7,FALSE)</f>
        <v>RAMIREZ ROJAS JOSE</v>
      </c>
      <c r="C346" s="112" t="str">
        <f>'Informe Kelly'!E340</f>
        <v>05.04.2011</v>
      </c>
      <c r="D346" s="112" t="e">
        <f>VLOOKUP(A346,Ingreso!K:P,6,FALSE)</f>
        <v>#N/A</v>
      </c>
      <c r="E346" s="142" t="e">
        <f>(VLOOKUP(D346,$D$2:$E$4,2,FALSE))-(IF('Informe Kelly'!H340=$A$2,'Informe Kelly'!F340,VLOOKUP(D346,$D$2:$E$4,2,FALSE)))</f>
        <v>#N/A</v>
      </c>
      <c r="F346" s="142" t="e">
        <f>IF('Informe Kelly'!H340=$A$3,'Informe Kelly'!F340,VLOOKUP(D346,$D$2:$F$4,3,FALSE))-(VLOOKUP(D346,$D$2:$F$4,3,FALSE))</f>
        <v>#N/A</v>
      </c>
      <c r="G346" s="137" t="e">
        <f t="shared" si="9"/>
        <v>#N/A</v>
      </c>
    </row>
    <row r="347" spans="1:7">
      <c r="A347" s="112" t="str">
        <f>VLOOKUP('Informe Kelly'!A341,Base!A:B,2,FALSE)</f>
        <v>07.913.597-6</v>
      </c>
      <c r="B347" s="112" t="str">
        <f>VLOOKUP('Informe Kelly'!A341,Base!A:G,7,FALSE)</f>
        <v>RAMIREZ ROJAS JOSE</v>
      </c>
      <c r="C347" s="112" t="str">
        <f>'Informe Kelly'!E341</f>
        <v>06.04.2011</v>
      </c>
      <c r="D347" s="112" t="e">
        <f>VLOOKUP(A347,Ingreso!K:P,6,FALSE)</f>
        <v>#N/A</v>
      </c>
      <c r="E347" s="142" t="e">
        <f>(VLOOKUP(D347,$D$2:$E$4,2,FALSE))-(IF('Informe Kelly'!H341=$A$2,'Informe Kelly'!F341,VLOOKUP(D347,$D$2:$E$4,2,FALSE)))</f>
        <v>#N/A</v>
      </c>
      <c r="F347" s="142" t="e">
        <f>IF('Informe Kelly'!H341=$A$3,'Informe Kelly'!F341,VLOOKUP(D347,$D$2:$F$4,3,FALSE))-(VLOOKUP(D347,$D$2:$F$4,3,FALSE))</f>
        <v>#N/A</v>
      </c>
      <c r="G347" s="137" t="e">
        <f t="shared" si="9"/>
        <v>#N/A</v>
      </c>
    </row>
    <row r="348" spans="1:7">
      <c r="A348" s="112" t="str">
        <f>VLOOKUP('Informe Kelly'!A342,Base!A:B,2,FALSE)</f>
        <v>07.913.597-6</v>
      </c>
      <c r="B348" s="112" t="str">
        <f>VLOOKUP('Informe Kelly'!A342,Base!A:G,7,FALSE)</f>
        <v>RAMIREZ ROJAS JOSE</v>
      </c>
      <c r="C348" s="112" t="str">
        <f>'Informe Kelly'!E342</f>
        <v>06.04.2011</v>
      </c>
      <c r="D348" s="112" t="e">
        <f>VLOOKUP(A348,Ingreso!K:P,6,FALSE)</f>
        <v>#N/A</v>
      </c>
      <c r="E348" s="142" t="e">
        <f>(VLOOKUP(D348,$D$2:$E$4,2,FALSE))-(IF('Informe Kelly'!H342=$A$2,'Informe Kelly'!F342,VLOOKUP(D348,$D$2:$E$4,2,FALSE)))</f>
        <v>#N/A</v>
      </c>
      <c r="F348" s="142" t="e">
        <f>IF('Informe Kelly'!H342=$A$3,'Informe Kelly'!F342,VLOOKUP(D348,$D$2:$F$4,3,FALSE))-(VLOOKUP(D348,$D$2:$F$4,3,FALSE))</f>
        <v>#N/A</v>
      </c>
      <c r="G348" s="137" t="e">
        <f t="shared" si="9"/>
        <v>#N/A</v>
      </c>
    </row>
    <row r="349" spans="1:7">
      <c r="A349" s="112" t="str">
        <f>VLOOKUP('Informe Kelly'!A343,Base!A:B,2,FALSE)</f>
        <v>07.913.597-6</v>
      </c>
      <c r="B349" s="112" t="str">
        <f>VLOOKUP('Informe Kelly'!A343,Base!A:G,7,FALSE)</f>
        <v>RAMIREZ ROJAS JOSE</v>
      </c>
      <c r="C349" s="112" t="str">
        <f>'Informe Kelly'!E343</f>
        <v>07.04.2011</v>
      </c>
      <c r="D349" s="112" t="e">
        <f>VLOOKUP(A349,Ingreso!K:P,6,FALSE)</f>
        <v>#N/A</v>
      </c>
      <c r="E349" s="142" t="e">
        <f>(VLOOKUP(D349,$D$2:$E$4,2,FALSE))-(IF('Informe Kelly'!H343=$A$2,'Informe Kelly'!F343,VLOOKUP(D349,$D$2:$E$4,2,FALSE)))</f>
        <v>#N/A</v>
      </c>
      <c r="F349" s="142" t="e">
        <f>IF('Informe Kelly'!H343=$A$3,'Informe Kelly'!F343,VLOOKUP(D349,$D$2:$F$4,3,FALSE))-(VLOOKUP(D349,$D$2:$F$4,3,FALSE))</f>
        <v>#N/A</v>
      </c>
      <c r="G349" s="137" t="e">
        <f t="shared" si="9"/>
        <v>#N/A</v>
      </c>
    </row>
    <row r="350" spans="1:7">
      <c r="A350" s="112" t="str">
        <f>VLOOKUP('Informe Kelly'!A344,Base!A:B,2,FALSE)</f>
        <v>07.913.597-6</v>
      </c>
      <c r="B350" s="112" t="str">
        <f>VLOOKUP('Informe Kelly'!A344,Base!A:G,7,FALSE)</f>
        <v>RAMIREZ ROJAS JOSE</v>
      </c>
      <c r="C350" s="112" t="str">
        <f>'Informe Kelly'!E344</f>
        <v>07.04.2011</v>
      </c>
      <c r="D350" s="112" t="e">
        <f>VLOOKUP(A350,Ingreso!K:P,6,FALSE)</f>
        <v>#N/A</v>
      </c>
      <c r="E350" s="142" t="e">
        <f>(VLOOKUP(D350,$D$2:$E$4,2,FALSE))-(IF('Informe Kelly'!H344=$A$2,'Informe Kelly'!F344,VLOOKUP(D350,$D$2:$E$4,2,FALSE)))</f>
        <v>#N/A</v>
      </c>
      <c r="F350" s="142" t="e">
        <f>IF('Informe Kelly'!H344=$A$3,'Informe Kelly'!F344,VLOOKUP(D350,$D$2:$F$4,3,FALSE))-(VLOOKUP(D350,$D$2:$F$4,3,FALSE))</f>
        <v>#N/A</v>
      </c>
      <c r="G350" s="137" t="e">
        <f t="shared" si="9"/>
        <v>#N/A</v>
      </c>
    </row>
    <row r="351" spans="1:7">
      <c r="A351" s="112" t="str">
        <f>VLOOKUP('Informe Kelly'!A345,Base!A:B,2,FALSE)</f>
        <v>07.913.597-6</v>
      </c>
      <c r="B351" s="112" t="str">
        <f>VLOOKUP('Informe Kelly'!A345,Base!A:G,7,FALSE)</f>
        <v>RAMIREZ ROJAS JOSE</v>
      </c>
      <c r="C351" s="112" t="str">
        <f>'Informe Kelly'!E345</f>
        <v>08.04.2011</v>
      </c>
      <c r="D351" s="112" t="e">
        <f>VLOOKUP(A351,Ingreso!K:P,6,FALSE)</f>
        <v>#N/A</v>
      </c>
      <c r="E351" s="142" t="e">
        <f>(VLOOKUP(D351,$D$2:$E$4,2,FALSE))-(IF('Informe Kelly'!H345=$A$2,'Informe Kelly'!F345,VLOOKUP(D351,$D$2:$E$4,2,FALSE)))</f>
        <v>#N/A</v>
      </c>
      <c r="F351" s="142" t="e">
        <f>IF('Informe Kelly'!H345=$A$3,'Informe Kelly'!F345,VLOOKUP(D351,$D$2:$F$4,3,FALSE))-(VLOOKUP(D351,$D$2:$F$4,3,FALSE))</f>
        <v>#N/A</v>
      </c>
      <c r="G351" s="137" t="e">
        <f t="shared" si="9"/>
        <v>#N/A</v>
      </c>
    </row>
    <row r="352" spans="1:7">
      <c r="A352" s="112" t="str">
        <f>VLOOKUP('Informe Kelly'!A346,Base!A:B,2,FALSE)</f>
        <v>07.913.597-6</v>
      </c>
      <c r="B352" s="112" t="str">
        <f>VLOOKUP('Informe Kelly'!A346,Base!A:G,7,FALSE)</f>
        <v>RAMIREZ ROJAS JOSE</v>
      </c>
      <c r="C352" s="112" t="str">
        <f>'Informe Kelly'!E346</f>
        <v>08.04.2011</v>
      </c>
      <c r="D352" s="112" t="e">
        <f>VLOOKUP(A352,Ingreso!K:P,6,FALSE)</f>
        <v>#N/A</v>
      </c>
      <c r="E352" s="142" t="e">
        <f>(VLOOKUP(D352,$D$2:$E$4,2,FALSE))-(IF('Informe Kelly'!H346=$A$2,'Informe Kelly'!F346,VLOOKUP(D352,$D$2:$E$4,2,FALSE)))</f>
        <v>#N/A</v>
      </c>
      <c r="F352" s="142" t="e">
        <f>IF('Informe Kelly'!H346=$A$3,'Informe Kelly'!F346,VLOOKUP(D352,$D$2:$F$4,3,FALSE))-(VLOOKUP(D352,$D$2:$F$4,3,FALSE))</f>
        <v>#N/A</v>
      </c>
      <c r="G352" s="137" t="e">
        <f t="shared" si="9"/>
        <v>#N/A</v>
      </c>
    </row>
    <row r="353" spans="1:7">
      <c r="A353" s="112" t="str">
        <f>VLOOKUP('Informe Kelly'!A347,Base!A:B,2,FALSE)</f>
        <v>07.913.597-6</v>
      </c>
      <c r="B353" s="112" t="str">
        <f>VLOOKUP('Informe Kelly'!A347,Base!A:G,7,FALSE)</f>
        <v>RAMIREZ ROJAS JOSE</v>
      </c>
      <c r="C353" s="112" t="str">
        <f>'Informe Kelly'!E347</f>
        <v>09.04.2011</v>
      </c>
      <c r="D353" s="112" t="e">
        <f>VLOOKUP(A353,Ingreso!K:P,6,FALSE)</f>
        <v>#N/A</v>
      </c>
      <c r="E353" s="142" t="e">
        <f>(VLOOKUP(D353,$D$2:$E$4,2,FALSE))-(IF('Informe Kelly'!H347=$A$2,'Informe Kelly'!F347,VLOOKUP(D353,$D$2:$E$4,2,FALSE)))</f>
        <v>#N/A</v>
      </c>
      <c r="F353" s="142" t="e">
        <f>IF('Informe Kelly'!H347=$A$3,'Informe Kelly'!F347,VLOOKUP(D353,$D$2:$F$4,3,FALSE))-(VLOOKUP(D353,$D$2:$F$4,3,FALSE))</f>
        <v>#N/A</v>
      </c>
      <c r="G353" s="137" t="e">
        <f t="shared" si="9"/>
        <v>#N/A</v>
      </c>
    </row>
    <row r="354" spans="1:7">
      <c r="A354" s="112" t="str">
        <f>VLOOKUP('Informe Kelly'!A348,Base!A:B,2,FALSE)</f>
        <v>07.913.597-6</v>
      </c>
      <c r="B354" s="112" t="str">
        <f>VLOOKUP('Informe Kelly'!A348,Base!A:G,7,FALSE)</f>
        <v>RAMIREZ ROJAS JOSE</v>
      </c>
      <c r="C354" s="112" t="str">
        <f>'Informe Kelly'!E348</f>
        <v>09.04.2011</v>
      </c>
      <c r="D354" s="112" t="e">
        <f>VLOOKUP(A354,Ingreso!K:P,6,FALSE)</f>
        <v>#N/A</v>
      </c>
      <c r="E354" s="142" t="e">
        <f>(VLOOKUP(D354,$D$2:$E$4,2,FALSE))-(IF('Informe Kelly'!H348=$A$2,'Informe Kelly'!F348,VLOOKUP(D354,$D$2:$E$4,2,FALSE)))</f>
        <v>#N/A</v>
      </c>
      <c r="F354" s="142" t="e">
        <f>IF('Informe Kelly'!H348=$A$3,'Informe Kelly'!F348,VLOOKUP(D354,$D$2:$F$4,3,FALSE))-(VLOOKUP(D354,$D$2:$F$4,3,FALSE))</f>
        <v>#N/A</v>
      </c>
      <c r="G354" s="137" t="e">
        <f t="shared" si="9"/>
        <v>#N/A</v>
      </c>
    </row>
    <row r="355" spans="1:7">
      <c r="A355" s="112" t="str">
        <f>VLOOKUP('Informe Kelly'!A349,Base!A:B,2,FALSE)</f>
        <v>07.916.907-2</v>
      </c>
      <c r="B355" s="112" t="str">
        <f>VLOOKUP('Informe Kelly'!A349,Base!A:G,7,FALSE)</f>
        <v>RUBIO CASTRO MARCOS</v>
      </c>
      <c r="C355" s="112" t="str">
        <f>'Informe Kelly'!E349</f>
        <v>04.04.2011</v>
      </c>
      <c r="D355" s="112" t="e">
        <f>VLOOKUP(A355,Ingreso!K:P,6,FALSE)</f>
        <v>#N/A</v>
      </c>
      <c r="E355" s="142" t="e">
        <f>(VLOOKUP(D355,$D$2:$E$4,2,FALSE))-(IF('Informe Kelly'!H349=$A$2,'Informe Kelly'!F349,VLOOKUP(D355,$D$2:$E$4,2,FALSE)))</f>
        <v>#N/A</v>
      </c>
      <c r="F355" s="142" t="e">
        <f>IF('Informe Kelly'!H349=$A$3,'Informe Kelly'!F349,VLOOKUP(D355,$D$2:$F$4,3,FALSE))-(VLOOKUP(D355,$D$2:$F$4,3,FALSE))</f>
        <v>#N/A</v>
      </c>
      <c r="G355" s="137" t="e">
        <f t="shared" si="9"/>
        <v>#N/A</v>
      </c>
    </row>
    <row r="356" spans="1:7">
      <c r="A356" s="112" t="str">
        <f>VLOOKUP('Informe Kelly'!A350,Base!A:B,2,FALSE)</f>
        <v>07.916.907-2</v>
      </c>
      <c r="B356" s="112" t="str">
        <f>VLOOKUP('Informe Kelly'!A350,Base!A:G,7,FALSE)</f>
        <v>RUBIO CASTRO MARCOS</v>
      </c>
      <c r="C356" s="112" t="str">
        <f>'Informe Kelly'!E350</f>
        <v>05.04.2011</v>
      </c>
      <c r="D356" s="112" t="e">
        <f>VLOOKUP(A356,Ingreso!K:P,6,FALSE)</f>
        <v>#N/A</v>
      </c>
      <c r="E356" s="142" t="e">
        <f>(VLOOKUP(D356,$D$2:$E$4,2,FALSE))-(IF('Informe Kelly'!H350=$A$2,'Informe Kelly'!F350,VLOOKUP(D356,$D$2:$E$4,2,FALSE)))</f>
        <v>#N/A</v>
      </c>
      <c r="F356" s="142" t="e">
        <f>IF('Informe Kelly'!H350=$A$3,'Informe Kelly'!F350,VLOOKUP(D356,$D$2:$F$4,3,FALSE))-(VLOOKUP(D356,$D$2:$F$4,3,FALSE))</f>
        <v>#N/A</v>
      </c>
      <c r="G356" s="137" t="e">
        <f t="shared" si="9"/>
        <v>#N/A</v>
      </c>
    </row>
    <row r="357" spans="1:7">
      <c r="A357" s="112" t="str">
        <f>VLOOKUP('Informe Kelly'!A351,Base!A:B,2,FALSE)</f>
        <v>07.916.907-2</v>
      </c>
      <c r="B357" s="112" t="str">
        <f>VLOOKUP('Informe Kelly'!A351,Base!A:G,7,FALSE)</f>
        <v>RUBIO CASTRO MARCOS</v>
      </c>
      <c r="C357" s="112" t="str">
        <f>'Informe Kelly'!E351</f>
        <v>05.04.2011</v>
      </c>
      <c r="D357" s="112" t="e">
        <f>VLOOKUP(A357,Ingreso!K:P,6,FALSE)</f>
        <v>#N/A</v>
      </c>
      <c r="E357" s="142" t="e">
        <f>(VLOOKUP(D357,$D$2:$E$4,2,FALSE))-(IF('Informe Kelly'!H351=$A$2,'Informe Kelly'!F351,VLOOKUP(D357,$D$2:$E$4,2,FALSE)))</f>
        <v>#N/A</v>
      </c>
      <c r="F357" s="142" t="e">
        <f>IF('Informe Kelly'!H351=$A$3,'Informe Kelly'!F351,VLOOKUP(D357,$D$2:$F$4,3,FALSE))-(VLOOKUP(D357,$D$2:$F$4,3,FALSE))</f>
        <v>#N/A</v>
      </c>
      <c r="G357" s="137" t="e">
        <f t="shared" si="9"/>
        <v>#N/A</v>
      </c>
    </row>
    <row r="358" spans="1:7">
      <c r="A358" s="112" t="str">
        <f>VLOOKUP('Informe Kelly'!A352,Base!A:B,2,FALSE)</f>
        <v>07.916.907-2</v>
      </c>
      <c r="B358" s="112" t="str">
        <f>VLOOKUP('Informe Kelly'!A352,Base!A:G,7,FALSE)</f>
        <v>RUBIO CASTRO MARCOS</v>
      </c>
      <c r="C358" s="112" t="str">
        <f>'Informe Kelly'!E352</f>
        <v>06.04.2011</v>
      </c>
      <c r="D358" s="112" t="e">
        <f>VLOOKUP(A358,Ingreso!K:P,6,FALSE)</f>
        <v>#N/A</v>
      </c>
      <c r="E358" s="142" t="e">
        <f>(VLOOKUP(D358,$D$2:$E$4,2,FALSE))-(IF('Informe Kelly'!H352=$A$2,'Informe Kelly'!F352,VLOOKUP(D358,$D$2:$E$4,2,FALSE)))</f>
        <v>#N/A</v>
      </c>
      <c r="F358" s="142" t="e">
        <f>IF('Informe Kelly'!H352=$A$3,'Informe Kelly'!F352,VLOOKUP(D358,$D$2:$F$4,3,FALSE))-(VLOOKUP(D358,$D$2:$F$4,3,FALSE))</f>
        <v>#N/A</v>
      </c>
      <c r="G358" s="137" t="e">
        <f t="shared" si="9"/>
        <v>#N/A</v>
      </c>
    </row>
    <row r="359" spans="1:7">
      <c r="A359" s="112" t="str">
        <f>VLOOKUP('Informe Kelly'!A353,Base!A:B,2,FALSE)</f>
        <v>07.916.907-2</v>
      </c>
      <c r="B359" s="112" t="str">
        <f>VLOOKUP('Informe Kelly'!A353,Base!A:G,7,FALSE)</f>
        <v>RUBIO CASTRO MARCOS</v>
      </c>
      <c r="C359" s="112" t="str">
        <f>'Informe Kelly'!E353</f>
        <v>06.04.2011</v>
      </c>
      <c r="D359" s="112" t="e">
        <f>VLOOKUP(A359,Ingreso!K:P,6,FALSE)</f>
        <v>#N/A</v>
      </c>
      <c r="E359" s="142" t="e">
        <f>(VLOOKUP(D359,$D$2:$E$4,2,FALSE))-(IF('Informe Kelly'!H353=$A$2,'Informe Kelly'!F353,VLOOKUP(D359,$D$2:$E$4,2,FALSE)))</f>
        <v>#N/A</v>
      </c>
      <c r="F359" s="142" t="e">
        <f>IF('Informe Kelly'!H353=$A$3,'Informe Kelly'!F353,VLOOKUP(D359,$D$2:$F$4,3,FALSE))-(VLOOKUP(D359,$D$2:$F$4,3,FALSE))</f>
        <v>#N/A</v>
      </c>
      <c r="G359" s="137" t="e">
        <f t="shared" si="9"/>
        <v>#N/A</v>
      </c>
    </row>
    <row r="360" spans="1:7">
      <c r="A360" s="112" t="str">
        <f>VLOOKUP('Informe Kelly'!A354,Base!A:B,2,FALSE)</f>
        <v>07.916.907-2</v>
      </c>
      <c r="B360" s="112" t="str">
        <f>VLOOKUP('Informe Kelly'!A354,Base!A:G,7,FALSE)</f>
        <v>RUBIO CASTRO MARCOS</v>
      </c>
      <c r="C360" s="112" t="str">
        <f>'Informe Kelly'!E354</f>
        <v>07.04.2011</v>
      </c>
      <c r="D360" s="112" t="e">
        <f>VLOOKUP(A360,Ingreso!K:P,6,FALSE)</f>
        <v>#N/A</v>
      </c>
      <c r="E360" s="142" t="e">
        <f>(VLOOKUP(D360,$D$2:$E$4,2,FALSE))-(IF('Informe Kelly'!H354=$A$2,'Informe Kelly'!F354,VLOOKUP(D360,$D$2:$E$4,2,FALSE)))</f>
        <v>#N/A</v>
      </c>
      <c r="F360" s="142" t="e">
        <f>IF('Informe Kelly'!H354=$A$3,'Informe Kelly'!F354,VLOOKUP(D360,$D$2:$F$4,3,FALSE))-(VLOOKUP(D360,$D$2:$F$4,3,FALSE))</f>
        <v>#N/A</v>
      </c>
      <c r="G360" s="137" t="e">
        <f t="shared" si="9"/>
        <v>#N/A</v>
      </c>
    </row>
    <row r="361" spans="1:7">
      <c r="A361" s="112" t="str">
        <f>VLOOKUP('Informe Kelly'!A355,Base!A:B,2,FALSE)</f>
        <v>07.916.907-2</v>
      </c>
      <c r="B361" s="112" t="str">
        <f>VLOOKUP('Informe Kelly'!A355,Base!A:G,7,FALSE)</f>
        <v>RUBIO CASTRO MARCOS</v>
      </c>
      <c r="C361" s="112" t="str">
        <f>'Informe Kelly'!E355</f>
        <v>07.04.2011</v>
      </c>
      <c r="D361" s="112" t="e">
        <f>VLOOKUP(A361,Ingreso!K:P,6,FALSE)</f>
        <v>#N/A</v>
      </c>
      <c r="E361" s="142" t="e">
        <f>(VLOOKUP(D361,$D$2:$E$4,2,FALSE))-(IF('Informe Kelly'!H355=$A$2,'Informe Kelly'!F355,VLOOKUP(D361,$D$2:$E$4,2,FALSE)))</f>
        <v>#N/A</v>
      </c>
      <c r="F361" s="142" t="e">
        <f>IF('Informe Kelly'!H355=$A$3,'Informe Kelly'!F355,VLOOKUP(D361,$D$2:$F$4,3,FALSE))-(VLOOKUP(D361,$D$2:$F$4,3,FALSE))</f>
        <v>#N/A</v>
      </c>
      <c r="G361" s="137" t="e">
        <f t="shared" si="9"/>
        <v>#N/A</v>
      </c>
    </row>
    <row r="362" spans="1:7">
      <c r="A362" s="112" t="str">
        <f>VLOOKUP('Informe Kelly'!A356,Base!A:B,2,FALSE)</f>
        <v>07.916.907-2</v>
      </c>
      <c r="B362" s="112" t="str">
        <f>VLOOKUP('Informe Kelly'!A356,Base!A:G,7,FALSE)</f>
        <v>RUBIO CASTRO MARCOS</v>
      </c>
      <c r="C362" s="112" t="str">
        <f>'Informe Kelly'!E356</f>
        <v>10.04.2011</v>
      </c>
      <c r="D362" s="112" t="e">
        <f>VLOOKUP(A362,Ingreso!K:P,6,FALSE)</f>
        <v>#N/A</v>
      </c>
      <c r="E362" s="142" t="e">
        <f>(VLOOKUP(D362,$D$2:$E$4,2,FALSE))-(IF('Informe Kelly'!H356=$A$2,'Informe Kelly'!F356,VLOOKUP(D362,$D$2:$E$4,2,FALSE)))</f>
        <v>#N/A</v>
      </c>
      <c r="F362" s="142" t="e">
        <f>IF('Informe Kelly'!H356=$A$3,'Informe Kelly'!F356,VLOOKUP(D362,$D$2:$F$4,3,FALSE))-(VLOOKUP(D362,$D$2:$F$4,3,FALSE))</f>
        <v>#N/A</v>
      </c>
      <c r="G362" s="137" t="e">
        <f t="shared" si="9"/>
        <v>#N/A</v>
      </c>
    </row>
    <row r="363" spans="1:7">
      <c r="A363" s="112" t="str">
        <f>VLOOKUP('Informe Kelly'!A357,Base!A:B,2,FALSE)</f>
        <v>07.944.613-0</v>
      </c>
      <c r="B363" s="112" t="str">
        <f>VLOOKUP('Informe Kelly'!A357,Base!A:G,7,FALSE)</f>
        <v>DIAZ CASTRO MIGUEL ANGEL</v>
      </c>
      <c r="C363" s="112" t="str">
        <f>'Informe Kelly'!E357</f>
        <v>04.04.2011</v>
      </c>
      <c r="D363" s="112" t="e">
        <f>VLOOKUP(A363,Ingreso!K:P,6,FALSE)</f>
        <v>#N/A</v>
      </c>
      <c r="E363" s="142" t="e">
        <f>(VLOOKUP(D363,$D$2:$E$4,2,FALSE))-(IF('Informe Kelly'!H357=$A$2,'Informe Kelly'!F357,VLOOKUP(D363,$D$2:$E$4,2,FALSE)))</f>
        <v>#N/A</v>
      </c>
      <c r="F363" s="142" t="e">
        <f>IF('Informe Kelly'!H357=$A$3,'Informe Kelly'!F357,VLOOKUP(D363,$D$2:$F$4,3,FALSE))-(VLOOKUP(D363,$D$2:$F$4,3,FALSE))</f>
        <v>#N/A</v>
      </c>
      <c r="G363" s="137" t="e">
        <f t="shared" si="9"/>
        <v>#N/A</v>
      </c>
    </row>
    <row r="364" spans="1:7">
      <c r="A364" s="112" t="str">
        <f>VLOOKUP('Informe Kelly'!A358,Base!A:B,2,FALSE)</f>
        <v>07.944.613-0</v>
      </c>
      <c r="B364" s="112" t="str">
        <f>VLOOKUP('Informe Kelly'!A358,Base!A:G,7,FALSE)</f>
        <v>DIAZ CASTRO MIGUEL ANGEL</v>
      </c>
      <c r="C364" s="112" t="str">
        <f>'Informe Kelly'!E358</f>
        <v>04.04.2011</v>
      </c>
      <c r="D364" s="112" t="e">
        <f>VLOOKUP(A364,Ingreso!K:P,6,FALSE)</f>
        <v>#N/A</v>
      </c>
      <c r="E364" s="142" t="e">
        <f>(VLOOKUP(D364,$D$2:$E$4,2,FALSE))-(IF('Informe Kelly'!H358=$A$2,'Informe Kelly'!F358,VLOOKUP(D364,$D$2:$E$4,2,FALSE)))</f>
        <v>#N/A</v>
      </c>
      <c r="F364" s="142" t="e">
        <f>IF('Informe Kelly'!H358=$A$3,'Informe Kelly'!F358,VLOOKUP(D364,$D$2:$F$4,3,FALSE))-(VLOOKUP(D364,$D$2:$F$4,3,FALSE))</f>
        <v>#N/A</v>
      </c>
      <c r="G364" s="137" t="e">
        <f t="shared" si="9"/>
        <v>#N/A</v>
      </c>
    </row>
    <row r="365" spans="1:7">
      <c r="A365" s="112" t="str">
        <f>VLOOKUP('Informe Kelly'!A359,Base!A:B,2,FALSE)</f>
        <v>07.944.613-0</v>
      </c>
      <c r="B365" s="112" t="str">
        <f>VLOOKUP('Informe Kelly'!A359,Base!A:G,7,FALSE)</f>
        <v>DIAZ CASTRO MIGUEL ANGEL</v>
      </c>
      <c r="C365" s="112" t="str">
        <f>'Informe Kelly'!E359</f>
        <v>05.04.2011</v>
      </c>
      <c r="D365" s="112" t="e">
        <f>VLOOKUP(A365,Ingreso!K:P,6,FALSE)</f>
        <v>#N/A</v>
      </c>
      <c r="E365" s="142" t="e">
        <f>(VLOOKUP(D365,$D$2:$E$4,2,FALSE))-(IF('Informe Kelly'!H359=$A$2,'Informe Kelly'!F359,VLOOKUP(D365,$D$2:$E$4,2,FALSE)))</f>
        <v>#N/A</v>
      </c>
      <c r="F365" s="142" t="e">
        <f>IF('Informe Kelly'!H359=$A$3,'Informe Kelly'!F359,VLOOKUP(D365,$D$2:$F$4,3,FALSE))-(VLOOKUP(D365,$D$2:$F$4,3,FALSE))</f>
        <v>#N/A</v>
      </c>
      <c r="G365" s="137" t="e">
        <f t="shared" si="9"/>
        <v>#N/A</v>
      </c>
    </row>
    <row r="366" spans="1:7">
      <c r="A366" s="112" t="str">
        <f>VLOOKUP('Informe Kelly'!A360,Base!A:B,2,FALSE)</f>
        <v>07.944.613-0</v>
      </c>
      <c r="B366" s="112" t="str">
        <f>VLOOKUP('Informe Kelly'!A360,Base!A:G,7,FALSE)</f>
        <v>DIAZ CASTRO MIGUEL ANGEL</v>
      </c>
      <c r="C366" s="112" t="str">
        <f>'Informe Kelly'!E360</f>
        <v>05.04.2011</v>
      </c>
      <c r="D366" s="112" t="e">
        <f>VLOOKUP(A366,Ingreso!K:P,6,FALSE)</f>
        <v>#N/A</v>
      </c>
      <c r="E366" s="142" t="e">
        <f>(VLOOKUP(D366,$D$2:$E$4,2,FALSE))-(IF('Informe Kelly'!H360=$A$2,'Informe Kelly'!F360,VLOOKUP(D366,$D$2:$E$4,2,FALSE)))</f>
        <v>#N/A</v>
      </c>
      <c r="F366" s="142" t="e">
        <f>IF('Informe Kelly'!H360=$A$3,'Informe Kelly'!F360,VLOOKUP(D366,$D$2:$F$4,3,FALSE))-(VLOOKUP(D366,$D$2:$F$4,3,FALSE))</f>
        <v>#N/A</v>
      </c>
      <c r="G366" s="137" t="e">
        <f t="shared" si="9"/>
        <v>#N/A</v>
      </c>
    </row>
    <row r="367" spans="1:7">
      <c r="A367" s="112" t="str">
        <f>VLOOKUP('Informe Kelly'!A361,Base!A:B,2,FALSE)</f>
        <v>07.944.613-0</v>
      </c>
      <c r="B367" s="112" t="str">
        <f>VLOOKUP('Informe Kelly'!A361,Base!A:G,7,FALSE)</f>
        <v>DIAZ CASTRO MIGUEL ANGEL</v>
      </c>
      <c r="C367" s="112" t="str">
        <f>'Informe Kelly'!E361</f>
        <v>06.04.2011</v>
      </c>
      <c r="D367" s="112" t="e">
        <f>VLOOKUP(A367,Ingreso!K:P,6,FALSE)</f>
        <v>#N/A</v>
      </c>
      <c r="E367" s="142" t="e">
        <f>(VLOOKUP(D367,$D$2:$E$4,2,FALSE))-(IF('Informe Kelly'!H361=$A$2,'Informe Kelly'!F361,VLOOKUP(D367,$D$2:$E$4,2,FALSE)))</f>
        <v>#N/A</v>
      </c>
      <c r="F367" s="142" t="e">
        <f>IF('Informe Kelly'!H361=$A$3,'Informe Kelly'!F361,VLOOKUP(D367,$D$2:$F$4,3,FALSE))-(VLOOKUP(D367,$D$2:$F$4,3,FALSE))</f>
        <v>#N/A</v>
      </c>
      <c r="G367" s="137" t="e">
        <f t="shared" si="9"/>
        <v>#N/A</v>
      </c>
    </row>
    <row r="368" spans="1:7">
      <c r="A368" s="112" t="str">
        <f>VLOOKUP('Informe Kelly'!A362,Base!A:B,2,FALSE)</f>
        <v>07.944.613-0</v>
      </c>
      <c r="B368" s="112" t="str">
        <f>VLOOKUP('Informe Kelly'!A362,Base!A:G,7,FALSE)</f>
        <v>DIAZ CASTRO MIGUEL ANGEL</v>
      </c>
      <c r="C368" s="112" t="str">
        <f>'Informe Kelly'!E362</f>
        <v>06.04.2011</v>
      </c>
      <c r="D368" s="112" t="e">
        <f>VLOOKUP(A368,Ingreso!K:P,6,FALSE)</f>
        <v>#N/A</v>
      </c>
      <c r="E368" s="142" t="e">
        <f>(VLOOKUP(D368,$D$2:$E$4,2,FALSE))-(IF('Informe Kelly'!H362=$A$2,'Informe Kelly'!F362,VLOOKUP(D368,$D$2:$E$4,2,FALSE)))</f>
        <v>#N/A</v>
      </c>
      <c r="F368" s="142" t="e">
        <f>IF('Informe Kelly'!H362=$A$3,'Informe Kelly'!F362,VLOOKUP(D368,$D$2:$F$4,3,FALSE))-(VLOOKUP(D368,$D$2:$F$4,3,FALSE))</f>
        <v>#N/A</v>
      </c>
      <c r="G368" s="137" t="e">
        <f t="shared" si="9"/>
        <v>#N/A</v>
      </c>
    </row>
    <row r="369" spans="1:7">
      <c r="A369" s="112" t="str">
        <f>VLOOKUP('Informe Kelly'!A363,Base!A:B,2,FALSE)</f>
        <v>07.944.613-0</v>
      </c>
      <c r="B369" s="112" t="str">
        <f>VLOOKUP('Informe Kelly'!A363,Base!A:G,7,FALSE)</f>
        <v>DIAZ CASTRO MIGUEL ANGEL</v>
      </c>
      <c r="C369" s="112" t="str">
        <f>'Informe Kelly'!E363</f>
        <v>07.04.2011</v>
      </c>
      <c r="D369" s="112" t="e">
        <f>VLOOKUP(A369,Ingreso!K:P,6,FALSE)</f>
        <v>#N/A</v>
      </c>
      <c r="E369" s="142" t="e">
        <f>(VLOOKUP(D369,$D$2:$E$4,2,FALSE))-(IF('Informe Kelly'!H363=$A$2,'Informe Kelly'!F363,VLOOKUP(D369,$D$2:$E$4,2,FALSE)))</f>
        <v>#N/A</v>
      </c>
      <c r="F369" s="142" t="e">
        <f>IF('Informe Kelly'!H363=$A$3,'Informe Kelly'!F363,VLOOKUP(D369,$D$2:$F$4,3,FALSE))-(VLOOKUP(D369,$D$2:$F$4,3,FALSE))</f>
        <v>#N/A</v>
      </c>
      <c r="G369" s="137" t="e">
        <f t="shared" si="9"/>
        <v>#N/A</v>
      </c>
    </row>
    <row r="370" spans="1:7">
      <c r="A370" s="112" t="str">
        <f>VLOOKUP('Informe Kelly'!A364,Base!A:B,2,FALSE)</f>
        <v>07.944.613-0</v>
      </c>
      <c r="B370" s="112" t="str">
        <f>VLOOKUP('Informe Kelly'!A364,Base!A:G,7,FALSE)</f>
        <v>DIAZ CASTRO MIGUEL ANGEL</v>
      </c>
      <c r="C370" s="112" t="str">
        <f>'Informe Kelly'!E364</f>
        <v>07.04.2011</v>
      </c>
      <c r="D370" s="112" t="e">
        <f>VLOOKUP(A370,Ingreso!K:P,6,FALSE)</f>
        <v>#N/A</v>
      </c>
      <c r="E370" s="142" t="e">
        <f>(VLOOKUP(D370,$D$2:$E$4,2,FALSE))-(IF('Informe Kelly'!H364=$A$2,'Informe Kelly'!F364,VLOOKUP(D370,$D$2:$E$4,2,FALSE)))</f>
        <v>#N/A</v>
      </c>
      <c r="F370" s="142" t="e">
        <f>IF('Informe Kelly'!H364=$A$3,'Informe Kelly'!F364,VLOOKUP(D370,$D$2:$F$4,3,FALSE))-(VLOOKUP(D370,$D$2:$F$4,3,FALSE))</f>
        <v>#N/A</v>
      </c>
      <c r="G370" s="137" t="e">
        <f t="shared" si="9"/>
        <v>#N/A</v>
      </c>
    </row>
    <row r="371" spans="1:7">
      <c r="A371" s="112" t="str">
        <f>VLOOKUP('Informe Kelly'!A365,Base!A:B,2,FALSE)</f>
        <v>07.944.613-0</v>
      </c>
      <c r="B371" s="112" t="str">
        <f>VLOOKUP('Informe Kelly'!A365,Base!A:G,7,FALSE)</f>
        <v>DIAZ CASTRO MIGUEL ANGEL</v>
      </c>
      <c r="C371" s="112" t="str">
        <f>'Informe Kelly'!E365</f>
        <v>08.04.2011</v>
      </c>
      <c r="D371" s="112" t="e">
        <f>VLOOKUP(A371,Ingreso!K:P,6,FALSE)</f>
        <v>#N/A</v>
      </c>
      <c r="E371" s="142" t="e">
        <f>(VLOOKUP(D371,$D$2:$E$4,2,FALSE))-(IF('Informe Kelly'!H365=$A$2,'Informe Kelly'!F365,VLOOKUP(D371,$D$2:$E$4,2,FALSE)))</f>
        <v>#N/A</v>
      </c>
      <c r="F371" s="142" t="e">
        <f>IF('Informe Kelly'!H365=$A$3,'Informe Kelly'!F365,VLOOKUP(D371,$D$2:$F$4,3,FALSE))-(VLOOKUP(D371,$D$2:$F$4,3,FALSE))</f>
        <v>#N/A</v>
      </c>
      <c r="G371" s="137" t="e">
        <f t="shared" si="9"/>
        <v>#N/A</v>
      </c>
    </row>
    <row r="372" spans="1:7">
      <c r="A372" s="112" t="str">
        <f>VLOOKUP('Informe Kelly'!A366,Base!A:B,2,FALSE)</f>
        <v>07.944.613-0</v>
      </c>
      <c r="B372" s="112" t="str">
        <f>VLOOKUP('Informe Kelly'!A366,Base!A:G,7,FALSE)</f>
        <v>DIAZ CASTRO MIGUEL ANGEL</v>
      </c>
      <c r="C372" s="112" t="str">
        <f>'Informe Kelly'!E366</f>
        <v>08.04.2011</v>
      </c>
      <c r="D372" s="112" t="e">
        <f>VLOOKUP(A372,Ingreso!K:P,6,FALSE)</f>
        <v>#N/A</v>
      </c>
      <c r="E372" s="142" t="e">
        <f>(VLOOKUP(D372,$D$2:$E$4,2,FALSE))-(IF('Informe Kelly'!H366=$A$2,'Informe Kelly'!F366,VLOOKUP(D372,$D$2:$E$4,2,FALSE)))</f>
        <v>#N/A</v>
      </c>
      <c r="F372" s="142" t="e">
        <f>IF('Informe Kelly'!H366=$A$3,'Informe Kelly'!F366,VLOOKUP(D372,$D$2:$F$4,3,FALSE))-(VLOOKUP(D372,$D$2:$F$4,3,FALSE))</f>
        <v>#N/A</v>
      </c>
      <c r="G372" s="137" t="e">
        <f t="shared" si="9"/>
        <v>#N/A</v>
      </c>
    </row>
    <row r="373" spans="1:7">
      <c r="A373" s="112" t="str">
        <f>VLOOKUP('Informe Kelly'!A367,Base!A:B,2,FALSE)</f>
        <v>07.974.375-5</v>
      </c>
      <c r="B373" s="112" t="str">
        <f>VLOOKUP('Informe Kelly'!A367,Base!A:G,7,FALSE)</f>
        <v>GARRIDO  ACEVEDO,WILSON</v>
      </c>
      <c r="C373" s="112" t="str">
        <f>'Informe Kelly'!E367</f>
        <v>04.04.2011</v>
      </c>
      <c r="D373" s="112" t="e">
        <f>VLOOKUP(A373,Ingreso!K:P,6,FALSE)</f>
        <v>#N/A</v>
      </c>
      <c r="E373" s="142" t="e">
        <f>(VLOOKUP(D373,$D$2:$E$4,2,FALSE))-(IF('Informe Kelly'!H367=$A$2,'Informe Kelly'!F367,VLOOKUP(D373,$D$2:$E$4,2,FALSE)))</f>
        <v>#N/A</v>
      </c>
      <c r="F373" s="142" t="e">
        <f>IF('Informe Kelly'!H367=$A$3,'Informe Kelly'!F367,VLOOKUP(D373,$D$2:$F$4,3,FALSE))-(VLOOKUP(D373,$D$2:$F$4,3,FALSE))</f>
        <v>#N/A</v>
      </c>
      <c r="G373" s="137" t="e">
        <f t="shared" si="9"/>
        <v>#N/A</v>
      </c>
    </row>
    <row r="374" spans="1:7">
      <c r="A374" s="112" t="str">
        <f>VLOOKUP('Informe Kelly'!A368,Base!A:B,2,FALSE)</f>
        <v>07.974.375-5</v>
      </c>
      <c r="B374" s="112" t="str">
        <f>VLOOKUP('Informe Kelly'!A368,Base!A:G,7,FALSE)</f>
        <v>GARRIDO  ACEVEDO,WILSON</v>
      </c>
      <c r="C374" s="112" t="str">
        <f>'Informe Kelly'!E368</f>
        <v>04.04.2011</v>
      </c>
      <c r="D374" s="112" t="e">
        <f>VLOOKUP(A374,Ingreso!K:P,6,FALSE)</f>
        <v>#N/A</v>
      </c>
      <c r="E374" s="142" t="e">
        <f>(VLOOKUP(D374,$D$2:$E$4,2,FALSE))-(IF('Informe Kelly'!H368=$A$2,'Informe Kelly'!F368,VLOOKUP(D374,$D$2:$E$4,2,FALSE)))</f>
        <v>#N/A</v>
      </c>
      <c r="F374" s="142" t="e">
        <f>IF('Informe Kelly'!H368=$A$3,'Informe Kelly'!F368,VLOOKUP(D374,$D$2:$F$4,3,FALSE))-(VLOOKUP(D374,$D$2:$F$4,3,FALSE))</f>
        <v>#N/A</v>
      </c>
      <c r="G374" s="137" t="e">
        <f t="shared" si="9"/>
        <v>#N/A</v>
      </c>
    </row>
    <row r="375" spans="1:7">
      <c r="A375" s="112" t="str">
        <f>VLOOKUP('Informe Kelly'!A369,Base!A:B,2,FALSE)</f>
        <v>07.974.375-5</v>
      </c>
      <c r="B375" s="112" t="str">
        <f>VLOOKUP('Informe Kelly'!A369,Base!A:G,7,FALSE)</f>
        <v>GARRIDO  ACEVEDO,WILSON</v>
      </c>
      <c r="C375" s="112" t="str">
        <f>'Informe Kelly'!E369</f>
        <v>05.04.2011</v>
      </c>
      <c r="D375" s="112" t="e">
        <f>VLOOKUP(A375,Ingreso!K:P,6,FALSE)</f>
        <v>#N/A</v>
      </c>
      <c r="E375" s="142" t="e">
        <f>(VLOOKUP(D375,$D$2:$E$4,2,FALSE))-(IF('Informe Kelly'!H369=$A$2,'Informe Kelly'!F369,VLOOKUP(D375,$D$2:$E$4,2,FALSE)))</f>
        <v>#N/A</v>
      </c>
      <c r="F375" s="142" t="e">
        <f>IF('Informe Kelly'!H369=$A$3,'Informe Kelly'!F369,VLOOKUP(D375,$D$2:$F$4,3,FALSE))-(VLOOKUP(D375,$D$2:$F$4,3,FALSE))</f>
        <v>#N/A</v>
      </c>
      <c r="G375" s="137" t="e">
        <f t="shared" si="9"/>
        <v>#N/A</v>
      </c>
    </row>
    <row r="376" spans="1:7">
      <c r="A376" s="112" t="str">
        <f>VLOOKUP('Informe Kelly'!A370,Base!A:B,2,FALSE)</f>
        <v>07.974.375-5</v>
      </c>
      <c r="B376" s="112" t="str">
        <f>VLOOKUP('Informe Kelly'!A370,Base!A:G,7,FALSE)</f>
        <v>GARRIDO  ACEVEDO,WILSON</v>
      </c>
      <c r="C376" s="112" t="str">
        <f>'Informe Kelly'!E370</f>
        <v>05.04.2011</v>
      </c>
      <c r="D376" s="112" t="e">
        <f>VLOOKUP(A376,Ingreso!K:P,6,FALSE)</f>
        <v>#N/A</v>
      </c>
      <c r="E376" s="142" t="e">
        <f>(VLOOKUP(D376,$D$2:$E$4,2,FALSE))-(IF('Informe Kelly'!H370=$A$2,'Informe Kelly'!F370,VLOOKUP(D376,$D$2:$E$4,2,FALSE)))</f>
        <v>#N/A</v>
      </c>
      <c r="F376" s="142" t="e">
        <f>IF('Informe Kelly'!H370=$A$3,'Informe Kelly'!F370,VLOOKUP(D376,$D$2:$F$4,3,FALSE))-(VLOOKUP(D376,$D$2:$F$4,3,FALSE))</f>
        <v>#N/A</v>
      </c>
      <c r="G376" s="137" t="e">
        <f t="shared" si="9"/>
        <v>#N/A</v>
      </c>
    </row>
    <row r="377" spans="1:7">
      <c r="A377" s="112" t="str">
        <f>VLOOKUP('Informe Kelly'!A371,Base!A:B,2,FALSE)</f>
        <v>07.974.375-5</v>
      </c>
      <c r="B377" s="112" t="str">
        <f>VLOOKUP('Informe Kelly'!A371,Base!A:G,7,FALSE)</f>
        <v>GARRIDO  ACEVEDO,WILSON</v>
      </c>
      <c r="C377" s="112" t="str">
        <f>'Informe Kelly'!E371</f>
        <v>06.04.2011</v>
      </c>
      <c r="D377" s="112" t="e">
        <f>VLOOKUP(A377,Ingreso!K:P,6,FALSE)</f>
        <v>#N/A</v>
      </c>
      <c r="E377" s="142" t="e">
        <f>(VLOOKUP(D377,$D$2:$E$4,2,FALSE))-(IF('Informe Kelly'!H371=$A$2,'Informe Kelly'!F371,VLOOKUP(D377,$D$2:$E$4,2,FALSE)))</f>
        <v>#N/A</v>
      </c>
      <c r="F377" s="142" t="e">
        <f>IF('Informe Kelly'!H371=$A$3,'Informe Kelly'!F371,VLOOKUP(D377,$D$2:$F$4,3,FALSE))-(VLOOKUP(D377,$D$2:$F$4,3,FALSE))</f>
        <v>#N/A</v>
      </c>
      <c r="G377" s="137" t="e">
        <f t="shared" si="9"/>
        <v>#N/A</v>
      </c>
    </row>
    <row r="378" spans="1:7">
      <c r="A378" s="112" t="str">
        <f>VLOOKUP('Informe Kelly'!A372,Base!A:B,2,FALSE)</f>
        <v>07.974.375-5</v>
      </c>
      <c r="B378" s="112" t="str">
        <f>VLOOKUP('Informe Kelly'!A372,Base!A:G,7,FALSE)</f>
        <v>GARRIDO  ACEVEDO,WILSON</v>
      </c>
      <c r="C378" s="112" t="str">
        <f>'Informe Kelly'!E372</f>
        <v>06.04.2011</v>
      </c>
      <c r="D378" s="112" t="e">
        <f>VLOOKUP(A378,Ingreso!K:P,6,FALSE)</f>
        <v>#N/A</v>
      </c>
      <c r="E378" s="142" t="e">
        <f>(VLOOKUP(D378,$D$2:$E$4,2,FALSE))-(IF('Informe Kelly'!H372=$A$2,'Informe Kelly'!F372,VLOOKUP(D378,$D$2:$E$4,2,FALSE)))</f>
        <v>#N/A</v>
      </c>
      <c r="F378" s="142" t="e">
        <f>IF('Informe Kelly'!H372=$A$3,'Informe Kelly'!F372,VLOOKUP(D378,$D$2:$F$4,3,FALSE))-(VLOOKUP(D378,$D$2:$F$4,3,FALSE))</f>
        <v>#N/A</v>
      </c>
      <c r="G378" s="137" t="e">
        <f t="shared" si="9"/>
        <v>#N/A</v>
      </c>
    </row>
    <row r="379" spans="1:7">
      <c r="A379" s="112" t="str">
        <f>VLOOKUP('Informe Kelly'!A373,Base!A:B,2,FALSE)</f>
        <v>07.974.375-5</v>
      </c>
      <c r="B379" s="112" t="str">
        <f>VLOOKUP('Informe Kelly'!A373,Base!A:G,7,FALSE)</f>
        <v>GARRIDO  ACEVEDO,WILSON</v>
      </c>
      <c r="C379" s="112" t="str">
        <f>'Informe Kelly'!E373</f>
        <v>07.04.2011</v>
      </c>
      <c r="D379" s="112" t="e">
        <f>VLOOKUP(A379,Ingreso!K:P,6,FALSE)</f>
        <v>#N/A</v>
      </c>
      <c r="E379" s="142" t="e">
        <f>(VLOOKUP(D379,$D$2:$E$4,2,FALSE))-(IF('Informe Kelly'!H373=$A$2,'Informe Kelly'!F373,VLOOKUP(D379,$D$2:$E$4,2,FALSE)))</f>
        <v>#N/A</v>
      </c>
      <c r="F379" s="142" t="e">
        <f>IF('Informe Kelly'!H373=$A$3,'Informe Kelly'!F373,VLOOKUP(D379,$D$2:$F$4,3,FALSE))-(VLOOKUP(D379,$D$2:$F$4,3,FALSE))</f>
        <v>#N/A</v>
      </c>
      <c r="G379" s="137" t="e">
        <f t="shared" si="9"/>
        <v>#N/A</v>
      </c>
    </row>
    <row r="380" spans="1:7">
      <c r="A380" s="112" t="str">
        <f>VLOOKUP('Informe Kelly'!A374,Base!A:B,2,FALSE)</f>
        <v>07.974.375-5</v>
      </c>
      <c r="B380" s="112" t="str">
        <f>VLOOKUP('Informe Kelly'!A374,Base!A:G,7,FALSE)</f>
        <v>GARRIDO  ACEVEDO,WILSON</v>
      </c>
      <c r="C380" s="112" t="str">
        <f>'Informe Kelly'!E374</f>
        <v>07.04.2011</v>
      </c>
      <c r="D380" s="112" t="e">
        <f>VLOOKUP(A380,Ingreso!K:P,6,FALSE)</f>
        <v>#N/A</v>
      </c>
      <c r="E380" s="142" t="e">
        <f>(VLOOKUP(D380,$D$2:$E$4,2,FALSE))-(IF('Informe Kelly'!H374=$A$2,'Informe Kelly'!F374,VLOOKUP(D380,$D$2:$E$4,2,FALSE)))</f>
        <v>#N/A</v>
      </c>
      <c r="F380" s="142" t="e">
        <f>IF('Informe Kelly'!H374=$A$3,'Informe Kelly'!F374,VLOOKUP(D380,$D$2:$F$4,3,FALSE))-(VLOOKUP(D380,$D$2:$F$4,3,FALSE))</f>
        <v>#N/A</v>
      </c>
      <c r="G380" s="137" t="e">
        <f t="shared" si="9"/>
        <v>#N/A</v>
      </c>
    </row>
    <row r="381" spans="1:7">
      <c r="A381" s="112" t="str">
        <f>VLOOKUP('Informe Kelly'!A375,Base!A:B,2,FALSE)</f>
        <v>07.974.375-5</v>
      </c>
      <c r="B381" s="112" t="str">
        <f>VLOOKUP('Informe Kelly'!A375,Base!A:G,7,FALSE)</f>
        <v>GARRIDO  ACEVEDO,WILSON</v>
      </c>
      <c r="C381" s="112" t="str">
        <f>'Informe Kelly'!E375</f>
        <v>08.04.2011</v>
      </c>
      <c r="D381" s="112" t="e">
        <f>VLOOKUP(A381,Ingreso!K:P,6,FALSE)</f>
        <v>#N/A</v>
      </c>
      <c r="E381" s="142" t="e">
        <f>(VLOOKUP(D381,$D$2:$E$4,2,FALSE))-(IF('Informe Kelly'!H375=$A$2,'Informe Kelly'!F375,VLOOKUP(D381,$D$2:$E$4,2,FALSE)))</f>
        <v>#N/A</v>
      </c>
      <c r="F381" s="142" t="e">
        <f>IF('Informe Kelly'!H375=$A$3,'Informe Kelly'!F375,VLOOKUP(D381,$D$2:$F$4,3,FALSE))-(VLOOKUP(D381,$D$2:$F$4,3,FALSE))</f>
        <v>#N/A</v>
      </c>
      <c r="G381" s="137" t="e">
        <f t="shared" si="9"/>
        <v>#N/A</v>
      </c>
    </row>
    <row r="382" spans="1:7">
      <c r="A382" s="112" t="str">
        <f>VLOOKUP('Informe Kelly'!A376,Base!A:B,2,FALSE)</f>
        <v>07.974.375-5</v>
      </c>
      <c r="B382" s="112" t="str">
        <f>VLOOKUP('Informe Kelly'!A376,Base!A:G,7,FALSE)</f>
        <v>GARRIDO  ACEVEDO,WILSON</v>
      </c>
      <c r="C382" s="112" t="str">
        <f>'Informe Kelly'!E376</f>
        <v>08.04.2011</v>
      </c>
      <c r="D382" s="112" t="e">
        <f>VLOOKUP(A382,Ingreso!K:P,6,FALSE)</f>
        <v>#N/A</v>
      </c>
      <c r="E382" s="142" t="e">
        <f>(VLOOKUP(D382,$D$2:$E$4,2,FALSE))-(IF('Informe Kelly'!H376=$A$2,'Informe Kelly'!F376,VLOOKUP(D382,$D$2:$E$4,2,FALSE)))</f>
        <v>#N/A</v>
      </c>
      <c r="F382" s="142" t="e">
        <f>IF('Informe Kelly'!H376=$A$3,'Informe Kelly'!F376,VLOOKUP(D382,$D$2:$F$4,3,FALSE))-(VLOOKUP(D382,$D$2:$F$4,3,FALSE))</f>
        <v>#N/A</v>
      </c>
      <c r="G382" s="137" t="e">
        <f t="shared" si="9"/>
        <v>#N/A</v>
      </c>
    </row>
    <row r="383" spans="1:7">
      <c r="A383" s="112" t="str">
        <f>VLOOKUP('Informe Kelly'!A377,Base!A:B,2,FALSE)</f>
        <v>08.025.043-6</v>
      </c>
      <c r="B383" s="112" t="str">
        <f>VLOOKUP('Informe Kelly'!A377,Base!A:G,7,FALSE)</f>
        <v>LEIVA  CASTILLO, RAUL</v>
      </c>
      <c r="C383" s="112" t="str">
        <f>'Informe Kelly'!E377</f>
        <v>04.04.2011</v>
      </c>
      <c r="D383" s="112" t="e">
        <f>VLOOKUP(A383,Ingreso!K:P,6,FALSE)</f>
        <v>#N/A</v>
      </c>
      <c r="E383" s="142" t="e">
        <f>(VLOOKUP(D383,$D$2:$E$4,2,FALSE))-(IF('Informe Kelly'!H377=$A$2,'Informe Kelly'!F377,VLOOKUP(D383,$D$2:$E$4,2,FALSE)))</f>
        <v>#N/A</v>
      </c>
      <c r="F383" s="142" t="e">
        <f>IF('Informe Kelly'!H377=$A$3,'Informe Kelly'!F377,VLOOKUP(D383,$D$2:$F$4,3,FALSE))-(VLOOKUP(D383,$D$2:$F$4,3,FALSE))</f>
        <v>#N/A</v>
      </c>
      <c r="G383" s="137" t="e">
        <f t="shared" si="9"/>
        <v>#N/A</v>
      </c>
    </row>
    <row r="384" spans="1:7">
      <c r="A384" s="112" t="str">
        <f>VLOOKUP('Informe Kelly'!A378,Base!A:B,2,FALSE)</f>
        <v>08.025.043-6</v>
      </c>
      <c r="B384" s="112" t="str">
        <f>VLOOKUP('Informe Kelly'!A378,Base!A:G,7,FALSE)</f>
        <v>LEIVA  CASTILLO, RAUL</v>
      </c>
      <c r="C384" s="112" t="str">
        <f>'Informe Kelly'!E378</f>
        <v>05.04.2011</v>
      </c>
      <c r="D384" s="112" t="e">
        <f>VLOOKUP(A384,Ingreso!K:P,6,FALSE)</f>
        <v>#N/A</v>
      </c>
      <c r="E384" s="142" t="e">
        <f>(VLOOKUP(D384,$D$2:$E$4,2,FALSE))-(IF('Informe Kelly'!H378=$A$2,'Informe Kelly'!F378,VLOOKUP(D384,$D$2:$E$4,2,FALSE)))</f>
        <v>#N/A</v>
      </c>
      <c r="F384" s="142" t="e">
        <f>IF('Informe Kelly'!H378=$A$3,'Informe Kelly'!F378,VLOOKUP(D384,$D$2:$F$4,3,FALSE))-(VLOOKUP(D384,$D$2:$F$4,3,FALSE))</f>
        <v>#N/A</v>
      </c>
      <c r="G384" s="137" t="e">
        <f t="shared" si="9"/>
        <v>#N/A</v>
      </c>
    </row>
    <row r="385" spans="1:7">
      <c r="A385" s="112" t="str">
        <f>VLOOKUP('Informe Kelly'!A379,Base!A:B,2,FALSE)</f>
        <v>08.025.043-6</v>
      </c>
      <c r="B385" s="112" t="str">
        <f>VLOOKUP('Informe Kelly'!A379,Base!A:G,7,FALSE)</f>
        <v>LEIVA  CASTILLO, RAUL</v>
      </c>
      <c r="C385" s="112" t="str">
        <f>'Informe Kelly'!E379</f>
        <v>05.04.2011</v>
      </c>
      <c r="D385" s="112" t="e">
        <f>VLOOKUP(A385,Ingreso!K:P,6,FALSE)</f>
        <v>#N/A</v>
      </c>
      <c r="E385" s="142" t="e">
        <f>(VLOOKUP(D385,$D$2:$E$4,2,FALSE))-(IF('Informe Kelly'!H379=$A$2,'Informe Kelly'!F379,VLOOKUP(D385,$D$2:$E$4,2,FALSE)))</f>
        <v>#N/A</v>
      </c>
      <c r="F385" s="142" t="e">
        <f>IF('Informe Kelly'!H379=$A$3,'Informe Kelly'!F379,VLOOKUP(D385,$D$2:$F$4,3,FALSE))-(VLOOKUP(D385,$D$2:$F$4,3,FALSE))</f>
        <v>#N/A</v>
      </c>
      <c r="G385" s="137" t="e">
        <f t="shared" si="9"/>
        <v>#N/A</v>
      </c>
    </row>
    <row r="386" spans="1:7">
      <c r="A386" s="112" t="str">
        <f>VLOOKUP('Informe Kelly'!A380,Base!A:B,2,FALSE)</f>
        <v>08.025.043-6</v>
      </c>
      <c r="B386" s="112" t="str">
        <f>VLOOKUP('Informe Kelly'!A380,Base!A:G,7,FALSE)</f>
        <v>LEIVA  CASTILLO, RAUL</v>
      </c>
      <c r="C386" s="112" t="str">
        <f>'Informe Kelly'!E380</f>
        <v>06.04.2011</v>
      </c>
      <c r="D386" s="112" t="e">
        <f>VLOOKUP(A386,Ingreso!K:P,6,FALSE)</f>
        <v>#N/A</v>
      </c>
      <c r="E386" s="142" t="e">
        <f>(VLOOKUP(D386,$D$2:$E$4,2,FALSE))-(IF('Informe Kelly'!H380=$A$2,'Informe Kelly'!F380,VLOOKUP(D386,$D$2:$E$4,2,FALSE)))</f>
        <v>#N/A</v>
      </c>
      <c r="F386" s="142" t="e">
        <f>IF('Informe Kelly'!H380=$A$3,'Informe Kelly'!F380,VLOOKUP(D386,$D$2:$F$4,3,FALSE))-(VLOOKUP(D386,$D$2:$F$4,3,FALSE))</f>
        <v>#N/A</v>
      </c>
      <c r="G386" s="137" t="e">
        <f t="shared" si="9"/>
        <v>#N/A</v>
      </c>
    </row>
    <row r="387" spans="1:7">
      <c r="A387" s="112" t="str">
        <f>VLOOKUP('Informe Kelly'!A381,Base!A:B,2,FALSE)</f>
        <v>08.025.043-6</v>
      </c>
      <c r="B387" s="112" t="str">
        <f>VLOOKUP('Informe Kelly'!A381,Base!A:G,7,FALSE)</f>
        <v>LEIVA  CASTILLO, RAUL</v>
      </c>
      <c r="C387" s="112" t="str">
        <f>'Informe Kelly'!E381</f>
        <v>06.04.2011</v>
      </c>
      <c r="D387" s="112" t="e">
        <f>VLOOKUP(A387,Ingreso!K:P,6,FALSE)</f>
        <v>#N/A</v>
      </c>
      <c r="E387" s="142" t="e">
        <f>(VLOOKUP(D387,$D$2:$E$4,2,FALSE))-(IF('Informe Kelly'!H381=$A$2,'Informe Kelly'!F381,VLOOKUP(D387,$D$2:$E$4,2,FALSE)))</f>
        <v>#N/A</v>
      </c>
      <c r="F387" s="142" t="e">
        <f>IF('Informe Kelly'!H381=$A$3,'Informe Kelly'!F381,VLOOKUP(D387,$D$2:$F$4,3,FALSE))-(VLOOKUP(D387,$D$2:$F$4,3,FALSE))</f>
        <v>#N/A</v>
      </c>
      <c r="G387" s="137" t="e">
        <f t="shared" si="9"/>
        <v>#N/A</v>
      </c>
    </row>
    <row r="388" spans="1:7">
      <c r="A388" s="112" t="str">
        <f>VLOOKUP('Informe Kelly'!A382,Base!A:B,2,FALSE)</f>
        <v>08.025.043-6</v>
      </c>
      <c r="B388" s="112" t="str">
        <f>VLOOKUP('Informe Kelly'!A382,Base!A:G,7,FALSE)</f>
        <v>LEIVA  CASTILLO, RAUL</v>
      </c>
      <c r="C388" s="112" t="str">
        <f>'Informe Kelly'!E382</f>
        <v>07.04.2011</v>
      </c>
      <c r="D388" s="112" t="e">
        <f>VLOOKUP(A388,Ingreso!K:P,6,FALSE)</f>
        <v>#N/A</v>
      </c>
      <c r="E388" s="142" t="e">
        <f>(VLOOKUP(D388,$D$2:$E$4,2,FALSE))-(IF('Informe Kelly'!H382=$A$2,'Informe Kelly'!F382,VLOOKUP(D388,$D$2:$E$4,2,FALSE)))</f>
        <v>#N/A</v>
      </c>
      <c r="F388" s="142" t="e">
        <f>IF('Informe Kelly'!H382=$A$3,'Informe Kelly'!F382,VLOOKUP(D388,$D$2:$F$4,3,FALSE))-(VLOOKUP(D388,$D$2:$F$4,3,FALSE))</f>
        <v>#N/A</v>
      </c>
      <c r="G388" s="137" t="e">
        <f t="shared" si="9"/>
        <v>#N/A</v>
      </c>
    </row>
    <row r="389" spans="1:7">
      <c r="A389" s="112" t="str">
        <f>VLOOKUP('Informe Kelly'!A383,Base!A:B,2,FALSE)</f>
        <v>08.025.043-6</v>
      </c>
      <c r="B389" s="112" t="str">
        <f>VLOOKUP('Informe Kelly'!A383,Base!A:G,7,FALSE)</f>
        <v>LEIVA  CASTILLO, RAUL</v>
      </c>
      <c r="C389" s="112" t="str">
        <f>'Informe Kelly'!E383</f>
        <v>07.04.2011</v>
      </c>
      <c r="D389" s="112" t="e">
        <f>VLOOKUP(A389,Ingreso!K:P,6,FALSE)</f>
        <v>#N/A</v>
      </c>
      <c r="E389" s="142" t="e">
        <f>(VLOOKUP(D389,$D$2:$E$4,2,FALSE))-(IF('Informe Kelly'!H383=$A$2,'Informe Kelly'!F383,VLOOKUP(D389,$D$2:$E$4,2,FALSE)))</f>
        <v>#N/A</v>
      </c>
      <c r="F389" s="142" t="e">
        <f>IF('Informe Kelly'!H383=$A$3,'Informe Kelly'!F383,VLOOKUP(D389,$D$2:$F$4,3,FALSE))-(VLOOKUP(D389,$D$2:$F$4,3,FALSE))</f>
        <v>#N/A</v>
      </c>
      <c r="G389" s="137" t="e">
        <f t="shared" si="9"/>
        <v>#N/A</v>
      </c>
    </row>
    <row r="390" spans="1:7">
      <c r="A390" s="112" t="str">
        <f>VLOOKUP('Informe Kelly'!A384,Base!A:B,2,FALSE)</f>
        <v>08.025.043-6</v>
      </c>
      <c r="B390" s="112" t="str">
        <f>VLOOKUP('Informe Kelly'!A384,Base!A:G,7,FALSE)</f>
        <v>LEIVA  CASTILLO, RAUL</v>
      </c>
      <c r="C390" s="112" t="str">
        <f>'Informe Kelly'!E384</f>
        <v>08.04.2011</v>
      </c>
      <c r="D390" s="112" t="e">
        <f>VLOOKUP(A390,Ingreso!K:P,6,FALSE)</f>
        <v>#N/A</v>
      </c>
      <c r="E390" s="142" t="e">
        <f>(VLOOKUP(D390,$D$2:$E$4,2,FALSE))-(IF('Informe Kelly'!H384=$A$2,'Informe Kelly'!F384,VLOOKUP(D390,$D$2:$E$4,2,FALSE)))</f>
        <v>#N/A</v>
      </c>
      <c r="F390" s="142" t="e">
        <f>IF('Informe Kelly'!H384=$A$3,'Informe Kelly'!F384,VLOOKUP(D390,$D$2:$F$4,3,FALSE))-(VLOOKUP(D390,$D$2:$F$4,3,FALSE))</f>
        <v>#N/A</v>
      </c>
      <c r="G390" s="137" t="e">
        <f t="shared" si="9"/>
        <v>#N/A</v>
      </c>
    </row>
    <row r="391" spans="1:7">
      <c r="A391" s="112" t="str">
        <f>VLOOKUP('Informe Kelly'!A385,Base!A:B,2,FALSE)</f>
        <v>08.025.043-6</v>
      </c>
      <c r="B391" s="112" t="str">
        <f>VLOOKUP('Informe Kelly'!A385,Base!A:G,7,FALSE)</f>
        <v>LEIVA  CASTILLO, RAUL</v>
      </c>
      <c r="C391" s="112" t="str">
        <f>'Informe Kelly'!E385</f>
        <v>08.04.2011</v>
      </c>
      <c r="D391" s="112" t="e">
        <f>VLOOKUP(A391,Ingreso!K:P,6,FALSE)</f>
        <v>#N/A</v>
      </c>
      <c r="E391" s="142" t="e">
        <f>(VLOOKUP(D391,$D$2:$E$4,2,FALSE))-(IF('Informe Kelly'!H385=$A$2,'Informe Kelly'!F385,VLOOKUP(D391,$D$2:$E$4,2,FALSE)))</f>
        <v>#N/A</v>
      </c>
      <c r="F391" s="142" t="e">
        <f>IF('Informe Kelly'!H385=$A$3,'Informe Kelly'!F385,VLOOKUP(D391,$D$2:$F$4,3,FALSE))-(VLOOKUP(D391,$D$2:$F$4,3,FALSE))</f>
        <v>#N/A</v>
      </c>
      <c r="G391" s="137" t="e">
        <f t="shared" si="9"/>
        <v>#N/A</v>
      </c>
    </row>
    <row r="392" spans="1:7">
      <c r="A392" s="112" t="str">
        <f>VLOOKUP('Informe Kelly'!A386,Base!A:B,2,FALSE)</f>
        <v>08.025.043-6</v>
      </c>
      <c r="B392" s="112" t="str">
        <f>VLOOKUP('Informe Kelly'!A386,Base!A:G,7,FALSE)</f>
        <v>LEIVA  CASTILLO, RAUL</v>
      </c>
      <c r="C392" s="112" t="str">
        <f>'Informe Kelly'!E386</f>
        <v>09.04.2011</v>
      </c>
      <c r="D392" s="112" t="e">
        <f>VLOOKUP(A392,Ingreso!K:P,6,FALSE)</f>
        <v>#N/A</v>
      </c>
      <c r="E392" s="142" t="e">
        <f>(VLOOKUP(D392,$D$2:$E$4,2,FALSE))-(IF('Informe Kelly'!H386=$A$2,'Informe Kelly'!F386,VLOOKUP(D392,$D$2:$E$4,2,FALSE)))</f>
        <v>#N/A</v>
      </c>
      <c r="F392" s="142" t="e">
        <f>IF('Informe Kelly'!H386=$A$3,'Informe Kelly'!F386,VLOOKUP(D392,$D$2:$F$4,3,FALSE))-(VLOOKUP(D392,$D$2:$F$4,3,FALSE))</f>
        <v>#N/A</v>
      </c>
      <c r="G392" s="137" t="e">
        <f t="shared" si="9"/>
        <v>#N/A</v>
      </c>
    </row>
    <row r="393" spans="1:7">
      <c r="A393" s="112" t="str">
        <f>VLOOKUP('Informe Kelly'!A387,Base!A:B,2,FALSE)</f>
        <v>08.085.825-6</v>
      </c>
      <c r="B393" s="112" t="str">
        <f>VLOOKUP('Informe Kelly'!A387,Base!A:G,7,FALSE)</f>
        <v>SANHUEZA CUBILLOS ANTONIO ACISCLO</v>
      </c>
      <c r="C393" s="112" t="str">
        <f>'Informe Kelly'!E387</f>
        <v>04.04.2011</v>
      </c>
      <c r="D393" s="112" t="e">
        <f>VLOOKUP(A393,Ingreso!K:P,6,FALSE)</f>
        <v>#N/A</v>
      </c>
      <c r="E393" s="142" t="e">
        <f>(VLOOKUP(D393,$D$2:$E$4,2,FALSE))-(IF('Informe Kelly'!H387=$A$2,'Informe Kelly'!F387,VLOOKUP(D393,$D$2:$E$4,2,FALSE)))</f>
        <v>#N/A</v>
      </c>
      <c r="F393" s="142" t="e">
        <f>IF('Informe Kelly'!H387=$A$3,'Informe Kelly'!F387,VLOOKUP(D393,$D$2:$F$4,3,FALSE))-(VLOOKUP(D393,$D$2:$F$4,3,FALSE))</f>
        <v>#N/A</v>
      </c>
      <c r="G393" s="137" t="e">
        <f t="shared" ref="G393:G456" si="10">IF(E393="",IF(F393&lt;0.0409722222222222,0,E393),IF(E393&lt;0.0409722222222222,0,E393))</f>
        <v>#N/A</v>
      </c>
    </row>
    <row r="394" spans="1:7">
      <c r="A394" s="112" t="str">
        <f>VLOOKUP('Informe Kelly'!A388,Base!A:B,2,FALSE)</f>
        <v>08.085.825-6</v>
      </c>
      <c r="B394" s="112" t="str">
        <f>VLOOKUP('Informe Kelly'!A388,Base!A:G,7,FALSE)</f>
        <v>SANHUEZA CUBILLOS ANTONIO ACISCLO</v>
      </c>
      <c r="C394" s="112" t="str">
        <f>'Informe Kelly'!E388</f>
        <v>04.04.2011</v>
      </c>
      <c r="D394" s="112" t="e">
        <f>VLOOKUP(A394,Ingreso!K:P,6,FALSE)</f>
        <v>#N/A</v>
      </c>
      <c r="E394" s="142" t="e">
        <f>(VLOOKUP(D394,$D$2:$E$4,2,FALSE))-(IF('Informe Kelly'!H388=$A$2,'Informe Kelly'!F388,VLOOKUP(D394,$D$2:$E$4,2,FALSE)))</f>
        <v>#N/A</v>
      </c>
      <c r="F394" s="142" t="e">
        <f>IF('Informe Kelly'!H388=$A$3,'Informe Kelly'!F388,VLOOKUP(D394,$D$2:$F$4,3,FALSE))-(VLOOKUP(D394,$D$2:$F$4,3,FALSE))</f>
        <v>#N/A</v>
      </c>
      <c r="G394" s="137" t="e">
        <f t="shared" si="10"/>
        <v>#N/A</v>
      </c>
    </row>
    <row r="395" spans="1:7">
      <c r="A395" s="112" t="str">
        <f>VLOOKUP('Informe Kelly'!A389,Base!A:B,2,FALSE)</f>
        <v>08.085.825-6</v>
      </c>
      <c r="B395" s="112" t="str">
        <f>VLOOKUP('Informe Kelly'!A389,Base!A:G,7,FALSE)</f>
        <v>SANHUEZA CUBILLOS ANTONIO ACISCLO</v>
      </c>
      <c r="C395" s="112" t="str">
        <f>'Informe Kelly'!E389</f>
        <v>05.04.2011</v>
      </c>
      <c r="D395" s="112" t="e">
        <f>VLOOKUP(A395,Ingreso!K:P,6,FALSE)</f>
        <v>#N/A</v>
      </c>
      <c r="E395" s="142" t="e">
        <f>(VLOOKUP(D395,$D$2:$E$4,2,FALSE))-(IF('Informe Kelly'!H389=$A$2,'Informe Kelly'!F389,VLOOKUP(D395,$D$2:$E$4,2,FALSE)))</f>
        <v>#N/A</v>
      </c>
      <c r="F395" s="142" t="e">
        <f>IF('Informe Kelly'!H389=$A$3,'Informe Kelly'!F389,VLOOKUP(D395,$D$2:$F$4,3,FALSE))-(VLOOKUP(D395,$D$2:$F$4,3,FALSE))</f>
        <v>#N/A</v>
      </c>
      <c r="G395" s="137" t="e">
        <f t="shared" si="10"/>
        <v>#N/A</v>
      </c>
    </row>
    <row r="396" spans="1:7">
      <c r="A396" s="112" t="str">
        <f>VLOOKUP('Informe Kelly'!A390,Base!A:B,2,FALSE)</f>
        <v>08.085.825-6</v>
      </c>
      <c r="B396" s="112" t="str">
        <f>VLOOKUP('Informe Kelly'!A390,Base!A:G,7,FALSE)</f>
        <v>SANHUEZA CUBILLOS ANTONIO ACISCLO</v>
      </c>
      <c r="C396" s="112" t="str">
        <f>'Informe Kelly'!E390</f>
        <v>05.04.2011</v>
      </c>
      <c r="D396" s="112" t="e">
        <f>VLOOKUP(A396,Ingreso!K:P,6,FALSE)</f>
        <v>#N/A</v>
      </c>
      <c r="E396" s="142" t="e">
        <f>(VLOOKUP(D396,$D$2:$E$4,2,FALSE))-(IF('Informe Kelly'!H390=$A$2,'Informe Kelly'!F390,VLOOKUP(D396,$D$2:$E$4,2,FALSE)))</f>
        <v>#N/A</v>
      </c>
      <c r="F396" s="142" t="e">
        <f>IF('Informe Kelly'!H390=$A$3,'Informe Kelly'!F390,VLOOKUP(D396,$D$2:$F$4,3,FALSE))-(VLOOKUP(D396,$D$2:$F$4,3,FALSE))</f>
        <v>#N/A</v>
      </c>
      <c r="G396" s="137" t="e">
        <f t="shared" si="10"/>
        <v>#N/A</v>
      </c>
    </row>
    <row r="397" spans="1:7">
      <c r="A397" s="112" t="str">
        <f>VLOOKUP('Informe Kelly'!A391,Base!A:B,2,FALSE)</f>
        <v>08.085.825-6</v>
      </c>
      <c r="B397" s="112" t="str">
        <f>VLOOKUP('Informe Kelly'!A391,Base!A:G,7,FALSE)</f>
        <v>SANHUEZA CUBILLOS ANTONIO ACISCLO</v>
      </c>
      <c r="C397" s="112" t="str">
        <f>'Informe Kelly'!E391</f>
        <v>06.04.2011</v>
      </c>
      <c r="D397" s="112" t="e">
        <f>VLOOKUP(A397,Ingreso!K:P,6,FALSE)</f>
        <v>#N/A</v>
      </c>
      <c r="E397" s="142" t="e">
        <f>(VLOOKUP(D397,$D$2:$E$4,2,FALSE))-(IF('Informe Kelly'!H391=$A$2,'Informe Kelly'!F391,VLOOKUP(D397,$D$2:$E$4,2,FALSE)))</f>
        <v>#N/A</v>
      </c>
      <c r="F397" s="142" t="e">
        <f>IF('Informe Kelly'!H391=$A$3,'Informe Kelly'!F391,VLOOKUP(D397,$D$2:$F$4,3,FALSE))-(VLOOKUP(D397,$D$2:$F$4,3,FALSE))</f>
        <v>#N/A</v>
      </c>
      <c r="G397" s="137" t="e">
        <f t="shared" si="10"/>
        <v>#N/A</v>
      </c>
    </row>
    <row r="398" spans="1:7">
      <c r="A398" s="112" t="str">
        <f>VLOOKUP('Informe Kelly'!A392,Base!A:B,2,FALSE)</f>
        <v>08.085.825-6</v>
      </c>
      <c r="B398" s="112" t="str">
        <f>VLOOKUP('Informe Kelly'!A392,Base!A:G,7,FALSE)</f>
        <v>SANHUEZA CUBILLOS ANTONIO ACISCLO</v>
      </c>
      <c r="C398" s="112" t="str">
        <f>'Informe Kelly'!E392</f>
        <v>06.04.2011</v>
      </c>
      <c r="D398" s="112" t="e">
        <f>VLOOKUP(A398,Ingreso!K:P,6,FALSE)</f>
        <v>#N/A</v>
      </c>
      <c r="E398" s="142" t="e">
        <f>(VLOOKUP(D398,$D$2:$E$4,2,FALSE))-(IF('Informe Kelly'!H392=$A$2,'Informe Kelly'!F392,VLOOKUP(D398,$D$2:$E$4,2,FALSE)))</f>
        <v>#N/A</v>
      </c>
      <c r="F398" s="142" t="e">
        <f>IF('Informe Kelly'!H392=$A$3,'Informe Kelly'!F392,VLOOKUP(D398,$D$2:$F$4,3,FALSE))-(VLOOKUP(D398,$D$2:$F$4,3,FALSE))</f>
        <v>#N/A</v>
      </c>
      <c r="G398" s="137" t="e">
        <f t="shared" si="10"/>
        <v>#N/A</v>
      </c>
    </row>
    <row r="399" spans="1:7">
      <c r="A399" s="112" t="str">
        <f>VLOOKUP('Informe Kelly'!A393,Base!A:B,2,FALSE)</f>
        <v>08.085.825-6</v>
      </c>
      <c r="B399" s="112" t="str">
        <f>VLOOKUP('Informe Kelly'!A393,Base!A:G,7,FALSE)</f>
        <v>SANHUEZA CUBILLOS ANTONIO ACISCLO</v>
      </c>
      <c r="C399" s="112" t="str">
        <f>'Informe Kelly'!E393</f>
        <v>07.04.2011</v>
      </c>
      <c r="D399" s="112" t="e">
        <f>VLOOKUP(A399,Ingreso!K:P,6,FALSE)</f>
        <v>#N/A</v>
      </c>
      <c r="E399" s="142" t="e">
        <f>(VLOOKUP(D399,$D$2:$E$4,2,FALSE))-(IF('Informe Kelly'!H393=$A$2,'Informe Kelly'!F393,VLOOKUP(D399,$D$2:$E$4,2,FALSE)))</f>
        <v>#N/A</v>
      </c>
      <c r="F399" s="142" t="e">
        <f>IF('Informe Kelly'!H393=$A$3,'Informe Kelly'!F393,VLOOKUP(D399,$D$2:$F$4,3,FALSE))-(VLOOKUP(D399,$D$2:$F$4,3,FALSE))</f>
        <v>#N/A</v>
      </c>
      <c r="G399" s="137" t="e">
        <f t="shared" si="10"/>
        <v>#N/A</v>
      </c>
    </row>
    <row r="400" spans="1:7">
      <c r="A400" s="112" t="str">
        <f>VLOOKUP('Informe Kelly'!A394,Base!A:B,2,FALSE)</f>
        <v>08.085.825-6</v>
      </c>
      <c r="B400" s="112" t="str">
        <f>VLOOKUP('Informe Kelly'!A394,Base!A:G,7,FALSE)</f>
        <v>SANHUEZA CUBILLOS ANTONIO ACISCLO</v>
      </c>
      <c r="C400" s="112" t="str">
        <f>'Informe Kelly'!E394</f>
        <v>07.04.2011</v>
      </c>
      <c r="D400" s="112" t="e">
        <f>VLOOKUP(A400,Ingreso!K:P,6,FALSE)</f>
        <v>#N/A</v>
      </c>
      <c r="E400" s="142" t="e">
        <f>(VLOOKUP(D400,$D$2:$E$4,2,FALSE))-(IF('Informe Kelly'!H394=$A$2,'Informe Kelly'!F394,VLOOKUP(D400,$D$2:$E$4,2,FALSE)))</f>
        <v>#N/A</v>
      </c>
      <c r="F400" s="142" t="e">
        <f>IF('Informe Kelly'!H394=$A$3,'Informe Kelly'!F394,VLOOKUP(D400,$D$2:$F$4,3,FALSE))-(VLOOKUP(D400,$D$2:$F$4,3,FALSE))</f>
        <v>#N/A</v>
      </c>
      <c r="G400" s="137" t="e">
        <f t="shared" si="10"/>
        <v>#N/A</v>
      </c>
    </row>
    <row r="401" spans="1:7">
      <c r="A401" s="112" t="str">
        <f>VLOOKUP('Informe Kelly'!A395,Base!A:B,2,FALSE)</f>
        <v>08.085.825-6</v>
      </c>
      <c r="B401" s="112" t="str">
        <f>VLOOKUP('Informe Kelly'!A395,Base!A:G,7,FALSE)</f>
        <v>SANHUEZA CUBILLOS ANTONIO ACISCLO</v>
      </c>
      <c r="C401" s="112" t="str">
        <f>'Informe Kelly'!E395</f>
        <v>08.04.2011</v>
      </c>
      <c r="D401" s="112" t="e">
        <f>VLOOKUP(A401,Ingreso!K:P,6,FALSE)</f>
        <v>#N/A</v>
      </c>
      <c r="E401" s="142" t="e">
        <f>(VLOOKUP(D401,$D$2:$E$4,2,FALSE))-(IF('Informe Kelly'!H395=$A$2,'Informe Kelly'!F395,VLOOKUP(D401,$D$2:$E$4,2,FALSE)))</f>
        <v>#N/A</v>
      </c>
      <c r="F401" s="142" t="e">
        <f>IF('Informe Kelly'!H395=$A$3,'Informe Kelly'!F395,VLOOKUP(D401,$D$2:$F$4,3,FALSE))-(VLOOKUP(D401,$D$2:$F$4,3,FALSE))</f>
        <v>#N/A</v>
      </c>
      <c r="G401" s="137" t="e">
        <f t="shared" si="10"/>
        <v>#N/A</v>
      </c>
    </row>
    <row r="402" spans="1:7">
      <c r="A402" s="112" t="str">
        <f>VLOOKUP('Informe Kelly'!A396,Base!A:B,2,FALSE)</f>
        <v>08.085.825-6</v>
      </c>
      <c r="B402" s="112" t="str">
        <f>VLOOKUP('Informe Kelly'!A396,Base!A:G,7,FALSE)</f>
        <v>SANHUEZA CUBILLOS ANTONIO ACISCLO</v>
      </c>
      <c r="C402" s="112" t="str">
        <f>'Informe Kelly'!E396</f>
        <v>08.04.2011</v>
      </c>
      <c r="D402" s="112" t="e">
        <f>VLOOKUP(A402,Ingreso!K:P,6,FALSE)</f>
        <v>#N/A</v>
      </c>
      <c r="E402" s="142" t="e">
        <f>(VLOOKUP(D402,$D$2:$E$4,2,FALSE))-(IF('Informe Kelly'!H396=$A$2,'Informe Kelly'!F396,VLOOKUP(D402,$D$2:$E$4,2,FALSE)))</f>
        <v>#N/A</v>
      </c>
      <c r="F402" s="142" t="e">
        <f>IF('Informe Kelly'!H396=$A$3,'Informe Kelly'!F396,VLOOKUP(D402,$D$2:$F$4,3,FALSE))-(VLOOKUP(D402,$D$2:$F$4,3,FALSE))</f>
        <v>#N/A</v>
      </c>
      <c r="G402" s="137" t="e">
        <f t="shared" si="10"/>
        <v>#N/A</v>
      </c>
    </row>
    <row r="403" spans="1:7">
      <c r="A403" s="112" t="str">
        <f>VLOOKUP('Informe Kelly'!A397,Base!A:B,2,FALSE)</f>
        <v>08.085.825-6</v>
      </c>
      <c r="B403" s="112" t="str">
        <f>VLOOKUP('Informe Kelly'!A397,Base!A:G,7,FALSE)</f>
        <v>SANHUEZA CUBILLOS ANTONIO ACISCLO</v>
      </c>
      <c r="C403" s="112" t="str">
        <f>'Informe Kelly'!E397</f>
        <v>09.04.2011</v>
      </c>
      <c r="D403" s="112" t="e">
        <f>VLOOKUP(A403,Ingreso!K:P,6,FALSE)</f>
        <v>#N/A</v>
      </c>
      <c r="E403" s="142" t="e">
        <f>(VLOOKUP(D403,$D$2:$E$4,2,FALSE))-(IF('Informe Kelly'!H397=$A$2,'Informe Kelly'!F397,VLOOKUP(D403,$D$2:$E$4,2,FALSE)))</f>
        <v>#N/A</v>
      </c>
      <c r="F403" s="142" t="e">
        <f>IF('Informe Kelly'!H397=$A$3,'Informe Kelly'!F397,VLOOKUP(D403,$D$2:$F$4,3,FALSE))-(VLOOKUP(D403,$D$2:$F$4,3,FALSE))</f>
        <v>#N/A</v>
      </c>
      <c r="G403" s="137" t="e">
        <f t="shared" si="10"/>
        <v>#N/A</v>
      </c>
    </row>
    <row r="404" spans="1:7">
      <c r="A404" s="112" t="str">
        <f>VLOOKUP('Informe Kelly'!A398,Base!A:B,2,FALSE)</f>
        <v>08.085.825-6</v>
      </c>
      <c r="B404" s="112" t="str">
        <f>VLOOKUP('Informe Kelly'!A398,Base!A:G,7,FALSE)</f>
        <v>SANHUEZA CUBILLOS ANTONIO ACISCLO</v>
      </c>
      <c r="C404" s="112" t="str">
        <f>'Informe Kelly'!E398</f>
        <v>09.04.2011</v>
      </c>
      <c r="D404" s="112" t="e">
        <f>VLOOKUP(A404,Ingreso!K:P,6,FALSE)</f>
        <v>#N/A</v>
      </c>
      <c r="E404" s="142" t="e">
        <f>(VLOOKUP(D404,$D$2:$E$4,2,FALSE))-(IF('Informe Kelly'!H398=$A$2,'Informe Kelly'!F398,VLOOKUP(D404,$D$2:$E$4,2,FALSE)))</f>
        <v>#N/A</v>
      </c>
      <c r="F404" s="142" t="e">
        <f>IF('Informe Kelly'!H398=$A$3,'Informe Kelly'!F398,VLOOKUP(D404,$D$2:$F$4,3,FALSE))-(VLOOKUP(D404,$D$2:$F$4,3,FALSE))</f>
        <v>#N/A</v>
      </c>
      <c r="G404" s="137" t="e">
        <f t="shared" si="10"/>
        <v>#N/A</v>
      </c>
    </row>
    <row r="405" spans="1:7">
      <c r="A405" s="112" t="str">
        <f>VLOOKUP('Informe Kelly'!A399,Base!A:B,2,FALSE)</f>
        <v>08.110.698-3</v>
      </c>
      <c r="B405" s="112" t="str">
        <f>VLOOKUP('Informe Kelly'!A399,Base!A:G,7,FALSE)</f>
        <v>GUZMAN CASTAÑEDA XIMENA DEL ROSARIO</v>
      </c>
      <c r="C405" s="112" t="str">
        <f>'Informe Kelly'!E399</f>
        <v>04.04.2011</v>
      </c>
      <c r="D405" s="112" t="e">
        <f>VLOOKUP(A405,Ingreso!K:P,6,FALSE)</f>
        <v>#N/A</v>
      </c>
      <c r="E405" s="142" t="e">
        <f>(VLOOKUP(D405,$D$2:$E$4,2,FALSE))-(IF('Informe Kelly'!H399=$A$2,'Informe Kelly'!F399,VLOOKUP(D405,$D$2:$E$4,2,FALSE)))</f>
        <v>#N/A</v>
      </c>
      <c r="F405" s="142" t="e">
        <f>IF('Informe Kelly'!H399=$A$3,'Informe Kelly'!F399,VLOOKUP(D405,$D$2:$F$4,3,FALSE))-(VLOOKUP(D405,$D$2:$F$4,3,FALSE))</f>
        <v>#N/A</v>
      </c>
      <c r="G405" s="137" t="e">
        <f t="shared" si="10"/>
        <v>#N/A</v>
      </c>
    </row>
    <row r="406" spans="1:7">
      <c r="A406" s="112" t="str">
        <f>VLOOKUP('Informe Kelly'!A400,Base!A:B,2,FALSE)</f>
        <v>08.110.698-3</v>
      </c>
      <c r="B406" s="112" t="str">
        <f>VLOOKUP('Informe Kelly'!A400,Base!A:G,7,FALSE)</f>
        <v>GUZMAN CASTAÑEDA XIMENA DEL ROSARIO</v>
      </c>
      <c r="C406" s="112" t="str">
        <f>'Informe Kelly'!E400</f>
        <v>04.04.2011</v>
      </c>
      <c r="D406" s="112" t="e">
        <f>VLOOKUP(A406,Ingreso!K:P,6,FALSE)</f>
        <v>#N/A</v>
      </c>
      <c r="E406" s="142" t="e">
        <f>(VLOOKUP(D406,$D$2:$E$4,2,FALSE))-(IF('Informe Kelly'!H400=$A$2,'Informe Kelly'!F400,VLOOKUP(D406,$D$2:$E$4,2,FALSE)))</f>
        <v>#N/A</v>
      </c>
      <c r="F406" s="142" t="e">
        <f>IF('Informe Kelly'!H400=$A$3,'Informe Kelly'!F400,VLOOKUP(D406,$D$2:$F$4,3,FALSE))-(VLOOKUP(D406,$D$2:$F$4,3,FALSE))</f>
        <v>#N/A</v>
      </c>
      <c r="G406" s="137" t="e">
        <f t="shared" si="10"/>
        <v>#N/A</v>
      </c>
    </row>
    <row r="407" spans="1:7">
      <c r="A407" s="112" t="str">
        <f>VLOOKUP('Informe Kelly'!A401,Base!A:B,2,FALSE)</f>
        <v>08.110.698-3</v>
      </c>
      <c r="B407" s="112" t="str">
        <f>VLOOKUP('Informe Kelly'!A401,Base!A:G,7,FALSE)</f>
        <v>GUZMAN CASTAÑEDA XIMENA DEL ROSARIO</v>
      </c>
      <c r="C407" s="112" t="str">
        <f>'Informe Kelly'!E401</f>
        <v>05.04.2011</v>
      </c>
      <c r="D407" s="112" t="e">
        <f>VLOOKUP(A407,Ingreso!K:P,6,FALSE)</f>
        <v>#N/A</v>
      </c>
      <c r="E407" s="142" t="e">
        <f>(VLOOKUP(D407,$D$2:$E$4,2,FALSE))-(IF('Informe Kelly'!H401=$A$2,'Informe Kelly'!F401,VLOOKUP(D407,$D$2:$E$4,2,FALSE)))</f>
        <v>#N/A</v>
      </c>
      <c r="F407" s="142" t="e">
        <f>IF('Informe Kelly'!H401=$A$3,'Informe Kelly'!F401,VLOOKUP(D407,$D$2:$F$4,3,FALSE))-(VLOOKUP(D407,$D$2:$F$4,3,FALSE))</f>
        <v>#N/A</v>
      </c>
      <c r="G407" s="137" t="e">
        <f t="shared" si="10"/>
        <v>#N/A</v>
      </c>
    </row>
    <row r="408" spans="1:7">
      <c r="A408" s="112" t="str">
        <f>VLOOKUP('Informe Kelly'!A402,Base!A:B,2,FALSE)</f>
        <v>08.110.698-3</v>
      </c>
      <c r="B408" s="112" t="str">
        <f>VLOOKUP('Informe Kelly'!A402,Base!A:G,7,FALSE)</f>
        <v>GUZMAN CASTAÑEDA XIMENA DEL ROSARIO</v>
      </c>
      <c r="C408" s="112" t="str">
        <f>'Informe Kelly'!E402</f>
        <v>05.04.2011</v>
      </c>
      <c r="D408" s="112" t="e">
        <f>VLOOKUP(A408,Ingreso!K:P,6,FALSE)</f>
        <v>#N/A</v>
      </c>
      <c r="E408" s="142" t="e">
        <f>(VLOOKUP(D408,$D$2:$E$4,2,FALSE))-(IF('Informe Kelly'!H402=$A$2,'Informe Kelly'!F402,VLOOKUP(D408,$D$2:$E$4,2,FALSE)))</f>
        <v>#N/A</v>
      </c>
      <c r="F408" s="142" t="e">
        <f>IF('Informe Kelly'!H402=$A$3,'Informe Kelly'!F402,VLOOKUP(D408,$D$2:$F$4,3,FALSE))-(VLOOKUP(D408,$D$2:$F$4,3,FALSE))</f>
        <v>#N/A</v>
      </c>
      <c r="G408" s="137" t="e">
        <f t="shared" si="10"/>
        <v>#N/A</v>
      </c>
    </row>
    <row r="409" spans="1:7">
      <c r="A409" s="112" t="str">
        <f>VLOOKUP('Informe Kelly'!A403,Base!A:B,2,FALSE)</f>
        <v>08.110.698-3</v>
      </c>
      <c r="B409" s="112" t="str">
        <f>VLOOKUP('Informe Kelly'!A403,Base!A:G,7,FALSE)</f>
        <v>GUZMAN CASTAÑEDA XIMENA DEL ROSARIO</v>
      </c>
      <c r="C409" s="112" t="str">
        <f>'Informe Kelly'!E403</f>
        <v>06.04.2011</v>
      </c>
      <c r="D409" s="112" t="e">
        <f>VLOOKUP(A409,Ingreso!K:P,6,FALSE)</f>
        <v>#N/A</v>
      </c>
      <c r="E409" s="142" t="e">
        <f>(VLOOKUP(D409,$D$2:$E$4,2,FALSE))-(IF('Informe Kelly'!H403=$A$2,'Informe Kelly'!F403,VLOOKUP(D409,$D$2:$E$4,2,FALSE)))</f>
        <v>#N/A</v>
      </c>
      <c r="F409" s="142" t="e">
        <f>IF('Informe Kelly'!H403=$A$3,'Informe Kelly'!F403,VLOOKUP(D409,$D$2:$F$4,3,FALSE))-(VLOOKUP(D409,$D$2:$F$4,3,FALSE))</f>
        <v>#N/A</v>
      </c>
      <c r="G409" s="137" t="e">
        <f t="shared" si="10"/>
        <v>#N/A</v>
      </c>
    </row>
    <row r="410" spans="1:7">
      <c r="A410" s="112" t="str">
        <f>VLOOKUP('Informe Kelly'!A404,Base!A:B,2,FALSE)</f>
        <v>08.110.698-3</v>
      </c>
      <c r="B410" s="112" t="str">
        <f>VLOOKUP('Informe Kelly'!A404,Base!A:G,7,FALSE)</f>
        <v>GUZMAN CASTAÑEDA XIMENA DEL ROSARIO</v>
      </c>
      <c r="C410" s="112" t="str">
        <f>'Informe Kelly'!E404</f>
        <v>06.04.2011</v>
      </c>
      <c r="D410" s="112" t="e">
        <f>VLOOKUP(A410,Ingreso!K:P,6,FALSE)</f>
        <v>#N/A</v>
      </c>
      <c r="E410" s="142" t="e">
        <f>(VLOOKUP(D410,$D$2:$E$4,2,FALSE))-(IF('Informe Kelly'!H404=$A$2,'Informe Kelly'!F404,VLOOKUP(D410,$D$2:$E$4,2,FALSE)))</f>
        <v>#N/A</v>
      </c>
      <c r="F410" s="142" t="e">
        <f>IF('Informe Kelly'!H404=$A$3,'Informe Kelly'!F404,VLOOKUP(D410,$D$2:$F$4,3,FALSE))-(VLOOKUP(D410,$D$2:$F$4,3,FALSE))</f>
        <v>#N/A</v>
      </c>
      <c r="G410" s="137" t="e">
        <f t="shared" si="10"/>
        <v>#N/A</v>
      </c>
    </row>
    <row r="411" spans="1:7">
      <c r="A411" s="112" t="str">
        <f>VLOOKUP('Informe Kelly'!A405,Base!A:B,2,FALSE)</f>
        <v>08.110.698-3</v>
      </c>
      <c r="B411" s="112" t="str">
        <f>VLOOKUP('Informe Kelly'!A405,Base!A:G,7,FALSE)</f>
        <v>GUZMAN CASTAÑEDA XIMENA DEL ROSARIO</v>
      </c>
      <c r="C411" s="112" t="str">
        <f>'Informe Kelly'!E405</f>
        <v>07.04.2011</v>
      </c>
      <c r="D411" s="112" t="e">
        <f>VLOOKUP(A411,Ingreso!K:P,6,FALSE)</f>
        <v>#N/A</v>
      </c>
      <c r="E411" s="142" t="e">
        <f>(VLOOKUP(D411,$D$2:$E$4,2,FALSE))-(IF('Informe Kelly'!H405=$A$2,'Informe Kelly'!F405,VLOOKUP(D411,$D$2:$E$4,2,FALSE)))</f>
        <v>#N/A</v>
      </c>
      <c r="F411" s="142" t="e">
        <f>IF('Informe Kelly'!H405=$A$3,'Informe Kelly'!F405,VLOOKUP(D411,$D$2:$F$4,3,FALSE))-(VLOOKUP(D411,$D$2:$F$4,3,FALSE))</f>
        <v>#N/A</v>
      </c>
      <c r="G411" s="137" t="e">
        <f t="shared" si="10"/>
        <v>#N/A</v>
      </c>
    </row>
    <row r="412" spans="1:7">
      <c r="A412" s="112" t="str">
        <f>VLOOKUP('Informe Kelly'!A406,Base!A:B,2,FALSE)</f>
        <v>08.110.698-3</v>
      </c>
      <c r="B412" s="112" t="str">
        <f>VLOOKUP('Informe Kelly'!A406,Base!A:G,7,FALSE)</f>
        <v>GUZMAN CASTAÑEDA XIMENA DEL ROSARIO</v>
      </c>
      <c r="C412" s="112" t="str">
        <f>'Informe Kelly'!E406</f>
        <v>07.04.2011</v>
      </c>
      <c r="D412" s="112" t="e">
        <f>VLOOKUP(A412,Ingreso!K:P,6,FALSE)</f>
        <v>#N/A</v>
      </c>
      <c r="E412" s="142" t="e">
        <f>(VLOOKUP(D412,$D$2:$E$4,2,FALSE))-(IF('Informe Kelly'!H406=$A$2,'Informe Kelly'!F406,VLOOKUP(D412,$D$2:$E$4,2,FALSE)))</f>
        <v>#N/A</v>
      </c>
      <c r="F412" s="142" t="e">
        <f>IF('Informe Kelly'!H406=$A$3,'Informe Kelly'!F406,VLOOKUP(D412,$D$2:$F$4,3,FALSE))-(VLOOKUP(D412,$D$2:$F$4,3,FALSE))</f>
        <v>#N/A</v>
      </c>
      <c r="G412" s="137" t="e">
        <f t="shared" si="10"/>
        <v>#N/A</v>
      </c>
    </row>
    <row r="413" spans="1:7">
      <c r="A413" s="112" t="str">
        <f>VLOOKUP('Informe Kelly'!A407,Base!A:B,2,FALSE)</f>
        <v>08.110.698-3</v>
      </c>
      <c r="B413" s="112" t="str">
        <f>VLOOKUP('Informe Kelly'!A407,Base!A:G,7,FALSE)</f>
        <v>GUZMAN CASTAÑEDA XIMENA DEL ROSARIO</v>
      </c>
      <c r="C413" s="112" t="str">
        <f>'Informe Kelly'!E407</f>
        <v>08.04.2011</v>
      </c>
      <c r="D413" s="112" t="e">
        <f>VLOOKUP(A413,Ingreso!K:P,6,FALSE)</f>
        <v>#N/A</v>
      </c>
      <c r="E413" s="142" t="e">
        <f>(VLOOKUP(D413,$D$2:$E$4,2,FALSE))-(IF('Informe Kelly'!H407=$A$2,'Informe Kelly'!F407,VLOOKUP(D413,$D$2:$E$4,2,FALSE)))</f>
        <v>#N/A</v>
      </c>
      <c r="F413" s="142" t="e">
        <f>IF('Informe Kelly'!H407=$A$3,'Informe Kelly'!F407,VLOOKUP(D413,$D$2:$F$4,3,FALSE))-(VLOOKUP(D413,$D$2:$F$4,3,FALSE))</f>
        <v>#N/A</v>
      </c>
      <c r="G413" s="137" t="e">
        <f t="shared" si="10"/>
        <v>#N/A</v>
      </c>
    </row>
    <row r="414" spans="1:7">
      <c r="A414" s="112" t="str">
        <f>VLOOKUP('Informe Kelly'!A408,Base!A:B,2,FALSE)</f>
        <v>08.110.698-3</v>
      </c>
      <c r="B414" s="112" t="str">
        <f>VLOOKUP('Informe Kelly'!A408,Base!A:G,7,FALSE)</f>
        <v>GUZMAN CASTAÑEDA XIMENA DEL ROSARIO</v>
      </c>
      <c r="C414" s="112" t="str">
        <f>'Informe Kelly'!E408</f>
        <v>08.04.2011</v>
      </c>
      <c r="D414" s="112" t="e">
        <f>VLOOKUP(A414,Ingreso!K:P,6,FALSE)</f>
        <v>#N/A</v>
      </c>
      <c r="E414" s="142" t="e">
        <f>(VLOOKUP(D414,$D$2:$E$4,2,FALSE))-(IF('Informe Kelly'!H408=$A$2,'Informe Kelly'!F408,VLOOKUP(D414,$D$2:$E$4,2,FALSE)))</f>
        <v>#N/A</v>
      </c>
      <c r="F414" s="142" t="e">
        <f>IF('Informe Kelly'!H408=$A$3,'Informe Kelly'!F408,VLOOKUP(D414,$D$2:$F$4,3,FALSE))-(VLOOKUP(D414,$D$2:$F$4,3,FALSE))</f>
        <v>#N/A</v>
      </c>
      <c r="G414" s="137" t="e">
        <f t="shared" si="10"/>
        <v>#N/A</v>
      </c>
    </row>
    <row r="415" spans="1:7">
      <c r="A415" s="112" t="str">
        <f>VLOOKUP('Informe Kelly'!A409,Base!A:B,2,FALSE)</f>
        <v>08.110.698-3</v>
      </c>
      <c r="B415" s="112" t="str">
        <f>VLOOKUP('Informe Kelly'!A409,Base!A:G,7,FALSE)</f>
        <v>GUZMAN CASTAÑEDA XIMENA DEL ROSARIO</v>
      </c>
      <c r="C415" s="112" t="str">
        <f>'Informe Kelly'!E409</f>
        <v>09.04.2011</v>
      </c>
      <c r="D415" s="112" t="e">
        <f>VLOOKUP(A415,Ingreso!K:P,6,FALSE)</f>
        <v>#N/A</v>
      </c>
      <c r="E415" s="142" t="e">
        <f>(VLOOKUP(D415,$D$2:$E$4,2,FALSE))-(IF('Informe Kelly'!H409=$A$2,'Informe Kelly'!F409,VLOOKUP(D415,$D$2:$E$4,2,FALSE)))</f>
        <v>#N/A</v>
      </c>
      <c r="F415" s="142" t="e">
        <f>IF('Informe Kelly'!H409=$A$3,'Informe Kelly'!F409,VLOOKUP(D415,$D$2:$F$4,3,FALSE))-(VLOOKUP(D415,$D$2:$F$4,3,FALSE))</f>
        <v>#N/A</v>
      </c>
      <c r="G415" s="137" t="e">
        <f t="shared" si="10"/>
        <v>#N/A</v>
      </c>
    </row>
    <row r="416" spans="1:7">
      <c r="A416" s="112" t="str">
        <f>VLOOKUP('Informe Kelly'!A410,Base!A:B,2,FALSE)</f>
        <v>08.110.698-3</v>
      </c>
      <c r="B416" s="112" t="str">
        <f>VLOOKUP('Informe Kelly'!A410,Base!A:G,7,FALSE)</f>
        <v>GUZMAN CASTAÑEDA XIMENA DEL ROSARIO</v>
      </c>
      <c r="C416" s="112" t="str">
        <f>'Informe Kelly'!E410</f>
        <v>09.04.2011</v>
      </c>
      <c r="D416" s="112" t="e">
        <f>VLOOKUP(A416,Ingreso!K:P,6,FALSE)</f>
        <v>#N/A</v>
      </c>
      <c r="E416" s="142" t="e">
        <f>(VLOOKUP(D416,$D$2:$E$4,2,FALSE))-(IF('Informe Kelly'!H410=$A$2,'Informe Kelly'!F410,VLOOKUP(D416,$D$2:$E$4,2,FALSE)))</f>
        <v>#N/A</v>
      </c>
      <c r="F416" s="142" t="e">
        <f>IF('Informe Kelly'!H410=$A$3,'Informe Kelly'!F410,VLOOKUP(D416,$D$2:$F$4,3,FALSE))-(VLOOKUP(D416,$D$2:$F$4,3,FALSE))</f>
        <v>#N/A</v>
      </c>
      <c r="G416" s="137" t="e">
        <f t="shared" si="10"/>
        <v>#N/A</v>
      </c>
    </row>
    <row r="417" spans="1:7">
      <c r="A417" s="112" t="str">
        <f>VLOOKUP('Informe Kelly'!A411,Base!A:B,2,FALSE)</f>
        <v>08.224.093-4</v>
      </c>
      <c r="B417" s="112" t="str">
        <f>VLOOKUP('Informe Kelly'!A411,Base!A:G,7,FALSE)</f>
        <v>ACEVEEDO MARTINEZ MARIO DEL TRANSITO</v>
      </c>
      <c r="C417" s="112" t="str">
        <f>'Informe Kelly'!E411</f>
        <v>04.04.2011</v>
      </c>
      <c r="D417" s="112" t="e">
        <f>VLOOKUP(A417,Ingreso!K:P,6,FALSE)</f>
        <v>#N/A</v>
      </c>
      <c r="E417" s="142" t="e">
        <f>(VLOOKUP(D417,$D$2:$E$4,2,FALSE))-(IF('Informe Kelly'!H411=$A$2,'Informe Kelly'!F411,VLOOKUP(D417,$D$2:$E$4,2,FALSE)))</f>
        <v>#N/A</v>
      </c>
      <c r="F417" s="142" t="e">
        <f>IF('Informe Kelly'!H411=$A$3,'Informe Kelly'!F411,VLOOKUP(D417,$D$2:$F$4,3,FALSE))-(VLOOKUP(D417,$D$2:$F$4,3,FALSE))</f>
        <v>#N/A</v>
      </c>
      <c r="G417" s="137" t="e">
        <f t="shared" si="10"/>
        <v>#N/A</v>
      </c>
    </row>
    <row r="418" spans="1:7">
      <c r="A418" s="112" t="str">
        <f>VLOOKUP('Informe Kelly'!A412,Base!A:B,2,FALSE)</f>
        <v>08.224.093-4</v>
      </c>
      <c r="B418" s="112" t="str">
        <f>VLOOKUP('Informe Kelly'!A412,Base!A:G,7,FALSE)</f>
        <v>ACEVEEDO MARTINEZ MARIO DEL TRANSITO</v>
      </c>
      <c r="C418" s="112" t="str">
        <f>'Informe Kelly'!E412</f>
        <v>04.04.2011</v>
      </c>
      <c r="D418" s="112" t="e">
        <f>VLOOKUP(A418,Ingreso!K:P,6,FALSE)</f>
        <v>#N/A</v>
      </c>
      <c r="E418" s="142" t="e">
        <f>(VLOOKUP(D418,$D$2:$E$4,2,FALSE))-(IF('Informe Kelly'!H412=$A$2,'Informe Kelly'!F412,VLOOKUP(D418,$D$2:$E$4,2,FALSE)))</f>
        <v>#N/A</v>
      </c>
      <c r="F418" s="142" t="e">
        <f>IF('Informe Kelly'!H412=$A$3,'Informe Kelly'!F412,VLOOKUP(D418,$D$2:$F$4,3,FALSE))-(VLOOKUP(D418,$D$2:$F$4,3,FALSE))</f>
        <v>#N/A</v>
      </c>
      <c r="G418" s="137" t="e">
        <f t="shared" si="10"/>
        <v>#N/A</v>
      </c>
    </row>
    <row r="419" spans="1:7">
      <c r="A419" s="112" t="str">
        <f>VLOOKUP('Informe Kelly'!A413,Base!A:B,2,FALSE)</f>
        <v>08.224.093-4</v>
      </c>
      <c r="B419" s="112" t="str">
        <f>VLOOKUP('Informe Kelly'!A413,Base!A:G,7,FALSE)</f>
        <v>ACEVEEDO MARTINEZ MARIO DEL TRANSITO</v>
      </c>
      <c r="C419" s="112" t="str">
        <f>'Informe Kelly'!E413</f>
        <v>05.04.2011</v>
      </c>
      <c r="D419" s="112" t="e">
        <f>VLOOKUP(A419,Ingreso!K:P,6,FALSE)</f>
        <v>#N/A</v>
      </c>
      <c r="E419" s="142" t="e">
        <f>(VLOOKUP(D419,$D$2:$E$4,2,FALSE))-(IF('Informe Kelly'!H413=$A$2,'Informe Kelly'!F413,VLOOKUP(D419,$D$2:$E$4,2,FALSE)))</f>
        <v>#N/A</v>
      </c>
      <c r="F419" s="142" t="e">
        <f>IF('Informe Kelly'!H413=$A$3,'Informe Kelly'!F413,VLOOKUP(D419,$D$2:$F$4,3,FALSE))-(VLOOKUP(D419,$D$2:$F$4,3,FALSE))</f>
        <v>#N/A</v>
      </c>
      <c r="G419" s="137" t="e">
        <f t="shared" si="10"/>
        <v>#N/A</v>
      </c>
    </row>
    <row r="420" spans="1:7">
      <c r="A420" s="112" t="str">
        <f>VLOOKUP('Informe Kelly'!A414,Base!A:B,2,FALSE)</f>
        <v>08.224.093-4</v>
      </c>
      <c r="B420" s="112" t="str">
        <f>VLOOKUP('Informe Kelly'!A414,Base!A:G,7,FALSE)</f>
        <v>ACEVEEDO MARTINEZ MARIO DEL TRANSITO</v>
      </c>
      <c r="C420" s="112" t="str">
        <f>'Informe Kelly'!E414</f>
        <v>05.04.2011</v>
      </c>
      <c r="D420" s="112" t="e">
        <f>VLOOKUP(A420,Ingreso!K:P,6,FALSE)</f>
        <v>#N/A</v>
      </c>
      <c r="E420" s="142" t="e">
        <f>(VLOOKUP(D420,$D$2:$E$4,2,FALSE))-(IF('Informe Kelly'!H414=$A$2,'Informe Kelly'!F414,VLOOKUP(D420,$D$2:$E$4,2,FALSE)))</f>
        <v>#N/A</v>
      </c>
      <c r="F420" s="142" t="e">
        <f>IF('Informe Kelly'!H414=$A$3,'Informe Kelly'!F414,VLOOKUP(D420,$D$2:$F$4,3,FALSE))-(VLOOKUP(D420,$D$2:$F$4,3,FALSE))</f>
        <v>#N/A</v>
      </c>
      <c r="G420" s="137" t="e">
        <f t="shared" si="10"/>
        <v>#N/A</v>
      </c>
    </row>
    <row r="421" spans="1:7">
      <c r="A421" s="112" t="str">
        <f>VLOOKUP('Informe Kelly'!A415,Base!A:B,2,FALSE)</f>
        <v>08.224.093-4</v>
      </c>
      <c r="B421" s="112" t="str">
        <f>VLOOKUP('Informe Kelly'!A415,Base!A:G,7,FALSE)</f>
        <v>ACEVEEDO MARTINEZ MARIO DEL TRANSITO</v>
      </c>
      <c r="C421" s="112" t="str">
        <f>'Informe Kelly'!E415</f>
        <v>06.04.2011</v>
      </c>
      <c r="D421" s="112" t="e">
        <f>VLOOKUP(A421,Ingreso!K:P,6,FALSE)</f>
        <v>#N/A</v>
      </c>
      <c r="E421" s="142" t="e">
        <f>(VLOOKUP(D421,$D$2:$E$4,2,FALSE))-(IF('Informe Kelly'!H415=$A$2,'Informe Kelly'!F415,VLOOKUP(D421,$D$2:$E$4,2,FALSE)))</f>
        <v>#N/A</v>
      </c>
      <c r="F421" s="142" t="e">
        <f>IF('Informe Kelly'!H415=$A$3,'Informe Kelly'!F415,VLOOKUP(D421,$D$2:$F$4,3,FALSE))-(VLOOKUP(D421,$D$2:$F$4,3,FALSE))</f>
        <v>#N/A</v>
      </c>
      <c r="G421" s="137" t="e">
        <f t="shared" si="10"/>
        <v>#N/A</v>
      </c>
    </row>
    <row r="422" spans="1:7">
      <c r="A422" s="112" t="str">
        <f>VLOOKUP('Informe Kelly'!A416,Base!A:B,2,FALSE)</f>
        <v>08.224.093-4</v>
      </c>
      <c r="B422" s="112" t="str">
        <f>VLOOKUP('Informe Kelly'!A416,Base!A:G,7,FALSE)</f>
        <v>ACEVEEDO MARTINEZ MARIO DEL TRANSITO</v>
      </c>
      <c r="C422" s="112" t="str">
        <f>'Informe Kelly'!E416</f>
        <v>06.04.2011</v>
      </c>
      <c r="D422" s="112" t="e">
        <f>VLOOKUP(A422,Ingreso!K:P,6,FALSE)</f>
        <v>#N/A</v>
      </c>
      <c r="E422" s="142" t="e">
        <f>(VLOOKUP(D422,$D$2:$E$4,2,FALSE))-(IF('Informe Kelly'!H416=$A$2,'Informe Kelly'!F416,VLOOKUP(D422,$D$2:$E$4,2,FALSE)))</f>
        <v>#N/A</v>
      </c>
      <c r="F422" s="142" t="e">
        <f>IF('Informe Kelly'!H416=$A$3,'Informe Kelly'!F416,VLOOKUP(D422,$D$2:$F$4,3,FALSE))-(VLOOKUP(D422,$D$2:$F$4,3,FALSE))</f>
        <v>#N/A</v>
      </c>
      <c r="G422" s="137" t="e">
        <f t="shared" si="10"/>
        <v>#N/A</v>
      </c>
    </row>
    <row r="423" spans="1:7">
      <c r="A423" s="112" t="str">
        <f>VLOOKUP('Informe Kelly'!A417,Base!A:B,2,FALSE)</f>
        <v>08.224.093-4</v>
      </c>
      <c r="B423" s="112" t="str">
        <f>VLOOKUP('Informe Kelly'!A417,Base!A:G,7,FALSE)</f>
        <v>ACEVEEDO MARTINEZ MARIO DEL TRANSITO</v>
      </c>
      <c r="C423" s="112" t="str">
        <f>'Informe Kelly'!E417</f>
        <v>07.04.2011</v>
      </c>
      <c r="D423" s="112" t="e">
        <f>VLOOKUP(A423,Ingreso!K:P,6,FALSE)</f>
        <v>#N/A</v>
      </c>
      <c r="E423" s="142" t="e">
        <f>(VLOOKUP(D423,$D$2:$E$4,2,FALSE))-(IF('Informe Kelly'!H417=$A$2,'Informe Kelly'!F417,VLOOKUP(D423,$D$2:$E$4,2,FALSE)))</f>
        <v>#N/A</v>
      </c>
      <c r="F423" s="142" t="e">
        <f>IF('Informe Kelly'!H417=$A$3,'Informe Kelly'!F417,VLOOKUP(D423,$D$2:$F$4,3,FALSE))-(VLOOKUP(D423,$D$2:$F$4,3,FALSE))</f>
        <v>#N/A</v>
      </c>
      <c r="G423" s="137" t="e">
        <f t="shared" si="10"/>
        <v>#N/A</v>
      </c>
    </row>
    <row r="424" spans="1:7">
      <c r="A424" s="112" t="str">
        <f>VLOOKUP('Informe Kelly'!A418,Base!A:B,2,FALSE)</f>
        <v>08.224.093-4</v>
      </c>
      <c r="B424" s="112" t="str">
        <f>VLOOKUP('Informe Kelly'!A418,Base!A:G,7,FALSE)</f>
        <v>ACEVEEDO MARTINEZ MARIO DEL TRANSITO</v>
      </c>
      <c r="C424" s="112" t="str">
        <f>'Informe Kelly'!E418</f>
        <v>07.04.2011</v>
      </c>
      <c r="D424" s="112" t="e">
        <f>VLOOKUP(A424,Ingreso!K:P,6,FALSE)</f>
        <v>#N/A</v>
      </c>
      <c r="E424" s="142" t="e">
        <f>(VLOOKUP(D424,$D$2:$E$4,2,FALSE))-(IF('Informe Kelly'!H418=$A$2,'Informe Kelly'!F418,VLOOKUP(D424,$D$2:$E$4,2,FALSE)))</f>
        <v>#N/A</v>
      </c>
      <c r="F424" s="142" t="e">
        <f>IF('Informe Kelly'!H418=$A$3,'Informe Kelly'!F418,VLOOKUP(D424,$D$2:$F$4,3,FALSE))-(VLOOKUP(D424,$D$2:$F$4,3,FALSE))</f>
        <v>#N/A</v>
      </c>
      <c r="G424" s="137" t="e">
        <f t="shared" si="10"/>
        <v>#N/A</v>
      </c>
    </row>
    <row r="425" spans="1:7">
      <c r="A425" s="112" t="str">
        <f>VLOOKUP('Informe Kelly'!A419,Base!A:B,2,FALSE)</f>
        <v>08.224.093-4</v>
      </c>
      <c r="B425" s="112" t="str">
        <f>VLOOKUP('Informe Kelly'!A419,Base!A:G,7,FALSE)</f>
        <v>ACEVEEDO MARTINEZ MARIO DEL TRANSITO</v>
      </c>
      <c r="C425" s="112" t="str">
        <f>'Informe Kelly'!E419</f>
        <v>08.04.2011</v>
      </c>
      <c r="D425" s="112" t="e">
        <f>VLOOKUP(A425,Ingreso!K:P,6,FALSE)</f>
        <v>#N/A</v>
      </c>
      <c r="E425" s="142" t="e">
        <f>(VLOOKUP(D425,$D$2:$E$4,2,FALSE))-(IF('Informe Kelly'!H419=$A$2,'Informe Kelly'!F419,VLOOKUP(D425,$D$2:$E$4,2,FALSE)))</f>
        <v>#N/A</v>
      </c>
      <c r="F425" s="142" t="e">
        <f>IF('Informe Kelly'!H419=$A$3,'Informe Kelly'!F419,VLOOKUP(D425,$D$2:$F$4,3,FALSE))-(VLOOKUP(D425,$D$2:$F$4,3,FALSE))</f>
        <v>#N/A</v>
      </c>
      <c r="G425" s="137" t="e">
        <f t="shared" si="10"/>
        <v>#N/A</v>
      </c>
    </row>
    <row r="426" spans="1:7">
      <c r="A426" s="112" t="str">
        <f>VLOOKUP('Informe Kelly'!A420,Base!A:B,2,FALSE)</f>
        <v>08.224.093-4</v>
      </c>
      <c r="B426" s="112" t="str">
        <f>VLOOKUP('Informe Kelly'!A420,Base!A:G,7,FALSE)</f>
        <v>ACEVEEDO MARTINEZ MARIO DEL TRANSITO</v>
      </c>
      <c r="C426" s="112" t="str">
        <f>'Informe Kelly'!E420</f>
        <v>08.04.2011</v>
      </c>
      <c r="D426" s="112" t="e">
        <f>VLOOKUP(A426,Ingreso!K:P,6,FALSE)</f>
        <v>#N/A</v>
      </c>
      <c r="E426" s="142" t="e">
        <f>(VLOOKUP(D426,$D$2:$E$4,2,FALSE))-(IF('Informe Kelly'!H420=$A$2,'Informe Kelly'!F420,VLOOKUP(D426,$D$2:$E$4,2,FALSE)))</f>
        <v>#N/A</v>
      </c>
      <c r="F426" s="142" t="e">
        <f>IF('Informe Kelly'!H420=$A$3,'Informe Kelly'!F420,VLOOKUP(D426,$D$2:$F$4,3,FALSE))-(VLOOKUP(D426,$D$2:$F$4,3,FALSE))</f>
        <v>#N/A</v>
      </c>
      <c r="G426" s="137" t="e">
        <f t="shared" si="10"/>
        <v>#N/A</v>
      </c>
    </row>
    <row r="427" spans="1:7">
      <c r="A427" s="112" t="str">
        <f>VLOOKUP('Informe Kelly'!A421,Base!A:B,2,FALSE)</f>
        <v>08.224.093-4</v>
      </c>
      <c r="B427" s="112" t="str">
        <f>VLOOKUP('Informe Kelly'!A421,Base!A:G,7,FALSE)</f>
        <v>ACEVEEDO MARTINEZ MARIO DEL TRANSITO</v>
      </c>
      <c r="C427" s="112" t="str">
        <f>'Informe Kelly'!E421</f>
        <v>09.04.2011</v>
      </c>
      <c r="D427" s="112" t="e">
        <f>VLOOKUP(A427,Ingreso!K:P,6,FALSE)</f>
        <v>#N/A</v>
      </c>
      <c r="E427" s="142" t="e">
        <f>(VLOOKUP(D427,$D$2:$E$4,2,FALSE))-(IF('Informe Kelly'!H421=$A$2,'Informe Kelly'!F421,VLOOKUP(D427,$D$2:$E$4,2,FALSE)))</f>
        <v>#N/A</v>
      </c>
      <c r="F427" s="142" t="e">
        <f>IF('Informe Kelly'!H421=$A$3,'Informe Kelly'!F421,VLOOKUP(D427,$D$2:$F$4,3,FALSE))-(VLOOKUP(D427,$D$2:$F$4,3,FALSE))</f>
        <v>#N/A</v>
      </c>
      <c r="G427" s="137" t="e">
        <f t="shared" si="10"/>
        <v>#N/A</v>
      </c>
    </row>
    <row r="428" spans="1:7">
      <c r="A428" s="112" t="str">
        <f>VLOOKUP('Informe Kelly'!A422,Base!A:B,2,FALSE)</f>
        <v>08.224.093-4</v>
      </c>
      <c r="B428" s="112" t="str">
        <f>VLOOKUP('Informe Kelly'!A422,Base!A:G,7,FALSE)</f>
        <v>ACEVEEDO MARTINEZ MARIO DEL TRANSITO</v>
      </c>
      <c r="C428" s="112" t="str">
        <f>'Informe Kelly'!E422</f>
        <v>09.04.2011</v>
      </c>
      <c r="D428" s="112" t="e">
        <f>VLOOKUP(A428,Ingreso!K:P,6,FALSE)</f>
        <v>#N/A</v>
      </c>
      <c r="E428" s="142" t="e">
        <f>(VLOOKUP(D428,$D$2:$E$4,2,FALSE))-(IF('Informe Kelly'!H422=$A$2,'Informe Kelly'!F422,VLOOKUP(D428,$D$2:$E$4,2,FALSE)))</f>
        <v>#N/A</v>
      </c>
      <c r="F428" s="142" t="e">
        <f>IF('Informe Kelly'!H422=$A$3,'Informe Kelly'!F422,VLOOKUP(D428,$D$2:$F$4,3,FALSE))-(VLOOKUP(D428,$D$2:$F$4,3,FALSE))</f>
        <v>#N/A</v>
      </c>
      <c r="G428" s="137" t="e">
        <f t="shared" si="10"/>
        <v>#N/A</v>
      </c>
    </row>
    <row r="429" spans="1:7">
      <c r="A429" s="112" t="str">
        <f>VLOOKUP('Informe Kelly'!A423,Base!A:B,2,FALSE)</f>
        <v>08.245.727-5</v>
      </c>
      <c r="B429" s="112" t="str">
        <f>VLOOKUP('Informe Kelly'!A423,Base!A:G,7,FALSE)</f>
        <v>SALINAS CUEVAS JUAN</v>
      </c>
      <c r="C429" s="112" t="str">
        <f>'Informe Kelly'!E423</f>
        <v>04.04.2011</v>
      </c>
      <c r="D429" s="112" t="e">
        <f>VLOOKUP(A429,Ingreso!K:P,6,FALSE)</f>
        <v>#N/A</v>
      </c>
      <c r="E429" s="142" t="e">
        <f>(VLOOKUP(D429,$D$2:$E$4,2,FALSE))-(IF('Informe Kelly'!H423=$A$2,'Informe Kelly'!F423,VLOOKUP(D429,$D$2:$E$4,2,FALSE)))</f>
        <v>#N/A</v>
      </c>
      <c r="F429" s="142" t="e">
        <f>IF('Informe Kelly'!H423=$A$3,'Informe Kelly'!F423,VLOOKUP(D429,$D$2:$F$4,3,FALSE))-(VLOOKUP(D429,$D$2:$F$4,3,FALSE))</f>
        <v>#N/A</v>
      </c>
      <c r="G429" s="137" t="e">
        <f t="shared" si="10"/>
        <v>#N/A</v>
      </c>
    </row>
    <row r="430" spans="1:7">
      <c r="A430" s="112" t="str">
        <f>VLOOKUP('Informe Kelly'!A424,Base!A:B,2,FALSE)</f>
        <v>08.245.727-5</v>
      </c>
      <c r="B430" s="112" t="str">
        <f>VLOOKUP('Informe Kelly'!A424,Base!A:G,7,FALSE)</f>
        <v>SALINAS CUEVAS JUAN</v>
      </c>
      <c r="C430" s="112" t="str">
        <f>'Informe Kelly'!E424</f>
        <v>04.04.2011</v>
      </c>
      <c r="D430" s="112" t="e">
        <f>VLOOKUP(A430,Ingreso!K:P,6,FALSE)</f>
        <v>#N/A</v>
      </c>
      <c r="E430" s="142" t="e">
        <f>(VLOOKUP(D430,$D$2:$E$4,2,FALSE))-(IF('Informe Kelly'!H424=$A$2,'Informe Kelly'!F424,VLOOKUP(D430,$D$2:$E$4,2,FALSE)))</f>
        <v>#N/A</v>
      </c>
      <c r="F430" s="142" t="e">
        <f>IF('Informe Kelly'!H424=$A$3,'Informe Kelly'!F424,VLOOKUP(D430,$D$2:$F$4,3,FALSE))-(VLOOKUP(D430,$D$2:$F$4,3,FALSE))</f>
        <v>#N/A</v>
      </c>
      <c r="G430" s="137" t="e">
        <f t="shared" si="10"/>
        <v>#N/A</v>
      </c>
    </row>
    <row r="431" spans="1:7">
      <c r="A431" s="112" t="str">
        <f>VLOOKUP('Informe Kelly'!A425,Base!A:B,2,FALSE)</f>
        <v>08.245.727-5</v>
      </c>
      <c r="B431" s="112" t="str">
        <f>VLOOKUP('Informe Kelly'!A425,Base!A:G,7,FALSE)</f>
        <v>SALINAS CUEVAS JUAN</v>
      </c>
      <c r="C431" s="112" t="str">
        <f>'Informe Kelly'!E425</f>
        <v>05.04.2011</v>
      </c>
      <c r="D431" s="112" t="e">
        <f>VLOOKUP(A431,Ingreso!K:P,6,FALSE)</f>
        <v>#N/A</v>
      </c>
      <c r="E431" s="142" t="e">
        <f>(VLOOKUP(D431,$D$2:$E$4,2,FALSE))-(IF('Informe Kelly'!H425=$A$2,'Informe Kelly'!F425,VLOOKUP(D431,$D$2:$E$4,2,FALSE)))</f>
        <v>#N/A</v>
      </c>
      <c r="F431" s="142" t="e">
        <f>IF('Informe Kelly'!H425=$A$3,'Informe Kelly'!F425,VLOOKUP(D431,$D$2:$F$4,3,FALSE))-(VLOOKUP(D431,$D$2:$F$4,3,FALSE))</f>
        <v>#N/A</v>
      </c>
      <c r="G431" s="137" t="e">
        <f t="shared" si="10"/>
        <v>#N/A</v>
      </c>
    </row>
    <row r="432" spans="1:7">
      <c r="A432" s="112" t="str">
        <f>VLOOKUP('Informe Kelly'!A426,Base!A:B,2,FALSE)</f>
        <v>08.245.727-5</v>
      </c>
      <c r="B432" s="112" t="str">
        <f>VLOOKUP('Informe Kelly'!A426,Base!A:G,7,FALSE)</f>
        <v>SALINAS CUEVAS JUAN</v>
      </c>
      <c r="C432" s="112" t="str">
        <f>'Informe Kelly'!E426</f>
        <v>05.04.2011</v>
      </c>
      <c r="D432" s="112" t="e">
        <f>VLOOKUP(A432,Ingreso!K:P,6,FALSE)</f>
        <v>#N/A</v>
      </c>
      <c r="E432" s="142" t="e">
        <f>(VLOOKUP(D432,$D$2:$E$4,2,FALSE))-(IF('Informe Kelly'!H426=$A$2,'Informe Kelly'!F426,VLOOKUP(D432,$D$2:$E$4,2,FALSE)))</f>
        <v>#N/A</v>
      </c>
      <c r="F432" s="142" t="e">
        <f>IF('Informe Kelly'!H426=$A$3,'Informe Kelly'!F426,VLOOKUP(D432,$D$2:$F$4,3,FALSE))-(VLOOKUP(D432,$D$2:$F$4,3,FALSE))</f>
        <v>#N/A</v>
      </c>
      <c r="G432" s="137" t="e">
        <f t="shared" si="10"/>
        <v>#N/A</v>
      </c>
    </row>
    <row r="433" spans="1:7">
      <c r="A433" s="112" t="str">
        <f>VLOOKUP('Informe Kelly'!A427,Base!A:B,2,FALSE)</f>
        <v>08.245.727-5</v>
      </c>
      <c r="B433" s="112" t="str">
        <f>VLOOKUP('Informe Kelly'!A427,Base!A:G,7,FALSE)</f>
        <v>SALINAS CUEVAS JUAN</v>
      </c>
      <c r="C433" s="112" t="str">
        <f>'Informe Kelly'!E427</f>
        <v>06.04.2011</v>
      </c>
      <c r="D433" s="112" t="e">
        <f>VLOOKUP(A433,Ingreso!K:P,6,FALSE)</f>
        <v>#N/A</v>
      </c>
      <c r="E433" s="142" t="e">
        <f>(VLOOKUP(D433,$D$2:$E$4,2,FALSE))-(IF('Informe Kelly'!H427=$A$2,'Informe Kelly'!F427,VLOOKUP(D433,$D$2:$E$4,2,FALSE)))</f>
        <v>#N/A</v>
      </c>
      <c r="F433" s="142" t="e">
        <f>IF('Informe Kelly'!H427=$A$3,'Informe Kelly'!F427,VLOOKUP(D433,$D$2:$F$4,3,FALSE))-(VLOOKUP(D433,$D$2:$F$4,3,FALSE))</f>
        <v>#N/A</v>
      </c>
      <c r="G433" s="137" t="e">
        <f t="shared" si="10"/>
        <v>#N/A</v>
      </c>
    </row>
    <row r="434" spans="1:7">
      <c r="A434" s="112" t="str">
        <f>VLOOKUP('Informe Kelly'!A428,Base!A:B,2,FALSE)</f>
        <v>08.245.727-5</v>
      </c>
      <c r="B434" s="112" t="str">
        <f>VLOOKUP('Informe Kelly'!A428,Base!A:G,7,FALSE)</f>
        <v>SALINAS CUEVAS JUAN</v>
      </c>
      <c r="C434" s="112" t="str">
        <f>'Informe Kelly'!E428</f>
        <v>06.04.2011</v>
      </c>
      <c r="D434" s="112" t="e">
        <f>VLOOKUP(A434,Ingreso!K:P,6,FALSE)</f>
        <v>#N/A</v>
      </c>
      <c r="E434" s="142" t="e">
        <f>(VLOOKUP(D434,$D$2:$E$4,2,FALSE))-(IF('Informe Kelly'!H428=$A$2,'Informe Kelly'!F428,VLOOKUP(D434,$D$2:$E$4,2,FALSE)))</f>
        <v>#N/A</v>
      </c>
      <c r="F434" s="142" t="e">
        <f>IF('Informe Kelly'!H428=$A$3,'Informe Kelly'!F428,VLOOKUP(D434,$D$2:$F$4,3,FALSE))-(VLOOKUP(D434,$D$2:$F$4,3,FALSE))</f>
        <v>#N/A</v>
      </c>
      <c r="G434" s="137" t="e">
        <f t="shared" si="10"/>
        <v>#N/A</v>
      </c>
    </row>
    <row r="435" spans="1:7">
      <c r="A435" s="112" t="str">
        <f>VLOOKUP('Informe Kelly'!A429,Base!A:B,2,FALSE)</f>
        <v>08.245.727-5</v>
      </c>
      <c r="B435" s="112" t="str">
        <f>VLOOKUP('Informe Kelly'!A429,Base!A:G,7,FALSE)</f>
        <v>SALINAS CUEVAS JUAN</v>
      </c>
      <c r="C435" s="112" t="str">
        <f>'Informe Kelly'!E429</f>
        <v>07.04.2011</v>
      </c>
      <c r="D435" s="112" t="e">
        <f>VLOOKUP(A435,Ingreso!K:P,6,FALSE)</f>
        <v>#N/A</v>
      </c>
      <c r="E435" s="142" t="e">
        <f>(VLOOKUP(D435,$D$2:$E$4,2,FALSE))-(IF('Informe Kelly'!H429=$A$2,'Informe Kelly'!F429,VLOOKUP(D435,$D$2:$E$4,2,FALSE)))</f>
        <v>#N/A</v>
      </c>
      <c r="F435" s="142" t="e">
        <f>IF('Informe Kelly'!H429=$A$3,'Informe Kelly'!F429,VLOOKUP(D435,$D$2:$F$4,3,FALSE))-(VLOOKUP(D435,$D$2:$F$4,3,FALSE))</f>
        <v>#N/A</v>
      </c>
      <c r="G435" s="137" t="e">
        <f t="shared" si="10"/>
        <v>#N/A</v>
      </c>
    </row>
    <row r="436" spans="1:7">
      <c r="A436" s="112" t="str">
        <f>VLOOKUP('Informe Kelly'!A430,Base!A:B,2,FALSE)</f>
        <v>08.245.727-5</v>
      </c>
      <c r="B436" s="112" t="str">
        <f>VLOOKUP('Informe Kelly'!A430,Base!A:G,7,FALSE)</f>
        <v>SALINAS CUEVAS JUAN</v>
      </c>
      <c r="C436" s="112" t="str">
        <f>'Informe Kelly'!E430</f>
        <v>07.04.2011</v>
      </c>
      <c r="D436" s="112" t="e">
        <f>VLOOKUP(A436,Ingreso!K:P,6,FALSE)</f>
        <v>#N/A</v>
      </c>
      <c r="E436" s="142" t="e">
        <f>(VLOOKUP(D436,$D$2:$E$4,2,FALSE))-(IF('Informe Kelly'!H430=$A$2,'Informe Kelly'!F430,VLOOKUP(D436,$D$2:$E$4,2,FALSE)))</f>
        <v>#N/A</v>
      </c>
      <c r="F436" s="142" t="e">
        <f>IF('Informe Kelly'!H430=$A$3,'Informe Kelly'!F430,VLOOKUP(D436,$D$2:$F$4,3,FALSE))-(VLOOKUP(D436,$D$2:$F$4,3,FALSE))</f>
        <v>#N/A</v>
      </c>
      <c r="G436" s="137" t="e">
        <f t="shared" si="10"/>
        <v>#N/A</v>
      </c>
    </row>
    <row r="437" spans="1:7">
      <c r="A437" s="112" t="str">
        <f>VLOOKUP('Informe Kelly'!A431,Base!A:B,2,FALSE)</f>
        <v>08.245.727-5</v>
      </c>
      <c r="B437" s="112" t="str">
        <f>VLOOKUP('Informe Kelly'!A431,Base!A:G,7,FALSE)</f>
        <v>SALINAS CUEVAS JUAN</v>
      </c>
      <c r="C437" s="112" t="str">
        <f>'Informe Kelly'!E431</f>
        <v>08.04.2011</v>
      </c>
      <c r="D437" s="112" t="e">
        <f>VLOOKUP(A437,Ingreso!K:P,6,FALSE)</f>
        <v>#N/A</v>
      </c>
      <c r="E437" s="142" t="e">
        <f>(VLOOKUP(D437,$D$2:$E$4,2,FALSE))-(IF('Informe Kelly'!H431=$A$2,'Informe Kelly'!F431,VLOOKUP(D437,$D$2:$E$4,2,FALSE)))</f>
        <v>#N/A</v>
      </c>
      <c r="F437" s="142" t="e">
        <f>IF('Informe Kelly'!H431=$A$3,'Informe Kelly'!F431,VLOOKUP(D437,$D$2:$F$4,3,FALSE))-(VLOOKUP(D437,$D$2:$F$4,3,FALSE))</f>
        <v>#N/A</v>
      </c>
      <c r="G437" s="137" t="e">
        <f t="shared" si="10"/>
        <v>#N/A</v>
      </c>
    </row>
    <row r="438" spans="1:7">
      <c r="A438" s="112" t="str">
        <f>VLOOKUP('Informe Kelly'!A432,Base!A:B,2,FALSE)</f>
        <v>08.245.727-5</v>
      </c>
      <c r="B438" s="112" t="str">
        <f>VLOOKUP('Informe Kelly'!A432,Base!A:G,7,FALSE)</f>
        <v>SALINAS CUEVAS JUAN</v>
      </c>
      <c r="C438" s="112" t="str">
        <f>'Informe Kelly'!E432</f>
        <v>08.04.2011</v>
      </c>
      <c r="D438" s="112" t="e">
        <f>VLOOKUP(A438,Ingreso!K:P,6,FALSE)</f>
        <v>#N/A</v>
      </c>
      <c r="E438" s="142" t="e">
        <f>(VLOOKUP(D438,$D$2:$E$4,2,FALSE))-(IF('Informe Kelly'!H432=$A$2,'Informe Kelly'!F432,VLOOKUP(D438,$D$2:$E$4,2,FALSE)))</f>
        <v>#N/A</v>
      </c>
      <c r="F438" s="142" t="e">
        <f>IF('Informe Kelly'!H432=$A$3,'Informe Kelly'!F432,VLOOKUP(D438,$D$2:$F$4,3,FALSE))-(VLOOKUP(D438,$D$2:$F$4,3,FALSE))</f>
        <v>#N/A</v>
      </c>
      <c r="G438" s="137" t="e">
        <f t="shared" si="10"/>
        <v>#N/A</v>
      </c>
    </row>
    <row r="439" spans="1:7">
      <c r="A439" s="112" t="str">
        <f>VLOOKUP('Informe Kelly'!A433,Base!A:B,2,FALSE)</f>
        <v>08.245.727-5</v>
      </c>
      <c r="B439" s="112" t="str">
        <f>VLOOKUP('Informe Kelly'!A433,Base!A:G,7,FALSE)</f>
        <v>SALINAS CUEVAS JUAN</v>
      </c>
      <c r="C439" s="112" t="str">
        <f>'Informe Kelly'!E433</f>
        <v>09.04.2011</v>
      </c>
      <c r="D439" s="112" t="e">
        <f>VLOOKUP(A439,Ingreso!K:P,6,FALSE)</f>
        <v>#N/A</v>
      </c>
      <c r="E439" s="142" t="e">
        <f>(VLOOKUP(D439,$D$2:$E$4,2,FALSE))-(IF('Informe Kelly'!H433=$A$2,'Informe Kelly'!F433,VLOOKUP(D439,$D$2:$E$4,2,FALSE)))</f>
        <v>#N/A</v>
      </c>
      <c r="F439" s="142" t="e">
        <f>IF('Informe Kelly'!H433=$A$3,'Informe Kelly'!F433,VLOOKUP(D439,$D$2:$F$4,3,FALSE))-(VLOOKUP(D439,$D$2:$F$4,3,FALSE))</f>
        <v>#N/A</v>
      </c>
      <c r="G439" s="137" t="e">
        <f t="shared" si="10"/>
        <v>#N/A</v>
      </c>
    </row>
    <row r="440" spans="1:7">
      <c r="A440" s="112" t="str">
        <f>VLOOKUP('Informe Kelly'!A434,Base!A:B,2,FALSE)</f>
        <v>08.245.727-5</v>
      </c>
      <c r="B440" s="112" t="str">
        <f>VLOOKUP('Informe Kelly'!A434,Base!A:G,7,FALSE)</f>
        <v>SALINAS CUEVAS JUAN</v>
      </c>
      <c r="C440" s="112" t="str">
        <f>'Informe Kelly'!E434</f>
        <v>09.04.2011</v>
      </c>
      <c r="D440" s="112" t="e">
        <f>VLOOKUP(A440,Ingreso!K:P,6,FALSE)</f>
        <v>#N/A</v>
      </c>
      <c r="E440" s="142" t="e">
        <f>(VLOOKUP(D440,$D$2:$E$4,2,FALSE))-(IF('Informe Kelly'!H434=$A$2,'Informe Kelly'!F434,VLOOKUP(D440,$D$2:$E$4,2,FALSE)))</f>
        <v>#N/A</v>
      </c>
      <c r="F440" s="142" t="e">
        <f>IF('Informe Kelly'!H434=$A$3,'Informe Kelly'!F434,VLOOKUP(D440,$D$2:$F$4,3,FALSE))-(VLOOKUP(D440,$D$2:$F$4,3,FALSE))</f>
        <v>#N/A</v>
      </c>
      <c r="G440" s="137" t="e">
        <f t="shared" si="10"/>
        <v>#N/A</v>
      </c>
    </row>
    <row r="441" spans="1:7">
      <c r="A441" s="112" t="str">
        <f>VLOOKUP('Informe Kelly'!A435,Base!A:B,2,FALSE)</f>
        <v>08.247.677-6</v>
      </c>
      <c r="B441" s="112" t="str">
        <f>VLOOKUP('Informe Kelly'!A435,Base!A:G,7,FALSE)</f>
        <v>ESCOBAR GUTIERREZ HUMBERTO GERMAN</v>
      </c>
      <c r="C441" s="112" t="str">
        <f>'Informe Kelly'!E435</f>
        <v>04.04.2011</v>
      </c>
      <c r="D441" s="112" t="e">
        <f>VLOOKUP(A441,Ingreso!K:P,6,FALSE)</f>
        <v>#N/A</v>
      </c>
      <c r="E441" s="142" t="e">
        <f>(VLOOKUP(D441,$D$2:$E$4,2,FALSE))-(IF('Informe Kelly'!H435=$A$2,'Informe Kelly'!F435,VLOOKUP(D441,$D$2:$E$4,2,FALSE)))</f>
        <v>#N/A</v>
      </c>
      <c r="F441" s="142" t="e">
        <f>IF('Informe Kelly'!H435=$A$3,'Informe Kelly'!F435,VLOOKUP(D441,$D$2:$F$4,3,FALSE))-(VLOOKUP(D441,$D$2:$F$4,3,FALSE))</f>
        <v>#N/A</v>
      </c>
      <c r="G441" s="137" t="e">
        <f t="shared" si="10"/>
        <v>#N/A</v>
      </c>
    </row>
    <row r="442" spans="1:7">
      <c r="A442" s="112" t="str">
        <f>VLOOKUP('Informe Kelly'!A436,Base!A:B,2,FALSE)</f>
        <v>08.247.677-6</v>
      </c>
      <c r="B442" s="112" t="str">
        <f>VLOOKUP('Informe Kelly'!A436,Base!A:G,7,FALSE)</f>
        <v>ESCOBAR GUTIERREZ HUMBERTO GERMAN</v>
      </c>
      <c r="C442" s="112" t="str">
        <f>'Informe Kelly'!E436</f>
        <v>04.04.2011</v>
      </c>
      <c r="D442" s="112" t="e">
        <f>VLOOKUP(A442,Ingreso!K:P,6,FALSE)</f>
        <v>#N/A</v>
      </c>
      <c r="E442" s="142" t="e">
        <f>(VLOOKUP(D442,$D$2:$E$4,2,FALSE))-(IF('Informe Kelly'!H436=$A$2,'Informe Kelly'!F436,VLOOKUP(D442,$D$2:$E$4,2,FALSE)))</f>
        <v>#N/A</v>
      </c>
      <c r="F442" s="142" t="e">
        <f>IF('Informe Kelly'!H436=$A$3,'Informe Kelly'!F436,VLOOKUP(D442,$D$2:$F$4,3,FALSE))-(VLOOKUP(D442,$D$2:$F$4,3,FALSE))</f>
        <v>#N/A</v>
      </c>
      <c r="G442" s="137" t="e">
        <f t="shared" si="10"/>
        <v>#N/A</v>
      </c>
    </row>
    <row r="443" spans="1:7">
      <c r="A443" s="112" t="str">
        <f>VLOOKUP('Informe Kelly'!A437,Base!A:B,2,FALSE)</f>
        <v>08.247.677-6</v>
      </c>
      <c r="B443" s="112" t="str">
        <f>VLOOKUP('Informe Kelly'!A437,Base!A:G,7,FALSE)</f>
        <v>ESCOBAR GUTIERREZ HUMBERTO GERMAN</v>
      </c>
      <c r="C443" s="112" t="str">
        <f>'Informe Kelly'!E437</f>
        <v>05.04.2011</v>
      </c>
      <c r="D443" s="112" t="e">
        <f>VLOOKUP(A443,Ingreso!K:P,6,FALSE)</f>
        <v>#N/A</v>
      </c>
      <c r="E443" s="142" t="e">
        <f>(VLOOKUP(D443,$D$2:$E$4,2,FALSE))-(IF('Informe Kelly'!H437=$A$2,'Informe Kelly'!F437,VLOOKUP(D443,$D$2:$E$4,2,FALSE)))</f>
        <v>#N/A</v>
      </c>
      <c r="F443" s="142" t="e">
        <f>IF('Informe Kelly'!H437=$A$3,'Informe Kelly'!F437,VLOOKUP(D443,$D$2:$F$4,3,FALSE))-(VLOOKUP(D443,$D$2:$F$4,3,FALSE))</f>
        <v>#N/A</v>
      </c>
      <c r="G443" s="137" t="e">
        <f t="shared" si="10"/>
        <v>#N/A</v>
      </c>
    </row>
    <row r="444" spans="1:7">
      <c r="A444" s="112" t="str">
        <f>VLOOKUP('Informe Kelly'!A438,Base!A:B,2,FALSE)</f>
        <v>08.247.677-6</v>
      </c>
      <c r="B444" s="112" t="str">
        <f>VLOOKUP('Informe Kelly'!A438,Base!A:G,7,FALSE)</f>
        <v>ESCOBAR GUTIERREZ HUMBERTO GERMAN</v>
      </c>
      <c r="C444" s="112" t="str">
        <f>'Informe Kelly'!E438</f>
        <v>05.04.2011</v>
      </c>
      <c r="D444" s="112" t="e">
        <f>VLOOKUP(A444,Ingreso!K:P,6,FALSE)</f>
        <v>#N/A</v>
      </c>
      <c r="E444" s="142" t="e">
        <f>(VLOOKUP(D444,$D$2:$E$4,2,FALSE))-(IF('Informe Kelly'!H438=$A$2,'Informe Kelly'!F438,VLOOKUP(D444,$D$2:$E$4,2,FALSE)))</f>
        <v>#N/A</v>
      </c>
      <c r="F444" s="142" t="e">
        <f>IF('Informe Kelly'!H438=$A$3,'Informe Kelly'!F438,VLOOKUP(D444,$D$2:$F$4,3,FALSE))-(VLOOKUP(D444,$D$2:$F$4,3,FALSE))</f>
        <v>#N/A</v>
      </c>
      <c r="G444" s="137" t="e">
        <f t="shared" si="10"/>
        <v>#N/A</v>
      </c>
    </row>
    <row r="445" spans="1:7">
      <c r="A445" s="112" t="str">
        <f>VLOOKUP('Informe Kelly'!A439,Base!A:B,2,FALSE)</f>
        <v>08.247.677-6</v>
      </c>
      <c r="B445" s="112" t="str">
        <f>VLOOKUP('Informe Kelly'!A439,Base!A:G,7,FALSE)</f>
        <v>ESCOBAR GUTIERREZ HUMBERTO GERMAN</v>
      </c>
      <c r="C445" s="112" t="str">
        <f>'Informe Kelly'!E439</f>
        <v>06.04.2011</v>
      </c>
      <c r="D445" s="112" t="e">
        <f>VLOOKUP(A445,Ingreso!K:P,6,FALSE)</f>
        <v>#N/A</v>
      </c>
      <c r="E445" s="142" t="e">
        <f>(VLOOKUP(D445,$D$2:$E$4,2,FALSE))-(IF('Informe Kelly'!H439=$A$2,'Informe Kelly'!F439,VLOOKUP(D445,$D$2:$E$4,2,FALSE)))</f>
        <v>#N/A</v>
      </c>
      <c r="F445" s="142" t="e">
        <f>IF('Informe Kelly'!H439=$A$3,'Informe Kelly'!F439,VLOOKUP(D445,$D$2:$F$4,3,FALSE))-(VLOOKUP(D445,$D$2:$F$4,3,FALSE))</f>
        <v>#N/A</v>
      </c>
      <c r="G445" s="137" t="e">
        <f t="shared" si="10"/>
        <v>#N/A</v>
      </c>
    </row>
    <row r="446" spans="1:7">
      <c r="A446" s="112" t="str">
        <f>VLOOKUP('Informe Kelly'!A440,Base!A:B,2,FALSE)</f>
        <v>08.247.677-6</v>
      </c>
      <c r="B446" s="112" t="str">
        <f>VLOOKUP('Informe Kelly'!A440,Base!A:G,7,FALSE)</f>
        <v>ESCOBAR GUTIERREZ HUMBERTO GERMAN</v>
      </c>
      <c r="C446" s="112" t="str">
        <f>'Informe Kelly'!E440</f>
        <v>06.04.2011</v>
      </c>
      <c r="D446" s="112" t="e">
        <f>VLOOKUP(A446,Ingreso!K:P,6,FALSE)</f>
        <v>#N/A</v>
      </c>
      <c r="E446" s="142" t="e">
        <f>(VLOOKUP(D446,$D$2:$E$4,2,FALSE))-(IF('Informe Kelly'!H440=$A$2,'Informe Kelly'!F440,VLOOKUP(D446,$D$2:$E$4,2,FALSE)))</f>
        <v>#N/A</v>
      </c>
      <c r="F446" s="142" t="e">
        <f>IF('Informe Kelly'!H440=$A$3,'Informe Kelly'!F440,VLOOKUP(D446,$D$2:$F$4,3,FALSE))-(VLOOKUP(D446,$D$2:$F$4,3,FALSE))</f>
        <v>#N/A</v>
      </c>
      <c r="G446" s="137" t="e">
        <f t="shared" si="10"/>
        <v>#N/A</v>
      </c>
    </row>
    <row r="447" spans="1:7">
      <c r="A447" s="112" t="str">
        <f>VLOOKUP('Informe Kelly'!A441,Base!A:B,2,FALSE)</f>
        <v>08.247.677-6</v>
      </c>
      <c r="B447" s="112" t="str">
        <f>VLOOKUP('Informe Kelly'!A441,Base!A:G,7,FALSE)</f>
        <v>ESCOBAR GUTIERREZ HUMBERTO GERMAN</v>
      </c>
      <c r="C447" s="112" t="str">
        <f>'Informe Kelly'!E441</f>
        <v>07.04.2011</v>
      </c>
      <c r="D447" s="112" t="e">
        <f>VLOOKUP(A447,Ingreso!K:P,6,FALSE)</f>
        <v>#N/A</v>
      </c>
      <c r="E447" s="142" t="e">
        <f>(VLOOKUP(D447,$D$2:$E$4,2,FALSE))-(IF('Informe Kelly'!H441=$A$2,'Informe Kelly'!F441,VLOOKUP(D447,$D$2:$E$4,2,FALSE)))</f>
        <v>#N/A</v>
      </c>
      <c r="F447" s="142" t="e">
        <f>IF('Informe Kelly'!H441=$A$3,'Informe Kelly'!F441,VLOOKUP(D447,$D$2:$F$4,3,FALSE))-(VLOOKUP(D447,$D$2:$F$4,3,FALSE))</f>
        <v>#N/A</v>
      </c>
      <c r="G447" s="137" t="e">
        <f t="shared" si="10"/>
        <v>#N/A</v>
      </c>
    </row>
    <row r="448" spans="1:7">
      <c r="A448" s="112" t="str">
        <f>VLOOKUP('Informe Kelly'!A442,Base!A:B,2,FALSE)</f>
        <v>08.247.677-6</v>
      </c>
      <c r="B448" s="112" t="str">
        <f>VLOOKUP('Informe Kelly'!A442,Base!A:G,7,FALSE)</f>
        <v>ESCOBAR GUTIERREZ HUMBERTO GERMAN</v>
      </c>
      <c r="C448" s="112" t="str">
        <f>'Informe Kelly'!E442</f>
        <v>07.04.2011</v>
      </c>
      <c r="D448" s="112" t="e">
        <f>VLOOKUP(A448,Ingreso!K:P,6,FALSE)</f>
        <v>#N/A</v>
      </c>
      <c r="E448" s="142" t="e">
        <f>(VLOOKUP(D448,$D$2:$E$4,2,FALSE))-(IF('Informe Kelly'!H442=$A$2,'Informe Kelly'!F442,VLOOKUP(D448,$D$2:$E$4,2,FALSE)))</f>
        <v>#N/A</v>
      </c>
      <c r="F448" s="142" t="e">
        <f>IF('Informe Kelly'!H442=$A$3,'Informe Kelly'!F442,VLOOKUP(D448,$D$2:$F$4,3,FALSE))-(VLOOKUP(D448,$D$2:$F$4,3,FALSE))</f>
        <v>#N/A</v>
      </c>
      <c r="G448" s="137" t="e">
        <f t="shared" si="10"/>
        <v>#N/A</v>
      </c>
    </row>
    <row r="449" spans="1:7">
      <c r="A449" s="112" t="str">
        <f>VLOOKUP('Informe Kelly'!A443,Base!A:B,2,FALSE)</f>
        <v>08.247.677-6</v>
      </c>
      <c r="B449" s="112" t="str">
        <f>VLOOKUP('Informe Kelly'!A443,Base!A:G,7,FALSE)</f>
        <v>ESCOBAR GUTIERREZ HUMBERTO GERMAN</v>
      </c>
      <c r="C449" s="112" t="str">
        <f>'Informe Kelly'!E443</f>
        <v>08.04.2011</v>
      </c>
      <c r="D449" s="112" t="e">
        <f>VLOOKUP(A449,Ingreso!K:P,6,FALSE)</f>
        <v>#N/A</v>
      </c>
      <c r="E449" s="142" t="e">
        <f>(VLOOKUP(D449,$D$2:$E$4,2,FALSE))-(IF('Informe Kelly'!H443=$A$2,'Informe Kelly'!F443,VLOOKUP(D449,$D$2:$E$4,2,FALSE)))</f>
        <v>#N/A</v>
      </c>
      <c r="F449" s="142" t="e">
        <f>IF('Informe Kelly'!H443=$A$3,'Informe Kelly'!F443,VLOOKUP(D449,$D$2:$F$4,3,FALSE))-(VLOOKUP(D449,$D$2:$F$4,3,FALSE))</f>
        <v>#N/A</v>
      </c>
      <c r="G449" s="137" t="e">
        <f t="shared" si="10"/>
        <v>#N/A</v>
      </c>
    </row>
    <row r="450" spans="1:7">
      <c r="A450" s="112" t="str">
        <f>VLOOKUP('Informe Kelly'!A444,Base!A:B,2,FALSE)</f>
        <v>08.247.677-6</v>
      </c>
      <c r="B450" s="112" t="str">
        <f>VLOOKUP('Informe Kelly'!A444,Base!A:G,7,FALSE)</f>
        <v>ESCOBAR GUTIERREZ HUMBERTO GERMAN</v>
      </c>
      <c r="C450" s="112" t="str">
        <f>'Informe Kelly'!E444</f>
        <v>08.04.2011</v>
      </c>
      <c r="D450" s="112" t="e">
        <f>VLOOKUP(A450,Ingreso!K:P,6,FALSE)</f>
        <v>#N/A</v>
      </c>
      <c r="E450" s="142" t="e">
        <f>(VLOOKUP(D450,$D$2:$E$4,2,FALSE))-(IF('Informe Kelly'!H444=$A$2,'Informe Kelly'!F444,VLOOKUP(D450,$D$2:$E$4,2,FALSE)))</f>
        <v>#N/A</v>
      </c>
      <c r="F450" s="142" t="e">
        <f>IF('Informe Kelly'!H444=$A$3,'Informe Kelly'!F444,VLOOKUP(D450,$D$2:$F$4,3,FALSE))-(VLOOKUP(D450,$D$2:$F$4,3,FALSE))</f>
        <v>#N/A</v>
      </c>
      <c r="G450" s="137" t="e">
        <f t="shared" si="10"/>
        <v>#N/A</v>
      </c>
    </row>
    <row r="451" spans="1:7">
      <c r="A451" s="112" t="str">
        <f>VLOOKUP('Informe Kelly'!A445,Base!A:B,2,FALSE)</f>
        <v>08.247.677-6</v>
      </c>
      <c r="B451" s="112" t="str">
        <f>VLOOKUP('Informe Kelly'!A445,Base!A:G,7,FALSE)</f>
        <v>ESCOBAR GUTIERREZ HUMBERTO GERMAN</v>
      </c>
      <c r="C451" s="112" t="str">
        <f>'Informe Kelly'!E445</f>
        <v>09.04.2011</v>
      </c>
      <c r="D451" s="112" t="e">
        <f>VLOOKUP(A451,Ingreso!K:P,6,FALSE)</f>
        <v>#N/A</v>
      </c>
      <c r="E451" s="142" t="e">
        <f>(VLOOKUP(D451,$D$2:$E$4,2,FALSE))-(IF('Informe Kelly'!H445=$A$2,'Informe Kelly'!F445,VLOOKUP(D451,$D$2:$E$4,2,FALSE)))</f>
        <v>#N/A</v>
      </c>
      <c r="F451" s="142" t="e">
        <f>IF('Informe Kelly'!H445=$A$3,'Informe Kelly'!F445,VLOOKUP(D451,$D$2:$F$4,3,FALSE))-(VLOOKUP(D451,$D$2:$F$4,3,FALSE))</f>
        <v>#N/A</v>
      </c>
      <c r="G451" s="137" t="e">
        <f t="shared" si="10"/>
        <v>#N/A</v>
      </c>
    </row>
    <row r="452" spans="1:7">
      <c r="A452" s="112" t="str">
        <f>VLOOKUP('Informe Kelly'!A446,Base!A:B,2,FALSE)</f>
        <v>08.247.677-6</v>
      </c>
      <c r="B452" s="112" t="str">
        <f>VLOOKUP('Informe Kelly'!A446,Base!A:G,7,FALSE)</f>
        <v>ESCOBAR GUTIERREZ HUMBERTO GERMAN</v>
      </c>
      <c r="C452" s="112" t="str">
        <f>'Informe Kelly'!E446</f>
        <v>09.04.2011</v>
      </c>
      <c r="D452" s="112" t="e">
        <f>VLOOKUP(A452,Ingreso!K:P,6,FALSE)</f>
        <v>#N/A</v>
      </c>
      <c r="E452" s="142" t="e">
        <f>(VLOOKUP(D452,$D$2:$E$4,2,FALSE))-(IF('Informe Kelly'!H446=$A$2,'Informe Kelly'!F446,VLOOKUP(D452,$D$2:$E$4,2,FALSE)))</f>
        <v>#N/A</v>
      </c>
      <c r="F452" s="142" t="e">
        <f>IF('Informe Kelly'!H446=$A$3,'Informe Kelly'!F446,VLOOKUP(D452,$D$2:$F$4,3,FALSE))-(VLOOKUP(D452,$D$2:$F$4,3,FALSE))</f>
        <v>#N/A</v>
      </c>
      <c r="G452" s="137" t="e">
        <f t="shared" si="10"/>
        <v>#N/A</v>
      </c>
    </row>
    <row r="453" spans="1:7">
      <c r="A453" s="112" t="str">
        <f>VLOOKUP('Informe Kelly'!A447,Base!A:B,2,FALSE)</f>
        <v>08.272.509-1</v>
      </c>
      <c r="B453" s="112" t="str">
        <f>VLOOKUP('Informe Kelly'!A447,Base!A:G,7,FALSE)</f>
        <v>OSORIO OSORIO JORGE MANUEL</v>
      </c>
      <c r="C453" s="112" t="str">
        <f>'Informe Kelly'!E447</f>
        <v>04.04.2011</v>
      </c>
      <c r="D453" s="112" t="e">
        <f>VLOOKUP(A453,Ingreso!K:P,6,FALSE)</f>
        <v>#N/A</v>
      </c>
      <c r="E453" s="142" t="e">
        <f>(VLOOKUP(D453,$D$2:$E$4,2,FALSE))-(IF('Informe Kelly'!H447=$A$2,'Informe Kelly'!F447,VLOOKUP(D453,$D$2:$E$4,2,FALSE)))</f>
        <v>#N/A</v>
      </c>
      <c r="F453" s="142" t="e">
        <f>IF('Informe Kelly'!H447=$A$3,'Informe Kelly'!F447,VLOOKUP(D453,$D$2:$F$4,3,FALSE))-(VLOOKUP(D453,$D$2:$F$4,3,FALSE))</f>
        <v>#N/A</v>
      </c>
      <c r="G453" s="137" t="e">
        <f t="shared" si="10"/>
        <v>#N/A</v>
      </c>
    </row>
    <row r="454" spans="1:7">
      <c r="A454" s="112" t="str">
        <f>VLOOKUP('Informe Kelly'!A448,Base!A:B,2,FALSE)</f>
        <v>08.272.509-1</v>
      </c>
      <c r="B454" s="112" t="str">
        <f>VLOOKUP('Informe Kelly'!A448,Base!A:G,7,FALSE)</f>
        <v>OSORIO OSORIO JORGE MANUEL</v>
      </c>
      <c r="C454" s="112" t="str">
        <f>'Informe Kelly'!E448</f>
        <v>04.04.2011</v>
      </c>
      <c r="D454" s="112" t="e">
        <f>VLOOKUP(A454,Ingreso!K:P,6,FALSE)</f>
        <v>#N/A</v>
      </c>
      <c r="E454" s="142" t="e">
        <f>(VLOOKUP(D454,$D$2:$E$4,2,FALSE))-(IF('Informe Kelly'!H448=$A$2,'Informe Kelly'!F448,VLOOKUP(D454,$D$2:$E$4,2,FALSE)))</f>
        <v>#N/A</v>
      </c>
      <c r="F454" s="142" t="e">
        <f>IF('Informe Kelly'!H448=$A$3,'Informe Kelly'!F448,VLOOKUP(D454,$D$2:$F$4,3,FALSE))-(VLOOKUP(D454,$D$2:$F$4,3,FALSE))</f>
        <v>#N/A</v>
      </c>
      <c r="G454" s="137" t="e">
        <f t="shared" si="10"/>
        <v>#N/A</v>
      </c>
    </row>
    <row r="455" spans="1:7">
      <c r="A455" s="112" t="str">
        <f>VLOOKUP('Informe Kelly'!A449,Base!A:B,2,FALSE)</f>
        <v>08.272.509-1</v>
      </c>
      <c r="B455" s="112" t="str">
        <f>VLOOKUP('Informe Kelly'!A449,Base!A:G,7,FALSE)</f>
        <v>OSORIO OSORIO JORGE MANUEL</v>
      </c>
      <c r="C455" s="112" t="str">
        <f>'Informe Kelly'!E449</f>
        <v>05.04.2011</v>
      </c>
      <c r="D455" s="112" t="e">
        <f>VLOOKUP(A455,Ingreso!K:P,6,FALSE)</f>
        <v>#N/A</v>
      </c>
      <c r="E455" s="142" t="e">
        <f>(VLOOKUP(D455,$D$2:$E$4,2,FALSE))-(IF('Informe Kelly'!H449=$A$2,'Informe Kelly'!F449,VLOOKUP(D455,$D$2:$E$4,2,FALSE)))</f>
        <v>#N/A</v>
      </c>
      <c r="F455" s="142" t="e">
        <f>IF('Informe Kelly'!H449=$A$3,'Informe Kelly'!F449,VLOOKUP(D455,$D$2:$F$4,3,FALSE))-(VLOOKUP(D455,$D$2:$F$4,3,FALSE))</f>
        <v>#N/A</v>
      </c>
      <c r="G455" s="137" t="e">
        <f t="shared" si="10"/>
        <v>#N/A</v>
      </c>
    </row>
    <row r="456" spans="1:7">
      <c r="A456" s="112" t="str">
        <f>VLOOKUP('Informe Kelly'!A450,Base!A:B,2,FALSE)</f>
        <v>08.272.509-1</v>
      </c>
      <c r="B456" s="112" t="str">
        <f>VLOOKUP('Informe Kelly'!A450,Base!A:G,7,FALSE)</f>
        <v>OSORIO OSORIO JORGE MANUEL</v>
      </c>
      <c r="C456" s="112" t="str">
        <f>'Informe Kelly'!E450</f>
        <v>05.04.2011</v>
      </c>
      <c r="D456" s="112" t="e">
        <f>VLOOKUP(A456,Ingreso!K:P,6,FALSE)</f>
        <v>#N/A</v>
      </c>
      <c r="E456" s="142" t="e">
        <f>(VLOOKUP(D456,$D$2:$E$4,2,FALSE))-(IF('Informe Kelly'!H450=$A$2,'Informe Kelly'!F450,VLOOKUP(D456,$D$2:$E$4,2,FALSE)))</f>
        <v>#N/A</v>
      </c>
      <c r="F456" s="142" t="e">
        <f>IF('Informe Kelly'!H450=$A$3,'Informe Kelly'!F450,VLOOKUP(D456,$D$2:$F$4,3,FALSE))-(VLOOKUP(D456,$D$2:$F$4,3,FALSE))</f>
        <v>#N/A</v>
      </c>
      <c r="G456" s="137" t="e">
        <f t="shared" si="10"/>
        <v>#N/A</v>
      </c>
    </row>
    <row r="457" spans="1:7">
      <c r="A457" s="112" t="str">
        <f>VLOOKUP('Informe Kelly'!A451,Base!A:B,2,FALSE)</f>
        <v>08.272.509-1</v>
      </c>
      <c r="B457" s="112" t="str">
        <f>VLOOKUP('Informe Kelly'!A451,Base!A:G,7,FALSE)</f>
        <v>OSORIO OSORIO JORGE MANUEL</v>
      </c>
      <c r="C457" s="112" t="str">
        <f>'Informe Kelly'!E451</f>
        <v>06.04.2011</v>
      </c>
      <c r="D457" s="112" t="e">
        <f>VLOOKUP(A457,Ingreso!K:P,6,FALSE)</f>
        <v>#N/A</v>
      </c>
      <c r="E457" s="142" t="e">
        <f>(VLOOKUP(D457,$D$2:$E$4,2,FALSE))-(IF('Informe Kelly'!H451=$A$2,'Informe Kelly'!F451,VLOOKUP(D457,$D$2:$E$4,2,FALSE)))</f>
        <v>#N/A</v>
      </c>
      <c r="F457" s="142" t="e">
        <f>IF('Informe Kelly'!H451=$A$3,'Informe Kelly'!F451,VLOOKUP(D457,$D$2:$F$4,3,FALSE))-(VLOOKUP(D457,$D$2:$F$4,3,FALSE))</f>
        <v>#N/A</v>
      </c>
      <c r="G457" s="137" t="e">
        <f t="shared" ref="G457:G520" si="11">IF(E457="",IF(F457&lt;0.0409722222222222,0,E457),IF(E457&lt;0.0409722222222222,0,E457))</f>
        <v>#N/A</v>
      </c>
    </row>
    <row r="458" spans="1:7">
      <c r="A458" s="112" t="str">
        <f>VLOOKUP('Informe Kelly'!A452,Base!A:B,2,FALSE)</f>
        <v>08.272.509-1</v>
      </c>
      <c r="B458" s="112" t="str">
        <f>VLOOKUP('Informe Kelly'!A452,Base!A:G,7,FALSE)</f>
        <v>OSORIO OSORIO JORGE MANUEL</v>
      </c>
      <c r="C458" s="112" t="str">
        <f>'Informe Kelly'!E452</f>
        <v>06.04.2011</v>
      </c>
      <c r="D458" s="112" t="e">
        <f>VLOOKUP(A458,Ingreso!K:P,6,FALSE)</f>
        <v>#N/A</v>
      </c>
      <c r="E458" s="142" t="e">
        <f>(VLOOKUP(D458,$D$2:$E$4,2,FALSE))-(IF('Informe Kelly'!H452=$A$2,'Informe Kelly'!F452,VLOOKUP(D458,$D$2:$E$4,2,FALSE)))</f>
        <v>#N/A</v>
      </c>
      <c r="F458" s="142" t="e">
        <f>IF('Informe Kelly'!H452=$A$3,'Informe Kelly'!F452,VLOOKUP(D458,$D$2:$F$4,3,FALSE))-(VLOOKUP(D458,$D$2:$F$4,3,FALSE))</f>
        <v>#N/A</v>
      </c>
      <c r="G458" s="137" t="e">
        <f t="shared" si="11"/>
        <v>#N/A</v>
      </c>
    </row>
    <row r="459" spans="1:7">
      <c r="A459" s="112" t="str">
        <f>VLOOKUP('Informe Kelly'!A453,Base!A:B,2,FALSE)</f>
        <v>08.272.509-1</v>
      </c>
      <c r="B459" s="112" t="str">
        <f>VLOOKUP('Informe Kelly'!A453,Base!A:G,7,FALSE)</f>
        <v>OSORIO OSORIO JORGE MANUEL</v>
      </c>
      <c r="C459" s="112" t="str">
        <f>'Informe Kelly'!E453</f>
        <v>07.04.2011</v>
      </c>
      <c r="D459" s="112" t="e">
        <f>VLOOKUP(A459,Ingreso!K:P,6,FALSE)</f>
        <v>#N/A</v>
      </c>
      <c r="E459" s="142" t="e">
        <f>(VLOOKUP(D459,$D$2:$E$4,2,FALSE))-(IF('Informe Kelly'!H453=$A$2,'Informe Kelly'!F453,VLOOKUP(D459,$D$2:$E$4,2,FALSE)))</f>
        <v>#N/A</v>
      </c>
      <c r="F459" s="142" t="e">
        <f>IF('Informe Kelly'!H453=$A$3,'Informe Kelly'!F453,VLOOKUP(D459,$D$2:$F$4,3,FALSE))-(VLOOKUP(D459,$D$2:$F$4,3,FALSE))</f>
        <v>#N/A</v>
      </c>
      <c r="G459" s="137" t="e">
        <f t="shared" si="11"/>
        <v>#N/A</v>
      </c>
    </row>
    <row r="460" spans="1:7">
      <c r="A460" s="112" t="str">
        <f>VLOOKUP('Informe Kelly'!A454,Base!A:B,2,FALSE)</f>
        <v>08.272.509-1</v>
      </c>
      <c r="B460" s="112" t="str">
        <f>VLOOKUP('Informe Kelly'!A454,Base!A:G,7,FALSE)</f>
        <v>OSORIO OSORIO JORGE MANUEL</v>
      </c>
      <c r="C460" s="112" t="str">
        <f>'Informe Kelly'!E454</f>
        <v>07.04.2011</v>
      </c>
      <c r="D460" s="112" t="e">
        <f>VLOOKUP(A460,Ingreso!K:P,6,FALSE)</f>
        <v>#N/A</v>
      </c>
      <c r="E460" s="142" t="e">
        <f>(VLOOKUP(D460,$D$2:$E$4,2,FALSE))-(IF('Informe Kelly'!H454=$A$2,'Informe Kelly'!F454,VLOOKUP(D460,$D$2:$E$4,2,FALSE)))</f>
        <v>#N/A</v>
      </c>
      <c r="F460" s="142" t="e">
        <f>IF('Informe Kelly'!H454=$A$3,'Informe Kelly'!F454,VLOOKUP(D460,$D$2:$F$4,3,FALSE))-(VLOOKUP(D460,$D$2:$F$4,3,FALSE))</f>
        <v>#N/A</v>
      </c>
      <c r="G460" s="137" t="e">
        <f t="shared" si="11"/>
        <v>#N/A</v>
      </c>
    </row>
    <row r="461" spans="1:7">
      <c r="A461" s="112" t="str">
        <f>VLOOKUP('Informe Kelly'!A455,Base!A:B,2,FALSE)</f>
        <v>08.272.509-1</v>
      </c>
      <c r="B461" s="112" t="str">
        <f>VLOOKUP('Informe Kelly'!A455,Base!A:G,7,FALSE)</f>
        <v>OSORIO OSORIO JORGE MANUEL</v>
      </c>
      <c r="C461" s="112" t="str">
        <f>'Informe Kelly'!E455</f>
        <v>08.04.2011</v>
      </c>
      <c r="D461" s="112" t="e">
        <f>VLOOKUP(A461,Ingreso!K:P,6,FALSE)</f>
        <v>#N/A</v>
      </c>
      <c r="E461" s="142" t="e">
        <f>(VLOOKUP(D461,$D$2:$E$4,2,FALSE))-(IF('Informe Kelly'!H455=$A$2,'Informe Kelly'!F455,VLOOKUP(D461,$D$2:$E$4,2,FALSE)))</f>
        <v>#N/A</v>
      </c>
      <c r="F461" s="142" t="e">
        <f>IF('Informe Kelly'!H455=$A$3,'Informe Kelly'!F455,VLOOKUP(D461,$D$2:$F$4,3,FALSE))-(VLOOKUP(D461,$D$2:$F$4,3,FALSE))</f>
        <v>#N/A</v>
      </c>
      <c r="G461" s="137" t="e">
        <f t="shared" si="11"/>
        <v>#N/A</v>
      </c>
    </row>
    <row r="462" spans="1:7">
      <c r="A462" s="112" t="str">
        <f>VLOOKUP('Informe Kelly'!A456,Base!A:B,2,FALSE)</f>
        <v>08.272.509-1</v>
      </c>
      <c r="B462" s="112" t="str">
        <f>VLOOKUP('Informe Kelly'!A456,Base!A:G,7,FALSE)</f>
        <v>OSORIO OSORIO JORGE MANUEL</v>
      </c>
      <c r="C462" s="112" t="str">
        <f>'Informe Kelly'!E456</f>
        <v>08.04.2011</v>
      </c>
      <c r="D462" s="112" t="e">
        <f>VLOOKUP(A462,Ingreso!K:P,6,FALSE)</f>
        <v>#N/A</v>
      </c>
      <c r="E462" s="142" t="e">
        <f>(VLOOKUP(D462,$D$2:$E$4,2,FALSE))-(IF('Informe Kelly'!H456=$A$2,'Informe Kelly'!F456,VLOOKUP(D462,$D$2:$E$4,2,FALSE)))</f>
        <v>#N/A</v>
      </c>
      <c r="F462" s="142" t="e">
        <f>IF('Informe Kelly'!H456=$A$3,'Informe Kelly'!F456,VLOOKUP(D462,$D$2:$F$4,3,FALSE))-(VLOOKUP(D462,$D$2:$F$4,3,FALSE))</f>
        <v>#N/A</v>
      </c>
      <c r="G462" s="137" t="e">
        <f t="shared" si="11"/>
        <v>#N/A</v>
      </c>
    </row>
    <row r="463" spans="1:7">
      <c r="A463" s="112" t="str">
        <f>VLOOKUP('Informe Kelly'!A457,Base!A:B,2,FALSE)</f>
        <v>08.272.509-1</v>
      </c>
      <c r="B463" s="112" t="str">
        <f>VLOOKUP('Informe Kelly'!A457,Base!A:G,7,FALSE)</f>
        <v>OSORIO OSORIO JORGE MANUEL</v>
      </c>
      <c r="C463" s="112" t="str">
        <f>'Informe Kelly'!E457</f>
        <v>09.04.2011</v>
      </c>
      <c r="D463" s="112" t="e">
        <f>VLOOKUP(A463,Ingreso!K:P,6,FALSE)</f>
        <v>#N/A</v>
      </c>
      <c r="E463" s="142" t="e">
        <f>(VLOOKUP(D463,$D$2:$E$4,2,FALSE))-(IF('Informe Kelly'!H457=$A$2,'Informe Kelly'!F457,VLOOKUP(D463,$D$2:$E$4,2,FALSE)))</f>
        <v>#N/A</v>
      </c>
      <c r="F463" s="142" t="e">
        <f>IF('Informe Kelly'!H457=$A$3,'Informe Kelly'!F457,VLOOKUP(D463,$D$2:$F$4,3,FALSE))-(VLOOKUP(D463,$D$2:$F$4,3,FALSE))</f>
        <v>#N/A</v>
      </c>
      <c r="G463" s="137" t="e">
        <f t="shared" si="11"/>
        <v>#N/A</v>
      </c>
    </row>
    <row r="464" spans="1:7">
      <c r="A464" s="112" t="str">
        <f>VLOOKUP('Informe Kelly'!A458,Base!A:B,2,FALSE)</f>
        <v>08.272.509-1</v>
      </c>
      <c r="B464" s="112" t="str">
        <f>VLOOKUP('Informe Kelly'!A458,Base!A:G,7,FALSE)</f>
        <v>OSORIO OSORIO JORGE MANUEL</v>
      </c>
      <c r="C464" s="112" t="str">
        <f>'Informe Kelly'!E458</f>
        <v>09.04.2011</v>
      </c>
      <c r="D464" s="112" t="e">
        <f>VLOOKUP(A464,Ingreso!K:P,6,FALSE)</f>
        <v>#N/A</v>
      </c>
      <c r="E464" s="142" t="e">
        <f>(VLOOKUP(D464,$D$2:$E$4,2,FALSE))-(IF('Informe Kelly'!H458=$A$2,'Informe Kelly'!F458,VLOOKUP(D464,$D$2:$E$4,2,FALSE)))</f>
        <v>#N/A</v>
      </c>
      <c r="F464" s="142" t="e">
        <f>IF('Informe Kelly'!H458=$A$3,'Informe Kelly'!F458,VLOOKUP(D464,$D$2:$F$4,3,FALSE))-(VLOOKUP(D464,$D$2:$F$4,3,FALSE))</f>
        <v>#N/A</v>
      </c>
      <c r="G464" s="137" t="e">
        <f t="shared" si="11"/>
        <v>#N/A</v>
      </c>
    </row>
    <row r="465" spans="1:7">
      <c r="A465" s="112" t="str">
        <f>VLOOKUP('Informe Kelly'!A459,Base!A:B,2,FALSE)</f>
        <v>08.283.277-7</v>
      </c>
      <c r="B465" s="112" t="str">
        <f>VLOOKUP('Informe Kelly'!A459,Base!A:G,7,FALSE)</f>
        <v>ARANCIBIA VILLAROEL LEONALDO ALFREDO</v>
      </c>
      <c r="C465" s="112" t="str">
        <f>'Informe Kelly'!E459</f>
        <v>04.04.2011</v>
      </c>
      <c r="D465" s="112" t="e">
        <f>VLOOKUP(A465,Ingreso!K:P,6,FALSE)</f>
        <v>#N/A</v>
      </c>
      <c r="E465" s="142" t="e">
        <f>(VLOOKUP(D465,$D$2:$E$4,2,FALSE))-(IF('Informe Kelly'!H459=$A$2,'Informe Kelly'!F459,VLOOKUP(D465,$D$2:$E$4,2,FALSE)))</f>
        <v>#N/A</v>
      </c>
      <c r="F465" s="142" t="e">
        <f>IF('Informe Kelly'!H459=$A$3,'Informe Kelly'!F459,VLOOKUP(D465,$D$2:$F$4,3,FALSE))-(VLOOKUP(D465,$D$2:$F$4,3,FALSE))</f>
        <v>#N/A</v>
      </c>
      <c r="G465" s="137" t="e">
        <f t="shared" si="11"/>
        <v>#N/A</v>
      </c>
    </row>
    <row r="466" spans="1:7">
      <c r="A466" s="112" t="str">
        <f>VLOOKUP('Informe Kelly'!A460,Base!A:B,2,FALSE)</f>
        <v>08.283.277-7</v>
      </c>
      <c r="B466" s="112" t="str">
        <f>VLOOKUP('Informe Kelly'!A460,Base!A:G,7,FALSE)</f>
        <v>ARANCIBIA VILLAROEL LEONALDO ALFREDO</v>
      </c>
      <c r="C466" s="112" t="str">
        <f>'Informe Kelly'!E460</f>
        <v>04.04.2011</v>
      </c>
      <c r="D466" s="112" t="e">
        <f>VLOOKUP(A466,Ingreso!K:P,6,FALSE)</f>
        <v>#N/A</v>
      </c>
      <c r="E466" s="142" t="e">
        <f>(VLOOKUP(D466,$D$2:$E$4,2,FALSE))-(IF('Informe Kelly'!H460=$A$2,'Informe Kelly'!F460,VLOOKUP(D466,$D$2:$E$4,2,FALSE)))</f>
        <v>#N/A</v>
      </c>
      <c r="F466" s="142" t="e">
        <f>IF('Informe Kelly'!H460=$A$3,'Informe Kelly'!F460,VLOOKUP(D466,$D$2:$F$4,3,FALSE))-(VLOOKUP(D466,$D$2:$F$4,3,FALSE))</f>
        <v>#N/A</v>
      </c>
      <c r="G466" s="137" t="e">
        <f t="shared" si="11"/>
        <v>#N/A</v>
      </c>
    </row>
    <row r="467" spans="1:7">
      <c r="A467" s="112" t="str">
        <f>VLOOKUP('Informe Kelly'!A461,Base!A:B,2,FALSE)</f>
        <v>08.283.277-7</v>
      </c>
      <c r="B467" s="112" t="str">
        <f>VLOOKUP('Informe Kelly'!A461,Base!A:G,7,FALSE)</f>
        <v>ARANCIBIA VILLAROEL LEONALDO ALFREDO</v>
      </c>
      <c r="C467" s="112" t="str">
        <f>'Informe Kelly'!E461</f>
        <v>05.04.2011</v>
      </c>
      <c r="D467" s="112" t="e">
        <f>VLOOKUP(A467,Ingreso!K:P,6,FALSE)</f>
        <v>#N/A</v>
      </c>
      <c r="E467" s="142" t="e">
        <f>(VLOOKUP(D467,$D$2:$E$4,2,FALSE))-(IF('Informe Kelly'!H461=$A$2,'Informe Kelly'!F461,VLOOKUP(D467,$D$2:$E$4,2,FALSE)))</f>
        <v>#N/A</v>
      </c>
      <c r="F467" s="142" t="e">
        <f>IF('Informe Kelly'!H461=$A$3,'Informe Kelly'!F461,VLOOKUP(D467,$D$2:$F$4,3,FALSE))-(VLOOKUP(D467,$D$2:$F$4,3,FALSE))</f>
        <v>#N/A</v>
      </c>
      <c r="G467" s="137" t="e">
        <f t="shared" si="11"/>
        <v>#N/A</v>
      </c>
    </row>
    <row r="468" spans="1:7">
      <c r="A468" s="112" t="str">
        <f>VLOOKUP('Informe Kelly'!A462,Base!A:B,2,FALSE)</f>
        <v>08.283.277-7</v>
      </c>
      <c r="B468" s="112" t="str">
        <f>VLOOKUP('Informe Kelly'!A462,Base!A:G,7,FALSE)</f>
        <v>ARANCIBIA VILLAROEL LEONALDO ALFREDO</v>
      </c>
      <c r="C468" s="112" t="str">
        <f>'Informe Kelly'!E462</f>
        <v>05.04.2011</v>
      </c>
      <c r="D468" s="112" t="e">
        <f>VLOOKUP(A468,Ingreso!K:P,6,FALSE)</f>
        <v>#N/A</v>
      </c>
      <c r="E468" s="142" t="e">
        <f>(VLOOKUP(D468,$D$2:$E$4,2,FALSE))-(IF('Informe Kelly'!H462=$A$2,'Informe Kelly'!F462,VLOOKUP(D468,$D$2:$E$4,2,FALSE)))</f>
        <v>#N/A</v>
      </c>
      <c r="F468" s="142" t="e">
        <f>IF('Informe Kelly'!H462=$A$3,'Informe Kelly'!F462,VLOOKUP(D468,$D$2:$F$4,3,FALSE))-(VLOOKUP(D468,$D$2:$F$4,3,FALSE))</f>
        <v>#N/A</v>
      </c>
      <c r="G468" s="137" t="e">
        <f t="shared" si="11"/>
        <v>#N/A</v>
      </c>
    </row>
    <row r="469" spans="1:7">
      <c r="A469" s="112" t="str">
        <f>VLOOKUP('Informe Kelly'!A463,Base!A:B,2,FALSE)</f>
        <v>08.283.277-7</v>
      </c>
      <c r="B469" s="112" t="str">
        <f>VLOOKUP('Informe Kelly'!A463,Base!A:G,7,FALSE)</f>
        <v>ARANCIBIA VILLAROEL LEONALDO ALFREDO</v>
      </c>
      <c r="C469" s="112" t="str">
        <f>'Informe Kelly'!E463</f>
        <v>06.04.2011</v>
      </c>
      <c r="D469" s="112" t="e">
        <f>VLOOKUP(A469,Ingreso!K:P,6,FALSE)</f>
        <v>#N/A</v>
      </c>
      <c r="E469" s="142" t="e">
        <f>(VLOOKUP(D469,$D$2:$E$4,2,FALSE))-(IF('Informe Kelly'!H463=$A$2,'Informe Kelly'!F463,VLOOKUP(D469,$D$2:$E$4,2,FALSE)))</f>
        <v>#N/A</v>
      </c>
      <c r="F469" s="142" t="e">
        <f>IF('Informe Kelly'!H463=$A$3,'Informe Kelly'!F463,VLOOKUP(D469,$D$2:$F$4,3,FALSE))-(VLOOKUP(D469,$D$2:$F$4,3,FALSE))</f>
        <v>#N/A</v>
      </c>
      <c r="G469" s="137" t="e">
        <f t="shared" si="11"/>
        <v>#N/A</v>
      </c>
    </row>
    <row r="470" spans="1:7">
      <c r="A470" s="112" t="str">
        <f>VLOOKUP('Informe Kelly'!A464,Base!A:B,2,FALSE)</f>
        <v>08.283.277-7</v>
      </c>
      <c r="B470" s="112" t="str">
        <f>VLOOKUP('Informe Kelly'!A464,Base!A:G,7,FALSE)</f>
        <v>ARANCIBIA VILLAROEL LEONALDO ALFREDO</v>
      </c>
      <c r="C470" s="112" t="str">
        <f>'Informe Kelly'!E464</f>
        <v>06.04.2011</v>
      </c>
      <c r="D470" s="112" t="e">
        <f>VLOOKUP(A470,Ingreso!K:P,6,FALSE)</f>
        <v>#N/A</v>
      </c>
      <c r="E470" s="142" t="e">
        <f>(VLOOKUP(D470,$D$2:$E$4,2,FALSE))-(IF('Informe Kelly'!H464=$A$2,'Informe Kelly'!F464,VLOOKUP(D470,$D$2:$E$4,2,FALSE)))</f>
        <v>#N/A</v>
      </c>
      <c r="F470" s="142" t="e">
        <f>IF('Informe Kelly'!H464=$A$3,'Informe Kelly'!F464,VLOOKUP(D470,$D$2:$F$4,3,FALSE))-(VLOOKUP(D470,$D$2:$F$4,3,FALSE))</f>
        <v>#N/A</v>
      </c>
      <c r="G470" s="137" t="e">
        <f t="shared" si="11"/>
        <v>#N/A</v>
      </c>
    </row>
    <row r="471" spans="1:7">
      <c r="A471" s="112" t="str">
        <f>VLOOKUP('Informe Kelly'!A465,Base!A:B,2,FALSE)</f>
        <v>08.283.277-7</v>
      </c>
      <c r="B471" s="112" t="str">
        <f>VLOOKUP('Informe Kelly'!A465,Base!A:G,7,FALSE)</f>
        <v>ARANCIBIA VILLAROEL LEONALDO ALFREDO</v>
      </c>
      <c r="C471" s="112" t="str">
        <f>'Informe Kelly'!E465</f>
        <v>07.04.2011</v>
      </c>
      <c r="D471" s="112" t="e">
        <f>VLOOKUP(A471,Ingreso!K:P,6,FALSE)</f>
        <v>#N/A</v>
      </c>
      <c r="E471" s="142" t="e">
        <f>(VLOOKUP(D471,$D$2:$E$4,2,FALSE))-(IF('Informe Kelly'!H465=$A$2,'Informe Kelly'!F465,VLOOKUP(D471,$D$2:$E$4,2,FALSE)))</f>
        <v>#N/A</v>
      </c>
      <c r="F471" s="142" t="e">
        <f>IF('Informe Kelly'!H465=$A$3,'Informe Kelly'!F465,VLOOKUP(D471,$D$2:$F$4,3,FALSE))-(VLOOKUP(D471,$D$2:$F$4,3,FALSE))</f>
        <v>#N/A</v>
      </c>
      <c r="G471" s="137" t="e">
        <f t="shared" si="11"/>
        <v>#N/A</v>
      </c>
    </row>
    <row r="472" spans="1:7">
      <c r="A472" s="112" t="str">
        <f>VLOOKUP('Informe Kelly'!A466,Base!A:B,2,FALSE)</f>
        <v>08.283.277-7</v>
      </c>
      <c r="B472" s="112" t="str">
        <f>VLOOKUP('Informe Kelly'!A466,Base!A:G,7,FALSE)</f>
        <v>ARANCIBIA VILLAROEL LEONALDO ALFREDO</v>
      </c>
      <c r="C472" s="112" t="str">
        <f>'Informe Kelly'!E466</f>
        <v>07.04.2011</v>
      </c>
      <c r="D472" s="112" t="e">
        <f>VLOOKUP(A472,Ingreso!K:P,6,FALSE)</f>
        <v>#N/A</v>
      </c>
      <c r="E472" s="142" t="e">
        <f>(VLOOKUP(D472,$D$2:$E$4,2,FALSE))-(IF('Informe Kelly'!H466=$A$2,'Informe Kelly'!F466,VLOOKUP(D472,$D$2:$E$4,2,FALSE)))</f>
        <v>#N/A</v>
      </c>
      <c r="F472" s="142" t="e">
        <f>IF('Informe Kelly'!H466=$A$3,'Informe Kelly'!F466,VLOOKUP(D472,$D$2:$F$4,3,FALSE))-(VLOOKUP(D472,$D$2:$F$4,3,FALSE))</f>
        <v>#N/A</v>
      </c>
      <c r="G472" s="137" t="e">
        <f t="shared" si="11"/>
        <v>#N/A</v>
      </c>
    </row>
    <row r="473" spans="1:7">
      <c r="A473" s="112" t="str">
        <f>VLOOKUP('Informe Kelly'!A467,Base!A:B,2,FALSE)</f>
        <v>08.283.277-7</v>
      </c>
      <c r="B473" s="112" t="str">
        <f>VLOOKUP('Informe Kelly'!A467,Base!A:G,7,FALSE)</f>
        <v>ARANCIBIA VILLAROEL LEONALDO ALFREDO</v>
      </c>
      <c r="C473" s="112" t="str">
        <f>'Informe Kelly'!E467</f>
        <v>08.04.2011</v>
      </c>
      <c r="D473" s="112" t="e">
        <f>VLOOKUP(A473,Ingreso!K:P,6,FALSE)</f>
        <v>#N/A</v>
      </c>
      <c r="E473" s="142" t="e">
        <f>(VLOOKUP(D473,$D$2:$E$4,2,FALSE))-(IF('Informe Kelly'!H467=$A$2,'Informe Kelly'!F467,VLOOKUP(D473,$D$2:$E$4,2,FALSE)))</f>
        <v>#N/A</v>
      </c>
      <c r="F473" s="142" t="e">
        <f>IF('Informe Kelly'!H467=$A$3,'Informe Kelly'!F467,VLOOKUP(D473,$D$2:$F$4,3,FALSE))-(VLOOKUP(D473,$D$2:$F$4,3,FALSE))</f>
        <v>#N/A</v>
      </c>
      <c r="G473" s="137" t="e">
        <f t="shared" si="11"/>
        <v>#N/A</v>
      </c>
    </row>
    <row r="474" spans="1:7">
      <c r="A474" s="112" t="str">
        <f>VLOOKUP('Informe Kelly'!A468,Base!A:B,2,FALSE)</f>
        <v>08.283.277-7</v>
      </c>
      <c r="B474" s="112" t="str">
        <f>VLOOKUP('Informe Kelly'!A468,Base!A:G,7,FALSE)</f>
        <v>ARANCIBIA VILLAROEL LEONALDO ALFREDO</v>
      </c>
      <c r="C474" s="112" t="str">
        <f>'Informe Kelly'!E468</f>
        <v>08.04.2011</v>
      </c>
      <c r="D474" s="112" t="e">
        <f>VLOOKUP(A474,Ingreso!K:P,6,FALSE)</f>
        <v>#N/A</v>
      </c>
      <c r="E474" s="142" t="e">
        <f>(VLOOKUP(D474,$D$2:$E$4,2,FALSE))-(IF('Informe Kelly'!H468=$A$2,'Informe Kelly'!F468,VLOOKUP(D474,$D$2:$E$4,2,FALSE)))</f>
        <v>#N/A</v>
      </c>
      <c r="F474" s="142" t="e">
        <f>IF('Informe Kelly'!H468=$A$3,'Informe Kelly'!F468,VLOOKUP(D474,$D$2:$F$4,3,FALSE))-(VLOOKUP(D474,$D$2:$F$4,3,FALSE))</f>
        <v>#N/A</v>
      </c>
      <c r="G474" s="137" t="e">
        <f t="shared" si="11"/>
        <v>#N/A</v>
      </c>
    </row>
    <row r="475" spans="1:7">
      <c r="A475" s="112" t="str">
        <f>VLOOKUP('Informe Kelly'!A469,Base!A:B,2,FALSE)</f>
        <v>08.283.277-7</v>
      </c>
      <c r="B475" s="112" t="str">
        <f>VLOOKUP('Informe Kelly'!A469,Base!A:G,7,FALSE)</f>
        <v>ARANCIBIA VILLAROEL LEONALDO ALFREDO</v>
      </c>
      <c r="C475" s="112" t="str">
        <f>'Informe Kelly'!E469</f>
        <v>09.04.2011</v>
      </c>
      <c r="D475" s="112" t="e">
        <f>VLOOKUP(A475,Ingreso!K:P,6,FALSE)</f>
        <v>#N/A</v>
      </c>
      <c r="E475" s="142" t="e">
        <f>(VLOOKUP(D475,$D$2:$E$4,2,FALSE))-(IF('Informe Kelly'!H469=$A$2,'Informe Kelly'!F469,VLOOKUP(D475,$D$2:$E$4,2,FALSE)))</f>
        <v>#N/A</v>
      </c>
      <c r="F475" s="142" t="e">
        <f>IF('Informe Kelly'!H469=$A$3,'Informe Kelly'!F469,VLOOKUP(D475,$D$2:$F$4,3,FALSE))-(VLOOKUP(D475,$D$2:$F$4,3,FALSE))</f>
        <v>#N/A</v>
      </c>
      <c r="G475" s="137" t="e">
        <f t="shared" si="11"/>
        <v>#N/A</v>
      </c>
    </row>
    <row r="476" spans="1:7">
      <c r="A476" s="112" t="str">
        <f>VLOOKUP('Informe Kelly'!A470,Base!A:B,2,FALSE)</f>
        <v>08.283.277-7</v>
      </c>
      <c r="B476" s="112" t="str">
        <f>VLOOKUP('Informe Kelly'!A470,Base!A:G,7,FALSE)</f>
        <v>ARANCIBIA VILLAROEL LEONALDO ALFREDO</v>
      </c>
      <c r="C476" s="112" t="str">
        <f>'Informe Kelly'!E470</f>
        <v>09.04.2011</v>
      </c>
      <c r="D476" s="112" t="e">
        <f>VLOOKUP(A476,Ingreso!K:P,6,FALSE)</f>
        <v>#N/A</v>
      </c>
      <c r="E476" s="142" t="e">
        <f>(VLOOKUP(D476,$D$2:$E$4,2,FALSE))-(IF('Informe Kelly'!H470=$A$2,'Informe Kelly'!F470,VLOOKUP(D476,$D$2:$E$4,2,FALSE)))</f>
        <v>#N/A</v>
      </c>
      <c r="F476" s="142" t="e">
        <f>IF('Informe Kelly'!H470=$A$3,'Informe Kelly'!F470,VLOOKUP(D476,$D$2:$F$4,3,FALSE))-(VLOOKUP(D476,$D$2:$F$4,3,FALSE))</f>
        <v>#N/A</v>
      </c>
      <c r="G476" s="137" t="e">
        <f t="shared" si="11"/>
        <v>#N/A</v>
      </c>
    </row>
    <row r="477" spans="1:7">
      <c r="A477" s="112" t="str">
        <f>VLOOKUP('Informe Kelly'!A471,Base!A:B,2,FALSE)</f>
        <v>08.332.629-8</v>
      </c>
      <c r="B477" s="112" t="str">
        <f>VLOOKUP('Informe Kelly'!A471,Base!A:G,7,FALSE)</f>
        <v>ARRIAGADA JARA JUAN</v>
      </c>
      <c r="C477" s="112" t="str">
        <f>'Informe Kelly'!E471</f>
        <v>04.04.2011</v>
      </c>
      <c r="D477" s="112" t="e">
        <f>VLOOKUP(A477,Ingreso!K:P,6,FALSE)</f>
        <v>#N/A</v>
      </c>
      <c r="E477" s="142" t="e">
        <f>(VLOOKUP(D477,$D$2:$E$4,2,FALSE))-(IF('Informe Kelly'!H471=$A$2,'Informe Kelly'!F471,VLOOKUP(D477,$D$2:$E$4,2,FALSE)))</f>
        <v>#N/A</v>
      </c>
      <c r="F477" s="142" t="e">
        <f>IF('Informe Kelly'!H471=$A$3,'Informe Kelly'!F471,VLOOKUP(D477,$D$2:$F$4,3,FALSE))-(VLOOKUP(D477,$D$2:$F$4,3,FALSE))</f>
        <v>#N/A</v>
      </c>
      <c r="G477" s="137" t="e">
        <f t="shared" si="11"/>
        <v>#N/A</v>
      </c>
    </row>
    <row r="478" spans="1:7">
      <c r="A478" s="112" t="str">
        <f>VLOOKUP('Informe Kelly'!A472,Base!A:B,2,FALSE)</f>
        <v>08.332.629-8</v>
      </c>
      <c r="B478" s="112" t="str">
        <f>VLOOKUP('Informe Kelly'!A472,Base!A:G,7,FALSE)</f>
        <v>ARRIAGADA JARA JUAN</v>
      </c>
      <c r="C478" s="112" t="str">
        <f>'Informe Kelly'!E472</f>
        <v>05.04.2011</v>
      </c>
      <c r="D478" s="112" t="e">
        <f>VLOOKUP(A478,Ingreso!K:P,6,FALSE)</f>
        <v>#N/A</v>
      </c>
      <c r="E478" s="142" t="e">
        <f>(VLOOKUP(D478,$D$2:$E$4,2,FALSE))-(IF('Informe Kelly'!H472=$A$2,'Informe Kelly'!F472,VLOOKUP(D478,$D$2:$E$4,2,FALSE)))</f>
        <v>#N/A</v>
      </c>
      <c r="F478" s="142" t="e">
        <f>IF('Informe Kelly'!H472=$A$3,'Informe Kelly'!F472,VLOOKUP(D478,$D$2:$F$4,3,FALSE))-(VLOOKUP(D478,$D$2:$F$4,3,FALSE))</f>
        <v>#N/A</v>
      </c>
      <c r="G478" s="137" t="e">
        <f t="shared" si="11"/>
        <v>#N/A</v>
      </c>
    </row>
    <row r="479" spans="1:7">
      <c r="A479" s="112" t="str">
        <f>VLOOKUP('Informe Kelly'!A473,Base!A:B,2,FALSE)</f>
        <v>08.332.629-8</v>
      </c>
      <c r="B479" s="112" t="str">
        <f>VLOOKUP('Informe Kelly'!A473,Base!A:G,7,FALSE)</f>
        <v>ARRIAGADA JARA JUAN</v>
      </c>
      <c r="C479" s="112" t="str">
        <f>'Informe Kelly'!E473</f>
        <v>05.04.2011</v>
      </c>
      <c r="D479" s="112" t="e">
        <f>VLOOKUP(A479,Ingreso!K:P,6,FALSE)</f>
        <v>#N/A</v>
      </c>
      <c r="E479" s="142" t="e">
        <f>(VLOOKUP(D479,$D$2:$E$4,2,FALSE))-(IF('Informe Kelly'!H473=$A$2,'Informe Kelly'!F473,VLOOKUP(D479,$D$2:$E$4,2,FALSE)))</f>
        <v>#N/A</v>
      </c>
      <c r="F479" s="142" t="e">
        <f>IF('Informe Kelly'!H473=$A$3,'Informe Kelly'!F473,VLOOKUP(D479,$D$2:$F$4,3,FALSE))-(VLOOKUP(D479,$D$2:$F$4,3,FALSE))</f>
        <v>#N/A</v>
      </c>
      <c r="G479" s="137" t="e">
        <f t="shared" si="11"/>
        <v>#N/A</v>
      </c>
    </row>
    <row r="480" spans="1:7">
      <c r="A480" s="112" t="str">
        <f>VLOOKUP('Informe Kelly'!A474,Base!A:B,2,FALSE)</f>
        <v>08.332.629-8</v>
      </c>
      <c r="B480" s="112" t="str">
        <f>VLOOKUP('Informe Kelly'!A474,Base!A:G,7,FALSE)</f>
        <v>ARRIAGADA JARA JUAN</v>
      </c>
      <c r="C480" s="112" t="str">
        <f>'Informe Kelly'!E474</f>
        <v>06.04.2011</v>
      </c>
      <c r="D480" s="112" t="e">
        <f>VLOOKUP(A480,Ingreso!K:P,6,FALSE)</f>
        <v>#N/A</v>
      </c>
      <c r="E480" s="142" t="e">
        <f>(VLOOKUP(D480,$D$2:$E$4,2,FALSE))-(IF('Informe Kelly'!H474=$A$2,'Informe Kelly'!F474,VLOOKUP(D480,$D$2:$E$4,2,FALSE)))</f>
        <v>#N/A</v>
      </c>
      <c r="F480" s="142" t="e">
        <f>IF('Informe Kelly'!H474=$A$3,'Informe Kelly'!F474,VLOOKUP(D480,$D$2:$F$4,3,FALSE))-(VLOOKUP(D480,$D$2:$F$4,3,FALSE))</f>
        <v>#N/A</v>
      </c>
      <c r="G480" s="137" t="e">
        <f t="shared" si="11"/>
        <v>#N/A</v>
      </c>
    </row>
    <row r="481" spans="1:7">
      <c r="A481" s="112" t="str">
        <f>VLOOKUP('Informe Kelly'!A475,Base!A:B,2,FALSE)</f>
        <v>08.332.629-8</v>
      </c>
      <c r="B481" s="112" t="str">
        <f>VLOOKUP('Informe Kelly'!A475,Base!A:G,7,FALSE)</f>
        <v>ARRIAGADA JARA JUAN</v>
      </c>
      <c r="C481" s="112" t="str">
        <f>'Informe Kelly'!E475</f>
        <v>06.04.2011</v>
      </c>
      <c r="D481" s="112" t="e">
        <f>VLOOKUP(A481,Ingreso!K:P,6,FALSE)</f>
        <v>#N/A</v>
      </c>
      <c r="E481" s="142" t="e">
        <f>(VLOOKUP(D481,$D$2:$E$4,2,FALSE))-(IF('Informe Kelly'!H475=$A$2,'Informe Kelly'!F475,VLOOKUP(D481,$D$2:$E$4,2,FALSE)))</f>
        <v>#N/A</v>
      </c>
      <c r="F481" s="142" t="e">
        <f>IF('Informe Kelly'!H475=$A$3,'Informe Kelly'!F475,VLOOKUP(D481,$D$2:$F$4,3,FALSE))-(VLOOKUP(D481,$D$2:$F$4,3,FALSE))</f>
        <v>#N/A</v>
      </c>
      <c r="G481" s="137" t="e">
        <f t="shared" si="11"/>
        <v>#N/A</v>
      </c>
    </row>
    <row r="482" spans="1:7">
      <c r="A482" s="112" t="str">
        <f>VLOOKUP('Informe Kelly'!A476,Base!A:B,2,FALSE)</f>
        <v>08.332.629-8</v>
      </c>
      <c r="B482" s="112" t="str">
        <f>VLOOKUP('Informe Kelly'!A476,Base!A:G,7,FALSE)</f>
        <v>ARRIAGADA JARA JUAN</v>
      </c>
      <c r="C482" s="112" t="str">
        <f>'Informe Kelly'!E476</f>
        <v>07.04.2011</v>
      </c>
      <c r="D482" s="112" t="e">
        <f>VLOOKUP(A482,Ingreso!K:P,6,FALSE)</f>
        <v>#N/A</v>
      </c>
      <c r="E482" s="142" t="e">
        <f>(VLOOKUP(D482,$D$2:$E$4,2,FALSE))-(IF('Informe Kelly'!H476=$A$2,'Informe Kelly'!F476,VLOOKUP(D482,$D$2:$E$4,2,FALSE)))</f>
        <v>#N/A</v>
      </c>
      <c r="F482" s="142" t="e">
        <f>IF('Informe Kelly'!H476=$A$3,'Informe Kelly'!F476,VLOOKUP(D482,$D$2:$F$4,3,FALSE))-(VLOOKUP(D482,$D$2:$F$4,3,FALSE))</f>
        <v>#N/A</v>
      </c>
      <c r="G482" s="137" t="e">
        <f t="shared" si="11"/>
        <v>#N/A</v>
      </c>
    </row>
    <row r="483" spans="1:7">
      <c r="A483" s="112" t="str">
        <f>VLOOKUP('Informe Kelly'!A477,Base!A:B,2,FALSE)</f>
        <v>08.332.629-8</v>
      </c>
      <c r="B483" s="112" t="str">
        <f>VLOOKUP('Informe Kelly'!A477,Base!A:G,7,FALSE)</f>
        <v>ARRIAGADA JARA JUAN</v>
      </c>
      <c r="C483" s="112" t="str">
        <f>'Informe Kelly'!E477</f>
        <v>07.04.2011</v>
      </c>
      <c r="D483" s="112" t="e">
        <f>VLOOKUP(A483,Ingreso!K:P,6,FALSE)</f>
        <v>#N/A</v>
      </c>
      <c r="E483" s="142" t="e">
        <f>(VLOOKUP(D483,$D$2:$E$4,2,FALSE))-(IF('Informe Kelly'!H477=$A$2,'Informe Kelly'!F477,VLOOKUP(D483,$D$2:$E$4,2,FALSE)))</f>
        <v>#N/A</v>
      </c>
      <c r="F483" s="142" t="e">
        <f>IF('Informe Kelly'!H477=$A$3,'Informe Kelly'!F477,VLOOKUP(D483,$D$2:$F$4,3,FALSE))-(VLOOKUP(D483,$D$2:$F$4,3,FALSE))</f>
        <v>#N/A</v>
      </c>
      <c r="G483" s="137" t="e">
        <f t="shared" si="11"/>
        <v>#N/A</v>
      </c>
    </row>
    <row r="484" spans="1:7">
      <c r="A484" s="112" t="str">
        <f>VLOOKUP('Informe Kelly'!A478,Base!A:B,2,FALSE)</f>
        <v>08.332.629-8</v>
      </c>
      <c r="B484" s="112" t="str">
        <f>VLOOKUP('Informe Kelly'!A478,Base!A:G,7,FALSE)</f>
        <v>ARRIAGADA JARA JUAN</v>
      </c>
      <c r="C484" s="112" t="str">
        <f>'Informe Kelly'!E478</f>
        <v>08.04.2011</v>
      </c>
      <c r="D484" s="112" t="e">
        <f>VLOOKUP(A484,Ingreso!K:P,6,FALSE)</f>
        <v>#N/A</v>
      </c>
      <c r="E484" s="142" t="e">
        <f>(VLOOKUP(D484,$D$2:$E$4,2,FALSE))-(IF('Informe Kelly'!H478=$A$2,'Informe Kelly'!F478,VLOOKUP(D484,$D$2:$E$4,2,FALSE)))</f>
        <v>#N/A</v>
      </c>
      <c r="F484" s="142" t="e">
        <f>IF('Informe Kelly'!H478=$A$3,'Informe Kelly'!F478,VLOOKUP(D484,$D$2:$F$4,3,FALSE))-(VLOOKUP(D484,$D$2:$F$4,3,FALSE))</f>
        <v>#N/A</v>
      </c>
      <c r="G484" s="137" t="e">
        <f t="shared" si="11"/>
        <v>#N/A</v>
      </c>
    </row>
    <row r="485" spans="1:7">
      <c r="A485" s="112" t="str">
        <f>VLOOKUP('Informe Kelly'!A479,Base!A:B,2,FALSE)</f>
        <v>08.332.629-8</v>
      </c>
      <c r="B485" s="112" t="str">
        <f>VLOOKUP('Informe Kelly'!A479,Base!A:G,7,FALSE)</f>
        <v>ARRIAGADA JARA JUAN</v>
      </c>
      <c r="C485" s="112" t="str">
        <f>'Informe Kelly'!E479</f>
        <v>08.04.2011</v>
      </c>
      <c r="D485" s="112" t="e">
        <f>VLOOKUP(A485,Ingreso!K:P,6,FALSE)</f>
        <v>#N/A</v>
      </c>
      <c r="E485" s="142" t="e">
        <f>(VLOOKUP(D485,$D$2:$E$4,2,FALSE))-(IF('Informe Kelly'!H479=$A$2,'Informe Kelly'!F479,VLOOKUP(D485,$D$2:$E$4,2,FALSE)))</f>
        <v>#N/A</v>
      </c>
      <c r="F485" s="142" t="e">
        <f>IF('Informe Kelly'!H479=$A$3,'Informe Kelly'!F479,VLOOKUP(D485,$D$2:$F$4,3,FALSE))-(VLOOKUP(D485,$D$2:$F$4,3,FALSE))</f>
        <v>#N/A</v>
      </c>
      <c r="G485" s="137" t="e">
        <f t="shared" si="11"/>
        <v>#N/A</v>
      </c>
    </row>
    <row r="486" spans="1:7">
      <c r="A486" s="112" t="str">
        <f>VLOOKUP('Informe Kelly'!A480,Base!A:B,2,FALSE)</f>
        <v>08.332.629-8</v>
      </c>
      <c r="B486" s="112" t="str">
        <f>VLOOKUP('Informe Kelly'!A480,Base!A:G,7,FALSE)</f>
        <v>ARRIAGADA JARA JUAN</v>
      </c>
      <c r="C486" s="112" t="str">
        <f>'Informe Kelly'!E480</f>
        <v>09.04.2011</v>
      </c>
      <c r="D486" s="112" t="e">
        <f>VLOOKUP(A486,Ingreso!K:P,6,FALSE)</f>
        <v>#N/A</v>
      </c>
      <c r="E486" s="142" t="e">
        <f>(VLOOKUP(D486,$D$2:$E$4,2,FALSE))-(IF('Informe Kelly'!H480=$A$2,'Informe Kelly'!F480,VLOOKUP(D486,$D$2:$E$4,2,FALSE)))</f>
        <v>#N/A</v>
      </c>
      <c r="F486" s="142" t="e">
        <f>IF('Informe Kelly'!H480=$A$3,'Informe Kelly'!F480,VLOOKUP(D486,$D$2:$F$4,3,FALSE))-(VLOOKUP(D486,$D$2:$F$4,3,FALSE))</f>
        <v>#N/A</v>
      </c>
      <c r="G486" s="137" t="e">
        <f t="shared" si="11"/>
        <v>#N/A</v>
      </c>
    </row>
    <row r="487" spans="1:7">
      <c r="A487" s="112" t="str">
        <f>VLOOKUP('Informe Kelly'!A481,Base!A:B,2,FALSE)</f>
        <v>08.360.971-0</v>
      </c>
      <c r="B487" s="112" t="str">
        <f>VLOOKUP('Informe Kelly'!A481,Base!A:G,7,FALSE)</f>
        <v>CARRERA  MAUREIRA,PACIFICO</v>
      </c>
      <c r="C487" s="112" t="str">
        <f>'Informe Kelly'!E481</f>
        <v>04.04.2011</v>
      </c>
      <c r="D487" s="112" t="e">
        <f>VLOOKUP(A487,Ingreso!K:P,6,FALSE)</f>
        <v>#N/A</v>
      </c>
      <c r="E487" s="142" t="e">
        <f>(VLOOKUP(D487,$D$2:$E$4,2,FALSE))-(IF('Informe Kelly'!H481=$A$2,'Informe Kelly'!F481,VLOOKUP(D487,$D$2:$E$4,2,FALSE)))</f>
        <v>#N/A</v>
      </c>
      <c r="F487" s="142" t="e">
        <f>IF('Informe Kelly'!H481=$A$3,'Informe Kelly'!F481,VLOOKUP(D487,$D$2:$F$4,3,FALSE))-(VLOOKUP(D487,$D$2:$F$4,3,FALSE))</f>
        <v>#N/A</v>
      </c>
      <c r="G487" s="137" t="e">
        <f t="shared" si="11"/>
        <v>#N/A</v>
      </c>
    </row>
    <row r="488" spans="1:7">
      <c r="A488" s="112" t="str">
        <f>VLOOKUP('Informe Kelly'!A482,Base!A:B,2,FALSE)</f>
        <v>08.360.971-0</v>
      </c>
      <c r="B488" s="112" t="str">
        <f>VLOOKUP('Informe Kelly'!A482,Base!A:G,7,FALSE)</f>
        <v>CARRERA  MAUREIRA,PACIFICO</v>
      </c>
      <c r="C488" s="112" t="str">
        <f>'Informe Kelly'!E482</f>
        <v>04.04.2011</v>
      </c>
      <c r="D488" s="112" t="e">
        <f>VLOOKUP(A488,Ingreso!K:P,6,FALSE)</f>
        <v>#N/A</v>
      </c>
      <c r="E488" s="142" t="e">
        <f>(VLOOKUP(D488,$D$2:$E$4,2,FALSE))-(IF('Informe Kelly'!H482=$A$2,'Informe Kelly'!F482,VLOOKUP(D488,$D$2:$E$4,2,FALSE)))</f>
        <v>#N/A</v>
      </c>
      <c r="F488" s="142" t="e">
        <f>IF('Informe Kelly'!H482=$A$3,'Informe Kelly'!F482,VLOOKUP(D488,$D$2:$F$4,3,FALSE))-(VLOOKUP(D488,$D$2:$F$4,3,FALSE))</f>
        <v>#N/A</v>
      </c>
      <c r="G488" s="137" t="e">
        <f t="shared" si="11"/>
        <v>#N/A</v>
      </c>
    </row>
    <row r="489" spans="1:7">
      <c r="A489" s="112" t="str">
        <f>VLOOKUP('Informe Kelly'!A483,Base!A:B,2,FALSE)</f>
        <v>08.360.971-0</v>
      </c>
      <c r="B489" s="112" t="str">
        <f>VLOOKUP('Informe Kelly'!A483,Base!A:G,7,FALSE)</f>
        <v>CARRERA  MAUREIRA,PACIFICO</v>
      </c>
      <c r="C489" s="112" t="str">
        <f>'Informe Kelly'!E483</f>
        <v>05.04.2011</v>
      </c>
      <c r="D489" s="112" t="e">
        <f>VLOOKUP(A489,Ingreso!K:P,6,FALSE)</f>
        <v>#N/A</v>
      </c>
      <c r="E489" s="142" t="e">
        <f>(VLOOKUP(D489,$D$2:$E$4,2,FALSE))-(IF('Informe Kelly'!H483=$A$2,'Informe Kelly'!F483,VLOOKUP(D489,$D$2:$E$4,2,FALSE)))</f>
        <v>#N/A</v>
      </c>
      <c r="F489" s="142" t="e">
        <f>IF('Informe Kelly'!H483=$A$3,'Informe Kelly'!F483,VLOOKUP(D489,$D$2:$F$4,3,FALSE))-(VLOOKUP(D489,$D$2:$F$4,3,FALSE))</f>
        <v>#N/A</v>
      </c>
      <c r="G489" s="137" t="e">
        <f t="shared" si="11"/>
        <v>#N/A</v>
      </c>
    </row>
    <row r="490" spans="1:7">
      <c r="A490" s="112" t="str">
        <f>VLOOKUP('Informe Kelly'!A484,Base!A:B,2,FALSE)</f>
        <v>08.360.971-0</v>
      </c>
      <c r="B490" s="112" t="str">
        <f>VLOOKUP('Informe Kelly'!A484,Base!A:G,7,FALSE)</f>
        <v>CARRERA  MAUREIRA,PACIFICO</v>
      </c>
      <c r="C490" s="112" t="str">
        <f>'Informe Kelly'!E484</f>
        <v>05.04.2011</v>
      </c>
      <c r="D490" s="112" t="e">
        <f>VLOOKUP(A490,Ingreso!K:P,6,FALSE)</f>
        <v>#N/A</v>
      </c>
      <c r="E490" s="142" t="e">
        <f>(VLOOKUP(D490,$D$2:$E$4,2,FALSE))-(IF('Informe Kelly'!H484=$A$2,'Informe Kelly'!F484,VLOOKUP(D490,$D$2:$E$4,2,FALSE)))</f>
        <v>#N/A</v>
      </c>
      <c r="F490" s="142" t="e">
        <f>IF('Informe Kelly'!H484=$A$3,'Informe Kelly'!F484,VLOOKUP(D490,$D$2:$F$4,3,FALSE))-(VLOOKUP(D490,$D$2:$F$4,3,FALSE))</f>
        <v>#N/A</v>
      </c>
      <c r="G490" s="137" t="e">
        <f t="shared" si="11"/>
        <v>#N/A</v>
      </c>
    </row>
    <row r="491" spans="1:7">
      <c r="A491" s="112" t="str">
        <f>VLOOKUP('Informe Kelly'!A485,Base!A:B,2,FALSE)</f>
        <v>08.360.971-0</v>
      </c>
      <c r="B491" s="112" t="str">
        <f>VLOOKUP('Informe Kelly'!A485,Base!A:G,7,FALSE)</f>
        <v>CARRERA  MAUREIRA,PACIFICO</v>
      </c>
      <c r="C491" s="112" t="str">
        <f>'Informe Kelly'!E485</f>
        <v>06.04.2011</v>
      </c>
      <c r="D491" s="112" t="e">
        <f>VLOOKUP(A491,Ingreso!K:P,6,FALSE)</f>
        <v>#N/A</v>
      </c>
      <c r="E491" s="142" t="e">
        <f>(VLOOKUP(D491,$D$2:$E$4,2,FALSE))-(IF('Informe Kelly'!H485=$A$2,'Informe Kelly'!F485,VLOOKUP(D491,$D$2:$E$4,2,FALSE)))</f>
        <v>#N/A</v>
      </c>
      <c r="F491" s="142" t="e">
        <f>IF('Informe Kelly'!H485=$A$3,'Informe Kelly'!F485,VLOOKUP(D491,$D$2:$F$4,3,FALSE))-(VLOOKUP(D491,$D$2:$F$4,3,FALSE))</f>
        <v>#N/A</v>
      </c>
      <c r="G491" s="137" t="e">
        <f t="shared" si="11"/>
        <v>#N/A</v>
      </c>
    </row>
    <row r="492" spans="1:7">
      <c r="A492" s="112" t="str">
        <f>VLOOKUP('Informe Kelly'!A486,Base!A:B,2,FALSE)</f>
        <v>08.360.971-0</v>
      </c>
      <c r="B492" s="112" t="str">
        <f>VLOOKUP('Informe Kelly'!A486,Base!A:G,7,FALSE)</f>
        <v>CARRERA  MAUREIRA,PACIFICO</v>
      </c>
      <c r="C492" s="112" t="str">
        <f>'Informe Kelly'!E486</f>
        <v>06.04.2011</v>
      </c>
      <c r="D492" s="112" t="e">
        <f>VLOOKUP(A492,Ingreso!K:P,6,FALSE)</f>
        <v>#N/A</v>
      </c>
      <c r="E492" s="142" t="e">
        <f>(VLOOKUP(D492,$D$2:$E$4,2,FALSE))-(IF('Informe Kelly'!H486=$A$2,'Informe Kelly'!F486,VLOOKUP(D492,$D$2:$E$4,2,FALSE)))</f>
        <v>#N/A</v>
      </c>
      <c r="F492" s="142" t="e">
        <f>IF('Informe Kelly'!H486=$A$3,'Informe Kelly'!F486,VLOOKUP(D492,$D$2:$F$4,3,FALSE))-(VLOOKUP(D492,$D$2:$F$4,3,FALSE))</f>
        <v>#N/A</v>
      </c>
      <c r="G492" s="137" t="e">
        <f t="shared" si="11"/>
        <v>#N/A</v>
      </c>
    </row>
    <row r="493" spans="1:7">
      <c r="A493" s="112" t="str">
        <f>VLOOKUP('Informe Kelly'!A487,Base!A:B,2,FALSE)</f>
        <v>08.360.971-0</v>
      </c>
      <c r="B493" s="112" t="str">
        <f>VLOOKUP('Informe Kelly'!A487,Base!A:G,7,FALSE)</f>
        <v>CARRERA  MAUREIRA,PACIFICO</v>
      </c>
      <c r="C493" s="112" t="str">
        <f>'Informe Kelly'!E487</f>
        <v>07.04.2011</v>
      </c>
      <c r="D493" s="112" t="e">
        <f>VLOOKUP(A493,Ingreso!K:P,6,FALSE)</f>
        <v>#N/A</v>
      </c>
      <c r="E493" s="142" t="e">
        <f>(VLOOKUP(D493,$D$2:$E$4,2,FALSE))-(IF('Informe Kelly'!H487=$A$2,'Informe Kelly'!F487,VLOOKUP(D493,$D$2:$E$4,2,FALSE)))</f>
        <v>#N/A</v>
      </c>
      <c r="F493" s="142" t="e">
        <f>IF('Informe Kelly'!H487=$A$3,'Informe Kelly'!F487,VLOOKUP(D493,$D$2:$F$4,3,FALSE))-(VLOOKUP(D493,$D$2:$F$4,3,FALSE))</f>
        <v>#N/A</v>
      </c>
      <c r="G493" s="137" t="e">
        <f t="shared" si="11"/>
        <v>#N/A</v>
      </c>
    </row>
    <row r="494" spans="1:7">
      <c r="A494" s="112" t="str">
        <f>VLOOKUP('Informe Kelly'!A488,Base!A:B,2,FALSE)</f>
        <v>08.360.971-0</v>
      </c>
      <c r="B494" s="112" t="str">
        <f>VLOOKUP('Informe Kelly'!A488,Base!A:G,7,FALSE)</f>
        <v>CARRERA  MAUREIRA,PACIFICO</v>
      </c>
      <c r="C494" s="112" t="str">
        <f>'Informe Kelly'!E488</f>
        <v>07.04.2011</v>
      </c>
      <c r="D494" s="112" t="e">
        <f>VLOOKUP(A494,Ingreso!K:P,6,FALSE)</f>
        <v>#N/A</v>
      </c>
      <c r="E494" s="142" t="e">
        <f>(VLOOKUP(D494,$D$2:$E$4,2,FALSE))-(IF('Informe Kelly'!H488=$A$2,'Informe Kelly'!F488,VLOOKUP(D494,$D$2:$E$4,2,FALSE)))</f>
        <v>#N/A</v>
      </c>
      <c r="F494" s="142" t="e">
        <f>IF('Informe Kelly'!H488=$A$3,'Informe Kelly'!F488,VLOOKUP(D494,$D$2:$F$4,3,FALSE))-(VLOOKUP(D494,$D$2:$F$4,3,FALSE))</f>
        <v>#N/A</v>
      </c>
      <c r="G494" s="137" t="e">
        <f t="shared" si="11"/>
        <v>#N/A</v>
      </c>
    </row>
    <row r="495" spans="1:7">
      <c r="A495" s="112" t="str">
        <f>VLOOKUP('Informe Kelly'!A489,Base!A:B,2,FALSE)</f>
        <v>08.360.971-0</v>
      </c>
      <c r="B495" s="112" t="str">
        <f>VLOOKUP('Informe Kelly'!A489,Base!A:G,7,FALSE)</f>
        <v>CARRERA  MAUREIRA,PACIFICO</v>
      </c>
      <c r="C495" s="112" t="str">
        <f>'Informe Kelly'!E489</f>
        <v>08.04.2011</v>
      </c>
      <c r="D495" s="112" t="e">
        <f>VLOOKUP(A495,Ingreso!K:P,6,FALSE)</f>
        <v>#N/A</v>
      </c>
      <c r="E495" s="142" t="e">
        <f>(VLOOKUP(D495,$D$2:$E$4,2,FALSE))-(IF('Informe Kelly'!H489=$A$2,'Informe Kelly'!F489,VLOOKUP(D495,$D$2:$E$4,2,FALSE)))</f>
        <v>#N/A</v>
      </c>
      <c r="F495" s="142" t="e">
        <f>IF('Informe Kelly'!H489=$A$3,'Informe Kelly'!F489,VLOOKUP(D495,$D$2:$F$4,3,FALSE))-(VLOOKUP(D495,$D$2:$F$4,3,FALSE))</f>
        <v>#N/A</v>
      </c>
      <c r="G495" s="137" t="e">
        <f t="shared" si="11"/>
        <v>#N/A</v>
      </c>
    </row>
    <row r="496" spans="1:7">
      <c r="A496" s="112" t="str">
        <f>VLOOKUP('Informe Kelly'!A490,Base!A:B,2,FALSE)</f>
        <v>08.360.971-0</v>
      </c>
      <c r="B496" s="112" t="str">
        <f>VLOOKUP('Informe Kelly'!A490,Base!A:G,7,FALSE)</f>
        <v>CARRERA  MAUREIRA,PACIFICO</v>
      </c>
      <c r="C496" s="112" t="str">
        <f>'Informe Kelly'!E490</f>
        <v>08.04.2011</v>
      </c>
      <c r="D496" s="112" t="e">
        <f>VLOOKUP(A496,Ingreso!K:P,6,FALSE)</f>
        <v>#N/A</v>
      </c>
      <c r="E496" s="142" t="e">
        <f>(VLOOKUP(D496,$D$2:$E$4,2,FALSE))-(IF('Informe Kelly'!H490=$A$2,'Informe Kelly'!F490,VLOOKUP(D496,$D$2:$E$4,2,FALSE)))</f>
        <v>#N/A</v>
      </c>
      <c r="F496" s="142" t="e">
        <f>IF('Informe Kelly'!H490=$A$3,'Informe Kelly'!F490,VLOOKUP(D496,$D$2:$F$4,3,FALSE))-(VLOOKUP(D496,$D$2:$F$4,3,FALSE))</f>
        <v>#N/A</v>
      </c>
      <c r="G496" s="137" t="e">
        <f t="shared" si="11"/>
        <v>#N/A</v>
      </c>
    </row>
    <row r="497" spans="1:7">
      <c r="A497" s="112" t="str">
        <f>VLOOKUP('Informe Kelly'!A491,Base!A:B,2,FALSE)</f>
        <v>08.360.971-0</v>
      </c>
      <c r="B497" s="112" t="str">
        <f>VLOOKUP('Informe Kelly'!A491,Base!A:G,7,FALSE)</f>
        <v>CARRERA  MAUREIRA,PACIFICO</v>
      </c>
      <c r="C497" s="112" t="str">
        <f>'Informe Kelly'!E491</f>
        <v>09.04.2011</v>
      </c>
      <c r="D497" s="112" t="e">
        <f>VLOOKUP(A497,Ingreso!K:P,6,FALSE)</f>
        <v>#N/A</v>
      </c>
      <c r="E497" s="142" t="e">
        <f>(VLOOKUP(D497,$D$2:$E$4,2,FALSE))-(IF('Informe Kelly'!H491=$A$2,'Informe Kelly'!F491,VLOOKUP(D497,$D$2:$E$4,2,FALSE)))</f>
        <v>#N/A</v>
      </c>
      <c r="F497" s="142" t="e">
        <f>IF('Informe Kelly'!H491=$A$3,'Informe Kelly'!F491,VLOOKUP(D497,$D$2:$F$4,3,FALSE))-(VLOOKUP(D497,$D$2:$F$4,3,FALSE))</f>
        <v>#N/A</v>
      </c>
      <c r="G497" s="137" t="e">
        <f t="shared" si="11"/>
        <v>#N/A</v>
      </c>
    </row>
    <row r="498" spans="1:7">
      <c r="A498" s="112" t="str">
        <f>VLOOKUP('Informe Kelly'!A492,Base!A:B,2,FALSE)</f>
        <v>08.360.971-0</v>
      </c>
      <c r="B498" s="112" t="str">
        <f>VLOOKUP('Informe Kelly'!A492,Base!A:G,7,FALSE)</f>
        <v>CARRERA  MAUREIRA,PACIFICO</v>
      </c>
      <c r="C498" s="112" t="str">
        <f>'Informe Kelly'!E492</f>
        <v>09.04.2011</v>
      </c>
      <c r="D498" s="112" t="e">
        <f>VLOOKUP(A498,Ingreso!K:P,6,FALSE)</f>
        <v>#N/A</v>
      </c>
      <c r="E498" s="142" t="e">
        <f>(VLOOKUP(D498,$D$2:$E$4,2,FALSE))-(IF('Informe Kelly'!H492=$A$2,'Informe Kelly'!F492,VLOOKUP(D498,$D$2:$E$4,2,FALSE)))</f>
        <v>#N/A</v>
      </c>
      <c r="F498" s="142" t="e">
        <f>IF('Informe Kelly'!H492=$A$3,'Informe Kelly'!F492,VLOOKUP(D498,$D$2:$F$4,3,FALSE))-(VLOOKUP(D498,$D$2:$F$4,3,FALSE))</f>
        <v>#N/A</v>
      </c>
      <c r="G498" s="137" t="e">
        <f t="shared" si="11"/>
        <v>#N/A</v>
      </c>
    </row>
    <row r="499" spans="1:7">
      <c r="A499" s="112" t="str">
        <f>VLOOKUP('Informe Kelly'!A493,Base!A:B,2,FALSE)</f>
        <v>08.406.841-1</v>
      </c>
      <c r="B499" s="112" t="str">
        <f>VLOOKUP('Informe Kelly'!A493,Base!A:G,7,FALSE)</f>
        <v>CASANOVA SALINAS BRAULIO GUILLERMO</v>
      </c>
      <c r="C499" s="112" t="str">
        <f>'Informe Kelly'!E493</f>
        <v>08.04.2011</v>
      </c>
      <c r="D499" s="112" t="e">
        <f>VLOOKUP(A499,Ingreso!K:P,6,FALSE)</f>
        <v>#N/A</v>
      </c>
      <c r="E499" s="142" t="e">
        <f>(VLOOKUP(D499,$D$2:$E$4,2,FALSE))-(IF('Informe Kelly'!H493=$A$2,'Informe Kelly'!F493,VLOOKUP(D499,$D$2:$E$4,2,FALSE)))</f>
        <v>#N/A</v>
      </c>
      <c r="F499" s="142" t="e">
        <f>IF('Informe Kelly'!H493=$A$3,'Informe Kelly'!F493,VLOOKUP(D499,$D$2:$F$4,3,FALSE))-(VLOOKUP(D499,$D$2:$F$4,3,FALSE))</f>
        <v>#N/A</v>
      </c>
      <c r="G499" s="137" t="e">
        <f t="shared" si="11"/>
        <v>#N/A</v>
      </c>
    </row>
    <row r="500" spans="1:7">
      <c r="A500" s="112" t="str">
        <f>VLOOKUP('Informe Kelly'!A494,Base!A:B,2,FALSE)</f>
        <v>08.406.841-1</v>
      </c>
      <c r="B500" s="112" t="str">
        <f>VLOOKUP('Informe Kelly'!A494,Base!A:G,7,FALSE)</f>
        <v>CASANOVA SALINAS BRAULIO GUILLERMO</v>
      </c>
      <c r="C500" s="112" t="str">
        <f>'Informe Kelly'!E494</f>
        <v>08.04.2011</v>
      </c>
      <c r="D500" s="112" t="e">
        <f>VLOOKUP(A500,Ingreso!K:P,6,FALSE)</f>
        <v>#N/A</v>
      </c>
      <c r="E500" s="142" t="e">
        <f>(VLOOKUP(D500,$D$2:$E$4,2,FALSE))-(IF('Informe Kelly'!H494=$A$2,'Informe Kelly'!F494,VLOOKUP(D500,$D$2:$E$4,2,FALSE)))</f>
        <v>#N/A</v>
      </c>
      <c r="F500" s="142" t="e">
        <f>IF('Informe Kelly'!H494=$A$3,'Informe Kelly'!F494,VLOOKUP(D500,$D$2:$F$4,3,FALSE))-(VLOOKUP(D500,$D$2:$F$4,3,FALSE))</f>
        <v>#N/A</v>
      </c>
      <c r="G500" s="137" t="e">
        <f t="shared" si="11"/>
        <v>#N/A</v>
      </c>
    </row>
    <row r="501" spans="1:7">
      <c r="A501" s="112" t="str">
        <f>VLOOKUP('Informe Kelly'!A495,Base!A:B,2,FALSE)</f>
        <v>08.406.841-1</v>
      </c>
      <c r="B501" s="112" t="str">
        <f>VLOOKUP('Informe Kelly'!A495,Base!A:G,7,FALSE)</f>
        <v>CASANOVA SALINAS BRAULIO GUILLERMO</v>
      </c>
      <c r="C501" s="112" t="str">
        <f>'Informe Kelly'!E495</f>
        <v>09.04.2011</v>
      </c>
      <c r="D501" s="112" t="e">
        <f>VLOOKUP(A501,Ingreso!K:P,6,FALSE)</f>
        <v>#N/A</v>
      </c>
      <c r="E501" s="142" t="e">
        <f>(VLOOKUP(D501,$D$2:$E$4,2,FALSE))-(IF('Informe Kelly'!H495=$A$2,'Informe Kelly'!F495,VLOOKUP(D501,$D$2:$E$4,2,FALSE)))</f>
        <v>#N/A</v>
      </c>
      <c r="F501" s="142" t="e">
        <f>IF('Informe Kelly'!H495=$A$3,'Informe Kelly'!F495,VLOOKUP(D501,$D$2:$F$4,3,FALSE))-(VLOOKUP(D501,$D$2:$F$4,3,FALSE))</f>
        <v>#N/A</v>
      </c>
      <c r="G501" s="137" t="e">
        <f t="shared" si="11"/>
        <v>#N/A</v>
      </c>
    </row>
    <row r="502" spans="1:7">
      <c r="A502" s="112" t="str">
        <f>VLOOKUP('Informe Kelly'!A496,Base!A:B,2,FALSE)</f>
        <v>08.406.841-1</v>
      </c>
      <c r="B502" s="112" t="str">
        <f>VLOOKUP('Informe Kelly'!A496,Base!A:G,7,FALSE)</f>
        <v>CASANOVA SALINAS BRAULIO GUILLERMO</v>
      </c>
      <c r="C502" s="112" t="str">
        <f>'Informe Kelly'!E496</f>
        <v>09.04.2011</v>
      </c>
      <c r="D502" s="112" t="e">
        <f>VLOOKUP(A502,Ingreso!K:P,6,FALSE)</f>
        <v>#N/A</v>
      </c>
      <c r="E502" s="142" t="e">
        <f>(VLOOKUP(D502,$D$2:$E$4,2,FALSE))-(IF('Informe Kelly'!H496=$A$2,'Informe Kelly'!F496,VLOOKUP(D502,$D$2:$E$4,2,FALSE)))</f>
        <v>#N/A</v>
      </c>
      <c r="F502" s="142" t="e">
        <f>IF('Informe Kelly'!H496=$A$3,'Informe Kelly'!F496,VLOOKUP(D502,$D$2:$F$4,3,FALSE))-(VLOOKUP(D502,$D$2:$F$4,3,FALSE))</f>
        <v>#N/A</v>
      </c>
      <c r="G502" s="137" t="e">
        <f t="shared" si="11"/>
        <v>#N/A</v>
      </c>
    </row>
    <row r="503" spans="1:7">
      <c r="A503" s="112" t="str">
        <f>VLOOKUP('Informe Kelly'!A497,Base!A:B,2,FALSE)</f>
        <v>08.454.836-7</v>
      </c>
      <c r="B503" s="112" t="str">
        <f>VLOOKUP('Informe Kelly'!A497,Base!A:G,7,FALSE)</f>
        <v>CARES LOPEZ BRIGIDA DEL CARMEN</v>
      </c>
      <c r="C503" s="112" t="str">
        <f>'Informe Kelly'!E497</f>
        <v>04.04.2011</v>
      </c>
      <c r="D503" s="112" t="e">
        <f>VLOOKUP(A503,Ingreso!K:P,6,FALSE)</f>
        <v>#N/A</v>
      </c>
      <c r="E503" s="142" t="e">
        <f>(VLOOKUP(D503,$D$2:$E$4,2,FALSE))-(IF('Informe Kelly'!H497=$A$2,'Informe Kelly'!F497,VLOOKUP(D503,$D$2:$E$4,2,FALSE)))</f>
        <v>#N/A</v>
      </c>
      <c r="F503" s="142" t="e">
        <f>IF('Informe Kelly'!H497=$A$3,'Informe Kelly'!F497,VLOOKUP(D503,$D$2:$F$4,3,FALSE))-(VLOOKUP(D503,$D$2:$F$4,3,FALSE))</f>
        <v>#N/A</v>
      </c>
      <c r="G503" s="137" t="e">
        <f t="shared" si="11"/>
        <v>#N/A</v>
      </c>
    </row>
    <row r="504" spans="1:7">
      <c r="A504" s="112" t="str">
        <f>VLOOKUP('Informe Kelly'!A498,Base!A:B,2,FALSE)</f>
        <v>08.454.836-7</v>
      </c>
      <c r="B504" s="112" t="str">
        <f>VLOOKUP('Informe Kelly'!A498,Base!A:G,7,FALSE)</f>
        <v>CARES LOPEZ BRIGIDA DEL CARMEN</v>
      </c>
      <c r="C504" s="112" t="str">
        <f>'Informe Kelly'!E498</f>
        <v>05.04.2011</v>
      </c>
      <c r="D504" s="112" t="e">
        <f>VLOOKUP(A504,Ingreso!K:P,6,FALSE)</f>
        <v>#N/A</v>
      </c>
      <c r="E504" s="142" t="e">
        <f>(VLOOKUP(D504,$D$2:$E$4,2,FALSE))-(IF('Informe Kelly'!H498=$A$2,'Informe Kelly'!F498,VLOOKUP(D504,$D$2:$E$4,2,FALSE)))</f>
        <v>#N/A</v>
      </c>
      <c r="F504" s="142" t="e">
        <f>IF('Informe Kelly'!H498=$A$3,'Informe Kelly'!F498,VLOOKUP(D504,$D$2:$F$4,3,FALSE))-(VLOOKUP(D504,$D$2:$F$4,3,FALSE))</f>
        <v>#N/A</v>
      </c>
      <c r="G504" s="137" t="e">
        <f t="shared" si="11"/>
        <v>#N/A</v>
      </c>
    </row>
    <row r="505" spans="1:7">
      <c r="A505" s="112" t="str">
        <f>VLOOKUP('Informe Kelly'!A499,Base!A:B,2,FALSE)</f>
        <v>08.454.836-7</v>
      </c>
      <c r="B505" s="112" t="str">
        <f>VLOOKUP('Informe Kelly'!A499,Base!A:G,7,FALSE)</f>
        <v>CARES LOPEZ BRIGIDA DEL CARMEN</v>
      </c>
      <c r="C505" s="112" t="str">
        <f>'Informe Kelly'!E499</f>
        <v>05.04.2011</v>
      </c>
      <c r="D505" s="112" t="e">
        <f>VLOOKUP(A505,Ingreso!K:P,6,FALSE)</f>
        <v>#N/A</v>
      </c>
      <c r="E505" s="142" t="e">
        <f>(VLOOKUP(D505,$D$2:$E$4,2,FALSE))-(IF('Informe Kelly'!H499=$A$2,'Informe Kelly'!F499,VLOOKUP(D505,$D$2:$E$4,2,FALSE)))</f>
        <v>#N/A</v>
      </c>
      <c r="F505" s="142" t="e">
        <f>IF('Informe Kelly'!H499=$A$3,'Informe Kelly'!F499,VLOOKUP(D505,$D$2:$F$4,3,FALSE))-(VLOOKUP(D505,$D$2:$F$4,3,FALSE))</f>
        <v>#N/A</v>
      </c>
      <c r="G505" s="137" t="e">
        <f t="shared" si="11"/>
        <v>#N/A</v>
      </c>
    </row>
    <row r="506" spans="1:7">
      <c r="A506" s="112" t="str">
        <f>VLOOKUP('Informe Kelly'!A500,Base!A:B,2,FALSE)</f>
        <v>08.454.836-7</v>
      </c>
      <c r="B506" s="112" t="str">
        <f>VLOOKUP('Informe Kelly'!A500,Base!A:G,7,FALSE)</f>
        <v>CARES LOPEZ BRIGIDA DEL CARMEN</v>
      </c>
      <c r="C506" s="112" t="str">
        <f>'Informe Kelly'!E500</f>
        <v>06.04.2011</v>
      </c>
      <c r="D506" s="112" t="e">
        <f>VLOOKUP(A506,Ingreso!K:P,6,FALSE)</f>
        <v>#N/A</v>
      </c>
      <c r="E506" s="142" t="e">
        <f>(VLOOKUP(D506,$D$2:$E$4,2,FALSE))-(IF('Informe Kelly'!H500=$A$2,'Informe Kelly'!F500,VLOOKUP(D506,$D$2:$E$4,2,FALSE)))</f>
        <v>#N/A</v>
      </c>
      <c r="F506" s="142" t="e">
        <f>IF('Informe Kelly'!H500=$A$3,'Informe Kelly'!F500,VLOOKUP(D506,$D$2:$F$4,3,FALSE))-(VLOOKUP(D506,$D$2:$F$4,3,FALSE))</f>
        <v>#N/A</v>
      </c>
      <c r="G506" s="137" t="e">
        <f t="shared" si="11"/>
        <v>#N/A</v>
      </c>
    </row>
    <row r="507" spans="1:7">
      <c r="A507" s="112" t="str">
        <f>VLOOKUP('Informe Kelly'!A501,Base!A:B,2,FALSE)</f>
        <v>08.454.836-7</v>
      </c>
      <c r="B507" s="112" t="str">
        <f>VLOOKUP('Informe Kelly'!A501,Base!A:G,7,FALSE)</f>
        <v>CARES LOPEZ BRIGIDA DEL CARMEN</v>
      </c>
      <c r="C507" s="112" t="str">
        <f>'Informe Kelly'!E501</f>
        <v>06.04.2011</v>
      </c>
      <c r="D507" s="112" t="e">
        <f>VLOOKUP(A507,Ingreso!K:P,6,FALSE)</f>
        <v>#N/A</v>
      </c>
      <c r="E507" s="142" t="e">
        <f>(VLOOKUP(D507,$D$2:$E$4,2,FALSE))-(IF('Informe Kelly'!H501=$A$2,'Informe Kelly'!F501,VLOOKUP(D507,$D$2:$E$4,2,FALSE)))</f>
        <v>#N/A</v>
      </c>
      <c r="F507" s="142" t="e">
        <f>IF('Informe Kelly'!H501=$A$3,'Informe Kelly'!F501,VLOOKUP(D507,$D$2:$F$4,3,FALSE))-(VLOOKUP(D507,$D$2:$F$4,3,FALSE))</f>
        <v>#N/A</v>
      </c>
      <c r="G507" s="137" t="e">
        <f t="shared" si="11"/>
        <v>#N/A</v>
      </c>
    </row>
    <row r="508" spans="1:7">
      <c r="A508" s="112" t="str">
        <f>VLOOKUP('Informe Kelly'!A502,Base!A:B,2,FALSE)</f>
        <v>08.454.836-7</v>
      </c>
      <c r="B508" s="112" t="str">
        <f>VLOOKUP('Informe Kelly'!A502,Base!A:G,7,FALSE)</f>
        <v>CARES LOPEZ BRIGIDA DEL CARMEN</v>
      </c>
      <c r="C508" s="112" t="str">
        <f>'Informe Kelly'!E502</f>
        <v>07.04.2011</v>
      </c>
      <c r="D508" s="112" t="e">
        <f>VLOOKUP(A508,Ingreso!K:P,6,FALSE)</f>
        <v>#N/A</v>
      </c>
      <c r="E508" s="142" t="e">
        <f>(VLOOKUP(D508,$D$2:$E$4,2,FALSE))-(IF('Informe Kelly'!H502=$A$2,'Informe Kelly'!F502,VLOOKUP(D508,$D$2:$E$4,2,FALSE)))</f>
        <v>#N/A</v>
      </c>
      <c r="F508" s="142" t="e">
        <f>IF('Informe Kelly'!H502=$A$3,'Informe Kelly'!F502,VLOOKUP(D508,$D$2:$F$4,3,FALSE))-(VLOOKUP(D508,$D$2:$F$4,3,FALSE))</f>
        <v>#N/A</v>
      </c>
      <c r="G508" s="137" t="e">
        <f t="shared" si="11"/>
        <v>#N/A</v>
      </c>
    </row>
    <row r="509" spans="1:7">
      <c r="A509" s="112" t="str">
        <f>VLOOKUP('Informe Kelly'!A503,Base!A:B,2,FALSE)</f>
        <v>08.454.836-7</v>
      </c>
      <c r="B509" s="112" t="str">
        <f>VLOOKUP('Informe Kelly'!A503,Base!A:G,7,FALSE)</f>
        <v>CARES LOPEZ BRIGIDA DEL CARMEN</v>
      </c>
      <c r="C509" s="112" t="str">
        <f>'Informe Kelly'!E503</f>
        <v>07.04.2011</v>
      </c>
      <c r="D509" s="112" t="e">
        <f>VLOOKUP(A509,Ingreso!K:P,6,FALSE)</f>
        <v>#N/A</v>
      </c>
      <c r="E509" s="142" t="e">
        <f>(VLOOKUP(D509,$D$2:$E$4,2,FALSE))-(IF('Informe Kelly'!H503=$A$2,'Informe Kelly'!F503,VLOOKUP(D509,$D$2:$E$4,2,FALSE)))</f>
        <v>#N/A</v>
      </c>
      <c r="F509" s="142" t="e">
        <f>IF('Informe Kelly'!H503=$A$3,'Informe Kelly'!F503,VLOOKUP(D509,$D$2:$F$4,3,FALSE))-(VLOOKUP(D509,$D$2:$F$4,3,FALSE))</f>
        <v>#N/A</v>
      </c>
      <c r="G509" s="137" t="e">
        <f t="shared" si="11"/>
        <v>#N/A</v>
      </c>
    </row>
    <row r="510" spans="1:7">
      <c r="A510" s="112" t="str">
        <f>VLOOKUP('Informe Kelly'!A504,Base!A:B,2,FALSE)</f>
        <v>08.454.836-7</v>
      </c>
      <c r="B510" s="112" t="str">
        <f>VLOOKUP('Informe Kelly'!A504,Base!A:G,7,FALSE)</f>
        <v>CARES LOPEZ BRIGIDA DEL CARMEN</v>
      </c>
      <c r="C510" s="112" t="str">
        <f>'Informe Kelly'!E504</f>
        <v>08.04.2011</v>
      </c>
      <c r="D510" s="112" t="e">
        <f>VLOOKUP(A510,Ingreso!K:P,6,FALSE)</f>
        <v>#N/A</v>
      </c>
      <c r="E510" s="142" t="e">
        <f>(VLOOKUP(D510,$D$2:$E$4,2,FALSE))-(IF('Informe Kelly'!H504=$A$2,'Informe Kelly'!F504,VLOOKUP(D510,$D$2:$E$4,2,FALSE)))</f>
        <v>#N/A</v>
      </c>
      <c r="F510" s="142" t="e">
        <f>IF('Informe Kelly'!H504=$A$3,'Informe Kelly'!F504,VLOOKUP(D510,$D$2:$F$4,3,FALSE))-(VLOOKUP(D510,$D$2:$F$4,3,FALSE))</f>
        <v>#N/A</v>
      </c>
      <c r="G510" s="137" t="e">
        <f t="shared" si="11"/>
        <v>#N/A</v>
      </c>
    </row>
    <row r="511" spans="1:7">
      <c r="A511" s="112" t="str">
        <f>VLOOKUP('Informe Kelly'!A505,Base!A:B,2,FALSE)</f>
        <v>08.454.836-7</v>
      </c>
      <c r="B511" s="112" t="str">
        <f>VLOOKUP('Informe Kelly'!A505,Base!A:G,7,FALSE)</f>
        <v>CARES LOPEZ BRIGIDA DEL CARMEN</v>
      </c>
      <c r="C511" s="112" t="str">
        <f>'Informe Kelly'!E505</f>
        <v>08.04.2011</v>
      </c>
      <c r="D511" s="112" t="e">
        <f>VLOOKUP(A511,Ingreso!K:P,6,FALSE)</f>
        <v>#N/A</v>
      </c>
      <c r="E511" s="142" t="e">
        <f>(VLOOKUP(D511,$D$2:$E$4,2,FALSE))-(IF('Informe Kelly'!H505=$A$2,'Informe Kelly'!F505,VLOOKUP(D511,$D$2:$E$4,2,FALSE)))</f>
        <v>#N/A</v>
      </c>
      <c r="F511" s="142" t="e">
        <f>IF('Informe Kelly'!H505=$A$3,'Informe Kelly'!F505,VLOOKUP(D511,$D$2:$F$4,3,FALSE))-(VLOOKUP(D511,$D$2:$F$4,3,FALSE))</f>
        <v>#N/A</v>
      </c>
      <c r="G511" s="137" t="e">
        <f t="shared" si="11"/>
        <v>#N/A</v>
      </c>
    </row>
    <row r="512" spans="1:7">
      <c r="A512" s="112" t="str">
        <f>VLOOKUP('Informe Kelly'!A506,Base!A:B,2,FALSE)</f>
        <v>08.454.836-7</v>
      </c>
      <c r="B512" s="112" t="str">
        <f>VLOOKUP('Informe Kelly'!A506,Base!A:G,7,FALSE)</f>
        <v>CARES LOPEZ BRIGIDA DEL CARMEN</v>
      </c>
      <c r="C512" s="112" t="str">
        <f>'Informe Kelly'!E506</f>
        <v>09.04.2011</v>
      </c>
      <c r="D512" s="112" t="e">
        <f>VLOOKUP(A512,Ingreso!K:P,6,FALSE)</f>
        <v>#N/A</v>
      </c>
      <c r="E512" s="142" t="e">
        <f>(VLOOKUP(D512,$D$2:$E$4,2,FALSE))-(IF('Informe Kelly'!H506=$A$2,'Informe Kelly'!F506,VLOOKUP(D512,$D$2:$E$4,2,FALSE)))</f>
        <v>#N/A</v>
      </c>
      <c r="F512" s="142" t="e">
        <f>IF('Informe Kelly'!H506=$A$3,'Informe Kelly'!F506,VLOOKUP(D512,$D$2:$F$4,3,FALSE))-(VLOOKUP(D512,$D$2:$F$4,3,FALSE))</f>
        <v>#N/A</v>
      </c>
      <c r="G512" s="137" t="e">
        <f t="shared" si="11"/>
        <v>#N/A</v>
      </c>
    </row>
    <row r="513" spans="1:7">
      <c r="A513" s="112" t="str">
        <f>VLOOKUP('Informe Kelly'!A507,Base!A:B,2,FALSE)</f>
        <v>08.465.592-9</v>
      </c>
      <c r="B513" s="112" t="str">
        <f>VLOOKUP('Informe Kelly'!A507,Base!A:G,7,FALSE)</f>
        <v>CASTAÑEDA  SANHUEZA,JUAN A</v>
      </c>
      <c r="C513" s="112" t="str">
        <f>'Informe Kelly'!E507</f>
        <v>04.04.2011</v>
      </c>
      <c r="D513" s="112" t="e">
        <f>VLOOKUP(A513,Ingreso!K:P,6,FALSE)</f>
        <v>#N/A</v>
      </c>
      <c r="E513" s="142" t="e">
        <f>(VLOOKUP(D513,$D$2:$E$4,2,FALSE))-(IF('Informe Kelly'!H507=$A$2,'Informe Kelly'!F507,VLOOKUP(D513,$D$2:$E$4,2,FALSE)))</f>
        <v>#N/A</v>
      </c>
      <c r="F513" s="142" t="e">
        <f>IF('Informe Kelly'!H507=$A$3,'Informe Kelly'!F507,VLOOKUP(D513,$D$2:$F$4,3,FALSE))-(VLOOKUP(D513,$D$2:$F$4,3,FALSE))</f>
        <v>#N/A</v>
      </c>
      <c r="G513" s="137" t="e">
        <f t="shared" si="11"/>
        <v>#N/A</v>
      </c>
    </row>
    <row r="514" spans="1:7">
      <c r="A514" s="112" t="str">
        <f>VLOOKUP('Informe Kelly'!A508,Base!A:B,2,FALSE)</f>
        <v>08.465.592-9</v>
      </c>
      <c r="B514" s="112" t="str">
        <f>VLOOKUP('Informe Kelly'!A508,Base!A:G,7,FALSE)</f>
        <v>CASTAÑEDA  SANHUEZA,JUAN A</v>
      </c>
      <c r="C514" s="112" t="str">
        <f>'Informe Kelly'!E508</f>
        <v>04.04.2011</v>
      </c>
      <c r="D514" s="112" t="e">
        <f>VLOOKUP(A514,Ingreso!K:P,6,FALSE)</f>
        <v>#N/A</v>
      </c>
      <c r="E514" s="142" t="e">
        <f>(VLOOKUP(D514,$D$2:$E$4,2,FALSE))-(IF('Informe Kelly'!H508=$A$2,'Informe Kelly'!F508,VLOOKUP(D514,$D$2:$E$4,2,FALSE)))</f>
        <v>#N/A</v>
      </c>
      <c r="F514" s="142" t="e">
        <f>IF('Informe Kelly'!H508=$A$3,'Informe Kelly'!F508,VLOOKUP(D514,$D$2:$F$4,3,FALSE))-(VLOOKUP(D514,$D$2:$F$4,3,FALSE))</f>
        <v>#N/A</v>
      </c>
      <c r="G514" s="137" t="e">
        <f t="shared" si="11"/>
        <v>#N/A</v>
      </c>
    </row>
    <row r="515" spans="1:7">
      <c r="A515" s="112" t="str">
        <f>VLOOKUP('Informe Kelly'!A509,Base!A:B,2,FALSE)</f>
        <v>08.465.592-9</v>
      </c>
      <c r="B515" s="112" t="str">
        <f>VLOOKUP('Informe Kelly'!A509,Base!A:G,7,FALSE)</f>
        <v>CASTAÑEDA  SANHUEZA,JUAN A</v>
      </c>
      <c r="C515" s="112" t="str">
        <f>'Informe Kelly'!E509</f>
        <v>05.04.2011</v>
      </c>
      <c r="D515" s="112" t="e">
        <f>VLOOKUP(A515,Ingreso!K:P,6,FALSE)</f>
        <v>#N/A</v>
      </c>
      <c r="E515" s="142" t="e">
        <f>(VLOOKUP(D515,$D$2:$E$4,2,FALSE))-(IF('Informe Kelly'!H509=$A$2,'Informe Kelly'!F509,VLOOKUP(D515,$D$2:$E$4,2,FALSE)))</f>
        <v>#N/A</v>
      </c>
      <c r="F515" s="142" t="e">
        <f>IF('Informe Kelly'!H509=$A$3,'Informe Kelly'!F509,VLOOKUP(D515,$D$2:$F$4,3,FALSE))-(VLOOKUP(D515,$D$2:$F$4,3,FALSE))</f>
        <v>#N/A</v>
      </c>
      <c r="G515" s="137" t="e">
        <f t="shared" si="11"/>
        <v>#N/A</v>
      </c>
    </row>
    <row r="516" spans="1:7">
      <c r="A516" s="112" t="str">
        <f>VLOOKUP('Informe Kelly'!A510,Base!A:B,2,FALSE)</f>
        <v>08.465.592-9</v>
      </c>
      <c r="B516" s="112" t="str">
        <f>VLOOKUP('Informe Kelly'!A510,Base!A:G,7,FALSE)</f>
        <v>CASTAÑEDA  SANHUEZA,JUAN A</v>
      </c>
      <c r="C516" s="112" t="str">
        <f>'Informe Kelly'!E510</f>
        <v>05.04.2011</v>
      </c>
      <c r="D516" s="112" t="e">
        <f>VLOOKUP(A516,Ingreso!K:P,6,FALSE)</f>
        <v>#N/A</v>
      </c>
      <c r="E516" s="142" t="e">
        <f>(VLOOKUP(D516,$D$2:$E$4,2,FALSE))-(IF('Informe Kelly'!H510=$A$2,'Informe Kelly'!F510,VLOOKUP(D516,$D$2:$E$4,2,FALSE)))</f>
        <v>#N/A</v>
      </c>
      <c r="F516" s="142" t="e">
        <f>IF('Informe Kelly'!H510=$A$3,'Informe Kelly'!F510,VLOOKUP(D516,$D$2:$F$4,3,FALSE))-(VLOOKUP(D516,$D$2:$F$4,3,FALSE))</f>
        <v>#N/A</v>
      </c>
      <c r="G516" s="137" t="e">
        <f t="shared" si="11"/>
        <v>#N/A</v>
      </c>
    </row>
    <row r="517" spans="1:7">
      <c r="A517" s="112" t="str">
        <f>VLOOKUP('Informe Kelly'!A511,Base!A:B,2,FALSE)</f>
        <v>08.465.592-9</v>
      </c>
      <c r="B517" s="112" t="str">
        <f>VLOOKUP('Informe Kelly'!A511,Base!A:G,7,FALSE)</f>
        <v>CASTAÑEDA  SANHUEZA,JUAN A</v>
      </c>
      <c r="C517" s="112" t="str">
        <f>'Informe Kelly'!E511</f>
        <v>06.04.2011</v>
      </c>
      <c r="D517" s="112" t="e">
        <f>VLOOKUP(A517,Ingreso!K:P,6,FALSE)</f>
        <v>#N/A</v>
      </c>
      <c r="E517" s="142" t="e">
        <f>(VLOOKUP(D517,$D$2:$E$4,2,FALSE))-(IF('Informe Kelly'!H511=$A$2,'Informe Kelly'!F511,VLOOKUP(D517,$D$2:$E$4,2,FALSE)))</f>
        <v>#N/A</v>
      </c>
      <c r="F517" s="142" t="e">
        <f>IF('Informe Kelly'!H511=$A$3,'Informe Kelly'!F511,VLOOKUP(D517,$D$2:$F$4,3,FALSE))-(VLOOKUP(D517,$D$2:$F$4,3,FALSE))</f>
        <v>#N/A</v>
      </c>
      <c r="G517" s="137" t="e">
        <f t="shared" si="11"/>
        <v>#N/A</v>
      </c>
    </row>
    <row r="518" spans="1:7">
      <c r="A518" s="112" t="str">
        <f>VLOOKUP('Informe Kelly'!A512,Base!A:B,2,FALSE)</f>
        <v>08.465.592-9</v>
      </c>
      <c r="B518" s="112" t="str">
        <f>VLOOKUP('Informe Kelly'!A512,Base!A:G,7,FALSE)</f>
        <v>CASTAÑEDA  SANHUEZA,JUAN A</v>
      </c>
      <c r="C518" s="112" t="str">
        <f>'Informe Kelly'!E512</f>
        <v>06.04.2011</v>
      </c>
      <c r="D518" s="112" t="e">
        <f>VLOOKUP(A518,Ingreso!K:P,6,FALSE)</f>
        <v>#N/A</v>
      </c>
      <c r="E518" s="142" t="e">
        <f>(VLOOKUP(D518,$D$2:$E$4,2,FALSE))-(IF('Informe Kelly'!H512=$A$2,'Informe Kelly'!F512,VLOOKUP(D518,$D$2:$E$4,2,FALSE)))</f>
        <v>#N/A</v>
      </c>
      <c r="F518" s="142" t="e">
        <f>IF('Informe Kelly'!H512=$A$3,'Informe Kelly'!F512,VLOOKUP(D518,$D$2:$F$4,3,FALSE))-(VLOOKUP(D518,$D$2:$F$4,3,FALSE))</f>
        <v>#N/A</v>
      </c>
      <c r="G518" s="137" t="e">
        <f t="shared" si="11"/>
        <v>#N/A</v>
      </c>
    </row>
    <row r="519" spans="1:7">
      <c r="A519" s="112" t="str">
        <f>VLOOKUP('Informe Kelly'!A513,Base!A:B,2,FALSE)</f>
        <v>08.465.592-9</v>
      </c>
      <c r="B519" s="112" t="str">
        <f>VLOOKUP('Informe Kelly'!A513,Base!A:G,7,FALSE)</f>
        <v>CASTAÑEDA  SANHUEZA,JUAN A</v>
      </c>
      <c r="C519" s="112" t="str">
        <f>'Informe Kelly'!E513</f>
        <v>07.04.2011</v>
      </c>
      <c r="D519" s="112" t="e">
        <f>VLOOKUP(A519,Ingreso!K:P,6,FALSE)</f>
        <v>#N/A</v>
      </c>
      <c r="E519" s="142" t="e">
        <f>(VLOOKUP(D519,$D$2:$E$4,2,FALSE))-(IF('Informe Kelly'!H513=$A$2,'Informe Kelly'!F513,VLOOKUP(D519,$D$2:$E$4,2,FALSE)))</f>
        <v>#N/A</v>
      </c>
      <c r="F519" s="142" t="e">
        <f>IF('Informe Kelly'!H513=$A$3,'Informe Kelly'!F513,VLOOKUP(D519,$D$2:$F$4,3,FALSE))-(VLOOKUP(D519,$D$2:$F$4,3,FALSE))</f>
        <v>#N/A</v>
      </c>
      <c r="G519" s="137" t="e">
        <f t="shared" si="11"/>
        <v>#N/A</v>
      </c>
    </row>
    <row r="520" spans="1:7">
      <c r="A520" s="112" t="str">
        <f>VLOOKUP('Informe Kelly'!A514,Base!A:B,2,FALSE)</f>
        <v>08.465.592-9</v>
      </c>
      <c r="B520" s="112" t="str">
        <f>VLOOKUP('Informe Kelly'!A514,Base!A:G,7,FALSE)</f>
        <v>CASTAÑEDA  SANHUEZA,JUAN A</v>
      </c>
      <c r="C520" s="112" t="str">
        <f>'Informe Kelly'!E514</f>
        <v>07.04.2011</v>
      </c>
      <c r="D520" s="112" t="e">
        <f>VLOOKUP(A520,Ingreso!K:P,6,FALSE)</f>
        <v>#N/A</v>
      </c>
      <c r="E520" s="142" t="e">
        <f>(VLOOKUP(D520,$D$2:$E$4,2,FALSE))-(IF('Informe Kelly'!H514=$A$2,'Informe Kelly'!F514,VLOOKUP(D520,$D$2:$E$4,2,FALSE)))</f>
        <v>#N/A</v>
      </c>
      <c r="F520" s="142" t="e">
        <f>IF('Informe Kelly'!H514=$A$3,'Informe Kelly'!F514,VLOOKUP(D520,$D$2:$F$4,3,FALSE))-(VLOOKUP(D520,$D$2:$F$4,3,FALSE))</f>
        <v>#N/A</v>
      </c>
      <c r="G520" s="137" t="e">
        <f t="shared" si="11"/>
        <v>#N/A</v>
      </c>
    </row>
    <row r="521" spans="1:7">
      <c r="A521" s="112" t="str">
        <f>VLOOKUP('Informe Kelly'!A515,Base!A:B,2,FALSE)</f>
        <v>08.465.592-9</v>
      </c>
      <c r="B521" s="112" t="str">
        <f>VLOOKUP('Informe Kelly'!A515,Base!A:G,7,FALSE)</f>
        <v>CASTAÑEDA  SANHUEZA,JUAN A</v>
      </c>
      <c r="C521" s="112" t="str">
        <f>'Informe Kelly'!E515</f>
        <v>08.04.2011</v>
      </c>
      <c r="D521" s="112" t="e">
        <f>VLOOKUP(A521,Ingreso!K:P,6,FALSE)</f>
        <v>#N/A</v>
      </c>
      <c r="E521" s="142" t="e">
        <f>(VLOOKUP(D521,$D$2:$E$4,2,FALSE))-(IF('Informe Kelly'!H515=$A$2,'Informe Kelly'!F515,VLOOKUP(D521,$D$2:$E$4,2,FALSE)))</f>
        <v>#N/A</v>
      </c>
      <c r="F521" s="142" t="e">
        <f>IF('Informe Kelly'!H515=$A$3,'Informe Kelly'!F515,VLOOKUP(D521,$D$2:$F$4,3,FALSE))-(VLOOKUP(D521,$D$2:$F$4,3,FALSE))</f>
        <v>#N/A</v>
      </c>
      <c r="G521" s="137" t="e">
        <f t="shared" ref="G521:G584" si="12">IF(E521="",IF(F521&lt;0.0409722222222222,0,E521),IF(E521&lt;0.0409722222222222,0,E521))</f>
        <v>#N/A</v>
      </c>
    </row>
    <row r="522" spans="1:7">
      <c r="A522" s="112" t="str">
        <f>VLOOKUP('Informe Kelly'!A516,Base!A:B,2,FALSE)</f>
        <v>08.465.592-9</v>
      </c>
      <c r="B522" s="112" t="str">
        <f>VLOOKUP('Informe Kelly'!A516,Base!A:G,7,FALSE)</f>
        <v>CASTAÑEDA  SANHUEZA,JUAN A</v>
      </c>
      <c r="C522" s="112" t="str">
        <f>'Informe Kelly'!E516</f>
        <v>08.04.2011</v>
      </c>
      <c r="D522" s="112" t="e">
        <f>VLOOKUP(A522,Ingreso!K:P,6,FALSE)</f>
        <v>#N/A</v>
      </c>
      <c r="E522" s="142" t="e">
        <f>(VLOOKUP(D522,$D$2:$E$4,2,FALSE))-(IF('Informe Kelly'!H516=$A$2,'Informe Kelly'!F516,VLOOKUP(D522,$D$2:$E$4,2,FALSE)))</f>
        <v>#N/A</v>
      </c>
      <c r="F522" s="142" t="e">
        <f>IF('Informe Kelly'!H516=$A$3,'Informe Kelly'!F516,VLOOKUP(D522,$D$2:$F$4,3,FALSE))-(VLOOKUP(D522,$D$2:$F$4,3,FALSE))</f>
        <v>#N/A</v>
      </c>
      <c r="G522" s="137" t="e">
        <f t="shared" si="12"/>
        <v>#N/A</v>
      </c>
    </row>
    <row r="523" spans="1:7">
      <c r="A523" s="112" t="str">
        <f>VLOOKUP('Informe Kelly'!A517,Base!A:B,2,FALSE)</f>
        <v>08.465.592-9</v>
      </c>
      <c r="B523" s="112" t="str">
        <f>VLOOKUP('Informe Kelly'!A517,Base!A:G,7,FALSE)</f>
        <v>CASTAÑEDA  SANHUEZA,JUAN A</v>
      </c>
      <c r="C523" s="112" t="str">
        <f>'Informe Kelly'!E517</f>
        <v>09.04.2011</v>
      </c>
      <c r="D523" s="112" t="e">
        <f>VLOOKUP(A523,Ingreso!K:P,6,FALSE)</f>
        <v>#N/A</v>
      </c>
      <c r="E523" s="142" t="e">
        <f>(VLOOKUP(D523,$D$2:$E$4,2,FALSE))-(IF('Informe Kelly'!H517=$A$2,'Informe Kelly'!F517,VLOOKUP(D523,$D$2:$E$4,2,FALSE)))</f>
        <v>#N/A</v>
      </c>
      <c r="F523" s="142" t="e">
        <f>IF('Informe Kelly'!H517=$A$3,'Informe Kelly'!F517,VLOOKUP(D523,$D$2:$F$4,3,FALSE))-(VLOOKUP(D523,$D$2:$F$4,3,FALSE))</f>
        <v>#N/A</v>
      </c>
      <c r="G523" s="137" t="e">
        <f t="shared" si="12"/>
        <v>#N/A</v>
      </c>
    </row>
    <row r="524" spans="1:7">
      <c r="A524" s="112" t="str">
        <f>VLOOKUP('Informe Kelly'!A518,Base!A:B,2,FALSE)</f>
        <v>08.465.592-9</v>
      </c>
      <c r="B524" s="112" t="str">
        <f>VLOOKUP('Informe Kelly'!A518,Base!A:G,7,FALSE)</f>
        <v>CASTAÑEDA  SANHUEZA,JUAN A</v>
      </c>
      <c r="C524" s="112" t="str">
        <f>'Informe Kelly'!E518</f>
        <v>09.04.2011</v>
      </c>
      <c r="D524" s="112" t="e">
        <f>VLOOKUP(A524,Ingreso!K:P,6,FALSE)</f>
        <v>#N/A</v>
      </c>
      <c r="E524" s="142" t="e">
        <f>(VLOOKUP(D524,$D$2:$E$4,2,FALSE))-(IF('Informe Kelly'!H518=$A$2,'Informe Kelly'!F518,VLOOKUP(D524,$D$2:$E$4,2,FALSE)))</f>
        <v>#N/A</v>
      </c>
      <c r="F524" s="142" t="e">
        <f>IF('Informe Kelly'!H518=$A$3,'Informe Kelly'!F518,VLOOKUP(D524,$D$2:$F$4,3,FALSE))-(VLOOKUP(D524,$D$2:$F$4,3,FALSE))</f>
        <v>#N/A</v>
      </c>
      <c r="G524" s="137" t="e">
        <f t="shared" si="12"/>
        <v>#N/A</v>
      </c>
    </row>
    <row r="525" spans="1:7">
      <c r="A525" s="112" t="str">
        <f>VLOOKUP('Informe Kelly'!A519,Base!A:B,2,FALSE)</f>
        <v>08.465.592-9</v>
      </c>
      <c r="B525" s="112" t="str">
        <f>VLOOKUP('Informe Kelly'!A519,Base!A:G,7,FALSE)</f>
        <v>CASTAÑEDA  SANHUEZA,JUAN A</v>
      </c>
      <c r="C525" s="112" t="str">
        <f>'Informe Kelly'!E519</f>
        <v>10.04.2011</v>
      </c>
      <c r="D525" s="112" t="e">
        <f>VLOOKUP(A525,Ingreso!K:P,6,FALSE)</f>
        <v>#N/A</v>
      </c>
      <c r="E525" s="142" t="e">
        <f>(VLOOKUP(D525,$D$2:$E$4,2,FALSE))-(IF('Informe Kelly'!H519=$A$2,'Informe Kelly'!F519,VLOOKUP(D525,$D$2:$E$4,2,FALSE)))</f>
        <v>#N/A</v>
      </c>
      <c r="F525" s="142" t="e">
        <f>IF('Informe Kelly'!H519=$A$3,'Informe Kelly'!F519,VLOOKUP(D525,$D$2:$F$4,3,FALSE))-(VLOOKUP(D525,$D$2:$F$4,3,FALSE))</f>
        <v>#N/A</v>
      </c>
      <c r="G525" s="137" t="e">
        <f t="shared" si="12"/>
        <v>#N/A</v>
      </c>
    </row>
    <row r="526" spans="1:7">
      <c r="A526" s="112" t="str">
        <f>VLOOKUP('Informe Kelly'!A520,Base!A:B,2,FALSE)</f>
        <v>08.618.882-1</v>
      </c>
      <c r="B526" s="112" t="str">
        <f>VLOOKUP('Informe Kelly'!A520,Base!A:G,7,FALSE)</f>
        <v>SANDOVAL ACUÑA VICTOR H.</v>
      </c>
      <c r="C526" s="112" t="str">
        <f>'Informe Kelly'!E520</f>
        <v>04.04.2011</v>
      </c>
      <c r="D526" s="112" t="e">
        <f>VLOOKUP(A526,Ingreso!K:P,6,FALSE)</f>
        <v>#N/A</v>
      </c>
      <c r="E526" s="142" t="e">
        <f>(VLOOKUP(D526,$D$2:$E$4,2,FALSE))-(IF('Informe Kelly'!H520=$A$2,'Informe Kelly'!F520,VLOOKUP(D526,$D$2:$E$4,2,FALSE)))</f>
        <v>#N/A</v>
      </c>
      <c r="F526" s="142" t="e">
        <f>IF('Informe Kelly'!H520=$A$3,'Informe Kelly'!F520,VLOOKUP(D526,$D$2:$F$4,3,FALSE))-(VLOOKUP(D526,$D$2:$F$4,3,FALSE))</f>
        <v>#N/A</v>
      </c>
      <c r="G526" s="137" t="e">
        <f t="shared" si="12"/>
        <v>#N/A</v>
      </c>
    </row>
    <row r="527" spans="1:7">
      <c r="A527" s="112" t="str">
        <f>VLOOKUP('Informe Kelly'!A521,Base!A:B,2,FALSE)</f>
        <v>08.618.882-1</v>
      </c>
      <c r="B527" s="112" t="str">
        <f>VLOOKUP('Informe Kelly'!A521,Base!A:G,7,FALSE)</f>
        <v>SANDOVAL ACUÑA VICTOR H.</v>
      </c>
      <c r="C527" s="112" t="str">
        <f>'Informe Kelly'!E521</f>
        <v>05.04.2011</v>
      </c>
      <c r="D527" s="112" t="e">
        <f>VLOOKUP(A527,Ingreso!K:P,6,FALSE)</f>
        <v>#N/A</v>
      </c>
      <c r="E527" s="142" t="e">
        <f>(VLOOKUP(D527,$D$2:$E$4,2,FALSE))-(IF('Informe Kelly'!H521=$A$2,'Informe Kelly'!F521,VLOOKUP(D527,$D$2:$E$4,2,FALSE)))</f>
        <v>#N/A</v>
      </c>
      <c r="F527" s="142" t="e">
        <f>IF('Informe Kelly'!H521=$A$3,'Informe Kelly'!F521,VLOOKUP(D527,$D$2:$F$4,3,FALSE))-(VLOOKUP(D527,$D$2:$F$4,3,FALSE))</f>
        <v>#N/A</v>
      </c>
      <c r="G527" s="137" t="e">
        <f t="shared" si="12"/>
        <v>#N/A</v>
      </c>
    </row>
    <row r="528" spans="1:7">
      <c r="A528" s="112" t="str">
        <f>VLOOKUP('Informe Kelly'!A522,Base!A:B,2,FALSE)</f>
        <v>08.618.882-1</v>
      </c>
      <c r="B528" s="112" t="str">
        <f>VLOOKUP('Informe Kelly'!A522,Base!A:G,7,FALSE)</f>
        <v>SANDOVAL ACUÑA VICTOR H.</v>
      </c>
      <c r="C528" s="112" t="str">
        <f>'Informe Kelly'!E522</f>
        <v>05.04.2011</v>
      </c>
      <c r="D528" s="112" t="e">
        <f>VLOOKUP(A528,Ingreso!K:P,6,FALSE)</f>
        <v>#N/A</v>
      </c>
      <c r="E528" s="142" t="e">
        <f>(VLOOKUP(D528,$D$2:$E$4,2,FALSE))-(IF('Informe Kelly'!H522=$A$2,'Informe Kelly'!F522,VLOOKUP(D528,$D$2:$E$4,2,FALSE)))</f>
        <v>#N/A</v>
      </c>
      <c r="F528" s="142" t="e">
        <f>IF('Informe Kelly'!H522=$A$3,'Informe Kelly'!F522,VLOOKUP(D528,$D$2:$F$4,3,FALSE))-(VLOOKUP(D528,$D$2:$F$4,3,FALSE))</f>
        <v>#N/A</v>
      </c>
      <c r="G528" s="137" t="e">
        <f t="shared" si="12"/>
        <v>#N/A</v>
      </c>
    </row>
    <row r="529" spans="1:7">
      <c r="A529" s="112" t="str">
        <f>VLOOKUP('Informe Kelly'!A523,Base!A:B,2,FALSE)</f>
        <v>08.618.882-1</v>
      </c>
      <c r="B529" s="112" t="str">
        <f>VLOOKUP('Informe Kelly'!A523,Base!A:G,7,FALSE)</f>
        <v>SANDOVAL ACUÑA VICTOR H.</v>
      </c>
      <c r="C529" s="112" t="str">
        <f>'Informe Kelly'!E523</f>
        <v>06.04.2011</v>
      </c>
      <c r="D529" s="112" t="e">
        <f>VLOOKUP(A529,Ingreso!K:P,6,FALSE)</f>
        <v>#N/A</v>
      </c>
      <c r="E529" s="142" t="e">
        <f>(VLOOKUP(D529,$D$2:$E$4,2,FALSE))-(IF('Informe Kelly'!H523=$A$2,'Informe Kelly'!F523,VLOOKUP(D529,$D$2:$E$4,2,FALSE)))</f>
        <v>#N/A</v>
      </c>
      <c r="F529" s="142" t="e">
        <f>IF('Informe Kelly'!H523=$A$3,'Informe Kelly'!F523,VLOOKUP(D529,$D$2:$F$4,3,FALSE))-(VLOOKUP(D529,$D$2:$F$4,3,FALSE))</f>
        <v>#N/A</v>
      </c>
      <c r="G529" s="137" t="e">
        <f t="shared" si="12"/>
        <v>#N/A</v>
      </c>
    </row>
    <row r="530" spans="1:7">
      <c r="A530" s="112" t="str">
        <f>VLOOKUP('Informe Kelly'!A524,Base!A:B,2,FALSE)</f>
        <v>08.618.882-1</v>
      </c>
      <c r="B530" s="112" t="str">
        <f>VLOOKUP('Informe Kelly'!A524,Base!A:G,7,FALSE)</f>
        <v>SANDOVAL ACUÑA VICTOR H.</v>
      </c>
      <c r="C530" s="112" t="str">
        <f>'Informe Kelly'!E524</f>
        <v>06.04.2011</v>
      </c>
      <c r="D530" s="112" t="e">
        <f>VLOOKUP(A530,Ingreso!K:P,6,FALSE)</f>
        <v>#N/A</v>
      </c>
      <c r="E530" s="142" t="e">
        <f>(VLOOKUP(D530,$D$2:$E$4,2,FALSE))-(IF('Informe Kelly'!H524=$A$2,'Informe Kelly'!F524,VLOOKUP(D530,$D$2:$E$4,2,FALSE)))</f>
        <v>#N/A</v>
      </c>
      <c r="F530" s="142" t="e">
        <f>IF('Informe Kelly'!H524=$A$3,'Informe Kelly'!F524,VLOOKUP(D530,$D$2:$F$4,3,FALSE))-(VLOOKUP(D530,$D$2:$F$4,3,FALSE))</f>
        <v>#N/A</v>
      </c>
      <c r="G530" s="137" t="e">
        <f t="shared" si="12"/>
        <v>#N/A</v>
      </c>
    </row>
    <row r="531" spans="1:7">
      <c r="A531" s="112" t="str">
        <f>VLOOKUP('Informe Kelly'!A525,Base!A:B,2,FALSE)</f>
        <v>08.618.882-1</v>
      </c>
      <c r="B531" s="112" t="str">
        <f>VLOOKUP('Informe Kelly'!A525,Base!A:G,7,FALSE)</f>
        <v>SANDOVAL ACUÑA VICTOR H.</v>
      </c>
      <c r="C531" s="112" t="str">
        <f>'Informe Kelly'!E525</f>
        <v>07.04.2011</v>
      </c>
      <c r="D531" s="112" t="e">
        <f>VLOOKUP(A531,Ingreso!K:P,6,FALSE)</f>
        <v>#N/A</v>
      </c>
      <c r="E531" s="142" t="e">
        <f>(VLOOKUP(D531,$D$2:$E$4,2,FALSE))-(IF('Informe Kelly'!H525=$A$2,'Informe Kelly'!F525,VLOOKUP(D531,$D$2:$E$4,2,FALSE)))</f>
        <v>#N/A</v>
      </c>
      <c r="F531" s="142" t="e">
        <f>IF('Informe Kelly'!H525=$A$3,'Informe Kelly'!F525,VLOOKUP(D531,$D$2:$F$4,3,FALSE))-(VLOOKUP(D531,$D$2:$F$4,3,FALSE))</f>
        <v>#N/A</v>
      </c>
      <c r="G531" s="137" t="e">
        <f t="shared" si="12"/>
        <v>#N/A</v>
      </c>
    </row>
    <row r="532" spans="1:7">
      <c r="A532" s="112" t="str">
        <f>VLOOKUP('Informe Kelly'!A526,Base!A:B,2,FALSE)</f>
        <v>08.618.882-1</v>
      </c>
      <c r="B532" s="112" t="str">
        <f>VLOOKUP('Informe Kelly'!A526,Base!A:G,7,FALSE)</f>
        <v>SANDOVAL ACUÑA VICTOR H.</v>
      </c>
      <c r="C532" s="112" t="str">
        <f>'Informe Kelly'!E526</f>
        <v>07.04.2011</v>
      </c>
      <c r="D532" s="112" t="e">
        <f>VLOOKUP(A532,Ingreso!K:P,6,FALSE)</f>
        <v>#N/A</v>
      </c>
      <c r="E532" s="142" t="e">
        <f>(VLOOKUP(D532,$D$2:$E$4,2,FALSE))-(IF('Informe Kelly'!H526=$A$2,'Informe Kelly'!F526,VLOOKUP(D532,$D$2:$E$4,2,FALSE)))</f>
        <v>#N/A</v>
      </c>
      <c r="F532" s="142" t="e">
        <f>IF('Informe Kelly'!H526=$A$3,'Informe Kelly'!F526,VLOOKUP(D532,$D$2:$F$4,3,FALSE))-(VLOOKUP(D532,$D$2:$F$4,3,FALSE))</f>
        <v>#N/A</v>
      </c>
      <c r="G532" s="137" t="e">
        <f t="shared" si="12"/>
        <v>#N/A</v>
      </c>
    </row>
    <row r="533" spans="1:7">
      <c r="A533" s="112" t="str">
        <f>VLOOKUP('Informe Kelly'!A527,Base!A:B,2,FALSE)</f>
        <v>08.618.882-1</v>
      </c>
      <c r="B533" s="112" t="str">
        <f>VLOOKUP('Informe Kelly'!A527,Base!A:G,7,FALSE)</f>
        <v>SANDOVAL ACUÑA VICTOR H.</v>
      </c>
      <c r="C533" s="112" t="str">
        <f>'Informe Kelly'!E527</f>
        <v>08.04.2011</v>
      </c>
      <c r="D533" s="112" t="e">
        <f>VLOOKUP(A533,Ingreso!K:P,6,FALSE)</f>
        <v>#N/A</v>
      </c>
      <c r="E533" s="142" t="e">
        <f>(VLOOKUP(D533,$D$2:$E$4,2,FALSE))-(IF('Informe Kelly'!H527=$A$2,'Informe Kelly'!F527,VLOOKUP(D533,$D$2:$E$4,2,FALSE)))</f>
        <v>#N/A</v>
      </c>
      <c r="F533" s="142" t="e">
        <f>IF('Informe Kelly'!H527=$A$3,'Informe Kelly'!F527,VLOOKUP(D533,$D$2:$F$4,3,FALSE))-(VLOOKUP(D533,$D$2:$F$4,3,FALSE))</f>
        <v>#N/A</v>
      </c>
      <c r="G533" s="137" t="e">
        <f t="shared" si="12"/>
        <v>#N/A</v>
      </c>
    </row>
    <row r="534" spans="1:7">
      <c r="A534" s="112" t="str">
        <f>VLOOKUP('Informe Kelly'!A528,Base!A:B,2,FALSE)</f>
        <v>08.618.882-1</v>
      </c>
      <c r="B534" s="112" t="str">
        <f>VLOOKUP('Informe Kelly'!A528,Base!A:G,7,FALSE)</f>
        <v>SANDOVAL ACUÑA VICTOR H.</v>
      </c>
      <c r="C534" s="112" t="str">
        <f>'Informe Kelly'!E528</f>
        <v>08.04.2011</v>
      </c>
      <c r="D534" s="112" t="e">
        <f>VLOOKUP(A534,Ingreso!K:P,6,FALSE)</f>
        <v>#N/A</v>
      </c>
      <c r="E534" s="142" t="e">
        <f>(VLOOKUP(D534,$D$2:$E$4,2,FALSE))-(IF('Informe Kelly'!H528=$A$2,'Informe Kelly'!F528,VLOOKUP(D534,$D$2:$E$4,2,FALSE)))</f>
        <v>#N/A</v>
      </c>
      <c r="F534" s="142" t="e">
        <f>IF('Informe Kelly'!H528=$A$3,'Informe Kelly'!F528,VLOOKUP(D534,$D$2:$F$4,3,FALSE))-(VLOOKUP(D534,$D$2:$F$4,3,FALSE))</f>
        <v>#N/A</v>
      </c>
      <c r="G534" s="137" t="e">
        <f t="shared" si="12"/>
        <v>#N/A</v>
      </c>
    </row>
    <row r="535" spans="1:7">
      <c r="A535" s="112" t="str">
        <f>VLOOKUP('Informe Kelly'!A529,Base!A:B,2,FALSE)</f>
        <v>08.618.882-1</v>
      </c>
      <c r="B535" s="112" t="str">
        <f>VLOOKUP('Informe Kelly'!A529,Base!A:G,7,FALSE)</f>
        <v>SANDOVAL ACUÑA VICTOR H.</v>
      </c>
      <c r="C535" s="112" t="str">
        <f>'Informe Kelly'!E529</f>
        <v>09.04.2011</v>
      </c>
      <c r="D535" s="112" t="e">
        <f>VLOOKUP(A535,Ingreso!K:P,6,FALSE)</f>
        <v>#N/A</v>
      </c>
      <c r="E535" s="142" t="e">
        <f>(VLOOKUP(D535,$D$2:$E$4,2,FALSE))-(IF('Informe Kelly'!H529=$A$2,'Informe Kelly'!F529,VLOOKUP(D535,$D$2:$E$4,2,FALSE)))</f>
        <v>#N/A</v>
      </c>
      <c r="F535" s="142" t="e">
        <f>IF('Informe Kelly'!H529=$A$3,'Informe Kelly'!F529,VLOOKUP(D535,$D$2:$F$4,3,FALSE))-(VLOOKUP(D535,$D$2:$F$4,3,FALSE))</f>
        <v>#N/A</v>
      </c>
      <c r="G535" s="137" t="e">
        <f t="shared" si="12"/>
        <v>#N/A</v>
      </c>
    </row>
    <row r="536" spans="1:7">
      <c r="A536" s="112" t="str">
        <f>VLOOKUP('Informe Kelly'!A530,Base!A:B,2,FALSE)</f>
        <v>08.634.737-7</v>
      </c>
      <c r="B536" s="112" t="str">
        <f>VLOOKUP('Informe Kelly'!A530,Base!A:G,7,FALSE)</f>
        <v>RODRIGUEZ CISTERNA RAFAEL</v>
      </c>
      <c r="C536" s="112" t="str">
        <f>'Informe Kelly'!E530</f>
        <v>04.04.2011</v>
      </c>
      <c r="D536" s="112" t="e">
        <f>VLOOKUP(A536,Ingreso!K:P,6,FALSE)</f>
        <v>#N/A</v>
      </c>
      <c r="E536" s="142" t="e">
        <f>(VLOOKUP(D536,$D$2:$E$4,2,FALSE))-(IF('Informe Kelly'!H530=$A$2,'Informe Kelly'!F530,VLOOKUP(D536,$D$2:$E$4,2,FALSE)))</f>
        <v>#N/A</v>
      </c>
      <c r="F536" s="142" t="e">
        <f>IF('Informe Kelly'!H530=$A$3,'Informe Kelly'!F530,VLOOKUP(D536,$D$2:$F$4,3,FALSE))-(VLOOKUP(D536,$D$2:$F$4,3,FALSE))</f>
        <v>#N/A</v>
      </c>
      <c r="G536" s="137" t="e">
        <f t="shared" si="12"/>
        <v>#N/A</v>
      </c>
    </row>
    <row r="537" spans="1:7">
      <c r="A537" s="112" t="str">
        <f>VLOOKUP('Informe Kelly'!A531,Base!A:B,2,FALSE)</f>
        <v>08.634.737-7</v>
      </c>
      <c r="B537" s="112" t="str">
        <f>VLOOKUP('Informe Kelly'!A531,Base!A:G,7,FALSE)</f>
        <v>RODRIGUEZ CISTERNA RAFAEL</v>
      </c>
      <c r="C537" s="112" t="str">
        <f>'Informe Kelly'!E531</f>
        <v>04.04.2011</v>
      </c>
      <c r="D537" s="112" t="e">
        <f>VLOOKUP(A537,Ingreso!K:P,6,FALSE)</f>
        <v>#N/A</v>
      </c>
      <c r="E537" s="142" t="e">
        <f>(VLOOKUP(D537,$D$2:$E$4,2,FALSE))-(IF('Informe Kelly'!H531=$A$2,'Informe Kelly'!F531,VLOOKUP(D537,$D$2:$E$4,2,FALSE)))</f>
        <v>#N/A</v>
      </c>
      <c r="F537" s="142" t="e">
        <f>IF('Informe Kelly'!H531=$A$3,'Informe Kelly'!F531,VLOOKUP(D537,$D$2:$F$4,3,FALSE))-(VLOOKUP(D537,$D$2:$F$4,3,FALSE))</f>
        <v>#N/A</v>
      </c>
      <c r="G537" s="137" t="e">
        <f t="shared" si="12"/>
        <v>#N/A</v>
      </c>
    </row>
    <row r="538" spans="1:7">
      <c r="A538" s="112" t="str">
        <f>VLOOKUP('Informe Kelly'!A532,Base!A:B,2,FALSE)</f>
        <v>08.634.737-7</v>
      </c>
      <c r="B538" s="112" t="str">
        <f>VLOOKUP('Informe Kelly'!A532,Base!A:G,7,FALSE)</f>
        <v>RODRIGUEZ CISTERNA RAFAEL</v>
      </c>
      <c r="C538" s="112" t="str">
        <f>'Informe Kelly'!E532</f>
        <v>05.04.2011</v>
      </c>
      <c r="D538" s="112" t="e">
        <f>VLOOKUP(A538,Ingreso!K:P,6,FALSE)</f>
        <v>#N/A</v>
      </c>
      <c r="E538" s="142" t="e">
        <f>(VLOOKUP(D538,$D$2:$E$4,2,FALSE))-(IF('Informe Kelly'!H532=$A$2,'Informe Kelly'!F532,VLOOKUP(D538,$D$2:$E$4,2,FALSE)))</f>
        <v>#N/A</v>
      </c>
      <c r="F538" s="142" t="e">
        <f>IF('Informe Kelly'!H532=$A$3,'Informe Kelly'!F532,VLOOKUP(D538,$D$2:$F$4,3,FALSE))-(VLOOKUP(D538,$D$2:$F$4,3,FALSE))</f>
        <v>#N/A</v>
      </c>
      <c r="G538" s="137" t="e">
        <f t="shared" si="12"/>
        <v>#N/A</v>
      </c>
    </row>
    <row r="539" spans="1:7">
      <c r="A539" s="112" t="str">
        <f>VLOOKUP('Informe Kelly'!A533,Base!A:B,2,FALSE)</f>
        <v>08.634.737-7</v>
      </c>
      <c r="B539" s="112" t="str">
        <f>VLOOKUP('Informe Kelly'!A533,Base!A:G,7,FALSE)</f>
        <v>RODRIGUEZ CISTERNA RAFAEL</v>
      </c>
      <c r="C539" s="112" t="str">
        <f>'Informe Kelly'!E533</f>
        <v>05.04.2011</v>
      </c>
      <c r="D539" s="112" t="e">
        <f>VLOOKUP(A539,Ingreso!K:P,6,FALSE)</f>
        <v>#N/A</v>
      </c>
      <c r="E539" s="142" t="e">
        <f>(VLOOKUP(D539,$D$2:$E$4,2,FALSE))-(IF('Informe Kelly'!H533=$A$2,'Informe Kelly'!F533,VLOOKUP(D539,$D$2:$E$4,2,FALSE)))</f>
        <v>#N/A</v>
      </c>
      <c r="F539" s="142" t="e">
        <f>IF('Informe Kelly'!H533=$A$3,'Informe Kelly'!F533,VLOOKUP(D539,$D$2:$F$4,3,FALSE))-(VLOOKUP(D539,$D$2:$F$4,3,FALSE))</f>
        <v>#N/A</v>
      </c>
      <c r="G539" s="137" t="e">
        <f t="shared" si="12"/>
        <v>#N/A</v>
      </c>
    </row>
    <row r="540" spans="1:7">
      <c r="A540" s="112" t="str">
        <f>VLOOKUP('Informe Kelly'!A534,Base!A:B,2,FALSE)</f>
        <v>08.634.737-7</v>
      </c>
      <c r="B540" s="112" t="str">
        <f>VLOOKUP('Informe Kelly'!A534,Base!A:G,7,FALSE)</f>
        <v>RODRIGUEZ CISTERNA RAFAEL</v>
      </c>
      <c r="C540" s="112" t="str">
        <f>'Informe Kelly'!E534</f>
        <v>06.04.2011</v>
      </c>
      <c r="D540" s="112" t="e">
        <f>VLOOKUP(A540,Ingreso!K:P,6,FALSE)</f>
        <v>#N/A</v>
      </c>
      <c r="E540" s="142" t="e">
        <f>(VLOOKUP(D540,$D$2:$E$4,2,FALSE))-(IF('Informe Kelly'!H534=$A$2,'Informe Kelly'!F534,VLOOKUP(D540,$D$2:$E$4,2,FALSE)))</f>
        <v>#N/A</v>
      </c>
      <c r="F540" s="142" t="e">
        <f>IF('Informe Kelly'!H534=$A$3,'Informe Kelly'!F534,VLOOKUP(D540,$D$2:$F$4,3,FALSE))-(VLOOKUP(D540,$D$2:$F$4,3,FALSE))</f>
        <v>#N/A</v>
      </c>
      <c r="G540" s="137" t="e">
        <f t="shared" si="12"/>
        <v>#N/A</v>
      </c>
    </row>
    <row r="541" spans="1:7">
      <c r="A541" s="112" t="str">
        <f>VLOOKUP('Informe Kelly'!A535,Base!A:B,2,FALSE)</f>
        <v>08.634.737-7</v>
      </c>
      <c r="B541" s="112" t="str">
        <f>VLOOKUP('Informe Kelly'!A535,Base!A:G,7,FALSE)</f>
        <v>RODRIGUEZ CISTERNA RAFAEL</v>
      </c>
      <c r="C541" s="112" t="str">
        <f>'Informe Kelly'!E535</f>
        <v>06.04.2011</v>
      </c>
      <c r="D541" s="112" t="e">
        <f>VLOOKUP(A541,Ingreso!K:P,6,FALSE)</f>
        <v>#N/A</v>
      </c>
      <c r="E541" s="142" t="e">
        <f>(VLOOKUP(D541,$D$2:$E$4,2,FALSE))-(IF('Informe Kelly'!H535=$A$2,'Informe Kelly'!F535,VLOOKUP(D541,$D$2:$E$4,2,FALSE)))</f>
        <v>#N/A</v>
      </c>
      <c r="F541" s="142" t="e">
        <f>IF('Informe Kelly'!H535=$A$3,'Informe Kelly'!F535,VLOOKUP(D541,$D$2:$F$4,3,FALSE))-(VLOOKUP(D541,$D$2:$F$4,3,FALSE))</f>
        <v>#N/A</v>
      </c>
      <c r="G541" s="137" t="e">
        <f t="shared" si="12"/>
        <v>#N/A</v>
      </c>
    </row>
    <row r="542" spans="1:7">
      <c r="A542" s="112" t="str">
        <f>VLOOKUP('Informe Kelly'!A536,Base!A:B,2,FALSE)</f>
        <v>08.634.737-7</v>
      </c>
      <c r="B542" s="112" t="str">
        <f>VLOOKUP('Informe Kelly'!A536,Base!A:G,7,FALSE)</f>
        <v>RODRIGUEZ CISTERNA RAFAEL</v>
      </c>
      <c r="C542" s="112" t="str">
        <f>'Informe Kelly'!E536</f>
        <v>07.04.2011</v>
      </c>
      <c r="D542" s="112" t="e">
        <f>VLOOKUP(A542,Ingreso!K:P,6,FALSE)</f>
        <v>#N/A</v>
      </c>
      <c r="E542" s="142" t="e">
        <f>(VLOOKUP(D542,$D$2:$E$4,2,FALSE))-(IF('Informe Kelly'!H536=$A$2,'Informe Kelly'!F536,VLOOKUP(D542,$D$2:$E$4,2,FALSE)))</f>
        <v>#N/A</v>
      </c>
      <c r="F542" s="142" t="e">
        <f>IF('Informe Kelly'!H536=$A$3,'Informe Kelly'!F536,VLOOKUP(D542,$D$2:$F$4,3,FALSE))-(VLOOKUP(D542,$D$2:$F$4,3,FALSE))</f>
        <v>#N/A</v>
      </c>
      <c r="G542" s="137" t="e">
        <f t="shared" si="12"/>
        <v>#N/A</v>
      </c>
    </row>
    <row r="543" spans="1:7">
      <c r="A543" s="112" t="str">
        <f>VLOOKUP('Informe Kelly'!A537,Base!A:B,2,FALSE)</f>
        <v>08.634.737-7</v>
      </c>
      <c r="B543" s="112" t="str">
        <f>VLOOKUP('Informe Kelly'!A537,Base!A:G,7,FALSE)</f>
        <v>RODRIGUEZ CISTERNA RAFAEL</v>
      </c>
      <c r="C543" s="112" t="str">
        <f>'Informe Kelly'!E537</f>
        <v>07.04.2011</v>
      </c>
      <c r="D543" s="112" t="e">
        <f>VLOOKUP(A543,Ingreso!K:P,6,FALSE)</f>
        <v>#N/A</v>
      </c>
      <c r="E543" s="142" t="e">
        <f>(VLOOKUP(D543,$D$2:$E$4,2,FALSE))-(IF('Informe Kelly'!H537=$A$2,'Informe Kelly'!F537,VLOOKUP(D543,$D$2:$E$4,2,FALSE)))</f>
        <v>#N/A</v>
      </c>
      <c r="F543" s="142" t="e">
        <f>IF('Informe Kelly'!H537=$A$3,'Informe Kelly'!F537,VLOOKUP(D543,$D$2:$F$4,3,FALSE))-(VLOOKUP(D543,$D$2:$F$4,3,FALSE))</f>
        <v>#N/A</v>
      </c>
      <c r="G543" s="137" t="e">
        <f t="shared" si="12"/>
        <v>#N/A</v>
      </c>
    </row>
    <row r="544" spans="1:7">
      <c r="A544" s="112" t="str">
        <f>VLOOKUP('Informe Kelly'!A538,Base!A:B,2,FALSE)</f>
        <v>08.634.737-7</v>
      </c>
      <c r="B544" s="112" t="str">
        <f>VLOOKUP('Informe Kelly'!A538,Base!A:G,7,FALSE)</f>
        <v>RODRIGUEZ CISTERNA RAFAEL</v>
      </c>
      <c r="C544" s="112" t="str">
        <f>'Informe Kelly'!E538</f>
        <v>08.04.2011</v>
      </c>
      <c r="D544" s="112" t="e">
        <f>VLOOKUP(A544,Ingreso!K:P,6,FALSE)</f>
        <v>#N/A</v>
      </c>
      <c r="E544" s="142" t="e">
        <f>(VLOOKUP(D544,$D$2:$E$4,2,FALSE))-(IF('Informe Kelly'!H538=$A$2,'Informe Kelly'!F538,VLOOKUP(D544,$D$2:$E$4,2,FALSE)))</f>
        <v>#N/A</v>
      </c>
      <c r="F544" s="142" t="e">
        <f>IF('Informe Kelly'!H538=$A$3,'Informe Kelly'!F538,VLOOKUP(D544,$D$2:$F$4,3,FALSE))-(VLOOKUP(D544,$D$2:$F$4,3,FALSE))</f>
        <v>#N/A</v>
      </c>
      <c r="G544" s="137" t="e">
        <f t="shared" si="12"/>
        <v>#N/A</v>
      </c>
    </row>
    <row r="545" spans="1:7">
      <c r="A545" s="112" t="str">
        <f>VLOOKUP('Informe Kelly'!A539,Base!A:B,2,FALSE)</f>
        <v>08.634.737-7</v>
      </c>
      <c r="B545" s="112" t="str">
        <f>VLOOKUP('Informe Kelly'!A539,Base!A:G,7,FALSE)</f>
        <v>RODRIGUEZ CISTERNA RAFAEL</v>
      </c>
      <c r="C545" s="112" t="str">
        <f>'Informe Kelly'!E539</f>
        <v>08.04.2011</v>
      </c>
      <c r="D545" s="112" t="e">
        <f>VLOOKUP(A545,Ingreso!K:P,6,FALSE)</f>
        <v>#N/A</v>
      </c>
      <c r="E545" s="142" t="e">
        <f>(VLOOKUP(D545,$D$2:$E$4,2,FALSE))-(IF('Informe Kelly'!H539=$A$2,'Informe Kelly'!F539,VLOOKUP(D545,$D$2:$E$4,2,FALSE)))</f>
        <v>#N/A</v>
      </c>
      <c r="F545" s="142" t="e">
        <f>IF('Informe Kelly'!H539=$A$3,'Informe Kelly'!F539,VLOOKUP(D545,$D$2:$F$4,3,FALSE))-(VLOOKUP(D545,$D$2:$F$4,3,FALSE))</f>
        <v>#N/A</v>
      </c>
      <c r="G545" s="137" t="e">
        <f t="shared" si="12"/>
        <v>#N/A</v>
      </c>
    </row>
    <row r="546" spans="1:7">
      <c r="A546" s="112" t="str">
        <f>VLOOKUP('Informe Kelly'!A540,Base!A:B,2,FALSE)</f>
        <v>08.634.737-7</v>
      </c>
      <c r="B546" s="112" t="str">
        <f>VLOOKUP('Informe Kelly'!A540,Base!A:G,7,FALSE)</f>
        <v>RODRIGUEZ CISTERNA RAFAEL</v>
      </c>
      <c r="C546" s="112" t="str">
        <f>'Informe Kelly'!E540</f>
        <v>09.04.2011</v>
      </c>
      <c r="D546" s="112" t="e">
        <f>VLOOKUP(A546,Ingreso!K:P,6,FALSE)</f>
        <v>#N/A</v>
      </c>
      <c r="E546" s="142" t="e">
        <f>(VLOOKUP(D546,$D$2:$E$4,2,FALSE))-(IF('Informe Kelly'!H540=$A$2,'Informe Kelly'!F540,VLOOKUP(D546,$D$2:$E$4,2,FALSE)))</f>
        <v>#N/A</v>
      </c>
      <c r="F546" s="142" t="e">
        <f>IF('Informe Kelly'!H540=$A$3,'Informe Kelly'!F540,VLOOKUP(D546,$D$2:$F$4,3,FALSE))-(VLOOKUP(D546,$D$2:$F$4,3,FALSE))</f>
        <v>#N/A</v>
      </c>
      <c r="G546" s="137" t="e">
        <f t="shared" si="12"/>
        <v>#N/A</v>
      </c>
    </row>
    <row r="547" spans="1:7">
      <c r="A547" s="112" t="str">
        <f>VLOOKUP('Informe Kelly'!A541,Base!A:B,2,FALSE)</f>
        <v>08.634.737-7</v>
      </c>
      <c r="B547" s="112" t="str">
        <f>VLOOKUP('Informe Kelly'!A541,Base!A:G,7,FALSE)</f>
        <v>RODRIGUEZ CISTERNA RAFAEL</v>
      </c>
      <c r="C547" s="112" t="str">
        <f>'Informe Kelly'!E541</f>
        <v>09.04.2011</v>
      </c>
      <c r="D547" s="112" t="e">
        <f>VLOOKUP(A547,Ingreso!K:P,6,FALSE)</f>
        <v>#N/A</v>
      </c>
      <c r="E547" s="142" t="e">
        <f>(VLOOKUP(D547,$D$2:$E$4,2,FALSE))-(IF('Informe Kelly'!H541=$A$2,'Informe Kelly'!F541,VLOOKUP(D547,$D$2:$E$4,2,FALSE)))</f>
        <v>#N/A</v>
      </c>
      <c r="F547" s="142" t="e">
        <f>IF('Informe Kelly'!H541=$A$3,'Informe Kelly'!F541,VLOOKUP(D547,$D$2:$F$4,3,FALSE))-(VLOOKUP(D547,$D$2:$F$4,3,FALSE))</f>
        <v>#N/A</v>
      </c>
      <c r="G547" s="137" t="e">
        <f t="shared" si="12"/>
        <v>#N/A</v>
      </c>
    </row>
    <row r="548" spans="1:7">
      <c r="A548" s="112" t="str">
        <f>VLOOKUP('Informe Kelly'!A542,Base!A:B,2,FALSE)</f>
        <v>08.733.235-7</v>
      </c>
      <c r="B548" s="112" t="str">
        <f>VLOOKUP('Informe Kelly'!A542,Base!A:G,7,FALSE)</f>
        <v>FUENZALIDA  VALENZUELA,EXEQUIEL</v>
      </c>
      <c r="C548" s="112" t="str">
        <f>'Informe Kelly'!E542</f>
        <v>04.04.2011</v>
      </c>
      <c r="D548" s="112" t="e">
        <f>VLOOKUP(A548,Ingreso!K:P,6,FALSE)</f>
        <v>#N/A</v>
      </c>
      <c r="E548" s="142" t="e">
        <f>(VLOOKUP(D548,$D$2:$E$4,2,FALSE))-(IF('Informe Kelly'!H542=$A$2,'Informe Kelly'!F542,VLOOKUP(D548,$D$2:$E$4,2,FALSE)))</f>
        <v>#N/A</v>
      </c>
      <c r="F548" s="142" t="e">
        <f>IF('Informe Kelly'!H542=$A$3,'Informe Kelly'!F542,VLOOKUP(D548,$D$2:$F$4,3,FALSE))-(VLOOKUP(D548,$D$2:$F$4,3,FALSE))</f>
        <v>#N/A</v>
      </c>
      <c r="G548" s="137" t="e">
        <f t="shared" si="12"/>
        <v>#N/A</v>
      </c>
    </row>
    <row r="549" spans="1:7">
      <c r="A549" s="112" t="str">
        <f>VLOOKUP('Informe Kelly'!A543,Base!A:B,2,FALSE)</f>
        <v>08.733.235-7</v>
      </c>
      <c r="B549" s="112" t="str">
        <f>VLOOKUP('Informe Kelly'!A543,Base!A:G,7,FALSE)</f>
        <v>FUENZALIDA  VALENZUELA,EXEQUIEL</v>
      </c>
      <c r="C549" s="112" t="str">
        <f>'Informe Kelly'!E543</f>
        <v>04.04.2011</v>
      </c>
      <c r="D549" s="112" t="e">
        <f>VLOOKUP(A549,Ingreso!K:P,6,FALSE)</f>
        <v>#N/A</v>
      </c>
      <c r="E549" s="142" t="e">
        <f>(VLOOKUP(D549,$D$2:$E$4,2,FALSE))-(IF('Informe Kelly'!H543=$A$2,'Informe Kelly'!F543,VLOOKUP(D549,$D$2:$E$4,2,FALSE)))</f>
        <v>#N/A</v>
      </c>
      <c r="F549" s="142" t="e">
        <f>IF('Informe Kelly'!H543=$A$3,'Informe Kelly'!F543,VLOOKUP(D549,$D$2:$F$4,3,FALSE))-(VLOOKUP(D549,$D$2:$F$4,3,FALSE))</f>
        <v>#N/A</v>
      </c>
      <c r="G549" s="137" t="e">
        <f t="shared" si="12"/>
        <v>#N/A</v>
      </c>
    </row>
    <row r="550" spans="1:7">
      <c r="A550" s="112" t="str">
        <f>VLOOKUP('Informe Kelly'!A544,Base!A:B,2,FALSE)</f>
        <v>08.733.235-7</v>
      </c>
      <c r="B550" s="112" t="str">
        <f>VLOOKUP('Informe Kelly'!A544,Base!A:G,7,FALSE)</f>
        <v>FUENZALIDA  VALENZUELA,EXEQUIEL</v>
      </c>
      <c r="C550" s="112" t="str">
        <f>'Informe Kelly'!E544</f>
        <v>05.04.2011</v>
      </c>
      <c r="D550" s="112" t="e">
        <f>VLOOKUP(A550,Ingreso!K:P,6,FALSE)</f>
        <v>#N/A</v>
      </c>
      <c r="E550" s="142" t="e">
        <f>(VLOOKUP(D550,$D$2:$E$4,2,FALSE))-(IF('Informe Kelly'!H544=$A$2,'Informe Kelly'!F544,VLOOKUP(D550,$D$2:$E$4,2,FALSE)))</f>
        <v>#N/A</v>
      </c>
      <c r="F550" s="142" t="e">
        <f>IF('Informe Kelly'!H544=$A$3,'Informe Kelly'!F544,VLOOKUP(D550,$D$2:$F$4,3,FALSE))-(VLOOKUP(D550,$D$2:$F$4,3,FALSE))</f>
        <v>#N/A</v>
      </c>
      <c r="G550" s="137" t="e">
        <f t="shared" si="12"/>
        <v>#N/A</v>
      </c>
    </row>
    <row r="551" spans="1:7">
      <c r="A551" s="112" t="str">
        <f>VLOOKUP('Informe Kelly'!A545,Base!A:B,2,FALSE)</f>
        <v>08.733.235-7</v>
      </c>
      <c r="B551" s="112" t="str">
        <f>VLOOKUP('Informe Kelly'!A545,Base!A:G,7,FALSE)</f>
        <v>FUENZALIDA  VALENZUELA,EXEQUIEL</v>
      </c>
      <c r="C551" s="112" t="str">
        <f>'Informe Kelly'!E545</f>
        <v>05.04.2011</v>
      </c>
      <c r="D551" s="112" t="e">
        <f>VLOOKUP(A551,Ingreso!K:P,6,FALSE)</f>
        <v>#N/A</v>
      </c>
      <c r="E551" s="142" t="e">
        <f>(VLOOKUP(D551,$D$2:$E$4,2,FALSE))-(IF('Informe Kelly'!H545=$A$2,'Informe Kelly'!F545,VLOOKUP(D551,$D$2:$E$4,2,FALSE)))</f>
        <v>#N/A</v>
      </c>
      <c r="F551" s="142" t="e">
        <f>IF('Informe Kelly'!H545=$A$3,'Informe Kelly'!F545,VLOOKUP(D551,$D$2:$F$4,3,FALSE))-(VLOOKUP(D551,$D$2:$F$4,3,FALSE))</f>
        <v>#N/A</v>
      </c>
      <c r="G551" s="137" t="e">
        <f t="shared" si="12"/>
        <v>#N/A</v>
      </c>
    </row>
    <row r="552" spans="1:7">
      <c r="A552" s="112" t="str">
        <f>VLOOKUP('Informe Kelly'!A546,Base!A:B,2,FALSE)</f>
        <v>08.733.235-7</v>
      </c>
      <c r="B552" s="112" t="str">
        <f>VLOOKUP('Informe Kelly'!A546,Base!A:G,7,FALSE)</f>
        <v>FUENZALIDA  VALENZUELA,EXEQUIEL</v>
      </c>
      <c r="C552" s="112" t="str">
        <f>'Informe Kelly'!E546</f>
        <v>06.04.2011</v>
      </c>
      <c r="D552" s="112" t="e">
        <f>VLOOKUP(A552,Ingreso!K:P,6,FALSE)</f>
        <v>#N/A</v>
      </c>
      <c r="E552" s="142" t="e">
        <f>(VLOOKUP(D552,$D$2:$E$4,2,FALSE))-(IF('Informe Kelly'!H546=$A$2,'Informe Kelly'!F546,VLOOKUP(D552,$D$2:$E$4,2,FALSE)))</f>
        <v>#N/A</v>
      </c>
      <c r="F552" s="142" t="e">
        <f>IF('Informe Kelly'!H546=$A$3,'Informe Kelly'!F546,VLOOKUP(D552,$D$2:$F$4,3,FALSE))-(VLOOKUP(D552,$D$2:$F$4,3,FALSE))</f>
        <v>#N/A</v>
      </c>
      <c r="G552" s="137" t="e">
        <f t="shared" si="12"/>
        <v>#N/A</v>
      </c>
    </row>
    <row r="553" spans="1:7">
      <c r="A553" s="112" t="str">
        <f>VLOOKUP('Informe Kelly'!A547,Base!A:B,2,FALSE)</f>
        <v>08.733.235-7</v>
      </c>
      <c r="B553" s="112" t="str">
        <f>VLOOKUP('Informe Kelly'!A547,Base!A:G,7,FALSE)</f>
        <v>FUENZALIDA  VALENZUELA,EXEQUIEL</v>
      </c>
      <c r="C553" s="112" t="str">
        <f>'Informe Kelly'!E547</f>
        <v>06.04.2011</v>
      </c>
      <c r="D553" s="112" t="e">
        <f>VLOOKUP(A553,Ingreso!K:P,6,FALSE)</f>
        <v>#N/A</v>
      </c>
      <c r="E553" s="142" t="e">
        <f>(VLOOKUP(D553,$D$2:$E$4,2,FALSE))-(IF('Informe Kelly'!H547=$A$2,'Informe Kelly'!F547,VLOOKUP(D553,$D$2:$E$4,2,FALSE)))</f>
        <v>#N/A</v>
      </c>
      <c r="F553" s="142" t="e">
        <f>IF('Informe Kelly'!H547=$A$3,'Informe Kelly'!F547,VLOOKUP(D553,$D$2:$F$4,3,FALSE))-(VLOOKUP(D553,$D$2:$F$4,3,FALSE))</f>
        <v>#N/A</v>
      </c>
      <c r="G553" s="137" t="e">
        <f t="shared" si="12"/>
        <v>#N/A</v>
      </c>
    </row>
    <row r="554" spans="1:7">
      <c r="A554" s="112" t="str">
        <f>VLOOKUP('Informe Kelly'!A548,Base!A:B,2,FALSE)</f>
        <v>08.733.235-7</v>
      </c>
      <c r="B554" s="112" t="str">
        <f>VLOOKUP('Informe Kelly'!A548,Base!A:G,7,FALSE)</f>
        <v>FUENZALIDA  VALENZUELA,EXEQUIEL</v>
      </c>
      <c r="C554" s="112" t="str">
        <f>'Informe Kelly'!E548</f>
        <v>07.04.2011</v>
      </c>
      <c r="D554" s="112" t="e">
        <f>VLOOKUP(A554,Ingreso!K:P,6,FALSE)</f>
        <v>#N/A</v>
      </c>
      <c r="E554" s="142" t="e">
        <f>(VLOOKUP(D554,$D$2:$E$4,2,FALSE))-(IF('Informe Kelly'!H548=$A$2,'Informe Kelly'!F548,VLOOKUP(D554,$D$2:$E$4,2,FALSE)))</f>
        <v>#N/A</v>
      </c>
      <c r="F554" s="142" t="e">
        <f>IF('Informe Kelly'!H548=$A$3,'Informe Kelly'!F548,VLOOKUP(D554,$D$2:$F$4,3,FALSE))-(VLOOKUP(D554,$D$2:$F$4,3,FALSE))</f>
        <v>#N/A</v>
      </c>
      <c r="G554" s="137" t="e">
        <f t="shared" si="12"/>
        <v>#N/A</v>
      </c>
    </row>
    <row r="555" spans="1:7">
      <c r="A555" s="112" t="str">
        <f>VLOOKUP('Informe Kelly'!A549,Base!A:B,2,FALSE)</f>
        <v>08.733.235-7</v>
      </c>
      <c r="B555" s="112" t="str">
        <f>VLOOKUP('Informe Kelly'!A549,Base!A:G,7,FALSE)</f>
        <v>FUENZALIDA  VALENZUELA,EXEQUIEL</v>
      </c>
      <c r="C555" s="112" t="str">
        <f>'Informe Kelly'!E549</f>
        <v>07.04.2011</v>
      </c>
      <c r="D555" s="112" t="e">
        <f>VLOOKUP(A555,Ingreso!K:P,6,FALSE)</f>
        <v>#N/A</v>
      </c>
      <c r="E555" s="142" t="e">
        <f>(VLOOKUP(D555,$D$2:$E$4,2,FALSE))-(IF('Informe Kelly'!H549=$A$2,'Informe Kelly'!F549,VLOOKUP(D555,$D$2:$E$4,2,FALSE)))</f>
        <v>#N/A</v>
      </c>
      <c r="F555" s="142" t="e">
        <f>IF('Informe Kelly'!H549=$A$3,'Informe Kelly'!F549,VLOOKUP(D555,$D$2:$F$4,3,FALSE))-(VLOOKUP(D555,$D$2:$F$4,3,FALSE))</f>
        <v>#N/A</v>
      </c>
      <c r="G555" s="137" t="e">
        <f t="shared" si="12"/>
        <v>#N/A</v>
      </c>
    </row>
    <row r="556" spans="1:7">
      <c r="A556" s="112" t="str">
        <f>VLOOKUP('Informe Kelly'!A550,Base!A:B,2,FALSE)</f>
        <v>08.733.235-7</v>
      </c>
      <c r="B556" s="112" t="str">
        <f>VLOOKUP('Informe Kelly'!A550,Base!A:G,7,FALSE)</f>
        <v>FUENZALIDA  VALENZUELA,EXEQUIEL</v>
      </c>
      <c r="C556" s="112" t="str">
        <f>'Informe Kelly'!E550</f>
        <v>08.04.2011</v>
      </c>
      <c r="D556" s="112" t="e">
        <f>VLOOKUP(A556,Ingreso!K:P,6,FALSE)</f>
        <v>#N/A</v>
      </c>
      <c r="E556" s="142" t="e">
        <f>(VLOOKUP(D556,$D$2:$E$4,2,FALSE))-(IF('Informe Kelly'!H550=$A$2,'Informe Kelly'!F550,VLOOKUP(D556,$D$2:$E$4,2,FALSE)))</f>
        <v>#N/A</v>
      </c>
      <c r="F556" s="142" t="e">
        <f>IF('Informe Kelly'!H550=$A$3,'Informe Kelly'!F550,VLOOKUP(D556,$D$2:$F$4,3,FALSE))-(VLOOKUP(D556,$D$2:$F$4,3,FALSE))</f>
        <v>#N/A</v>
      </c>
      <c r="G556" s="137" t="e">
        <f t="shared" si="12"/>
        <v>#N/A</v>
      </c>
    </row>
    <row r="557" spans="1:7">
      <c r="A557" s="112" t="str">
        <f>VLOOKUP('Informe Kelly'!A551,Base!A:B,2,FALSE)</f>
        <v>08.733.235-7</v>
      </c>
      <c r="B557" s="112" t="str">
        <f>VLOOKUP('Informe Kelly'!A551,Base!A:G,7,FALSE)</f>
        <v>FUENZALIDA  VALENZUELA,EXEQUIEL</v>
      </c>
      <c r="C557" s="112" t="str">
        <f>'Informe Kelly'!E551</f>
        <v>08.04.2011</v>
      </c>
      <c r="D557" s="112" t="e">
        <f>VLOOKUP(A557,Ingreso!K:P,6,FALSE)</f>
        <v>#N/A</v>
      </c>
      <c r="E557" s="142" t="e">
        <f>(VLOOKUP(D557,$D$2:$E$4,2,FALSE))-(IF('Informe Kelly'!H551=$A$2,'Informe Kelly'!F551,VLOOKUP(D557,$D$2:$E$4,2,FALSE)))</f>
        <v>#N/A</v>
      </c>
      <c r="F557" s="142" t="e">
        <f>IF('Informe Kelly'!H551=$A$3,'Informe Kelly'!F551,VLOOKUP(D557,$D$2:$F$4,3,FALSE))-(VLOOKUP(D557,$D$2:$F$4,3,FALSE))</f>
        <v>#N/A</v>
      </c>
      <c r="G557" s="137" t="e">
        <f t="shared" si="12"/>
        <v>#N/A</v>
      </c>
    </row>
    <row r="558" spans="1:7">
      <c r="A558" s="112" t="str">
        <f>VLOOKUP('Informe Kelly'!A552,Base!A:B,2,FALSE)</f>
        <v>08.733.235-7</v>
      </c>
      <c r="B558" s="112" t="str">
        <f>VLOOKUP('Informe Kelly'!A552,Base!A:G,7,FALSE)</f>
        <v>FUENZALIDA  VALENZUELA,EXEQUIEL</v>
      </c>
      <c r="C558" s="112" t="str">
        <f>'Informe Kelly'!E552</f>
        <v>09.04.2011</v>
      </c>
      <c r="D558" s="112" t="e">
        <f>VLOOKUP(A558,Ingreso!K:P,6,FALSE)</f>
        <v>#N/A</v>
      </c>
      <c r="E558" s="142" t="e">
        <f>(VLOOKUP(D558,$D$2:$E$4,2,FALSE))-(IF('Informe Kelly'!H552=$A$2,'Informe Kelly'!F552,VLOOKUP(D558,$D$2:$E$4,2,FALSE)))</f>
        <v>#N/A</v>
      </c>
      <c r="F558" s="142" t="e">
        <f>IF('Informe Kelly'!H552=$A$3,'Informe Kelly'!F552,VLOOKUP(D558,$D$2:$F$4,3,FALSE))-(VLOOKUP(D558,$D$2:$F$4,3,FALSE))</f>
        <v>#N/A</v>
      </c>
      <c r="G558" s="137" t="e">
        <f t="shared" si="12"/>
        <v>#N/A</v>
      </c>
    </row>
    <row r="559" spans="1:7">
      <c r="A559" s="112" t="str">
        <f>VLOOKUP('Informe Kelly'!A553,Base!A:B,2,FALSE)</f>
        <v>08.733.235-7</v>
      </c>
      <c r="B559" s="112" t="str">
        <f>VLOOKUP('Informe Kelly'!A553,Base!A:G,7,FALSE)</f>
        <v>FUENZALIDA  VALENZUELA,EXEQUIEL</v>
      </c>
      <c r="C559" s="112" t="str">
        <f>'Informe Kelly'!E553</f>
        <v>09.04.2011</v>
      </c>
      <c r="D559" s="112" t="e">
        <f>VLOOKUP(A559,Ingreso!K:P,6,FALSE)</f>
        <v>#N/A</v>
      </c>
      <c r="E559" s="142" t="e">
        <f>(VLOOKUP(D559,$D$2:$E$4,2,FALSE))-(IF('Informe Kelly'!H553=$A$2,'Informe Kelly'!F553,VLOOKUP(D559,$D$2:$E$4,2,FALSE)))</f>
        <v>#N/A</v>
      </c>
      <c r="F559" s="142" t="e">
        <f>IF('Informe Kelly'!H553=$A$3,'Informe Kelly'!F553,VLOOKUP(D559,$D$2:$F$4,3,FALSE))-(VLOOKUP(D559,$D$2:$F$4,3,FALSE))</f>
        <v>#N/A</v>
      </c>
      <c r="G559" s="137" t="e">
        <f t="shared" si="12"/>
        <v>#N/A</v>
      </c>
    </row>
    <row r="560" spans="1:7">
      <c r="A560" s="112" t="str">
        <f>VLOOKUP('Informe Kelly'!A554,Base!A:B,2,FALSE)</f>
        <v>08.771.787-9</v>
      </c>
      <c r="B560" s="112" t="str">
        <f>VLOOKUP('Informe Kelly'!A554,Base!A:G,7,FALSE)</f>
        <v>JIMENEZ PAINECURA PABLO</v>
      </c>
      <c r="C560" s="112" t="str">
        <f>'Informe Kelly'!E554</f>
        <v>04.04.2011</v>
      </c>
      <c r="D560" s="112" t="e">
        <f>VLOOKUP(A560,Ingreso!K:P,6,FALSE)</f>
        <v>#N/A</v>
      </c>
      <c r="E560" s="142" t="e">
        <f>(VLOOKUP(D560,$D$2:$E$4,2,FALSE))-(IF('Informe Kelly'!H554=$A$2,'Informe Kelly'!F554,VLOOKUP(D560,$D$2:$E$4,2,FALSE)))</f>
        <v>#N/A</v>
      </c>
      <c r="F560" s="142" t="e">
        <f>IF('Informe Kelly'!H554=$A$3,'Informe Kelly'!F554,VLOOKUP(D560,$D$2:$F$4,3,FALSE))-(VLOOKUP(D560,$D$2:$F$4,3,FALSE))</f>
        <v>#N/A</v>
      </c>
      <c r="G560" s="137" t="e">
        <f t="shared" si="12"/>
        <v>#N/A</v>
      </c>
    </row>
    <row r="561" spans="1:7">
      <c r="A561" s="112" t="str">
        <f>VLOOKUP('Informe Kelly'!A555,Base!A:B,2,FALSE)</f>
        <v>08.771.787-9</v>
      </c>
      <c r="B561" s="112" t="str">
        <f>VLOOKUP('Informe Kelly'!A555,Base!A:G,7,FALSE)</f>
        <v>JIMENEZ PAINECURA PABLO</v>
      </c>
      <c r="C561" s="112" t="str">
        <f>'Informe Kelly'!E555</f>
        <v>05.04.2011</v>
      </c>
      <c r="D561" s="112" t="e">
        <f>VLOOKUP(A561,Ingreso!K:P,6,FALSE)</f>
        <v>#N/A</v>
      </c>
      <c r="E561" s="142" t="e">
        <f>(VLOOKUP(D561,$D$2:$E$4,2,FALSE))-(IF('Informe Kelly'!H555=$A$2,'Informe Kelly'!F555,VLOOKUP(D561,$D$2:$E$4,2,FALSE)))</f>
        <v>#N/A</v>
      </c>
      <c r="F561" s="142" t="e">
        <f>IF('Informe Kelly'!H555=$A$3,'Informe Kelly'!F555,VLOOKUP(D561,$D$2:$F$4,3,FALSE))-(VLOOKUP(D561,$D$2:$F$4,3,FALSE))</f>
        <v>#N/A</v>
      </c>
      <c r="G561" s="137" t="e">
        <f t="shared" si="12"/>
        <v>#N/A</v>
      </c>
    </row>
    <row r="562" spans="1:7">
      <c r="A562" s="112" t="str">
        <f>VLOOKUP('Informe Kelly'!A556,Base!A:B,2,FALSE)</f>
        <v>08.771.787-9</v>
      </c>
      <c r="B562" s="112" t="str">
        <f>VLOOKUP('Informe Kelly'!A556,Base!A:G,7,FALSE)</f>
        <v>JIMENEZ PAINECURA PABLO</v>
      </c>
      <c r="C562" s="112" t="str">
        <f>'Informe Kelly'!E556</f>
        <v>05.04.2011</v>
      </c>
      <c r="D562" s="112" t="e">
        <f>VLOOKUP(A562,Ingreso!K:P,6,FALSE)</f>
        <v>#N/A</v>
      </c>
      <c r="E562" s="142" t="e">
        <f>(VLOOKUP(D562,$D$2:$E$4,2,FALSE))-(IF('Informe Kelly'!H556=$A$2,'Informe Kelly'!F556,VLOOKUP(D562,$D$2:$E$4,2,FALSE)))</f>
        <v>#N/A</v>
      </c>
      <c r="F562" s="142" t="e">
        <f>IF('Informe Kelly'!H556=$A$3,'Informe Kelly'!F556,VLOOKUP(D562,$D$2:$F$4,3,FALSE))-(VLOOKUP(D562,$D$2:$F$4,3,FALSE))</f>
        <v>#N/A</v>
      </c>
      <c r="G562" s="137" t="e">
        <f t="shared" si="12"/>
        <v>#N/A</v>
      </c>
    </row>
    <row r="563" spans="1:7">
      <c r="A563" s="112" t="str">
        <f>VLOOKUP('Informe Kelly'!A557,Base!A:B,2,FALSE)</f>
        <v>08.771.787-9</v>
      </c>
      <c r="B563" s="112" t="str">
        <f>VLOOKUP('Informe Kelly'!A557,Base!A:G,7,FALSE)</f>
        <v>JIMENEZ PAINECURA PABLO</v>
      </c>
      <c r="C563" s="112" t="str">
        <f>'Informe Kelly'!E557</f>
        <v>06.04.2011</v>
      </c>
      <c r="D563" s="112" t="e">
        <f>VLOOKUP(A563,Ingreso!K:P,6,FALSE)</f>
        <v>#N/A</v>
      </c>
      <c r="E563" s="142" t="e">
        <f>(VLOOKUP(D563,$D$2:$E$4,2,FALSE))-(IF('Informe Kelly'!H557=$A$2,'Informe Kelly'!F557,VLOOKUP(D563,$D$2:$E$4,2,FALSE)))</f>
        <v>#N/A</v>
      </c>
      <c r="F563" s="142" t="e">
        <f>IF('Informe Kelly'!H557=$A$3,'Informe Kelly'!F557,VLOOKUP(D563,$D$2:$F$4,3,FALSE))-(VLOOKUP(D563,$D$2:$F$4,3,FALSE))</f>
        <v>#N/A</v>
      </c>
      <c r="G563" s="137" t="e">
        <f t="shared" si="12"/>
        <v>#N/A</v>
      </c>
    </row>
    <row r="564" spans="1:7">
      <c r="A564" s="112" t="str">
        <f>VLOOKUP('Informe Kelly'!A558,Base!A:B,2,FALSE)</f>
        <v>08.771.787-9</v>
      </c>
      <c r="B564" s="112" t="str">
        <f>VLOOKUP('Informe Kelly'!A558,Base!A:G,7,FALSE)</f>
        <v>JIMENEZ PAINECURA PABLO</v>
      </c>
      <c r="C564" s="112" t="str">
        <f>'Informe Kelly'!E558</f>
        <v>06.04.2011</v>
      </c>
      <c r="D564" s="112" t="e">
        <f>VLOOKUP(A564,Ingreso!K:P,6,FALSE)</f>
        <v>#N/A</v>
      </c>
      <c r="E564" s="142" t="e">
        <f>(VLOOKUP(D564,$D$2:$E$4,2,FALSE))-(IF('Informe Kelly'!H558=$A$2,'Informe Kelly'!F558,VLOOKUP(D564,$D$2:$E$4,2,FALSE)))</f>
        <v>#N/A</v>
      </c>
      <c r="F564" s="142" t="e">
        <f>IF('Informe Kelly'!H558=$A$3,'Informe Kelly'!F558,VLOOKUP(D564,$D$2:$F$4,3,FALSE))-(VLOOKUP(D564,$D$2:$F$4,3,FALSE))</f>
        <v>#N/A</v>
      </c>
      <c r="G564" s="137" t="e">
        <f t="shared" si="12"/>
        <v>#N/A</v>
      </c>
    </row>
    <row r="565" spans="1:7">
      <c r="A565" s="112" t="str">
        <f>VLOOKUP('Informe Kelly'!A559,Base!A:B,2,FALSE)</f>
        <v>08.771.787-9</v>
      </c>
      <c r="B565" s="112" t="str">
        <f>VLOOKUP('Informe Kelly'!A559,Base!A:G,7,FALSE)</f>
        <v>JIMENEZ PAINECURA PABLO</v>
      </c>
      <c r="C565" s="112" t="str">
        <f>'Informe Kelly'!E559</f>
        <v>07.04.2011</v>
      </c>
      <c r="D565" s="112" t="e">
        <f>VLOOKUP(A565,Ingreso!K:P,6,FALSE)</f>
        <v>#N/A</v>
      </c>
      <c r="E565" s="142" t="e">
        <f>(VLOOKUP(D565,$D$2:$E$4,2,FALSE))-(IF('Informe Kelly'!H559=$A$2,'Informe Kelly'!F559,VLOOKUP(D565,$D$2:$E$4,2,FALSE)))</f>
        <v>#N/A</v>
      </c>
      <c r="F565" s="142" t="e">
        <f>IF('Informe Kelly'!H559=$A$3,'Informe Kelly'!F559,VLOOKUP(D565,$D$2:$F$4,3,FALSE))-(VLOOKUP(D565,$D$2:$F$4,3,FALSE))</f>
        <v>#N/A</v>
      </c>
      <c r="G565" s="137" t="e">
        <f t="shared" si="12"/>
        <v>#N/A</v>
      </c>
    </row>
    <row r="566" spans="1:7">
      <c r="A566" s="112" t="str">
        <f>VLOOKUP('Informe Kelly'!A560,Base!A:B,2,FALSE)</f>
        <v>08.771.787-9</v>
      </c>
      <c r="B566" s="112" t="str">
        <f>VLOOKUP('Informe Kelly'!A560,Base!A:G,7,FALSE)</f>
        <v>JIMENEZ PAINECURA PABLO</v>
      </c>
      <c r="C566" s="112" t="str">
        <f>'Informe Kelly'!E560</f>
        <v>07.04.2011</v>
      </c>
      <c r="D566" s="112" t="e">
        <f>VLOOKUP(A566,Ingreso!K:P,6,FALSE)</f>
        <v>#N/A</v>
      </c>
      <c r="E566" s="142" t="e">
        <f>(VLOOKUP(D566,$D$2:$E$4,2,FALSE))-(IF('Informe Kelly'!H560=$A$2,'Informe Kelly'!F560,VLOOKUP(D566,$D$2:$E$4,2,FALSE)))</f>
        <v>#N/A</v>
      </c>
      <c r="F566" s="142" t="e">
        <f>IF('Informe Kelly'!H560=$A$3,'Informe Kelly'!F560,VLOOKUP(D566,$D$2:$F$4,3,FALSE))-(VLOOKUP(D566,$D$2:$F$4,3,FALSE))</f>
        <v>#N/A</v>
      </c>
      <c r="G566" s="137" t="e">
        <f t="shared" si="12"/>
        <v>#N/A</v>
      </c>
    </row>
    <row r="567" spans="1:7">
      <c r="A567" s="112" t="str">
        <f>VLOOKUP('Informe Kelly'!A561,Base!A:B,2,FALSE)</f>
        <v>08.771.787-9</v>
      </c>
      <c r="B567" s="112" t="str">
        <f>VLOOKUP('Informe Kelly'!A561,Base!A:G,7,FALSE)</f>
        <v>JIMENEZ PAINECURA PABLO</v>
      </c>
      <c r="C567" s="112" t="str">
        <f>'Informe Kelly'!E561</f>
        <v>08.04.2011</v>
      </c>
      <c r="D567" s="112" t="e">
        <f>VLOOKUP(A567,Ingreso!K:P,6,FALSE)</f>
        <v>#N/A</v>
      </c>
      <c r="E567" s="142" t="e">
        <f>(VLOOKUP(D567,$D$2:$E$4,2,FALSE))-(IF('Informe Kelly'!H561=$A$2,'Informe Kelly'!F561,VLOOKUP(D567,$D$2:$E$4,2,FALSE)))</f>
        <v>#N/A</v>
      </c>
      <c r="F567" s="142" t="e">
        <f>IF('Informe Kelly'!H561=$A$3,'Informe Kelly'!F561,VLOOKUP(D567,$D$2:$F$4,3,FALSE))-(VLOOKUP(D567,$D$2:$F$4,3,FALSE))</f>
        <v>#N/A</v>
      </c>
      <c r="G567" s="137" t="e">
        <f t="shared" si="12"/>
        <v>#N/A</v>
      </c>
    </row>
    <row r="568" spans="1:7">
      <c r="A568" s="112" t="str">
        <f>VLOOKUP('Informe Kelly'!A562,Base!A:B,2,FALSE)</f>
        <v>08.771.787-9</v>
      </c>
      <c r="B568" s="112" t="str">
        <f>VLOOKUP('Informe Kelly'!A562,Base!A:G,7,FALSE)</f>
        <v>JIMENEZ PAINECURA PABLO</v>
      </c>
      <c r="C568" s="112" t="str">
        <f>'Informe Kelly'!E562</f>
        <v>08.04.2011</v>
      </c>
      <c r="D568" s="112" t="e">
        <f>VLOOKUP(A568,Ingreso!K:P,6,FALSE)</f>
        <v>#N/A</v>
      </c>
      <c r="E568" s="142" t="e">
        <f>(VLOOKUP(D568,$D$2:$E$4,2,FALSE))-(IF('Informe Kelly'!H562=$A$2,'Informe Kelly'!F562,VLOOKUP(D568,$D$2:$E$4,2,FALSE)))</f>
        <v>#N/A</v>
      </c>
      <c r="F568" s="142" t="e">
        <f>IF('Informe Kelly'!H562=$A$3,'Informe Kelly'!F562,VLOOKUP(D568,$D$2:$F$4,3,FALSE))-(VLOOKUP(D568,$D$2:$F$4,3,FALSE))</f>
        <v>#N/A</v>
      </c>
      <c r="G568" s="137" t="e">
        <f t="shared" si="12"/>
        <v>#N/A</v>
      </c>
    </row>
    <row r="569" spans="1:7">
      <c r="A569" s="112" t="str">
        <f>VLOOKUP('Informe Kelly'!A563,Base!A:B,2,FALSE)</f>
        <v>08.771.787-9</v>
      </c>
      <c r="B569" s="112" t="str">
        <f>VLOOKUP('Informe Kelly'!A563,Base!A:G,7,FALSE)</f>
        <v>JIMENEZ PAINECURA PABLO</v>
      </c>
      <c r="C569" s="112" t="str">
        <f>'Informe Kelly'!E563</f>
        <v>09.04.2011</v>
      </c>
      <c r="D569" s="112" t="e">
        <f>VLOOKUP(A569,Ingreso!K:P,6,FALSE)</f>
        <v>#N/A</v>
      </c>
      <c r="E569" s="142" t="e">
        <f>(VLOOKUP(D569,$D$2:$E$4,2,FALSE))-(IF('Informe Kelly'!H563=$A$2,'Informe Kelly'!F563,VLOOKUP(D569,$D$2:$E$4,2,FALSE)))</f>
        <v>#N/A</v>
      </c>
      <c r="F569" s="142" t="e">
        <f>IF('Informe Kelly'!H563=$A$3,'Informe Kelly'!F563,VLOOKUP(D569,$D$2:$F$4,3,FALSE))-(VLOOKUP(D569,$D$2:$F$4,3,FALSE))</f>
        <v>#N/A</v>
      </c>
      <c r="G569" s="137" t="e">
        <f t="shared" si="12"/>
        <v>#N/A</v>
      </c>
    </row>
    <row r="570" spans="1:7">
      <c r="A570" s="112" t="str">
        <f>VLOOKUP('Informe Kelly'!A564,Base!A:B,2,FALSE)</f>
        <v>08.809.784-K</v>
      </c>
      <c r="B570" s="112" t="str">
        <f>VLOOKUP('Informe Kelly'!A564,Base!A:G,7,FALSE)</f>
        <v>AGUILERA  LABRIN,CARLOS ANTONIO</v>
      </c>
      <c r="C570" s="112" t="str">
        <f>'Informe Kelly'!E564</f>
        <v>04.04.2011</v>
      </c>
      <c r="D570" s="112" t="e">
        <f>VLOOKUP(A570,Ingreso!K:P,6,FALSE)</f>
        <v>#N/A</v>
      </c>
      <c r="E570" s="142" t="e">
        <f>(VLOOKUP(D570,$D$2:$E$4,2,FALSE))-(IF('Informe Kelly'!H564=$A$2,'Informe Kelly'!F564,VLOOKUP(D570,$D$2:$E$4,2,FALSE)))</f>
        <v>#N/A</v>
      </c>
      <c r="F570" s="142" t="e">
        <f>IF('Informe Kelly'!H564=$A$3,'Informe Kelly'!F564,VLOOKUP(D570,$D$2:$F$4,3,FALSE))-(VLOOKUP(D570,$D$2:$F$4,3,FALSE))</f>
        <v>#N/A</v>
      </c>
      <c r="G570" s="137" t="e">
        <f t="shared" si="12"/>
        <v>#N/A</v>
      </c>
    </row>
    <row r="571" spans="1:7">
      <c r="A571" s="112" t="str">
        <f>VLOOKUP('Informe Kelly'!A565,Base!A:B,2,FALSE)</f>
        <v>08.809.784-K</v>
      </c>
      <c r="B571" s="112" t="str">
        <f>VLOOKUP('Informe Kelly'!A565,Base!A:G,7,FALSE)</f>
        <v>AGUILERA  LABRIN,CARLOS ANTONIO</v>
      </c>
      <c r="C571" s="112" t="str">
        <f>'Informe Kelly'!E565</f>
        <v>04.04.2011</v>
      </c>
      <c r="D571" s="112" t="e">
        <f>VLOOKUP(A571,Ingreso!K:P,6,FALSE)</f>
        <v>#N/A</v>
      </c>
      <c r="E571" s="142" t="e">
        <f>(VLOOKUP(D571,$D$2:$E$4,2,FALSE))-(IF('Informe Kelly'!H565=$A$2,'Informe Kelly'!F565,VLOOKUP(D571,$D$2:$E$4,2,FALSE)))</f>
        <v>#N/A</v>
      </c>
      <c r="F571" s="142" t="e">
        <f>IF('Informe Kelly'!H565=$A$3,'Informe Kelly'!F565,VLOOKUP(D571,$D$2:$F$4,3,FALSE))-(VLOOKUP(D571,$D$2:$F$4,3,FALSE))</f>
        <v>#N/A</v>
      </c>
      <c r="G571" s="137" t="e">
        <f t="shared" si="12"/>
        <v>#N/A</v>
      </c>
    </row>
    <row r="572" spans="1:7">
      <c r="A572" s="112" t="str">
        <f>VLOOKUP('Informe Kelly'!A566,Base!A:B,2,FALSE)</f>
        <v>08.809.784-K</v>
      </c>
      <c r="B572" s="112" t="str">
        <f>VLOOKUP('Informe Kelly'!A566,Base!A:G,7,FALSE)</f>
        <v>AGUILERA  LABRIN,CARLOS ANTONIO</v>
      </c>
      <c r="C572" s="112" t="str">
        <f>'Informe Kelly'!E566</f>
        <v>05.04.2011</v>
      </c>
      <c r="D572" s="112" t="e">
        <f>VLOOKUP(A572,Ingreso!K:P,6,FALSE)</f>
        <v>#N/A</v>
      </c>
      <c r="E572" s="142" t="e">
        <f>(VLOOKUP(D572,$D$2:$E$4,2,FALSE))-(IF('Informe Kelly'!H566=$A$2,'Informe Kelly'!F566,VLOOKUP(D572,$D$2:$E$4,2,FALSE)))</f>
        <v>#N/A</v>
      </c>
      <c r="F572" s="142" t="e">
        <f>IF('Informe Kelly'!H566=$A$3,'Informe Kelly'!F566,VLOOKUP(D572,$D$2:$F$4,3,FALSE))-(VLOOKUP(D572,$D$2:$F$4,3,FALSE))</f>
        <v>#N/A</v>
      </c>
      <c r="G572" s="137" t="e">
        <f t="shared" si="12"/>
        <v>#N/A</v>
      </c>
    </row>
    <row r="573" spans="1:7">
      <c r="A573" s="112" t="str">
        <f>VLOOKUP('Informe Kelly'!A567,Base!A:B,2,FALSE)</f>
        <v>08.809.784-K</v>
      </c>
      <c r="B573" s="112" t="str">
        <f>VLOOKUP('Informe Kelly'!A567,Base!A:G,7,FALSE)</f>
        <v>AGUILERA  LABRIN,CARLOS ANTONIO</v>
      </c>
      <c r="C573" s="112" t="str">
        <f>'Informe Kelly'!E567</f>
        <v>05.04.2011</v>
      </c>
      <c r="D573" s="112" t="e">
        <f>VLOOKUP(A573,Ingreso!K:P,6,FALSE)</f>
        <v>#N/A</v>
      </c>
      <c r="E573" s="142" t="e">
        <f>(VLOOKUP(D573,$D$2:$E$4,2,FALSE))-(IF('Informe Kelly'!H567=$A$2,'Informe Kelly'!F567,VLOOKUP(D573,$D$2:$E$4,2,FALSE)))</f>
        <v>#N/A</v>
      </c>
      <c r="F573" s="142" t="e">
        <f>IF('Informe Kelly'!H567=$A$3,'Informe Kelly'!F567,VLOOKUP(D573,$D$2:$F$4,3,FALSE))-(VLOOKUP(D573,$D$2:$F$4,3,FALSE))</f>
        <v>#N/A</v>
      </c>
      <c r="G573" s="137" t="e">
        <f t="shared" si="12"/>
        <v>#N/A</v>
      </c>
    </row>
    <row r="574" spans="1:7">
      <c r="A574" s="112" t="str">
        <f>VLOOKUP('Informe Kelly'!A568,Base!A:B,2,FALSE)</f>
        <v>08.809.784-K</v>
      </c>
      <c r="B574" s="112" t="str">
        <f>VLOOKUP('Informe Kelly'!A568,Base!A:G,7,FALSE)</f>
        <v>AGUILERA  LABRIN,CARLOS ANTONIO</v>
      </c>
      <c r="C574" s="112" t="str">
        <f>'Informe Kelly'!E568</f>
        <v>06.04.2011</v>
      </c>
      <c r="D574" s="112" t="e">
        <f>VLOOKUP(A574,Ingreso!K:P,6,FALSE)</f>
        <v>#N/A</v>
      </c>
      <c r="E574" s="142" t="e">
        <f>(VLOOKUP(D574,$D$2:$E$4,2,FALSE))-(IF('Informe Kelly'!H568=$A$2,'Informe Kelly'!F568,VLOOKUP(D574,$D$2:$E$4,2,FALSE)))</f>
        <v>#N/A</v>
      </c>
      <c r="F574" s="142" t="e">
        <f>IF('Informe Kelly'!H568=$A$3,'Informe Kelly'!F568,VLOOKUP(D574,$D$2:$F$4,3,FALSE))-(VLOOKUP(D574,$D$2:$F$4,3,FALSE))</f>
        <v>#N/A</v>
      </c>
      <c r="G574" s="137" t="e">
        <f t="shared" si="12"/>
        <v>#N/A</v>
      </c>
    </row>
    <row r="575" spans="1:7">
      <c r="A575" s="112" t="str">
        <f>VLOOKUP('Informe Kelly'!A569,Base!A:B,2,FALSE)</f>
        <v>08.809.784-K</v>
      </c>
      <c r="B575" s="112" t="str">
        <f>VLOOKUP('Informe Kelly'!A569,Base!A:G,7,FALSE)</f>
        <v>AGUILERA  LABRIN,CARLOS ANTONIO</v>
      </c>
      <c r="C575" s="112" t="str">
        <f>'Informe Kelly'!E569</f>
        <v>06.04.2011</v>
      </c>
      <c r="D575" s="112" t="e">
        <f>VLOOKUP(A575,Ingreso!K:P,6,FALSE)</f>
        <v>#N/A</v>
      </c>
      <c r="E575" s="142" t="e">
        <f>(VLOOKUP(D575,$D$2:$E$4,2,FALSE))-(IF('Informe Kelly'!H569=$A$2,'Informe Kelly'!F569,VLOOKUP(D575,$D$2:$E$4,2,FALSE)))</f>
        <v>#N/A</v>
      </c>
      <c r="F575" s="142" t="e">
        <f>IF('Informe Kelly'!H569=$A$3,'Informe Kelly'!F569,VLOOKUP(D575,$D$2:$F$4,3,FALSE))-(VLOOKUP(D575,$D$2:$F$4,3,FALSE))</f>
        <v>#N/A</v>
      </c>
      <c r="G575" s="137" t="e">
        <f t="shared" si="12"/>
        <v>#N/A</v>
      </c>
    </row>
    <row r="576" spans="1:7">
      <c r="A576" s="112" t="str">
        <f>VLOOKUP('Informe Kelly'!A570,Base!A:B,2,FALSE)</f>
        <v>08.809.784-K</v>
      </c>
      <c r="B576" s="112" t="str">
        <f>VLOOKUP('Informe Kelly'!A570,Base!A:G,7,FALSE)</f>
        <v>AGUILERA  LABRIN,CARLOS ANTONIO</v>
      </c>
      <c r="C576" s="112" t="str">
        <f>'Informe Kelly'!E570</f>
        <v>07.04.2011</v>
      </c>
      <c r="D576" s="112" t="e">
        <f>VLOOKUP(A576,Ingreso!K:P,6,FALSE)</f>
        <v>#N/A</v>
      </c>
      <c r="E576" s="142" t="e">
        <f>(VLOOKUP(D576,$D$2:$E$4,2,FALSE))-(IF('Informe Kelly'!H570=$A$2,'Informe Kelly'!F570,VLOOKUP(D576,$D$2:$E$4,2,FALSE)))</f>
        <v>#N/A</v>
      </c>
      <c r="F576" s="142" t="e">
        <f>IF('Informe Kelly'!H570=$A$3,'Informe Kelly'!F570,VLOOKUP(D576,$D$2:$F$4,3,FALSE))-(VLOOKUP(D576,$D$2:$F$4,3,FALSE))</f>
        <v>#N/A</v>
      </c>
      <c r="G576" s="137" t="e">
        <f t="shared" si="12"/>
        <v>#N/A</v>
      </c>
    </row>
    <row r="577" spans="1:7">
      <c r="A577" s="112" t="str">
        <f>VLOOKUP('Informe Kelly'!A571,Base!A:B,2,FALSE)</f>
        <v>08.809.784-K</v>
      </c>
      <c r="B577" s="112" t="str">
        <f>VLOOKUP('Informe Kelly'!A571,Base!A:G,7,FALSE)</f>
        <v>AGUILERA  LABRIN,CARLOS ANTONIO</v>
      </c>
      <c r="C577" s="112" t="str">
        <f>'Informe Kelly'!E571</f>
        <v>07.04.2011</v>
      </c>
      <c r="D577" s="112" t="e">
        <f>VLOOKUP(A577,Ingreso!K:P,6,FALSE)</f>
        <v>#N/A</v>
      </c>
      <c r="E577" s="142" t="e">
        <f>(VLOOKUP(D577,$D$2:$E$4,2,FALSE))-(IF('Informe Kelly'!H571=$A$2,'Informe Kelly'!F571,VLOOKUP(D577,$D$2:$E$4,2,FALSE)))</f>
        <v>#N/A</v>
      </c>
      <c r="F577" s="142" t="e">
        <f>IF('Informe Kelly'!H571=$A$3,'Informe Kelly'!F571,VLOOKUP(D577,$D$2:$F$4,3,FALSE))-(VLOOKUP(D577,$D$2:$F$4,3,FALSE))</f>
        <v>#N/A</v>
      </c>
      <c r="G577" s="137" t="e">
        <f t="shared" si="12"/>
        <v>#N/A</v>
      </c>
    </row>
    <row r="578" spans="1:7">
      <c r="A578" s="112" t="str">
        <f>VLOOKUP('Informe Kelly'!A572,Base!A:B,2,FALSE)</f>
        <v>08.809.784-K</v>
      </c>
      <c r="B578" s="112" t="str">
        <f>VLOOKUP('Informe Kelly'!A572,Base!A:G,7,FALSE)</f>
        <v>AGUILERA  LABRIN,CARLOS ANTONIO</v>
      </c>
      <c r="C578" s="112" t="str">
        <f>'Informe Kelly'!E572</f>
        <v>08.04.2011</v>
      </c>
      <c r="D578" s="112" t="e">
        <f>VLOOKUP(A578,Ingreso!K:P,6,FALSE)</f>
        <v>#N/A</v>
      </c>
      <c r="E578" s="142" t="e">
        <f>(VLOOKUP(D578,$D$2:$E$4,2,FALSE))-(IF('Informe Kelly'!H572=$A$2,'Informe Kelly'!F572,VLOOKUP(D578,$D$2:$E$4,2,FALSE)))</f>
        <v>#N/A</v>
      </c>
      <c r="F578" s="142" t="e">
        <f>IF('Informe Kelly'!H572=$A$3,'Informe Kelly'!F572,VLOOKUP(D578,$D$2:$F$4,3,FALSE))-(VLOOKUP(D578,$D$2:$F$4,3,FALSE))</f>
        <v>#N/A</v>
      </c>
      <c r="G578" s="137" t="e">
        <f t="shared" si="12"/>
        <v>#N/A</v>
      </c>
    </row>
    <row r="579" spans="1:7">
      <c r="A579" s="112" t="str">
        <f>VLOOKUP('Informe Kelly'!A573,Base!A:B,2,FALSE)</f>
        <v>08.809.784-K</v>
      </c>
      <c r="B579" s="112" t="str">
        <f>VLOOKUP('Informe Kelly'!A573,Base!A:G,7,FALSE)</f>
        <v>AGUILERA  LABRIN,CARLOS ANTONIO</v>
      </c>
      <c r="C579" s="112" t="str">
        <f>'Informe Kelly'!E573</f>
        <v>08.04.2011</v>
      </c>
      <c r="D579" s="112" t="e">
        <f>VLOOKUP(A579,Ingreso!K:P,6,FALSE)</f>
        <v>#N/A</v>
      </c>
      <c r="E579" s="142" t="e">
        <f>(VLOOKUP(D579,$D$2:$E$4,2,FALSE))-(IF('Informe Kelly'!H573=$A$2,'Informe Kelly'!F573,VLOOKUP(D579,$D$2:$E$4,2,FALSE)))</f>
        <v>#N/A</v>
      </c>
      <c r="F579" s="142" t="e">
        <f>IF('Informe Kelly'!H573=$A$3,'Informe Kelly'!F573,VLOOKUP(D579,$D$2:$F$4,3,FALSE))-(VLOOKUP(D579,$D$2:$F$4,3,FALSE))</f>
        <v>#N/A</v>
      </c>
      <c r="G579" s="137" t="e">
        <f t="shared" si="12"/>
        <v>#N/A</v>
      </c>
    </row>
    <row r="580" spans="1:7">
      <c r="A580" s="112" t="str">
        <f>VLOOKUP('Informe Kelly'!A574,Base!A:B,2,FALSE)</f>
        <v>08.809.784-K</v>
      </c>
      <c r="B580" s="112" t="str">
        <f>VLOOKUP('Informe Kelly'!A574,Base!A:G,7,FALSE)</f>
        <v>AGUILERA  LABRIN,CARLOS ANTONIO</v>
      </c>
      <c r="C580" s="112" t="str">
        <f>'Informe Kelly'!E574</f>
        <v>09.04.2011</v>
      </c>
      <c r="D580" s="112" t="e">
        <f>VLOOKUP(A580,Ingreso!K:P,6,FALSE)</f>
        <v>#N/A</v>
      </c>
      <c r="E580" s="142" t="e">
        <f>(VLOOKUP(D580,$D$2:$E$4,2,FALSE))-(IF('Informe Kelly'!H574=$A$2,'Informe Kelly'!F574,VLOOKUP(D580,$D$2:$E$4,2,FALSE)))</f>
        <v>#N/A</v>
      </c>
      <c r="F580" s="142" t="e">
        <f>IF('Informe Kelly'!H574=$A$3,'Informe Kelly'!F574,VLOOKUP(D580,$D$2:$F$4,3,FALSE))-(VLOOKUP(D580,$D$2:$F$4,3,FALSE))</f>
        <v>#N/A</v>
      </c>
      <c r="G580" s="137" t="e">
        <f t="shared" si="12"/>
        <v>#N/A</v>
      </c>
    </row>
    <row r="581" spans="1:7">
      <c r="A581" s="112" t="str">
        <f>VLOOKUP('Informe Kelly'!A575,Base!A:B,2,FALSE)</f>
        <v>08.881.760-5</v>
      </c>
      <c r="B581" s="112" t="str">
        <f>VLOOKUP('Informe Kelly'!A575,Base!A:G,7,FALSE)</f>
        <v>VEGA LEYTON MANUEL</v>
      </c>
      <c r="C581" s="112" t="str">
        <f>'Informe Kelly'!E575</f>
        <v>04.04.2011</v>
      </c>
      <c r="D581" s="112" t="e">
        <f>VLOOKUP(A581,Ingreso!K:P,6,FALSE)</f>
        <v>#N/A</v>
      </c>
      <c r="E581" s="142" t="e">
        <f>(VLOOKUP(D581,$D$2:$E$4,2,FALSE))-(IF('Informe Kelly'!H575=$A$2,'Informe Kelly'!F575,VLOOKUP(D581,$D$2:$E$4,2,FALSE)))</f>
        <v>#N/A</v>
      </c>
      <c r="F581" s="142" t="e">
        <f>IF('Informe Kelly'!H575=$A$3,'Informe Kelly'!F575,VLOOKUP(D581,$D$2:$F$4,3,FALSE))-(VLOOKUP(D581,$D$2:$F$4,3,FALSE))</f>
        <v>#N/A</v>
      </c>
      <c r="G581" s="137" t="e">
        <f t="shared" si="12"/>
        <v>#N/A</v>
      </c>
    </row>
    <row r="582" spans="1:7">
      <c r="A582" s="112" t="str">
        <f>VLOOKUP('Informe Kelly'!A576,Base!A:B,2,FALSE)</f>
        <v>08.881.760-5</v>
      </c>
      <c r="B582" s="112" t="str">
        <f>VLOOKUP('Informe Kelly'!A576,Base!A:G,7,FALSE)</f>
        <v>VEGA LEYTON MANUEL</v>
      </c>
      <c r="C582" s="112" t="str">
        <f>'Informe Kelly'!E576</f>
        <v>04.04.2011</v>
      </c>
      <c r="D582" s="112" t="e">
        <f>VLOOKUP(A582,Ingreso!K:P,6,FALSE)</f>
        <v>#N/A</v>
      </c>
      <c r="E582" s="142" t="e">
        <f>(VLOOKUP(D582,$D$2:$E$4,2,FALSE))-(IF('Informe Kelly'!H576=$A$2,'Informe Kelly'!F576,VLOOKUP(D582,$D$2:$E$4,2,FALSE)))</f>
        <v>#N/A</v>
      </c>
      <c r="F582" s="142" t="e">
        <f>IF('Informe Kelly'!H576=$A$3,'Informe Kelly'!F576,VLOOKUP(D582,$D$2:$F$4,3,FALSE))-(VLOOKUP(D582,$D$2:$F$4,3,FALSE))</f>
        <v>#N/A</v>
      </c>
      <c r="G582" s="137" t="e">
        <f t="shared" si="12"/>
        <v>#N/A</v>
      </c>
    </row>
    <row r="583" spans="1:7">
      <c r="A583" s="112" t="str">
        <f>VLOOKUP('Informe Kelly'!A577,Base!A:B,2,FALSE)</f>
        <v>08.881.760-5</v>
      </c>
      <c r="B583" s="112" t="str">
        <f>VLOOKUP('Informe Kelly'!A577,Base!A:G,7,FALSE)</f>
        <v>VEGA LEYTON MANUEL</v>
      </c>
      <c r="C583" s="112" t="str">
        <f>'Informe Kelly'!E577</f>
        <v>05.04.2011</v>
      </c>
      <c r="D583" s="112" t="e">
        <f>VLOOKUP(A583,Ingreso!K:P,6,FALSE)</f>
        <v>#N/A</v>
      </c>
      <c r="E583" s="142" t="e">
        <f>(VLOOKUP(D583,$D$2:$E$4,2,FALSE))-(IF('Informe Kelly'!H577=$A$2,'Informe Kelly'!F577,VLOOKUP(D583,$D$2:$E$4,2,FALSE)))</f>
        <v>#N/A</v>
      </c>
      <c r="F583" s="142" t="e">
        <f>IF('Informe Kelly'!H577=$A$3,'Informe Kelly'!F577,VLOOKUP(D583,$D$2:$F$4,3,FALSE))-(VLOOKUP(D583,$D$2:$F$4,3,FALSE))</f>
        <v>#N/A</v>
      </c>
      <c r="G583" s="137" t="e">
        <f t="shared" si="12"/>
        <v>#N/A</v>
      </c>
    </row>
    <row r="584" spans="1:7">
      <c r="A584" s="112" t="str">
        <f>VLOOKUP('Informe Kelly'!A578,Base!A:B,2,FALSE)</f>
        <v>08.881.760-5</v>
      </c>
      <c r="B584" s="112" t="str">
        <f>VLOOKUP('Informe Kelly'!A578,Base!A:G,7,FALSE)</f>
        <v>VEGA LEYTON MANUEL</v>
      </c>
      <c r="C584" s="112" t="str">
        <f>'Informe Kelly'!E578</f>
        <v>05.04.2011</v>
      </c>
      <c r="D584" s="112" t="e">
        <f>VLOOKUP(A584,Ingreso!K:P,6,FALSE)</f>
        <v>#N/A</v>
      </c>
      <c r="E584" s="142" t="e">
        <f>(VLOOKUP(D584,$D$2:$E$4,2,FALSE))-(IF('Informe Kelly'!H578=$A$2,'Informe Kelly'!F578,VLOOKUP(D584,$D$2:$E$4,2,FALSE)))</f>
        <v>#N/A</v>
      </c>
      <c r="F584" s="142" t="e">
        <f>IF('Informe Kelly'!H578=$A$3,'Informe Kelly'!F578,VLOOKUP(D584,$D$2:$F$4,3,FALSE))-(VLOOKUP(D584,$D$2:$F$4,3,FALSE))</f>
        <v>#N/A</v>
      </c>
      <c r="G584" s="137" t="e">
        <f t="shared" si="12"/>
        <v>#N/A</v>
      </c>
    </row>
    <row r="585" spans="1:7">
      <c r="A585" s="112" t="str">
        <f>VLOOKUP('Informe Kelly'!A579,Base!A:B,2,FALSE)</f>
        <v>08.881.760-5</v>
      </c>
      <c r="B585" s="112" t="str">
        <f>VLOOKUP('Informe Kelly'!A579,Base!A:G,7,FALSE)</f>
        <v>VEGA LEYTON MANUEL</v>
      </c>
      <c r="C585" s="112" t="str">
        <f>'Informe Kelly'!E579</f>
        <v>06.04.2011</v>
      </c>
      <c r="D585" s="112" t="e">
        <f>VLOOKUP(A585,Ingreso!K:P,6,FALSE)</f>
        <v>#N/A</v>
      </c>
      <c r="E585" s="142" t="e">
        <f>(VLOOKUP(D585,$D$2:$E$4,2,FALSE))-(IF('Informe Kelly'!H579=$A$2,'Informe Kelly'!F579,VLOOKUP(D585,$D$2:$E$4,2,FALSE)))</f>
        <v>#N/A</v>
      </c>
      <c r="F585" s="142" t="e">
        <f>IF('Informe Kelly'!H579=$A$3,'Informe Kelly'!F579,VLOOKUP(D585,$D$2:$F$4,3,FALSE))-(VLOOKUP(D585,$D$2:$F$4,3,FALSE))</f>
        <v>#N/A</v>
      </c>
      <c r="G585" s="137" t="e">
        <f t="shared" ref="G585:G648" si="13">IF(E585="",IF(F585&lt;0.0409722222222222,0,E585),IF(E585&lt;0.0409722222222222,0,E585))</f>
        <v>#N/A</v>
      </c>
    </row>
    <row r="586" spans="1:7">
      <c r="A586" s="112" t="str">
        <f>VLOOKUP('Informe Kelly'!A580,Base!A:B,2,FALSE)</f>
        <v>08.881.760-5</v>
      </c>
      <c r="B586" s="112" t="str">
        <f>VLOOKUP('Informe Kelly'!A580,Base!A:G,7,FALSE)</f>
        <v>VEGA LEYTON MANUEL</v>
      </c>
      <c r="C586" s="112" t="str">
        <f>'Informe Kelly'!E580</f>
        <v>06.04.2011</v>
      </c>
      <c r="D586" s="112" t="e">
        <f>VLOOKUP(A586,Ingreso!K:P,6,FALSE)</f>
        <v>#N/A</v>
      </c>
      <c r="E586" s="142" t="e">
        <f>(VLOOKUP(D586,$D$2:$E$4,2,FALSE))-(IF('Informe Kelly'!H580=$A$2,'Informe Kelly'!F580,VLOOKUP(D586,$D$2:$E$4,2,FALSE)))</f>
        <v>#N/A</v>
      </c>
      <c r="F586" s="142" t="e">
        <f>IF('Informe Kelly'!H580=$A$3,'Informe Kelly'!F580,VLOOKUP(D586,$D$2:$F$4,3,FALSE))-(VLOOKUP(D586,$D$2:$F$4,3,FALSE))</f>
        <v>#N/A</v>
      </c>
      <c r="G586" s="137" t="e">
        <f t="shared" si="13"/>
        <v>#N/A</v>
      </c>
    </row>
    <row r="587" spans="1:7">
      <c r="A587" s="112" t="str">
        <f>VLOOKUP('Informe Kelly'!A581,Base!A:B,2,FALSE)</f>
        <v>08.881.760-5</v>
      </c>
      <c r="B587" s="112" t="str">
        <f>VLOOKUP('Informe Kelly'!A581,Base!A:G,7,FALSE)</f>
        <v>VEGA LEYTON MANUEL</v>
      </c>
      <c r="C587" s="112" t="str">
        <f>'Informe Kelly'!E581</f>
        <v>07.04.2011</v>
      </c>
      <c r="D587" s="112" t="e">
        <f>VLOOKUP(A587,Ingreso!K:P,6,FALSE)</f>
        <v>#N/A</v>
      </c>
      <c r="E587" s="142" t="e">
        <f>(VLOOKUP(D587,$D$2:$E$4,2,FALSE))-(IF('Informe Kelly'!H581=$A$2,'Informe Kelly'!F581,VLOOKUP(D587,$D$2:$E$4,2,FALSE)))</f>
        <v>#N/A</v>
      </c>
      <c r="F587" s="142" t="e">
        <f>IF('Informe Kelly'!H581=$A$3,'Informe Kelly'!F581,VLOOKUP(D587,$D$2:$F$4,3,FALSE))-(VLOOKUP(D587,$D$2:$F$4,3,FALSE))</f>
        <v>#N/A</v>
      </c>
      <c r="G587" s="137" t="e">
        <f t="shared" si="13"/>
        <v>#N/A</v>
      </c>
    </row>
    <row r="588" spans="1:7">
      <c r="A588" s="112" t="str">
        <f>VLOOKUP('Informe Kelly'!A582,Base!A:B,2,FALSE)</f>
        <v>08.881.760-5</v>
      </c>
      <c r="B588" s="112" t="str">
        <f>VLOOKUP('Informe Kelly'!A582,Base!A:G,7,FALSE)</f>
        <v>VEGA LEYTON MANUEL</v>
      </c>
      <c r="C588" s="112" t="str">
        <f>'Informe Kelly'!E582</f>
        <v>07.04.2011</v>
      </c>
      <c r="D588" s="112" t="e">
        <f>VLOOKUP(A588,Ingreso!K:P,6,FALSE)</f>
        <v>#N/A</v>
      </c>
      <c r="E588" s="142" t="e">
        <f>(VLOOKUP(D588,$D$2:$E$4,2,FALSE))-(IF('Informe Kelly'!H582=$A$2,'Informe Kelly'!F582,VLOOKUP(D588,$D$2:$E$4,2,FALSE)))</f>
        <v>#N/A</v>
      </c>
      <c r="F588" s="142" t="e">
        <f>IF('Informe Kelly'!H582=$A$3,'Informe Kelly'!F582,VLOOKUP(D588,$D$2:$F$4,3,FALSE))-(VLOOKUP(D588,$D$2:$F$4,3,FALSE))</f>
        <v>#N/A</v>
      </c>
      <c r="G588" s="137" t="e">
        <f t="shared" si="13"/>
        <v>#N/A</v>
      </c>
    </row>
    <row r="589" spans="1:7">
      <c r="A589" s="112" t="str">
        <f>VLOOKUP('Informe Kelly'!A583,Base!A:B,2,FALSE)</f>
        <v>08.881.760-5</v>
      </c>
      <c r="B589" s="112" t="str">
        <f>VLOOKUP('Informe Kelly'!A583,Base!A:G,7,FALSE)</f>
        <v>VEGA LEYTON MANUEL</v>
      </c>
      <c r="C589" s="112" t="str">
        <f>'Informe Kelly'!E583</f>
        <v>08.04.2011</v>
      </c>
      <c r="D589" s="112" t="e">
        <f>VLOOKUP(A589,Ingreso!K:P,6,FALSE)</f>
        <v>#N/A</v>
      </c>
      <c r="E589" s="142" t="e">
        <f>(VLOOKUP(D589,$D$2:$E$4,2,FALSE))-(IF('Informe Kelly'!H583=$A$2,'Informe Kelly'!F583,VLOOKUP(D589,$D$2:$E$4,2,FALSE)))</f>
        <v>#N/A</v>
      </c>
      <c r="F589" s="142" t="e">
        <f>IF('Informe Kelly'!H583=$A$3,'Informe Kelly'!F583,VLOOKUP(D589,$D$2:$F$4,3,FALSE))-(VLOOKUP(D589,$D$2:$F$4,3,FALSE))</f>
        <v>#N/A</v>
      </c>
      <c r="G589" s="137" t="e">
        <f t="shared" si="13"/>
        <v>#N/A</v>
      </c>
    </row>
    <row r="590" spans="1:7">
      <c r="A590" s="112" t="str">
        <f>VLOOKUP('Informe Kelly'!A584,Base!A:B,2,FALSE)</f>
        <v>08.881.760-5</v>
      </c>
      <c r="B590" s="112" t="str">
        <f>VLOOKUP('Informe Kelly'!A584,Base!A:G,7,FALSE)</f>
        <v>VEGA LEYTON MANUEL</v>
      </c>
      <c r="C590" s="112" t="str">
        <f>'Informe Kelly'!E584</f>
        <v>08.04.2011</v>
      </c>
      <c r="D590" s="112" t="e">
        <f>VLOOKUP(A590,Ingreso!K:P,6,FALSE)</f>
        <v>#N/A</v>
      </c>
      <c r="E590" s="142" t="e">
        <f>(VLOOKUP(D590,$D$2:$E$4,2,FALSE))-(IF('Informe Kelly'!H584=$A$2,'Informe Kelly'!F584,VLOOKUP(D590,$D$2:$E$4,2,FALSE)))</f>
        <v>#N/A</v>
      </c>
      <c r="F590" s="142" t="e">
        <f>IF('Informe Kelly'!H584=$A$3,'Informe Kelly'!F584,VLOOKUP(D590,$D$2:$F$4,3,FALSE))-(VLOOKUP(D590,$D$2:$F$4,3,FALSE))</f>
        <v>#N/A</v>
      </c>
      <c r="G590" s="137" t="e">
        <f t="shared" si="13"/>
        <v>#N/A</v>
      </c>
    </row>
    <row r="591" spans="1:7">
      <c r="A591" s="112" t="str">
        <f>VLOOKUP('Informe Kelly'!A585,Base!A:B,2,FALSE)</f>
        <v>08.881.760-5</v>
      </c>
      <c r="B591" s="112" t="str">
        <f>VLOOKUP('Informe Kelly'!A585,Base!A:G,7,FALSE)</f>
        <v>VEGA LEYTON MANUEL</v>
      </c>
      <c r="C591" s="112" t="str">
        <f>'Informe Kelly'!E585</f>
        <v>09.04.2011</v>
      </c>
      <c r="D591" s="112" t="e">
        <f>VLOOKUP(A591,Ingreso!K:P,6,FALSE)</f>
        <v>#N/A</v>
      </c>
      <c r="E591" s="142" t="e">
        <f>(VLOOKUP(D591,$D$2:$E$4,2,FALSE))-(IF('Informe Kelly'!H585=$A$2,'Informe Kelly'!F585,VLOOKUP(D591,$D$2:$E$4,2,FALSE)))</f>
        <v>#N/A</v>
      </c>
      <c r="F591" s="142" t="e">
        <f>IF('Informe Kelly'!H585=$A$3,'Informe Kelly'!F585,VLOOKUP(D591,$D$2:$F$4,3,FALSE))-(VLOOKUP(D591,$D$2:$F$4,3,FALSE))</f>
        <v>#N/A</v>
      </c>
      <c r="G591" s="137" t="e">
        <f t="shared" si="13"/>
        <v>#N/A</v>
      </c>
    </row>
    <row r="592" spans="1:7">
      <c r="A592" s="112" t="str">
        <f>VLOOKUP('Informe Kelly'!A586,Base!A:B,2,FALSE)</f>
        <v>08.881.760-5</v>
      </c>
      <c r="B592" s="112" t="str">
        <f>VLOOKUP('Informe Kelly'!A586,Base!A:G,7,FALSE)</f>
        <v>VEGA LEYTON MANUEL</v>
      </c>
      <c r="C592" s="112" t="str">
        <f>'Informe Kelly'!E586</f>
        <v>09.04.2011</v>
      </c>
      <c r="D592" s="112" t="e">
        <f>VLOOKUP(A592,Ingreso!K:P,6,FALSE)</f>
        <v>#N/A</v>
      </c>
      <c r="E592" s="142" t="e">
        <f>(VLOOKUP(D592,$D$2:$E$4,2,FALSE))-(IF('Informe Kelly'!H586=$A$2,'Informe Kelly'!F586,VLOOKUP(D592,$D$2:$E$4,2,FALSE)))</f>
        <v>#N/A</v>
      </c>
      <c r="F592" s="142" t="e">
        <f>IF('Informe Kelly'!H586=$A$3,'Informe Kelly'!F586,VLOOKUP(D592,$D$2:$F$4,3,FALSE))-(VLOOKUP(D592,$D$2:$F$4,3,FALSE))</f>
        <v>#N/A</v>
      </c>
      <c r="G592" s="137" t="e">
        <f t="shared" si="13"/>
        <v>#N/A</v>
      </c>
    </row>
    <row r="593" spans="1:7">
      <c r="A593" s="112" t="str">
        <f>VLOOKUP('Informe Kelly'!A587,Base!A:B,2,FALSE)</f>
        <v>08.962.599-8</v>
      </c>
      <c r="B593" s="112" t="str">
        <f>VLOOKUP('Informe Kelly'!A587,Base!A:G,7,FALSE)</f>
        <v>GONZALEZ MUÑOZ HUGO</v>
      </c>
      <c r="C593" s="112" t="str">
        <f>'Informe Kelly'!E587</f>
        <v>04.04.2011</v>
      </c>
      <c r="D593" s="112" t="e">
        <f>VLOOKUP(A593,Ingreso!K:P,6,FALSE)</f>
        <v>#N/A</v>
      </c>
      <c r="E593" s="142" t="e">
        <f>(VLOOKUP(D593,$D$2:$E$4,2,FALSE))-(IF('Informe Kelly'!H587=$A$2,'Informe Kelly'!F587,VLOOKUP(D593,$D$2:$E$4,2,FALSE)))</f>
        <v>#N/A</v>
      </c>
      <c r="F593" s="142" t="e">
        <f>IF('Informe Kelly'!H587=$A$3,'Informe Kelly'!F587,VLOOKUP(D593,$D$2:$F$4,3,FALSE))-(VLOOKUP(D593,$D$2:$F$4,3,FALSE))</f>
        <v>#N/A</v>
      </c>
      <c r="G593" s="137" t="e">
        <f t="shared" si="13"/>
        <v>#N/A</v>
      </c>
    </row>
    <row r="594" spans="1:7">
      <c r="A594" s="112" t="str">
        <f>VLOOKUP('Informe Kelly'!A588,Base!A:B,2,FALSE)</f>
        <v>08.962.599-8</v>
      </c>
      <c r="B594" s="112" t="str">
        <f>VLOOKUP('Informe Kelly'!A588,Base!A:G,7,FALSE)</f>
        <v>GONZALEZ MUÑOZ HUGO</v>
      </c>
      <c r="C594" s="112" t="str">
        <f>'Informe Kelly'!E588</f>
        <v>04.04.2011</v>
      </c>
      <c r="D594" s="112" t="e">
        <f>VLOOKUP(A594,Ingreso!K:P,6,FALSE)</f>
        <v>#N/A</v>
      </c>
      <c r="E594" s="142" t="e">
        <f>(VLOOKUP(D594,$D$2:$E$4,2,FALSE))-(IF('Informe Kelly'!H588=$A$2,'Informe Kelly'!F588,VLOOKUP(D594,$D$2:$E$4,2,FALSE)))</f>
        <v>#N/A</v>
      </c>
      <c r="F594" s="142" t="e">
        <f>IF('Informe Kelly'!H588=$A$3,'Informe Kelly'!F588,VLOOKUP(D594,$D$2:$F$4,3,FALSE))-(VLOOKUP(D594,$D$2:$F$4,3,FALSE))</f>
        <v>#N/A</v>
      </c>
      <c r="G594" s="137" t="e">
        <f t="shared" si="13"/>
        <v>#N/A</v>
      </c>
    </row>
    <row r="595" spans="1:7">
      <c r="A595" s="112" t="str">
        <f>VLOOKUP('Informe Kelly'!A589,Base!A:B,2,FALSE)</f>
        <v>08.962.599-8</v>
      </c>
      <c r="B595" s="112" t="str">
        <f>VLOOKUP('Informe Kelly'!A589,Base!A:G,7,FALSE)</f>
        <v>GONZALEZ MUÑOZ HUGO</v>
      </c>
      <c r="C595" s="112" t="str">
        <f>'Informe Kelly'!E589</f>
        <v>05.04.2011</v>
      </c>
      <c r="D595" s="112" t="e">
        <f>VLOOKUP(A595,Ingreso!K:P,6,FALSE)</f>
        <v>#N/A</v>
      </c>
      <c r="E595" s="142" t="e">
        <f>(VLOOKUP(D595,$D$2:$E$4,2,FALSE))-(IF('Informe Kelly'!H589=$A$2,'Informe Kelly'!F589,VLOOKUP(D595,$D$2:$E$4,2,FALSE)))</f>
        <v>#N/A</v>
      </c>
      <c r="F595" s="142" t="e">
        <f>IF('Informe Kelly'!H589=$A$3,'Informe Kelly'!F589,VLOOKUP(D595,$D$2:$F$4,3,FALSE))-(VLOOKUP(D595,$D$2:$F$4,3,FALSE))</f>
        <v>#N/A</v>
      </c>
      <c r="G595" s="137" t="e">
        <f t="shared" si="13"/>
        <v>#N/A</v>
      </c>
    </row>
    <row r="596" spans="1:7">
      <c r="A596" s="112" t="str">
        <f>VLOOKUP('Informe Kelly'!A590,Base!A:B,2,FALSE)</f>
        <v>08.962.599-8</v>
      </c>
      <c r="B596" s="112" t="str">
        <f>VLOOKUP('Informe Kelly'!A590,Base!A:G,7,FALSE)</f>
        <v>GONZALEZ MUÑOZ HUGO</v>
      </c>
      <c r="C596" s="112" t="str">
        <f>'Informe Kelly'!E590</f>
        <v>05.04.2011</v>
      </c>
      <c r="D596" s="112" t="e">
        <f>VLOOKUP(A596,Ingreso!K:P,6,FALSE)</f>
        <v>#N/A</v>
      </c>
      <c r="E596" s="142" t="e">
        <f>(VLOOKUP(D596,$D$2:$E$4,2,FALSE))-(IF('Informe Kelly'!H590=$A$2,'Informe Kelly'!F590,VLOOKUP(D596,$D$2:$E$4,2,FALSE)))</f>
        <v>#N/A</v>
      </c>
      <c r="F596" s="142" t="e">
        <f>IF('Informe Kelly'!H590=$A$3,'Informe Kelly'!F590,VLOOKUP(D596,$D$2:$F$4,3,FALSE))-(VLOOKUP(D596,$D$2:$F$4,3,FALSE))</f>
        <v>#N/A</v>
      </c>
      <c r="G596" s="137" t="e">
        <f t="shared" si="13"/>
        <v>#N/A</v>
      </c>
    </row>
    <row r="597" spans="1:7">
      <c r="A597" s="112" t="str">
        <f>VLOOKUP('Informe Kelly'!A591,Base!A:B,2,FALSE)</f>
        <v>08.962.599-8</v>
      </c>
      <c r="B597" s="112" t="str">
        <f>VLOOKUP('Informe Kelly'!A591,Base!A:G,7,FALSE)</f>
        <v>GONZALEZ MUÑOZ HUGO</v>
      </c>
      <c r="C597" s="112" t="str">
        <f>'Informe Kelly'!E591</f>
        <v>06.04.2011</v>
      </c>
      <c r="D597" s="112" t="e">
        <f>VLOOKUP(A597,Ingreso!K:P,6,FALSE)</f>
        <v>#N/A</v>
      </c>
      <c r="E597" s="142" t="e">
        <f>(VLOOKUP(D597,$D$2:$E$4,2,FALSE))-(IF('Informe Kelly'!H591=$A$2,'Informe Kelly'!F591,VLOOKUP(D597,$D$2:$E$4,2,FALSE)))</f>
        <v>#N/A</v>
      </c>
      <c r="F597" s="142" t="e">
        <f>IF('Informe Kelly'!H591=$A$3,'Informe Kelly'!F591,VLOOKUP(D597,$D$2:$F$4,3,FALSE))-(VLOOKUP(D597,$D$2:$F$4,3,FALSE))</f>
        <v>#N/A</v>
      </c>
      <c r="G597" s="137" t="e">
        <f t="shared" si="13"/>
        <v>#N/A</v>
      </c>
    </row>
    <row r="598" spans="1:7">
      <c r="A598" s="112" t="str">
        <f>VLOOKUP('Informe Kelly'!A592,Base!A:B,2,FALSE)</f>
        <v>08.962.599-8</v>
      </c>
      <c r="B598" s="112" t="str">
        <f>VLOOKUP('Informe Kelly'!A592,Base!A:G,7,FALSE)</f>
        <v>GONZALEZ MUÑOZ HUGO</v>
      </c>
      <c r="C598" s="112" t="str">
        <f>'Informe Kelly'!E592</f>
        <v>06.04.2011</v>
      </c>
      <c r="D598" s="112" t="e">
        <f>VLOOKUP(A598,Ingreso!K:P,6,FALSE)</f>
        <v>#N/A</v>
      </c>
      <c r="E598" s="142" t="e">
        <f>(VLOOKUP(D598,$D$2:$E$4,2,FALSE))-(IF('Informe Kelly'!H592=$A$2,'Informe Kelly'!F592,VLOOKUP(D598,$D$2:$E$4,2,FALSE)))</f>
        <v>#N/A</v>
      </c>
      <c r="F598" s="142" t="e">
        <f>IF('Informe Kelly'!H592=$A$3,'Informe Kelly'!F592,VLOOKUP(D598,$D$2:$F$4,3,FALSE))-(VLOOKUP(D598,$D$2:$F$4,3,FALSE))</f>
        <v>#N/A</v>
      </c>
      <c r="G598" s="137" t="e">
        <f t="shared" si="13"/>
        <v>#N/A</v>
      </c>
    </row>
    <row r="599" spans="1:7">
      <c r="A599" s="112" t="str">
        <f>VLOOKUP('Informe Kelly'!A593,Base!A:B,2,FALSE)</f>
        <v>08.962.599-8</v>
      </c>
      <c r="B599" s="112" t="str">
        <f>VLOOKUP('Informe Kelly'!A593,Base!A:G,7,FALSE)</f>
        <v>GONZALEZ MUÑOZ HUGO</v>
      </c>
      <c r="C599" s="112" t="str">
        <f>'Informe Kelly'!E593</f>
        <v>07.04.2011</v>
      </c>
      <c r="D599" s="112" t="e">
        <f>VLOOKUP(A599,Ingreso!K:P,6,FALSE)</f>
        <v>#N/A</v>
      </c>
      <c r="E599" s="142" t="e">
        <f>(VLOOKUP(D599,$D$2:$E$4,2,FALSE))-(IF('Informe Kelly'!H593=$A$2,'Informe Kelly'!F593,VLOOKUP(D599,$D$2:$E$4,2,FALSE)))</f>
        <v>#N/A</v>
      </c>
      <c r="F599" s="142" t="e">
        <f>IF('Informe Kelly'!H593=$A$3,'Informe Kelly'!F593,VLOOKUP(D599,$D$2:$F$4,3,FALSE))-(VLOOKUP(D599,$D$2:$F$4,3,FALSE))</f>
        <v>#N/A</v>
      </c>
      <c r="G599" s="137" t="e">
        <f t="shared" si="13"/>
        <v>#N/A</v>
      </c>
    </row>
    <row r="600" spans="1:7">
      <c r="A600" s="112" t="str">
        <f>VLOOKUP('Informe Kelly'!A594,Base!A:B,2,FALSE)</f>
        <v>08.962.599-8</v>
      </c>
      <c r="B600" s="112" t="str">
        <f>VLOOKUP('Informe Kelly'!A594,Base!A:G,7,FALSE)</f>
        <v>GONZALEZ MUÑOZ HUGO</v>
      </c>
      <c r="C600" s="112" t="str">
        <f>'Informe Kelly'!E594</f>
        <v>07.04.2011</v>
      </c>
      <c r="D600" s="112" t="e">
        <f>VLOOKUP(A600,Ingreso!K:P,6,FALSE)</f>
        <v>#N/A</v>
      </c>
      <c r="E600" s="142" t="e">
        <f>(VLOOKUP(D600,$D$2:$E$4,2,FALSE))-(IF('Informe Kelly'!H594=$A$2,'Informe Kelly'!F594,VLOOKUP(D600,$D$2:$E$4,2,FALSE)))</f>
        <v>#N/A</v>
      </c>
      <c r="F600" s="142" t="e">
        <f>IF('Informe Kelly'!H594=$A$3,'Informe Kelly'!F594,VLOOKUP(D600,$D$2:$F$4,3,FALSE))-(VLOOKUP(D600,$D$2:$F$4,3,FALSE))</f>
        <v>#N/A</v>
      </c>
      <c r="G600" s="137" t="e">
        <f t="shared" si="13"/>
        <v>#N/A</v>
      </c>
    </row>
    <row r="601" spans="1:7">
      <c r="A601" s="112" t="str">
        <f>VLOOKUP('Informe Kelly'!A595,Base!A:B,2,FALSE)</f>
        <v>08.962.599-8</v>
      </c>
      <c r="B601" s="112" t="str">
        <f>VLOOKUP('Informe Kelly'!A595,Base!A:G,7,FALSE)</f>
        <v>GONZALEZ MUÑOZ HUGO</v>
      </c>
      <c r="C601" s="112" t="str">
        <f>'Informe Kelly'!E595</f>
        <v>08.04.2011</v>
      </c>
      <c r="D601" s="112" t="e">
        <f>VLOOKUP(A601,Ingreso!K:P,6,FALSE)</f>
        <v>#N/A</v>
      </c>
      <c r="E601" s="142" t="e">
        <f>(VLOOKUP(D601,$D$2:$E$4,2,FALSE))-(IF('Informe Kelly'!H595=$A$2,'Informe Kelly'!F595,VLOOKUP(D601,$D$2:$E$4,2,FALSE)))</f>
        <v>#N/A</v>
      </c>
      <c r="F601" s="142" t="e">
        <f>IF('Informe Kelly'!H595=$A$3,'Informe Kelly'!F595,VLOOKUP(D601,$D$2:$F$4,3,FALSE))-(VLOOKUP(D601,$D$2:$F$4,3,FALSE))</f>
        <v>#N/A</v>
      </c>
      <c r="G601" s="137" t="e">
        <f t="shared" si="13"/>
        <v>#N/A</v>
      </c>
    </row>
    <row r="602" spans="1:7">
      <c r="A602" s="112" t="str">
        <f>VLOOKUP('Informe Kelly'!A596,Base!A:B,2,FALSE)</f>
        <v>08.962.599-8</v>
      </c>
      <c r="B602" s="112" t="str">
        <f>VLOOKUP('Informe Kelly'!A596,Base!A:G,7,FALSE)</f>
        <v>GONZALEZ MUÑOZ HUGO</v>
      </c>
      <c r="C602" s="112" t="str">
        <f>'Informe Kelly'!E596</f>
        <v>08.04.2011</v>
      </c>
      <c r="D602" s="112" t="e">
        <f>VLOOKUP(A602,Ingreso!K:P,6,FALSE)</f>
        <v>#N/A</v>
      </c>
      <c r="E602" s="142" t="e">
        <f>(VLOOKUP(D602,$D$2:$E$4,2,FALSE))-(IF('Informe Kelly'!H596=$A$2,'Informe Kelly'!F596,VLOOKUP(D602,$D$2:$E$4,2,FALSE)))</f>
        <v>#N/A</v>
      </c>
      <c r="F602" s="142" t="e">
        <f>IF('Informe Kelly'!H596=$A$3,'Informe Kelly'!F596,VLOOKUP(D602,$D$2:$F$4,3,FALSE))-(VLOOKUP(D602,$D$2:$F$4,3,FALSE))</f>
        <v>#N/A</v>
      </c>
      <c r="G602" s="137" t="e">
        <f t="shared" si="13"/>
        <v>#N/A</v>
      </c>
    </row>
    <row r="603" spans="1:7">
      <c r="A603" s="112" t="str">
        <f>VLOOKUP('Informe Kelly'!A597,Base!A:B,2,FALSE)</f>
        <v>08.962.599-8</v>
      </c>
      <c r="B603" s="112" t="str">
        <f>VLOOKUP('Informe Kelly'!A597,Base!A:G,7,FALSE)</f>
        <v>GONZALEZ MUÑOZ HUGO</v>
      </c>
      <c r="C603" s="112" t="str">
        <f>'Informe Kelly'!E597</f>
        <v>09.04.2011</v>
      </c>
      <c r="D603" s="112" t="e">
        <f>VLOOKUP(A603,Ingreso!K:P,6,FALSE)</f>
        <v>#N/A</v>
      </c>
      <c r="E603" s="142" t="e">
        <f>(VLOOKUP(D603,$D$2:$E$4,2,FALSE))-(IF('Informe Kelly'!H597=$A$2,'Informe Kelly'!F597,VLOOKUP(D603,$D$2:$E$4,2,FALSE)))</f>
        <v>#N/A</v>
      </c>
      <c r="F603" s="142" t="e">
        <f>IF('Informe Kelly'!H597=$A$3,'Informe Kelly'!F597,VLOOKUP(D603,$D$2:$F$4,3,FALSE))-(VLOOKUP(D603,$D$2:$F$4,3,FALSE))</f>
        <v>#N/A</v>
      </c>
      <c r="G603" s="137" t="e">
        <f t="shared" si="13"/>
        <v>#N/A</v>
      </c>
    </row>
    <row r="604" spans="1:7">
      <c r="A604" s="112" t="str">
        <f>VLOOKUP('Informe Kelly'!A598,Base!A:B,2,FALSE)</f>
        <v>08.962.599-8</v>
      </c>
      <c r="B604" s="112" t="str">
        <f>VLOOKUP('Informe Kelly'!A598,Base!A:G,7,FALSE)</f>
        <v>GONZALEZ MUÑOZ HUGO</v>
      </c>
      <c r="C604" s="112" t="str">
        <f>'Informe Kelly'!E598</f>
        <v>09.04.2011</v>
      </c>
      <c r="D604" s="112" t="e">
        <f>VLOOKUP(A604,Ingreso!K:P,6,FALSE)</f>
        <v>#N/A</v>
      </c>
      <c r="E604" s="142" t="e">
        <f>(VLOOKUP(D604,$D$2:$E$4,2,FALSE))-(IF('Informe Kelly'!H598=$A$2,'Informe Kelly'!F598,VLOOKUP(D604,$D$2:$E$4,2,FALSE)))</f>
        <v>#N/A</v>
      </c>
      <c r="F604" s="142" t="e">
        <f>IF('Informe Kelly'!H598=$A$3,'Informe Kelly'!F598,VLOOKUP(D604,$D$2:$F$4,3,FALSE))-(VLOOKUP(D604,$D$2:$F$4,3,FALSE))</f>
        <v>#N/A</v>
      </c>
      <c r="G604" s="137" t="e">
        <f t="shared" si="13"/>
        <v>#N/A</v>
      </c>
    </row>
    <row r="605" spans="1:7">
      <c r="A605" s="112" t="str">
        <f>VLOOKUP('Informe Kelly'!A599,Base!A:B,2,FALSE)</f>
        <v>09.048.185-1</v>
      </c>
      <c r="B605" s="112" t="str">
        <f>VLOOKUP('Informe Kelly'!A599,Base!A:G,7,FALSE)</f>
        <v>GARCIA DIAZ PABLO HORACIO</v>
      </c>
      <c r="C605" s="112" t="str">
        <f>'Informe Kelly'!E599</f>
        <v>00.00.0000</v>
      </c>
      <c r="D605" s="112" t="e">
        <f>VLOOKUP(A605,Ingreso!K:P,6,FALSE)</f>
        <v>#N/A</v>
      </c>
      <c r="E605" s="142" t="e">
        <f>(VLOOKUP(D605,$D$2:$E$4,2,FALSE))-(IF('Informe Kelly'!H599=$A$2,'Informe Kelly'!F599,VLOOKUP(D605,$D$2:$E$4,2,FALSE)))</f>
        <v>#N/A</v>
      </c>
      <c r="F605" s="142" t="e">
        <f>IF('Informe Kelly'!H599=$A$3,'Informe Kelly'!F599,VLOOKUP(D605,$D$2:$F$4,3,FALSE))-(VLOOKUP(D605,$D$2:$F$4,3,FALSE))</f>
        <v>#N/A</v>
      </c>
      <c r="G605" s="137" t="e">
        <f t="shared" si="13"/>
        <v>#N/A</v>
      </c>
    </row>
    <row r="606" spans="1:7">
      <c r="A606" s="112" t="str">
        <f>VLOOKUP('Informe Kelly'!A600,Base!A:B,2,FALSE)</f>
        <v>09.068.490-6</v>
      </c>
      <c r="B606" s="112" t="str">
        <f>VLOOKUP('Informe Kelly'!A600,Base!A:G,7,FALSE)</f>
        <v>GONZALEZ DEL VALLE DARIO RODOLFO</v>
      </c>
      <c r="C606" s="112" t="str">
        <f>'Informe Kelly'!E600</f>
        <v>04.04.2011</v>
      </c>
      <c r="D606" s="112" t="e">
        <f>VLOOKUP(A606,Ingreso!K:P,6,FALSE)</f>
        <v>#N/A</v>
      </c>
      <c r="E606" s="142" t="e">
        <f>(VLOOKUP(D606,$D$2:$E$4,2,FALSE))-(IF('Informe Kelly'!H600=$A$2,'Informe Kelly'!F600,VLOOKUP(D606,$D$2:$E$4,2,FALSE)))</f>
        <v>#N/A</v>
      </c>
      <c r="F606" s="142" t="e">
        <f>IF('Informe Kelly'!H600=$A$3,'Informe Kelly'!F600,VLOOKUP(D606,$D$2:$F$4,3,FALSE))-(VLOOKUP(D606,$D$2:$F$4,3,FALSE))</f>
        <v>#N/A</v>
      </c>
      <c r="G606" s="137" t="e">
        <f t="shared" si="13"/>
        <v>#N/A</v>
      </c>
    </row>
    <row r="607" spans="1:7">
      <c r="A607" s="112" t="str">
        <f>VLOOKUP('Informe Kelly'!A601,Base!A:B,2,FALSE)</f>
        <v>09.068.490-6</v>
      </c>
      <c r="B607" s="112" t="str">
        <f>VLOOKUP('Informe Kelly'!A601,Base!A:G,7,FALSE)</f>
        <v>GONZALEZ DEL VALLE DARIO RODOLFO</v>
      </c>
      <c r="C607" s="112" t="str">
        <f>'Informe Kelly'!E601</f>
        <v>04.04.2011</v>
      </c>
      <c r="D607" s="112" t="e">
        <f>VLOOKUP(A607,Ingreso!K:P,6,FALSE)</f>
        <v>#N/A</v>
      </c>
      <c r="E607" s="142" t="e">
        <f>(VLOOKUP(D607,$D$2:$E$4,2,FALSE))-(IF('Informe Kelly'!H601=$A$2,'Informe Kelly'!F601,VLOOKUP(D607,$D$2:$E$4,2,FALSE)))</f>
        <v>#N/A</v>
      </c>
      <c r="F607" s="142" t="e">
        <f>IF('Informe Kelly'!H601=$A$3,'Informe Kelly'!F601,VLOOKUP(D607,$D$2:$F$4,3,FALSE))-(VLOOKUP(D607,$D$2:$F$4,3,FALSE))</f>
        <v>#N/A</v>
      </c>
      <c r="G607" s="137" t="e">
        <f t="shared" si="13"/>
        <v>#N/A</v>
      </c>
    </row>
    <row r="608" spans="1:7">
      <c r="A608" s="112" t="str">
        <f>VLOOKUP('Informe Kelly'!A602,Base!A:B,2,FALSE)</f>
        <v>09.068.490-6</v>
      </c>
      <c r="B608" s="112" t="str">
        <f>VLOOKUP('Informe Kelly'!A602,Base!A:G,7,FALSE)</f>
        <v>GONZALEZ DEL VALLE DARIO RODOLFO</v>
      </c>
      <c r="C608" s="112" t="str">
        <f>'Informe Kelly'!E602</f>
        <v>05.04.2011</v>
      </c>
      <c r="D608" s="112" t="e">
        <f>VLOOKUP(A608,Ingreso!K:P,6,FALSE)</f>
        <v>#N/A</v>
      </c>
      <c r="E608" s="142" t="e">
        <f>(VLOOKUP(D608,$D$2:$E$4,2,FALSE))-(IF('Informe Kelly'!H602=$A$2,'Informe Kelly'!F602,VLOOKUP(D608,$D$2:$E$4,2,FALSE)))</f>
        <v>#N/A</v>
      </c>
      <c r="F608" s="142" t="e">
        <f>IF('Informe Kelly'!H602=$A$3,'Informe Kelly'!F602,VLOOKUP(D608,$D$2:$F$4,3,FALSE))-(VLOOKUP(D608,$D$2:$F$4,3,FALSE))</f>
        <v>#N/A</v>
      </c>
      <c r="G608" s="137" t="e">
        <f t="shared" si="13"/>
        <v>#N/A</v>
      </c>
    </row>
    <row r="609" spans="1:7">
      <c r="A609" s="112" t="str">
        <f>VLOOKUP('Informe Kelly'!A603,Base!A:B,2,FALSE)</f>
        <v>09.068.490-6</v>
      </c>
      <c r="B609" s="112" t="str">
        <f>VLOOKUP('Informe Kelly'!A603,Base!A:G,7,FALSE)</f>
        <v>GONZALEZ DEL VALLE DARIO RODOLFO</v>
      </c>
      <c r="C609" s="112" t="str">
        <f>'Informe Kelly'!E603</f>
        <v>05.04.2011</v>
      </c>
      <c r="D609" s="112" t="e">
        <f>VLOOKUP(A609,Ingreso!K:P,6,FALSE)</f>
        <v>#N/A</v>
      </c>
      <c r="E609" s="142" t="e">
        <f>(VLOOKUP(D609,$D$2:$E$4,2,FALSE))-(IF('Informe Kelly'!H603=$A$2,'Informe Kelly'!F603,VLOOKUP(D609,$D$2:$E$4,2,FALSE)))</f>
        <v>#N/A</v>
      </c>
      <c r="F609" s="142" t="e">
        <f>IF('Informe Kelly'!H603=$A$3,'Informe Kelly'!F603,VLOOKUP(D609,$D$2:$F$4,3,FALSE))-(VLOOKUP(D609,$D$2:$F$4,3,FALSE))</f>
        <v>#N/A</v>
      </c>
      <c r="G609" s="137" t="e">
        <f t="shared" si="13"/>
        <v>#N/A</v>
      </c>
    </row>
    <row r="610" spans="1:7">
      <c r="A610" s="112" t="str">
        <f>VLOOKUP('Informe Kelly'!A604,Base!A:B,2,FALSE)</f>
        <v>09.068.490-6</v>
      </c>
      <c r="B610" s="112" t="str">
        <f>VLOOKUP('Informe Kelly'!A604,Base!A:G,7,FALSE)</f>
        <v>GONZALEZ DEL VALLE DARIO RODOLFO</v>
      </c>
      <c r="C610" s="112" t="str">
        <f>'Informe Kelly'!E604</f>
        <v>06.04.2011</v>
      </c>
      <c r="D610" s="112" t="e">
        <f>VLOOKUP(A610,Ingreso!K:P,6,FALSE)</f>
        <v>#N/A</v>
      </c>
      <c r="E610" s="142" t="e">
        <f>(VLOOKUP(D610,$D$2:$E$4,2,FALSE))-(IF('Informe Kelly'!H604=$A$2,'Informe Kelly'!F604,VLOOKUP(D610,$D$2:$E$4,2,FALSE)))</f>
        <v>#N/A</v>
      </c>
      <c r="F610" s="142" t="e">
        <f>IF('Informe Kelly'!H604=$A$3,'Informe Kelly'!F604,VLOOKUP(D610,$D$2:$F$4,3,FALSE))-(VLOOKUP(D610,$D$2:$F$4,3,FALSE))</f>
        <v>#N/A</v>
      </c>
      <c r="G610" s="137" t="e">
        <f t="shared" si="13"/>
        <v>#N/A</v>
      </c>
    </row>
    <row r="611" spans="1:7">
      <c r="A611" s="112" t="str">
        <f>VLOOKUP('Informe Kelly'!A605,Base!A:B,2,FALSE)</f>
        <v>09.068.490-6</v>
      </c>
      <c r="B611" s="112" t="str">
        <f>VLOOKUP('Informe Kelly'!A605,Base!A:G,7,FALSE)</f>
        <v>GONZALEZ DEL VALLE DARIO RODOLFO</v>
      </c>
      <c r="C611" s="112" t="str">
        <f>'Informe Kelly'!E605</f>
        <v>06.04.2011</v>
      </c>
      <c r="D611" s="112" t="e">
        <f>VLOOKUP(A611,Ingreso!K:P,6,FALSE)</f>
        <v>#N/A</v>
      </c>
      <c r="E611" s="142" t="e">
        <f>(VLOOKUP(D611,$D$2:$E$4,2,FALSE))-(IF('Informe Kelly'!H605=$A$2,'Informe Kelly'!F605,VLOOKUP(D611,$D$2:$E$4,2,FALSE)))</f>
        <v>#N/A</v>
      </c>
      <c r="F611" s="142" t="e">
        <f>IF('Informe Kelly'!H605=$A$3,'Informe Kelly'!F605,VLOOKUP(D611,$D$2:$F$4,3,FALSE))-(VLOOKUP(D611,$D$2:$F$4,3,FALSE))</f>
        <v>#N/A</v>
      </c>
      <c r="G611" s="137" t="e">
        <f t="shared" si="13"/>
        <v>#N/A</v>
      </c>
    </row>
    <row r="612" spans="1:7">
      <c r="A612" s="112" t="str">
        <f>VLOOKUP('Informe Kelly'!A606,Base!A:B,2,FALSE)</f>
        <v>09.068.490-6</v>
      </c>
      <c r="B612" s="112" t="str">
        <f>VLOOKUP('Informe Kelly'!A606,Base!A:G,7,FALSE)</f>
        <v>GONZALEZ DEL VALLE DARIO RODOLFO</v>
      </c>
      <c r="C612" s="112" t="str">
        <f>'Informe Kelly'!E606</f>
        <v>07.04.2011</v>
      </c>
      <c r="D612" s="112" t="e">
        <f>VLOOKUP(A612,Ingreso!K:P,6,FALSE)</f>
        <v>#N/A</v>
      </c>
      <c r="E612" s="142" t="e">
        <f>(VLOOKUP(D612,$D$2:$E$4,2,FALSE))-(IF('Informe Kelly'!H606=$A$2,'Informe Kelly'!F606,VLOOKUP(D612,$D$2:$E$4,2,FALSE)))</f>
        <v>#N/A</v>
      </c>
      <c r="F612" s="142" t="e">
        <f>IF('Informe Kelly'!H606=$A$3,'Informe Kelly'!F606,VLOOKUP(D612,$D$2:$F$4,3,FALSE))-(VLOOKUP(D612,$D$2:$F$4,3,FALSE))</f>
        <v>#N/A</v>
      </c>
      <c r="G612" s="137" t="e">
        <f t="shared" si="13"/>
        <v>#N/A</v>
      </c>
    </row>
    <row r="613" spans="1:7">
      <c r="A613" s="112" t="str">
        <f>VLOOKUP('Informe Kelly'!A607,Base!A:B,2,FALSE)</f>
        <v>09.068.490-6</v>
      </c>
      <c r="B613" s="112" t="str">
        <f>VLOOKUP('Informe Kelly'!A607,Base!A:G,7,FALSE)</f>
        <v>GONZALEZ DEL VALLE DARIO RODOLFO</v>
      </c>
      <c r="C613" s="112" t="str">
        <f>'Informe Kelly'!E607</f>
        <v>07.04.2011</v>
      </c>
      <c r="D613" s="112" t="e">
        <f>VLOOKUP(A613,Ingreso!K:P,6,FALSE)</f>
        <v>#N/A</v>
      </c>
      <c r="E613" s="142" t="e">
        <f>(VLOOKUP(D613,$D$2:$E$4,2,FALSE))-(IF('Informe Kelly'!H607=$A$2,'Informe Kelly'!F607,VLOOKUP(D613,$D$2:$E$4,2,FALSE)))</f>
        <v>#N/A</v>
      </c>
      <c r="F613" s="142" t="e">
        <f>IF('Informe Kelly'!H607=$A$3,'Informe Kelly'!F607,VLOOKUP(D613,$D$2:$F$4,3,FALSE))-(VLOOKUP(D613,$D$2:$F$4,3,FALSE))</f>
        <v>#N/A</v>
      </c>
      <c r="G613" s="137" t="e">
        <f t="shared" si="13"/>
        <v>#N/A</v>
      </c>
    </row>
    <row r="614" spans="1:7">
      <c r="A614" s="112" t="str">
        <f>VLOOKUP('Informe Kelly'!A608,Base!A:B,2,FALSE)</f>
        <v>09.068.490-6</v>
      </c>
      <c r="B614" s="112" t="str">
        <f>VLOOKUP('Informe Kelly'!A608,Base!A:G,7,FALSE)</f>
        <v>GONZALEZ DEL VALLE DARIO RODOLFO</v>
      </c>
      <c r="C614" s="112" t="str">
        <f>'Informe Kelly'!E608</f>
        <v>08.04.2011</v>
      </c>
      <c r="D614" s="112" t="e">
        <f>VLOOKUP(A614,Ingreso!K:P,6,FALSE)</f>
        <v>#N/A</v>
      </c>
      <c r="E614" s="142" t="e">
        <f>(VLOOKUP(D614,$D$2:$E$4,2,FALSE))-(IF('Informe Kelly'!H608=$A$2,'Informe Kelly'!F608,VLOOKUP(D614,$D$2:$E$4,2,FALSE)))</f>
        <v>#N/A</v>
      </c>
      <c r="F614" s="142" t="e">
        <f>IF('Informe Kelly'!H608=$A$3,'Informe Kelly'!F608,VLOOKUP(D614,$D$2:$F$4,3,FALSE))-(VLOOKUP(D614,$D$2:$F$4,3,FALSE))</f>
        <v>#N/A</v>
      </c>
      <c r="G614" s="137" t="e">
        <f t="shared" si="13"/>
        <v>#N/A</v>
      </c>
    </row>
    <row r="615" spans="1:7">
      <c r="A615" s="112" t="str">
        <f>VLOOKUP('Informe Kelly'!A609,Base!A:B,2,FALSE)</f>
        <v>09.068.490-6</v>
      </c>
      <c r="B615" s="112" t="str">
        <f>VLOOKUP('Informe Kelly'!A609,Base!A:G,7,FALSE)</f>
        <v>GONZALEZ DEL VALLE DARIO RODOLFO</v>
      </c>
      <c r="C615" s="112" t="str">
        <f>'Informe Kelly'!E609</f>
        <v>08.04.2011</v>
      </c>
      <c r="D615" s="112" t="e">
        <f>VLOOKUP(A615,Ingreso!K:P,6,FALSE)</f>
        <v>#N/A</v>
      </c>
      <c r="E615" s="142" t="e">
        <f>(VLOOKUP(D615,$D$2:$E$4,2,FALSE))-(IF('Informe Kelly'!H609=$A$2,'Informe Kelly'!F609,VLOOKUP(D615,$D$2:$E$4,2,FALSE)))</f>
        <v>#N/A</v>
      </c>
      <c r="F615" s="142" t="e">
        <f>IF('Informe Kelly'!H609=$A$3,'Informe Kelly'!F609,VLOOKUP(D615,$D$2:$F$4,3,FALSE))-(VLOOKUP(D615,$D$2:$F$4,3,FALSE))</f>
        <v>#N/A</v>
      </c>
      <c r="G615" s="137" t="e">
        <f t="shared" si="13"/>
        <v>#N/A</v>
      </c>
    </row>
    <row r="616" spans="1:7">
      <c r="A616" s="112" t="str">
        <f>VLOOKUP('Informe Kelly'!A610,Base!A:B,2,FALSE)</f>
        <v>09.068.490-6</v>
      </c>
      <c r="B616" s="112" t="str">
        <f>VLOOKUP('Informe Kelly'!A610,Base!A:G,7,FALSE)</f>
        <v>GONZALEZ DEL VALLE DARIO RODOLFO</v>
      </c>
      <c r="C616" s="112" t="str">
        <f>'Informe Kelly'!E610</f>
        <v>09.04.2011</v>
      </c>
      <c r="D616" s="112" t="e">
        <f>VLOOKUP(A616,Ingreso!K:P,6,FALSE)</f>
        <v>#N/A</v>
      </c>
      <c r="E616" s="142" t="e">
        <f>(VLOOKUP(D616,$D$2:$E$4,2,FALSE))-(IF('Informe Kelly'!H610=$A$2,'Informe Kelly'!F610,VLOOKUP(D616,$D$2:$E$4,2,FALSE)))</f>
        <v>#N/A</v>
      </c>
      <c r="F616" s="142" t="e">
        <f>IF('Informe Kelly'!H610=$A$3,'Informe Kelly'!F610,VLOOKUP(D616,$D$2:$F$4,3,FALSE))-(VLOOKUP(D616,$D$2:$F$4,3,FALSE))</f>
        <v>#N/A</v>
      </c>
      <c r="G616" s="137" t="e">
        <f t="shared" si="13"/>
        <v>#N/A</v>
      </c>
    </row>
    <row r="617" spans="1:7">
      <c r="A617" s="112" t="str">
        <f>VLOOKUP('Informe Kelly'!A611,Base!A:B,2,FALSE)</f>
        <v>09.068.490-6</v>
      </c>
      <c r="B617" s="112" t="str">
        <f>VLOOKUP('Informe Kelly'!A611,Base!A:G,7,FALSE)</f>
        <v>GONZALEZ DEL VALLE DARIO RODOLFO</v>
      </c>
      <c r="C617" s="112" t="str">
        <f>'Informe Kelly'!E611</f>
        <v>09.04.2011</v>
      </c>
      <c r="D617" s="112" t="e">
        <f>VLOOKUP(A617,Ingreso!K:P,6,FALSE)</f>
        <v>#N/A</v>
      </c>
      <c r="E617" s="142" t="e">
        <f>(VLOOKUP(D617,$D$2:$E$4,2,FALSE))-(IF('Informe Kelly'!H611=$A$2,'Informe Kelly'!F611,VLOOKUP(D617,$D$2:$E$4,2,FALSE)))</f>
        <v>#N/A</v>
      </c>
      <c r="F617" s="142" t="e">
        <f>IF('Informe Kelly'!H611=$A$3,'Informe Kelly'!F611,VLOOKUP(D617,$D$2:$F$4,3,FALSE))-(VLOOKUP(D617,$D$2:$F$4,3,FALSE))</f>
        <v>#N/A</v>
      </c>
      <c r="G617" s="137" t="e">
        <f t="shared" si="13"/>
        <v>#N/A</v>
      </c>
    </row>
    <row r="618" spans="1:7">
      <c r="A618" s="112" t="str">
        <f>VLOOKUP('Informe Kelly'!A612,Base!A:B,2,FALSE)</f>
        <v>09.081.025-1</v>
      </c>
      <c r="B618" s="112" t="str">
        <f>VLOOKUP('Informe Kelly'!A612,Base!A:G,7,FALSE)</f>
        <v>MARDONES ALVARADO SERGIO SEGUNDO</v>
      </c>
      <c r="C618" s="112" t="str">
        <f>'Informe Kelly'!E612</f>
        <v>04.04.2011</v>
      </c>
      <c r="D618" s="112" t="e">
        <f>VLOOKUP(A618,Ingreso!K:P,6,FALSE)</f>
        <v>#N/A</v>
      </c>
      <c r="E618" s="142" t="e">
        <f>(VLOOKUP(D618,$D$2:$E$4,2,FALSE))-(IF('Informe Kelly'!H612=$A$2,'Informe Kelly'!F612,VLOOKUP(D618,$D$2:$E$4,2,FALSE)))</f>
        <v>#N/A</v>
      </c>
      <c r="F618" s="142" t="e">
        <f>IF('Informe Kelly'!H612=$A$3,'Informe Kelly'!F612,VLOOKUP(D618,$D$2:$F$4,3,FALSE))-(VLOOKUP(D618,$D$2:$F$4,3,FALSE))</f>
        <v>#N/A</v>
      </c>
      <c r="G618" s="137" t="e">
        <f t="shared" si="13"/>
        <v>#N/A</v>
      </c>
    </row>
    <row r="619" spans="1:7">
      <c r="A619" s="112" t="str">
        <f>VLOOKUP('Informe Kelly'!A613,Base!A:B,2,FALSE)</f>
        <v>09.081.025-1</v>
      </c>
      <c r="B619" s="112" t="str">
        <f>VLOOKUP('Informe Kelly'!A613,Base!A:G,7,FALSE)</f>
        <v>MARDONES ALVARADO SERGIO SEGUNDO</v>
      </c>
      <c r="C619" s="112" t="str">
        <f>'Informe Kelly'!E613</f>
        <v>04.04.2011</v>
      </c>
      <c r="D619" s="112" t="e">
        <f>VLOOKUP(A619,Ingreso!K:P,6,FALSE)</f>
        <v>#N/A</v>
      </c>
      <c r="E619" s="142" t="e">
        <f>(VLOOKUP(D619,$D$2:$E$4,2,FALSE))-(IF('Informe Kelly'!H613=$A$2,'Informe Kelly'!F613,VLOOKUP(D619,$D$2:$E$4,2,FALSE)))</f>
        <v>#N/A</v>
      </c>
      <c r="F619" s="142" t="e">
        <f>IF('Informe Kelly'!H613=$A$3,'Informe Kelly'!F613,VLOOKUP(D619,$D$2:$F$4,3,FALSE))-(VLOOKUP(D619,$D$2:$F$4,3,FALSE))</f>
        <v>#N/A</v>
      </c>
      <c r="G619" s="137" t="e">
        <f t="shared" si="13"/>
        <v>#N/A</v>
      </c>
    </row>
    <row r="620" spans="1:7">
      <c r="A620" s="112" t="str">
        <f>VLOOKUP('Informe Kelly'!A614,Base!A:B,2,FALSE)</f>
        <v>09.081.025-1</v>
      </c>
      <c r="B620" s="112" t="str">
        <f>VLOOKUP('Informe Kelly'!A614,Base!A:G,7,FALSE)</f>
        <v>MARDONES ALVARADO SERGIO SEGUNDO</v>
      </c>
      <c r="C620" s="112" t="str">
        <f>'Informe Kelly'!E614</f>
        <v>05.04.2011</v>
      </c>
      <c r="D620" s="112" t="e">
        <f>VLOOKUP(A620,Ingreso!K:P,6,FALSE)</f>
        <v>#N/A</v>
      </c>
      <c r="E620" s="142" t="e">
        <f>(VLOOKUP(D620,$D$2:$E$4,2,FALSE))-(IF('Informe Kelly'!H614=$A$2,'Informe Kelly'!F614,VLOOKUP(D620,$D$2:$E$4,2,FALSE)))</f>
        <v>#N/A</v>
      </c>
      <c r="F620" s="142" t="e">
        <f>IF('Informe Kelly'!H614=$A$3,'Informe Kelly'!F614,VLOOKUP(D620,$D$2:$F$4,3,FALSE))-(VLOOKUP(D620,$D$2:$F$4,3,FALSE))</f>
        <v>#N/A</v>
      </c>
      <c r="G620" s="137" t="e">
        <f t="shared" si="13"/>
        <v>#N/A</v>
      </c>
    </row>
    <row r="621" spans="1:7">
      <c r="A621" s="112" t="str">
        <f>VLOOKUP('Informe Kelly'!A615,Base!A:B,2,FALSE)</f>
        <v>09.081.025-1</v>
      </c>
      <c r="B621" s="112" t="str">
        <f>VLOOKUP('Informe Kelly'!A615,Base!A:G,7,FALSE)</f>
        <v>MARDONES ALVARADO SERGIO SEGUNDO</v>
      </c>
      <c r="C621" s="112" t="str">
        <f>'Informe Kelly'!E615</f>
        <v>05.04.2011</v>
      </c>
      <c r="D621" s="112" t="e">
        <f>VLOOKUP(A621,Ingreso!K:P,6,FALSE)</f>
        <v>#N/A</v>
      </c>
      <c r="E621" s="142" t="e">
        <f>(VLOOKUP(D621,$D$2:$E$4,2,FALSE))-(IF('Informe Kelly'!H615=$A$2,'Informe Kelly'!F615,VLOOKUP(D621,$D$2:$E$4,2,FALSE)))</f>
        <v>#N/A</v>
      </c>
      <c r="F621" s="142" t="e">
        <f>IF('Informe Kelly'!H615=$A$3,'Informe Kelly'!F615,VLOOKUP(D621,$D$2:$F$4,3,FALSE))-(VLOOKUP(D621,$D$2:$F$4,3,FALSE))</f>
        <v>#N/A</v>
      </c>
      <c r="G621" s="137" t="e">
        <f t="shared" si="13"/>
        <v>#N/A</v>
      </c>
    </row>
    <row r="622" spans="1:7">
      <c r="A622" s="112" t="str">
        <f>VLOOKUP('Informe Kelly'!A616,Base!A:B,2,FALSE)</f>
        <v>09.081.025-1</v>
      </c>
      <c r="B622" s="112" t="str">
        <f>VLOOKUP('Informe Kelly'!A616,Base!A:G,7,FALSE)</f>
        <v>MARDONES ALVARADO SERGIO SEGUNDO</v>
      </c>
      <c r="C622" s="112" t="str">
        <f>'Informe Kelly'!E616</f>
        <v>06.04.2011</v>
      </c>
      <c r="D622" s="112" t="e">
        <f>VLOOKUP(A622,Ingreso!K:P,6,FALSE)</f>
        <v>#N/A</v>
      </c>
      <c r="E622" s="142" t="e">
        <f>(VLOOKUP(D622,$D$2:$E$4,2,FALSE))-(IF('Informe Kelly'!H616=$A$2,'Informe Kelly'!F616,VLOOKUP(D622,$D$2:$E$4,2,FALSE)))</f>
        <v>#N/A</v>
      </c>
      <c r="F622" s="142" t="e">
        <f>IF('Informe Kelly'!H616=$A$3,'Informe Kelly'!F616,VLOOKUP(D622,$D$2:$F$4,3,FALSE))-(VLOOKUP(D622,$D$2:$F$4,3,FALSE))</f>
        <v>#N/A</v>
      </c>
      <c r="G622" s="137" t="e">
        <f t="shared" si="13"/>
        <v>#N/A</v>
      </c>
    </row>
    <row r="623" spans="1:7">
      <c r="A623" s="112" t="str">
        <f>VLOOKUP('Informe Kelly'!A617,Base!A:B,2,FALSE)</f>
        <v>09.081.025-1</v>
      </c>
      <c r="B623" s="112" t="str">
        <f>VLOOKUP('Informe Kelly'!A617,Base!A:G,7,FALSE)</f>
        <v>MARDONES ALVARADO SERGIO SEGUNDO</v>
      </c>
      <c r="C623" s="112" t="str">
        <f>'Informe Kelly'!E617</f>
        <v>06.04.2011</v>
      </c>
      <c r="D623" s="112" t="e">
        <f>VLOOKUP(A623,Ingreso!K:P,6,FALSE)</f>
        <v>#N/A</v>
      </c>
      <c r="E623" s="142" t="e">
        <f>(VLOOKUP(D623,$D$2:$E$4,2,FALSE))-(IF('Informe Kelly'!H617=$A$2,'Informe Kelly'!F617,VLOOKUP(D623,$D$2:$E$4,2,FALSE)))</f>
        <v>#N/A</v>
      </c>
      <c r="F623" s="142" t="e">
        <f>IF('Informe Kelly'!H617=$A$3,'Informe Kelly'!F617,VLOOKUP(D623,$D$2:$F$4,3,FALSE))-(VLOOKUP(D623,$D$2:$F$4,3,FALSE))</f>
        <v>#N/A</v>
      </c>
      <c r="G623" s="137" t="e">
        <f t="shared" si="13"/>
        <v>#N/A</v>
      </c>
    </row>
    <row r="624" spans="1:7">
      <c r="A624" s="112" t="str">
        <f>VLOOKUP('Informe Kelly'!A618,Base!A:B,2,FALSE)</f>
        <v>09.081.025-1</v>
      </c>
      <c r="B624" s="112" t="str">
        <f>VLOOKUP('Informe Kelly'!A618,Base!A:G,7,FALSE)</f>
        <v>MARDONES ALVARADO SERGIO SEGUNDO</v>
      </c>
      <c r="C624" s="112" t="str">
        <f>'Informe Kelly'!E618</f>
        <v>07.04.2011</v>
      </c>
      <c r="D624" s="112" t="e">
        <f>VLOOKUP(A624,Ingreso!K:P,6,FALSE)</f>
        <v>#N/A</v>
      </c>
      <c r="E624" s="142" t="e">
        <f>(VLOOKUP(D624,$D$2:$E$4,2,FALSE))-(IF('Informe Kelly'!H618=$A$2,'Informe Kelly'!F618,VLOOKUP(D624,$D$2:$E$4,2,FALSE)))</f>
        <v>#N/A</v>
      </c>
      <c r="F624" s="142" t="e">
        <f>IF('Informe Kelly'!H618=$A$3,'Informe Kelly'!F618,VLOOKUP(D624,$D$2:$F$4,3,FALSE))-(VLOOKUP(D624,$D$2:$F$4,3,FALSE))</f>
        <v>#N/A</v>
      </c>
      <c r="G624" s="137" t="e">
        <f t="shared" si="13"/>
        <v>#N/A</v>
      </c>
    </row>
    <row r="625" spans="1:7">
      <c r="A625" s="112" t="str">
        <f>VLOOKUP('Informe Kelly'!A619,Base!A:B,2,FALSE)</f>
        <v>09.081.025-1</v>
      </c>
      <c r="B625" s="112" t="str">
        <f>VLOOKUP('Informe Kelly'!A619,Base!A:G,7,FALSE)</f>
        <v>MARDONES ALVARADO SERGIO SEGUNDO</v>
      </c>
      <c r="C625" s="112" t="str">
        <f>'Informe Kelly'!E619</f>
        <v>07.04.2011</v>
      </c>
      <c r="D625" s="112" t="e">
        <f>VLOOKUP(A625,Ingreso!K:P,6,FALSE)</f>
        <v>#N/A</v>
      </c>
      <c r="E625" s="142" t="e">
        <f>(VLOOKUP(D625,$D$2:$E$4,2,FALSE))-(IF('Informe Kelly'!H619=$A$2,'Informe Kelly'!F619,VLOOKUP(D625,$D$2:$E$4,2,FALSE)))</f>
        <v>#N/A</v>
      </c>
      <c r="F625" s="142" t="e">
        <f>IF('Informe Kelly'!H619=$A$3,'Informe Kelly'!F619,VLOOKUP(D625,$D$2:$F$4,3,FALSE))-(VLOOKUP(D625,$D$2:$F$4,3,FALSE))</f>
        <v>#N/A</v>
      </c>
      <c r="G625" s="137" t="e">
        <f t="shared" si="13"/>
        <v>#N/A</v>
      </c>
    </row>
    <row r="626" spans="1:7">
      <c r="A626" s="112" t="str">
        <f>VLOOKUP('Informe Kelly'!A620,Base!A:B,2,FALSE)</f>
        <v>09.081.025-1</v>
      </c>
      <c r="B626" s="112" t="str">
        <f>VLOOKUP('Informe Kelly'!A620,Base!A:G,7,FALSE)</f>
        <v>MARDONES ALVARADO SERGIO SEGUNDO</v>
      </c>
      <c r="C626" s="112" t="str">
        <f>'Informe Kelly'!E620</f>
        <v>08.04.2011</v>
      </c>
      <c r="D626" s="112" t="e">
        <f>VLOOKUP(A626,Ingreso!K:P,6,FALSE)</f>
        <v>#N/A</v>
      </c>
      <c r="E626" s="142" t="e">
        <f>(VLOOKUP(D626,$D$2:$E$4,2,FALSE))-(IF('Informe Kelly'!H620=$A$2,'Informe Kelly'!F620,VLOOKUP(D626,$D$2:$E$4,2,FALSE)))</f>
        <v>#N/A</v>
      </c>
      <c r="F626" s="142" t="e">
        <f>IF('Informe Kelly'!H620=$A$3,'Informe Kelly'!F620,VLOOKUP(D626,$D$2:$F$4,3,FALSE))-(VLOOKUP(D626,$D$2:$F$4,3,FALSE))</f>
        <v>#N/A</v>
      </c>
      <c r="G626" s="137" t="e">
        <f t="shared" si="13"/>
        <v>#N/A</v>
      </c>
    </row>
    <row r="627" spans="1:7">
      <c r="A627" s="112" t="str">
        <f>VLOOKUP('Informe Kelly'!A621,Base!A:B,2,FALSE)</f>
        <v>09.081.025-1</v>
      </c>
      <c r="B627" s="112" t="str">
        <f>VLOOKUP('Informe Kelly'!A621,Base!A:G,7,FALSE)</f>
        <v>MARDONES ALVARADO SERGIO SEGUNDO</v>
      </c>
      <c r="C627" s="112" t="str">
        <f>'Informe Kelly'!E621</f>
        <v>08.04.2011</v>
      </c>
      <c r="D627" s="112" t="e">
        <f>VLOOKUP(A627,Ingreso!K:P,6,FALSE)</f>
        <v>#N/A</v>
      </c>
      <c r="E627" s="142" t="e">
        <f>(VLOOKUP(D627,$D$2:$E$4,2,FALSE))-(IF('Informe Kelly'!H621=$A$2,'Informe Kelly'!F621,VLOOKUP(D627,$D$2:$E$4,2,FALSE)))</f>
        <v>#N/A</v>
      </c>
      <c r="F627" s="142" t="e">
        <f>IF('Informe Kelly'!H621=$A$3,'Informe Kelly'!F621,VLOOKUP(D627,$D$2:$F$4,3,FALSE))-(VLOOKUP(D627,$D$2:$F$4,3,FALSE))</f>
        <v>#N/A</v>
      </c>
      <c r="G627" s="137" t="e">
        <f t="shared" si="13"/>
        <v>#N/A</v>
      </c>
    </row>
    <row r="628" spans="1:7">
      <c r="A628" s="112" t="str">
        <f>VLOOKUP('Informe Kelly'!A622,Base!A:B,2,FALSE)</f>
        <v>09.081.025-1</v>
      </c>
      <c r="B628" s="112" t="str">
        <f>VLOOKUP('Informe Kelly'!A622,Base!A:G,7,FALSE)</f>
        <v>MARDONES ALVARADO SERGIO SEGUNDO</v>
      </c>
      <c r="C628" s="112" t="str">
        <f>'Informe Kelly'!E622</f>
        <v>09.04.2011</v>
      </c>
      <c r="D628" s="112" t="e">
        <f>VLOOKUP(A628,Ingreso!K:P,6,FALSE)</f>
        <v>#N/A</v>
      </c>
      <c r="E628" s="142" t="e">
        <f>(VLOOKUP(D628,$D$2:$E$4,2,FALSE))-(IF('Informe Kelly'!H622=$A$2,'Informe Kelly'!F622,VLOOKUP(D628,$D$2:$E$4,2,FALSE)))</f>
        <v>#N/A</v>
      </c>
      <c r="F628" s="142" t="e">
        <f>IF('Informe Kelly'!H622=$A$3,'Informe Kelly'!F622,VLOOKUP(D628,$D$2:$F$4,3,FALSE))-(VLOOKUP(D628,$D$2:$F$4,3,FALSE))</f>
        <v>#N/A</v>
      </c>
      <c r="G628" s="137" t="e">
        <f t="shared" si="13"/>
        <v>#N/A</v>
      </c>
    </row>
    <row r="629" spans="1:7">
      <c r="A629" s="112" t="str">
        <f>VLOOKUP('Informe Kelly'!A623,Base!A:B,2,FALSE)</f>
        <v>09.081.025-1</v>
      </c>
      <c r="B629" s="112" t="str">
        <f>VLOOKUP('Informe Kelly'!A623,Base!A:G,7,FALSE)</f>
        <v>MARDONES ALVARADO SERGIO SEGUNDO</v>
      </c>
      <c r="C629" s="112" t="str">
        <f>'Informe Kelly'!E623</f>
        <v>09.04.2011</v>
      </c>
      <c r="D629" s="112" t="e">
        <f>VLOOKUP(A629,Ingreso!K:P,6,FALSE)</f>
        <v>#N/A</v>
      </c>
      <c r="E629" s="142" t="e">
        <f>(VLOOKUP(D629,$D$2:$E$4,2,FALSE))-(IF('Informe Kelly'!H623=$A$2,'Informe Kelly'!F623,VLOOKUP(D629,$D$2:$E$4,2,FALSE)))</f>
        <v>#N/A</v>
      </c>
      <c r="F629" s="142" t="e">
        <f>IF('Informe Kelly'!H623=$A$3,'Informe Kelly'!F623,VLOOKUP(D629,$D$2:$F$4,3,FALSE))-(VLOOKUP(D629,$D$2:$F$4,3,FALSE))</f>
        <v>#N/A</v>
      </c>
      <c r="G629" s="137" t="e">
        <f t="shared" si="13"/>
        <v>#N/A</v>
      </c>
    </row>
    <row r="630" spans="1:7">
      <c r="A630" s="112" t="str">
        <f>VLOOKUP('Informe Kelly'!A624,Base!A:B,2,FALSE)</f>
        <v>09.148.214-2</v>
      </c>
      <c r="B630" s="112" t="str">
        <f>VLOOKUP('Informe Kelly'!A624,Base!A:G,7,FALSE)</f>
        <v>BAEZA REYES JORGE</v>
      </c>
      <c r="C630" s="112" t="str">
        <f>'Informe Kelly'!E624</f>
        <v>04.04.2011</v>
      </c>
      <c r="D630" s="112" t="e">
        <f>VLOOKUP(A630,Ingreso!K:P,6,FALSE)</f>
        <v>#N/A</v>
      </c>
      <c r="E630" s="142" t="e">
        <f>(VLOOKUP(D630,$D$2:$E$4,2,FALSE))-(IF('Informe Kelly'!H624=$A$2,'Informe Kelly'!F624,VLOOKUP(D630,$D$2:$E$4,2,FALSE)))</f>
        <v>#N/A</v>
      </c>
      <c r="F630" s="142" t="e">
        <f>IF('Informe Kelly'!H624=$A$3,'Informe Kelly'!F624,VLOOKUP(D630,$D$2:$F$4,3,FALSE))-(VLOOKUP(D630,$D$2:$F$4,3,FALSE))</f>
        <v>#N/A</v>
      </c>
      <c r="G630" s="137" t="e">
        <f t="shared" si="13"/>
        <v>#N/A</v>
      </c>
    </row>
    <row r="631" spans="1:7">
      <c r="A631" s="112" t="str">
        <f>VLOOKUP('Informe Kelly'!A625,Base!A:B,2,FALSE)</f>
        <v>09.148.214-2</v>
      </c>
      <c r="B631" s="112" t="str">
        <f>VLOOKUP('Informe Kelly'!A625,Base!A:G,7,FALSE)</f>
        <v>BAEZA REYES JORGE</v>
      </c>
      <c r="C631" s="112" t="str">
        <f>'Informe Kelly'!E625</f>
        <v>05.04.2011</v>
      </c>
      <c r="D631" s="112" t="e">
        <f>VLOOKUP(A631,Ingreso!K:P,6,FALSE)</f>
        <v>#N/A</v>
      </c>
      <c r="E631" s="142" t="e">
        <f>(VLOOKUP(D631,$D$2:$E$4,2,FALSE))-(IF('Informe Kelly'!H625=$A$2,'Informe Kelly'!F625,VLOOKUP(D631,$D$2:$E$4,2,FALSE)))</f>
        <v>#N/A</v>
      </c>
      <c r="F631" s="142" t="e">
        <f>IF('Informe Kelly'!H625=$A$3,'Informe Kelly'!F625,VLOOKUP(D631,$D$2:$F$4,3,FALSE))-(VLOOKUP(D631,$D$2:$F$4,3,FALSE))</f>
        <v>#N/A</v>
      </c>
      <c r="G631" s="137" t="e">
        <f t="shared" si="13"/>
        <v>#N/A</v>
      </c>
    </row>
    <row r="632" spans="1:7">
      <c r="A632" s="112" t="str">
        <f>VLOOKUP('Informe Kelly'!A626,Base!A:B,2,FALSE)</f>
        <v>09.148.214-2</v>
      </c>
      <c r="B632" s="112" t="str">
        <f>VLOOKUP('Informe Kelly'!A626,Base!A:G,7,FALSE)</f>
        <v>BAEZA REYES JORGE</v>
      </c>
      <c r="C632" s="112" t="str">
        <f>'Informe Kelly'!E626</f>
        <v>05.04.2011</v>
      </c>
      <c r="D632" s="112" t="e">
        <f>VLOOKUP(A632,Ingreso!K:P,6,FALSE)</f>
        <v>#N/A</v>
      </c>
      <c r="E632" s="142" t="e">
        <f>(VLOOKUP(D632,$D$2:$E$4,2,FALSE))-(IF('Informe Kelly'!H626=$A$2,'Informe Kelly'!F626,VLOOKUP(D632,$D$2:$E$4,2,FALSE)))</f>
        <v>#N/A</v>
      </c>
      <c r="F632" s="142" t="e">
        <f>IF('Informe Kelly'!H626=$A$3,'Informe Kelly'!F626,VLOOKUP(D632,$D$2:$F$4,3,FALSE))-(VLOOKUP(D632,$D$2:$F$4,3,FALSE))</f>
        <v>#N/A</v>
      </c>
      <c r="G632" s="137" t="e">
        <f t="shared" si="13"/>
        <v>#N/A</v>
      </c>
    </row>
    <row r="633" spans="1:7">
      <c r="A633" s="112" t="str">
        <f>VLOOKUP('Informe Kelly'!A627,Base!A:B,2,FALSE)</f>
        <v>09.148.214-2</v>
      </c>
      <c r="B633" s="112" t="str">
        <f>VLOOKUP('Informe Kelly'!A627,Base!A:G,7,FALSE)</f>
        <v>BAEZA REYES JORGE</v>
      </c>
      <c r="C633" s="112" t="str">
        <f>'Informe Kelly'!E627</f>
        <v>06.04.2011</v>
      </c>
      <c r="D633" s="112" t="e">
        <f>VLOOKUP(A633,Ingreso!K:P,6,FALSE)</f>
        <v>#N/A</v>
      </c>
      <c r="E633" s="142" t="e">
        <f>(VLOOKUP(D633,$D$2:$E$4,2,FALSE))-(IF('Informe Kelly'!H627=$A$2,'Informe Kelly'!F627,VLOOKUP(D633,$D$2:$E$4,2,FALSE)))</f>
        <v>#N/A</v>
      </c>
      <c r="F633" s="142" t="e">
        <f>IF('Informe Kelly'!H627=$A$3,'Informe Kelly'!F627,VLOOKUP(D633,$D$2:$F$4,3,FALSE))-(VLOOKUP(D633,$D$2:$F$4,3,FALSE))</f>
        <v>#N/A</v>
      </c>
      <c r="G633" s="137" t="e">
        <f t="shared" si="13"/>
        <v>#N/A</v>
      </c>
    </row>
    <row r="634" spans="1:7">
      <c r="A634" s="112" t="str">
        <f>VLOOKUP('Informe Kelly'!A628,Base!A:B,2,FALSE)</f>
        <v>09.148.214-2</v>
      </c>
      <c r="B634" s="112" t="str">
        <f>VLOOKUP('Informe Kelly'!A628,Base!A:G,7,FALSE)</f>
        <v>BAEZA REYES JORGE</v>
      </c>
      <c r="C634" s="112" t="str">
        <f>'Informe Kelly'!E628</f>
        <v>06.04.2011</v>
      </c>
      <c r="D634" s="112" t="e">
        <f>VLOOKUP(A634,Ingreso!K:P,6,FALSE)</f>
        <v>#N/A</v>
      </c>
      <c r="E634" s="142" t="e">
        <f>(VLOOKUP(D634,$D$2:$E$4,2,FALSE))-(IF('Informe Kelly'!H628=$A$2,'Informe Kelly'!F628,VLOOKUP(D634,$D$2:$E$4,2,FALSE)))</f>
        <v>#N/A</v>
      </c>
      <c r="F634" s="142" t="e">
        <f>IF('Informe Kelly'!H628=$A$3,'Informe Kelly'!F628,VLOOKUP(D634,$D$2:$F$4,3,FALSE))-(VLOOKUP(D634,$D$2:$F$4,3,FALSE))</f>
        <v>#N/A</v>
      </c>
      <c r="G634" s="137" t="e">
        <f t="shared" si="13"/>
        <v>#N/A</v>
      </c>
    </row>
    <row r="635" spans="1:7">
      <c r="A635" s="112" t="str">
        <f>VLOOKUP('Informe Kelly'!A629,Base!A:B,2,FALSE)</f>
        <v>09.148.214-2</v>
      </c>
      <c r="B635" s="112" t="str">
        <f>VLOOKUP('Informe Kelly'!A629,Base!A:G,7,FALSE)</f>
        <v>BAEZA REYES JORGE</v>
      </c>
      <c r="C635" s="112" t="str">
        <f>'Informe Kelly'!E629</f>
        <v>07.04.2011</v>
      </c>
      <c r="D635" s="112" t="e">
        <f>VLOOKUP(A635,Ingreso!K:P,6,FALSE)</f>
        <v>#N/A</v>
      </c>
      <c r="E635" s="142" t="e">
        <f>(VLOOKUP(D635,$D$2:$E$4,2,FALSE))-(IF('Informe Kelly'!H629=$A$2,'Informe Kelly'!F629,VLOOKUP(D635,$D$2:$E$4,2,FALSE)))</f>
        <v>#N/A</v>
      </c>
      <c r="F635" s="142" t="e">
        <f>IF('Informe Kelly'!H629=$A$3,'Informe Kelly'!F629,VLOOKUP(D635,$D$2:$F$4,3,FALSE))-(VLOOKUP(D635,$D$2:$F$4,3,FALSE))</f>
        <v>#N/A</v>
      </c>
      <c r="G635" s="137" t="e">
        <f t="shared" si="13"/>
        <v>#N/A</v>
      </c>
    </row>
    <row r="636" spans="1:7">
      <c r="A636" s="112" t="str">
        <f>VLOOKUP('Informe Kelly'!A630,Base!A:B,2,FALSE)</f>
        <v>09.148.214-2</v>
      </c>
      <c r="B636" s="112" t="str">
        <f>VLOOKUP('Informe Kelly'!A630,Base!A:G,7,FALSE)</f>
        <v>BAEZA REYES JORGE</v>
      </c>
      <c r="C636" s="112" t="str">
        <f>'Informe Kelly'!E630</f>
        <v>07.04.2011</v>
      </c>
      <c r="D636" s="112" t="e">
        <f>VLOOKUP(A636,Ingreso!K:P,6,FALSE)</f>
        <v>#N/A</v>
      </c>
      <c r="E636" s="142" t="e">
        <f>(VLOOKUP(D636,$D$2:$E$4,2,FALSE))-(IF('Informe Kelly'!H630=$A$2,'Informe Kelly'!F630,VLOOKUP(D636,$D$2:$E$4,2,FALSE)))</f>
        <v>#N/A</v>
      </c>
      <c r="F636" s="142" t="e">
        <f>IF('Informe Kelly'!H630=$A$3,'Informe Kelly'!F630,VLOOKUP(D636,$D$2:$F$4,3,FALSE))-(VLOOKUP(D636,$D$2:$F$4,3,FALSE))</f>
        <v>#N/A</v>
      </c>
      <c r="G636" s="137" t="e">
        <f t="shared" si="13"/>
        <v>#N/A</v>
      </c>
    </row>
    <row r="637" spans="1:7">
      <c r="A637" s="112" t="str">
        <f>VLOOKUP('Informe Kelly'!A631,Base!A:B,2,FALSE)</f>
        <v>09.148.214-2</v>
      </c>
      <c r="B637" s="112" t="str">
        <f>VLOOKUP('Informe Kelly'!A631,Base!A:G,7,FALSE)</f>
        <v>BAEZA REYES JORGE</v>
      </c>
      <c r="C637" s="112" t="str">
        <f>'Informe Kelly'!E631</f>
        <v>08.04.2011</v>
      </c>
      <c r="D637" s="112" t="e">
        <f>VLOOKUP(A637,Ingreso!K:P,6,FALSE)</f>
        <v>#N/A</v>
      </c>
      <c r="E637" s="142" t="e">
        <f>(VLOOKUP(D637,$D$2:$E$4,2,FALSE))-(IF('Informe Kelly'!H631=$A$2,'Informe Kelly'!F631,VLOOKUP(D637,$D$2:$E$4,2,FALSE)))</f>
        <v>#N/A</v>
      </c>
      <c r="F637" s="142" t="e">
        <f>IF('Informe Kelly'!H631=$A$3,'Informe Kelly'!F631,VLOOKUP(D637,$D$2:$F$4,3,FALSE))-(VLOOKUP(D637,$D$2:$F$4,3,FALSE))</f>
        <v>#N/A</v>
      </c>
      <c r="G637" s="137" t="e">
        <f t="shared" si="13"/>
        <v>#N/A</v>
      </c>
    </row>
    <row r="638" spans="1:7">
      <c r="A638" s="112" t="str">
        <f>VLOOKUP('Informe Kelly'!A632,Base!A:B,2,FALSE)</f>
        <v>09.148.214-2</v>
      </c>
      <c r="B638" s="112" t="str">
        <f>VLOOKUP('Informe Kelly'!A632,Base!A:G,7,FALSE)</f>
        <v>BAEZA REYES JORGE</v>
      </c>
      <c r="C638" s="112" t="str">
        <f>'Informe Kelly'!E632</f>
        <v>08.04.2011</v>
      </c>
      <c r="D638" s="112" t="e">
        <f>VLOOKUP(A638,Ingreso!K:P,6,FALSE)</f>
        <v>#N/A</v>
      </c>
      <c r="E638" s="142" t="e">
        <f>(VLOOKUP(D638,$D$2:$E$4,2,FALSE))-(IF('Informe Kelly'!H632=$A$2,'Informe Kelly'!F632,VLOOKUP(D638,$D$2:$E$4,2,FALSE)))</f>
        <v>#N/A</v>
      </c>
      <c r="F638" s="142" t="e">
        <f>IF('Informe Kelly'!H632=$A$3,'Informe Kelly'!F632,VLOOKUP(D638,$D$2:$F$4,3,FALSE))-(VLOOKUP(D638,$D$2:$F$4,3,FALSE))</f>
        <v>#N/A</v>
      </c>
      <c r="G638" s="137" t="e">
        <f t="shared" si="13"/>
        <v>#N/A</v>
      </c>
    </row>
    <row r="639" spans="1:7">
      <c r="A639" s="112" t="str">
        <f>VLOOKUP('Informe Kelly'!A633,Base!A:B,2,FALSE)</f>
        <v>09.148.214-2</v>
      </c>
      <c r="B639" s="112" t="str">
        <f>VLOOKUP('Informe Kelly'!A633,Base!A:G,7,FALSE)</f>
        <v>BAEZA REYES JORGE</v>
      </c>
      <c r="C639" s="112" t="str">
        <f>'Informe Kelly'!E633</f>
        <v>09.04.2011</v>
      </c>
      <c r="D639" s="112" t="e">
        <f>VLOOKUP(A639,Ingreso!K:P,6,FALSE)</f>
        <v>#N/A</v>
      </c>
      <c r="E639" s="142" t="e">
        <f>(VLOOKUP(D639,$D$2:$E$4,2,FALSE))-(IF('Informe Kelly'!H633=$A$2,'Informe Kelly'!F633,VLOOKUP(D639,$D$2:$E$4,2,FALSE)))</f>
        <v>#N/A</v>
      </c>
      <c r="F639" s="142" t="e">
        <f>IF('Informe Kelly'!H633=$A$3,'Informe Kelly'!F633,VLOOKUP(D639,$D$2:$F$4,3,FALSE))-(VLOOKUP(D639,$D$2:$F$4,3,FALSE))</f>
        <v>#N/A</v>
      </c>
      <c r="G639" s="137" t="e">
        <f t="shared" si="13"/>
        <v>#N/A</v>
      </c>
    </row>
    <row r="640" spans="1:7">
      <c r="A640" s="112" t="str">
        <f>VLOOKUP('Informe Kelly'!A634,Base!A:B,2,FALSE)</f>
        <v>09.253.701-3</v>
      </c>
      <c r="B640" s="112" t="str">
        <f>VLOOKUP('Informe Kelly'!A634,Base!A:G,7,FALSE)</f>
        <v>LEON  NUÑEZ,JOSE FRANCISCO</v>
      </c>
      <c r="C640" s="112" t="str">
        <f>'Informe Kelly'!E634</f>
        <v>04.04.2011</v>
      </c>
      <c r="D640" s="112" t="e">
        <f>VLOOKUP(A640,Ingreso!K:P,6,FALSE)</f>
        <v>#N/A</v>
      </c>
      <c r="E640" s="142" t="e">
        <f>(VLOOKUP(D640,$D$2:$E$4,2,FALSE))-(IF('Informe Kelly'!H634=$A$2,'Informe Kelly'!F634,VLOOKUP(D640,$D$2:$E$4,2,FALSE)))</f>
        <v>#N/A</v>
      </c>
      <c r="F640" s="142" t="e">
        <f>IF('Informe Kelly'!H634=$A$3,'Informe Kelly'!F634,VLOOKUP(D640,$D$2:$F$4,3,FALSE))-(VLOOKUP(D640,$D$2:$F$4,3,FALSE))</f>
        <v>#N/A</v>
      </c>
      <c r="G640" s="137" t="e">
        <f t="shared" si="13"/>
        <v>#N/A</v>
      </c>
    </row>
    <row r="641" spans="1:7">
      <c r="A641" s="112" t="str">
        <f>VLOOKUP('Informe Kelly'!A635,Base!A:B,2,FALSE)</f>
        <v>09.253.701-3</v>
      </c>
      <c r="B641" s="112" t="str">
        <f>VLOOKUP('Informe Kelly'!A635,Base!A:G,7,FALSE)</f>
        <v>LEON  NUÑEZ,JOSE FRANCISCO</v>
      </c>
      <c r="C641" s="112" t="str">
        <f>'Informe Kelly'!E635</f>
        <v>04.04.2011</v>
      </c>
      <c r="D641" s="112" t="e">
        <f>VLOOKUP(A641,Ingreso!K:P,6,FALSE)</f>
        <v>#N/A</v>
      </c>
      <c r="E641" s="142" t="e">
        <f>(VLOOKUP(D641,$D$2:$E$4,2,FALSE))-(IF('Informe Kelly'!H635=$A$2,'Informe Kelly'!F635,VLOOKUP(D641,$D$2:$E$4,2,FALSE)))</f>
        <v>#N/A</v>
      </c>
      <c r="F641" s="142" t="e">
        <f>IF('Informe Kelly'!H635=$A$3,'Informe Kelly'!F635,VLOOKUP(D641,$D$2:$F$4,3,FALSE))-(VLOOKUP(D641,$D$2:$F$4,3,FALSE))</f>
        <v>#N/A</v>
      </c>
      <c r="G641" s="137" t="e">
        <f t="shared" si="13"/>
        <v>#N/A</v>
      </c>
    </row>
    <row r="642" spans="1:7">
      <c r="A642" s="112" t="str">
        <f>VLOOKUP('Informe Kelly'!A636,Base!A:B,2,FALSE)</f>
        <v>09.253.701-3</v>
      </c>
      <c r="B642" s="112" t="str">
        <f>VLOOKUP('Informe Kelly'!A636,Base!A:G,7,FALSE)</f>
        <v>LEON  NUÑEZ,JOSE FRANCISCO</v>
      </c>
      <c r="C642" s="112" t="str">
        <f>'Informe Kelly'!E636</f>
        <v>05.04.2011</v>
      </c>
      <c r="D642" s="112" t="e">
        <f>VLOOKUP(A642,Ingreso!K:P,6,FALSE)</f>
        <v>#N/A</v>
      </c>
      <c r="E642" s="142" t="e">
        <f>(VLOOKUP(D642,$D$2:$E$4,2,FALSE))-(IF('Informe Kelly'!H636=$A$2,'Informe Kelly'!F636,VLOOKUP(D642,$D$2:$E$4,2,FALSE)))</f>
        <v>#N/A</v>
      </c>
      <c r="F642" s="142" t="e">
        <f>IF('Informe Kelly'!H636=$A$3,'Informe Kelly'!F636,VLOOKUP(D642,$D$2:$F$4,3,FALSE))-(VLOOKUP(D642,$D$2:$F$4,3,FALSE))</f>
        <v>#N/A</v>
      </c>
      <c r="G642" s="137" t="e">
        <f t="shared" si="13"/>
        <v>#N/A</v>
      </c>
    </row>
    <row r="643" spans="1:7">
      <c r="A643" s="112" t="str">
        <f>VLOOKUP('Informe Kelly'!A637,Base!A:B,2,FALSE)</f>
        <v>09.253.701-3</v>
      </c>
      <c r="B643" s="112" t="str">
        <f>VLOOKUP('Informe Kelly'!A637,Base!A:G,7,FALSE)</f>
        <v>LEON  NUÑEZ,JOSE FRANCISCO</v>
      </c>
      <c r="C643" s="112" t="str">
        <f>'Informe Kelly'!E637</f>
        <v>05.04.2011</v>
      </c>
      <c r="D643" s="112" t="e">
        <f>VLOOKUP(A643,Ingreso!K:P,6,FALSE)</f>
        <v>#N/A</v>
      </c>
      <c r="E643" s="142" t="e">
        <f>(VLOOKUP(D643,$D$2:$E$4,2,FALSE))-(IF('Informe Kelly'!H637=$A$2,'Informe Kelly'!F637,VLOOKUP(D643,$D$2:$E$4,2,FALSE)))</f>
        <v>#N/A</v>
      </c>
      <c r="F643" s="142" t="e">
        <f>IF('Informe Kelly'!H637=$A$3,'Informe Kelly'!F637,VLOOKUP(D643,$D$2:$F$4,3,FALSE))-(VLOOKUP(D643,$D$2:$F$4,3,FALSE))</f>
        <v>#N/A</v>
      </c>
      <c r="G643" s="137" t="e">
        <f t="shared" si="13"/>
        <v>#N/A</v>
      </c>
    </row>
    <row r="644" spans="1:7">
      <c r="A644" s="112" t="str">
        <f>VLOOKUP('Informe Kelly'!A638,Base!A:B,2,FALSE)</f>
        <v>09.253.701-3</v>
      </c>
      <c r="B644" s="112" t="str">
        <f>VLOOKUP('Informe Kelly'!A638,Base!A:G,7,FALSE)</f>
        <v>LEON  NUÑEZ,JOSE FRANCISCO</v>
      </c>
      <c r="C644" s="112" t="str">
        <f>'Informe Kelly'!E638</f>
        <v>06.04.2011</v>
      </c>
      <c r="D644" s="112" t="e">
        <f>VLOOKUP(A644,Ingreso!K:P,6,FALSE)</f>
        <v>#N/A</v>
      </c>
      <c r="E644" s="142" t="e">
        <f>(VLOOKUP(D644,$D$2:$E$4,2,FALSE))-(IF('Informe Kelly'!H638=$A$2,'Informe Kelly'!F638,VLOOKUP(D644,$D$2:$E$4,2,FALSE)))</f>
        <v>#N/A</v>
      </c>
      <c r="F644" s="142" t="e">
        <f>IF('Informe Kelly'!H638=$A$3,'Informe Kelly'!F638,VLOOKUP(D644,$D$2:$F$4,3,FALSE))-(VLOOKUP(D644,$D$2:$F$4,3,FALSE))</f>
        <v>#N/A</v>
      </c>
      <c r="G644" s="137" t="e">
        <f t="shared" si="13"/>
        <v>#N/A</v>
      </c>
    </row>
    <row r="645" spans="1:7">
      <c r="A645" s="112" t="str">
        <f>VLOOKUP('Informe Kelly'!A639,Base!A:B,2,FALSE)</f>
        <v>09.253.701-3</v>
      </c>
      <c r="B645" s="112" t="str">
        <f>VLOOKUP('Informe Kelly'!A639,Base!A:G,7,FALSE)</f>
        <v>LEON  NUÑEZ,JOSE FRANCISCO</v>
      </c>
      <c r="C645" s="112" t="str">
        <f>'Informe Kelly'!E639</f>
        <v>06.04.2011</v>
      </c>
      <c r="D645" s="112" t="e">
        <f>VLOOKUP(A645,Ingreso!K:P,6,FALSE)</f>
        <v>#N/A</v>
      </c>
      <c r="E645" s="142" t="e">
        <f>(VLOOKUP(D645,$D$2:$E$4,2,FALSE))-(IF('Informe Kelly'!H639=$A$2,'Informe Kelly'!F639,VLOOKUP(D645,$D$2:$E$4,2,FALSE)))</f>
        <v>#N/A</v>
      </c>
      <c r="F645" s="142" t="e">
        <f>IF('Informe Kelly'!H639=$A$3,'Informe Kelly'!F639,VLOOKUP(D645,$D$2:$F$4,3,FALSE))-(VLOOKUP(D645,$D$2:$F$4,3,FALSE))</f>
        <v>#N/A</v>
      </c>
      <c r="G645" s="137" t="e">
        <f t="shared" si="13"/>
        <v>#N/A</v>
      </c>
    </row>
    <row r="646" spans="1:7">
      <c r="A646" s="112" t="str">
        <f>VLOOKUP('Informe Kelly'!A640,Base!A:B,2,FALSE)</f>
        <v>09.253.701-3</v>
      </c>
      <c r="B646" s="112" t="str">
        <f>VLOOKUP('Informe Kelly'!A640,Base!A:G,7,FALSE)</f>
        <v>LEON  NUÑEZ,JOSE FRANCISCO</v>
      </c>
      <c r="C646" s="112" t="str">
        <f>'Informe Kelly'!E640</f>
        <v>07.04.2011</v>
      </c>
      <c r="D646" s="112" t="e">
        <f>VLOOKUP(A646,Ingreso!K:P,6,FALSE)</f>
        <v>#N/A</v>
      </c>
      <c r="E646" s="142" t="e">
        <f>(VLOOKUP(D646,$D$2:$E$4,2,FALSE))-(IF('Informe Kelly'!H640=$A$2,'Informe Kelly'!F640,VLOOKUP(D646,$D$2:$E$4,2,FALSE)))</f>
        <v>#N/A</v>
      </c>
      <c r="F646" s="142" t="e">
        <f>IF('Informe Kelly'!H640=$A$3,'Informe Kelly'!F640,VLOOKUP(D646,$D$2:$F$4,3,FALSE))-(VLOOKUP(D646,$D$2:$F$4,3,FALSE))</f>
        <v>#N/A</v>
      </c>
      <c r="G646" s="137" t="e">
        <f t="shared" si="13"/>
        <v>#N/A</v>
      </c>
    </row>
    <row r="647" spans="1:7">
      <c r="A647" s="112" t="str">
        <f>VLOOKUP('Informe Kelly'!A641,Base!A:B,2,FALSE)</f>
        <v>09.253.701-3</v>
      </c>
      <c r="B647" s="112" t="str">
        <f>VLOOKUP('Informe Kelly'!A641,Base!A:G,7,FALSE)</f>
        <v>LEON  NUÑEZ,JOSE FRANCISCO</v>
      </c>
      <c r="C647" s="112" t="str">
        <f>'Informe Kelly'!E641</f>
        <v>07.04.2011</v>
      </c>
      <c r="D647" s="112" t="e">
        <f>VLOOKUP(A647,Ingreso!K:P,6,FALSE)</f>
        <v>#N/A</v>
      </c>
      <c r="E647" s="142" t="e">
        <f>(VLOOKUP(D647,$D$2:$E$4,2,FALSE))-(IF('Informe Kelly'!H641=$A$2,'Informe Kelly'!F641,VLOOKUP(D647,$D$2:$E$4,2,FALSE)))</f>
        <v>#N/A</v>
      </c>
      <c r="F647" s="142" t="e">
        <f>IF('Informe Kelly'!H641=$A$3,'Informe Kelly'!F641,VLOOKUP(D647,$D$2:$F$4,3,FALSE))-(VLOOKUP(D647,$D$2:$F$4,3,FALSE))</f>
        <v>#N/A</v>
      </c>
      <c r="G647" s="137" t="e">
        <f t="shared" si="13"/>
        <v>#N/A</v>
      </c>
    </row>
    <row r="648" spans="1:7">
      <c r="A648" s="112" t="str">
        <f>VLOOKUP('Informe Kelly'!A642,Base!A:B,2,FALSE)</f>
        <v>09.471.557-1</v>
      </c>
      <c r="B648" s="112" t="str">
        <f>VLOOKUP('Informe Kelly'!A642,Base!A:G,7,FALSE)</f>
        <v>ARANGUIZ ALIAGA SANDRA</v>
      </c>
      <c r="C648" s="112" t="str">
        <f>'Informe Kelly'!E642</f>
        <v>04.04.2011</v>
      </c>
      <c r="D648" s="112" t="e">
        <f>VLOOKUP(A648,Ingreso!K:P,6,FALSE)</f>
        <v>#N/A</v>
      </c>
      <c r="E648" s="142" t="e">
        <f>(VLOOKUP(D648,$D$2:$E$4,2,FALSE))-(IF('Informe Kelly'!H642=$A$2,'Informe Kelly'!F642,VLOOKUP(D648,$D$2:$E$4,2,FALSE)))</f>
        <v>#N/A</v>
      </c>
      <c r="F648" s="142" t="e">
        <f>IF('Informe Kelly'!H642=$A$3,'Informe Kelly'!F642,VLOOKUP(D648,$D$2:$F$4,3,FALSE))-(VLOOKUP(D648,$D$2:$F$4,3,FALSE))</f>
        <v>#N/A</v>
      </c>
      <c r="G648" s="137" t="e">
        <f t="shared" si="13"/>
        <v>#N/A</v>
      </c>
    </row>
    <row r="649" spans="1:7">
      <c r="A649" s="112" t="str">
        <f>VLOOKUP('Informe Kelly'!A643,Base!A:B,2,FALSE)</f>
        <v>09.471.557-1</v>
      </c>
      <c r="B649" s="112" t="str">
        <f>VLOOKUP('Informe Kelly'!A643,Base!A:G,7,FALSE)</f>
        <v>ARANGUIZ ALIAGA SANDRA</v>
      </c>
      <c r="C649" s="112" t="str">
        <f>'Informe Kelly'!E643</f>
        <v>04.04.2011</v>
      </c>
      <c r="D649" s="112" t="e">
        <f>VLOOKUP(A649,Ingreso!K:P,6,FALSE)</f>
        <v>#N/A</v>
      </c>
      <c r="E649" s="142" t="e">
        <f>(VLOOKUP(D649,$D$2:$E$4,2,FALSE))-(IF('Informe Kelly'!H643=$A$2,'Informe Kelly'!F643,VLOOKUP(D649,$D$2:$E$4,2,FALSE)))</f>
        <v>#N/A</v>
      </c>
      <c r="F649" s="142" t="e">
        <f>IF('Informe Kelly'!H643=$A$3,'Informe Kelly'!F643,VLOOKUP(D649,$D$2:$F$4,3,FALSE))-(VLOOKUP(D649,$D$2:$F$4,3,FALSE))</f>
        <v>#N/A</v>
      </c>
      <c r="G649" s="137" t="e">
        <f t="shared" ref="G649:G712" si="14">IF(E649="",IF(F649&lt;0.0409722222222222,0,E649),IF(E649&lt;0.0409722222222222,0,E649))</f>
        <v>#N/A</v>
      </c>
    </row>
    <row r="650" spans="1:7">
      <c r="A650" s="112" t="str">
        <f>VLOOKUP('Informe Kelly'!A644,Base!A:B,2,FALSE)</f>
        <v>09.471.557-1</v>
      </c>
      <c r="B650" s="112" t="str">
        <f>VLOOKUP('Informe Kelly'!A644,Base!A:G,7,FALSE)</f>
        <v>ARANGUIZ ALIAGA SANDRA</v>
      </c>
      <c r="C650" s="112" t="str">
        <f>'Informe Kelly'!E644</f>
        <v>05.04.2011</v>
      </c>
      <c r="D650" s="112" t="e">
        <f>VLOOKUP(A650,Ingreso!K:P,6,FALSE)</f>
        <v>#N/A</v>
      </c>
      <c r="E650" s="142" t="e">
        <f>(VLOOKUP(D650,$D$2:$E$4,2,FALSE))-(IF('Informe Kelly'!H644=$A$2,'Informe Kelly'!F644,VLOOKUP(D650,$D$2:$E$4,2,FALSE)))</f>
        <v>#N/A</v>
      </c>
      <c r="F650" s="142" t="e">
        <f>IF('Informe Kelly'!H644=$A$3,'Informe Kelly'!F644,VLOOKUP(D650,$D$2:$F$4,3,FALSE))-(VLOOKUP(D650,$D$2:$F$4,3,FALSE))</f>
        <v>#N/A</v>
      </c>
      <c r="G650" s="137" t="e">
        <f t="shared" si="14"/>
        <v>#N/A</v>
      </c>
    </row>
    <row r="651" spans="1:7">
      <c r="A651" s="112" t="str">
        <f>VLOOKUP('Informe Kelly'!A645,Base!A:B,2,FALSE)</f>
        <v>09.471.557-1</v>
      </c>
      <c r="B651" s="112" t="str">
        <f>VLOOKUP('Informe Kelly'!A645,Base!A:G,7,FALSE)</f>
        <v>ARANGUIZ ALIAGA SANDRA</v>
      </c>
      <c r="C651" s="112" t="str">
        <f>'Informe Kelly'!E645</f>
        <v>05.04.2011</v>
      </c>
      <c r="D651" s="112" t="e">
        <f>VLOOKUP(A651,Ingreso!K:P,6,FALSE)</f>
        <v>#N/A</v>
      </c>
      <c r="E651" s="142" t="e">
        <f>(VLOOKUP(D651,$D$2:$E$4,2,FALSE))-(IF('Informe Kelly'!H645=$A$2,'Informe Kelly'!F645,VLOOKUP(D651,$D$2:$E$4,2,FALSE)))</f>
        <v>#N/A</v>
      </c>
      <c r="F651" s="142" t="e">
        <f>IF('Informe Kelly'!H645=$A$3,'Informe Kelly'!F645,VLOOKUP(D651,$D$2:$F$4,3,FALSE))-(VLOOKUP(D651,$D$2:$F$4,3,FALSE))</f>
        <v>#N/A</v>
      </c>
      <c r="G651" s="137" t="e">
        <f t="shared" si="14"/>
        <v>#N/A</v>
      </c>
    </row>
    <row r="652" spans="1:7">
      <c r="A652" s="112" t="str">
        <f>VLOOKUP('Informe Kelly'!A646,Base!A:B,2,FALSE)</f>
        <v>09.471.557-1</v>
      </c>
      <c r="B652" s="112" t="str">
        <f>VLOOKUP('Informe Kelly'!A646,Base!A:G,7,FALSE)</f>
        <v>ARANGUIZ ALIAGA SANDRA</v>
      </c>
      <c r="C652" s="112" t="str">
        <f>'Informe Kelly'!E646</f>
        <v>06.04.2011</v>
      </c>
      <c r="D652" s="112" t="e">
        <f>VLOOKUP(A652,Ingreso!K:P,6,FALSE)</f>
        <v>#N/A</v>
      </c>
      <c r="E652" s="142" t="e">
        <f>(VLOOKUP(D652,$D$2:$E$4,2,FALSE))-(IF('Informe Kelly'!H646=$A$2,'Informe Kelly'!F646,VLOOKUP(D652,$D$2:$E$4,2,FALSE)))</f>
        <v>#N/A</v>
      </c>
      <c r="F652" s="142" t="e">
        <f>IF('Informe Kelly'!H646=$A$3,'Informe Kelly'!F646,VLOOKUP(D652,$D$2:$F$4,3,FALSE))-(VLOOKUP(D652,$D$2:$F$4,3,FALSE))</f>
        <v>#N/A</v>
      </c>
      <c r="G652" s="137" t="e">
        <f t="shared" si="14"/>
        <v>#N/A</v>
      </c>
    </row>
    <row r="653" spans="1:7">
      <c r="A653" s="112" t="str">
        <f>VLOOKUP('Informe Kelly'!A647,Base!A:B,2,FALSE)</f>
        <v>09.471.557-1</v>
      </c>
      <c r="B653" s="112" t="str">
        <f>VLOOKUP('Informe Kelly'!A647,Base!A:G,7,FALSE)</f>
        <v>ARANGUIZ ALIAGA SANDRA</v>
      </c>
      <c r="C653" s="112" t="str">
        <f>'Informe Kelly'!E647</f>
        <v>06.04.2011</v>
      </c>
      <c r="D653" s="112" t="e">
        <f>VLOOKUP(A653,Ingreso!K:P,6,FALSE)</f>
        <v>#N/A</v>
      </c>
      <c r="E653" s="142" t="e">
        <f>(VLOOKUP(D653,$D$2:$E$4,2,FALSE))-(IF('Informe Kelly'!H647=$A$2,'Informe Kelly'!F647,VLOOKUP(D653,$D$2:$E$4,2,FALSE)))</f>
        <v>#N/A</v>
      </c>
      <c r="F653" s="142" t="e">
        <f>IF('Informe Kelly'!H647=$A$3,'Informe Kelly'!F647,VLOOKUP(D653,$D$2:$F$4,3,FALSE))-(VLOOKUP(D653,$D$2:$F$4,3,FALSE))</f>
        <v>#N/A</v>
      </c>
      <c r="G653" s="137" t="e">
        <f t="shared" si="14"/>
        <v>#N/A</v>
      </c>
    </row>
    <row r="654" spans="1:7">
      <c r="A654" s="112" t="str">
        <f>VLOOKUP('Informe Kelly'!A648,Base!A:B,2,FALSE)</f>
        <v>09.471.557-1</v>
      </c>
      <c r="B654" s="112" t="str">
        <f>VLOOKUP('Informe Kelly'!A648,Base!A:G,7,FALSE)</f>
        <v>ARANGUIZ ALIAGA SANDRA</v>
      </c>
      <c r="C654" s="112" t="str">
        <f>'Informe Kelly'!E648</f>
        <v>07.04.2011</v>
      </c>
      <c r="D654" s="112" t="e">
        <f>VLOOKUP(A654,Ingreso!K:P,6,FALSE)</f>
        <v>#N/A</v>
      </c>
      <c r="E654" s="142" t="e">
        <f>(VLOOKUP(D654,$D$2:$E$4,2,FALSE))-(IF('Informe Kelly'!H648=$A$2,'Informe Kelly'!F648,VLOOKUP(D654,$D$2:$E$4,2,FALSE)))</f>
        <v>#N/A</v>
      </c>
      <c r="F654" s="142" t="e">
        <f>IF('Informe Kelly'!H648=$A$3,'Informe Kelly'!F648,VLOOKUP(D654,$D$2:$F$4,3,FALSE))-(VLOOKUP(D654,$D$2:$F$4,3,FALSE))</f>
        <v>#N/A</v>
      </c>
      <c r="G654" s="137" t="e">
        <f t="shared" si="14"/>
        <v>#N/A</v>
      </c>
    </row>
    <row r="655" spans="1:7">
      <c r="A655" s="112" t="str">
        <f>VLOOKUP('Informe Kelly'!A649,Base!A:B,2,FALSE)</f>
        <v>09.471.557-1</v>
      </c>
      <c r="B655" s="112" t="str">
        <f>VLOOKUP('Informe Kelly'!A649,Base!A:G,7,FALSE)</f>
        <v>ARANGUIZ ALIAGA SANDRA</v>
      </c>
      <c r="C655" s="112" t="str">
        <f>'Informe Kelly'!E649</f>
        <v>07.04.2011</v>
      </c>
      <c r="D655" s="112" t="e">
        <f>VLOOKUP(A655,Ingreso!K:P,6,FALSE)</f>
        <v>#N/A</v>
      </c>
      <c r="E655" s="142" t="e">
        <f>(VLOOKUP(D655,$D$2:$E$4,2,FALSE))-(IF('Informe Kelly'!H649=$A$2,'Informe Kelly'!F649,VLOOKUP(D655,$D$2:$E$4,2,FALSE)))</f>
        <v>#N/A</v>
      </c>
      <c r="F655" s="142" t="e">
        <f>IF('Informe Kelly'!H649=$A$3,'Informe Kelly'!F649,VLOOKUP(D655,$D$2:$F$4,3,FALSE))-(VLOOKUP(D655,$D$2:$F$4,3,FALSE))</f>
        <v>#N/A</v>
      </c>
      <c r="G655" s="137" t="e">
        <f t="shared" si="14"/>
        <v>#N/A</v>
      </c>
    </row>
    <row r="656" spans="1:7">
      <c r="A656" s="112" t="str">
        <f>VLOOKUP('Informe Kelly'!A650,Base!A:B,2,FALSE)</f>
        <v>09.471.557-1</v>
      </c>
      <c r="B656" s="112" t="str">
        <f>VLOOKUP('Informe Kelly'!A650,Base!A:G,7,FALSE)</f>
        <v>ARANGUIZ ALIAGA SANDRA</v>
      </c>
      <c r="C656" s="112" t="str">
        <f>'Informe Kelly'!E650</f>
        <v>08.04.2011</v>
      </c>
      <c r="D656" s="112" t="e">
        <f>VLOOKUP(A656,Ingreso!K:P,6,FALSE)</f>
        <v>#N/A</v>
      </c>
      <c r="E656" s="142" t="e">
        <f>(VLOOKUP(D656,$D$2:$E$4,2,FALSE))-(IF('Informe Kelly'!H650=$A$2,'Informe Kelly'!F650,VLOOKUP(D656,$D$2:$E$4,2,FALSE)))</f>
        <v>#N/A</v>
      </c>
      <c r="F656" s="142" t="e">
        <f>IF('Informe Kelly'!H650=$A$3,'Informe Kelly'!F650,VLOOKUP(D656,$D$2:$F$4,3,FALSE))-(VLOOKUP(D656,$D$2:$F$4,3,FALSE))</f>
        <v>#N/A</v>
      </c>
      <c r="G656" s="137" t="e">
        <f t="shared" si="14"/>
        <v>#N/A</v>
      </c>
    </row>
    <row r="657" spans="1:7">
      <c r="A657" s="112" t="str">
        <f>VLOOKUP('Informe Kelly'!A651,Base!A:B,2,FALSE)</f>
        <v>09.471.557-1</v>
      </c>
      <c r="B657" s="112" t="str">
        <f>VLOOKUP('Informe Kelly'!A651,Base!A:G,7,FALSE)</f>
        <v>ARANGUIZ ALIAGA SANDRA</v>
      </c>
      <c r="C657" s="112" t="str">
        <f>'Informe Kelly'!E651</f>
        <v>08.04.2011</v>
      </c>
      <c r="D657" s="112" t="e">
        <f>VLOOKUP(A657,Ingreso!K:P,6,FALSE)</f>
        <v>#N/A</v>
      </c>
      <c r="E657" s="142" t="e">
        <f>(VLOOKUP(D657,$D$2:$E$4,2,FALSE))-(IF('Informe Kelly'!H651=$A$2,'Informe Kelly'!F651,VLOOKUP(D657,$D$2:$E$4,2,FALSE)))</f>
        <v>#N/A</v>
      </c>
      <c r="F657" s="142" t="e">
        <f>IF('Informe Kelly'!H651=$A$3,'Informe Kelly'!F651,VLOOKUP(D657,$D$2:$F$4,3,FALSE))-(VLOOKUP(D657,$D$2:$F$4,3,FALSE))</f>
        <v>#N/A</v>
      </c>
      <c r="G657" s="137" t="e">
        <f t="shared" si="14"/>
        <v>#N/A</v>
      </c>
    </row>
    <row r="658" spans="1:7">
      <c r="A658" s="112" t="str">
        <f>VLOOKUP('Informe Kelly'!A652,Base!A:B,2,FALSE)</f>
        <v>09.471.557-1</v>
      </c>
      <c r="B658" s="112" t="str">
        <f>VLOOKUP('Informe Kelly'!A652,Base!A:G,7,FALSE)</f>
        <v>ARANGUIZ ALIAGA SANDRA</v>
      </c>
      <c r="C658" s="112" t="str">
        <f>'Informe Kelly'!E652</f>
        <v>09.04.2011</v>
      </c>
      <c r="D658" s="112" t="e">
        <f>VLOOKUP(A658,Ingreso!K:P,6,FALSE)</f>
        <v>#N/A</v>
      </c>
      <c r="E658" s="142" t="e">
        <f>(VLOOKUP(D658,$D$2:$E$4,2,FALSE))-(IF('Informe Kelly'!H652=$A$2,'Informe Kelly'!F652,VLOOKUP(D658,$D$2:$E$4,2,FALSE)))</f>
        <v>#N/A</v>
      </c>
      <c r="F658" s="142" t="e">
        <f>IF('Informe Kelly'!H652=$A$3,'Informe Kelly'!F652,VLOOKUP(D658,$D$2:$F$4,3,FALSE))-(VLOOKUP(D658,$D$2:$F$4,3,FALSE))</f>
        <v>#N/A</v>
      </c>
      <c r="G658" s="137" t="e">
        <f t="shared" si="14"/>
        <v>#N/A</v>
      </c>
    </row>
    <row r="659" spans="1:7">
      <c r="A659" s="112" t="str">
        <f>VLOOKUP('Informe Kelly'!A653,Base!A:B,2,FALSE)</f>
        <v>09.471.557-1</v>
      </c>
      <c r="B659" s="112" t="str">
        <f>VLOOKUP('Informe Kelly'!A653,Base!A:G,7,FALSE)</f>
        <v>ARANGUIZ ALIAGA SANDRA</v>
      </c>
      <c r="C659" s="112" t="str">
        <f>'Informe Kelly'!E653</f>
        <v>09.04.2011</v>
      </c>
      <c r="D659" s="112" t="e">
        <f>VLOOKUP(A659,Ingreso!K:P,6,FALSE)</f>
        <v>#N/A</v>
      </c>
      <c r="E659" s="142" t="e">
        <f>(VLOOKUP(D659,$D$2:$E$4,2,FALSE))-(IF('Informe Kelly'!H653=$A$2,'Informe Kelly'!F653,VLOOKUP(D659,$D$2:$E$4,2,FALSE)))</f>
        <v>#N/A</v>
      </c>
      <c r="F659" s="142" t="e">
        <f>IF('Informe Kelly'!H653=$A$3,'Informe Kelly'!F653,VLOOKUP(D659,$D$2:$F$4,3,FALSE))-(VLOOKUP(D659,$D$2:$F$4,3,FALSE))</f>
        <v>#N/A</v>
      </c>
      <c r="G659" s="137" t="e">
        <f t="shared" si="14"/>
        <v>#N/A</v>
      </c>
    </row>
    <row r="660" spans="1:7">
      <c r="A660" s="112" t="str">
        <f>VLOOKUP('Informe Kelly'!A654,Base!A:B,2,FALSE)</f>
        <v>09.485.526-8</v>
      </c>
      <c r="B660" s="112" t="str">
        <f>VLOOKUP('Informe Kelly'!A654,Base!A:G,7,FALSE)</f>
        <v>ROJAS GONZALEZ LUIS ALBERTO</v>
      </c>
      <c r="C660" s="112" t="str">
        <f>'Informe Kelly'!E654</f>
        <v>04.04.2011</v>
      </c>
      <c r="D660" s="112" t="e">
        <f>VLOOKUP(A660,Ingreso!K:P,6,FALSE)</f>
        <v>#N/A</v>
      </c>
      <c r="E660" s="142" t="e">
        <f>(VLOOKUP(D660,$D$2:$E$4,2,FALSE))-(IF('Informe Kelly'!H654=$A$2,'Informe Kelly'!F654,VLOOKUP(D660,$D$2:$E$4,2,FALSE)))</f>
        <v>#N/A</v>
      </c>
      <c r="F660" s="142" t="e">
        <f>IF('Informe Kelly'!H654=$A$3,'Informe Kelly'!F654,VLOOKUP(D660,$D$2:$F$4,3,FALSE))-(VLOOKUP(D660,$D$2:$F$4,3,FALSE))</f>
        <v>#N/A</v>
      </c>
      <c r="G660" s="137" t="e">
        <f t="shared" si="14"/>
        <v>#N/A</v>
      </c>
    </row>
    <row r="661" spans="1:7">
      <c r="A661" s="112" t="str">
        <f>VLOOKUP('Informe Kelly'!A655,Base!A:B,2,FALSE)</f>
        <v>09.485.526-8</v>
      </c>
      <c r="B661" s="112" t="str">
        <f>VLOOKUP('Informe Kelly'!A655,Base!A:G,7,FALSE)</f>
        <v>ROJAS GONZALEZ LUIS ALBERTO</v>
      </c>
      <c r="C661" s="112" t="str">
        <f>'Informe Kelly'!E655</f>
        <v>04.04.2011</v>
      </c>
      <c r="D661" s="112" t="e">
        <f>VLOOKUP(A661,Ingreso!K:P,6,FALSE)</f>
        <v>#N/A</v>
      </c>
      <c r="E661" s="142" t="e">
        <f>(VLOOKUP(D661,$D$2:$E$4,2,FALSE))-(IF('Informe Kelly'!H655=$A$2,'Informe Kelly'!F655,VLOOKUP(D661,$D$2:$E$4,2,FALSE)))</f>
        <v>#N/A</v>
      </c>
      <c r="F661" s="142" t="e">
        <f>IF('Informe Kelly'!H655=$A$3,'Informe Kelly'!F655,VLOOKUP(D661,$D$2:$F$4,3,FALSE))-(VLOOKUP(D661,$D$2:$F$4,3,FALSE))</f>
        <v>#N/A</v>
      </c>
      <c r="G661" s="137" t="e">
        <f t="shared" si="14"/>
        <v>#N/A</v>
      </c>
    </row>
    <row r="662" spans="1:7">
      <c r="A662" s="112" t="str">
        <f>VLOOKUP('Informe Kelly'!A656,Base!A:B,2,FALSE)</f>
        <v>09.485.526-8</v>
      </c>
      <c r="B662" s="112" t="str">
        <f>VLOOKUP('Informe Kelly'!A656,Base!A:G,7,FALSE)</f>
        <v>ROJAS GONZALEZ LUIS ALBERTO</v>
      </c>
      <c r="C662" s="112" t="str">
        <f>'Informe Kelly'!E656</f>
        <v>05.04.2011</v>
      </c>
      <c r="D662" s="112" t="e">
        <f>VLOOKUP(A662,Ingreso!K:P,6,FALSE)</f>
        <v>#N/A</v>
      </c>
      <c r="E662" s="142" t="e">
        <f>(VLOOKUP(D662,$D$2:$E$4,2,FALSE))-(IF('Informe Kelly'!H656=$A$2,'Informe Kelly'!F656,VLOOKUP(D662,$D$2:$E$4,2,FALSE)))</f>
        <v>#N/A</v>
      </c>
      <c r="F662" s="142" t="e">
        <f>IF('Informe Kelly'!H656=$A$3,'Informe Kelly'!F656,VLOOKUP(D662,$D$2:$F$4,3,FALSE))-(VLOOKUP(D662,$D$2:$F$4,3,FALSE))</f>
        <v>#N/A</v>
      </c>
      <c r="G662" s="137" t="e">
        <f t="shared" si="14"/>
        <v>#N/A</v>
      </c>
    </row>
    <row r="663" spans="1:7">
      <c r="A663" s="112" t="str">
        <f>VLOOKUP('Informe Kelly'!A657,Base!A:B,2,FALSE)</f>
        <v>09.485.526-8</v>
      </c>
      <c r="B663" s="112" t="str">
        <f>VLOOKUP('Informe Kelly'!A657,Base!A:G,7,FALSE)</f>
        <v>ROJAS GONZALEZ LUIS ALBERTO</v>
      </c>
      <c r="C663" s="112" t="str">
        <f>'Informe Kelly'!E657</f>
        <v>05.04.2011</v>
      </c>
      <c r="D663" s="112" t="e">
        <f>VLOOKUP(A663,Ingreso!K:P,6,FALSE)</f>
        <v>#N/A</v>
      </c>
      <c r="E663" s="142" t="e">
        <f>(VLOOKUP(D663,$D$2:$E$4,2,FALSE))-(IF('Informe Kelly'!H657=$A$2,'Informe Kelly'!F657,VLOOKUP(D663,$D$2:$E$4,2,FALSE)))</f>
        <v>#N/A</v>
      </c>
      <c r="F663" s="142" t="e">
        <f>IF('Informe Kelly'!H657=$A$3,'Informe Kelly'!F657,VLOOKUP(D663,$D$2:$F$4,3,FALSE))-(VLOOKUP(D663,$D$2:$F$4,3,FALSE))</f>
        <v>#N/A</v>
      </c>
      <c r="G663" s="137" t="e">
        <f t="shared" si="14"/>
        <v>#N/A</v>
      </c>
    </row>
    <row r="664" spans="1:7">
      <c r="A664" s="112" t="str">
        <f>VLOOKUP('Informe Kelly'!A658,Base!A:B,2,FALSE)</f>
        <v>09.485.526-8</v>
      </c>
      <c r="B664" s="112" t="str">
        <f>VLOOKUP('Informe Kelly'!A658,Base!A:G,7,FALSE)</f>
        <v>ROJAS GONZALEZ LUIS ALBERTO</v>
      </c>
      <c r="C664" s="112" t="str">
        <f>'Informe Kelly'!E658</f>
        <v>06.04.2011</v>
      </c>
      <c r="D664" s="112" t="e">
        <f>VLOOKUP(A664,Ingreso!K:P,6,FALSE)</f>
        <v>#N/A</v>
      </c>
      <c r="E664" s="142" t="e">
        <f>(VLOOKUP(D664,$D$2:$E$4,2,FALSE))-(IF('Informe Kelly'!H658=$A$2,'Informe Kelly'!F658,VLOOKUP(D664,$D$2:$E$4,2,FALSE)))</f>
        <v>#N/A</v>
      </c>
      <c r="F664" s="142" t="e">
        <f>IF('Informe Kelly'!H658=$A$3,'Informe Kelly'!F658,VLOOKUP(D664,$D$2:$F$4,3,FALSE))-(VLOOKUP(D664,$D$2:$F$4,3,FALSE))</f>
        <v>#N/A</v>
      </c>
      <c r="G664" s="137" t="e">
        <f t="shared" si="14"/>
        <v>#N/A</v>
      </c>
    </row>
    <row r="665" spans="1:7">
      <c r="A665" s="112" t="str">
        <f>VLOOKUP('Informe Kelly'!A659,Base!A:B,2,FALSE)</f>
        <v>09.485.526-8</v>
      </c>
      <c r="B665" s="112" t="str">
        <f>VLOOKUP('Informe Kelly'!A659,Base!A:G,7,FALSE)</f>
        <v>ROJAS GONZALEZ LUIS ALBERTO</v>
      </c>
      <c r="C665" s="112" t="str">
        <f>'Informe Kelly'!E659</f>
        <v>06.04.2011</v>
      </c>
      <c r="D665" s="112" t="e">
        <f>VLOOKUP(A665,Ingreso!K:P,6,FALSE)</f>
        <v>#N/A</v>
      </c>
      <c r="E665" s="142" t="e">
        <f>(VLOOKUP(D665,$D$2:$E$4,2,FALSE))-(IF('Informe Kelly'!H659=$A$2,'Informe Kelly'!F659,VLOOKUP(D665,$D$2:$E$4,2,FALSE)))</f>
        <v>#N/A</v>
      </c>
      <c r="F665" s="142" t="e">
        <f>IF('Informe Kelly'!H659=$A$3,'Informe Kelly'!F659,VLOOKUP(D665,$D$2:$F$4,3,FALSE))-(VLOOKUP(D665,$D$2:$F$4,3,FALSE))</f>
        <v>#N/A</v>
      </c>
      <c r="G665" s="137" t="e">
        <f t="shared" si="14"/>
        <v>#N/A</v>
      </c>
    </row>
    <row r="666" spans="1:7">
      <c r="A666" s="112" t="str">
        <f>VLOOKUP('Informe Kelly'!A660,Base!A:B,2,FALSE)</f>
        <v>09.485.526-8</v>
      </c>
      <c r="B666" s="112" t="str">
        <f>VLOOKUP('Informe Kelly'!A660,Base!A:G,7,FALSE)</f>
        <v>ROJAS GONZALEZ LUIS ALBERTO</v>
      </c>
      <c r="C666" s="112" t="str">
        <f>'Informe Kelly'!E660</f>
        <v>07.04.2011</v>
      </c>
      <c r="D666" s="112" t="e">
        <f>VLOOKUP(A666,Ingreso!K:P,6,FALSE)</f>
        <v>#N/A</v>
      </c>
      <c r="E666" s="142" t="e">
        <f>(VLOOKUP(D666,$D$2:$E$4,2,FALSE))-(IF('Informe Kelly'!H660=$A$2,'Informe Kelly'!F660,VLOOKUP(D666,$D$2:$E$4,2,FALSE)))</f>
        <v>#N/A</v>
      </c>
      <c r="F666" s="142" t="e">
        <f>IF('Informe Kelly'!H660=$A$3,'Informe Kelly'!F660,VLOOKUP(D666,$D$2:$F$4,3,FALSE))-(VLOOKUP(D666,$D$2:$F$4,3,FALSE))</f>
        <v>#N/A</v>
      </c>
      <c r="G666" s="137" t="e">
        <f t="shared" si="14"/>
        <v>#N/A</v>
      </c>
    </row>
    <row r="667" spans="1:7">
      <c r="A667" s="112" t="str">
        <f>VLOOKUP('Informe Kelly'!A661,Base!A:B,2,FALSE)</f>
        <v>09.485.526-8</v>
      </c>
      <c r="B667" s="112" t="str">
        <f>VLOOKUP('Informe Kelly'!A661,Base!A:G,7,FALSE)</f>
        <v>ROJAS GONZALEZ LUIS ALBERTO</v>
      </c>
      <c r="C667" s="112" t="str">
        <f>'Informe Kelly'!E661</f>
        <v>07.04.2011</v>
      </c>
      <c r="D667" s="112" t="e">
        <f>VLOOKUP(A667,Ingreso!K:P,6,FALSE)</f>
        <v>#N/A</v>
      </c>
      <c r="E667" s="142" t="e">
        <f>(VLOOKUP(D667,$D$2:$E$4,2,FALSE))-(IF('Informe Kelly'!H661=$A$2,'Informe Kelly'!F661,VLOOKUP(D667,$D$2:$E$4,2,FALSE)))</f>
        <v>#N/A</v>
      </c>
      <c r="F667" s="142" t="e">
        <f>IF('Informe Kelly'!H661=$A$3,'Informe Kelly'!F661,VLOOKUP(D667,$D$2:$F$4,3,FALSE))-(VLOOKUP(D667,$D$2:$F$4,3,FALSE))</f>
        <v>#N/A</v>
      </c>
      <c r="G667" s="137" t="e">
        <f t="shared" si="14"/>
        <v>#N/A</v>
      </c>
    </row>
    <row r="668" spans="1:7">
      <c r="A668" s="112" t="str">
        <f>VLOOKUP('Informe Kelly'!A662,Base!A:B,2,FALSE)</f>
        <v>09.485.526-8</v>
      </c>
      <c r="B668" s="112" t="str">
        <f>VLOOKUP('Informe Kelly'!A662,Base!A:G,7,FALSE)</f>
        <v>ROJAS GONZALEZ LUIS ALBERTO</v>
      </c>
      <c r="C668" s="112" t="str">
        <f>'Informe Kelly'!E662</f>
        <v>08.04.2011</v>
      </c>
      <c r="D668" s="112" t="e">
        <f>VLOOKUP(A668,Ingreso!K:P,6,FALSE)</f>
        <v>#N/A</v>
      </c>
      <c r="E668" s="142" t="e">
        <f>(VLOOKUP(D668,$D$2:$E$4,2,FALSE))-(IF('Informe Kelly'!H662=$A$2,'Informe Kelly'!F662,VLOOKUP(D668,$D$2:$E$4,2,FALSE)))</f>
        <v>#N/A</v>
      </c>
      <c r="F668" s="142" t="e">
        <f>IF('Informe Kelly'!H662=$A$3,'Informe Kelly'!F662,VLOOKUP(D668,$D$2:$F$4,3,FALSE))-(VLOOKUP(D668,$D$2:$F$4,3,FALSE))</f>
        <v>#N/A</v>
      </c>
      <c r="G668" s="137" t="e">
        <f t="shared" si="14"/>
        <v>#N/A</v>
      </c>
    </row>
    <row r="669" spans="1:7">
      <c r="A669" s="112" t="str">
        <f>VLOOKUP('Informe Kelly'!A663,Base!A:B,2,FALSE)</f>
        <v>09.485.526-8</v>
      </c>
      <c r="B669" s="112" t="str">
        <f>VLOOKUP('Informe Kelly'!A663,Base!A:G,7,FALSE)</f>
        <v>ROJAS GONZALEZ LUIS ALBERTO</v>
      </c>
      <c r="C669" s="112" t="str">
        <f>'Informe Kelly'!E663</f>
        <v>08.04.2011</v>
      </c>
      <c r="D669" s="112" t="e">
        <f>VLOOKUP(A669,Ingreso!K:P,6,FALSE)</f>
        <v>#N/A</v>
      </c>
      <c r="E669" s="142" t="e">
        <f>(VLOOKUP(D669,$D$2:$E$4,2,FALSE))-(IF('Informe Kelly'!H663=$A$2,'Informe Kelly'!F663,VLOOKUP(D669,$D$2:$E$4,2,FALSE)))</f>
        <v>#N/A</v>
      </c>
      <c r="F669" s="142" t="e">
        <f>IF('Informe Kelly'!H663=$A$3,'Informe Kelly'!F663,VLOOKUP(D669,$D$2:$F$4,3,FALSE))-(VLOOKUP(D669,$D$2:$F$4,3,FALSE))</f>
        <v>#N/A</v>
      </c>
      <c r="G669" s="137" t="e">
        <f t="shared" si="14"/>
        <v>#N/A</v>
      </c>
    </row>
    <row r="670" spans="1:7">
      <c r="A670" s="112" t="str">
        <f>VLOOKUP('Informe Kelly'!A664,Base!A:B,2,FALSE)</f>
        <v>09.485.526-8</v>
      </c>
      <c r="B670" s="112" t="str">
        <f>VLOOKUP('Informe Kelly'!A664,Base!A:G,7,FALSE)</f>
        <v>ROJAS GONZALEZ LUIS ALBERTO</v>
      </c>
      <c r="C670" s="112" t="str">
        <f>'Informe Kelly'!E664</f>
        <v>09.04.2011</v>
      </c>
      <c r="D670" s="112" t="e">
        <f>VLOOKUP(A670,Ingreso!K:P,6,FALSE)</f>
        <v>#N/A</v>
      </c>
      <c r="E670" s="142" t="e">
        <f>(VLOOKUP(D670,$D$2:$E$4,2,FALSE))-(IF('Informe Kelly'!H664=$A$2,'Informe Kelly'!F664,VLOOKUP(D670,$D$2:$E$4,2,FALSE)))</f>
        <v>#N/A</v>
      </c>
      <c r="F670" s="142" t="e">
        <f>IF('Informe Kelly'!H664=$A$3,'Informe Kelly'!F664,VLOOKUP(D670,$D$2:$F$4,3,FALSE))-(VLOOKUP(D670,$D$2:$F$4,3,FALSE))</f>
        <v>#N/A</v>
      </c>
      <c r="G670" s="137" t="e">
        <f t="shared" si="14"/>
        <v>#N/A</v>
      </c>
    </row>
    <row r="671" spans="1:7">
      <c r="A671" s="112" t="str">
        <f>VLOOKUP('Informe Kelly'!A665,Base!A:B,2,FALSE)</f>
        <v>09.488.801-8</v>
      </c>
      <c r="B671" s="112" t="str">
        <f>VLOOKUP('Informe Kelly'!A665,Base!A:G,7,FALSE)</f>
        <v>PALMA  SEREÑO,LUIS RICARDO</v>
      </c>
      <c r="C671" s="112" t="str">
        <f>'Informe Kelly'!E665</f>
        <v>04.04.2011</v>
      </c>
      <c r="D671" s="112" t="e">
        <f>VLOOKUP(A671,Ingreso!K:P,6,FALSE)</f>
        <v>#N/A</v>
      </c>
      <c r="E671" s="142" t="e">
        <f>(VLOOKUP(D671,$D$2:$E$4,2,FALSE))-(IF('Informe Kelly'!H665=$A$2,'Informe Kelly'!F665,VLOOKUP(D671,$D$2:$E$4,2,FALSE)))</f>
        <v>#N/A</v>
      </c>
      <c r="F671" s="142" t="e">
        <f>IF('Informe Kelly'!H665=$A$3,'Informe Kelly'!F665,VLOOKUP(D671,$D$2:$F$4,3,FALSE))-(VLOOKUP(D671,$D$2:$F$4,3,FALSE))</f>
        <v>#N/A</v>
      </c>
      <c r="G671" s="137" t="e">
        <f t="shared" si="14"/>
        <v>#N/A</v>
      </c>
    </row>
    <row r="672" spans="1:7">
      <c r="A672" s="112" t="str">
        <f>VLOOKUP('Informe Kelly'!A666,Base!A:B,2,FALSE)</f>
        <v>09.488.801-8</v>
      </c>
      <c r="B672" s="112" t="str">
        <f>VLOOKUP('Informe Kelly'!A666,Base!A:G,7,FALSE)</f>
        <v>PALMA  SEREÑO,LUIS RICARDO</v>
      </c>
      <c r="C672" s="112" t="str">
        <f>'Informe Kelly'!E666</f>
        <v>05.04.2011</v>
      </c>
      <c r="D672" s="112" t="e">
        <f>VLOOKUP(A672,Ingreso!K:P,6,FALSE)</f>
        <v>#N/A</v>
      </c>
      <c r="E672" s="142" t="e">
        <f>(VLOOKUP(D672,$D$2:$E$4,2,FALSE))-(IF('Informe Kelly'!H666=$A$2,'Informe Kelly'!F666,VLOOKUP(D672,$D$2:$E$4,2,FALSE)))</f>
        <v>#N/A</v>
      </c>
      <c r="F672" s="142" t="e">
        <f>IF('Informe Kelly'!H666=$A$3,'Informe Kelly'!F666,VLOOKUP(D672,$D$2:$F$4,3,FALSE))-(VLOOKUP(D672,$D$2:$F$4,3,FALSE))</f>
        <v>#N/A</v>
      </c>
      <c r="G672" s="137" t="e">
        <f t="shared" si="14"/>
        <v>#N/A</v>
      </c>
    </row>
    <row r="673" spans="1:7">
      <c r="A673" s="112" t="str">
        <f>VLOOKUP('Informe Kelly'!A667,Base!A:B,2,FALSE)</f>
        <v>09.488.801-8</v>
      </c>
      <c r="B673" s="112" t="str">
        <f>VLOOKUP('Informe Kelly'!A667,Base!A:G,7,FALSE)</f>
        <v>PALMA  SEREÑO,LUIS RICARDO</v>
      </c>
      <c r="C673" s="112" t="str">
        <f>'Informe Kelly'!E667</f>
        <v>05.04.2011</v>
      </c>
      <c r="D673" s="112" t="e">
        <f>VLOOKUP(A673,Ingreso!K:P,6,FALSE)</f>
        <v>#N/A</v>
      </c>
      <c r="E673" s="142" t="e">
        <f>(VLOOKUP(D673,$D$2:$E$4,2,FALSE))-(IF('Informe Kelly'!H667=$A$2,'Informe Kelly'!F667,VLOOKUP(D673,$D$2:$E$4,2,FALSE)))</f>
        <v>#N/A</v>
      </c>
      <c r="F673" s="142" t="e">
        <f>IF('Informe Kelly'!H667=$A$3,'Informe Kelly'!F667,VLOOKUP(D673,$D$2:$F$4,3,FALSE))-(VLOOKUP(D673,$D$2:$F$4,3,FALSE))</f>
        <v>#N/A</v>
      </c>
      <c r="G673" s="137" t="e">
        <f t="shared" si="14"/>
        <v>#N/A</v>
      </c>
    </row>
    <row r="674" spans="1:7">
      <c r="A674" s="112" t="str">
        <f>VLOOKUP('Informe Kelly'!A668,Base!A:B,2,FALSE)</f>
        <v>09.488.801-8</v>
      </c>
      <c r="B674" s="112" t="str">
        <f>VLOOKUP('Informe Kelly'!A668,Base!A:G,7,FALSE)</f>
        <v>PALMA  SEREÑO,LUIS RICARDO</v>
      </c>
      <c r="C674" s="112" t="str">
        <f>'Informe Kelly'!E668</f>
        <v>06.04.2011</v>
      </c>
      <c r="D674" s="112" t="e">
        <f>VLOOKUP(A674,Ingreso!K:P,6,FALSE)</f>
        <v>#N/A</v>
      </c>
      <c r="E674" s="142" t="e">
        <f>(VLOOKUP(D674,$D$2:$E$4,2,FALSE))-(IF('Informe Kelly'!H668=$A$2,'Informe Kelly'!F668,VLOOKUP(D674,$D$2:$E$4,2,FALSE)))</f>
        <v>#N/A</v>
      </c>
      <c r="F674" s="142" t="e">
        <f>IF('Informe Kelly'!H668=$A$3,'Informe Kelly'!F668,VLOOKUP(D674,$D$2:$F$4,3,FALSE))-(VLOOKUP(D674,$D$2:$F$4,3,FALSE))</f>
        <v>#N/A</v>
      </c>
      <c r="G674" s="137" t="e">
        <f t="shared" si="14"/>
        <v>#N/A</v>
      </c>
    </row>
    <row r="675" spans="1:7">
      <c r="A675" s="112" t="str">
        <f>VLOOKUP('Informe Kelly'!A669,Base!A:B,2,FALSE)</f>
        <v>09.488.801-8</v>
      </c>
      <c r="B675" s="112" t="str">
        <f>VLOOKUP('Informe Kelly'!A669,Base!A:G,7,FALSE)</f>
        <v>PALMA  SEREÑO,LUIS RICARDO</v>
      </c>
      <c r="C675" s="112" t="str">
        <f>'Informe Kelly'!E669</f>
        <v>06.04.2011</v>
      </c>
      <c r="D675" s="112" t="e">
        <f>VLOOKUP(A675,Ingreso!K:P,6,FALSE)</f>
        <v>#N/A</v>
      </c>
      <c r="E675" s="142" t="e">
        <f>(VLOOKUP(D675,$D$2:$E$4,2,FALSE))-(IF('Informe Kelly'!H669=$A$2,'Informe Kelly'!F669,VLOOKUP(D675,$D$2:$E$4,2,FALSE)))</f>
        <v>#N/A</v>
      </c>
      <c r="F675" s="142" t="e">
        <f>IF('Informe Kelly'!H669=$A$3,'Informe Kelly'!F669,VLOOKUP(D675,$D$2:$F$4,3,FALSE))-(VLOOKUP(D675,$D$2:$F$4,3,FALSE))</f>
        <v>#N/A</v>
      </c>
      <c r="G675" s="137" t="e">
        <f t="shared" si="14"/>
        <v>#N/A</v>
      </c>
    </row>
    <row r="676" spans="1:7">
      <c r="A676" s="112" t="str">
        <f>VLOOKUP('Informe Kelly'!A670,Base!A:B,2,FALSE)</f>
        <v>09.488.801-8</v>
      </c>
      <c r="B676" s="112" t="str">
        <f>VLOOKUP('Informe Kelly'!A670,Base!A:G,7,FALSE)</f>
        <v>PALMA  SEREÑO,LUIS RICARDO</v>
      </c>
      <c r="C676" s="112" t="str">
        <f>'Informe Kelly'!E670</f>
        <v>07.04.2011</v>
      </c>
      <c r="D676" s="112" t="e">
        <f>VLOOKUP(A676,Ingreso!K:P,6,FALSE)</f>
        <v>#N/A</v>
      </c>
      <c r="E676" s="142" t="e">
        <f>(VLOOKUP(D676,$D$2:$E$4,2,FALSE))-(IF('Informe Kelly'!H670=$A$2,'Informe Kelly'!F670,VLOOKUP(D676,$D$2:$E$4,2,FALSE)))</f>
        <v>#N/A</v>
      </c>
      <c r="F676" s="142" t="e">
        <f>IF('Informe Kelly'!H670=$A$3,'Informe Kelly'!F670,VLOOKUP(D676,$D$2:$F$4,3,FALSE))-(VLOOKUP(D676,$D$2:$F$4,3,FALSE))</f>
        <v>#N/A</v>
      </c>
      <c r="G676" s="137" t="e">
        <f t="shared" si="14"/>
        <v>#N/A</v>
      </c>
    </row>
    <row r="677" spans="1:7">
      <c r="A677" s="112" t="str">
        <f>VLOOKUP('Informe Kelly'!A671,Base!A:B,2,FALSE)</f>
        <v>09.488.801-8</v>
      </c>
      <c r="B677" s="112" t="str">
        <f>VLOOKUP('Informe Kelly'!A671,Base!A:G,7,FALSE)</f>
        <v>PALMA  SEREÑO,LUIS RICARDO</v>
      </c>
      <c r="C677" s="112" t="str">
        <f>'Informe Kelly'!E671</f>
        <v>07.04.2011</v>
      </c>
      <c r="D677" s="112" t="e">
        <f>VLOOKUP(A677,Ingreso!K:P,6,FALSE)</f>
        <v>#N/A</v>
      </c>
      <c r="E677" s="142" t="e">
        <f>(VLOOKUP(D677,$D$2:$E$4,2,FALSE))-(IF('Informe Kelly'!H671=$A$2,'Informe Kelly'!F671,VLOOKUP(D677,$D$2:$E$4,2,FALSE)))</f>
        <v>#N/A</v>
      </c>
      <c r="F677" s="142" t="e">
        <f>IF('Informe Kelly'!H671=$A$3,'Informe Kelly'!F671,VLOOKUP(D677,$D$2:$F$4,3,FALSE))-(VLOOKUP(D677,$D$2:$F$4,3,FALSE))</f>
        <v>#N/A</v>
      </c>
      <c r="G677" s="137" t="e">
        <f t="shared" si="14"/>
        <v>#N/A</v>
      </c>
    </row>
    <row r="678" spans="1:7">
      <c r="A678" s="112" t="str">
        <f>VLOOKUP('Informe Kelly'!A672,Base!A:B,2,FALSE)</f>
        <v>09.488.801-8</v>
      </c>
      <c r="B678" s="112" t="str">
        <f>VLOOKUP('Informe Kelly'!A672,Base!A:G,7,FALSE)</f>
        <v>PALMA  SEREÑO,LUIS RICARDO</v>
      </c>
      <c r="C678" s="112" t="str">
        <f>'Informe Kelly'!E672</f>
        <v>08.04.2011</v>
      </c>
      <c r="D678" s="112" t="e">
        <f>VLOOKUP(A678,Ingreso!K:P,6,FALSE)</f>
        <v>#N/A</v>
      </c>
      <c r="E678" s="142" t="e">
        <f>(VLOOKUP(D678,$D$2:$E$4,2,FALSE))-(IF('Informe Kelly'!H672=$A$2,'Informe Kelly'!F672,VLOOKUP(D678,$D$2:$E$4,2,FALSE)))</f>
        <v>#N/A</v>
      </c>
      <c r="F678" s="142" t="e">
        <f>IF('Informe Kelly'!H672=$A$3,'Informe Kelly'!F672,VLOOKUP(D678,$D$2:$F$4,3,FALSE))-(VLOOKUP(D678,$D$2:$F$4,3,FALSE))</f>
        <v>#N/A</v>
      </c>
      <c r="G678" s="137" t="e">
        <f t="shared" si="14"/>
        <v>#N/A</v>
      </c>
    </row>
    <row r="679" spans="1:7">
      <c r="A679" s="112" t="str">
        <f>VLOOKUP('Informe Kelly'!A673,Base!A:B,2,FALSE)</f>
        <v>09.488.801-8</v>
      </c>
      <c r="B679" s="112" t="str">
        <f>VLOOKUP('Informe Kelly'!A673,Base!A:G,7,FALSE)</f>
        <v>PALMA  SEREÑO,LUIS RICARDO</v>
      </c>
      <c r="C679" s="112" t="str">
        <f>'Informe Kelly'!E673</f>
        <v>08.04.2011</v>
      </c>
      <c r="D679" s="112" t="e">
        <f>VLOOKUP(A679,Ingreso!K:P,6,FALSE)</f>
        <v>#N/A</v>
      </c>
      <c r="E679" s="142" t="e">
        <f>(VLOOKUP(D679,$D$2:$E$4,2,FALSE))-(IF('Informe Kelly'!H673=$A$2,'Informe Kelly'!F673,VLOOKUP(D679,$D$2:$E$4,2,FALSE)))</f>
        <v>#N/A</v>
      </c>
      <c r="F679" s="142" t="e">
        <f>IF('Informe Kelly'!H673=$A$3,'Informe Kelly'!F673,VLOOKUP(D679,$D$2:$F$4,3,FALSE))-(VLOOKUP(D679,$D$2:$F$4,3,FALSE))</f>
        <v>#N/A</v>
      </c>
      <c r="G679" s="137" t="e">
        <f t="shared" si="14"/>
        <v>#N/A</v>
      </c>
    </row>
    <row r="680" spans="1:7">
      <c r="A680" s="112" t="str">
        <f>VLOOKUP('Informe Kelly'!A674,Base!A:B,2,FALSE)</f>
        <v>09.488.801-8</v>
      </c>
      <c r="B680" s="112" t="str">
        <f>VLOOKUP('Informe Kelly'!A674,Base!A:G,7,FALSE)</f>
        <v>PALMA  SEREÑO,LUIS RICARDO</v>
      </c>
      <c r="C680" s="112" t="str">
        <f>'Informe Kelly'!E674</f>
        <v>09.04.2011</v>
      </c>
      <c r="D680" s="112" t="e">
        <f>VLOOKUP(A680,Ingreso!K:P,6,FALSE)</f>
        <v>#N/A</v>
      </c>
      <c r="E680" s="142" t="e">
        <f>(VLOOKUP(D680,$D$2:$E$4,2,FALSE))-(IF('Informe Kelly'!H674=$A$2,'Informe Kelly'!F674,VLOOKUP(D680,$D$2:$E$4,2,FALSE)))</f>
        <v>#N/A</v>
      </c>
      <c r="F680" s="142" t="e">
        <f>IF('Informe Kelly'!H674=$A$3,'Informe Kelly'!F674,VLOOKUP(D680,$D$2:$F$4,3,FALSE))-(VLOOKUP(D680,$D$2:$F$4,3,FALSE))</f>
        <v>#N/A</v>
      </c>
      <c r="G680" s="137" t="e">
        <f t="shared" si="14"/>
        <v>#N/A</v>
      </c>
    </row>
    <row r="681" spans="1:7">
      <c r="A681" s="112" t="str">
        <f>VLOOKUP('Informe Kelly'!A675,Base!A:B,2,FALSE)</f>
        <v>09.488.820-4</v>
      </c>
      <c r="B681" s="112" t="str">
        <f>VLOOKUP('Informe Kelly'!A675,Base!A:G,7,FALSE)</f>
        <v>MUÑOZ BUGUEÑO MARCO</v>
      </c>
      <c r="C681" s="112" t="str">
        <f>'Informe Kelly'!E675</f>
        <v>04.04.2011</v>
      </c>
      <c r="D681" s="112" t="e">
        <f>VLOOKUP(A681,Ingreso!K:P,6,FALSE)</f>
        <v>#N/A</v>
      </c>
      <c r="E681" s="142" t="e">
        <f>(VLOOKUP(D681,$D$2:$E$4,2,FALSE))-(IF('Informe Kelly'!H675=$A$2,'Informe Kelly'!F675,VLOOKUP(D681,$D$2:$E$4,2,FALSE)))</f>
        <v>#N/A</v>
      </c>
      <c r="F681" s="142" t="e">
        <f>IF('Informe Kelly'!H675=$A$3,'Informe Kelly'!F675,VLOOKUP(D681,$D$2:$F$4,3,FALSE))-(VLOOKUP(D681,$D$2:$F$4,3,FALSE))</f>
        <v>#N/A</v>
      </c>
      <c r="G681" s="137" t="e">
        <f t="shared" si="14"/>
        <v>#N/A</v>
      </c>
    </row>
    <row r="682" spans="1:7">
      <c r="A682" s="112" t="str">
        <f>VLOOKUP('Informe Kelly'!A676,Base!A:B,2,FALSE)</f>
        <v>09.488.820-4</v>
      </c>
      <c r="B682" s="112" t="str">
        <f>VLOOKUP('Informe Kelly'!A676,Base!A:G,7,FALSE)</f>
        <v>MUÑOZ BUGUEÑO MARCO</v>
      </c>
      <c r="C682" s="112" t="str">
        <f>'Informe Kelly'!E676</f>
        <v>05.04.2011</v>
      </c>
      <c r="D682" s="112" t="e">
        <f>VLOOKUP(A682,Ingreso!K:P,6,FALSE)</f>
        <v>#N/A</v>
      </c>
      <c r="E682" s="142" t="e">
        <f>(VLOOKUP(D682,$D$2:$E$4,2,FALSE))-(IF('Informe Kelly'!H676=$A$2,'Informe Kelly'!F676,VLOOKUP(D682,$D$2:$E$4,2,FALSE)))</f>
        <v>#N/A</v>
      </c>
      <c r="F682" s="142" t="e">
        <f>IF('Informe Kelly'!H676=$A$3,'Informe Kelly'!F676,VLOOKUP(D682,$D$2:$F$4,3,FALSE))-(VLOOKUP(D682,$D$2:$F$4,3,FALSE))</f>
        <v>#N/A</v>
      </c>
      <c r="G682" s="137" t="e">
        <f t="shared" si="14"/>
        <v>#N/A</v>
      </c>
    </row>
    <row r="683" spans="1:7">
      <c r="A683" s="112" t="str">
        <f>VLOOKUP('Informe Kelly'!A677,Base!A:B,2,FALSE)</f>
        <v>09.488.820-4</v>
      </c>
      <c r="B683" s="112" t="str">
        <f>VLOOKUP('Informe Kelly'!A677,Base!A:G,7,FALSE)</f>
        <v>MUÑOZ BUGUEÑO MARCO</v>
      </c>
      <c r="C683" s="112" t="str">
        <f>'Informe Kelly'!E677</f>
        <v>05.04.2011</v>
      </c>
      <c r="D683" s="112" t="e">
        <f>VLOOKUP(A683,Ingreso!K:P,6,FALSE)</f>
        <v>#N/A</v>
      </c>
      <c r="E683" s="142" t="e">
        <f>(VLOOKUP(D683,$D$2:$E$4,2,FALSE))-(IF('Informe Kelly'!H677=$A$2,'Informe Kelly'!F677,VLOOKUP(D683,$D$2:$E$4,2,FALSE)))</f>
        <v>#N/A</v>
      </c>
      <c r="F683" s="142" t="e">
        <f>IF('Informe Kelly'!H677=$A$3,'Informe Kelly'!F677,VLOOKUP(D683,$D$2:$F$4,3,FALSE))-(VLOOKUP(D683,$D$2:$F$4,3,FALSE))</f>
        <v>#N/A</v>
      </c>
      <c r="G683" s="137" t="e">
        <f t="shared" si="14"/>
        <v>#N/A</v>
      </c>
    </row>
    <row r="684" spans="1:7">
      <c r="A684" s="112" t="str">
        <f>VLOOKUP('Informe Kelly'!A678,Base!A:B,2,FALSE)</f>
        <v>09.488.820-4</v>
      </c>
      <c r="B684" s="112" t="str">
        <f>VLOOKUP('Informe Kelly'!A678,Base!A:G,7,FALSE)</f>
        <v>MUÑOZ BUGUEÑO MARCO</v>
      </c>
      <c r="C684" s="112" t="str">
        <f>'Informe Kelly'!E678</f>
        <v>06.04.2011</v>
      </c>
      <c r="D684" s="112" t="e">
        <f>VLOOKUP(A684,Ingreso!K:P,6,FALSE)</f>
        <v>#N/A</v>
      </c>
      <c r="E684" s="142" t="e">
        <f>(VLOOKUP(D684,$D$2:$E$4,2,FALSE))-(IF('Informe Kelly'!H678=$A$2,'Informe Kelly'!F678,VLOOKUP(D684,$D$2:$E$4,2,FALSE)))</f>
        <v>#N/A</v>
      </c>
      <c r="F684" s="142" t="e">
        <f>IF('Informe Kelly'!H678=$A$3,'Informe Kelly'!F678,VLOOKUP(D684,$D$2:$F$4,3,FALSE))-(VLOOKUP(D684,$D$2:$F$4,3,FALSE))</f>
        <v>#N/A</v>
      </c>
      <c r="G684" s="137" t="e">
        <f t="shared" si="14"/>
        <v>#N/A</v>
      </c>
    </row>
    <row r="685" spans="1:7">
      <c r="A685" s="112" t="str">
        <f>VLOOKUP('Informe Kelly'!A679,Base!A:B,2,FALSE)</f>
        <v>09.488.820-4</v>
      </c>
      <c r="B685" s="112" t="str">
        <f>VLOOKUP('Informe Kelly'!A679,Base!A:G,7,FALSE)</f>
        <v>MUÑOZ BUGUEÑO MARCO</v>
      </c>
      <c r="C685" s="112" t="str">
        <f>'Informe Kelly'!E679</f>
        <v>06.04.2011</v>
      </c>
      <c r="D685" s="112" t="e">
        <f>VLOOKUP(A685,Ingreso!K:P,6,FALSE)</f>
        <v>#N/A</v>
      </c>
      <c r="E685" s="142" t="e">
        <f>(VLOOKUP(D685,$D$2:$E$4,2,FALSE))-(IF('Informe Kelly'!H679=$A$2,'Informe Kelly'!F679,VLOOKUP(D685,$D$2:$E$4,2,FALSE)))</f>
        <v>#N/A</v>
      </c>
      <c r="F685" s="142" t="e">
        <f>IF('Informe Kelly'!H679=$A$3,'Informe Kelly'!F679,VLOOKUP(D685,$D$2:$F$4,3,FALSE))-(VLOOKUP(D685,$D$2:$F$4,3,FALSE))</f>
        <v>#N/A</v>
      </c>
      <c r="G685" s="137" t="e">
        <f t="shared" si="14"/>
        <v>#N/A</v>
      </c>
    </row>
    <row r="686" spans="1:7">
      <c r="A686" s="112" t="str">
        <f>VLOOKUP('Informe Kelly'!A680,Base!A:B,2,FALSE)</f>
        <v>09.488.820-4</v>
      </c>
      <c r="B686" s="112" t="str">
        <f>VLOOKUP('Informe Kelly'!A680,Base!A:G,7,FALSE)</f>
        <v>MUÑOZ BUGUEÑO MARCO</v>
      </c>
      <c r="C686" s="112" t="str">
        <f>'Informe Kelly'!E680</f>
        <v>07.04.2011</v>
      </c>
      <c r="D686" s="112" t="e">
        <f>VLOOKUP(A686,Ingreso!K:P,6,FALSE)</f>
        <v>#N/A</v>
      </c>
      <c r="E686" s="142" t="e">
        <f>(VLOOKUP(D686,$D$2:$E$4,2,FALSE))-(IF('Informe Kelly'!H680=$A$2,'Informe Kelly'!F680,VLOOKUP(D686,$D$2:$E$4,2,FALSE)))</f>
        <v>#N/A</v>
      </c>
      <c r="F686" s="142" t="e">
        <f>IF('Informe Kelly'!H680=$A$3,'Informe Kelly'!F680,VLOOKUP(D686,$D$2:$F$4,3,FALSE))-(VLOOKUP(D686,$D$2:$F$4,3,FALSE))</f>
        <v>#N/A</v>
      </c>
      <c r="G686" s="137" t="e">
        <f t="shared" si="14"/>
        <v>#N/A</v>
      </c>
    </row>
    <row r="687" spans="1:7">
      <c r="A687" s="112" t="str">
        <f>VLOOKUP('Informe Kelly'!A681,Base!A:B,2,FALSE)</f>
        <v>09.488.820-4</v>
      </c>
      <c r="B687" s="112" t="str">
        <f>VLOOKUP('Informe Kelly'!A681,Base!A:G,7,FALSE)</f>
        <v>MUÑOZ BUGUEÑO MARCO</v>
      </c>
      <c r="C687" s="112" t="str">
        <f>'Informe Kelly'!E681</f>
        <v>07.04.2011</v>
      </c>
      <c r="D687" s="112" t="e">
        <f>VLOOKUP(A687,Ingreso!K:P,6,FALSE)</f>
        <v>#N/A</v>
      </c>
      <c r="E687" s="142" t="e">
        <f>(VLOOKUP(D687,$D$2:$E$4,2,FALSE))-(IF('Informe Kelly'!H681=$A$2,'Informe Kelly'!F681,VLOOKUP(D687,$D$2:$E$4,2,FALSE)))</f>
        <v>#N/A</v>
      </c>
      <c r="F687" s="142" t="e">
        <f>IF('Informe Kelly'!H681=$A$3,'Informe Kelly'!F681,VLOOKUP(D687,$D$2:$F$4,3,FALSE))-(VLOOKUP(D687,$D$2:$F$4,3,FALSE))</f>
        <v>#N/A</v>
      </c>
      <c r="G687" s="137" t="e">
        <f t="shared" si="14"/>
        <v>#N/A</v>
      </c>
    </row>
    <row r="688" spans="1:7">
      <c r="A688" s="112" t="str">
        <f>VLOOKUP('Informe Kelly'!A682,Base!A:B,2,FALSE)</f>
        <v>09.488.820-4</v>
      </c>
      <c r="B688" s="112" t="str">
        <f>VLOOKUP('Informe Kelly'!A682,Base!A:G,7,FALSE)</f>
        <v>MUÑOZ BUGUEÑO MARCO</v>
      </c>
      <c r="C688" s="112" t="str">
        <f>'Informe Kelly'!E682</f>
        <v>08.04.2011</v>
      </c>
      <c r="D688" s="112" t="e">
        <f>VLOOKUP(A688,Ingreso!K:P,6,FALSE)</f>
        <v>#N/A</v>
      </c>
      <c r="E688" s="142" t="e">
        <f>(VLOOKUP(D688,$D$2:$E$4,2,FALSE))-(IF('Informe Kelly'!H682=$A$2,'Informe Kelly'!F682,VLOOKUP(D688,$D$2:$E$4,2,FALSE)))</f>
        <v>#N/A</v>
      </c>
      <c r="F688" s="142" t="e">
        <f>IF('Informe Kelly'!H682=$A$3,'Informe Kelly'!F682,VLOOKUP(D688,$D$2:$F$4,3,FALSE))-(VLOOKUP(D688,$D$2:$F$4,3,FALSE))</f>
        <v>#N/A</v>
      </c>
      <c r="G688" s="137" t="e">
        <f t="shared" si="14"/>
        <v>#N/A</v>
      </c>
    </row>
    <row r="689" spans="1:7">
      <c r="A689" s="112" t="str">
        <f>VLOOKUP('Informe Kelly'!A683,Base!A:B,2,FALSE)</f>
        <v>09.488.820-4</v>
      </c>
      <c r="B689" s="112" t="str">
        <f>VLOOKUP('Informe Kelly'!A683,Base!A:G,7,FALSE)</f>
        <v>MUÑOZ BUGUEÑO MARCO</v>
      </c>
      <c r="C689" s="112" t="str">
        <f>'Informe Kelly'!E683</f>
        <v>08.04.2011</v>
      </c>
      <c r="D689" s="112" t="e">
        <f>VLOOKUP(A689,Ingreso!K:P,6,FALSE)</f>
        <v>#N/A</v>
      </c>
      <c r="E689" s="142" t="e">
        <f>(VLOOKUP(D689,$D$2:$E$4,2,FALSE))-(IF('Informe Kelly'!H683=$A$2,'Informe Kelly'!F683,VLOOKUP(D689,$D$2:$E$4,2,FALSE)))</f>
        <v>#N/A</v>
      </c>
      <c r="F689" s="142" t="e">
        <f>IF('Informe Kelly'!H683=$A$3,'Informe Kelly'!F683,VLOOKUP(D689,$D$2:$F$4,3,FALSE))-(VLOOKUP(D689,$D$2:$F$4,3,FALSE))</f>
        <v>#N/A</v>
      </c>
      <c r="G689" s="137" t="e">
        <f t="shared" si="14"/>
        <v>#N/A</v>
      </c>
    </row>
    <row r="690" spans="1:7">
      <c r="A690" s="112" t="str">
        <f>VLOOKUP('Informe Kelly'!A684,Base!A:B,2,FALSE)</f>
        <v>09.488.820-4</v>
      </c>
      <c r="B690" s="112" t="str">
        <f>VLOOKUP('Informe Kelly'!A684,Base!A:G,7,FALSE)</f>
        <v>MUÑOZ BUGUEÑO MARCO</v>
      </c>
      <c r="C690" s="112" t="str">
        <f>'Informe Kelly'!E684</f>
        <v>09.04.2011</v>
      </c>
      <c r="D690" s="112" t="e">
        <f>VLOOKUP(A690,Ingreso!K:P,6,FALSE)</f>
        <v>#N/A</v>
      </c>
      <c r="E690" s="142" t="e">
        <f>(VLOOKUP(D690,$D$2:$E$4,2,FALSE))-(IF('Informe Kelly'!H684=$A$2,'Informe Kelly'!F684,VLOOKUP(D690,$D$2:$E$4,2,FALSE)))</f>
        <v>#N/A</v>
      </c>
      <c r="F690" s="142" t="e">
        <f>IF('Informe Kelly'!H684=$A$3,'Informe Kelly'!F684,VLOOKUP(D690,$D$2:$F$4,3,FALSE))-(VLOOKUP(D690,$D$2:$F$4,3,FALSE))</f>
        <v>#N/A</v>
      </c>
      <c r="G690" s="137" t="e">
        <f t="shared" si="14"/>
        <v>#N/A</v>
      </c>
    </row>
    <row r="691" spans="1:7">
      <c r="A691" s="112" t="str">
        <f>VLOOKUP('Informe Kelly'!A685,Base!A:B,2,FALSE)</f>
        <v>09.503.712-7</v>
      </c>
      <c r="B691" s="112" t="str">
        <f>VLOOKUP('Informe Kelly'!A685,Base!A:G,7,FALSE)</f>
        <v>ORTIZ  CONTRERAS,MANUEL</v>
      </c>
      <c r="C691" s="112" t="str">
        <f>'Informe Kelly'!E685</f>
        <v>04.04.2011</v>
      </c>
      <c r="D691" s="112" t="e">
        <f>VLOOKUP(A691,Ingreso!K:P,6,FALSE)</f>
        <v>#N/A</v>
      </c>
      <c r="E691" s="142" t="e">
        <f>(VLOOKUP(D691,$D$2:$E$4,2,FALSE))-(IF('Informe Kelly'!H685=$A$2,'Informe Kelly'!F685,VLOOKUP(D691,$D$2:$E$4,2,FALSE)))</f>
        <v>#N/A</v>
      </c>
      <c r="F691" s="142" t="e">
        <f>IF('Informe Kelly'!H685=$A$3,'Informe Kelly'!F685,VLOOKUP(D691,$D$2:$F$4,3,FALSE))-(VLOOKUP(D691,$D$2:$F$4,3,FALSE))</f>
        <v>#N/A</v>
      </c>
      <c r="G691" s="137" t="e">
        <f t="shared" si="14"/>
        <v>#N/A</v>
      </c>
    </row>
    <row r="692" spans="1:7">
      <c r="A692" s="112" t="str">
        <f>VLOOKUP('Informe Kelly'!A686,Base!A:B,2,FALSE)</f>
        <v>09.503.712-7</v>
      </c>
      <c r="B692" s="112" t="str">
        <f>VLOOKUP('Informe Kelly'!A686,Base!A:G,7,FALSE)</f>
        <v>ORTIZ  CONTRERAS,MANUEL</v>
      </c>
      <c r="C692" s="112" t="str">
        <f>'Informe Kelly'!E686</f>
        <v>04.04.2011</v>
      </c>
      <c r="D692" s="112" t="e">
        <f>VLOOKUP(A692,Ingreso!K:P,6,FALSE)</f>
        <v>#N/A</v>
      </c>
      <c r="E692" s="142" t="e">
        <f>(VLOOKUP(D692,$D$2:$E$4,2,FALSE))-(IF('Informe Kelly'!H686=$A$2,'Informe Kelly'!F686,VLOOKUP(D692,$D$2:$E$4,2,FALSE)))</f>
        <v>#N/A</v>
      </c>
      <c r="F692" s="142" t="e">
        <f>IF('Informe Kelly'!H686=$A$3,'Informe Kelly'!F686,VLOOKUP(D692,$D$2:$F$4,3,FALSE))-(VLOOKUP(D692,$D$2:$F$4,3,FALSE))</f>
        <v>#N/A</v>
      </c>
      <c r="G692" s="137" t="e">
        <f t="shared" si="14"/>
        <v>#N/A</v>
      </c>
    </row>
    <row r="693" spans="1:7">
      <c r="A693" s="112" t="str">
        <f>VLOOKUP('Informe Kelly'!A687,Base!A:B,2,FALSE)</f>
        <v>09.503.712-7</v>
      </c>
      <c r="B693" s="112" t="str">
        <f>VLOOKUP('Informe Kelly'!A687,Base!A:G,7,FALSE)</f>
        <v>ORTIZ  CONTRERAS,MANUEL</v>
      </c>
      <c r="C693" s="112" t="str">
        <f>'Informe Kelly'!E687</f>
        <v>05.04.2011</v>
      </c>
      <c r="D693" s="112" t="e">
        <f>VLOOKUP(A693,Ingreso!K:P,6,FALSE)</f>
        <v>#N/A</v>
      </c>
      <c r="E693" s="142" t="e">
        <f>(VLOOKUP(D693,$D$2:$E$4,2,FALSE))-(IF('Informe Kelly'!H687=$A$2,'Informe Kelly'!F687,VLOOKUP(D693,$D$2:$E$4,2,FALSE)))</f>
        <v>#N/A</v>
      </c>
      <c r="F693" s="142" t="e">
        <f>IF('Informe Kelly'!H687=$A$3,'Informe Kelly'!F687,VLOOKUP(D693,$D$2:$F$4,3,FALSE))-(VLOOKUP(D693,$D$2:$F$4,3,FALSE))</f>
        <v>#N/A</v>
      </c>
      <c r="G693" s="137" t="e">
        <f t="shared" si="14"/>
        <v>#N/A</v>
      </c>
    </row>
    <row r="694" spans="1:7">
      <c r="A694" s="112" t="str">
        <f>VLOOKUP('Informe Kelly'!A688,Base!A:B,2,FALSE)</f>
        <v>09.503.712-7</v>
      </c>
      <c r="B694" s="112" t="str">
        <f>VLOOKUP('Informe Kelly'!A688,Base!A:G,7,FALSE)</f>
        <v>ORTIZ  CONTRERAS,MANUEL</v>
      </c>
      <c r="C694" s="112" t="str">
        <f>'Informe Kelly'!E688</f>
        <v>05.04.2011</v>
      </c>
      <c r="D694" s="112" t="e">
        <f>VLOOKUP(A694,Ingreso!K:P,6,FALSE)</f>
        <v>#N/A</v>
      </c>
      <c r="E694" s="142" t="e">
        <f>(VLOOKUP(D694,$D$2:$E$4,2,FALSE))-(IF('Informe Kelly'!H688=$A$2,'Informe Kelly'!F688,VLOOKUP(D694,$D$2:$E$4,2,FALSE)))</f>
        <v>#N/A</v>
      </c>
      <c r="F694" s="142" t="e">
        <f>IF('Informe Kelly'!H688=$A$3,'Informe Kelly'!F688,VLOOKUP(D694,$D$2:$F$4,3,FALSE))-(VLOOKUP(D694,$D$2:$F$4,3,FALSE))</f>
        <v>#N/A</v>
      </c>
      <c r="G694" s="137" t="e">
        <f t="shared" si="14"/>
        <v>#N/A</v>
      </c>
    </row>
    <row r="695" spans="1:7">
      <c r="A695" s="112" t="str">
        <f>VLOOKUP('Informe Kelly'!A689,Base!A:B,2,FALSE)</f>
        <v>09.503.712-7</v>
      </c>
      <c r="B695" s="112" t="str">
        <f>VLOOKUP('Informe Kelly'!A689,Base!A:G,7,FALSE)</f>
        <v>ORTIZ  CONTRERAS,MANUEL</v>
      </c>
      <c r="C695" s="112" t="str">
        <f>'Informe Kelly'!E689</f>
        <v>06.04.2011</v>
      </c>
      <c r="D695" s="112" t="e">
        <f>VLOOKUP(A695,Ingreso!K:P,6,FALSE)</f>
        <v>#N/A</v>
      </c>
      <c r="E695" s="142" t="e">
        <f>(VLOOKUP(D695,$D$2:$E$4,2,FALSE))-(IF('Informe Kelly'!H689=$A$2,'Informe Kelly'!F689,VLOOKUP(D695,$D$2:$E$4,2,FALSE)))</f>
        <v>#N/A</v>
      </c>
      <c r="F695" s="142" t="e">
        <f>IF('Informe Kelly'!H689=$A$3,'Informe Kelly'!F689,VLOOKUP(D695,$D$2:$F$4,3,FALSE))-(VLOOKUP(D695,$D$2:$F$4,3,FALSE))</f>
        <v>#N/A</v>
      </c>
      <c r="G695" s="137" t="e">
        <f t="shared" si="14"/>
        <v>#N/A</v>
      </c>
    </row>
    <row r="696" spans="1:7">
      <c r="A696" s="112" t="str">
        <f>VLOOKUP('Informe Kelly'!A690,Base!A:B,2,FALSE)</f>
        <v>09.503.712-7</v>
      </c>
      <c r="B696" s="112" t="str">
        <f>VLOOKUP('Informe Kelly'!A690,Base!A:G,7,FALSE)</f>
        <v>ORTIZ  CONTRERAS,MANUEL</v>
      </c>
      <c r="C696" s="112" t="str">
        <f>'Informe Kelly'!E690</f>
        <v>06.04.2011</v>
      </c>
      <c r="D696" s="112" t="e">
        <f>VLOOKUP(A696,Ingreso!K:P,6,FALSE)</f>
        <v>#N/A</v>
      </c>
      <c r="E696" s="142" t="e">
        <f>(VLOOKUP(D696,$D$2:$E$4,2,FALSE))-(IF('Informe Kelly'!H690=$A$2,'Informe Kelly'!F690,VLOOKUP(D696,$D$2:$E$4,2,FALSE)))</f>
        <v>#N/A</v>
      </c>
      <c r="F696" s="142" t="e">
        <f>IF('Informe Kelly'!H690=$A$3,'Informe Kelly'!F690,VLOOKUP(D696,$D$2:$F$4,3,FALSE))-(VLOOKUP(D696,$D$2:$F$4,3,FALSE))</f>
        <v>#N/A</v>
      </c>
      <c r="G696" s="137" t="e">
        <f t="shared" si="14"/>
        <v>#N/A</v>
      </c>
    </row>
    <row r="697" spans="1:7">
      <c r="A697" s="112" t="str">
        <f>VLOOKUP('Informe Kelly'!A691,Base!A:B,2,FALSE)</f>
        <v>09.503.712-7</v>
      </c>
      <c r="B697" s="112" t="str">
        <f>VLOOKUP('Informe Kelly'!A691,Base!A:G,7,FALSE)</f>
        <v>ORTIZ  CONTRERAS,MANUEL</v>
      </c>
      <c r="C697" s="112" t="str">
        <f>'Informe Kelly'!E691</f>
        <v>07.04.2011</v>
      </c>
      <c r="D697" s="112" t="e">
        <f>VLOOKUP(A697,Ingreso!K:P,6,FALSE)</f>
        <v>#N/A</v>
      </c>
      <c r="E697" s="142" t="e">
        <f>(VLOOKUP(D697,$D$2:$E$4,2,FALSE))-(IF('Informe Kelly'!H691=$A$2,'Informe Kelly'!F691,VLOOKUP(D697,$D$2:$E$4,2,FALSE)))</f>
        <v>#N/A</v>
      </c>
      <c r="F697" s="142" t="e">
        <f>IF('Informe Kelly'!H691=$A$3,'Informe Kelly'!F691,VLOOKUP(D697,$D$2:$F$4,3,FALSE))-(VLOOKUP(D697,$D$2:$F$4,3,FALSE))</f>
        <v>#N/A</v>
      </c>
      <c r="G697" s="137" t="e">
        <f t="shared" si="14"/>
        <v>#N/A</v>
      </c>
    </row>
    <row r="698" spans="1:7">
      <c r="A698" s="112" t="str">
        <f>VLOOKUP('Informe Kelly'!A692,Base!A:B,2,FALSE)</f>
        <v>09.503.712-7</v>
      </c>
      <c r="B698" s="112" t="str">
        <f>VLOOKUP('Informe Kelly'!A692,Base!A:G,7,FALSE)</f>
        <v>ORTIZ  CONTRERAS,MANUEL</v>
      </c>
      <c r="C698" s="112" t="str">
        <f>'Informe Kelly'!E692</f>
        <v>07.04.2011</v>
      </c>
      <c r="D698" s="112" t="e">
        <f>VLOOKUP(A698,Ingreso!K:P,6,FALSE)</f>
        <v>#N/A</v>
      </c>
      <c r="E698" s="142" t="e">
        <f>(VLOOKUP(D698,$D$2:$E$4,2,FALSE))-(IF('Informe Kelly'!H692=$A$2,'Informe Kelly'!F692,VLOOKUP(D698,$D$2:$E$4,2,FALSE)))</f>
        <v>#N/A</v>
      </c>
      <c r="F698" s="142" t="e">
        <f>IF('Informe Kelly'!H692=$A$3,'Informe Kelly'!F692,VLOOKUP(D698,$D$2:$F$4,3,FALSE))-(VLOOKUP(D698,$D$2:$F$4,3,FALSE))</f>
        <v>#N/A</v>
      </c>
      <c r="G698" s="137" t="e">
        <f t="shared" si="14"/>
        <v>#N/A</v>
      </c>
    </row>
    <row r="699" spans="1:7">
      <c r="A699" s="112" t="str">
        <f>VLOOKUP('Informe Kelly'!A693,Base!A:B,2,FALSE)</f>
        <v>09.503.712-7</v>
      </c>
      <c r="B699" s="112" t="str">
        <f>VLOOKUP('Informe Kelly'!A693,Base!A:G,7,FALSE)</f>
        <v>ORTIZ  CONTRERAS,MANUEL</v>
      </c>
      <c r="C699" s="112" t="str">
        <f>'Informe Kelly'!E693</f>
        <v>08.04.2011</v>
      </c>
      <c r="D699" s="112" t="e">
        <f>VLOOKUP(A699,Ingreso!K:P,6,FALSE)</f>
        <v>#N/A</v>
      </c>
      <c r="E699" s="142" t="e">
        <f>(VLOOKUP(D699,$D$2:$E$4,2,FALSE))-(IF('Informe Kelly'!H693=$A$2,'Informe Kelly'!F693,VLOOKUP(D699,$D$2:$E$4,2,FALSE)))</f>
        <v>#N/A</v>
      </c>
      <c r="F699" s="142" t="e">
        <f>IF('Informe Kelly'!H693=$A$3,'Informe Kelly'!F693,VLOOKUP(D699,$D$2:$F$4,3,FALSE))-(VLOOKUP(D699,$D$2:$F$4,3,FALSE))</f>
        <v>#N/A</v>
      </c>
      <c r="G699" s="137" t="e">
        <f t="shared" si="14"/>
        <v>#N/A</v>
      </c>
    </row>
    <row r="700" spans="1:7">
      <c r="A700" s="112" t="str">
        <f>VLOOKUP('Informe Kelly'!A694,Base!A:B,2,FALSE)</f>
        <v>09.503.712-7</v>
      </c>
      <c r="B700" s="112" t="str">
        <f>VLOOKUP('Informe Kelly'!A694,Base!A:G,7,FALSE)</f>
        <v>ORTIZ  CONTRERAS,MANUEL</v>
      </c>
      <c r="C700" s="112" t="str">
        <f>'Informe Kelly'!E694</f>
        <v>08.04.2011</v>
      </c>
      <c r="D700" s="112" t="e">
        <f>VLOOKUP(A700,Ingreso!K:P,6,FALSE)</f>
        <v>#N/A</v>
      </c>
      <c r="E700" s="142" t="e">
        <f>(VLOOKUP(D700,$D$2:$E$4,2,FALSE))-(IF('Informe Kelly'!H694=$A$2,'Informe Kelly'!F694,VLOOKUP(D700,$D$2:$E$4,2,FALSE)))</f>
        <v>#N/A</v>
      </c>
      <c r="F700" s="142" t="e">
        <f>IF('Informe Kelly'!H694=$A$3,'Informe Kelly'!F694,VLOOKUP(D700,$D$2:$F$4,3,FALSE))-(VLOOKUP(D700,$D$2:$F$4,3,FALSE))</f>
        <v>#N/A</v>
      </c>
      <c r="G700" s="137" t="e">
        <f t="shared" si="14"/>
        <v>#N/A</v>
      </c>
    </row>
    <row r="701" spans="1:7">
      <c r="A701" s="112" t="str">
        <f>VLOOKUP('Informe Kelly'!A695,Base!A:B,2,FALSE)</f>
        <v>09.503.712-7</v>
      </c>
      <c r="B701" s="112" t="str">
        <f>VLOOKUP('Informe Kelly'!A695,Base!A:G,7,FALSE)</f>
        <v>ORTIZ  CONTRERAS,MANUEL</v>
      </c>
      <c r="C701" s="112" t="str">
        <f>'Informe Kelly'!E695</f>
        <v>09.04.2011</v>
      </c>
      <c r="D701" s="112" t="e">
        <f>VLOOKUP(A701,Ingreso!K:P,6,FALSE)</f>
        <v>#N/A</v>
      </c>
      <c r="E701" s="142" t="e">
        <f>(VLOOKUP(D701,$D$2:$E$4,2,FALSE))-(IF('Informe Kelly'!H695=$A$2,'Informe Kelly'!F695,VLOOKUP(D701,$D$2:$E$4,2,FALSE)))</f>
        <v>#N/A</v>
      </c>
      <c r="F701" s="142" t="e">
        <f>IF('Informe Kelly'!H695=$A$3,'Informe Kelly'!F695,VLOOKUP(D701,$D$2:$F$4,3,FALSE))-(VLOOKUP(D701,$D$2:$F$4,3,FALSE))</f>
        <v>#N/A</v>
      </c>
      <c r="G701" s="137" t="e">
        <f t="shared" si="14"/>
        <v>#N/A</v>
      </c>
    </row>
    <row r="702" spans="1:7">
      <c r="A702" s="112" t="str">
        <f>VLOOKUP('Informe Kelly'!A696,Base!A:B,2,FALSE)</f>
        <v>09.503.712-7</v>
      </c>
      <c r="B702" s="112" t="str">
        <f>VLOOKUP('Informe Kelly'!A696,Base!A:G,7,FALSE)</f>
        <v>ORTIZ  CONTRERAS,MANUEL</v>
      </c>
      <c r="C702" s="112" t="str">
        <f>'Informe Kelly'!E696</f>
        <v>09.04.2011</v>
      </c>
      <c r="D702" s="112" t="e">
        <f>VLOOKUP(A702,Ingreso!K:P,6,FALSE)</f>
        <v>#N/A</v>
      </c>
      <c r="E702" s="142" t="e">
        <f>(VLOOKUP(D702,$D$2:$E$4,2,FALSE))-(IF('Informe Kelly'!H696=$A$2,'Informe Kelly'!F696,VLOOKUP(D702,$D$2:$E$4,2,FALSE)))</f>
        <v>#N/A</v>
      </c>
      <c r="F702" s="142" t="e">
        <f>IF('Informe Kelly'!H696=$A$3,'Informe Kelly'!F696,VLOOKUP(D702,$D$2:$F$4,3,FALSE))-(VLOOKUP(D702,$D$2:$F$4,3,FALSE))</f>
        <v>#N/A</v>
      </c>
      <c r="G702" s="137" t="e">
        <f t="shared" si="14"/>
        <v>#N/A</v>
      </c>
    </row>
    <row r="703" spans="1:7">
      <c r="A703" s="112" t="str">
        <f>VLOOKUP('Informe Kelly'!A697,Base!A:B,2,FALSE)</f>
        <v>09.571.017-4</v>
      </c>
      <c r="B703" s="112" t="str">
        <f>VLOOKUP('Informe Kelly'!A697,Base!A:G,7,FALSE)</f>
        <v>GALLARDO CASTRO MIGUEL FRANCISCO</v>
      </c>
      <c r="C703" s="112" t="str">
        <f>'Informe Kelly'!E697</f>
        <v>04.04.2011</v>
      </c>
      <c r="D703" s="112" t="e">
        <f>VLOOKUP(A703,Ingreso!K:P,6,FALSE)</f>
        <v>#N/A</v>
      </c>
      <c r="E703" s="142" t="e">
        <f>(VLOOKUP(D703,$D$2:$E$4,2,FALSE))-(IF('Informe Kelly'!H697=$A$2,'Informe Kelly'!F697,VLOOKUP(D703,$D$2:$E$4,2,FALSE)))</f>
        <v>#N/A</v>
      </c>
      <c r="F703" s="142" t="e">
        <f>IF('Informe Kelly'!H697=$A$3,'Informe Kelly'!F697,VLOOKUP(D703,$D$2:$F$4,3,FALSE))-(VLOOKUP(D703,$D$2:$F$4,3,FALSE))</f>
        <v>#N/A</v>
      </c>
      <c r="G703" s="137" t="e">
        <f t="shared" si="14"/>
        <v>#N/A</v>
      </c>
    </row>
    <row r="704" spans="1:7">
      <c r="A704" s="112" t="str">
        <f>VLOOKUP('Informe Kelly'!A698,Base!A:B,2,FALSE)</f>
        <v>09.571.017-4</v>
      </c>
      <c r="B704" s="112" t="str">
        <f>VLOOKUP('Informe Kelly'!A698,Base!A:G,7,FALSE)</f>
        <v>GALLARDO CASTRO MIGUEL FRANCISCO</v>
      </c>
      <c r="C704" s="112" t="str">
        <f>'Informe Kelly'!E698</f>
        <v>04.04.2011</v>
      </c>
      <c r="D704" s="112" t="e">
        <f>VLOOKUP(A704,Ingreso!K:P,6,FALSE)</f>
        <v>#N/A</v>
      </c>
      <c r="E704" s="142" t="e">
        <f>(VLOOKUP(D704,$D$2:$E$4,2,FALSE))-(IF('Informe Kelly'!H698=$A$2,'Informe Kelly'!F698,VLOOKUP(D704,$D$2:$E$4,2,FALSE)))</f>
        <v>#N/A</v>
      </c>
      <c r="F704" s="142" t="e">
        <f>IF('Informe Kelly'!H698=$A$3,'Informe Kelly'!F698,VLOOKUP(D704,$D$2:$F$4,3,FALSE))-(VLOOKUP(D704,$D$2:$F$4,3,FALSE))</f>
        <v>#N/A</v>
      </c>
      <c r="G704" s="137" t="e">
        <f t="shared" si="14"/>
        <v>#N/A</v>
      </c>
    </row>
    <row r="705" spans="1:7">
      <c r="A705" s="112" t="str">
        <f>VLOOKUP('Informe Kelly'!A699,Base!A:B,2,FALSE)</f>
        <v>09.571.017-4</v>
      </c>
      <c r="B705" s="112" t="str">
        <f>VLOOKUP('Informe Kelly'!A699,Base!A:G,7,FALSE)</f>
        <v>GALLARDO CASTRO MIGUEL FRANCISCO</v>
      </c>
      <c r="C705" s="112" t="str">
        <f>'Informe Kelly'!E699</f>
        <v>05.04.2011</v>
      </c>
      <c r="D705" s="112" t="e">
        <f>VLOOKUP(A705,Ingreso!K:P,6,FALSE)</f>
        <v>#N/A</v>
      </c>
      <c r="E705" s="142" t="e">
        <f>(VLOOKUP(D705,$D$2:$E$4,2,FALSE))-(IF('Informe Kelly'!H699=$A$2,'Informe Kelly'!F699,VLOOKUP(D705,$D$2:$E$4,2,FALSE)))</f>
        <v>#N/A</v>
      </c>
      <c r="F705" s="142" t="e">
        <f>IF('Informe Kelly'!H699=$A$3,'Informe Kelly'!F699,VLOOKUP(D705,$D$2:$F$4,3,FALSE))-(VLOOKUP(D705,$D$2:$F$4,3,FALSE))</f>
        <v>#N/A</v>
      </c>
      <c r="G705" s="137" t="e">
        <f t="shared" si="14"/>
        <v>#N/A</v>
      </c>
    </row>
    <row r="706" spans="1:7">
      <c r="A706" s="112" t="str">
        <f>VLOOKUP('Informe Kelly'!A700,Base!A:B,2,FALSE)</f>
        <v>09.571.017-4</v>
      </c>
      <c r="B706" s="112" t="str">
        <f>VLOOKUP('Informe Kelly'!A700,Base!A:G,7,FALSE)</f>
        <v>GALLARDO CASTRO MIGUEL FRANCISCO</v>
      </c>
      <c r="C706" s="112" t="str">
        <f>'Informe Kelly'!E700</f>
        <v>05.04.2011</v>
      </c>
      <c r="D706" s="112" t="e">
        <f>VLOOKUP(A706,Ingreso!K:P,6,FALSE)</f>
        <v>#N/A</v>
      </c>
      <c r="E706" s="142" t="e">
        <f>(VLOOKUP(D706,$D$2:$E$4,2,FALSE))-(IF('Informe Kelly'!H700=$A$2,'Informe Kelly'!F700,VLOOKUP(D706,$D$2:$E$4,2,FALSE)))</f>
        <v>#N/A</v>
      </c>
      <c r="F706" s="142" t="e">
        <f>IF('Informe Kelly'!H700=$A$3,'Informe Kelly'!F700,VLOOKUP(D706,$D$2:$F$4,3,FALSE))-(VLOOKUP(D706,$D$2:$F$4,3,FALSE))</f>
        <v>#N/A</v>
      </c>
      <c r="G706" s="137" t="e">
        <f t="shared" si="14"/>
        <v>#N/A</v>
      </c>
    </row>
    <row r="707" spans="1:7">
      <c r="A707" s="112" t="str">
        <f>VLOOKUP('Informe Kelly'!A701,Base!A:B,2,FALSE)</f>
        <v>09.571.017-4</v>
      </c>
      <c r="B707" s="112" t="str">
        <f>VLOOKUP('Informe Kelly'!A701,Base!A:G,7,FALSE)</f>
        <v>GALLARDO CASTRO MIGUEL FRANCISCO</v>
      </c>
      <c r="C707" s="112" t="str">
        <f>'Informe Kelly'!E701</f>
        <v>06.04.2011</v>
      </c>
      <c r="D707" s="112" t="e">
        <f>VLOOKUP(A707,Ingreso!K:P,6,FALSE)</f>
        <v>#N/A</v>
      </c>
      <c r="E707" s="142" t="e">
        <f>(VLOOKUP(D707,$D$2:$E$4,2,FALSE))-(IF('Informe Kelly'!H701=$A$2,'Informe Kelly'!F701,VLOOKUP(D707,$D$2:$E$4,2,FALSE)))</f>
        <v>#N/A</v>
      </c>
      <c r="F707" s="142" t="e">
        <f>IF('Informe Kelly'!H701=$A$3,'Informe Kelly'!F701,VLOOKUP(D707,$D$2:$F$4,3,FALSE))-(VLOOKUP(D707,$D$2:$F$4,3,FALSE))</f>
        <v>#N/A</v>
      </c>
      <c r="G707" s="137" t="e">
        <f t="shared" si="14"/>
        <v>#N/A</v>
      </c>
    </row>
    <row r="708" spans="1:7">
      <c r="A708" s="112" t="str">
        <f>VLOOKUP('Informe Kelly'!A702,Base!A:B,2,FALSE)</f>
        <v>09.571.017-4</v>
      </c>
      <c r="B708" s="112" t="str">
        <f>VLOOKUP('Informe Kelly'!A702,Base!A:G,7,FALSE)</f>
        <v>GALLARDO CASTRO MIGUEL FRANCISCO</v>
      </c>
      <c r="C708" s="112" t="str">
        <f>'Informe Kelly'!E702</f>
        <v>06.04.2011</v>
      </c>
      <c r="D708" s="112" t="e">
        <f>VLOOKUP(A708,Ingreso!K:P,6,FALSE)</f>
        <v>#N/A</v>
      </c>
      <c r="E708" s="142" t="e">
        <f>(VLOOKUP(D708,$D$2:$E$4,2,FALSE))-(IF('Informe Kelly'!H702=$A$2,'Informe Kelly'!F702,VLOOKUP(D708,$D$2:$E$4,2,FALSE)))</f>
        <v>#N/A</v>
      </c>
      <c r="F708" s="142" t="e">
        <f>IF('Informe Kelly'!H702=$A$3,'Informe Kelly'!F702,VLOOKUP(D708,$D$2:$F$4,3,FALSE))-(VLOOKUP(D708,$D$2:$F$4,3,FALSE))</f>
        <v>#N/A</v>
      </c>
      <c r="G708" s="137" t="e">
        <f t="shared" si="14"/>
        <v>#N/A</v>
      </c>
    </row>
    <row r="709" spans="1:7">
      <c r="A709" s="112" t="str">
        <f>VLOOKUP('Informe Kelly'!A703,Base!A:B,2,FALSE)</f>
        <v>09.571.017-4</v>
      </c>
      <c r="B709" s="112" t="str">
        <f>VLOOKUP('Informe Kelly'!A703,Base!A:G,7,FALSE)</f>
        <v>GALLARDO CASTRO MIGUEL FRANCISCO</v>
      </c>
      <c r="C709" s="112" t="str">
        <f>'Informe Kelly'!E703</f>
        <v>07.04.2011</v>
      </c>
      <c r="D709" s="112" t="e">
        <f>VLOOKUP(A709,Ingreso!K:P,6,FALSE)</f>
        <v>#N/A</v>
      </c>
      <c r="E709" s="142" t="e">
        <f>(VLOOKUP(D709,$D$2:$E$4,2,FALSE))-(IF('Informe Kelly'!H703=$A$2,'Informe Kelly'!F703,VLOOKUP(D709,$D$2:$E$4,2,FALSE)))</f>
        <v>#N/A</v>
      </c>
      <c r="F709" s="142" t="e">
        <f>IF('Informe Kelly'!H703=$A$3,'Informe Kelly'!F703,VLOOKUP(D709,$D$2:$F$4,3,FALSE))-(VLOOKUP(D709,$D$2:$F$4,3,FALSE))</f>
        <v>#N/A</v>
      </c>
      <c r="G709" s="137" t="e">
        <f t="shared" si="14"/>
        <v>#N/A</v>
      </c>
    </row>
    <row r="710" spans="1:7">
      <c r="A710" s="112" t="str">
        <f>VLOOKUP('Informe Kelly'!A704,Base!A:B,2,FALSE)</f>
        <v>09.571.017-4</v>
      </c>
      <c r="B710" s="112" t="str">
        <f>VLOOKUP('Informe Kelly'!A704,Base!A:G,7,FALSE)</f>
        <v>GALLARDO CASTRO MIGUEL FRANCISCO</v>
      </c>
      <c r="C710" s="112" t="str">
        <f>'Informe Kelly'!E704</f>
        <v>07.04.2011</v>
      </c>
      <c r="D710" s="112" t="e">
        <f>VLOOKUP(A710,Ingreso!K:P,6,FALSE)</f>
        <v>#N/A</v>
      </c>
      <c r="E710" s="142" t="e">
        <f>(VLOOKUP(D710,$D$2:$E$4,2,FALSE))-(IF('Informe Kelly'!H704=$A$2,'Informe Kelly'!F704,VLOOKUP(D710,$D$2:$E$4,2,FALSE)))</f>
        <v>#N/A</v>
      </c>
      <c r="F710" s="142" t="e">
        <f>IF('Informe Kelly'!H704=$A$3,'Informe Kelly'!F704,VLOOKUP(D710,$D$2:$F$4,3,FALSE))-(VLOOKUP(D710,$D$2:$F$4,3,FALSE))</f>
        <v>#N/A</v>
      </c>
      <c r="G710" s="137" t="e">
        <f t="shared" si="14"/>
        <v>#N/A</v>
      </c>
    </row>
    <row r="711" spans="1:7">
      <c r="A711" s="112" t="str">
        <f>VLOOKUP('Informe Kelly'!A705,Base!A:B,2,FALSE)</f>
        <v>09.571.017-4</v>
      </c>
      <c r="B711" s="112" t="str">
        <f>VLOOKUP('Informe Kelly'!A705,Base!A:G,7,FALSE)</f>
        <v>GALLARDO CASTRO MIGUEL FRANCISCO</v>
      </c>
      <c r="C711" s="112" t="str">
        <f>'Informe Kelly'!E705</f>
        <v>08.04.2011</v>
      </c>
      <c r="D711" s="112" t="e">
        <f>VLOOKUP(A711,Ingreso!K:P,6,FALSE)</f>
        <v>#N/A</v>
      </c>
      <c r="E711" s="142" t="e">
        <f>(VLOOKUP(D711,$D$2:$E$4,2,FALSE))-(IF('Informe Kelly'!H705=$A$2,'Informe Kelly'!F705,VLOOKUP(D711,$D$2:$E$4,2,FALSE)))</f>
        <v>#N/A</v>
      </c>
      <c r="F711" s="142" t="e">
        <f>IF('Informe Kelly'!H705=$A$3,'Informe Kelly'!F705,VLOOKUP(D711,$D$2:$F$4,3,FALSE))-(VLOOKUP(D711,$D$2:$F$4,3,FALSE))</f>
        <v>#N/A</v>
      </c>
      <c r="G711" s="137" t="e">
        <f t="shared" si="14"/>
        <v>#N/A</v>
      </c>
    </row>
    <row r="712" spans="1:7">
      <c r="A712" s="112" t="str">
        <f>VLOOKUP('Informe Kelly'!A706,Base!A:B,2,FALSE)</f>
        <v>09.571.017-4</v>
      </c>
      <c r="B712" s="112" t="str">
        <f>VLOOKUP('Informe Kelly'!A706,Base!A:G,7,FALSE)</f>
        <v>GALLARDO CASTRO MIGUEL FRANCISCO</v>
      </c>
      <c r="C712" s="112" t="str">
        <f>'Informe Kelly'!E706</f>
        <v>08.04.2011</v>
      </c>
      <c r="D712" s="112" t="e">
        <f>VLOOKUP(A712,Ingreso!K:P,6,FALSE)</f>
        <v>#N/A</v>
      </c>
      <c r="E712" s="142" t="e">
        <f>(VLOOKUP(D712,$D$2:$E$4,2,FALSE))-(IF('Informe Kelly'!H706=$A$2,'Informe Kelly'!F706,VLOOKUP(D712,$D$2:$E$4,2,FALSE)))</f>
        <v>#N/A</v>
      </c>
      <c r="F712" s="142" t="e">
        <f>IF('Informe Kelly'!H706=$A$3,'Informe Kelly'!F706,VLOOKUP(D712,$D$2:$F$4,3,FALSE))-(VLOOKUP(D712,$D$2:$F$4,3,FALSE))</f>
        <v>#N/A</v>
      </c>
      <c r="G712" s="137" t="e">
        <f t="shared" si="14"/>
        <v>#N/A</v>
      </c>
    </row>
    <row r="713" spans="1:7">
      <c r="A713" s="112" t="str">
        <f>VLOOKUP('Informe Kelly'!A707,Base!A:B,2,FALSE)</f>
        <v>09.571.017-4</v>
      </c>
      <c r="B713" s="112" t="str">
        <f>VLOOKUP('Informe Kelly'!A707,Base!A:G,7,FALSE)</f>
        <v>GALLARDO CASTRO MIGUEL FRANCISCO</v>
      </c>
      <c r="C713" s="112" t="str">
        <f>'Informe Kelly'!E707</f>
        <v>09.04.2011</v>
      </c>
      <c r="D713" s="112" t="e">
        <f>VLOOKUP(A713,Ingreso!K:P,6,FALSE)</f>
        <v>#N/A</v>
      </c>
      <c r="E713" s="142" t="e">
        <f>(VLOOKUP(D713,$D$2:$E$4,2,FALSE))-(IF('Informe Kelly'!H707=$A$2,'Informe Kelly'!F707,VLOOKUP(D713,$D$2:$E$4,2,FALSE)))</f>
        <v>#N/A</v>
      </c>
      <c r="F713" s="142" t="e">
        <f>IF('Informe Kelly'!H707=$A$3,'Informe Kelly'!F707,VLOOKUP(D713,$D$2:$F$4,3,FALSE))-(VLOOKUP(D713,$D$2:$F$4,3,FALSE))</f>
        <v>#N/A</v>
      </c>
      <c r="G713" s="137" t="e">
        <f t="shared" ref="G713:G776" si="15">IF(E713="",IF(F713&lt;0.0409722222222222,0,E713),IF(E713&lt;0.0409722222222222,0,E713))</f>
        <v>#N/A</v>
      </c>
    </row>
    <row r="714" spans="1:7">
      <c r="A714" s="112" t="str">
        <f>VLOOKUP('Informe Kelly'!A708,Base!A:B,2,FALSE)</f>
        <v>09.571.017-4</v>
      </c>
      <c r="B714" s="112" t="str">
        <f>VLOOKUP('Informe Kelly'!A708,Base!A:G,7,FALSE)</f>
        <v>GALLARDO CASTRO MIGUEL FRANCISCO</v>
      </c>
      <c r="C714" s="112" t="str">
        <f>'Informe Kelly'!E708</f>
        <v>09.04.2011</v>
      </c>
      <c r="D714" s="112" t="e">
        <f>VLOOKUP(A714,Ingreso!K:P,6,FALSE)</f>
        <v>#N/A</v>
      </c>
      <c r="E714" s="142" t="e">
        <f>(VLOOKUP(D714,$D$2:$E$4,2,FALSE))-(IF('Informe Kelly'!H708=$A$2,'Informe Kelly'!F708,VLOOKUP(D714,$D$2:$E$4,2,FALSE)))</f>
        <v>#N/A</v>
      </c>
      <c r="F714" s="142" t="e">
        <f>IF('Informe Kelly'!H708=$A$3,'Informe Kelly'!F708,VLOOKUP(D714,$D$2:$F$4,3,FALSE))-(VLOOKUP(D714,$D$2:$F$4,3,FALSE))</f>
        <v>#N/A</v>
      </c>
      <c r="G714" s="137" t="e">
        <f t="shared" si="15"/>
        <v>#N/A</v>
      </c>
    </row>
    <row r="715" spans="1:7">
      <c r="A715" s="112" t="str">
        <f>VLOOKUP('Informe Kelly'!A709,Base!A:B,2,FALSE)</f>
        <v>09.613.720-6</v>
      </c>
      <c r="B715" s="112" t="str">
        <f>VLOOKUP('Informe Kelly'!A709,Base!A:G,7,FALSE)</f>
        <v xml:space="preserve">MUÑOZ GONZALEZ ANGELA </v>
      </c>
      <c r="C715" s="112" t="str">
        <f>'Informe Kelly'!E709</f>
        <v>04.04.2011</v>
      </c>
      <c r="D715" s="112" t="e">
        <f>VLOOKUP(A715,Ingreso!K:P,6,FALSE)</f>
        <v>#N/A</v>
      </c>
      <c r="E715" s="142" t="e">
        <f>(VLOOKUP(D715,$D$2:$E$4,2,FALSE))-(IF('Informe Kelly'!H709=$A$2,'Informe Kelly'!F709,VLOOKUP(D715,$D$2:$E$4,2,FALSE)))</f>
        <v>#N/A</v>
      </c>
      <c r="F715" s="142" t="e">
        <f>IF('Informe Kelly'!H709=$A$3,'Informe Kelly'!F709,VLOOKUP(D715,$D$2:$F$4,3,FALSE))-(VLOOKUP(D715,$D$2:$F$4,3,FALSE))</f>
        <v>#N/A</v>
      </c>
      <c r="G715" s="137" t="e">
        <f t="shared" si="15"/>
        <v>#N/A</v>
      </c>
    </row>
    <row r="716" spans="1:7">
      <c r="A716" s="112" t="str">
        <f>VLOOKUP('Informe Kelly'!A710,Base!A:B,2,FALSE)</f>
        <v>09.613.720-6</v>
      </c>
      <c r="B716" s="112" t="str">
        <f>VLOOKUP('Informe Kelly'!A710,Base!A:G,7,FALSE)</f>
        <v xml:space="preserve">MUÑOZ GONZALEZ ANGELA </v>
      </c>
      <c r="C716" s="112" t="str">
        <f>'Informe Kelly'!E710</f>
        <v>04.04.2011</v>
      </c>
      <c r="D716" s="112" t="e">
        <f>VLOOKUP(A716,Ingreso!K:P,6,FALSE)</f>
        <v>#N/A</v>
      </c>
      <c r="E716" s="142" t="e">
        <f>(VLOOKUP(D716,$D$2:$E$4,2,FALSE))-(IF('Informe Kelly'!H710=$A$2,'Informe Kelly'!F710,VLOOKUP(D716,$D$2:$E$4,2,FALSE)))</f>
        <v>#N/A</v>
      </c>
      <c r="F716" s="142" t="e">
        <f>IF('Informe Kelly'!H710=$A$3,'Informe Kelly'!F710,VLOOKUP(D716,$D$2:$F$4,3,FALSE))-(VLOOKUP(D716,$D$2:$F$4,3,FALSE))</f>
        <v>#N/A</v>
      </c>
      <c r="G716" s="137" t="e">
        <f t="shared" si="15"/>
        <v>#N/A</v>
      </c>
    </row>
    <row r="717" spans="1:7">
      <c r="A717" s="112" t="str">
        <f>VLOOKUP('Informe Kelly'!A711,Base!A:B,2,FALSE)</f>
        <v>09.613.720-6</v>
      </c>
      <c r="B717" s="112" t="str">
        <f>VLOOKUP('Informe Kelly'!A711,Base!A:G,7,FALSE)</f>
        <v xml:space="preserve">MUÑOZ GONZALEZ ANGELA </v>
      </c>
      <c r="C717" s="112" t="str">
        <f>'Informe Kelly'!E711</f>
        <v>05.04.2011</v>
      </c>
      <c r="D717" s="112" t="e">
        <f>VLOOKUP(A717,Ingreso!K:P,6,FALSE)</f>
        <v>#N/A</v>
      </c>
      <c r="E717" s="142" t="e">
        <f>(VLOOKUP(D717,$D$2:$E$4,2,FALSE))-(IF('Informe Kelly'!H711=$A$2,'Informe Kelly'!F711,VLOOKUP(D717,$D$2:$E$4,2,FALSE)))</f>
        <v>#N/A</v>
      </c>
      <c r="F717" s="142" t="e">
        <f>IF('Informe Kelly'!H711=$A$3,'Informe Kelly'!F711,VLOOKUP(D717,$D$2:$F$4,3,FALSE))-(VLOOKUP(D717,$D$2:$F$4,3,FALSE))</f>
        <v>#N/A</v>
      </c>
      <c r="G717" s="137" t="e">
        <f t="shared" si="15"/>
        <v>#N/A</v>
      </c>
    </row>
    <row r="718" spans="1:7">
      <c r="A718" s="112" t="str">
        <f>VLOOKUP('Informe Kelly'!A712,Base!A:B,2,FALSE)</f>
        <v>09.613.720-6</v>
      </c>
      <c r="B718" s="112" t="str">
        <f>VLOOKUP('Informe Kelly'!A712,Base!A:G,7,FALSE)</f>
        <v xml:space="preserve">MUÑOZ GONZALEZ ANGELA </v>
      </c>
      <c r="C718" s="112" t="str">
        <f>'Informe Kelly'!E712</f>
        <v>05.04.2011</v>
      </c>
      <c r="D718" s="112" t="e">
        <f>VLOOKUP(A718,Ingreso!K:P,6,FALSE)</f>
        <v>#N/A</v>
      </c>
      <c r="E718" s="142" t="e">
        <f>(VLOOKUP(D718,$D$2:$E$4,2,FALSE))-(IF('Informe Kelly'!H712=$A$2,'Informe Kelly'!F712,VLOOKUP(D718,$D$2:$E$4,2,FALSE)))</f>
        <v>#N/A</v>
      </c>
      <c r="F718" s="142" t="e">
        <f>IF('Informe Kelly'!H712=$A$3,'Informe Kelly'!F712,VLOOKUP(D718,$D$2:$F$4,3,FALSE))-(VLOOKUP(D718,$D$2:$F$4,3,FALSE))</f>
        <v>#N/A</v>
      </c>
      <c r="G718" s="137" t="e">
        <f t="shared" si="15"/>
        <v>#N/A</v>
      </c>
    </row>
    <row r="719" spans="1:7">
      <c r="A719" s="112" t="str">
        <f>VLOOKUP('Informe Kelly'!A713,Base!A:B,2,FALSE)</f>
        <v>09.613.720-6</v>
      </c>
      <c r="B719" s="112" t="str">
        <f>VLOOKUP('Informe Kelly'!A713,Base!A:G,7,FALSE)</f>
        <v xml:space="preserve">MUÑOZ GONZALEZ ANGELA </v>
      </c>
      <c r="C719" s="112" t="str">
        <f>'Informe Kelly'!E713</f>
        <v>06.04.2011</v>
      </c>
      <c r="D719" s="112" t="e">
        <f>VLOOKUP(A719,Ingreso!K:P,6,FALSE)</f>
        <v>#N/A</v>
      </c>
      <c r="E719" s="142" t="e">
        <f>(VLOOKUP(D719,$D$2:$E$4,2,FALSE))-(IF('Informe Kelly'!H713=$A$2,'Informe Kelly'!F713,VLOOKUP(D719,$D$2:$E$4,2,FALSE)))</f>
        <v>#N/A</v>
      </c>
      <c r="F719" s="142" t="e">
        <f>IF('Informe Kelly'!H713=$A$3,'Informe Kelly'!F713,VLOOKUP(D719,$D$2:$F$4,3,FALSE))-(VLOOKUP(D719,$D$2:$F$4,3,FALSE))</f>
        <v>#N/A</v>
      </c>
      <c r="G719" s="137" t="e">
        <f t="shared" si="15"/>
        <v>#N/A</v>
      </c>
    </row>
    <row r="720" spans="1:7">
      <c r="A720" s="112" t="str">
        <f>VLOOKUP('Informe Kelly'!A714,Base!A:B,2,FALSE)</f>
        <v>09.613.720-6</v>
      </c>
      <c r="B720" s="112" t="str">
        <f>VLOOKUP('Informe Kelly'!A714,Base!A:G,7,FALSE)</f>
        <v xml:space="preserve">MUÑOZ GONZALEZ ANGELA </v>
      </c>
      <c r="C720" s="112" t="str">
        <f>'Informe Kelly'!E714</f>
        <v>06.04.2011</v>
      </c>
      <c r="D720" s="112" t="e">
        <f>VLOOKUP(A720,Ingreso!K:P,6,FALSE)</f>
        <v>#N/A</v>
      </c>
      <c r="E720" s="142" t="e">
        <f>(VLOOKUP(D720,$D$2:$E$4,2,FALSE))-(IF('Informe Kelly'!H714=$A$2,'Informe Kelly'!F714,VLOOKUP(D720,$D$2:$E$4,2,FALSE)))</f>
        <v>#N/A</v>
      </c>
      <c r="F720" s="142" t="e">
        <f>IF('Informe Kelly'!H714=$A$3,'Informe Kelly'!F714,VLOOKUP(D720,$D$2:$F$4,3,FALSE))-(VLOOKUP(D720,$D$2:$F$4,3,FALSE))</f>
        <v>#N/A</v>
      </c>
      <c r="G720" s="137" t="e">
        <f t="shared" si="15"/>
        <v>#N/A</v>
      </c>
    </row>
    <row r="721" spans="1:7">
      <c r="A721" s="112" t="str">
        <f>VLOOKUP('Informe Kelly'!A715,Base!A:B,2,FALSE)</f>
        <v>09.613.720-6</v>
      </c>
      <c r="B721" s="112" t="str">
        <f>VLOOKUP('Informe Kelly'!A715,Base!A:G,7,FALSE)</f>
        <v xml:space="preserve">MUÑOZ GONZALEZ ANGELA </v>
      </c>
      <c r="C721" s="112" t="str">
        <f>'Informe Kelly'!E715</f>
        <v>07.04.2011</v>
      </c>
      <c r="D721" s="112" t="e">
        <f>VLOOKUP(A721,Ingreso!K:P,6,FALSE)</f>
        <v>#N/A</v>
      </c>
      <c r="E721" s="142" t="e">
        <f>(VLOOKUP(D721,$D$2:$E$4,2,FALSE))-(IF('Informe Kelly'!H715=$A$2,'Informe Kelly'!F715,VLOOKUP(D721,$D$2:$E$4,2,FALSE)))</f>
        <v>#N/A</v>
      </c>
      <c r="F721" s="142" t="e">
        <f>IF('Informe Kelly'!H715=$A$3,'Informe Kelly'!F715,VLOOKUP(D721,$D$2:$F$4,3,FALSE))-(VLOOKUP(D721,$D$2:$F$4,3,FALSE))</f>
        <v>#N/A</v>
      </c>
      <c r="G721" s="137" t="e">
        <f t="shared" si="15"/>
        <v>#N/A</v>
      </c>
    </row>
    <row r="722" spans="1:7">
      <c r="A722" s="112" t="str">
        <f>VLOOKUP('Informe Kelly'!A716,Base!A:B,2,FALSE)</f>
        <v>09.613.720-6</v>
      </c>
      <c r="B722" s="112" t="str">
        <f>VLOOKUP('Informe Kelly'!A716,Base!A:G,7,FALSE)</f>
        <v xml:space="preserve">MUÑOZ GONZALEZ ANGELA </v>
      </c>
      <c r="C722" s="112" t="str">
        <f>'Informe Kelly'!E716</f>
        <v>07.04.2011</v>
      </c>
      <c r="D722" s="112" t="e">
        <f>VLOOKUP(A722,Ingreso!K:P,6,FALSE)</f>
        <v>#N/A</v>
      </c>
      <c r="E722" s="142" t="e">
        <f>(VLOOKUP(D722,$D$2:$E$4,2,FALSE))-(IF('Informe Kelly'!H716=$A$2,'Informe Kelly'!F716,VLOOKUP(D722,$D$2:$E$4,2,FALSE)))</f>
        <v>#N/A</v>
      </c>
      <c r="F722" s="142" t="e">
        <f>IF('Informe Kelly'!H716=$A$3,'Informe Kelly'!F716,VLOOKUP(D722,$D$2:$F$4,3,FALSE))-(VLOOKUP(D722,$D$2:$F$4,3,FALSE))</f>
        <v>#N/A</v>
      </c>
      <c r="G722" s="137" t="e">
        <f t="shared" si="15"/>
        <v>#N/A</v>
      </c>
    </row>
    <row r="723" spans="1:7">
      <c r="A723" s="112" t="str">
        <f>VLOOKUP('Informe Kelly'!A717,Base!A:B,2,FALSE)</f>
        <v>09.613.720-6</v>
      </c>
      <c r="B723" s="112" t="str">
        <f>VLOOKUP('Informe Kelly'!A717,Base!A:G,7,FALSE)</f>
        <v xml:space="preserve">MUÑOZ GONZALEZ ANGELA </v>
      </c>
      <c r="C723" s="112" t="str">
        <f>'Informe Kelly'!E717</f>
        <v>08.04.2011</v>
      </c>
      <c r="D723" s="112" t="e">
        <f>VLOOKUP(A723,Ingreso!K:P,6,FALSE)</f>
        <v>#N/A</v>
      </c>
      <c r="E723" s="142" t="e">
        <f>(VLOOKUP(D723,$D$2:$E$4,2,FALSE))-(IF('Informe Kelly'!H717=$A$2,'Informe Kelly'!F717,VLOOKUP(D723,$D$2:$E$4,2,FALSE)))</f>
        <v>#N/A</v>
      </c>
      <c r="F723" s="142" t="e">
        <f>IF('Informe Kelly'!H717=$A$3,'Informe Kelly'!F717,VLOOKUP(D723,$D$2:$F$4,3,FALSE))-(VLOOKUP(D723,$D$2:$F$4,3,FALSE))</f>
        <v>#N/A</v>
      </c>
      <c r="G723" s="137" t="e">
        <f t="shared" si="15"/>
        <v>#N/A</v>
      </c>
    </row>
    <row r="724" spans="1:7">
      <c r="A724" s="112" t="str">
        <f>VLOOKUP('Informe Kelly'!A718,Base!A:B,2,FALSE)</f>
        <v>09.613.720-6</v>
      </c>
      <c r="B724" s="112" t="str">
        <f>VLOOKUP('Informe Kelly'!A718,Base!A:G,7,FALSE)</f>
        <v xml:space="preserve">MUÑOZ GONZALEZ ANGELA </v>
      </c>
      <c r="C724" s="112" t="str">
        <f>'Informe Kelly'!E718</f>
        <v>08.04.2011</v>
      </c>
      <c r="D724" s="112" t="e">
        <f>VLOOKUP(A724,Ingreso!K:P,6,FALSE)</f>
        <v>#N/A</v>
      </c>
      <c r="E724" s="142" t="e">
        <f>(VLOOKUP(D724,$D$2:$E$4,2,FALSE))-(IF('Informe Kelly'!H718=$A$2,'Informe Kelly'!F718,VLOOKUP(D724,$D$2:$E$4,2,FALSE)))</f>
        <v>#N/A</v>
      </c>
      <c r="F724" s="142" t="e">
        <f>IF('Informe Kelly'!H718=$A$3,'Informe Kelly'!F718,VLOOKUP(D724,$D$2:$F$4,3,FALSE))-(VLOOKUP(D724,$D$2:$F$4,3,FALSE))</f>
        <v>#N/A</v>
      </c>
      <c r="G724" s="137" t="e">
        <f t="shared" si="15"/>
        <v>#N/A</v>
      </c>
    </row>
    <row r="725" spans="1:7">
      <c r="A725" s="112" t="str">
        <f>VLOOKUP('Informe Kelly'!A719,Base!A:B,2,FALSE)</f>
        <v>09.613.720-6</v>
      </c>
      <c r="B725" s="112" t="str">
        <f>VLOOKUP('Informe Kelly'!A719,Base!A:G,7,FALSE)</f>
        <v xml:space="preserve">MUÑOZ GONZALEZ ANGELA </v>
      </c>
      <c r="C725" s="112" t="str">
        <f>'Informe Kelly'!E719</f>
        <v>09.04.2011</v>
      </c>
      <c r="D725" s="112" t="e">
        <f>VLOOKUP(A725,Ingreso!K:P,6,FALSE)</f>
        <v>#N/A</v>
      </c>
      <c r="E725" s="142" t="e">
        <f>(VLOOKUP(D725,$D$2:$E$4,2,FALSE))-(IF('Informe Kelly'!H719=$A$2,'Informe Kelly'!F719,VLOOKUP(D725,$D$2:$E$4,2,FALSE)))</f>
        <v>#N/A</v>
      </c>
      <c r="F725" s="142" t="e">
        <f>IF('Informe Kelly'!H719=$A$3,'Informe Kelly'!F719,VLOOKUP(D725,$D$2:$F$4,3,FALSE))-(VLOOKUP(D725,$D$2:$F$4,3,FALSE))</f>
        <v>#N/A</v>
      </c>
      <c r="G725" s="137" t="e">
        <f t="shared" si="15"/>
        <v>#N/A</v>
      </c>
    </row>
    <row r="726" spans="1:7">
      <c r="A726" s="112" t="str">
        <f>VLOOKUP('Informe Kelly'!A720,Base!A:B,2,FALSE)</f>
        <v>09.613.720-6</v>
      </c>
      <c r="B726" s="112" t="str">
        <f>VLOOKUP('Informe Kelly'!A720,Base!A:G,7,FALSE)</f>
        <v xml:space="preserve">MUÑOZ GONZALEZ ANGELA </v>
      </c>
      <c r="C726" s="112" t="str">
        <f>'Informe Kelly'!E720</f>
        <v>09.04.2011</v>
      </c>
      <c r="D726" s="112" t="e">
        <f>VLOOKUP(A726,Ingreso!K:P,6,FALSE)</f>
        <v>#N/A</v>
      </c>
      <c r="E726" s="142" t="e">
        <f>(VLOOKUP(D726,$D$2:$E$4,2,FALSE))-(IF('Informe Kelly'!H720=$A$2,'Informe Kelly'!F720,VLOOKUP(D726,$D$2:$E$4,2,FALSE)))</f>
        <v>#N/A</v>
      </c>
      <c r="F726" s="142" t="e">
        <f>IF('Informe Kelly'!H720=$A$3,'Informe Kelly'!F720,VLOOKUP(D726,$D$2:$F$4,3,FALSE))-(VLOOKUP(D726,$D$2:$F$4,3,FALSE))</f>
        <v>#N/A</v>
      </c>
      <c r="G726" s="137" t="e">
        <f t="shared" si="15"/>
        <v>#N/A</v>
      </c>
    </row>
    <row r="727" spans="1:7">
      <c r="A727" s="112" t="str">
        <f>VLOOKUP('Informe Kelly'!A721,Base!A:B,2,FALSE)</f>
        <v>09.741.880-2</v>
      </c>
      <c r="B727" s="112" t="str">
        <f>VLOOKUP('Informe Kelly'!A721,Base!A:G,7,FALSE)</f>
        <v>REINOSO SALAS LAURA CECILIA</v>
      </c>
      <c r="C727" s="112" t="str">
        <f>'Informe Kelly'!E721</f>
        <v>04.04.2011</v>
      </c>
      <c r="D727" s="112" t="e">
        <f>VLOOKUP(A727,Ingreso!K:P,6,FALSE)</f>
        <v>#N/A</v>
      </c>
      <c r="E727" s="142" t="e">
        <f>(VLOOKUP(D727,$D$2:$E$4,2,FALSE))-(IF('Informe Kelly'!H721=$A$2,'Informe Kelly'!F721,VLOOKUP(D727,$D$2:$E$4,2,FALSE)))</f>
        <v>#N/A</v>
      </c>
      <c r="F727" s="142" t="e">
        <f>IF('Informe Kelly'!H721=$A$3,'Informe Kelly'!F721,VLOOKUP(D727,$D$2:$F$4,3,FALSE))-(VLOOKUP(D727,$D$2:$F$4,3,FALSE))</f>
        <v>#N/A</v>
      </c>
      <c r="G727" s="137" t="e">
        <f t="shared" si="15"/>
        <v>#N/A</v>
      </c>
    </row>
    <row r="728" spans="1:7">
      <c r="A728" s="112" t="str">
        <f>VLOOKUP('Informe Kelly'!A722,Base!A:B,2,FALSE)</f>
        <v>09.741.880-2</v>
      </c>
      <c r="B728" s="112" t="str">
        <f>VLOOKUP('Informe Kelly'!A722,Base!A:G,7,FALSE)</f>
        <v>REINOSO SALAS LAURA CECILIA</v>
      </c>
      <c r="C728" s="112" t="str">
        <f>'Informe Kelly'!E722</f>
        <v>04.04.2011</v>
      </c>
      <c r="D728" s="112" t="e">
        <f>VLOOKUP(A728,Ingreso!K:P,6,FALSE)</f>
        <v>#N/A</v>
      </c>
      <c r="E728" s="142" t="e">
        <f>(VLOOKUP(D728,$D$2:$E$4,2,FALSE))-(IF('Informe Kelly'!H722=$A$2,'Informe Kelly'!F722,VLOOKUP(D728,$D$2:$E$4,2,FALSE)))</f>
        <v>#N/A</v>
      </c>
      <c r="F728" s="142" t="e">
        <f>IF('Informe Kelly'!H722=$A$3,'Informe Kelly'!F722,VLOOKUP(D728,$D$2:$F$4,3,FALSE))-(VLOOKUP(D728,$D$2:$F$4,3,FALSE))</f>
        <v>#N/A</v>
      </c>
      <c r="G728" s="137" t="e">
        <f t="shared" si="15"/>
        <v>#N/A</v>
      </c>
    </row>
    <row r="729" spans="1:7">
      <c r="A729" s="112" t="str">
        <f>VLOOKUP('Informe Kelly'!A723,Base!A:B,2,FALSE)</f>
        <v>09.741.880-2</v>
      </c>
      <c r="B729" s="112" t="str">
        <f>VLOOKUP('Informe Kelly'!A723,Base!A:G,7,FALSE)</f>
        <v>REINOSO SALAS LAURA CECILIA</v>
      </c>
      <c r="C729" s="112" t="str">
        <f>'Informe Kelly'!E723</f>
        <v>04.04.2011</v>
      </c>
      <c r="D729" s="112" t="e">
        <f>VLOOKUP(A729,Ingreso!K:P,6,FALSE)</f>
        <v>#N/A</v>
      </c>
      <c r="E729" s="142" t="e">
        <f>(VLOOKUP(D729,$D$2:$E$4,2,FALSE))-(IF('Informe Kelly'!H723=$A$2,'Informe Kelly'!F723,VLOOKUP(D729,$D$2:$E$4,2,FALSE)))</f>
        <v>#N/A</v>
      </c>
      <c r="F729" s="142" t="e">
        <f>IF('Informe Kelly'!H723=$A$3,'Informe Kelly'!F723,VLOOKUP(D729,$D$2:$F$4,3,FALSE))-(VLOOKUP(D729,$D$2:$F$4,3,FALSE))</f>
        <v>#N/A</v>
      </c>
      <c r="G729" s="137" t="e">
        <f t="shared" si="15"/>
        <v>#N/A</v>
      </c>
    </row>
    <row r="730" spans="1:7">
      <c r="A730" s="112" t="str">
        <f>VLOOKUP('Informe Kelly'!A724,Base!A:B,2,FALSE)</f>
        <v>09.741.880-2</v>
      </c>
      <c r="B730" s="112" t="str">
        <f>VLOOKUP('Informe Kelly'!A724,Base!A:G,7,FALSE)</f>
        <v>REINOSO SALAS LAURA CECILIA</v>
      </c>
      <c r="C730" s="112" t="str">
        <f>'Informe Kelly'!E724</f>
        <v>05.04.2011</v>
      </c>
      <c r="D730" s="112" t="e">
        <f>VLOOKUP(A730,Ingreso!K:P,6,FALSE)</f>
        <v>#N/A</v>
      </c>
      <c r="E730" s="142" t="e">
        <f>(VLOOKUP(D730,$D$2:$E$4,2,FALSE))-(IF('Informe Kelly'!H724=$A$2,'Informe Kelly'!F724,VLOOKUP(D730,$D$2:$E$4,2,FALSE)))</f>
        <v>#N/A</v>
      </c>
      <c r="F730" s="142" t="e">
        <f>IF('Informe Kelly'!H724=$A$3,'Informe Kelly'!F724,VLOOKUP(D730,$D$2:$F$4,3,FALSE))-(VLOOKUP(D730,$D$2:$F$4,3,FALSE))</f>
        <v>#N/A</v>
      </c>
      <c r="G730" s="137" t="e">
        <f t="shared" si="15"/>
        <v>#N/A</v>
      </c>
    </row>
    <row r="731" spans="1:7">
      <c r="A731" s="112" t="str">
        <f>VLOOKUP('Informe Kelly'!A725,Base!A:B,2,FALSE)</f>
        <v>09.741.880-2</v>
      </c>
      <c r="B731" s="112" t="str">
        <f>VLOOKUP('Informe Kelly'!A725,Base!A:G,7,FALSE)</f>
        <v>REINOSO SALAS LAURA CECILIA</v>
      </c>
      <c r="C731" s="112" t="str">
        <f>'Informe Kelly'!E725</f>
        <v>05.04.2011</v>
      </c>
      <c r="D731" s="112" t="e">
        <f>VLOOKUP(A731,Ingreso!K:P,6,FALSE)</f>
        <v>#N/A</v>
      </c>
      <c r="E731" s="142" t="e">
        <f>(VLOOKUP(D731,$D$2:$E$4,2,FALSE))-(IF('Informe Kelly'!H725=$A$2,'Informe Kelly'!F725,VLOOKUP(D731,$D$2:$E$4,2,FALSE)))</f>
        <v>#N/A</v>
      </c>
      <c r="F731" s="142" t="e">
        <f>IF('Informe Kelly'!H725=$A$3,'Informe Kelly'!F725,VLOOKUP(D731,$D$2:$F$4,3,FALSE))-(VLOOKUP(D731,$D$2:$F$4,3,FALSE))</f>
        <v>#N/A</v>
      </c>
      <c r="G731" s="137" t="e">
        <f t="shared" si="15"/>
        <v>#N/A</v>
      </c>
    </row>
    <row r="732" spans="1:7">
      <c r="A732" s="112" t="str">
        <f>VLOOKUP('Informe Kelly'!A726,Base!A:B,2,FALSE)</f>
        <v>09.741.880-2</v>
      </c>
      <c r="B732" s="112" t="str">
        <f>VLOOKUP('Informe Kelly'!A726,Base!A:G,7,FALSE)</f>
        <v>REINOSO SALAS LAURA CECILIA</v>
      </c>
      <c r="C732" s="112" t="str">
        <f>'Informe Kelly'!E726</f>
        <v>06.04.2011</v>
      </c>
      <c r="D732" s="112" t="e">
        <f>VLOOKUP(A732,Ingreso!K:P,6,FALSE)</f>
        <v>#N/A</v>
      </c>
      <c r="E732" s="142" t="e">
        <f>(VLOOKUP(D732,$D$2:$E$4,2,FALSE))-(IF('Informe Kelly'!H726=$A$2,'Informe Kelly'!F726,VLOOKUP(D732,$D$2:$E$4,2,FALSE)))</f>
        <v>#N/A</v>
      </c>
      <c r="F732" s="142" t="e">
        <f>IF('Informe Kelly'!H726=$A$3,'Informe Kelly'!F726,VLOOKUP(D732,$D$2:$F$4,3,FALSE))-(VLOOKUP(D732,$D$2:$F$4,3,FALSE))</f>
        <v>#N/A</v>
      </c>
      <c r="G732" s="137" t="e">
        <f t="shared" si="15"/>
        <v>#N/A</v>
      </c>
    </row>
    <row r="733" spans="1:7">
      <c r="A733" s="112" t="str">
        <f>VLOOKUP('Informe Kelly'!A727,Base!A:B,2,FALSE)</f>
        <v>09.741.880-2</v>
      </c>
      <c r="B733" s="112" t="str">
        <f>VLOOKUP('Informe Kelly'!A727,Base!A:G,7,FALSE)</f>
        <v>REINOSO SALAS LAURA CECILIA</v>
      </c>
      <c r="C733" s="112" t="str">
        <f>'Informe Kelly'!E727</f>
        <v>06.04.2011</v>
      </c>
      <c r="D733" s="112" t="e">
        <f>VLOOKUP(A733,Ingreso!K:P,6,FALSE)</f>
        <v>#N/A</v>
      </c>
      <c r="E733" s="142" t="e">
        <f>(VLOOKUP(D733,$D$2:$E$4,2,FALSE))-(IF('Informe Kelly'!H727=$A$2,'Informe Kelly'!F727,VLOOKUP(D733,$D$2:$E$4,2,FALSE)))</f>
        <v>#N/A</v>
      </c>
      <c r="F733" s="142" t="e">
        <f>IF('Informe Kelly'!H727=$A$3,'Informe Kelly'!F727,VLOOKUP(D733,$D$2:$F$4,3,FALSE))-(VLOOKUP(D733,$D$2:$F$4,3,FALSE))</f>
        <v>#N/A</v>
      </c>
      <c r="G733" s="137" t="e">
        <f t="shared" si="15"/>
        <v>#N/A</v>
      </c>
    </row>
    <row r="734" spans="1:7">
      <c r="A734" s="112" t="str">
        <f>VLOOKUP('Informe Kelly'!A728,Base!A:B,2,FALSE)</f>
        <v>09.741.880-2</v>
      </c>
      <c r="B734" s="112" t="str">
        <f>VLOOKUP('Informe Kelly'!A728,Base!A:G,7,FALSE)</f>
        <v>REINOSO SALAS LAURA CECILIA</v>
      </c>
      <c r="C734" s="112" t="str">
        <f>'Informe Kelly'!E728</f>
        <v>07.04.2011</v>
      </c>
      <c r="D734" s="112" t="e">
        <f>VLOOKUP(A734,Ingreso!K:P,6,FALSE)</f>
        <v>#N/A</v>
      </c>
      <c r="E734" s="142" t="e">
        <f>(VLOOKUP(D734,$D$2:$E$4,2,FALSE))-(IF('Informe Kelly'!H728=$A$2,'Informe Kelly'!F728,VLOOKUP(D734,$D$2:$E$4,2,FALSE)))</f>
        <v>#N/A</v>
      </c>
      <c r="F734" s="142" t="e">
        <f>IF('Informe Kelly'!H728=$A$3,'Informe Kelly'!F728,VLOOKUP(D734,$D$2:$F$4,3,FALSE))-(VLOOKUP(D734,$D$2:$F$4,3,FALSE))</f>
        <v>#N/A</v>
      </c>
      <c r="G734" s="137" t="e">
        <f t="shared" si="15"/>
        <v>#N/A</v>
      </c>
    </row>
    <row r="735" spans="1:7">
      <c r="A735" s="112" t="str">
        <f>VLOOKUP('Informe Kelly'!A729,Base!A:B,2,FALSE)</f>
        <v>09.741.880-2</v>
      </c>
      <c r="B735" s="112" t="str">
        <f>VLOOKUP('Informe Kelly'!A729,Base!A:G,7,FALSE)</f>
        <v>REINOSO SALAS LAURA CECILIA</v>
      </c>
      <c r="C735" s="112" t="str">
        <f>'Informe Kelly'!E729</f>
        <v>07.04.2011</v>
      </c>
      <c r="D735" s="112" t="e">
        <f>VLOOKUP(A735,Ingreso!K:P,6,FALSE)</f>
        <v>#N/A</v>
      </c>
      <c r="E735" s="142" t="e">
        <f>(VLOOKUP(D735,$D$2:$E$4,2,FALSE))-(IF('Informe Kelly'!H729=$A$2,'Informe Kelly'!F729,VLOOKUP(D735,$D$2:$E$4,2,FALSE)))</f>
        <v>#N/A</v>
      </c>
      <c r="F735" s="142" t="e">
        <f>IF('Informe Kelly'!H729=$A$3,'Informe Kelly'!F729,VLOOKUP(D735,$D$2:$F$4,3,FALSE))-(VLOOKUP(D735,$D$2:$F$4,3,FALSE))</f>
        <v>#N/A</v>
      </c>
      <c r="G735" s="137" t="e">
        <f t="shared" si="15"/>
        <v>#N/A</v>
      </c>
    </row>
    <row r="736" spans="1:7">
      <c r="A736" s="112" t="str">
        <f>VLOOKUP('Informe Kelly'!A730,Base!A:B,2,FALSE)</f>
        <v>09.741.880-2</v>
      </c>
      <c r="B736" s="112" t="str">
        <f>VLOOKUP('Informe Kelly'!A730,Base!A:G,7,FALSE)</f>
        <v>REINOSO SALAS LAURA CECILIA</v>
      </c>
      <c r="C736" s="112" t="str">
        <f>'Informe Kelly'!E730</f>
        <v>08.04.2011</v>
      </c>
      <c r="D736" s="112" t="e">
        <f>VLOOKUP(A736,Ingreso!K:P,6,FALSE)</f>
        <v>#N/A</v>
      </c>
      <c r="E736" s="142" t="e">
        <f>(VLOOKUP(D736,$D$2:$E$4,2,FALSE))-(IF('Informe Kelly'!H730=$A$2,'Informe Kelly'!F730,VLOOKUP(D736,$D$2:$E$4,2,FALSE)))</f>
        <v>#N/A</v>
      </c>
      <c r="F736" s="142" t="e">
        <f>IF('Informe Kelly'!H730=$A$3,'Informe Kelly'!F730,VLOOKUP(D736,$D$2:$F$4,3,FALSE))-(VLOOKUP(D736,$D$2:$F$4,3,FALSE))</f>
        <v>#N/A</v>
      </c>
      <c r="G736" s="137" t="e">
        <f t="shared" si="15"/>
        <v>#N/A</v>
      </c>
    </row>
    <row r="737" spans="1:7">
      <c r="A737" s="112" t="str">
        <f>VLOOKUP('Informe Kelly'!A731,Base!A:B,2,FALSE)</f>
        <v>09.741.880-2</v>
      </c>
      <c r="B737" s="112" t="str">
        <f>VLOOKUP('Informe Kelly'!A731,Base!A:G,7,FALSE)</f>
        <v>REINOSO SALAS LAURA CECILIA</v>
      </c>
      <c r="C737" s="112" t="str">
        <f>'Informe Kelly'!E731</f>
        <v>08.04.2011</v>
      </c>
      <c r="D737" s="112" t="e">
        <f>VLOOKUP(A737,Ingreso!K:P,6,FALSE)</f>
        <v>#N/A</v>
      </c>
      <c r="E737" s="142" t="e">
        <f>(VLOOKUP(D737,$D$2:$E$4,2,FALSE))-(IF('Informe Kelly'!H731=$A$2,'Informe Kelly'!F731,VLOOKUP(D737,$D$2:$E$4,2,FALSE)))</f>
        <v>#N/A</v>
      </c>
      <c r="F737" s="142" t="e">
        <f>IF('Informe Kelly'!H731=$A$3,'Informe Kelly'!F731,VLOOKUP(D737,$D$2:$F$4,3,FALSE))-(VLOOKUP(D737,$D$2:$F$4,3,FALSE))</f>
        <v>#N/A</v>
      </c>
      <c r="G737" s="137" t="e">
        <f t="shared" si="15"/>
        <v>#N/A</v>
      </c>
    </row>
    <row r="738" spans="1:7">
      <c r="A738" s="112" t="str">
        <f>VLOOKUP('Informe Kelly'!A732,Base!A:B,2,FALSE)</f>
        <v>09.741.880-2</v>
      </c>
      <c r="B738" s="112" t="str">
        <f>VLOOKUP('Informe Kelly'!A732,Base!A:G,7,FALSE)</f>
        <v>REINOSO SALAS LAURA CECILIA</v>
      </c>
      <c r="C738" s="112" t="str">
        <f>'Informe Kelly'!E732</f>
        <v>09.04.2011</v>
      </c>
      <c r="D738" s="112" t="e">
        <f>VLOOKUP(A738,Ingreso!K:P,6,FALSE)</f>
        <v>#N/A</v>
      </c>
      <c r="E738" s="142" t="e">
        <f>(VLOOKUP(D738,$D$2:$E$4,2,FALSE))-(IF('Informe Kelly'!H732=$A$2,'Informe Kelly'!F732,VLOOKUP(D738,$D$2:$E$4,2,FALSE)))</f>
        <v>#N/A</v>
      </c>
      <c r="F738" s="142" t="e">
        <f>IF('Informe Kelly'!H732=$A$3,'Informe Kelly'!F732,VLOOKUP(D738,$D$2:$F$4,3,FALSE))-(VLOOKUP(D738,$D$2:$F$4,3,FALSE))</f>
        <v>#N/A</v>
      </c>
      <c r="G738" s="137" t="e">
        <f t="shared" si="15"/>
        <v>#N/A</v>
      </c>
    </row>
    <row r="739" spans="1:7">
      <c r="A739" s="112" t="str">
        <f>VLOOKUP('Informe Kelly'!A733,Base!A:B,2,FALSE)</f>
        <v>09.741.880-2</v>
      </c>
      <c r="B739" s="112" t="str">
        <f>VLOOKUP('Informe Kelly'!A733,Base!A:G,7,FALSE)</f>
        <v>REINOSO SALAS LAURA CECILIA</v>
      </c>
      <c r="C739" s="112" t="str">
        <f>'Informe Kelly'!E733</f>
        <v>09.04.2011</v>
      </c>
      <c r="D739" s="112" t="e">
        <f>VLOOKUP(A739,Ingreso!K:P,6,FALSE)</f>
        <v>#N/A</v>
      </c>
      <c r="E739" s="142" t="e">
        <f>(VLOOKUP(D739,$D$2:$E$4,2,FALSE))-(IF('Informe Kelly'!H733=$A$2,'Informe Kelly'!F733,VLOOKUP(D739,$D$2:$E$4,2,FALSE)))</f>
        <v>#N/A</v>
      </c>
      <c r="F739" s="142" t="e">
        <f>IF('Informe Kelly'!H733=$A$3,'Informe Kelly'!F733,VLOOKUP(D739,$D$2:$F$4,3,FALSE))-(VLOOKUP(D739,$D$2:$F$4,3,FALSE))</f>
        <v>#N/A</v>
      </c>
      <c r="G739" s="137" t="e">
        <f t="shared" si="15"/>
        <v>#N/A</v>
      </c>
    </row>
    <row r="740" spans="1:7">
      <c r="A740" s="112" t="str">
        <f>VLOOKUP('Informe Kelly'!A734,Base!A:B,2,FALSE)</f>
        <v>09.748.915-7</v>
      </c>
      <c r="B740" s="112" t="str">
        <f>VLOOKUP('Informe Kelly'!A734,Base!A:G,7,FALSE)</f>
        <v>HERNANDEZ FLORES VICTOR MANUEL</v>
      </c>
      <c r="C740" s="112" t="str">
        <f>'Informe Kelly'!E734</f>
        <v>04.04.2011</v>
      </c>
      <c r="D740" s="112" t="e">
        <f>VLOOKUP(A740,Ingreso!K:P,6,FALSE)</f>
        <v>#N/A</v>
      </c>
      <c r="E740" s="142" t="e">
        <f>(VLOOKUP(D740,$D$2:$E$4,2,FALSE))-(IF('Informe Kelly'!H734=$A$2,'Informe Kelly'!F734,VLOOKUP(D740,$D$2:$E$4,2,FALSE)))</f>
        <v>#N/A</v>
      </c>
      <c r="F740" s="142" t="e">
        <f>IF('Informe Kelly'!H734=$A$3,'Informe Kelly'!F734,VLOOKUP(D740,$D$2:$F$4,3,FALSE))-(VLOOKUP(D740,$D$2:$F$4,3,FALSE))</f>
        <v>#N/A</v>
      </c>
      <c r="G740" s="137" t="e">
        <f t="shared" si="15"/>
        <v>#N/A</v>
      </c>
    </row>
    <row r="741" spans="1:7">
      <c r="A741" s="112" t="str">
        <f>VLOOKUP('Informe Kelly'!A735,Base!A:B,2,FALSE)</f>
        <v>09.748.915-7</v>
      </c>
      <c r="B741" s="112" t="str">
        <f>VLOOKUP('Informe Kelly'!A735,Base!A:G,7,FALSE)</f>
        <v>HERNANDEZ FLORES VICTOR MANUEL</v>
      </c>
      <c r="C741" s="112" t="str">
        <f>'Informe Kelly'!E735</f>
        <v>04.04.2011</v>
      </c>
      <c r="D741" s="112" t="e">
        <f>VLOOKUP(A741,Ingreso!K:P,6,FALSE)</f>
        <v>#N/A</v>
      </c>
      <c r="E741" s="142" t="e">
        <f>(VLOOKUP(D741,$D$2:$E$4,2,FALSE))-(IF('Informe Kelly'!H735=$A$2,'Informe Kelly'!F735,VLOOKUP(D741,$D$2:$E$4,2,FALSE)))</f>
        <v>#N/A</v>
      </c>
      <c r="F741" s="142" t="e">
        <f>IF('Informe Kelly'!H735=$A$3,'Informe Kelly'!F735,VLOOKUP(D741,$D$2:$F$4,3,FALSE))-(VLOOKUP(D741,$D$2:$F$4,3,FALSE))</f>
        <v>#N/A</v>
      </c>
      <c r="G741" s="137" t="e">
        <f t="shared" si="15"/>
        <v>#N/A</v>
      </c>
    </row>
    <row r="742" spans="1:7">
      <c r="A742" s="112" t="str">
        <f>VLOOKUP('Informe Kelly'!A736,Base!A:B,2,FALSE)</f>
        <v>09.748.915-7</v>
      </c>
      <c r="B742" s="112" t="str">
        <f>VLOOKUP('Informe Kelly'!A736,Base!A:G,7,FALSE)</f>
        <v>HERNANDEZ FLORES VICTOR MANUEL</v>
      </c>
      <c r="C742" s="112" t="str">
        <f>'Informe Kelly'!E736</f>
        <v>05.04.2011</v>
      </c>
      <c r="D742" s="112" t="e">
        <f>VLOOKUP(A742,Ingreso!K:P,6,FALSE)</f>
        <v>#N/A</v>
      </c>
      <c r="E742" s="142" t="e">
        <f>(VLOOKUP(D742,$D$2:$E$4,2,FALSE))-(IF('Informe Kelly'!H736=$A$2,'Informe Kelly'!F736,VLOOKUP(D742,$D$2:$E$4,2,FALSE)))</f>
        <v>#N/A</v>
      </c>
      <c r="F742" s="142" t="e">
        <f>IF('Informe Kelly'!H736=$A$3,'Informe Kelly'!F736,VLOOKUP(D742,$D$2:$F$4,3,FALSE))-(VLOOKUP(D742,$D$2:$F$4,3,FALSE))</f>
        <v>#N/A</v>
      </c>
      <c r="G742" s="137" t="e">
        <f t="shared" si="15"/>
        <v>#N/A</v>
      </c>
    </row>
    <row r="743" spans="1:7">
      <c r="A743" s="112" t="str">
        <f>VLOOKUP('Informe Kelly'!A737,Base!A:B,2,FALSE)</f>
        <v>09.748.915-7</v>
      </c>
      <c r="B743" s="112" t="str">
        <f>VLOOKUP('Informe Kelly'!A737,Base!A:G,7,FALSE)</f>
        <v>HERNANDEZ FLORES VICTOR MANUEL</v>
      </c>
      <c r="C743" s="112" t="str">
        <f>'Informe Kelly'!E737</f>
        <v>05.04.2011</v>
      </c>
      <c r="D743" s="112" t="e">
        <f>VLOOKUP(A743,Ingreso!K:P,6,FALSE)</f>
        <v>#N/A</v>
      </c>
      <c r="E743" s="142" t="e">
        <f>(VLOOKUP(D743,$D$2:$E$4,2,FALSE))-(IF('Informe Kelly'!H737=$A$2,'Informe Kelly'!F737,VLOOKUP(D743,$D$2:$E$4,2,FALSE)))</f>
        <v>#N/A</v>
      </c>
      <c r="F743" s="142" t="e">
        <f>IF('Informe Kelly'!H737=$A$3,'Informe Kelly'!F737,VLOOKUP(D743,$D$2:$F$4,3,FALSE))-(VLOOKUP(D743,$D$2:$F$4,3,FALSE))</f>
        <v>#N/A</v>
      </c>
      <c r="G743" s="137" t="e">
        <f t="shared" si="15"/>
        <v>#N/A</v>
      </c>
    </row>
    <row r="744" spans="1:7">
      <c r="A744" s="112" t="str">
        <f>VLOOKUP('Informe Kelly'!A738,Base!A:B,2,FALSE)</f>
        <v>09.748.915-7</v>
      </c>
      <c r="B744" s="112" t="str">
        <f>VLOOKUP('Informe Kelly'!A738,Base!A:G,7,FALSE)</f>
        <v>HERNANDEZ FLORES VICTOR MANUEL</v>
      </c>
      <c r="C744" s="112" t="str">
        <f>'Informe Kelly'!E738</f>
        <v>06.04.2011</v>
      </c>
      <c r="D744" s="112" t="e">
        <f>VLOOKUP(A744,Ingreso!K:P,6,FALSE)</f>
        <v>#N/A</v>
      </c>
      <c r="E744" s="142" t="e">
        <f>(VLOOKUP(D744,$D$2:$E$4,2,FALSE))-(IF('Informe Kelly'!H738=$A$2,'Informe Kelly'!F738,VLOOKUP(D744,$D$2:$E$4,2,FALSE)))</f>
        <v>#N/A</v>
      </c>
      <c r="F744" s="142" t="e">
        <f>IF('Informe Kelly'!H738=$A$3,'Informe Kelly'!F738,VLOOKUP(D744,$D$2:$F$4,3,FALSE))-(VLOOKUP(D744,$D$2:$F$4,3,FALSE))</f>
        <v>#N/A</v>
      </c>
      <c r="G744" s="137" t="e">
        <f t="shared" si="15"/>
        <v>#N/A</v>
      </c>
    </row>
    <row r="745" spans="1:7">
      <c r="A745" s="112" t="str">
        <f>VLOOKUP('Informe Kelly'!A739,Base!A:B,2,FALSE)</f>
        <v>09.748.915-7</v>
      </c>
      <c r="B745" s="112" t="str">
        <f>VLOOKUP('Informe Kelly'!A739,Base!A:G,7,FALSE)</f>
        <v>HERNANDEZ FLORES VICTOR MANUEL</v>
      </c>
      <c r="C745" s="112" t="str">
        <f>'Informe Kelly'!E739</f>
        <v>06.04.2011</v>
      </c>
      <c r="D745" s="112" t="e">
        <f>VLOOKUP(A745,Ingreso!K:P,6,FALSE)</f>
        <v>#N/A</v>
      </c>
      <c r="E745" s="142" t="e">
        <f>(VLOOKUP(D745,$D$2:$E$4,2,FALSE))-(IF('Informe Kelly'!H739=$A$2,'Informe Kelly'!F739,VLOOKUP(D745,$D$2:$E$4,2,FALSE)))</f>
        <v>#N/A</v>
      </c>
      <c r="F745" s="142" t="e">
        <f>IF('Informe Kelly'!H739=$A$3,'Informe Kelly'!F739,VLOOKUP(D745,$D$2:$F$4,3,FALSE))-(VLOOKUP(D745,$D$2:$F$4,3,FALSE))</f>
        <v>#N/A</v>
      </c>
      <c r="G745" s="137" t="e">
        <f t="shared" si="15"/>
        <v>#N/A</v>
      </c>
    </row>
    <row r="746" spans="1:7">
      <c r="A746" s="112" t="str">
        <f>VLOOKUP('Informe Kelly'!A740,Base!A:B,2,FALSE)</f>
        <v>09.748.915-7</v>
      </c>
      <c r="B746" s="112" t="str">
        <f>VLOOKUP('Informe Kelly'!A740,Base!A:G,7,FALSE)</f>
        <v>HERNANDEZ FLORES VICTOR MANUEL</v>
      </c>
      <c r="C746" s="112" t="str">
        <f>'Informe Kelly'!E740</f>
        <v>06.04.2011</v>
      </c>
      <c r="D746" s="112" t="e">
        <f>VLOOKUP(A746,Ingreso!K:P,6,FALSE)</f>
        <v>#N/A</v>
      </c>
      <c r="E746" s="142" t="e">
        <f>(VLOOKUP(D746,$D$2:$E$4,2,FALSE))-(IF('Informe Kelly'!H740=$A$2,'Informe Kelly'!F740,VLOOKUP(D746,$D$2:$E$4,2,FALSE)))</f>
        <v>#N/A</v>
      </c>
      <c r="F746" s="142" t="e">
        <f>IF('Informe Kelly'!H740=$A$3,'Informe Kelly'!F740,VLOOKUP(D746,$D$2:$F$4,3,FALSE))-(VLOOKUP(D746,$D$2:$F$4,3,FALSE))</f>
        <v>#N/A</v>
      </c>
      <c r="G746" s="137" t="e">
        <f t="shared" si="15"/>
        <v>#N/A</v>
      </c>
    </row>
    <row r="747" spans="1:7">
      <c r="A747" s="112" t="str">
        <f>VLOOKUP('Informe Kelly'!A741,Base!A:B,2,FALSE)</f>
        <v>09.748.915-7</v>
      </c>
      <c r="B747" s="112" t="str">
        <f>VLOOKUP('Informe Kelly'!A741,Base!A:G,7,FALSE)</f>
        <v>HERNANDEZ FLORES VICTOR MANUEL</v>
      </c>
      <c r="C747" s="112" t="str">
        <f>'Informe Kelly'!E741</f>
        <v>07.04.2011</v>
      </c>
      <c r="D747" s="112" t="e">
        <f>VLOOKUP(A747,Ingreso!K:P,6,FALSE)</f>
        <v>#N/A</v>
      </c>
      <c r="E747" s="142" t="e">
        <f>(VLOOKUP(D747,$D$2:$E$4,2,FALSE))-(IF('Informe Kelly'!H741=$A$2,'Informe Kelly'!F741,VLOOKUP(D747,$D$2:$E$4,2,FALSE)))</f>
        <v>#N/A</v>
      </c>
      <c r="F747" s="142" t="e">
        <f>IF('Informe Kelly'!H741=$A$3,'Informe Kelly'!F741,VLOOKUP(D747,$D$2:$F$4,3,FALSE))-(VLOOKUP(D747,$D$2:$F$4,3,FALSE))</f>
        <v>#N/A</v>
      </c>
      <c r="G747" s="137" t="e">
        <f t="shared" si="15"/>
        <v>#N/A</v>
      </c>
    </row>
    <row r="748" spans="1:7">
      <c r="A748" s="112" t="str">
        <f>VLOOKUP('Informe Kelly'!A742,Base!A:B,2,FALSE)</f>
        <v>09.748.915-7</v>
      </c>
      <c r="B748" s="112" t="str">
        <f>VLOOKUP('Informe Kelly'!A742,Base!A:G,7,FALSE)</f>
        <v>HERNANDEZ FLORES VICTOR MANUEL</v>
      </c>
      <c r="C748" s="112" t="str">
        <f>'Informe Kelly'!E742</f>
        <v>07.04.2011</v>
      </c>
      <c r="D748" s="112" t="e">
        <f>VLOOKUP(A748,Ingreso!K:P,6,FALSE)</f>
        <v>#N/A</v>
      </c>
      <c r="E748" s="142" t="e">
        <f>(VLOOKUP(D748,$D$2:$E$4,2,FALSE))-(IF('Informe Kelly'!H742=$A$2,'Informe Kelly'!F742,VLOOKUP(D748,$D$2:$E$4,2,FALSE)))</f>
        <v>#N/A</v>
      </c>
      <c r="F748" s="142" t="e">
        <f>IF('Informe Kelly'!H742=$A$3,'Informe Kelly'!F742,VLOOKUP(D748,$D$2:$F$4,3,FALSE))-(VLOOKUP(D748,$D$2:$F$4,3,FALSE))</f>
        <v>#N/A</v>
      </c>
      <c r="G748" s="137" t="e">
        <f t="shared" si="15"/>
        <v>#N/A</v>
      </c>
    </row>
    <row r="749" spans="1:7">
      <c r="A749" s="112" t="str">
        <f>VLOOKUP('Informe Kelly'!A743,Base!A:B,2,FALSE)</f>
        <v>09.748.915-7</v>
      </c>
      <c r="B749" s="112" t="str">
        <f>VLOOKUP('Informe Kelly'!A743,Base!A:G,7,FALSE)</f>
        <v>HERNANDEZ FLORES VICTOR MANUEL</v>
      </c>
      <c r="C749" s="112" t="str">
        <f>'Informe Kelly'!E743</f>
        <v>08.04.2011</v>
      </c>
      <c r="D749" s="112" t="e">
        <f>VLOOKUP(A749,Ingreso!K:P,6,FALSE)</f>
        <v>#N/A</v>
      </c>
      <c r="E749" s="142" t="e">
        <f>(VLOOKUP(D749,$D$2:$E$4,2,FALSE))-(IF('Informe Kelly'!H743=$A$2,'Informe Kelly'!F743,VLOOKUP(D749,$D$2:$E$4,2,FALSE)))</f>
        <v>#N/A</v>
      </c>
      <c r="F749" s="142" t="e">
        <f>IF('Informe Kelly'!H743=$A$3,'Informe Kelly'!F743,VLOOKUP(D749,$D$2:$F$4,3,FALSE))-(VLOOKUP(D749,$D$2:$F$4,3,FALSE))</f>
        <v>#N/A</v>
      </c>
      <c r="G749" s="137" t="e">
        <f t="shared" si="15"/>
        <v>#N/A</v>
      </c>
    </row>
    <row r="750" spans="1:7">
      <c r="A750" s="112" t="str">
        <f>VLOOKUP('Informe Kelly'!A744,Base!A:B,2,FALSE)</f>
        <v>09.748.915-7</v>
      </c>
      <c r="B750" s="112" t="str">
        <f>VLOOKUP('Informe Kelly'!A744,Base!A:G,7,FALSE)</f>
        <v>HERNANDEZ FLORES VICTOR MANUEL</v>
      </c>
      <c r="C750" s="112" t="str">
        <f>'Informe Kelly'!E744</f>
        <v>08.04.2011</v>
      </c>
      <c r="D750" s="112" t="e">
        <f>VLOOKUP(A750,Ingreso!K:P,6,FALSE)</f>
        <v>#N/A</v>
      </c>
      <c r="E750" s="142" t="e">
        <f>(VLOOKUP(D750,$D$2:$E$4,2,FALSE))-(IF('Informe Kelly'!H744=$A$2,'Informe Kelly'!F744,VLOOKUP(D750,$D$2:$E$4,2,FALSE)))</f>
        <v>#N/A</v>
      </c>
      <c r="F750" s="142" t="e">
        <f>IF('Informe Kelly'!H744=$A$3,'Informe Kelly'!F744,VLOOKUP(D750,$D$2:$F$4,3,FALSE))-(VLOOKUP(D750,$D$2:$F$4,3,FALSE))</f>
        <v>#N/A</v>
      </c>
      <c r="G750" s="137" t="e">
        <f t="shared" si="15"/>
        <v>#N/A</v>
      </c>
    </row>
    <row r="751" spans="1:7">
      <c r="A751" s="112" t="str">
        <f>VLOOKUP('Informe Kelly'!A745,Base!A:B,2,FALSE)</f>
        <v>09.748.915-7</v>
      </c>
      <c r="B751" s="112" t="str">
        <f>VLOOKUP('Informe Kelly'!A745,Base!A:G,7,FALSE)</f>
        <v>HERNANDEZ FLORES VICTOR MANUEL</v>
      </c>
      <c r="C751" s="112" t="str">
        <f>'Informe Kelly'!E745</f>
        <v>09.04.2011</v>
      </c>
      <c r="D751" s="112" t="e">
        <f>VLOOKUP(A751,Ingreso!K:P,6,FALSE)</f>
        <v>#N/A</v>
      </c>
      <c r="E751" s="142" t="e">
        <f>(VLOOKUP(D751,$D$2:$E$4,2,FALSE))-(IF('Informe Kelly'!H745=$A$2,'Informe Kelly'!F745,VLOOKUP(D751,$D$2:$E$4,2,FALSE)))</f>
        <v>#N/A</v>
      </c>
      <c r="F751" s="142" t="e">
        <f>IF('Informe Kelly'!H745=$A$3,'Informe Kelly'!F745,VLOOKUP(D751,$D$2:$F$4,3,FALSE))-(VLOOKUP(D751,$D$2:$F$4,3,FALSE))</f>
        <v>#N/A</v>
      </c>
      <c r="G751" s="137" t="e">
        <f t="shared" si="15"/>
        <v>#N/A</v>
      </c>
    </row>
    <row r="752" spans="1:7">
      <c r="A752" s="112" t="str">
        <f>VLOOKUP('Informe Kelly'!A746,Base!A:B,2,FALSE)</f>
        <v>09.748.915-7</v>
      </c>
      <c r="B752" s="112" t="str">
        <f>VLOOKUP('Informe Kelly'!A746,Base!A:G,7,FALSE)</f>
        <v>HERNANDEZ FLORES VICTOR MANUEL</v>
      </c>
      <c r="C752" s="112" t="str">
        <f>'Informe Kelly'!E746</f>
        <v>09.04.2011</v>
      </c>
      <c r="D752" s="112" t="e">
        <f>VLOOKUP(A752,Ingreso!K:P,6,FALSE)</f>
        <v>#N/A</v>
      </c>
      <c r="E752" s="142" t="e">
        <f>(VLOOKUP(D752,$D$2:$E$4,2,FALSE))-(IF('Informe Kelly'!H746=$A$2,'Informe Kelly'!F746,VLOOKUP(D752,$D$2:$E$4,2,FALSE)))</f>
        <v>#N/A</v>
      </c>
      <c r="F752" s="142" t="e">
        <f>IF('Informe Kelly'!H746=$A$3,'Informe Kelly'!F746,VLOOKUP(D752,$D$2:$F$4,3,FALSE))-(VLOOKUP(D752,$D$2:$F$4,3,FALSE))</f>
        <v>#N/A</v>
      </c>
      <c r="G752" s="137" t="e">
        <f t="shared" si="15"/>
        <v>#N/A</v>
      </c>
    </row>
    <row r="753" spans="1:7">
      <c r="A753" s="112" t="str">
        <f>VLOOKUP('Informe Kelly'!A747,Base!A:B,2,FALSE)</f>
        <v>09.774.031-3</v>
      </c>
      <c r="B753" s="112" t="str">
        <f>VLOOKUP('Informe Kelly'!A747,Base!A:G,7,FALSE)</f>
        <v>CACERES VASQUEZ VICTOR</v>
      </c>
      <c r="C753" s="112" t="str">
        <f>'Informe Kelly'!E747</f>
        <v>04.04.2011</v>
      </c>
      <c r="D753" s="112" t="e">
        <f>VLOOKUP(A753,Ingreso!K:P,6,FALSE)</f>
        <v>#N/A</v>
      </c>
      <c r="E753" s="142" t="e">
        <f>(VLOOKUP(D753,$D$2:$E$4,2,FALSE))-(IF('Informe Kelly'!H747=$A$2,'Informe Kelly'!F747,VLOOKUP(D753,$D$2:$E$4,2,FALSE)))</f>
        <v>#N/A</v>
      </c>
      <c r="F753" s="142" t="e">
        <f>IF('Informe Kelly'!H747=$A$3,'Informe Kelly'!F747,VLOOKUP(D753,$D$2:$F$4,3,FALSE))-(VLOOKUP(D753,$D$2:$F$4,3,FALSE))</f>
        <v>#N/A</v>
      </c>
      <c r="G753" s="137" t="e">
        <f t="shared" si="15"/>
        <v>#N/A</v>
      </c>
    </row>
    <row r="754" spans="1:7">
      <c r="A754" s="112" t="str">
        <f>VLOOKUP('Informe Kelly'!A748,Base!A:B,2,FALSE)</f>
        <v>09.774.031-3</v>
      </c>
      <c r="B754" s="112" t="str">
        <f>VLOOKUP('Informe Kelly'!A748,Base!A:G,7,FALSE)</f>
        <v>CACERES VASQUEZ VICTOR</v>
      </c>
      <c r="C754" s="112" t="str">
        <f>'Informe Kelly'!E748</f>
        <v>04.04.2011</v>
      </c>
      <c r="D754" s="112" t="e">
        <f>VLOOKUP(A754,Ingreso!K:P,6,FALSE)</f>
        <v>#N/A</v>
      </c>
      <c r="E754" s="142" t="e">
        <f>(VLOOKUP(D754,$D$2:$E$4,2,FALSE))-(IF('Informe Kelly'!H748=$A$2,'Informe Kelly'!F748,VLOOKUP(D754,$D$2:$E$4,2,FALSE)))</f>
        <v>#N/A</v>
      </c>
      <c r="F754" s="142" t="e">
        <f>IF('Informe Kelly'!H748=$A$3,'Informe Kelly'!F748,VLOOKUP(D754,$D$2:$F$4,3,FALSE))-(VLOOKUP(D754,$D$2:$F$4,3,FALSE))</f>
        <v>#N/A</v>
      </c>
      <c r="G754" s="137" t="e">
        <f t="shared" si="15"/>
        <v>#N/A</v>
      </c>
    </row>
    <row r="755" spans="1:7">
      <c r="A755" s="112" t="str">
        <f>VLOOKUP('Informe Kelly'!A749,Base!A:B,2,FALSE)</f>
        <v>09.774.031-3</v>
      </c>
      <c r="B755" s="112" t="str">
        <f>VLOOKUP('Informe Kelly'!A749,Base!A:G,7,FALSE)</f>
        <v>CACERES VASQUEZ VICTOR</v>
      </c>
      <c r="C755" s="112" t="str">
        <f>'Informe Kelly'!E749</f>
        <v>05.04.2011</v>
      </c>
      <c r="D755" s="112" t="e">
        <f>VLOOKUP(A755,Ingreso!K:P,6,FALSE)</f>
        <v>#N/A</v>
      </c>
      <c r="E755" s="142" t="e">
        <f>(VLOOKUP(D755,$D$2:$E$4,2,FALSE))-(IF('Informe Kelly'!H749=$A$2,'Informe Kelly'!F749,VLOOKUP(D755,$D$2:$E$4,2,FALSE)))</f>
        <v>#N/A</v>
      </c>
      <c r="F755" s="142" t="e">
        <f>IF('Informe Kelly'!H749=$A$3,'Informe Kelly'!F749,VLOOKUP(D755,$D$2:$F$4,3,FALSE))-(VLOOKUP(D755,$D$2:$F$4,3,FALSE))</f>
        <v>#N/A</v>
      </c>
      <c r="G755" s="137" t="e">
        <f t="shared" si="15"/>
        <v>#N/A</v>
      </c>
    </row>
    <row r="756" spans="1:7">
      <c r="A756" s="112" t="str">
        <f>VLOOKUP('Informe Kelly'!A750,Base!A:B,2,FALSE)</f>
        <v>09.774.031-3</v>
      </c>
      <c r="B756" s="112" t="str">
        <f>VLOOKUP('Informe Kelly'!A750,Base!A:G,7,FALSE)</f>
        <v>CACERES VASQUEZ VICTOR</v>
      </c>
      <c r="C756" s="112" t="str">
        <f>'Informe Kelly'!E750</f>
        <v>06.04.2011</v>
      </c>
      <c r="D756" s="112" t="e">
        <f>VLOOKUP(A756,Ingreso!K:P,6,FALSE)</f>
        <v>#N/A</v>
      </c>
      <c r="E756" s="142" t="e">
        <f>(VLOOKUP(D756,$D$2:$E$4,2,FALSE))-(IF('Informe Kelly'!H750=$A$2,'Informe Kelly'!F750,VLOOKUP(D756,$D$2:$E$4,2,FALSE)))</f>
        <v>#N/A</v>
      </c>
      <c r="F756" s="142" t="e">
        <f>IF('Informe Kelly'!H750=$A$3,'Informe Kelly'!F750,VLOOKUP(D756,$D$2:$F$4,3,FALSE))-(VLOOKUP(D756,$D$2:$F$4,3,FALSE))</f>
        <v>#N/A</v>
      </c>
      <c r="G756" s="137" t="e">
        <f t="shared" si="15"/>
        <v>#N/A</v>
      </c>
    </row>
    <row r="757" spans="1:7">
      <c r="A757" s="112" t="str">
        <f>VLOOKUP('Informe Kelly'!A751,Base!A:B,2,FALSE)</f>
        <v>09.774.031-3</v>
      </c>
      <c r="B757" s="112" t="str">
        <f>VLOOKUP('Informe Kelly'!A751,Base!A:G,7,FALSE)</f>
        <v>CACERES VASQUEZ VICTOR</v>
      </c>
      <c r="C757" s="112" t="str">
        <f>'Informe Kelly'!E751</f>
        <v>07.04.2011</v>
      </c>
      <c r="D757" s="112" t="e">
        <f>VLOOKUP(A757,Ingreso!K:P,6,FALSE)</f>
        <v>#N/A</v>
      </c>
      <c r="E757" s="142" t="e">
        <f>(VLOOKUP(D757,$D$2:$E$4,2,FALSE))-(IF('Informe Kelly'!H751=$A$2,'Informe Kelly'!F751,VLOOKUP(D757,$D$2:$E$4,2,FALSE)))</f>
        <v>#N/A</v>
      </c>
      <c r="F757" s="142" t="e">
        <f>IF('Informe Kelly'!H751=$A$3,'Informe Kelly'!F751,VLOOKUP(D757,$D$2:$F$4,3,FALSE))-(VLOOKUP(D757,$D$2:$F$4,3,FALSE))</f>
        <v>#N/A</v>
      </c>
      <c r="G757" s="137" t="e">
        <f t="shared" si="15"/>
        <v>#N/A</v>
      </c>
    </row>
    <row r="758" spans="1:7">
      <c r="A758" s="112" t="str">
        <f>VLOOKUP('Informe Kelly'!A752,Base!A:B,2,FALSE)</f>
        <v>09.774.031-3</v>
      </c>
      <c r="B758" s="112" t="str">
        <f>VLOOKUP('Informe Kelly'!A752,Base!A:G,7,FALSE)</f>
        <v>CACERES VASQUEZ VICTOR</v>
      </c>
      <c r="C758" s="112" t="str">
        <f>'Informe Kelly'!E752</f>
        <v>07.04.2011</v>
      </c>
      <c r="D758" s="112" t="e">
        <f>VLOOKUP(A758,Ingreso!K:P,6,FALSE)</f>
        <v>#N/A</v>
      </c>
      <c r="E758" s="142" t="e">
        <f>(VLOOKUP(D758,$D$2:$E$4,2,FALSE))-(IF('Informe Kelly'!H752=$A$2,'Informe Kelly'!F752,VLOOKUP(D758,$D$2:$E$4,2,FALSE)))</f>
        <v>#N/A</v>
      </c>
      <c r="F758" s="142" t="e">
        <f>IF('Informe Kelly'!H752=$A$3,'Informe Kelly'!F752,VLOOKUP(D758,$D$2:$F$4,3,FALSE))-(VLOOKUP(D758,$D$2:$F$4,3,FALSE))</f>
        <v>#N/A</v>
      </c>
      <c r="G758" s="137" t="e">
        <f t="shared" si="15"/>
        <v>#N/A</v>
      </c>
    </row>
    <row r="759" spans="1:7">
      <c r="A759" s="112" t="str">
        <f>VLOOKUP('Informe Kelly'!A753,Base!A:B,2,FALSE)</f>
        <v>09.774.031-3</v>
      </c>
      <c r="B759" s="112" t="str">
        <f>VLOOKUP('Informe Kelly'!A753,Base!A:G,7,FALSE)</f>
        <v>CACERES VASQUEZ VICTOR</v>
      </c>
      <c r="C759" s="112" t="str">
        <f>'Informe Kelly'!E753</f>
        <v>08.04.2011</v>
      </c>
      <c r="D759" s="112" t="e">
        <f>VLOOKUP(A759,Ingreso!K:P,6,FALSE)</f>
        <v>#N/A</v>
      </c>
      <c r="E759" s="142" t="e">
        <f>(VLOOKUP(D759,$D$2:$E$4,2,FALSE))-(IF('Informe Kelly'!H753=$A$2,'Informe Kelly'!F753,VLOOKUP(D759,$D$2:$E$4,2,FALSE)))</f>
        <v>#N/A</v>
      </c>
      <c r="F759" s="142" t="e">
        <f>IF('Informe Kelly'!H753=$A$3,'Informe Kelly'!F753,VLOOKUP(D759,$D$2:$F$4,3,FALSE))-(VLOOKUP(D759,$D$2:$F$4,3,FALSE))</f>
        <v>#N/A</v>
      </c>
      <c r="G759" s="137" t="e">
        <f t="shared" si="15"/>
        <v>#N/A</v>
      </c>
    </row>
    <row r="760" spans="1:7">
      <c r="A760" s="112" t="str">
        <f>VLOOKUP('Informe Kelly'!A754,Base!A:B,2,FALSE)</f>
        <v>09.774.031-3</v>
      </c>
      <c r="B760" s="112" t="str">
        <f>VLOOKUP('Informe Kelly'!A754,Base!A:G,7,FALSE)</f>
        <v>CACERES VASQUEZ VICTOR</v>
      </c>
      <c r="C760" s="112" t="str">
        <f>'Informe Kelly'!E754</f>
        <v>08.04.2011</v>
      </c>
      <c r="D760" s="112" t="e">
        <f>VLOOKUP(A760,Ingreso!K:P,6,FALSE)</f>
        <v>#N/A</v>
      </c>
      <c r="E760" s="142" t="e">
        <f>(VLOOKUP(D760,$D$2:$E$4,2,FALSE))-(IF('Informe Kelly'!H754=$A$2,'Informe Kelly'!F754,VLOOKUP(D760,$D$2:$E$4,2,FALSE)))</f>
        <v>#N/A</v>
      </c>
      <c r="F760" s="142" t="e">
        <f>IF('Informe Kelly'!H754=$A$3,'Informe Kelly'!F754,VLOOKUP(D760,$D$2:$F$4,3,FALSE))-(VLOOKUP(D760,$D$2:$F$4,3,FALSE))</f>
        <v>#N/A</v>
      </c>
      <c r="G760" s="137" t="e">
        <f t="shared" si="15"/>
        <v>#N/A</v>
      </c>
    </row>
    <row r="761" spans="1:7">
      <c r="A761" s="112" t="str">
        <f>VLOOKUP('Informe Kelly'!A755,Base!A:B,2,FALSE)</f>
        <v>09.774.031-3</v>
      </c>
      <c r="B761" s="112" t="str">
        <f>VLOOKUP('Informe Kelly'!A755,Base!A:G,7,FALSE)</f>
        <v>CACERES VASQUEZ VICTOR</v>
      </c>
      <c r="C761" s="112" t="str">
        <f>'Informe Kelly'!E755</f>
        <v>09.04.2011</v>
      </c>
      <c r="D761" s="112" t="e">
        <f>VLOOKUP(A761,Ingreso!K:P,6,FALSE)</f>
        <v>#N/A</v>
      </c>
      <c r="E761" s="142" t="e">
        <f>(VLOOKUP(D761,$D$2:$E$4,2,FALSE))-(IF('Informe Kelly'!H755=$A$2,'Informe Kelly'!F755,VLOOKUP(D761,$D$2:$E$4,2,FALSE)))</f>
        <v>#N/A</v>
      </c>
      <c r="F761" s="142" t="e">
        <f>IF('Informe Kelly'!H755=$A$3,'Informe Kelly'!F755,VLOOKUP(D761,$D$2:$F$4,3,FALSE))-(VLOOKUP(D761,$D$2:$F$4,3,FALSE))</f>
        <v>#N/A</v>
      </c>
      <c r="G761" s="137" t="e">
        <f t="shared" si="15"/>
        <v>#N/A</v>
      </c>
    </row>
    <row r="762" spans="1:7">
      <c r="A762" s="112" t="str">
        <f>VLOOKUP('Informe Kelly'!A756,Base!A:B,2,FALSE)</f>
        <v>09.806.171-1</v>
      </c>
      <c r="B762" s="112" t="str">
        <f>VLOOKUP('Informe Kelly'!A756,Base!A:G,7,FALSE)</f>
        <v>RIOS MIRANDA VICTOR MANUEL</v>
      </c>
      <c r="C762" s="112" t="str">
        <f>'Informe Kelly'!E756</f>
        <v>04.04.2011</v>
      </c>
      <c r="D762" s="112" t="e">
        <f>VLOOKUP(A762,Ingreso!K:P,6,FALSE)</f>
        <v>#N/A</v>
      </c>
      <c r="E762" s="142" t="e">
        <f>(VLOOKUP(D762,$D$2:$E$4,2,FALSE))-(IF('Informe Kelly'!H756=$A$2,'Informe Kelly'!F756,VLOOKUP(D762,$D$2:$E$4,2,FALSE)))</f>
        <v>#N/A</v>
      </c>
      <c r="F762" s="142" t="e">
        <f>IF('Informe Kelly'!H756=$A$3,'Informe Kelly'!F756,VLOOKUP(D762,$D$2:$F$4,3,FALSE))-(VLOOKUP(D762,$D$2:$F$4,3,FALSE))</f>
        <v>#N/A</v>
      </c>
      <c r="G762" s="137" t="e">
        <f t="shared" si="15"/>
        <v>#N/A</v>
      </c>
    </row>
    <row r="763" spans="1:7">
      <c r="A763" s="112" t="str">
        <f>VLOOKUP('Informe Kelly'!A757,Base!A:B,2,FALSE)</f>
        <v>09.806.171-1</v>
      </c>
      <c r="B763" s="112" t="str">
        <f>VLOOKUP('Informe Kelly'!A757,Base!A:G,7,FALSE)</f>
        <v>RIOS MIRANDA VICTOR MANUEL</v>
      </c>
      <c r="C763" s="112" t="str">
        <f>'Informe Kelly'!E757</f>
        <v>05.04.2011</v>
      </c>
      <c r="D763" s="112" t="e">
        <f>VLOOKUP(A763,Ingreso!K:P,6,FALSE)</f>
        <v>#N/A</v>
      </c>
      <c r="E763" s="142" t="e">
        <f>(VLOOKUP(D763,$D$2:$E$4,2,FALSE))-(IF('Informe Kelly'!H757=$A$2,'Informe Kelly'!F757,VLOOKUP(D763,$D$2:$E$4,2,FALSE)))</f>
        <v>#N/A</v>
      </c>
      <c r="F763" s="142" t="e">
        <f>IF('Informe Kelly'!H757=$A$3,'Informe Kelly'!F757,VLOOKUP(D763,$D$2:$F$4,3,FALSE))-(VLOOKUP(D763,$D$2:$F$4,3,FALSE))</f>
        <v>#N/A</v>
      </c>
      <c r="G763" s="137" t="e">
        <f t="shared" si="15"/>
        <v>#N/A</v>
      </c>
    </row>
    <row r="764" spans="1:7">
      <c r="A764" s="112" t="str">
        <f>VLOOKUP('Informe Kelly'!A758,Base!A:B,2,FALSE)</f>
        <v>09.806.171-1</v>
      </c>
      <c r="B764" s="112" t="str">
        <f>VLOOKUP('Informe Kelly'!A758,Base!A:G,7,FALSE)</f>
        <v>RIOS MIRANDA VICTOR MANUEL</v>
      </c>
      <c r="C764" s="112" t="str">
        <f>'Informe Kelly'!E758</f>
        <v>05.04.2011</v>
      </c>
      <c r="D764" s="112" t="e">
        <f>VLOOKUP(A764,Ingreso!K:P,6,FALSE)</f>
        <v>#N/A</v>
      </c>
      <c r="E764" s="142" t="e">
        <f>(VLOOKUP(D764,$D$2:$E$4,2,FALSE))-(IF('Informe Kelly'!H758=$A$2,'Informe Kelly'!F758,VLOOKUP(D764,$D$2:$E$4,2,FALSE)))</f>
        <v>#N/A</v>
      </c>
      <c r="F764" s="142" t="e">
        <f>IF('Informe Kelly'!H758=$A$3,'Informe Kelly'!F758,VLOOKUP(D764,$D$2:$F$4,3,FALSE))-(VLOOKUP(D764,$D$2:$F$4,3,FALSE))</f>
        <v>#N/A</v>
      </c>
      <c r="G764" s="137" t="e">
        <f t="shared" si="15"/>
        <v>#N/A</v>
      </c>
    </row>
    <row r="765" spans="1:7">
      <c r="A765" s="112" t="str">
        <f>VLOOKUP('Informe Kelly'!A759,Base!A:B,2,FALSE)</f>
        <v>09.806.171-1</v>
      </c>
      <c r="B765" s="112" t="str">
        <f>VLOOKUP('Informe Kelly'!A759,Base!A:G,7,FALSE)</f>
        <v>RIOS MIRANDA VICTOR MANUEL</v>
      </c>
      <c r="C765" s="112" t="str">
        <f>'Informe Kelly'!E759</f>
        <v>06.04.2011</v>
      </c>
      <c r="D765" s="112" t="e">
        <f>VLOOKUP(A765,Ingreso!K:P,6,FALSE)</f>
        <v>#N/A</v>
      </c>
      <c r="E765" s="142" t="e">
        <f>(VLOOKUP(D765,$D$2:$E$4,2,FALSE))-(IF('Informe Kelly'!H759=$A$2,'Informe Kelly'!F759,VLOOKUP(D765,$D$2:$E$4,2,FALSE)))</f>
        <v>#N/A</v>
      </c>
      <c r="F765" s="142" t="e">
        <f>IF('Informe Kelly'!H759=$A$3,'Informe Kelly'!F759,VLOOKUP(D765,$D$2:$F$4,3,FALSE))-(VLOOKUP(D765,$D$2:$F$4,3,FALSE))</f>
        <v>#N/A</v>
      </c>
      <c r="G765" s="137" t="e">
        <f t="shared" si="15"/>
        <v>#N/A</v>
      </c>
    </row>
    <row r="766" spans="1:7">
      <c r="A766" s="112" t="str">
        <f>VLOOKUP('Informe Kelly'!A760,Base!A:B,2,FALSE)</f>
        <v>09.806.171-1</v>
      </c>
      <c r="B766" s="112" t="str">
        <f>VLOOKUP('Informe Kelly'!A760,Base!A:G,7,FALSE)</f>
        <v>RIOS MIRANDA VICTOR MANUEL</v>
      </c>
      <c r="C766" s="112" t="str">
        <f>'Informe Kelly'!E760</f>
        <v>06.04.2011</v>
      </c>
      <c r="D766" s="112" t="e">
        <f>VLOOKUP(A766,Ingreso!K:P,6,FALSE)</f>
        <v>#N/A</v>
      </c>
      <c r="E766" s="142" t="e">
        <f>(VLOOKUP(D766,$D$2:$E$4,2,FALSE))-(IF('Informe Kelly'!H760=$A$2,'Informe Kelly'!F760,VLOOKUP(D766,$D$2:$E$4,2,FALSE)))</f>
        <v>#N/A</v>
      </c>
      <c r="F766" s="142" t="e">
        <f>IF('Informe Kelly'!H760=$A$3,'Informe Kelly'!F760,VLOOKUP(D766,$D$2:$F$4,3,FALSE))-(VLOOKUP(D766,$D$2:$F$4,3,FALSE))</f>
        <v>#N/A</v>
      </c>
      <c r="G766" s="137" t="e">
        <f t="shared" si="15"/>
        <v>#N/A</v>
      </c>
    </row>
    <row r="767" spans="1:7">
      <c r="A767" s="112" t="str">
        <f>VLOOKUP('Informe Kelly'!A761,Base!A:B,2,FALSE)</f>
        <v>09.806.171-1</v>
      </c>
      <c r="B767" s="112" t="str">
        <f>VLOOKUP('Informe Kelly'!A761,Base!A:G,7,FALSE)</f>
        <v>RIOS MIRANDA VICTOR MANUEL</v>
      </c>
      <c r="C767" s="112" t="str">
        <f>'Informe Kelly'!E761</f>
        <v>07.04.2011</v>
      </c>
      <c r="D767" s="112" t="e">
        <f>VLOOKUP(A767,Ingreso!K:P,6,FALSE)</f>
        <v>#N/A</v>
      </c>
      <c r="E767" s="142" t="e">
        <f>(VLOOKUP(D767,$D$2:$E$4,2,FALSE))-(IF('Informe Kelly'!H761=$A$2,'Informe Kelly'!F761,VLOOKUP(D767,$D$2:$E$4,2,FALSE)))</f>
        <v>#N/A</v>
      </c>
      <c r="F767" s="142" t="e">
        <f>IF('Informe Kelly'!H761=$A$3,'Informe Kelly'!F761,VLOOKUP(D767,$D$2:$F$4,3,FALSE))-(VLOOKUP(D767,$D$2:$F$4,3,FALSE))</f>
        <v>#N/A</v>
      </c>
      <c r="G767" s="137" t="e">
        <f t="shared" si="15"/>
        <v>#N/A</v>
      </c>
    </row>
    <row r="768" spans="1:7">
      <c r="A768" s="112" t="str">
        <f>VLOOKUP('Informe Kelly'!A762,Base!A:B,2,FALSE)</f>
        <v>09.806.171-1</v>
      </c>
      <c r="B768" s="112" t="str">
        <f>VLOOKUP('Informe Kelly'!A762,Base!A:G,7,FALSE)</f>
        <v>RIOS MIRANDA VICTOR MANUEL</v>
      </c>
      <c r="C768" s="112" t="str">
        <f>'Informe Kelly'!E762</f>
        <v>07.04.2011</v>
      </c>
      <c r="D768" s="112" t="e">
        <f>VLOOKUP(A768,Ingreso!K:P,6,FALSE)</f>
        <v>#N/A</v>
      </c>
      <c r="E768" s="142" t="e">
        <f>(VLOOKUP(D768,$D$2:$E$4,2,FALSE))-(IF('Informe Kelly'!H762=$A$2,'Informe Kelly'!F762,VLOOKUP(D768,$D$2:$E$4,2,FALSE)))</f>
        <v>#N/A</v>
      </c>
      <c r="F768" s="142" t="e">
        <f>IF('Informe Kelly'!H762=$A$3,'Informe Kelly'!F762,VLOOKUP(D768,$D$2:$F$4,3,FALSE))-(VLOOKUP(D768,$D$2:$F$4,3,FALSE))</f>
        <v>#N/A</v>
      </c>
      <c r="G768" s="137" t="e">
        <f t="shared" si="15"/>
        <v>#N/A</v>
      </c>
    </row>
    <row r="769" spans="1:7">
      <c r="A769" s="112" t="str">
        <f>VLOOKUP('Informe Kelly'!A763,Base!A:B,2,FALSE)</f>
        <v>09.806.171-1</v>
      </c>
      <c r="B769" s="112" t="str">
        <f>VLOOKUP('Informe Kelly'!A763,Base!A:G,7,FALSE)</f>
        <v>RIOS MIRANDA VICTOR MANUEL</v>
      </c>
      <c r="C769" s="112" t="str">
        <f>'Informe Kelly'!E763</f>
        <v>08.04.2011</v>
      </c>
      <c r="D769" s="112" t="e">
        <f>VLOOKUP(A769,Ingreso!K:P,6,FALSE)</f>
        <v>#N/A</v>
      </c>
      <c r="E769" s="142" t="e">
        <f>(VLOOKUP(D769,$D$2:$E$4,2,FALSE))-(IF('Informe Kelly'!H763=$A$2,'Informe Kelly'!F763,VLOOKUP(D769,$D$2:$E$4,2,FALSE)))</f>
        <v>#N/A</v>
      </c>
      <c r="F769" s="142" t="e">
        <f>IF('Informe Kelly'!H763=$A$3,'Informe Kelly'!F763,VLOOKUP(D769,$D$2:$F$4,3,FALSE))-(VLOOKUP(D769,$D$2:$F$4,3,FALSE))</f>
        <v>#N/A</v>
      </c>
      <c r="G769" s="137" t="e">
        <f t="shared" si="15"/>
        <v>#N/A</v>
      </c>
    </row>
    <row r="770" spans="1:7">
      <c r="A770" s="112" t="str">
        <f>VLOOKUP('Informe Kelly'!A764,Base!A:B,2,FALSE)</f>
        <v>09.806.171-1</v>
      </c>
      <c r="B770" s="112" t="str">
        <f>VLOOKUP('Informe Kelly'!A764,Base!A:G,7,FALSE)</f>
        <v>RIOS MIRANDA VICTOR MANUEL</v>
      </c>
      <c r="C770" s="112" t="str">
        <f>'Informe Kelly'!E764</f>
        <v>08.04.2011</v>
      </c>
      <c r="D770" s="112" t="e">
        <f>VLOOKUP(A770,Ingreso!K:P,6,FALSE)</f>
        <v>#N/A</v>
      </c>
      <c r="E770" s="142" t="e">
        <f>(VLOOKUP(D770,$D$2:$E$4,2,FALSE))-(IF('Informe Kelly'!H764=$A$2,'Informe Kelly'!F764,VLOOKUP(D770,$D$2:$E$4,2,FALSE)))</f>
        <v>#N/A</v>
      </c>
      <c r="F770" s="142" t="e">
        <f>IF('Informe Kelly'!H764=$A$3,'Informe Kelly'!F764,VLOOKUP(D770,$D$2:$F$4,3,FALSE))-(VLOOKUP(D770,$D$2:$F$4,3,FALSE))</f>
        <v>#N/A</v>
      </c>
      <c r="G770" s="137" t="e">
        <f t="shared" si="15"/>
        <v>#N/A</v>
      </c>
    </row>
    <row r="771" spans="1:7">
      <c r="A771" s="112" t="str">
        <f>VLOOKUP('Informe Kelly'!A765,Base!A:B,2,FALSE)</f>
        <v>09.806.171-1</v>
      </c>
      <c r="B771" s="112" t="str">
        <f>VLOOKUP('Informe Kelly'!A765,Base!A:G,7,FALSE)</f>
        <v>RIOS MIRANDA VICTOR MANUEL</v>
      </c>
      <c r="C771" s="112" t="str">
        <f>'Informe Kelly'!E765</f>
        <v>09.04.2011</v>
      </c>
      <c r="D771" s="112" t="e">
        <f>VLOOKUP(A771,Ingreso!K:P,6,FALSE)</f>
        <v>#N/A</v>
      </c>
      <c r="E771" s="142" t="e">
        <f>(VLOOKUP(D771,$D$2:$E$4,2,FALSE))-(IF('Informe Kelly'!H765=$A$2,'Informe Kelly'!F765,VLOOKUP(D771,$D$2:$E$4,2,FALSE)))</f>
        <v>#N/A</v>
      </c>
      <c r="F771" s="142" t="e">
        <f>IF('Informe Kelly'!H765=$A$3,'Informe Kelly'!F765,VLOOKUP(D771,$D$2:$F$4,3,FALSE))-(VLOOKUP(D771,$D$2:$F$4,3,FALSE))</f>
        <v>#N/A</v>
      </c>
      <c r="G771" s="137" t="e">
        <f t="shared" si="15"/>
        <v>#N/A</v>
      </c>
    </row>
    <row r="772" spans="1:7">
      <c r="A772" s="112" t="str">
        <f>VLOOKUP('Informe Kelly'!A766,Base!A:B,2,FALSE)</f>
        <v>09.832.710-K</v>
      </c>
      <c r="B772" s="112" t="str">
        <f>VLOOKUP('Informe Kelly'!A766,Base!A:G,7,FALSE)</f>
        <v>CARO RODRIGUEZ OMAR FCO</v>
      </c>
      <c r="C772" s="112" t="str">
        <f>'Informe Kelly'!E766</f>
        <v>04.04.2011</v>
      </c>
      <c r="D772" s="112" t="e">
        <f>VLOOKUP(A772,Ingreso!K:P,6,FALSE)</f>
        <v>#N/A</v>
      </c>
      <c r="E772" s="142" t="e">
        <f>(VLOOKUP(D772,$D$2:$E$4,2,FALSE))-(IF('Informe Kelly'!H766=$A$2,'Informe Kelly'!F766,VLOOKUP(D772,$D$2:$E$4,2,FALSE)))</f>
        <v>#N/A</v>
      </c>
      <c r="F772" s="142" t="e">
        <f>IF('Informe Kelly'!H766=$A$3,'Informe Kelly'!F766,VLOOKUP(D772,$D$2:$F$4,3,FALSE))-(VLOOKUP(D772,$D$2:$F$4,3,FALSE))</f>
        <v>#N/A</v>
      </c>
      <c r="G772" s="137" t="e">
        <f t="shared" si="15"/>
        <v>#N/A</v>
      </c>
    </row>
    <row r="773" spans="1:7">
      <c r="A773" s="112" t="str">
        <f>VLOOKUP('Informe Kelly'!A767,Base!A:B,2,FALSE)</f>
        <v>09.832.710-K</v>
      </c>
      <c r="B773" s="112" t="str">
        <f>VLOOKUP('Informe Kelly'!A767,Base!A:G,7,FALSE)</f>
        <v>CARO RODRIGUEZ OMAR FCO</v>
      </c>
      <c r="C773" s="112" t="str">
        <f>'Informe Kelly'!E767</f>
        <v>04.04.2011</v>
      </c>
      <c r="D773" s="112" t="e">
        <f>VLOOKUP(A773,Ingreso!K:P,6,FALSE)</f>
        <v>#N/A</v>
      </c>
      <c r="E773" s="142" t="e">
        <f>(VLOOKUP(D773,$D$2:$E$4,2,FALSE))-(IF('Informe Kelly'!H767=$A$2,'Informe Kelly'!F767,VLOOKUP(D773,$D$2:$E$4,2,FALSE)))</f>
        <v>#N/A</v>
      </c>
      <c r="F773" s="142" t="e">
        <f>IF('Informe Kelly'!H767=$A$3,'Informe Kelly'!F767,VLOOKUP(D773,$D$2:$F$4,3,FALSE))-(VLOOKUP(D773,$D$2:$F$4,3,FALSE))</f>
        <v>#N/A</v>
      </c>
      <c r="G773" s="137" t="e">
        <f t="shared" si="15"/>
        <v>#N/A</v>
      </c>
    </row>
    <row r="774" spans="1:7">
      <c r="A774" s="112" t="str">
        <f>VLOOKUP('Informe Kelly'!A768,Base!A:B,2,FALSE)</f>
        <v>09.832.710-K</v>
      </c>
      <c r="B774" s="112" t="str">
        <f>VLOOKUP('Informe Kelly'!A768,Base!A:G,7,FALSE)</f>
        <v>CARO RODRIGUEZ OMAR FCO</v>
      </c>
      <c r="C774" s="112" t="str">
        <f>'Informe Kelly'!E768</f>
        <v>05.04.2011</v>
      </c>
      <c r="D774" s="112" t="e">
        <f>VLOOKUP(A774,Ingreso!K:P,6,FALSE)</f>
        <v>#N/A</v>
      </c>
      <c r="E774" s="142" t="e">
        <f>(VLOOKUP(D774,$D$2:$E$4,2,FALSE))-(IF('Informe Kelly'!H768=$A$2,'Informe Kelly'!F768,VLOOKUP(D774,$D$2:$E$4,2,FALSE)))</f>
        <v>#N/A</v>
      </c>
      <c r="F774" s="142" t="e">
        <f>IF('Informe Kelly'!H768=$A$3,'Informe Kelly'!F768,VLOOKUP(D774,$D$2:$F$4,3,FALSE))-(VLOOKUP(D774,$D$2:$F$4,3,FALSE))</f>
        <v>#N/A</v>
      </c>
      <c r="G774" s="137" t="e">
        <f t="shared" si="15"/>
        <v>#N/A</v>
      </c>
    </row>
    <row r="775" spans="1:7">
      <c r="A775" s="112" t="str">
        <f>VLOOKUP('Informe Kelly'!A769,Base!A:B,2,FALSE)</f>
        <v>09.832.710-K</v>
      </c>
      <c r="B775" s="112" t="str">
        <f>VLOOKUP('Informe Kelly'!A769,Base!A:G,7,FALSE)</f>
        <v>CARO RODRIGUEZ OMAR FCO</v>
      </c>
      <c r="C775" s="112" t="str">
        <f>'Informe Kelly'!E769</f>
        <v>05.04.2011</v>
      </c>
      <c r="D775" s="112" t="e">
        <f>VLOOKUP(A775,Ingreso!K:P,6,FALSE)</f>
        <v>#N/A</v>
      </c>
      <c r="E775" s="142" t="e">
        <f>(VLOOKUP(D775,$D$2:$E$4,2,FALSE))-(IF('Informe Kelly'!H769=$A$2,'Informe Kelly'!F769,VLOOKUP(D775,$D$2:$E$4,2,FALSE)))</f>
        <v>#N/A</v>
      </c>
      <c r="F775" s="142" t="e">
        <f>IF('Informe Kelly'!H769=$A$3,'Informe Kelly'!F769,VLOOKUP(D775,$D$2:$F$4,3,FALSE))-(VLOOKUP(D775,$D$2:$F$4,3,FALSE))</f>
        <v>#N/A</v>
      </c>
      <c r="G775" s="137" t="e">
        <f t="shared" si="15"/>
        <v>#N/A</v>
      </c>
    </row>
    <row r="776" spans="1:7">
      <c r="A776" s="112" t="str">
        <f>VLOOKUP('Informe Kelly'!A770,Base!A:B,2,FALSE)</f>
        <v>09.832.710-K</v>
      </c>
      <c r="B776" s="112" t="str">
        <f>VLOOKUP('Informe Kelly'!A770,Base!A:G,7,FALSE)</f>
        <v>CARO RODRIGUEZ OMAR FCO</v>
      </c>
      <c r="C776" s="112" t="str">
        <f>'Informe Kelly'!E770</f>
        <v>06.04.2011</v>
      </c>
      <c r="D776" s="112" t="e">
        <f>VLOOKUP(A776,Ingreso!K:P,6,FALSE)</f>
        <v>#N/A</v>
      </c>
      <c r="E776" s="142" t="e">
        <f>(VLOOKUP(D776,$D$2:$E$4,2,FALSE))-(IF('Informe Kelly'!H770=$A$2,'Informe Kelly'!F770,VLOOKUP(D776,$D$2:$E$4,2,FALSE)))</f>
        <v>#N/A</v>
      </c>
      <c r="F776" s="142" t="e">
        <f>IF('Informe Kelly'!H770=$A$3,'Informe Kelly'!F770,VLOOKUP(D776,$D$2:$F$4,3,FALSE))-(VLOOKUP(D776,$D$2:$F$4,3,FALSE))</f>
        <v>#N/A</v>
      </c>
      <c r="G776" s="137" t="e">
        <f t="shared" si="15"/>
        <v>#N/A</v>
      </c>
    </row>
    <row r="777" spans="1:7">
      <c r="A777" s="112" t="str">
        <f>VLOOKUP('Informe Kelly'!A771,Base!A:B,2,FALSE)</f>
        <v>09.832.710-K</v>
      </c>
      <c r="B777" s="112" t="str">
        <f>VLOOKUP('Informe Kelly'!A771,Base!A:G,7,FALSE)</f>
        <v>CARO RODRIGUEZ OMAR FCO</v>
      </c>
      <c r="C777" s="112" t="str">
        <f>'Informe Kelly'!E771</f>
        <v>06.04.2011</v>
      </c>
      <c r="D777" s="112" t="e">
        <f>VLOOKUP(A777,Ingreso!K:P,6,FALSE)</f>
        <v>#N/A</v>
      </c>
      <c r="E777" s="142" t="e">
        <f>(VLOOKUP(D777,$D$2:$E$4,2,FALSE))-(IF('Informe Kelly'!H771=$A$2,'Informe Kelly'!F771,VLOOKUP(D777,$D$2:$E$4,2,FALSE)))</f>
        <v>#N/A</v>
      </c>
      <c r="F777" s="142" t="e">
        <f>IF('Informe Kelly'!H771=$A$3,'Informe Kelly'!F771,VLOOKUP(D777,$D$2:$F$4,3,FALSE))-(VLOOKUP(D777,$D$2:$F$4,3,FALSE))</f>
        <v>#N/A</v>
      </c>
      <c r="G777" s="137" t="e">
        <f t="shared" ref="G777:G840" si="16">IF(E777="",IF(F777&lt;0.0409722222222222,0,E777),IF(E777&lt;0.0409722222222222,0,E777))</f>
        <v>#N/A</v>
      </c>
    </row>
    <row r="778" spans="1:7">
      <c r="A778" s="112" t="str">
        <f>VLOOKUP('Informe Kelly'!A772,Base!A:B,2,FALSE)</f>
        <v>09.832.710-K</v>
      </c>
      <c r="B778" s="112" t="str">
        <f>VLOOKUP('Informe Kelly'!A772,Base!A:G,7,FALSE)</f>
        <v>CARO RODRIGUEZ OMAR FCO</v>
      </c>
      <c r="C778" s="112" t="str">
        <f>'Informe Kelly'!E772</f>
        <v>07.04.2011</v>
      </c>
      <c r="D778" s="112" t="e">
        <f>VLOOKUP(A778,Ingreso!K:P,6,FALSE)</f>
        <v>#N/A</v>
      </c>
      <c r="E778" s="142" t="e">
        <f>(VLOOKUP(D778,$D$2:$E$4,2,FALSE))-(IF('Informe Kelly'!H772=$A$2,'Informe Kelly'!F772,VLOOKUP(D778,$D$2:$E$4,2,FALSE)))</f>
        <v>#N/A</v>
      </c>
      <c r="F778" s="142" t="e">
        <f>IF('Informe Kelly'!H772=$A$3,'Informe Kelly'!F772,VLOOKUP(D778,$D$2:$F$4,3,FALSE))-(VLOOKUP(D778,$D$2:$F$4,3,FALSE))</f>
        <v>#N/A</v>
      </c>
      <c r="G778" s="137" t="e">
        <f t="shared" si="16"/>
        <v>#N/A</v>
      </c>
    </row>
    <row r="779" spans="1:7">
      <c r="A779" s="112" t="str">
        <f>VLOOKUP('Informe Kelly'!A773,Base!A:B,2,FALSE)</f>
        <v>09.832.710-K</v>
      </c>
      <c r="B779" s="112" t="str">
        <f>VLOOKUP('Informe Kelly'!A773,Base!A:G,7,FALSE)</f>
        <v>CARO RODRIGUEZ OMAR FCO</v>
      </c>
      <c r="C779" s="112" t="str">
        <f>'Informe Kelly'!E773</f>
        <v>07.04.2011</v>
      </c>
      <c r="D779" s="112" t="e">
        <f>VLOOKUP(A779,Ingreso!K:P,6,FALSE)</f>
        <v>#N/A</v>
      </c>
      <c r="E779" s="142" t="e">
        <f>(VLOOKUP(D779,$D$2:$E$4,2,FALSE))-(IF('Informe Kelly'!H773=$A$2,'Informe Kelly'!F773,VLOOKUP(D779,$D$2:$E$4,2,FALSE)))</f>
        <v>#N/A</v>
      </c>
      <c r="F779" s="142" t="e">
        <f>IF('Informe Kelly'!H773=$A$3,'Informe Kelly'!F773,VLOOKUP(D779,$D$2:$F$4,3,FALSE))-(VLOOKUP(D779,$D$2:$F$4,3,FALSE))</f>
        <v>#N/A</v>
      </c>
      <c r="G779" s="137" t="e">
        <f t="shared" si="16"/>
        <v>#N/A</v>
      </c>
    </row>
    <row r="780" spans="1:7">
      <c r="A780" s="112" t="str">
        <f>VLOOKUP('Informe Kelly'!A774,Base!A:B,2,FALSE)</f>
        <v>09.832.710-K</v>
      </c>
      <c r="B780" s="112" t="str">
        <f>VLOOKUP('Informe Kelly'!A774,Base!A:G,7,FALSE)</f>
        <v>CARO RODRIGUEZ OMAR FCO</v>
      </c>
      <c r="C780" s="112" t="str">
        <f>'Informe Kelly'!E774</f>
        <v>08.04.2011</v>
      </c>
      <c r="D780" s="112" t="e">
        <f>VLOOKUP(A780,Ingreso!K:P,6,FALSE)</f>
        <v>#N/A</v>
      </c>
      <c r="E780" s="142" t="e">
        <f>(VLOOKUP(D780,$D$2:$E$4,2,FALSE))-(IF('Informe Kelly'!H774=$A$2,'Informe Kelly'!F774,VLOOKUP(D780,$D$2:$E$4,2,FALSE)))</f>
        <v>#N/A</v>
      </c>
      <c r="F780" s="142" t="e">
        <f>IF('Informe Kelly'!H774=$A$3,'Informe Kelly'!F774,VLOOKUP(D780,$D$2:$F$4,3,FALSE))-(VLOOKUP(D780,$D$2:$F$4,3,FALSE))</f>
        <v>#N/A</v>
      </c>
      <c r="G780" s="137" t="e">
        <f t="shared" si="16"/>
        <v>#N/A</v>
      </c>
    </row>
    <row r="781" spans="1:7">
      <c r="A781" s="112" t="str">
        <f>VLOOKUP('Informe Kelly'!A775,Base!A:B,2,FALSE)</f>
        <v>09.832.710-K</v>
      </c>
      <c r="B781" s="112" t="str">
        <f>VLOOKUP('Informe Kelly'!A775,Base!A:G,7,FALSE)</f>
        <v>CARO RODRIGUEZ OMAR FCO</v>
      </c>
      <c r="C781" s="112" t="str">
        <f>'Informe Kelly'!E775</f>
        <v>08.04.2011</v>
      </c>
      <c r="D781" s="112" t="e">
        <f>VLOOKUP(A781,Ingreso!K:P,6,FALSE)</f>
        <v>#N/A</v>
      </c>
      <c r="E781" s="142" t="e">
        <f>(VLOOKUP(D781,$D$2:$E$4,2,FALSE))-(IF('Informe Kelly'!H775=$A$2,'Informe Kelly'!F775,VLOOKUP(D781,$D$2:$E$4,2,FALSE)))</f>
        <v>#N/A</v>
      </c>
      <c r="F781" s="142" t="e">
        <f>IF('Informe Kelly'!H775=$A$3,'Informe Kelly'!F775,VLOOKUP(D781,$D$2:$F$4,3,FALSE))-(VLOOKUP(D781,$D$2:$F$4,3,FALSE))</f>
        <v>#N/A</v>
      </c>
      <c r="G781" s="137" t="e">
        <f t="shared" si="16"/>
        <v>#N/A</v>
      </c>
    </row>
    <row r="782" spans="1:7">
      <c r="A782" s="112" t="str">
        <f>VLOOKUP('Informe Kelly'!A776,Base!A:B,2,FALSE)</f>
        <v>09.878.189-7</v>
      </c>
      <c r="B782" s="112" t="str">
        <f>VLOOKUP('Informe Kelly'!A776,Base!A:G,7,FALSE)</f>
        <v>LEON GALVEZ GUILLERMO</v>
      </c>
      <c r="C782" s="112" t="str">
        <f>'Informe Kelly'!E776</f>
        <v>04.04.2011</v>
      </c>
      <c r="D782" s="112" t="e">
        <f>VLOOKUP(A782,Ingreso!K:P,6,FALSE)</f>
        <v>#N/A</v>
      </c>
      <c r="E782" s="142" t="e">
        <f>(VLOOKUP(D782,$D$2:$E$4,2,FALSE))-(IF('Informe Kelly'!H776=$A$2,'Informe Kelly'!F776,VLOOKUP(D782,$D$2:$E$4,2,FALSE)))</f>
        <v>#N/A</v>
      </c>
      <c r="F782" s="142" t="e">
        <f>IF('Informe Kelly'!H776=$A$3,'Informe Kelly'!F776,VLOOKUP(D782,$D$2:$F$4,3,FALSE))-(VLOOKUP(D782,$D$2:$F$4,3,FALSE))</f>
        <v>#N/A</v>
      </c>
      <c r="G782" s="137" t="e">
        <f t="shared" si="16"/>
        <v>#N/A</v>
      </c>
    </row>
    <row r="783" spans="1:7">
      <c r="A783" s="112" t="str">
        <f>VLOOKUP('Informe Kelly'!A777,Base!A:B,2,FALSE)</f>
        <v>09.878.189-7</v>
      </c>
      <c r="B783" s="112" t="str">
        <f>VLOOKUP('Informe Kelly'!A777,Base!A:G,7,FALSE)</f>
        <v>LEON GALVEZ GUILLERMO</v>
      </c>
      <c r="C783" s="112" t="str">
        <f>'Informe Kelly'!E777</f>
        <v>04.04.2011</v>
      </c>
      <c r="D783" s="112" t="e">
        <f>VLOOKUP(A783,Ingreso!K:P,6,FALSE)</f>
        <v>#N/A</v>
      </c>
      <c r="E783" s="142" t="e">
        <f>(VLOOKUP(D783,$D$2:$E$4,2,FALSE))-(IF('Informe Kelly'!H777=$A$2,'Informe Kelly'!F777,VLOOKUP(D783,$D$2:$E$4,2,FALSE)))</f>
        <v>#N/A</v>
      </c>
      <c r="F783" s="142" t="e">
        <f>IF('Informe Kelly'!H777=$A$3,'Informe Kelly'!F777,VLOOKUP(D783,$D$2:$F$4,3,FALSE))-(VLOOKUP(D783,$D$2:$F$4,3,FALSE))</f>
        <v>#N/A</v>
      </c>
      <c r="G783" s="137" t="e">
        <f t="shared" si="16"/>
        <v>#N/A</v>
      </c>
    </row>
    <row r="784" spans="1:7">
      <c r="A784" s="112" t="str">
        <f>VLOOKUP('Informe Kelly'!A778,Base!A:B,2,FALSE)</f>
        <v>09.878.189-7</v>
      </c>
      <c r="B784" s="112" t="str">
        <f>VLOOKUP('Informe Kelly'!A778,Base!A:G,7,FALSE)</f>
        <v>LEON GALVEZ GUILLERMO</v>
      </c>
      <c r="C784" s="112" t="str">
        <f>'Informe Kelly'!E778</f>
        <v>05.04.2011</v>
      </c>
      <c r="D784" s="112" t="e">
        <f>VLOOKUP(A784,Ingreso!K:P,6,FALSE)</f>
        <v>#N/A</v>
      </c>
      <c r="E784" s="142" t="e">
        <f>(VLOOKUP(D784,$D$2:$E$4,2,FALSE))-(IF('Informe Kelly'!H778=$A$2,'Informe Kelly'!F778,VLOOKUP(D784,$D$2:$E$4,2,FALSE)))</f>
        <v>#N/A</v>
      </c>
      <c r="F784" s="142" t="e">
        <f>IF('Informe Kelly'!H778=$A$3,'Informe Kelly'!F778,VLOOKUP(D784,$D$2:$F$4,3,FALSE))-(VLOOKUP(D784,$D$2:$F$4,3,FALSE))</f>
        <v>#N/A</v>
      </c>
      <c r="G784" s="137" t="e">
        <f t="shared" si="16"/>
        <v>#N/A</v>
      </c>
    </row>
    <row r="785" spans="1:7">
      <c r="A785" s="112" t="str">
        <f>VLOOKUP('Informe Kelly'!A779,Base!A:B,2,FALSE)</f>
        <v>09.878.189-7</v>
      </c>
      <c r="B785" s="112" t="str">
        <f>VLOOKUP('Informe Kelly'!A779,Base!A:G,7,FALSE)</f>
        <v>LEON GALVEZ GUILLERMO</v>
      </c>
      <c r="C785" s="112" t="str">
        <f>'Informe Kelly'!E779</f>
        <v>05.04.2011</v>
      </c>
      <c r="D785" s="112" t="e">
        <f>VLOOKUP(A785,Ingreso!K:P,6,FALSE)</f>
        <v>#N/A</v>
      </c>
      <c r="E785" s="142" t="e">
        <f>(VLOOKUP(D785,$D$2:$E$4,2,FALSE))-(IF('Informe Kelly'!H779=$A$2,'Informe Kelly'!F779,VLOOKUP(D785,$D$2:$E$4,2,FALSE)))</f>
        <v>#N/A</v>
      </c>
      <c r="F785" s="142" t="e">
        <f>IF('Informe Kelly'!H779=$A$3,'Informe Kelly'!F779,VLOOKUP(D785,$D$2:$F$4,3,FALSE))-(VLOOKUP(D785,$D$2:$F$4,3,FALSE))</f>
        <v>#N/A</v>
      </c>
      <c r="G785" s="137" t="e">
        <f t="shared" si="16"/>
        <v>#N/A</v>
      </c>
    </row>
    <row r="786" spans="1:7">
      <c r="A786" s="112" t="str">
        <f>VLOOKUP('Informe Kelly'!A780,Base!A:B,2,FALSE)</f>
        <v>09.878.189-7</v>
      </c>
      <c r="B786" s="112" t="str">
        <f>VLOOKUP('Informe Kelly'!A780,Base!A:G,7,FALSE)</f>
        <v>LEON GALVEZ GUILLERMO</v>
      </c>
      <c r="C786" s="112" t="str">
        <f>'Informe Kelly'!E780</f>
        <v>06.04.2011</v>
      </c>
      <c r="D786" s="112" t="e">
        <f>VLOOKUP(A786,Ingreso!K:P,6,FALSE)</f>
        <v>#N/A</v>
      </c>
      <c r="E786" s="142" t="e">
        <f>(VLOOKUP(D786,$D$2:$E$4,2,FALSE))-(IF('Informe Kelly'!H780=$A$2,'Informe Kelly'!F780,VLOOKUP(D786,$D$2:$E$4,2,FALSE)))</f>
        <v>#N/A</v>
      </c>
      <c r="F786" s="142" t="e">
        <f>IF('Informe Kelly'!H780=$A$3,'Informe Kelly'!F780,VLOOKUP(D786,$D$2:$F$4,3,FALSE))-(VLOOKUP(D786,$D$2:$F$4,3,FALSE))</f>
        <v>#N/A</v>
      </c>
      <c r="G786" s="137" t="e">
        <f t="shared" si="16"/>
        <v>#N/A</v>
      </c>
    </row>
    <row r="787" spans="1:7">
      <c r="A787" s="112" t="str">
        <f>VLOOKUP('Informe Kelly'!A781,Base!A:B,2,FALSE)</f>
        <v>09.878.189-7</v>
      </c>
      <c r="B787" s="112" t="str">
        <f>VLOOKUP('Informe Kelly'!A781,Base!A:G,7,FALSE)</f>
        <v>LEON GALVEZ GUILLERMO</v>
      </c>
      <c r="C787" s="112" t="str">
        <f>'Informe Kelly'!E781</f>
        <v>06.04.2011</v>
      </c>
      <c r="D787" s="112" t="e">
        <f>VLOOKUP(A787,Ingreso!K:P,6,FALSE)</f>
        <v>#N/A</v>
      </c>
      <c r="E787" s="142" t="e">
        <f>(VLOOKUP(D787,$D$2:$E$4,2,FALSE))-(IF('Informe Kelly'!H781=$A$2,'Informe Kelly'!F781,VLOOKUP(D787,$D$2:$E$4,2,FALSE)))</f>
        <v>#N/A</v>
      </c>
      <c r="F787" s="142" t="e">
        <f>IF('Informe Kelly'!H781=$A$3,'Informe Kelly'!F781,VLOOKUP(D787,$D$2:$F$4,3,FALSE))-(VLOOKUP(D787,$D$2:$F$4,3,FALSE))</f>
        <v>#N/A</v>
      </c>
      <c r="G787" s="137" t="e">
        <f t="shared" si="16"/>
        <v>#N/A</v>
      </c>
    </row>
    <row r="788" spans="1:7">
      <c r="A788" s="112" t="str">
        <f>VLOOKUP('Informe Kelly'!A782,Base!A:B,2,FALSE)</f>
        <v>09.878.189-7</v>
      </c>
      <c r="B788" s="112" t="str">
        <f>VLOOKUP('Informe Kelly'!A782,Base!A:G,7,FALSE)</f>
        <v>LEON GALVEZ GUILLERMO</v>
      </c>
      <c r="C788" s="112" t="str">
        <f>'Informe Kelly'!E782</f>
        <v>07.04.2011</v>
      </c>
      <c r="D788" s="112" t="e">
        <f>VLOOKUP(A788,Ingreso!K:P,6,FALSE)</f>
        <v>#N/A</v>
      </c>
      <c r="E788" s="142" t="e">
        <f>(VLOOKUP(D788,$D$2:$E$4,2,FALSE))-(IF('Informe Kelly'!H782=$A$2,'Informe Kelly'!F782,VLOOKUP(D788,$D$2:$E$4,2,FALSE)))</f>
        <v>#N/A</v>
      </c>
      <c r="F788" s="142" t="e">
        <f>IF('Informe Kelly'!H782=$A$3,'Informe Kelly'!F782,VLOOKUP(D788,$D$2:$F$4,3,FALSE))-(VLOOKUP(D788,$D$2:$F$4,3,FALSE))</f>
        <v>#N/A</v>
      </c>
      <c r="G788" s="137" t="e">
        <f t="shared" si="16"/>
        <v>#N/A</v>
      </c>
    </row>
    <row r="789" spans="1:7">
      <c r="A789" s="112" t="str">
        <f>VLOOKUP('Informe Kelly'!A783,Base!A:B,2,FALSE)</f>
        <v>09.878.189-7</v>
      </c>
      <c r="B789" s="112" t="str">
        <f>VLOOKUP('Informe Kelly'!A783,Base!A:G,7,FALSE)</f>
        <v>LEON GALVEZ GUILLERMO</v>
      </c>
      <c r="C789" s="112" t="str">
        <f>'Informe Kelly'!E783</f>
        <v>07.04.2011</v>
      </c>
      <c r="D789" s="112" t="e">
        <f>VLOOKUP(A789,Ingreso!K:P,6,FALSE)</f>
        <v>#N/A</v>
      </c>
      <c r="E789" s="142" t="e">
        <f>(VLOOKUP(D789,$D$2:$E$4,2,FALSE))-(IF('Informe Kelly'!H783=$A$2,'Informe Kelly'!F783,VLOOKUP(D789,$D$2:$E$4,2,FALSE)))</f>
        <v>#N/A</v>
      </c>
      <c r="F789" s="142" t="e">
        <f>IF('Informe Kelly'!H783=$A$3,'Informe Kelly'!F783,VLOOKUP(D789,$D$2:$F$4,3,FALSE))-(VLOOKUP(D789,$D$2:$F$4,3,FALSE))</f>
        <v>#N/A</v>
      </c>
      <c r="G789" s="137" t="e">
        <f t="shared" si="16"/>
        <v>#N/A</v>
      </c>
    </row>
    <row r="790" spans="1:7">
      <c r="A790" s="112" t="str">
        <f>VLOOKUP('Informe Kelly'!A784,Base!A:B,2,FALSE)</f>
        <v>09.878.189-7</v>
      </c>
      <c r="B790" s="112" t="str">
        <f>VLOOKUP('Informe Kelly'!A784,Base!A:G,7,FALSE)</f>
        <v>LEON GALVEZ GUILLERMO</v>
      </c>
      <c r="C790" s="112" t="str">
        <f>'Informe Kelly'!E784</f>
        <v>08.04.2011</v>
      </c>
      <c r="D790" s="112" t="e">
        <f>VLOOKUP(A790,Ingreso!K:P,6,FALSE)</f>
        <v>#N/A</v>
      </c>
      <c r="E790" s="142" t="e">
        <f>(VLOOKUP(D790,$D$2:$E$4,2,FALSE))-(IF('Informe Kelly'!H784=$A$2,'Informe Kelly'!F784,VLOOKUP(D790,$D$2:$E$4,2,FALSE)))</f>
        <v>#N/A</v>
      </c>
      <c r="F790" s="142" t="e">
        <f>IF('Informe Kelly'!H784=$A$3,'Informe Kelly'!F784,VLOOKUP(D790,$D$2:$F$4,3,FALSE))-(VLOOKUP(D790,$D$2:$F$4,3,FALSE))</f>
        <v>#N/A</v>
      </c>
      <c r="G790" s="137" t="e">
        <f t="shared" si="16"/>
        <v>#N/A</v>
      </c>
    </row>
    <row r="791" spans="1:7">
      <c r="A791" s="112" t="str">
        <f>VLOOKUP('Informe Kelly'!A785,Base!A:B,2,FALSE)</f>
        <v>09.878.189-7</v>
      </c>
      <c r="B791" s="112" t="str">
        <f>VLOOKUP('Informe Kelly'!A785,Base!A:G,7,FALSE)</f>
        <v>LEON GALVEZ GUILLERMO</v>
      </c>
      <c r="C791" s="112" t="str">
        <f>'Informe Kelly'!E785</f>
        <v>08.04.2011</v>
      </c>
      <c r="D791" s="112" t="e">
        <f>VLOOKUP(A791,Ingreso!K:P,6,FALSE)</f>
        <v>#N/A</v>
      </c>
      <c r="E791" s="142" t="e">
        <f>(VLOOKUP(D791,$D$2:$E$4,2,FALSE))-(IF('Informe Kelly'!H785=$A$2,'Informe Kelly'!F785,VLOOKUP(D791,$D$2:$E$4,2,FALSE)))</f>
        <v>#N/A</v>
      </c>
      <c r="F791" s="142" t="e">
        <f>IF('Informe Kelly'!H785=$A$3,'Informe Kelly'!F785,VLOOKUP(D791,$D$2:$F$4,3,FALSE))-(VLOOKUP(D791,$D$2:$F$4,3,FALSE))</f>
        <v>#N/A</v>
      </c>
      <c r="G791" s="137" t="e">
        <f t="shared" si="16"/>
        <v>#N/A</v>
      </c>
    </row>
    <row r="792" spans="1:7">
      <c r="A792" s="112" t="str">
        <f>VLOOKUP('Informe Kelly'!A786,Base!A:B,2,FALSE)</f>
        <v>09.878.189-7</v>
      </c>
      <c r="B792" s="112" t="str">
        <f>VLOOKUP('Informe Kelly'!A786,Base!A:G,7,FALSE)</f>
        <v>LEON GALVEZ GUILLERMO</v>
      </c>
      <c r="C792" s="112" t="str">
        <f>'Informe Kelly'!E786</f>
        <v>08.04.2011</v>
      </c>
      <c r="D792" s="112" t="e">
        <f>VLOOKUP(A792,Ingreso!K:P,6,FALSE)</f>
        <v>#N/A</v>
      </c>
      <c r="E792" s="142" t="e">
        <f>(VLOOKUP(D792,$D$2:$E$4,2,FALSE))-(IF('Informe Kelly'!H786=$A$2,'Informe Kelly'!F786,VLOOKUP(D792,$D$2:$E$4,2,FALSE)))</f>
        <v>#N/A</v>
      </c>
      <c r="F792" s="142" t="e">
        <f>IF('Informe Kelly'!H786=$A$3,'Informe Kelly'!F786,VLOOKUP(D792,$D$2:$F$4,3,FALSE))-(VLOOKUP(D792,$D$2:$F$4,3,FALSE))</f>
        <v>#N/A</v>
      </c>
      <c r="G792" s="137" t="e">
        <f t="shared" si="16"/>
        <v>#N/A</v>
      </c>
    </row>
    <row r="793" spans="1:7">
      <c r="A793" s="112" t="str">
        <f>VLOOKUP('Informe Kelly'!A787,Base!A:B,2,FALSE)</f>
        <v>09.878.189-7</v>
      </c>
      <c r="B793" s="112" t="str">
        <f>VLOOKUP('Informe Kelly'!A787,Base!A:G,7,FALSE)</f>
        <v>LEON GALVEZ GUILLERMO</v>
      </c>
      <c r="C793" s="112" t="str">
        <f>'Informe Kelly'!E787</f>
        <v>08.04.2011</v>
      </c>
      <c r="D793" s="112" t="e">
        <f>VLOOKUP(A793,Ingreso!K:P,6,FALSE)</f>
        <v>#N/A</v>
      </c>
      <c r="E793" s="142" t="e">
        <f>(VLOOKUP(D793,$D$2:$E$4,2,FALSE))-(IF('Informe Kelly'!H787=$A$2,'Informe Kelly'!F787,VLOOKUP(D793,$D$2:$E$4,2,FALSE)))</f>
        <v>#N/A</v>
      </c>
      <c r="F793" s="142" t="e">
        <f>IF('Informe Kelly'!H787=$A$3,'Informe Kelly'!F787,VLOOKUP(D793,$D$2:$F$4,3,FALSE))-(VLOOKUP(D793,$D$2:$F$4,3,FALSE))</f>
        <v>#N/A</v>
      </c>
      <c r="G793" s="137" t="e">
        <f t="shared" si="16"/>
        <v>#N/A</v>
      </c>
    </row>
    <row r="794" spans="1:7">
      <c r="A794" s="112" t="str">
        <f>VLOOKUP('Informe Kelly'!A788,Base!A:B,2,FALSE)</f>
        <v>09.878.189-7</v>
      </c>
      <c r="B794" s="112" t="str">
        <f>VLOOKUP('Informe Kelly'!A788,Base!A:G,7,FALSE)</f>
        <v>LEON GALVEZ GUILLERMO</v>
      </c>
      <c r="C794" s="112" t="str">
        <f>'Informe Kelly'!E788</f>
        <v>09.04.2011</v>
      </c>
      <c r="D794" s="112" t="e">
        <f>VLOOKUP(A794,Ingreso!K:P,6,FALSE)</f>
        <v>#N/A</v>
      </c>
      <c r="E794" s="142" t="e">
        <f>(VLOOKUP(D794,$D$2:$E$4,2,FALSE))-(IF('Informe Kelly'!H788=$A$2,'Informe Kelly'!F788,VLOOKUP(D794,$D$2:$E$4,2,FALSE)))</f>
        <v>#N/A</v>
      </c>
      <c r="F794" s="142" t="e">
        <f>IF('Informe Kelly'!H788=$A$3,'Informe Kelly'!F788,VLOOKUP(D794,$D$2:$F$4,3,FALSE))-(VLOOKUP(D794,$D$2:$F$4,3,FALSE))</f>
        <v>#N/A</v>
      </c>
      <c r="G794" s="137" t="e">
        <f t="shared" si="16"/>
        <v>#N/A</v>
      </c>
    </row>
    <row r="795" spans="1:7">
      <c r="A795" s="112" t="str">
        <f>VLOOKUP('Informe Kelly'!A789,Base!A:B,2,FALSE)</f>
        <v>09.878.189-7</v>
      </c>
      <c r="B795" s="112" t="str">
        <f>VLOOKUP('Informe Kelly'!A789,Base!A:G,7,FALSE)</f>
        <v>LEON GALVEZ GUILLERMO</v>
      </c>
      <c r="C795" s="112" t="str">
        <f>'Informe Kelly'!E789</f>
        <v>09.04.2011</v>
      </c>
      <c r="D795" s="112" t="e">
        <f>VLOOKUP(A795,Ingreso!K:P,6,FALSE)</f>
        <v>#N/A</v>
      </c>
      <c r="E795" s="142" t="e">
        <f>(VLOOKUP(D795,$D$2:$E$4,2,FALSE))-(IF('Informe Kelly'!H789=$A$2,'Informe Kelly'!F789,VLOOKUP(D795,$D$2:$E$4,2,FALSE)))</f>
        <v>#N/A</v>
      </c>
      <c r="F795" s="142" t="e">
        <f>IF('Informe Kelly'!H789=$A$3,'Informe Kelly'!F789,VLOOKUP(D795,$D$2:$F$4,3,FALSE))-(VLOOKUP(D795,$D$2:$F$4,3,FALSE))</f>
        <v>#N/A</v>
      </c>
      <c r="G795" s="137" t="e">
        <f t="shared" si="16"/>
        <v>#N/A</v>
      </c>
    </row>
    <row r="796" spans="1:7">
      <c r="A796" s="112" t="str">
        <f>VLOOKUP('Informe Kelly'!A790,Base!A:B,2,FALSE)</f>
        <v>09.957.527-1</v>
      </c>
      <c r="B796" s="112" t="str">
        <f>VLOOKUP('Informe Kelly'!A790,Base!A:G,7,FALSE)</f>
        <v>DURAN  MUÑOZ,JUAN LISANDRO</v>
      </c>
      <c r="C796" s="112" t="str">
        <f>'Informe Kelly'!E790</f>
        <v>04.04.2011</v>
      </c>
      <c r="D796" s="112" t="e">
        <f>VLOOKUP(A796,Ingreso!K:P,6,FALSE)</f>
        <v>#N/A</v>
      </c>
      <c r="E796" s="142" t="e">
        <f>(VLOOKUP(D796,$D$2:$E$4,2,FALSE))-(IF('Informe Kelly'!H790=$A$2,'Informe Kelly'!F790,VLOOKUP(D796,$D$2:$E$4,2,FALSE)))</f>
        <v>#N/A</v>
      </c>
      <c r="F796" s="142" t="e">
        <f>IF('Informe Kelly'!H790=$A$3,'Informe Kelly'!F790,VLOOKUP(D796,$D$2:$F$4,3,FALSE))-(VLOOKUP(D796,$D$2:$F$4,3,FALSE))</f>
        <v>#N/A</v>
      </c>
      <c r="G796" s="137" t="e">
        <f t="shared" si="16"/>
        <v>#N/A</v>
      </c>
    </row>
    <row r="797" spans="1:7">
      <c r="A797" s="112" t="str">
        <f>VLOOKUP('Informe Kelly'!A791,Base!A:B,2,FALSE)</f>
        <v>09.957.527-1</v>
      </c>
      <c r="B797" s="112" t="str">
        <f>VLOOKUP('Informe Kelly'!A791,Base!A:G,7,FALSE)</f>
        <v>DURAN  MUÑOZ,JUAN LISANDRO</v>
      </c>
      <c r="C797" s="112" t="str">
        <f>'Informe Kelly'!E791</f>
        <v>05.04.2011</v>
      </c>
      <c r="D797" s="112" t="e">
        <f>VLOOKUP(A797,Ingreso!K:P,6,FALSE)</f>
        <v>#N/A</v>
      </c>
      <c r="E797" s="142" t="e">
        <f>(VLOOKUP(D797,$D$2:$E$4,2,FALSE))-(IF('Informe Kelly'!H791=$A$2,'Informe Kelly'!F791,VLOOKUP(D797,$D$2:$E$4,2,FALSE)))</f>
        <v>#N/A</v>
      </c>
      <c r="F797" s="142" t="e">
        <f>IF('Informe Kelly'!H791=$A$3,'Informe Kelly'!F791,VLOOKUP(D797,$D$2:$F$4,3,FALSE))-(VLOOKUP(D797,$D$2:$F$4,3,FALSE))</f>
        <v>#N/A</v>
      </c>
      <c r="G797" s="137" t="e">
        <f t="shared" si="16"/>
        <v>#N/A</v>
      </c>
    </row>
    <row r="798" spans="1:7">
      <c r="A798" s="112" t="str">
        <f>VLOOKUP('Informe Kelly'!A792,Base!A:B,2,FALSE)</f>
        <v>09.957.527-1</v>
      </c>
      <c r="B798" s="112" t="str">
        <f>VLOOKUP('Informe Kelly'!A792,Base!A:G,7,FALSE)</f>
        <v>DURAN  MUÑOZ,JUAN LISANDRO</v>
      </c>
      <c r="C798" s="112" t="str">
        <f>'Informe Kelly'!E792</f>
        <v>05.04.2011</v>
      </c>
      <c r="D798" s="112" t="e">
        <f>VLOOKUP(A798,Ingreso!K:P,6,FALSE)</f>
        <v>#N/A</v>
      </c>
      <c r="E798" s="142" t="e">
        <f>(VLOOKUP(D798,$D$2:$E$4,2,FALSE))-(IF('Informe Kelly'!H792=$A$2,'Informe Kelly'!F792,VLOOKUP(D798,$D$2:$E$4,2,FALSE)))</f>
        <v>#N/A</v>
      </c>
      <c r="F798" s="142" t="e">
        <f>IF('Informe Kelly'!H792=$A$3,'Informe Kelly'!F792,VLOOKUP(D798,$D$2:$F$4,3,FALSE))-(VLOOKUP(D798,$D$2:$F$4,3,FALSE))</f>
        <v>#N/A</v>
      </c>
      <c r="G798" s="137" t="e">
        <f t="shared" si="16"/>
        <v>#N/A</v>
      </c>
    </row>
    <row r="799" spans="1:7">
      <c r="A799" s="112" t="str">
        <f>VLOOKUP('Informe Kelly'!A793,Base!A:B,2,FALSE)</f>
        <v>09.957.527-1</v>
      </c>
      <c r="B799" s="112" t="str">
        <f>VLOOKUP('Informe Kelly'!A793,Base!A:G,7,FALSE)</f>
        <v>DURAN  MUÑOZ,JUAN LISANDRO</v>
      </c>
      <c r="C799" s="112" t="str">
        <f>'Informe Kelly'!E793</f>
        <v>06.04.2011</v>
      </c>
      <c r="D799" s="112" t="e">
        <f>VLOOKUP(A799,Ingreso!K:P,6,FALSE)</f>
        <v>#N/A</v>
      </c>
      <c r="E799" s="142" t="e">
        <f>(VLOOKUP(D799,$D$2:$E$4,2,FALSE))-(IF('Informe Kelly'!H793=$A$2,'Informe Kelly'!F793,VLOOKUP(D799,$D$2:$E$4,2,FALSE)))</f>
        <v>#N/A</v>
      </c>
      <c r="F799" s="142" t="e">
        <f>IF('Informe Kelly'!H793=$A$3,'Informe Kelly'!F793,VLOOKUP(D799,$D$2:$F$4,3,FALSE))-(VLOOKUP(D799,$D$2:$F$4,3,FALSE))</f>
        <v>#N/A</v>
      </c>
      <c r="G799" s="137" t="e">
        <f t="shared" si="16"/>
        <v>#N/A</v>
      </c>
    </row>
    <row r="800" spans="1:7">
      <c r="A800" s="112" t="str">
        <f>VLOOKUP('Informe Kelly'!A794,Base!A:B,2,FALSE)</f>
        <v>09.957.527-1</v>
      </c>
      <c r="B800" s="112" t="str">
        <f>VLOOKUP('Informe Kelly'!A794,Base!A:G,7,FALSE)</f>
        <v>DURAN  MUÑOZ,JUAN LISANDRO</v>
      </c>
      <c r="C800" s="112" t="str">
        <f>'Informe Kelly'!E794</f>
        <v>06.04.2011</v>
      </c>
      <c r="D800" s="112" t="e">
        <f>VLOOKUP(A800,Ingreso!K:P,6,FALSE)</f>
        <v>#N/A</v>
      </c>
      <c r="E800" s="142" t="e">
        <f>(VLOOKUP(D800,$D$2:$E$4,2,FALSE))-(IF('Informe Kelly'!H794=$A$2,'Informe Kelly'!F794,VLOOKUP(D800,$D$2:$E$4,2,FALSE)))</f>
        <v>#N/A</v>
      </c>
      <c r="F800" s="142" t="e">
        <f>IF('Informe Kelly'!H794=$A$3,'Informe Kelly'!F794,VLOOKUP(D800,$D$2:$F$4,3,FALSE))-(VLOOKUP(D800,$D$2:$F$4,3,FALSE))</f>
        <v>#N/A</v>
      </c>
      <c r="G800" s="137" t="e">
        <f t="shared" si="16"/>
        <v>#N/A</v>
      </c>
    </row>
    <row r="801" spans="1:7">
      <c r="A801" s="112" t="str">
        <f>VLOOKUP('Informe Kelly'!A795,Base!A:B,2,FALSE)</f>
        <v>09.957.527-1</v>
      </c>
      <c r="B801" s="112" t="str">
        <f>VLOOKUP('Informe Kelly'!A795,Base!A:G,7,FALSE)</f>
        <v>DURAN  MUÑOZ,JUAN LISANDRO</v>
      </c>
      <c r="C801" s="112" t="str">
        <f>'Informe Kelly'!E795</f>
        <v>07.04.2011</v>
      </c>
      <c r="D801" s="112" t="e">
        <f>VLOOKUP(A801,Ingreso!K:P,6,FALSE)</f>
        <v>#N/A</v>
      </c>
      <c r="E801" s="142" t="e">
        <f>(VLOOKUP(D801,$D$2:$E$4,2,FALSE))-(IF('Informe Kelly'!H795=$A$2,'Informe Kelly'!F795,VLOOKUP(D801,$D$2:$E$4,2,FALSE)))</f>
        <v>#N/A</v>
      </c>
      <c r="F801" s="142" t="e">
        <f>IF('Informe Kelly'!H795=$A$3,'Informe Kelly'!F795,VLOOKUP(D801,$D$2:$F$4,3,FALSE))-(VLOOKUP(D801,$D$2:$F$4,3,FALSE))</f>
        <v>#N/A</v>
      </c>
      <c r="G801" s="137" t="e">
        <f t="shared" si="16"/>
        <v>#N/A</v>
      </c>
    </row>
    <row r="802" spans="1:7">
      <c r="A802" s="112" t="str">
        <f>VLOOKUP('Informe Kelly'!A796,Base!A:B,2,FALSE)</f>
        <v>09.957.527-1</v>
      </c>
      <c r="B802" s="112" t="str">
        <f>VLOOKUP('Informe Kelly'!A796,Base!A:G,7,FALSE)</f>
        <v>DURAN  MUÑOZ,JUAN LISANDRO</v>
      </c>
      <c r="C802" s="112" t="str">
        <f>'Informe Kelly'!E796</f>
        <v>07.04.2011</v>
      </c>
      <c r="D802" s="112" t="e">
        <f>VLOOKUP(A802,Ingreso!K:P,6,FALSE)</f>
        <v>#N/A</v>
      </c>
      <c r="E802" s="142" t="e">
        <f>(VLOOKUP(D802,$D$2:$E$4,2,FALSE))-(IF('Informe Kelly'!H796=$A$2,'Informe Kelly'!F796,VLOOKUP(D802,$D$2:$E$4,2,FALSE)))</f>
        <v>#N/A</v>
      </c>
      <c r="F802" s="142" t="e">
        <f>IF('Informe Kelly'!H796=$A$3,'Informe Kelly'!F796,VLOOKUP(D802,$D$2:$F$4,3,FALSE))-(VLOOKUP(D802,$D$2:$F$4,3,FALSE))</f>
        <v>#N/A</v>
      </c>
      <c r="G802" s="137" t="e">
        <f t="shared" si="16"/>
        <v>#N/A</v>
      </c>
    </row>
    <row r="803" spans="1:7">
      <c r="A803" s="112" t="str">
        <f>VLOOKUP('Informe Kelly'!A797,Base!A:B,2,FALSE)</f>
        <v>09.957.527-1</v>
      </c>
      <c r="B803" s="112" t="str">
        <f>VLOOKUP('Informe Kelly'!A797,Base!A:G,7,FALSE)</f>
        <v>DURAN  MUÑOZ,JUAN LISANDRO</v>
      </c>
      <c r="C803" s="112" t="str">
        <f>'Informe Kelly'!E797</f>
        <v>08.04.2011</v>
      </c>
      <c r="D803" s="112" t="e">
        <f>VLOOKUP(A803,Ingreso!K:P,6,FALSE)</f>
        <v>#N/A</v>
      </c>
      <c r="E803" s="142" t="e">
        <f>(VLOOKUP(D803,$D$2:$E$4,2,FALSE))-(IF('Informe Kelly'!H797=$A$2,'Informe Kelly'!F797,VLOOKUP(D803,$D$2:$E$4,2,FALSE)))</f>
        <v>#N/A</v>
      </c>
      <c r="F803" s="142" t="e">
        <f>IF('Informe Kelly'!H797=$A$3,'Informe Kelly'!F797,VLOOKUP(D803,$D$2:$F$4,3,FALSE))-(VLOOKUP(D803,$D$2:$F$4,3,FALSE))</f>
        <v>#N/A</v>
      </c>
      <c r="G803" s="137" t="e">
        <f t="shared" si="16"/>
        <v>#N/A</v>
      </c>
    </row>
    <row r="804" spans="1:7">
      <c r="A804" s="112" t="str">
        <f>VLOOKUP('Informe Kelly'!A798,Base!A:B,2,FALSE)</f>
        <v>09.957.527-1</v>
      </c>
      <c r="B804" s="112" t="str">
        <f>VLOOKUP('Informe Kelly'!A798,Base!A:G,7,FALSE)</f>
        <v>DURAN  MUÑOZ,JUAN LISANDRO</v>
      </c>
      <c r="C804" s="112" t="str">
        <f>'Informe Kelly'!E798</f>
        <v>08.04.2011</v>
      </c>
      <c r="D804" s="112" t="e">
        <f>VLOOKUP(A804,Ingreso!K:P,6,FALSE)</f>
        <v>#N/A</v>
      </c>
      <c r="E804" s="142" t="e">
        <f>(VLOOKUP(D804,$D$2:$E$4,2,FALSE))-(IF('Informe Kelly'!H798=$A$2,'Informe Kelly'!F798,VLOOKUP(D804,$D$2:$E$4,2,FALSE)))</f>
        <v>#N/A</v>
      </c>
      <c r="F804" s="142" t="e">
        <f>IF('Informe Kelly'!H798=$A$3,'Informe Kelly'!F798,VLOOKUP(D804,$D$2:$F$4,3,FALSE))-(VLOOKUP(D804,$D$2:$F$4,3,FALSE))</f>
        <v>#N/A</v>
      </c>
      <c r="G804" s="137" t="e">
        <f t="shared" si="16"/>
        <v>#N/A</v>
      </c>
    </row>
    <row r="805" spans="1:7">
      <c r="A805" s="112" t="str">
        <f>VLOOKUP('Informe Kelly'!A799,Base!A:B,2,FALSE)</f>
        <v>09.957.527-1</v>
      </c>
      <c r="B805" s="112" t="str">
        <f>VLOOKUP('Informe Kelly'!A799,Base!A:G,7,FALSE)</f>
        <v>DURAN  MUÑOZ,JUAN LISANDRO</v>
      </c>
      <c r="C805" s="112" t="str">
        <f>'Informe Kelly'!E799</f>
        <v>09.04.2011</v>
      </c>
      <c r="D805" s="112" t="e">
        <f>VLOOKUP(A805,Ingreso!K:P,6,FALSE)</f>
        <v>#N/A</v>
      </c>
      <c r="E805" s="142" t="e">
        <f>(VLOOKUP(D805,$D$2:$E$4,2,FALSE))-(IF('Informe Kelly'!H799=$A$2,'Informe Kelly'!F799,VLOOKUP(D805,$D$2:$E$4,2,FALSE)))</f>
        <v>#N/A</v>
      </c>
      <c r="F805" s="142" t="e">
        <f>IF('Informe Kelly'!H799=$A$3,'Informe Kelly'!F799,VLOOKUP(D805,$D$2:$F$4,3,FALSE))-(VLOOKUP(D805,$D$2:$F$4,3,FALSE))</f>
        <v>#N/A</v>
      </c>
      <c r="G805" s="137" t="e">
        <f t="shared" si="16"/>
        <v>#N/A</v>
      </c>
    </row>
    <row r="806" spans="1:7">
      <c r="A806" s="112" t="str">
        <f>VLOOKUP('Informe Kelly'!A800,Base!A:B,2,FALSE)</f>
        <v>09.989.723-6</v>
      </c>
      <c r="B806" s="112" t="str">
        <f>VLOOKUP('Informe Kelly'!A800,Base!A:G,7,FALSE)</f>
        <v>HERNANDEZ CESPEDES FRANKLIN LEONEL</v>
      </c>
      <c r="C806" s="112" t="str">
        <f>'Informe Kelly'!E800</f>
        <v>04.04.2011</v>
      </c>
      <c r="D806" s="112" t="e">
        <f>VLOOKUP(A806,Ingreso!K:P,6,FALSE)</f>
        <v>#N/A</v>
      </c>
      <c r="E806" s="142" t="e">
        <f>(VLOOKUP(D806,$D$2:$E$4,2,FALSE))-(IF('Informe Kelly'!H800=$A$2,'Informe Kelly'!F800,VLOOKUP(D806,$D$2:$E$4,2,FALSE)))</f>
        <v>#N/A</v>
      </c>
      <c r="F806" s="142" t="e">
        <f>IF('Informe Kelly'!H800=$A$3,'Informe Kelly'!F800,VLOOKUP(D806,$D$2:$F$4,3,FALSE))-(VLOOKUP(D806,$D$2:$F$4,3,FALSE))</f>
        <v>#N/A</v>
      </c>
      <c r="G806" s="137" t="e">
        <f t="shared" si="16"/>
        <v>#N/A</v>
      </c>
    </row>
    <row r="807" spans="1:7">
      <c r="A807" s="112" t="str">
        <f>VLOOKUP('Informe Kelly'!A801,Base!A:B,2,FALSE)</f>
        <v>09.989.723-6</v>
      </c>
      <c r="B807" s="112" t="str">
        <f>VLOOKUP('Informe Kelly'!A801,Base!A:G,7,FALSE)</f>
        <v>HERNANDEZ CESPEDES FRANKLIN LEONEL</v>
      </c>
      <c r="C807" s="112" t="str">
        <f>'Informe Kelly'!E801</f>
        <v>04.04.2011</v>
      </c>
      <c r="D807" s="112" t="e">
        <f>VLOOKUP(A807,Ingreso!K:P,6,FALSE)</f>
        <v>#N/A</v>
      </c>
      <c r="E807" s="142" t="e">
        <f>(VLOOKUP(D807,$D$2:$E$4,2,FALSE))-(IF('Informe Kelly'!H801=$A$2,'Informe Kelly'!F801,VLOOKUP(D807,$D$2:$E$4,2,FALSE)))</f>
        <v>#N/A</v>
      </c>
      <c r="F807" s="142" t="e">
        <f>IF('Informe Kelly'!H801=$A$3,'Informe Kelly'!F801,VLOOKUP(D807,$D$2:$F$4,3,FALSE))-(VLOOKUP(D807,$D$2:$F$4,3,FALSE))</f>
        <v>#N/A</v>
      </c>
      <c r="G807" s="137" t="e">
        <f t="shared" si="16"/>
        <v>#N/A</v>
      </c>
    </row>
    <row r="808" spans="1:7">
      <c r="A808" s="112" t="str">
        <f>VLOOKUP('Informe Kelly'!A802,Base!A:B,2,FALSE)</f>
        <v>09.989.723-6</v>
      </c>
      <c r="B808" s="112" t="str">
        <f>VLOOKUP('Informe Kelly'!A802,Base!A:G,7,FALSE)</f>
        <v>HERNANDEZ CESPEDES FRANKLIN LEONEL</v>
      </c>
      <c r="C808" s="112" t="str">
        <f>'Informe Kelly'!E802</f>
        <v>05.04.2011</v>
      </c>
      <c r="D808" s="112" t="e">
        <f>VLOOKUP(A808,Ingreso!K:P,6,FALSE)</f>
        <v>#N/A</v>
      </c>
      <c r="E808" s="142" t="e">
        <f>(VLOOKUP(D808,$D$2:$E$4,2,FALSE))-(IF('Informe Kelly'!H802=$A$2,'Informe Kelly'!F802,VLOOKUP(D808,$D$2:$E$4,2,FALSE)))</f>
        <v>#N/A</v>
      </c>
      <c r="F808" s="142" t="e">
        <f>IF('Informe Kelly'!H802=$A$3,'Informe Kelly'!F802,VLOOKUP(D808,$D$2:$F$4,3,FALSE))-(VLOOKUP(D808,$D$2:$F$4,3,FALSE))</f>
        <v>#N/A</v>
      </c>
      <c r="G808" s="137" t="e">
        <f t="shared" si="16"/>
        <v>#N/A</v>
      </c>
    </row>
    <row r="809" spans="1:7">
      <c r="A809" s="112" t="str">
        <f>VLOOKUP('Informe Kelly'!A803,Base!A:B,2,FALSE)</f>
        <v>09.989.723-6</v>
      </c>
      <c r="B809" s="112" t="str">
        <f>VLOOKUP('Informe Kelly'!A803,Base!A:G,7,FALSE)</f>
        <v>HERNANDEZ CESPEDES FRANKLIN LEONEL</v>
      </c>
      <c r="C809" s="112" t="str">
        <f>'Informe Kelly'!E803</f>
        <v>05.04.2011</v>
      </c>
      <c r="D809" s="112" t="e">
        <f>VLOOKUP(A809,Ingreso!K:P,6,FALSE)</f>
        <v>#N/A</v>
      </c>
      <c r="E809" s="142" t="e">
        <f>(VLOOKUP(D809,$D$2:$E$4,2,FALSE))-(IF('Informe Kelly'!H803=$A$2,'Informe Kelly'!F803,VLOOKUP(D809,$D$2:$E$4,2,FALSE)))</f>
        <v>#N/A</v>
      </c>
      <c r="F809" s="142" t="e">
        <f>IF('Informe Kelly'!H803=$A$3,'Informe Kelly'!F803,VLOOKUP(D809,$D$2:$F$4,3,FALSE))-(VLOOKUP(D809,$D$2:$F$4,3,FALSE))</f>
        <v>#N/A</v>
      </c>
      <c r="G809" s="137" t="e">
        <f t="shared" si="16"/>
        <v>#N/A</v>
      </c>
    </row>
    <row r="810" spans="1:7">
      <c r="A810" s="112" t="str">
        <f>VLOOKUP('Informe Kelly'!A804,Base!A:B,2,FALSE)</f>
        <v>09.989.723-6</v>
      </c>
      <c r="B810" s="112" t="str">
        <f>VLOOKUP('Informe Kelly'!A804,Base!A:G,7,FALSE)</f>
        <v>HERNANDEZ CESPEDES FRANKLIN LEONEL</v>
      </c>
      <c r="C810" s="112" t="str">
        <f>'Informe Kelly'!E804</f>
        <v>06.04.2011</v>
      </c>
      <c r="D810" s="112" t="e">
        <f>VLOOKUP(A810,Ingreso!K:P,6,FALSE)</f>
        <v>#N/A</v>
      </c>
      <c r="E810" s="142" t="e">
        <f>(VLOOKUP(D810,$D$2:$E$4,2,FALSE))-(IF('Informe Kelly'!H804=$A$2,'Informe Kelly'!F804,VLOOKUP(D810,$D$2:$E$4,2,FALSE)))</f>
        <v>#N/A</v>
      </c>
      <c r="F810" s="142" t="e">
        <f>IF('Informe Kelly'!H804=$A$3,'Informe Kelly'!F804,VLOOKUP(D810,$D$2:$F$4,3,FALSE))-(VLOOKUP(D810,$D$2:$F$4,3,FALSE))</f>
        <v>#N/A</v>
      </c>
      <c r="G810" s="137" t="e">
        <f t="shared" si="16"/>
        <v>#N/A</v>
      </c>
    </row>
    <row r="811" spans="1:7">
      <c r="A811" s="112" t="str">
        <f>VLOOKUP('Informe Kelly'!A805,Base!A:B,2,FALSE)</f>
        <v>09.989.723-6</v>
      </c>
      <c r="B811" s="112" t="str">
        <f>VLOOKUP('Informe Kelly'!A805,Base!A:G,7,FALSE)</f>
        <v>HERNANDEZ CESPEDES FRANKLIN LEONEL</v>
      </c>
      <c r="C811" s="112" t="str">
        <f>'Informe Kelly'!E805</f>
        <v>06.04.2011</v>
      </c>
      <c r="D811" s="112" t="e">
        <f>VLOOKUP(A811,Ingreso!K:P,6,FALSE)</f>
        <v>#N/A</v>
      </c>
      <c r="E811" s="142" t="e">
        <f>(VLOOKUP(D811,$D$2:$E$4,2,FALSE))-(IF('Informe Kelly'!H805=$A$2,'Informe Kelly'!F805,VLOOKUP(D811,$D$2:$E$4,2,FALSE)))</f>
        <v>#N/A</v>
      </c>
      <c r="F811" s="142" t="e">
        <f>IF('Informe Kelly'!H805=$A$3,'Informe Kelly'!F805,VLOOKUP(D811,$D$2:$F$4,3,FALSE))-(VLOOKUP(D811,$D$2:$F$4,3,FALSE))</f>
        <v>#N/A</v>
      </c>
      <c r="G811" s="137" t="e">
        <f t="shared" si="16"/>
        <v>#N/A</v>
      </c>
    </row>
    <row r="812" spans="1:7">
      <c r="A812" s="112" t="str">
        <f>VLOOKUP('Informe Kelly'!A806,Base!A:B,2,FALSE)</f>
        <v>09.989.723-6</v>
      </c>
      <c r="B812" s="112" t="str">
        <f>VLOOKUP('Informe Kelly'!A806,Base!A:G,7,FALSE)</f>
        <v>HERNANDEZ CESPEDES FRANKLIN LEONEL</v>
      </c>
      <c r="C812" s="112" t="str">
        <f>'Informe Kelly'!E806</f>
        <v>07.04.2011</v>
      </c>
      <c r="D812" s="112" t="e">
        <f>VLOOKUP(A812,Ingreso!K:P,6,FALSE)</f>
        <v>#N/A</v>
      </c>
      <c r="E812" s="142" t="e">
        <f>(VLOOKUP(D812,$D$2:$E$4,2,FALSE))-(IF('Informe Kelly'!H806=$A$2,'Informe Kelly'!F806,VLOOKUP(D812,$D$2:$E$4,2,FALSE)))</f>
        <v>#N/A</v>
      </c>
      <c r="F812" s="142" t="e">
        <f>IF('Informe Kelly'!H806=$A$3,'Informe Kelly'!F806,VLOOKUP(D812,$D$2:$F$4,3,FALSE))-(VLOOKUP(D812,$D$2:$F$4,3,FALSE))</f>
        <v>#N/A</v>
      </c>
      <c r="G812" s="137" t="e">
        <f t="shared" si="16"/>
        <v>#N/A</v>
      </c>
    </row>
    <row r="813" spans="1:7">
      <c r="A813" s="112" t="str">
        <f>VLOOKUP('Informe Kelly'!A807,Base!A:B,2,FALSE)</f>
        <v>09.989.723-6</v>
      </c>
      <c r="B813" s="112" t="str">
        <f>VLOOKUP('Informe Kelly'!A807,Base!A:G,7,FALSE)</f>
        <v>HERNANDEZ CESPEDES FRANKLIN LEONEL</v>
      </c>
      <c r="C813" s="112" t="str">
        <f>'Informe Kelly'!E807</f>
        <v>07.04.2011</v>
      </c>
      <c r="D813" s="112" t="e">
        <f>VLOOKUP(A813,Ingreso!K:P,6,FALSE)</f>
        <v>#N/A</v>
      </c>
      <c r="E813" s="142" t="e">
        <f>(VLOOKUP(D813,$D$2:$E$4,2,FALSE))-(IF('Informe Kelly'!H807=$A$2,'Informe Kelly'!F807,VLOOKUP(D813,$D$2:$E$4,2,FALSE)))</f>
        <v>#N/A</v>
      </c>
      <c r="F813" s="142" t="e">
        <f>IF('Informe Kelly'!H807=$A$3,'Informe Kelly'!F807,VLOOKUP(D813,$D$2:$F$4,3,FALSE))-(VLOOKUP(D813,$D$2:$F$4,3,FALSE))</f>
        <v>#N/A</v>
      </c>
      <c r="G813" s="137" t="e">
        <f t="shared" si="16"/>
        <v>#N/A</v>
      </c>
    </row>
    <row r="814" spans="1:7">
      <c r="A814" s="112" t="str">
        <f>VLOOKUP('Informe Kelly'!A808,Base!A:B,2,FALSE)</f>
        <v>09.989.723-6</v>
      </c>
      <c r="B814" s="112" t="str">
        <f>VLOOKUP('Informe Kelly'!A808,Base!A:G,7,FALSE)</f>
        <v>HERNANDEZ CESPEDES FRANKLIN LEONEL</v>
      </c>
      <c r="C814" s="112" t="str">
        <f>'Informe Kelly'!E808</f>
        <v>08.04.2011</v>
      </c>
      <c r="D814" s="112" t="e">
        <f>VLOOKUP(A814,Ingreso!K:P,6,FALSE)</f>
        <v>#N/A</v>
      </c>
      <c r="E814" s="142" t="e">
        <f>(VLOOKUP(D814,$D$2:$E$4,2,FALSE))-(IF('Informe Kelly'!H808=$A$2,'Informe Kelly'!F808,VLOOKUP(D814,$D$2:$E$4,2,FALSE)))</f>
        <v>#N/A</v>
      </c>
      <c r="F814" s="142" t="e">
        <f>IF('Informe Kelly'!H808=$A$3,'Informe Kelly'!F808,VLOOKUP(D814,$D$2:$F$4,3,FALSE))-(VLOOKUP(D814,$D$2:$F$4,3,FALSE))</f>
        <v>#N/A</v>
      </c>
      <c r="G814" s="137" t="e">
        <f t="shared" si="16"/>
        <v>#N/A</v>
      </c>
    </row>
    <row r="815" spans="1:7">
      <c r="A815" s="112" t="str">
        <f>VLOOKUP('Informe Kelly'!A809,Base!A:B,2,FALSE)</f>
        <v>09.989.723-6</v>
      </c>
      <c r="B815" s="112" t="str">
        <f>VLOOKUP('Informe Kelly'!A809,Base!A:G,7,FALSE)</f>
        <v>HERNANDEZ CESPEDES FRANKLIN LEONEL</v>
      </c>
      <c r="C815" s="112" t="str">
        <f>'Informe Kelly'!E809</f>
        <v>08.04.2011</v>
      </c>
      <c r="D815" s="112" t="e">
        <f>VLOOKUP(A815,Ingreso!K:P,6,FALSE)</f>
        <v>#N/A</v>
      </c>
      <c r="E815" s="142" t="e">
        <f>(VLOOKUP(D815,$D$2:$E$4,2,FALSE))-(IF('Informe Kelly'!H809=$A$2,'Informe Kelly'!F809,VLOOKUP(D815,$D$2:$E$4,2,FALSE)))</f>
        <v>#N/A</v>
      </c>
      <c r="F815" s="142" t="e">
        <f>IF('Informe Kelly'!H809=$A$3,'Informe Kelly'!F809,VLOOKUP(D815,$D$2:$F$4,3,FALSE))-(VLOOKUP(D815,$D$2:$F$4,3,FALSE))</f>
        <v>#N/A</v>
      </c>
      <c r="G815" s="137" t="e">
        <f t="shared" si="16"/>
        <v>#N/A</v>
      </c>
    </row>
    <row r="816" spans="1:7">
      <c r="A816" s="112" t="str">
        <f>VLOOKUP('Informe Kelly'!A810,Base!A:B,2,FALSE)</f>
        <v>09.989.723-6</v>
      </c>
      <c r="B816" s="112" t="str">
        <f>VLOOKUP('Informe Kelly'!A810,Base!A:G,7,FALSE)</f>
        <v>HERNANDEZ CESPEDES FRANKLIN LEONEL</v>
      </c>
      <c r="C816" s="112" t="str">
        <f>'Informe Kelly'!E810</f>
        <v>09.04.2011</v>
      </c>
      <c r="D816" s="112" t="e">
        <f>VLOOKUP(A816,Ingreso!K:P,6,FALSE)</f>
        <v>#N/A</v>
      </c>
      <c r="E816" s="142" t="e">
        <f>(VLOOKUP(D816,$D$2:$E$4,2,FALSE))-(IF('Informe Kelly'!H810=$A$2,'Informe Kelly'!F810,VLOOKUP(D816,$D$2:$E$4,2,FALSE)))</f>
        <v>#N/A</v>
      </c>
      <c r="F816" s="142" t="e">
        <f>IF('Informe Kelly'!H810=$A$3,'Informe Kelly'!F810,VLOOKUP(D816,$D$2:$F$4,3,FALSE))-(VLOOKUP(D816,$D$2:$F$4,3,FALSE))</f>
        <v>#N/A</v>
      </c>
      <c r="G816" s="137" t="e">
        <f t="shared" si="16"/>
        <v>#N/A</v>
      </c>
    </row>
    <row r="817" spans="1:7">
      <c r="A817" s="112" t="str">
        <f>VLOOKUP('Informe Kelly'!A811,Base!A:B,2,FALSE)</f>
        <v>09.989.723-6</v>
      </c>
      <c r="B817" s="112" t="str">
        <f>VLOOKUP('Informe Kelly'!A811,Base!A:G,7,FALSE)</f>
        <v>HERNANDEZ CESPEDES FRANKLIN LEONEL</v>
      </c>
      <c r="C817" s="112" t="str">
        <f>'Informe Kelly'!E811</f>
        <v>09.04.2011</v>
      </c>
      <c r="D817" s="112" t="e">
        <f>VLOOKUP(A817,Ingreso!K:P,6,FALSE)</f>
        <v>#N/A</v>
      </c>
      <c r="E817" s="142" t="e">
        <f>(VLOOKUP(D817,$D$2:$E$4,2,FALSE))-(IF('Informe Kelly'!H811=$A$2,'Informe Kelly'!F811,VLOOKUP(D817,$D$2:$E$4,2,FALSE)))</f>
        <v>#N/A</v>
      </c>
      <c r="F817" s="142" t="e">
        <f>IF('Informe Kelly'!H811=$A$3,'Informe Kelly'!F811,VLOOKUP(D817,$D$2:$F$4,3,FALSE))-(VLOOKUP(D817,$D$2:$F$4,3,FALSE))</f>
        <v>#N/A</v>
      </c>
      <c r="G817" s="137" t="e">
        <f t="shared" si="16"/>
        <v>#N/A</v>
      </c>
    </row>
    <row r="818" spans="1:7">
      <c r="A818" s="112" t="str">
        <f>VLOOKUP('Informe Kelly'!A812,Base!A:B,2,FALSE)</f>
        <v>10.033.627-8</v>
      </c>
      <c r="B818" s="112" t="str">
        <f>VLOOKUP('Informe Kelly'!A812,Base!A:G,7,FALSE)</f>
        <v>MOLINA FERNANDEZ ANTONIO MARCO</v>
      </c>
      <c r="C818" s="112" t="str">
        <f>'Informe Kelly'!E812</f>
        <v>04.04.2011</v>
      </c>
      <c r="D818" s="112" t="e">
        <f>VLOOKUP(A818,Ingreso!K:P,6,FALSE)</f>
        <v>#N/A</v>
      </c>
      <c r="E818" s="142" t="e">
        <f>(VLOOKUP(D818,$D$2:$E$4,2,FALSE))-(IF('Informe Kelly'!H812=$A$2,'Informe Kelly'!F812,VLOOKUP(D818,$D$2:$E$4,2,FALSE)))</f>
        <v>#N/A</v>
      </c>
      <c r="F818" s="142" t="e">
        <f>IF('Informe Kelly'!H812=$A$3,'Informe Kelly'!F812,VLOOKUP(D818,$D$2:$F$4,3,FALSE))-(VLOOKUP(D818,$D$2:$F$4,3,FALSE))</f>
        <v>#N/A</v>
      </c>
      <c r="G818" s="137" t="e">
        <f t="shared" si="16"/>
        <v>#N/A</v>
      </c>
    </row>
    <row r="819" spans="1:7">
      <c r="A819" s="112" t="str">
        <f>VLOOKUP('Informe Kelly'!A813,Base!A:B,2,FALSE)</f>
        <v>10.033.627-8</v>
      </c>
      <c r="B819" s="112" t="str">
        <f>VLOOKUP('Informe Kelly'!A813,Base!A:G,7,FALSE)</f>
        <v>MOLINA FERNANDEZ ANTONIO MARCO</v>
      </c>
      <c r="C819" s="112" t="str">
        <f>'Informe Kelly'!E813</f>
        <v>05.04.2011</v>
      </c>
      <c r="D819" s="112" t="e">
        <f>VLOOKUP(A819,Ingreso!K:P,6,FALSE)</f>
        <v>#N/A</v>
      </c>
      <c r="E819" s="142" t="e">
        <f>(VLOOKUP(D819,$D$2:$E$4,2,FALSE))-(IF('Informe Kelly'!H813=$A$2,'Informe Kelly'!F813,VLOOKUP(D819,$D$2:$E$4,2,FALSE)))</f>
        <v>#N/A</v>
      </c>
      <c r="F819" s="142" t="e">
        <f>IF('Informe Kelly'!H813=$A$3,'Informe Kelly'!F813,VLOOKUP(D819,$D$2:$F$4,3,FALSE))-(VLOOKUP(D819,$D$2:$F$4,3,FALSE))</f>
        <v>#N/A</v>
      </c>
      <c r="G819" s="137" t="e">
        <f t="shared" si="16"/>
        <v>#N/A</v>
      </c>
    </row>
    <row r="820" spans="1:7">
      <c r="A820" s="112" t="str">
        <f>VLOOKUP('Informe Kelly'!A814,Base!A:B,2,FALSE)</f>
        <v>10.033.627-8</v>
      </c>
      <c r="B820" s="112" t="str">
        <f>VLOOKUP('Informe Kelly'!A814,Base!A:G,7,FALSE)</f>
        <v>MOLINA FERNANDEZ ANTONIO MARCO</v>
      </c>
      <c r="C820" s="112" t="str">
        <f>'Informe Kelly'!E814</f>
        <v>05.04.2011</v>
      </c>
      <c r="D820" s="112" t="e">
        <f>VLOOKUP(A820,Ingreso!K:P,6,FALSE)</f>
        <v>#N/A</v>
      </c>
      <c r="E820" s="142" t="e">
        <f>(VLOOKUP(D820,$D$2:$E$4,2,FALSE))-(IF('Informe Kelly'!H814=$A$2,'Informe Kelly'!F814,VLOOKUP(D820,$D$2:$E$4,2,FALSE)))</f>
        <v>#N/A</v>
      </c>
      <c r="F820" s="142" t="e">
        <f>IF('Informe Kelly'!H814=$A$3,'Informe Kelly'!F814,VLOOKUP(D820,$D$2:$F$4,3,FALSE))-(VLOOKUP(D820,$D$2:$F$4,3,FALSE))</f>
        <v>#N/A</v>
      </c>
      <c r="G820" s="137" t="e">
        <f t="shared" si="16"/>
        <v>#N/A</v>
      </c>
    </row>
    <row r="821" spans="1:7">
      <c r="A821" s="112" t="str">
        <f>VLOOKUP('Informe Kelly'!A815,Base!A:B,2,FALSE)</f>
        <v>10.033.627-8</v>
      </c>
      <c r="B821" s="112" t="str">
        <f>VLOOKUP('Informe Kelly'!A815,Base!A:G,7,FALSE)</f>
        <v>MOLINA FERNANDEZ ANTONIO MARCO</v>
      </c>
      <c r="C821" s="112" t="str">
        <f>'Informe Kelly'!E815</f>
        <v>06.04.2011</v>
      </c>
      <c r="D821" s="112" t="e">
        <f>VLOOKUP(A821,Ingreso!K:P,6,FALSE)</f>
        <v>#N/A</v>
      </c>
      <c r="E821" s="142" t="e">
        <f>(VLOOKUP(D821,$D$2:$E$4,2,FALSE))-(IF('Informe Kelly'!H815=$A$2,'Informe Kelly'!F815,VLOOKUP(D821,$D$2:$E$4,2,FALSE)))</f>
        <v>#N/A</v>
      </c>
      <c r="F821" s="142" t="e">
        <f>IF('Informe Kelly'!H815=$A$3,'Informe Kelly'!F815,VLOOKUP(D821,$D$2:$F$4,3,FALSE))-(VLOOKUP(D821,$D$2:$F$4,3,FALSE))</f>
        <v>#N/A</v>
      </c>
      <c r="G821" s="137" t="e">
        <f t="shared" si="16"/>
        <v>#N/A</v>
      </c>
    </row>
    <row r="822" spans="1:7">
      <c r="A822" s="112" t="str">
        <f>VLOOKUP('Informe Kelly'!A816,Base!A:B,2,FALSE)</f>
        <v>10.033.627-8</v>
      </c>
      <c r="B822" s="112" t="str">
        <f>VLOOKUP('Informe Kelly'!A816,Base!A:G,7,FALSE)</f>
        <v>MOLINA FERNANDEZ ANTONIO MARCO</v>
      </c>
      <c r="C822" s="112" t="str">
        <f>'Informe Kelly'!E816</f>
        <v>06.04.2011</v>
      </c>
      <c r="D822" s="112" t="e">
        <f>VLOOKUP(A822,Ingreso!K:P,6,FALSE)</f>
        <v>#N/A</v>
      </c>
      <c r="E822" s="142" t="e">
        <f>(VLOOKUP(D822,$D$2:$E$4,2,FALSE))-(IF('Informe Kelly'!H816=$A$2,'Informe Kelly'!F816,VLOOKUP(D822,$D$2:$E$4,2,FALSE)))</f>
        <v>#N/A</v>
      </c>
      <c r="F822" s="142" t="e">
        <f>IF('Informe Kelly'!H816=$A$3,'Informe Kelly'!F816,VLOOKUP(D822,$D$2:$F$4,3,FALSE))-(VLOOKUP(D822,$D$2:$F$4,3,FALSE))</f>
        <v>#N/A</v>
      </c>
      <c r="G822" s="137" t="e">
        <f t="shared" si="16"/>
        <v>#N/A</v>
      </c>
    </row>
    <row r="823" spans="1:7">
      <c r="A823" s="112" t="str">
        <f>VLOOKUP('Informe Kelly'!A817,Base!A:B,2,FALSE)</f>
        <v>10.033.627-8</v>
      </c>
      <c r="B823" s="112" t="str">
        <f>VLOOKUP('Informe Kelly'!A817,Base!A:G,7,FALSE)</f>
        <v>MOLINA FERNANDEZ ANTONIO MARCO</v>
      </c>
      <c r="C823" s="112" t="str">
        <f>'Informe Kelly'!E817</f>
        <v>07.04.2011</v>
      </c>
      <c r="D823" s="112" t="e">
        <f>VLOOKUP(A823,Ingreso!K:P,6,FALSE)</f>
        <v>#N/A</v>
      </c>
      <c r="E823" s="142" t="e">
        <f>(VLOOKUP(D823,$D$2:$E$4,2,FALSE))-(IF('Informe Kelly'!H817=$A$2,'Informe Kelly'!F817,VLOOKUP(D823,$D$2:$E$4,2,FALSE)))</f>
        <v>#N/A</v>
      </c>
      <c r="F823" s="142" t="e">
        <f>IF('Informe Kelly'!H817=$A$3,'Informe Kelly'!F817,VLOOKUP(D823,$D$2:$F$4,3,FALSE))-(VLOOKUP(D823,$D$2:$F$4,3,FALSE))</f>
        <v>#N/A</v>
      </c>
      <c r="G823" s="137" t="e">
        <f t="shared" si="16"/>
        <v>#N/A</v>
      </c>
    </row>
    <row r="824" spans="1:7">
      <c r="A824" s="112" t="str">
        <f>VLOOKUP('Informe Kelly'!A818,Base!A:B,2,FALSE)</f>
        <v>10.033.627-8</v>
      </c>
      <c r="B824" s="112" t="str">
        <f>VLOOKUP('Informe Kelly'!A818,Base!A:G,7,FALSE)</f>
        <v>MOLINA FERNANDEZ ANTONIO MARCO</v>
      </c>
      <c r="C824" s="112" t="str">
        <f>'Informe Kelly'!E818</f>
        <v>07.04.2011</v>
      </c>
      <c r="D824" s="112" t="e">
        <f>VLOOKUP(A824,Ingreso!K:P,6,FALSE)</f>
        <v>#N/A</v>
      </c>
      <c r="E824" s="142" t="e">
        <f>(VLOOKUP(D824,$D$2:$E$4,2,FALSE))-(IF('Informe Kelly'!H818=$A$2,'Informe Kelly'!F818,VLOOKUP(D824,$D$2:$E$4,2,FALSE)))</f>
        <v>#N/A</v>
      </c>
      <c r="F824" s="142" t="e">
        <f>IF('Informe Kelly'!H818=$A$3,'Informe Kelly'!F818,VLOOKUP(D824,$D$2:$F$4,3,FALSE))-(VLOOKUP(D824,$D$2:$F$4,3,FALSE))</f>
        <v>#N/A</v>
      </c>
      <c r="G824" s="137" t="e">
        <f t="shared" si="16"/>
        <v>#N/A</v>
      </c>
    </row>
    <row r="825" spans="1:7">
      <c r="A825" s="112" t="str">
        <f>VLOOKUP('Informe Kelly'!A819,Base!A:B,2,FALSE)</f>
        <v>10.033.627-8</v>
      </c>
      <c r="B825" s="112" t="str">
        <f>VLOOKUP('Informe Kelly'!A819,Base!A:G,7,FALSE)</f>
        <v>MOLINA FERNANDEZ ANTONIO MARCO</v>
      </c>
      <c r="C825" s="112" t="str">
        <f>'Informe Kelly'!E819</f>
        <v>08.04.2011</v>
      </c>
      <c r="D825" s="112" t="e">
        <f>VLOOKUP(A825,Ingreso!K:P,6,FALSE)</f>
        <v>#N/A</v>
      </c>
      <c r="E825" s="142" t="e">
        <f>(VLOOKUP(D825,$D$2:$E$4,2,FALSE))-(IF('Informe Kelly'!H819=$A$2,'Informe Kelly'!F819,VLOOKUP(D825,$D$2:$E$4,2,FALSE)))</f>
        <v>#N/A</v>
      </c>
      <c r="F825" s="142" t="e">
        <f>IF('Informe Kelly'!H819=$A$3,'Informe Kelly'!F819,VLOOKUP(D825,$D$2:$F$4,3,FALSE))-(VLOOKUP(D825,$D$2:$F$4,3,FALSE))</f>
        <v>#N/A</v>
      </c>
      <c r="G825" s="137" t="e">
        <f t="shared" si="16"/>
        <v>#N/A</v>
      </c>
    </row>
    <row r="826" spans="1:7">
      <c r="A826" s="112" t="str">
        <f>VLOOKUP('Informe Kelly'!A820,Base!A:B,2,FALSE)</f>
        <v>10.033.627-8</v>
      </c>
      <c r="B826" s="112" t="str">
        <f>VLOOKUP('Informe Kelly'!A820,Base!A:G,7,FALSE)</f>
        <v>MOLINA FERNANDEZ ANTONIO MARCO</v>
      </c>
      <c r="C826" s="112" t="str">
        <f>'Informe Kelly'!E820</f>
        <v>08.04.2011</v>
      </c>
      <c r="D826" s="112" t="e">
        <f>VLOOKUP(A826,Ingreso!K:P,6,FALSE)</f>
        <v>#N/A</v>
      </c>
      <c r="E826" s="142" t="e">
        <f>(VLOOKUP(D826,$D$2:$E$4,2,FALSE))-(IF('Informe Kelly'!H820=$A$2,'Informe Kelly'!F820,VLOOKUP(D826,$D$2:$E$4,2,FALSE)))</f>
        <v>#N/A</v>
      </c>
      <c r="F826" s="142" t="e">
        <f>IF('Informe Kelly'!H820=$A$3,'Informe Kelly'!F820,VLOOKUP(D826,$D$2:$F$4,3,FALSE))-(VLOOKUP(D826,$D$2:$F$4,3,FALSE))</f>
        <v>#N/A</v>
      </c>
      <c r="G826" s="137" t="e">
        <f t="shared" si="16"/>
        <v>#N/A</v>
      </c>
    </row>
    <row r="827" spans="1:7">
      <c r="A827" s="112" t="str">
        <f>VLOOKUP('Informe Kelly'!A821,Base!A:B,2,FALSE)</f>
        <v>10.033.627-8</v>
      </c>
      <c r="B827" s="112" t="str">
        <f>VLOOKUP('Informe Kelly'!A821,Base!A:G,7,FALSE)</f>
        <v>MOLINA FERNANDEZ ANTONIO MARCO</v>
      </c>
      <c r="C827" s="112" t="str">
        <f>'Informe Kelly'!E821</f>
        <v>09.04.2011</v>
      </c>
      <c r="D827" s="112" t="e">
        <f>VLOOKUP(A827,Ingreso!K:P,6,FALSE)</f>
        <v>#N/A</v>
      </c>
      <c r="E827" s="142" t="e">
        <f>(VLOOKUP(D827,$D$2:$E$4,2,FALSE))-(IF('Informe Kelly'!H821=$A$2,'Informe Kelly'!F821,VLOOKUP(D827,$D$2:$E$4,2,FALSE)))</f>
        <v>#N/A</v>
      </c>
      <c r="F827" s="142" t="e">
        <f>IF('Informe Kelly'!H821=$A$3,'Informe Kelly'!F821,VLOOKUP(D827,$D$2:$F$4,3,FALSE))-(VLOOKUP(D827,$D$2:$F$4,3,FALSE))</f>
        <v>#N/A</v>
      </c>
      <c r="G827" s="137" t="e">
        <f t="shared" si="16"/>
        <v>#N/A</v>
      </c>
    </row>
    <row r="828" spans="1:7">
      <c r="A828" s="112" t="str">
        <f>VLOOKUP('Informe Kelly'!A822,Base!A:B,2,FALSE)</f>
        <v>10.042.860-1</v>
      </c>
      <c r="B828" s="112" t="str">
        <f>VLOOKUP('Informe Kelly'!A822,Base!A:G,7,FALSE)</f>
        <v>QUIROGA GARCIA LUIS ABRAHAM</v>
      </c>
      <c r="C828" s="112" t="str">
        <f>'Informe Kelly'!E822</f>
        <v>04.04.2011</v>
      </c>
      <c r="D828" s="112" t="e">
        <f>VLOOKUP(A828,Ingreso!K:P,6,FALSE)</f>
        <v>#N/A</v>
      </c>
      <c r="E828" s="142" t="e">
        <f>(VLOOKUP(D828,$D$2:$E$4,2,FALSE))-(IF('Informe Kelly'!H822=$A$2,'Informe Kelly'!F822,VLOOKUP(D828,$D$2:$E$4,2,FALSE)))</f>
        <v>#N/A</v>
      </c>
      <c r="F828" s="142" t="e">
        <f>IF('Informe Kelly'!H822=$A$3,'Informe Kelly'!F822,VLOOKUP(D828,$D$2:$F$4,3,FALSE))-(VLOOKUP(D828,$D$2:$F$4,3,FALSE))</f>
        <v>#N/A</v>
      </c>
      <c r="G828" s="137" t="e">
        <f t="shared" si="16"/>
        <v>#N/A</v>
      </c>
    </row>
    <row r="829" spans="1:7">
      <c r="A829" s="112" t="str">
        <f>VLOOKUP('Informe Kelly'!A823,Base!A:B,2,FALSE)</f>
        <v>10.042.860-1</v>
      </c>
      <c r="B829" s="112" t="str">
        <f>VLOOKUP('Informe Kelly'!A823,Base!A:G,7,FALSE)</f>
        <v>QUIROGA GARCIA LUIS ABRAHAM</v>
      </c>
      <c r="C829" s="112" t="str">
        <f>'Informe Kelly'!E823</f>
        <v>04.04.2011</v>
      </c>
      <c r="D829" s="112" t="e">
        <f>VLOOKUP(A829,Ingreso!K:P,6,FALSE)</f>
        <v>#N/A</v>
      </c>
      <c r="E829" s="142" t="e">
        <f>(VLOOKUP(D829,$D$2:$E$4,2,FALSE))-(IF('Informe Kelly'!H823=$A$2,'Informe Kelly'!F823,VLOOKUP(D829,$D$2:$E$4,2,FALSE)))</f>
        <v>#N/A</v>
      </c>
      <c r="F829" s="142" t="e">
        <f>IF('Informe Kelly'!H823=$A$3,'Informe Kelly'!F823,VLOOKUP(D829,$D$2:$F$4,3,FALSE))-(VLOOKUP(D829,$D$2:$F$4,3,FALSE))</f>
        <v>#N/A</v>
      </c>
      <c r="G829" s="137" t="e">
        <f t="shared" si="16"/>
        <v>#N/A</v>
      </c>
    </row>
    <row r="830" spans="1:7">
      <c r="A830" s="112" t="str">
        <f>VLOOKUP('Informe Kelly'!A824,Base!A:B,2,FALSE)</f>
        <v>10.042.860-1</v>
      </c>
      <c r="B830" s="112" t="str">
        <f>VLOOKUP('Informe Kelly'!A824,Base!A:G,7,FALSE)</f>
        <v>QUIROGA GARCIA LUIS ABRAHAM</v>
      </c>
      <c r="C830" s="112" t="str">
        <f>'Informe Kelly'!E824</f>
        <v>05.04.2011</v>
      </c>
      <c r="D830" s="112" t="e">
        <f>VLOOKUP(A830,Ingreso!K:P,6,FALSE)</f>
        <v>#N/A</v>
      </c>
      <c r="E830" s="142" t="e">
        <f>(VLOOKUP(D830,$D$2:$E$4,2,FALSE))-(IF('Informe Kelly'!H824=$A$2,'Informe Kelly'!F824,VLOOKUP(D830,$D$2:$E$4,2,FALSE)))</f>
        <v>#N/A</v>
      </c>
      <c r="F830" s="142" t="e">
        <f>IF('Informe Kelly'!H824=$A$3,'Informe Kelly'!F824,VLOOKUP(D830,$D$2:$F$4,3,FALSE))-(VLOOKUP(D830,$D$2:$F$4,3,FALSE))</f>
        <v>#N/A</v>
      </c>
      <c r="G830" s="137" t="e">
        <f t="shared" si="16"/>
        <v>#N/A</v>
      </c>
    </row>
    <row r="831" spans="1:7">
      <c r="A831" s="112" t="str">
        <f>VLOOKUP('Informe Kelly'!A825,Base!A:B,2,FALSE)</f>
        <v>10.042.860-1</v>
      </c>
      <c r="B831" s="112" t="str">
        <f>VLOOKUP('Informe Kelly'!A825,Base!A:G,7,FALSE)</f>
        <v>QUIROGA GARCIA LUIS ABRAHAM</v>
      </c>
      <c r="C831" s="112" t="str">
        <f>'Informe Kelly'!E825</f>
        <v>05.04.2011</v>
      </c>
      <c r="D831" s="112" t="e">
        <f>VLOOKUP(A831,Ingreso!K:P,6,FALSE)</f>
        <v>#N/A</v>
      </c>
      <c r="E831" s="142" t="e">
        <f>(VLOOKUP(D831,$D$2:$E$4,2,FALSE))-(IF('Informe Kelly'!H825=$A$2,'Informe Kelly'!F825,VLOOKUP(D831,$D$2:$E$4,2,FALSE)))</f>
        <v>#N/A</v>
      </c>
      <c r="F831" s="142" t="e">
        <f>IF('Informe Kelly'!H825=$A$3,'Informe Kelly'!F825,VLOOKUP(D831,$D$2:$F$4,3,FALSE))-(VLOOKUP(D831,$D$2:$F$4,3,FALSE))</f>
        <v>#N/A</v>
      </c>
      <c r="G831" s="137" t="e">
        <f t="shared" si="16"/>
        <v>#N/A</v>
      </c>
    </row>
    <row r="832" spans="1:7">
      <c r="A832" s="112" t="str">
        <f>VLOOKUP('Informe Kelly'!A826,Base!A:B,2,FALSE)</f>
        <v>10.042.860-1</v>
      </c>
      <c r="B832" s="112" t="str">
        <f>VLOOKUP('Informe Kelly'!A826,Base!A:G,7,FALSE)</f>
        <v>QUIROGA GARCIA LUIS ABRAHAM</v>
      </c>
      <c r="C832" s="112" t="str">
        <f>'Informe Kelly'!E826</f>
        <v>06.04.2011</v>
      </c>
      <c r="D832" s="112" t="e">
        <f>VLOOKUP(A832,Ingreso!K:P,6,FALSE)</f>
        <v>#N/A</v>
      </c>
      <c r="E832" s="142" t="e">
        <f>(VLOOKUP(D832,$D$2:$E$4,2,FALSE))-(IF('Informe Kelly'!H826=$A$2,'Informe Kelly'!F826,VLOOKUP(D832,$D$2:$E$4,2,FALSE)))</f>
        <v>#N/A</v>
      </c>
      <c r="F832" s="142" t="e">
        <f>IF('Informe Kelly'!H826=$A$3,'Informe Kelly'!F826,VLOOKUP(D832,$D$2:$F$4,3,FALSE))-(VLOOKUP(D832,$D$2:$F$4,3,FALSE))</f>
        <v>#N/A</v>
      </c>
      <c r="G832" s="137" t="e">
        <f t="shared" si="16"/>
        <v>#N/A</v>
      </c>
    </row>
    <row r="833" spans="1:7">
      <c r="A833" s="112" t="str">
        <f>VLOOKUP('Informe Kelly'!A827,Base!A:B,2,FALSE)</f>
        <v>10.042.860-1</v>
      </c>
      <c r="B833" s="112" t="str">
        <f>VLOOKUP('Informe Kelly'!A827,Base!A:G,7,FALSE)</f>
        <v>QUIROGA GARCIA LUIS ABRAHAM</v>
      </c>
      <c r="C833" s="112" t="str">
        <f>'Informe Kelly'!E827</f>
        <v>06.04.2011</v>
      </c>
      <c r="D833" s="112" t="e">
        <f>VLOOKUP(A833,Ingreso!K:P,6,FALSE)</f>
        <v>#N/A</v>
      </c>
      <c r="E833" s="142" t="e">
        <f>(VLOOKUP(D833,$D$2:$E$4,2,FALSE))-(IF('Informe Kelly'!H827=$A$2,'Informe Kelly'!F827,VLOOKUP(D833,$D$2:$E$4,2,FALSE)))</f>
        <v>#N/A</v>
      </c>
      <c r="F833" s="142" t="e">
        <f>IF('Informe Kelly'!H827=$A$3,'Informe Kelly'!F827,VLOOKUP(D833,$D$2:$F$4,3,FALSE))-(VLOOKUP(D833,$D$2:$F$4,3,FALSE))</f>
        <v>#N/A</v>
      </c>
      <c r="G833" s="137" t="e">
        <f t="shared" si="16"/>
        <v>#N/A</v>
      </c>
    </row>
    <row r="834" spans="1:7">
      <c r="A834" s="112" t="str">
        <f>VLOOKUP('Informe Kelly'!A828,Base!A:B,2,FALSE)</f>
        <v>10.042.860-1</v>
      </c>
      <c r="B834" s="112" t="str">
        <f>VLOOKUP('Informe Kelly'!A828,Base!A:G,7,FALSE)</f>
        <v>QUIROGA GARCIA LUIS ABRAHAM</v>
      </c>
      <c r="C834" s="112" t="str">
        <f>'Informe Kelly'!E828</f>
        <v>07.04.2011</v>
      </c>
      <c r="D834" s="112" t="e">
        <f>VLOOKUP(A834,Ingreso!K:P,6,FALSE)</f>
        <v>#N/A</v>
      </c>
      <c r="E834" s="142" t="e">
        <f>(VLOOKUP(D834,$D$2:$E$4,2,FALSE))-(IF('Informe Kelly'!H828=$A$2,'Informe Kelly'!F828,VLOOKUP(D834,$D$2:$E$4,2,FALSE)))</f>
        <v>#N/A</v>
      </c>
      <c r="F834" s="142" t="e">
        <f>IF('Informe Kelly'!H828=$A$3,'Informe Kelly'!F828,VLOOKUP(D834,$D$2:$F$4,3,FALSE))-(VLOOKUP(D834,$D$2:$F$4,3,FALSE))</f>
        <v>#N/A</v>
      </c>
      <c r="G834" s="137" t="e">
        <f t="shared" si="16"/>
        <v>#N/A</v>
      </c>
    </row>
    <row r="835" spans="1:7">
      <c r="A835" s="112" t="str">
        <f>VLOOKUP('Informe Kelly'!A829,Base!A:B,2,FALSE)</f>
        <v>10.042.860-1</v>
      </c>
      <c r="B835" s="112" t="str">
        <f>VLOOKUP('Informe Kelly'!A829,Base!A:G,7,FALSE)</f>
        <v>QUIROGA GARCIA LUIS ABRAHAM</v>
      </c>
      <c r="C835" s="112" t="str">
        <f>'Informe Kelly'!E829</f>
        <v>07.04.2011</v>
      </c>
      <c r="D835" s="112" t="e">
        <f>VLOOKUP(A835,Ingreso!K:P,6,FALSE)</f>
        <v>#N/A</v>
      </c>
      <c r="E835" s="142" t="e">
        <f>(VLOOKUP(D835,$D$2:$E$4,2,FALSE))-(IF('Informe Kelly'!H829=$A$2,'Informe Kelly'!F829,VLOOKUP(D835,$D$2:$E$4,2,FALSE)))</f>
        <v>#N/A</v>
      </c>
      <c r="F835" s="142" t="e">
        <f>IF('Informe Kelly'!H829=$A$3,'Informe Kelly'!F829,VLOOKUP(D835,$D$2:$F$4,3,FALSE))-(VLOOKUP(D835,$D$2:$F$4,3,FALSE))</f>
        <v>#N/A</v>
      </c>
      <c r="G835" s="137" t="e">
        <f t="shared" si="16"/>
        <v>#N/A</v>
      </c>
    </row>
    <row r="836" spans="1:7">
      <c r="A836" s="112" t="str">
        <f>VLOOKUP('Informe Kelly'!A830,Base!A:B,2,FALSE)</f>
        <v>10.042.860-1</v>
      </c>
      <c r="B836" s="112" t="str">
        <f>VLOOKUP('Informe Kelly'!A830,Base!A:G,7,FALSE)</f>
        <v>QUIROGA GARCIA LUIS ABRAHAM</v>
      </c>
      <c r="C836" s="112" t="str">
        <f>'Informe Kelly'!E830</f>
        <v>08.04.2011</v>
      </c>
      <c r="D836" s="112" t="e">
        <f>VLOOKUP(A836,Ingreso!K:P,6,FALSE)</f>
        <v>#N/A</v>
      </c>
      <c r="E836" s="142" t="e">
        <f>(VLOOKUP(D836,$D$2:$E$4,2,FALSE))-(IF('Informe Kelly'!H830=$A$2,'Informe Kelly'!F830,VLOOKUP(D836,$D$2:$E$4,2,FALSE)))</f>
        <v>#N/A</v>
      </c>
      <c r="F836" s="142" t="e">
        <f>IF('Informe Kelly'!H830=$A$3,'Informe Kelly'!F830,VLOOKUP(D836,$D$2:$F$4,3,FALSE))-(VLOOKUP(D836,$D$2:$F$4,3,FALSE))</f>
        <v>#N/A</v>
      </c>
      <c r="G836" s="137" t="e">
        <f t="shared" si="16"/>
        <v>#N/A</v>
      </c>
    </row>
    <row r="837" spans="1:7">
      <c r="A837" s="112" t="str">
        <f>VLOOKUP('Informe Kelly'!A831,Base!A:B,2,FALSE)</f>
        <v>10.042.860-1</v>
      </c>
      <c r="B837" s="112" t="str">
        <f>VLOOKUP('Informe Kelly'!A831,Base!A:G,7,FALSE)</f>
        <v>QUIROGA GARCIA LUIS ABRAHAM</v>
      </c>
      <c r="C837" s="112" t="str">
        <f>'Informe Kelly'!E831</f>
        <v>08.04.2011</v>
      </c>
      <c r="D837" s="112" t="e">
        <f>VLOOKUP(A837,Ingreso!K:P,6,FALSE)</f>
        <v>#N/A</v>
      </c>
      <c r="E837" s="142" t="e">
        <f>(VLOOKUP(D837,$D$2:$E$4,2,FALSE))-(IF('Informe Kelly'!H831=$A$2,'Informe Kelly'!F831,VLOOKUP(D837,$D$2:$E$4,2,FALSE)))</f>
        <v>#N/A</v>
      </c>
      <c r="F837" s="142" t="e">
        <f>IF('Informe Kelly'!H831=$A$3,'Informe Kelly'!F831,VLOOKUP(D837,$D$2:$F$4,3,FALSE))-(VLOOKUP(D837,$D$2:$F$4,3,FALSE))</f>
        <v>#N/A</v>
      </c>
      <c r="G837" s="137" t="e">
        <f t="shared" si="16"/>
        <v>#N/A</v>
      </c>
    </row>
    <row r="838" spans="1:7">
      <c r="A838" s="112" t="str">
        <f>VLOOKUP('Informe Kelly'!A832,Base!A:B,2,FALSE)</f>
        <v>10.042.860-1</v>
      </c>
      <c r="B838" s="112" t="str">
        <f>VLOOKUP('Informe Kelly'!A832,Base!A:G,7,FALSE)</f>
        <v>QUIROGA GARCIA LUIS ABRAHAM</v>
      </c>
      <c r="C838" s="112" t="str">
        <f>'Informe Kelly'!E832</f>
        <v>09.04.2011</v>
      </c>
      <c r="D838" s="112" t="e">
        <f>VLOOKUP(A838,Ingreso!K:P,6,FALSE)</f>
        <v>#N/A</v>
      </c>
      <c r="E838" s="142" t="e">
        <f>(VLOOKUP(D838,$D$2:$E$4,2,FALSE))-(IF('Informe Kelly'!H832=$A$2,'Informe Kelly'!F832,VLOOKUP(D838,$D$2:$E$4,2,FALSE)))</f>
        <v>#N/A</v>
      </c>
      <c r="F838" s="142" t="e">
        <f>IF('Informe Kelly'!H832=$A$3,'Informe Kelly'!F832,VLOOKUP(D838,$D$2:$F$4,3,FALSE))-(VLOOKUP(D838,$D$2:$F$4,3,FALSE))</f>
        <v>#N/A</v>
      </c>
      <c r="G838" s="137" t="e">
        <f t="shared" si="16"/>
        <v>#N/A</v>
      </c>
    </row>
    <row r="839" spans="1:7">
      <c r="A839" s="112" t="str">
        <f>VLOOKUP('Informe Kelly'!A833,Base!A:B,2,FALSE)</f>
        <v>10.042.860-1</v>
      </c>
      <c r="B839" s="112" t="str">
        <f>VLOOKUP('Informe Kelly'!A833,Base!A:G,7,FALSE)</f>
        <v>QUIROGA GARCIA LUIS ABRAHAM</v>
      </c>
      <c r="C839" s="112" t="str">
        <f>'Informe Kelly'!E833</f>
        <v>09.04.2011</v>
      </c>
      <c r="D839" s="112" t="e">
        <f>VLOOKUP(A839,Ingreso!K:P,6,FALSE)</f>
        <v>#N/A</v>
      </c>
      <c r="E839" s="142" t="e">
        <f>(VLOOKUP(D839,$D$2:$E$4,2,FALSE))-(IF('Informe Kelly'!H833=$A$2,'Informe Kelly'!F833,VLOOKUP(D839,$D$2:$E$4,2,FALSE)))</f>
        <v>#N/A</v>
      </c>
      <c r="F839" s="142" t="e">
        <f>IF('Informe Kelly'!H833=$A$3,'Informe Kelly'!F833,VLOOKUP(D839,$D$2:$F$4,3,FALSE))-(VLOOKUP(D839,$D$2:$F$4,3,FALSE))</f>
        <v>#N/A</v>
      </c>
      <c r="G839" s="137" t="e">
        <f t="shared" si="16"/>
        <v>#N/A</v>
      </c>
    </row>
    <row r="840" spans="1:7">
      <c r="A840" s="112" t="str">
        <f>VLOOKUP('Informe Kelly'!A834,Base!A:B,2,FALSE)</f>
        <v>10.042.994-2</v>
      </c>
      <c r="B840" s="112" t="str">
        <f>VLOOKUP('Informe Kelly'!A834,Base!A:G,7,FALSE)</f>
        <v>CONCHA VALDEBENITO ELIZABETH</v>
      </c>
      <c r="C840" s="112" t="str">
        <f>'Informe Kelly'!E834</f>
        <v>04.04.2011</v>
      </c>
      <c r="D840" s="112" t="e">
        <f>VLOOKUP(A840,Ingreso!K:P,6,FALSE)</f>
        <v>#N/A</v>
      </c>
      <c r="E840" s="142" t="e">
        <f>(VLOOKUP(D840,$D$2:$E$4,2,FALSE))-(IF('Informe Kelly'!H834=$A$2,'Informe Kelly'!F834,VLOOKUP(D840,$D$2:$E$4,2,FALSE)))</f>
        <v>#N/A</v>
      </c>
      <c r="F840" s="142" t="e">
        <f>IF('Informe Kelly'!H834=$A$3,'Informe Kelly'!F834,VLOOKUP(D840,$D$2:$F$4,3,FALSE))-(VLOOKUP(D840,$D$2:$F$4,3,FALSE))</f>
        <v>#N/A</v>
      </c>
      <c r="G840" s="137" t="e">
        <f t="shared" si="16"/>
        <v>#N/A</v>
      </c>
    </row>
    <row r="841" spans="1:7">
      <c r="A841" s="112" t="str">
        <f>VLOOKUP('Informe Kelly'!A835,Base!A:B,2,FALSE)</f>
        <v>10.042.994-2</v>
      </c>
      <c r="B841" s="112" t="str">
        <f>VLOOKUP('Informe Kelly'!A835,Base!A:G,7,FALSE)</f>
        <v>CONCHA VALDEBENITO ELIZABETH</v>
      </c>
      <c r="C841" s="112" t="str">
        <f>'Informe Kelly'!E835</f>
        <v>04.04.2011</v>
      </c>
      <c r="D841" s="112" t="e">
        <f>VLOOKUP(A841,Ingreso!K:P,6,FALSE)</f>
        <v>#N/A</v>
      </c>
      <c r="E841" s="142" t="e">
        <f>(VLOOKUP(D841,$D$2:$E$4,2,FALSE))-(IF('Informe Kelly'!H835=$A$2,'Informe Kelly'!F835,VLOOKUP(D841,$D$2:$E$4,2,FALSE)))</f>
        <v>#N/A</v>
      </c>
      <c r="F841" s="142" t="e">
        <f>IF('Informe Kelly'!H835=$A$3,'Informe Kelly'!F835,VLOOKUP(D841,$D$2:$F$4,3,FALSE))-(VLOOKUP(D841,$D$2:$F$4,3,FALSE))</f>
        <v>#N/A</v>
      </c>
      <c r="G841" s="137" t="e">
        <f t="shared" ref="G841:G904" si="17">IF(E841="",IF(F841&lt;0.0409722222222222,0,E841),IF(E841&lt;0.0409722222222222,0,E841))</f>
        <v>#N/A</v>
      </c>
    </row>
    <row r="842" spans="1:7">
      <c r="A842" s="112" t="str">
        <f>VLOOKUP('Informe Kelly'!A836,Base!A:B,2,FALSE)</f>
        <v>10.042.994-2</v>
      </c>
      <c r="B842" s="112" t="str">
        <f>VLOOKUP('Informe Kelly'!A836,Base!A:G,7,FALSE)</f>
        <v>CONCHA VALDEBENITO ELIZABETH</v>
      </c>
      <c r="C842" s="112" t="str">
        <f>'Informe Kelly'!E836</f>
        <v>05.04.2011</v>
      </c>
      <c r="D842" s="112" t="e">
        <f>VLOOKUP(A842,Ingreso!K:P,6,FALSE)</f>
        <v>#N/A</v>
      </c>
      <c r="E842" s="142" t="e">
        <f>(VLOOKUP(D842,$D$2:$E$4,2,FALSE))-(IF('Informe Kelly'!H836=$A$2,'Informe Kelly'!F836,VLOOKUP(D842,$D$2:$E$4,2,FALSE)))</f>
        <v>#N/A</v>
      </c>
      <c r="F842" s="142" t="e">
        <f>IF('Informe Kelly'!H836=$A$3,'Informe Kelly'!F836,VLOOKUP(D842,$D$2:$F$4,3,FALSE))-(VLOOKUP(D842,$D$2:$F$4,3,FALSE))</f>
        <v>#N/A</v>
      </c>
      <c r="G842" s="137" t="e">
        <f t="shared" si="17"/>
        <v>#N/A</v>
      </c>
    </row>
    <row r="843" spans="1:7">
      <c r="A843" s="112" t="str">
        <f>VLOOKUP('Informe Kelly'!A837,Base!A:B,2,FALSE)</f>
        <v>10.042.994-2</v>
      </c>
      <c r="B843" s="112" t="str">
        <f>VLOOKUP('Informe Kelly'!A837,Base!A:G,7,FALSE)</f>
        <v>CONCHA VALDEBENITO ELIZABETH</v>
      </c>
      <c r="C843" s="112" t="str">
        <f>'Informe Kelly'!E837</f>
        <v>05.04.2011</v>
      </c>
      <c r="D843" s="112" t="e">
        <f>VLOOKUP(A843,Ingreso!K:P,6,FALSE)</f>
        <v>#N/A</v>
      </c>
      <c r="E843" s="142" t="e">
        <f>(VLOOKUP(D843,$D$2:$E$4,2,FALSE))-(IF('Informe Kelly'!H837=$A$2,'Informe Kelly'!F837,VLOOKUP(D843,$D$2:$E$4,2,FALSE)))</f>
        <v>#N/A</v>
      </c>
      <c r="F843" s="142" t="e">
        <f>IF('Informe Kelly'!H837=$A$3,'Informe Kelly'!F837,VLOOKUP(D843,$D$2:$F$4,3,FALSE))-(VLOOKUP(D843,$D$2:$F$4,3,FALSE))</f>
        <v>#N/A</v>
      </c>
      <c r="G843" s="137" t="e">
        <f t="shared" si="17"/>
        <v>#N/A</v>
      </c>
    </row>
    <row r="844" spans="1:7">
      <c r="A844" s="112" t="str">
        <f>VLOOKUP('Informe Kelly'!A838,Base!A:B,2,FALSE)</f>
        <v>10.042.994-2</v>
      </c>
      <c r="B844" s="112" t="str">
        <f>VLOOKUP('Informe Kelly'!A838,Base!A:G,7,FALSE)</f>
        <v>CONCHA VALDEBENITO ELIZABETH</v>
      </c>
      <c r="C844" s="112" t="str">
        <f>'Informe Kelly'!E838</f>
        <v>06.04.2011</v>
      </c>
      <c r="D844" s="112" t="e">
        <f>VLOOKUP(A844,Ingreso!K:P,6,FALSE)</f>
        <v>#N/A</v>
      </c>
      <c r="E844" s="142" t="e">
        <f>(VLOOKUP(D844,$D$2:$E$4,2,FALSE))-(IF('Informe Kelly'!H838=$A$2,'Informe Kelly'!F838,VLOOKUP(D844,$D$2:$E$4,2,FALSE)))</f>
        <v>#N/A</v>
      </c>
      <c r="F844" s="142" t="e">
        <f>IF('Informe Kelly'!H838=$A$3,'Informe Kelly'!F838,VLOOKUP(D844,$D$2:$F$4,3,FALSE))-(VLOOKUP(D844,$D$2:$F$4,3,FALSE))</f>
        <v>#N/A</v>
      </c>
      <c r="G844" s="137" t="e">
        <f t="shared" si="17"/>
        <v>#N/A</v>
      </c>
    </row>
    <row r="845" spans="1:7">
      <c r="A845" s="112" t="str">
        <f>VLOOKUP('Informe Kelly'!A839,Base!A:B,2,FALSE)</f>
        <v>10.042.994-2</v>
      </c>
      <c r="B845" s="112" t="str">
        <f>VLOOKUP('Informe Kelly'!A839,Base!A:G,7,FALSE)</f>
        <v>CONCHA VALDEBENITO ELIZABETH</v>
      </c>
      <c r="C845" s="112" t="str">
        <f>'Informe Kelly'!E839</f>
        <v>06.04.2011</v>
      </c>
      <c r="D845" s="112" t="e">
        <f>VLOOKUP(A845,Ingreso!K:P,6,FALSE)</f>
        <v>#N/A</v>
      </c>
      <c r="E845" s="142" t="e">
        <f>(VLOOKUP(D845,$D$2:$E$4,2,FALSE))-(IF('Informe Kelly'!H839=$A$2,'Informe Kelly'!F839,VLOOKUP(D845,$D$2:$E$4,2,FALSE)))</f>
        <v>#N/A</v>
      </c>
      <c r="F845" s="142" t="e">
        <f>IF('Informe Kelly'!H839=$A$3,'Informe Kelly'!F839,VLOOKUP(D845,$D$2:$F$4,3,FALSE))-(VLOOKUP(D845,$D$2:$F$4,3,FALSE))</f>
        <v>#N/A</v>
      </c>
      <c r="G845" s="137" t="e">
        <f t="shared" si="17"/>
        <v>#N/A</v>
      </c>
    </row>
    <row r="846" spans="1:7">
      <c r="A846" s="112" t="str">
        <f>VLOOKUP('Informe Kelly'!A840,Base!A:B,2,FALSE)</f>
        <v>10.042.994-2</v>
      </c>
      <c r="B846" s="112" t="str">
        <f>VLOOKUP('Informe Kelly'!A840,Base!A:G,7,FALSE)</f>
        <v>CONCHA VALDEBENITO ELIZABETH</v>
      </c>
      <c r="C846" s="112" t="str">
        <f>'Informe Kelly'!E840</f>
        <v>07.04.2011</v>
      </c>
      <c r="D846" s="112" t="e">
        <f>VLOOKUP(A846,Ingreso!K:P,6,FALSE)</f>
        <v>#N/A</v>
      </c>
      <c r="E846" s="142" t="e">
        <f>(VLOOKUP(D846,$D$2:$E$4,2,FALSE))-(IF('Informe Kelly'!H840=$A$2,'Informe Kelly'!F840,VLOOKUP(D846,$D$2:$E$4,2,FALSE)))</f>
        <v>#N/A</v>
      </c>
      <c r="F846" s="142" t="e">
        <f>IF('Informe Kelly'!H840=$A$3,'Informe Kelly'!F840,VLOOKUP(D846,$D$2:$F$4,3,FALSE))-(VLOOKUP(D846,$D$2:$F$4,3,FALSE))</f>
        <v>#N/A</v>
      </c>
      <c r="G846" s="137" t="e">
        <f t="shared" si="17"/>
        <v>#N/A</v>
      </c>
    </row>
    <row r="847" spans="1:7">
      <c r="A847" s="112" t="str">
        <f>VLOOKUP('Informe Kelly'!A841,Base!A:B,2,FALSE)</f>
        <v>10.042.994-2</v>
      </c>
      <c r="B847" s="112" t="str">
        <f>VLOOKUP('Informe Kelly'!A841,Base!A:G,7,FALSE)</f>
        <v>CONCHA VALDEBENITO ELIZABETH</v>
      </c>
      <c r="C847" s="112" t="str">
        <f>'Informe Kelly'!E841</f>
        <v>07.04.2011</v>
      </c>
      <c r="D847" s="112" t="e">
        <f>VLOOKUP(A847,Ingreso!K:P,6,FALSE)</f>
        <v>#N/A</v>
      </c>
      <c r="E847" s="142" t="e">
        <f>(VLOOKUP(D847,$D$2:$E$4,2,FALSE))-(IF('Informe Kelly'!H841=$A$2,'Informe Kelly'!F841,VLOOKUP(D847,$D$2:$E$4,2,FALSE)))</f>
        <v>#N/A</v>
      </c>
      <c r="F847" s="142" t="e">
        <f>IF('Informe Kelly'!H841=$A$3,'Informe Kelly'!F841,VLOOKUP(D847,$D$2:$F$4,3,FALSE))-(VLOOKUP(D847,$D$2:$F$4,3,FALSE))</f>
        <v>#N/A</v>
      </c>
      <c r="G847" s="137" t="e">
        <f t="shared" si="17"/>
        <v>#N/A</v>
      </c>
    </row>
    <row r="848" spans="1:7">
      <c r="A848" s="112" t="str">
        <f>VLOOKUP('Informe Kelly'!A842,Base!A:B,2,FALSE)</f>
        <v>10.042.994-2</v>
      </c>
      <c r="B848" s="112" t="str">
        <f>VLOOKUP('Informe Kelly'!A842,Base!A:G,7,FALSE)</f>
        <v>CONCHA VALDEBENITO ELIZABETH</v>
      </c>
      <c r="C848" s="112" t="str">
        <f>'Informe Kelly'!E842</f>
        <v>08.04.2011</v>
      </c>
      <c r="D848" s="112" t="e">
        <f>VLOOKUP(A848,Ingreso!K:P,6,FALSE)</f>
        <v>#N/A</v>
      </c>
      <c r="E848" s="142" t="e">
        <f>(VLOOKUP(D848,$D$2:$E$4,2,FALSE))-(IF('Informe Kelly'!H842=$A$2,'Informe Kelly'!F842,VLOOKUP(D848,$D$2:$E$4,2,FALSE)))</f>
        <v>#N/A</v>
      </c>
      <c r="F848" s="142" t="e">
        <f>IF('Informe Kelly'!H842=$A$3,'Informe Kelly'!F842,VLOOKUP(D848,$D$2:$F$4,3,FALSE))-(VLOOKUP(D848,$D$2:$F$4,3,FALSE))</f>
        <v>#N/A</v>
      </c>
      <c r="G848" s="137" t="e">
        <f t="shared" si="17"/>
        <v>#N/A</v>
      </c>
    </row>
    <row r="849" spans="1:7">
      <c r="A849" s="112" t="str">
        <f>VLOOKUP('Informe Kelly'!A843,Base!A:B,2,FALSE)</f>
        <v>10.042.994-2</v>
      </c>
      <c r="B849" s="112" t="str">
        <f>VLOOKUP('Informe Kelly'!A843,Base!A:G,7,FALSE)</f>
        <v>CONCHA VALDEBENITO ELIZABETH</v>
      </c>
      <c r="C849" s="112" t="str">
        <f>'Informe Kelly'!E843</f>
        <v>08.04.2011</v>
      </c>
      <c r="D849" s="112" t="e">
        <f>VLOOKUP(A849,Ingreso!K:P,6,FALSE)</f>
        <v>#N/A</v>
      </c>
      <c r="E849" s="142" t="e">
        <f>(VLOOKUP(D849,$D$2:$E$4,2,FALSE))-(IF('Informe Kelly'!H843=$A$2,'Informe Kelly'!F843,VLOOKUP(D849,$D$2:$E$4,2,FALSE)))</f>
        <v>#N/A</v>
      </c>
      <c r="F849" s="142" t="e">
        <f>IF('Informe Kelly'!H843=$A$3,'Informe Kelly'!F843,VLOOKUP(D849,$D$2:$F$4,3,FALSE))-(VLOOKUP(D849,$D$2:$F$4,3,FALSE))</f>
        <v>#N/A</v>
      </c>
      <c r="G849" s="137" t="e">
        <f t="shared" si="17"/>
        <v>#N/A</v>
      </c>
    </row>
    <row r="850" spans="1:7">
      <c r="A850" s="112" t="str">
        <f>VLOOKUP('Informe Kelly'!A844,Base!A:B,2,FALSE)</f>
        <v>10.042.994-2</v>
      </c>
      <c r="B850" s="112" t="str">
        <f>VLOOKUP('Informe Kelly'!A844,Base!A:G,7,FALSE)</f>
        <v>CONCHA VALDEBENITO ELIZABETH</v>
      </c>
      <c r="C850" s="112" t="str">
        <f>'Informe Kelly'!E844</f>
        <v>09.04.2011</v>
      </c>
      <c r="D850" s="112" t="e">
        <f>VLOOKUP(A850,Ingreso!K:P,6,FALSE)</f>
        <v>#N/A</v>
      </c>
      <c r="E850" s="142" t="e">
        <f>(VLOOKUP(D850,$D$2:$E$4,2,FALSE))-(IF('Informe Kelly'!H844=$A$2,'Informe Kelly'!F844,VLOOKUP(D850,$D$2:$E$4,2,FALSE)))</f>
        <v>#N/A</v>
      </c>
      <c r="F850" s="142" t="e">
        <f>IF('Informe Kelly'!H844=$A$3,'Informe Kelly'!F844,VLOOKUP(D850,$D$2:$F$4,3,FALSE))-(VLOOKUP(D850,$D$2:$F$4,3,FALSE))</f>
        <v>#N/A</v>
      </c>
      <c r="G850" s="137" t="e">
        <f t="shared" si="17"/>
        <v>#N/A</v>
      </c>
    </row>
    <row r="851" spans="1:7">
      <c r="A851" s="112" t="str">
        <f>VLOOKUP('Informe Kelly'!A845,Base!A:B,2,FALSE)</f>
        <v>10.042.994-2</v>
      </c>
      <c r="B851" s="112" t="str">
        <f>VLOOKUP('Informe Kelly'!A845,Base!A:G,7,FALSE)</f>
        <v>CONCHA VALDEBENITO ELIZABETH</v>
      </c>
      <c r="C851" s="112" t="str">
        <f>'Informe Kelly'!E845</f>
        <v>09.04.2011</v>
      </c>
      <c r="D851" s="112" t="e">
        <f>VLOOKUP(A851,Ingreso!K:P,6,FALSE)</f>
        <v>#N/A</v>
      </c>
      <c r="E851" s="142" t="e">
        <f>(VLOOKUP(D851,$D$2:$E$4,2,FALSE))-(IF('Informe Kelly'!H845=$A$2,'Informe Kelly'!F845,VLOOKUP(D851,$D$2:$E$4,2,FALSE)))</f>
        <v>#N/A</v>
      </c>
      <c r="F851" s="142" t="e">
        <f>IF('Informe Kelly'!H845=$A$3,'Informe Kelly'!F845,VLOOKUP(D851,$D$2:$F$4,3,FALSE))-(VLOOKUP(D851,$D$2:$F$4,3,FALSE))</f>
        <v>#N/A</v>
      </c>
      <c r="G851" s="137" t="e">
        <f t="shared" si="17"/>
        <v>#N/A</v>
      </c>
    </row>
    <row r="852" spans="1:7">
      <c r="A852" s="112" t="str">
        <f>VLOOKUP('Informe Kelly'!A846,Base!A:B,2,FALSE)</f>
        <v>10.116.815-8</v>
      </c>
      <c r="B852" s="112" t="str">
        <f>VLOOKUP('Informe Kelly'!A846,Base!A:G,7,FALSE)</f>
        <v>BUSTOS JARA TERESA DE LAS NIEVES</v>
      </c>
      <c r="C852" s="112" t="str">
        <f>'Informe Kelly'!E846</f>
        <v>04.04.2011</v>
      </c>
      <c r="D852" s="112" t="e">
        <f>VLOOKUP(A852,Ingreso!K:P,6,FALSE)</f>
        <v>#N/A</v>
      </c>
      <c r="E852" s="142" t="e">
        <f>(VLOOKUP(D852,$D$2:$E$4,2,FALSE))-(IF('Informe Kelly'!H846=$A$2,'Informe Kelly'!F846,VLOOKUP(D852,$D$2:$E$4,2,FALSE)))</f>
        <v>#N/A</v>
      </c>
      <c r="F852" s="142" t="e">
        <f>IF('Informe Kelly'!H846=$A$3,'Informe Kelly'!F846,VLOOKUP(D852,$D$2:$F$4,3,FALSE))-(VLOOKUP(D852,$D$2:$F$4,3,FALSE))</f>
        <v>#N/A</v>
      </c>
      <c r="G852" s="137" t="e">
        <f t="shared" si="17"/>
        <v>#N/A</v>
      </c>
    </row>
    <row r="853" spans="1:7">
      <c r="A853" s="112" t="str">
        <f>VLOOKUP('Informe Kelly'!A847,Base!A:B,2,FALSE)</f>
        <v>10.116.815-8</v>
      </c>
      <c r="B853" s="112" t="str">
        <f>VLOOKUP('Informe Kelly'!A847,Base!A:G,7,FALSE)</f>
        <v>BUSTOS JARA TERESA DE LAS NIEVES</v>
      </c>
      <c r="C853" s="112" t="str">
        <f>'Informe Kelly'!E847</f>
        <v>04.04.2011</v>
      </c>
      <c r="D853" s="112" t="e">
        <f>VLOOKUP(A853,Ingreso!K:P,6,FALSE)</f>
        <v>#N/A</v>
      </c>
      <c r="E853" s="142" t="e">
        <f>(VLOOKUP(D853,$D$2:$E$4,2,FALSE))-(IF('Informe Kelly'!H847=$A$2,'Informe Kelly'!F847,VLOOKUP(D853,$D$2:$E$4,2,FALSE)))</f>
        <v>#N/A</v>
      </c>
      <c r="F853" s="142" t="e">
        <f>IF('Informe Kelly'!H847=$A$3,'Informe Kelly'!F847,VLOOKUP(D853,$D$2:$F$4,3,FALSE))-(VLOOKUP(D853,$D$2:$F$4,3,FALSE))</f>
        <v>#N/A</v>
      </c>
      <c r="G853" s="137" t="e">
        <f t="shared" si="17"/>
        <v>#N/A</v>
      </c>
    </row>
    <row r="854" spans="1:7">
      <c r="A854" s="112" t="str">
        <f>VLOOKUP('Informe Kelly'!A848,Base!A:B,2,FALSE)</f>
        <v>10.116.815-8</v>
      </c>
      <c r="B854" s="112" t="str">
        <f>VLOOKUP('Informe Kelly'!A848,Base!A:G,7,FALSE)</f>
        <v>BUSTOS JARA TERESA DE LAS NIEVES</v>
      </c>
      <c r="C854" s="112" t="str">
        <f>'Informe Kelly'!E848</f>
        <v>05.04.2011</v>
      </c>
      <c r="D854" s="112" t="e">
        <f>VLOOKUP(A854,Ingreso!K:P,6,FALSE)</f>
        <v>#N/A</v>
      </c>
      <c r="E854" s="142" t="e">
        <f>(VLOOKUP(D854,$D$2:$E$4,2,FALSE))-(IF('Informe Kelly'!H848=$A$2,'Informe Kelly'!F848,VLOOKUP(D854,$D$2:$E$4,2,FALSE)))</f>
        <v>#N/A</v>
      </c>
      <c r="F854" s="142" t="e">
        <f>IF('Informe Kelly'!H848=$A$3,'Informe Kelly'!F848,VLOOKUP(D854,$D$2:$F$4,3,FALSE))-(VLOOKUP(D854,$D$2:$F$4,3,FALSE))</f>
        <v>#N/A</v>
      </c>
      <c r="G854" s="137" t="e">
        <f t="shared" si="17"/>
        <v>#N/A</v>
      </c>
    </row>
    <row r="855" spans="1:7">
      <c r="A855" s="112" t="str">
        <f>VLOOKUP('Informe Kelly'!A849,Base!A:B,2,FALSE)</f>
        <v>10.116.815-8</v>
      </c>
      <c r="B855" s="112" t="str">
        <f>VLOOKUP('Informe Kelly'!A849,Base!A:G,7,FALSE)</f>
        <v>BUSTOS JARA TERESA DE LAS NIEVES</v>
      </c>
      <c r="C855" s="112" t="str">
        <f>'Informe Kelly'!E849</f>
        <v>05.04.2011</v>
      </c>
      <c r="D855" s="112" t="e">
        <f>VLOOKUP(A855,Ingreso!K:P,6,FALSE)</f>
        <v>#N/A</v>
      </c>
      <c r="E855" s="142" t="e">
        <f>(VLOOKUP(D855,$D$2:$E$4,2,FALSE))-(IF('Informe Kelly'!H849=$A$2,'Informe Kelly'!F849,VLOOKUP(D855,$D$2:$E$4,2,FALSE)))</f>
        <v>#N/A</v>
      </c>
      <c r="F855" s="142" t="e">
        <f>IF('Informe Kelly'!H849=$A$3,'Informe Kelly'!F849,VLOOKUP(D855,$D$2:$F$4,3,FALSE))-(VLOOKUP(D855,$D$2:$F$4,3,FALSE))</f>
        <v>#N/A</v>
      </c>
      <c r="G855" s="137" t="e">
        <f t="shared" si="17"/>
        <v>#N/A</v>
      </c>
    </row>
    <row r="856" spans="1:7">
      <c r="A856" s="112" t="str">
        <f>VLOOKUP('Informe Kelly'!A850,Base!A:B,2,FALSE)</f>
        <v>10.116.815-8</v>
      </c>
      <c r="B856" s="112" t="str">
        <f>VLOOKUP('Informe Kelly'!A850,Base!A:G,7,FALSE)</f>
        <v>BUSTOS JARA TERESA DE LAS NIEVES</v>
      </c>
      <c r="C856" s="112" t="str">
        <f>'Informe Kelly'!E850</f>
        <v>06.04.2011</v>
      </c>
      <c r="D856" s="112" t="e">
        <f>VLOOKUP(A856,Ingreso!K:P,6,FALSE)</f>
        <v>#N/A</v>
      </c>
      <c r="E856" s="142" t="e">
        <f>(VLOOKUP(D856,$D$2:$E$4,2,FALSE))-(IF('Informe Kelly'!H850=$A$2,'Informe Kelly'!F850,VLOOKUP(D856,$D$2:$E$4,2,FALSE)))</f>
        <v>#N/A</v>
      </c>
      <c r="F856" s="142" t="e">
        <f>IF('Informe Kelly'!H850=$A$3,'Informe Kelly'!F850,VLOOKUP(D856,$D$2:$F$4,3,FALSE))-(VLOOKUP(D856,$D$2:$F$4,3,FALSE))</f>
        <v>#N/A</v>
      </c>
      <c r="G856" s="137" t="e">
        <f t="shared" si="17"/>
        <v>#N/A</v>
      </c>
    </row>
    <row r="857" spans="1:7">
      <c r="A857" s="112" t="str">
        <f>VLOOKUP('Informe Kelly'!A851,Base!A:B,2,FALSE)</f>
        <v>10.116.815-8</v>
      </c>
      <c r="B857" s="112" t="str">
        <f>VLOOKUP('Informe Kelly'!A851,Base!A:G,7,FALSE)</f>
        <v>BUSTOS JARA TERESA DE LAS NIEVES</v>
      </c>
      <c r="C857" s="112" t="str">
        <f>'Informe Kelly'!E851</f>
        <v>06.04.2011</v>
      </c>
      <c r="D857" s="112" t="e">
        <f>VLOOKUP(A857,Ingreso!K:P,6,FALSE)</f>
        <v>#N/A</v>
      </c>
      <c r="E857" s="142" t="e">
        <f>(VLOOKUP(D857,$D$2:$E$4,2,FALSE))-(IF('Informe Kelly'!H851=$A$2,'Informe Kelly'!F851,VLOOKUP(D857,$D$2:$E$4,2,FALSE)))</f>
        <v>#N/A</v>
      </c>
      <c r="F857" s="142" t="e">
        <f>IF('Informe Kelly'!H851=$A$3,'Informe Kelly'!F851,VLOOKUP(D857,$D$2:$F$4,3,FALSE))-(VLOOKUP(D857,$D$2:$F$4,3,FALSE))</f>
        <v>#N/A</v>
      </c>
      <c r="G857" s="137" t="e">
        <f t="shared" si="17"/>
        <v>#N/A</v>
      </c>
    </row>
    <row r="858" spans="1:7">
      <c r="A858" s="112" t="str">
        <f>VLOOKUP('Informe Kelly'!A852,Base!A:B,2,FALSE)</f>
        <v>10.116.815-8</v>
      </c>
      <c r="B858" s="112" t="str">
        <f>VLOOKUP('Informe Kelly'!A852,Base!A:G,7,FALSE)</f>
        <v>BUSTOS JARA TERESA DE LAS NIEVES</v>
      </c>
      <c r="C858" s="112" t="str">
        <f>'Informe Kelly'!E852</f>
        <v>07.04.2011</v>
      </c>
      <c r="D858" s="112" t="e">
        <f>VLOOKUP(A858,Ingreso!K:P,6,FALSE)</f>
        <v>#N/A</v>
      </c>
      <c r="E858" s="142" t="e">
        <f>(VLOOKUP(D858,$D$2:$E$4,2,FALSE))-(IF('Informe Kelly'!H852=$A$2,'Informe Kelly'!F852,VLOOKUP(D858,$D$2:$E$4,2,FALSE)))</f>
        <v>#N/A</v>
      </c>
      <c r="F858" s="142" t="e">
        <f>IF('Informe Kelly'!H852=$A$3,'Informe Kelly'!F852,VLOOKUP(D858,$D$2:$F$4,3,FALSE))-(VLOOKUP(D858,$D$2:$F$4,3,FALSE))</f>
        <v>#N/A</v>
      </c>
      <c r="G858" s="137" t="e">
        <f t="shared" si="17"/>
        <v>#N/A</v>
      </c>
    </row>
    <row r="859" spans="1:7">
      <c r="A859" s="112" t="str">
        <f>VLOOKUP('Informe Kelly'!A853,Base!A:B,2,FALSE)</f>
        <v>10.116.815-8</v>
      </c>
      <c r="B859" s="112" t="str">
        <f>VLOOKUP('Informe Kelly'!A853,Base!A:G,7,FALSE)</f>
        <v>BUSTOS JARA TERESA DE LAS NIEVES</v>
      </c>
      <c r="C859" s="112" t="str">
        <f>'Informe Kelly'!E853</f>
        <v>07.04.2011</v>
      </c>
      <c r="D859" s="112" t="e">
        <f>VLOOKUP(A859,Ingreso!K:P,6,FALSE)</f>
        <v>#N/A</v>
      </c>
      <c r="E859" s="142" t="e">
        <f>(VLOOKUP(D859,$D$2:$E$4,2,FALSE))-(IF('Informe Kelly'!H853=$A$2,'Informe Kelly'!F853,VLOOKUP(D859,$D$2:$E$4,2,FALSE)))</f>
        <v>#N/A</v>
      </c>
      <c r="F859" s="142" t="e">
        <f>IF('Informe Kelly'!H853=$A$3,'Informe Kelly'!F853,VLOOKUP(D859,$D$2:$F$4,3,FALSE))-(VLOOKUP(D859,$D$2:$F$4,3,FALSE))</f>
        <v>#N/A</v>
      </c>
      <c r="G859" s="137" t="e">
        <f t="shared" si="17"/>
        <v>#N/A</v>
      </c>
    </row>
    <row r="860" spans="1:7">
      <c r="A860" s="112" t="str">
        <f>VLOOKUP('Informe Kelly'!A854,Base!A:B,2,FALSE)</f>
        <v>10.116.815-8</v>
      </c>
      <c r="B860" s="112" t="str">
        <f>VLOOKUP('Informe Kelly'!A854,Base!A:G,7,FALSE)</f>
        <v>BUSTOS JARA TERESA DE LAS NIEVES</v>
      </c>
      <c r="C860" s="112" t="str">
        <f>'Informe Kelly'!E854</f>
        <v>08.04.2011</v>
      </c>
      <c r="D860" s="112" t="e">
        <f>VLOOKUP(A860,Ingreso!K:P,6,FALSE)</f>
        <v>#N/A</v>
      </c>
      <c r="E860" s="142" t="e">
        <f>(VLOOKUP(D860,$D$2:$E$4,2,FALSE))-(IF('Informe Kelly'!H854=$A$2,'Informe Kelly'!F854,VLOOKUP(D860,$D$2:$E$4,2,FALSE)))</f>
        <v>#N/A</v>
      </c>
      <c r="F860" s="142" t="e">
        <f>IF('Informe Kelly'!H854=$A$3,'Informe Kelly'!F854,VLOOKUP(D860,$D$2:$F$4,3,FALSE))-(VLOOKUP(D860,$D$2:$F$4,3,FALSE))</f>
        <v>#N/A</v>
      </c>
      <c r="G860" s="137" t="e">
        <f t="shared" si="17"/>
        <v>#N/A</v>
      </c>
    </row>
    <row r="861" spans="1:7">
      <c r="A861" s="112" t="str">
        <f>VLOOKUP('Informe Kelly'!A855,Base!A:B,2,FALSE)</f>
        <v>10.116.815-8</v>
      </c>
      <c r="B861" s="112" t="str">
        <f>VLOOKUP('Informe Kelly'!A855,Base!A:G,7,FALSE)</f>
        <v>BUSTOS JARA TERESA DE LAS NIEVES</v>
      </c>
      <c r="C861" s="112" t="str">
        <f>'Informe Kelly'!E855</f>
        <v>08.04.2011</v>
      </c>
      <c r="D861" s="112" t="e">
        <f>VLOOKUP(A861,Ingreso!K:P,6,FALSE)</f>
        <v>#N/A</v>
      </c>
      <c r="E861" s="142" t="e">
        <f>(VLOOKUP(D861,$D$2:$E$4,2,FALSE))-(IF('Informe Kelly'!H855=$A$2,'Informe Kelly'!F855,VLOOKUP(D861,$D$2:$E$4,2,FALSE)))</f>
        <v>#N/A</v>
      </c>
      <c r="F861" s="142" t="e">
        <f>IF('Informe Kelly'!H855=$A$3,'Informe Kelly'!F855,VLOOKUP(D861,$D$2:$F$4,3,FALSE))-(VLOOKUP(D861,$D$2:$F$4,3,FALSE))</f>
        <v>#N/A</v>
      </c>
      <c r="G861" s="137" t="e">
        <f t="shared" si="17"/>
        <v>#N/A</v>
      </c>
    </row>
    <row r="862" spans="1:7">
      <c r="A862" s="112" t="str">
        <f>VLOOKUP('Informe Kelly'!A856,Base!A:B,2,FALSE)</f>
        <v>10.116.815-8</v>
      </c>
      <c r="B862" s="112" t="str">
        <f>VLOOKUP('Informe Kelly'!A856,Base!A:G,7,FALSE)</f>
        <v>BUSTOS JARA TERESA DE LAS NIEVES</v>
      </c>
      <c r="C862" s="112" t="str">
        <f>'Informe Kelly'!E856</f>
        <v>09.04.2011</v>
      </c>
      <c r="D862" s="112" t="e">
        <f>VLOOKUP(A862,Ingreso!K:P,6,FALSE)</f>
        <v>#N/A</v>
      </c>
      <c r="E862" s="142" t="e">
        <f>(VLOOKUP(D862,$D$2:$E$4,2,FALSE))-(IF('Informe Kelly'!H856=$A$2,'Informe Kelly'!F856,VLOOKUP(D862,$D$2:$E$4,2,FALSE)))</f>
        <v>#N/A</v>
      </c>
      <c r="F862" s="142" t="e">
        <f>IF('Informe Kelly'!H856=$A$3,'Informe Kelly'!F856,VLOOKUP(D862,$D$2:$F$4,3,FALSE))-(VLOOKUP(D862,$D$2:$F$4,3,FALSE))</f>
        <v>#N/A</v>
      </c>
      <c r="G862" s="137" t="e">
        <f t="shared" si="17"/>
        <v>#N/A</v>
      </c>
    </row>
    <row r="863" spans="1:7">
      <c r="A863" s="112" t="str">
        <f>VLOOKUP('Informe Kelly'!A857,Base!A:B,2,FALSE)</f>
        <v>10.116.815-8</v>
      </c>
      <c r="B863" s="112" t="str">
        <f>VLOOKUP('Informe Kelly'!A857,Base!A:G,7,FALSE)</f>
        <v>BUSTOS JARA TERESA DE LAS NIEVES</v>
      </c>
      <c r="C863" s="112" t="str">
        <f>'Informe Kelly'!E857</f>
        <v>09.04.2011</v>
      </c>
      <c r="D863" s="112" t="e">
        <f>VLOOKUP(A863,Ingreso!K:P,6,FALSE)</f>
        <v>#N/A</v>
      </c>
      <c r="E863" s="142" t="e">
        <f>(VLOOKUP(D863,$D$2:$E$4,2,FALSE))-(IF('Informe Kelly'!H857=$A$2,'Informe Kelly'!F857,VLOOKUP(D863,$D$2:$E$4,2,FALSE)))</f>
        <v>#N/A</v>
      </c>
      <c r="F863" s="142" t="e">
        <f>IF('Informe Kelly'!H857=$A$3,'Informe Kelly'!F857,VLOOKUP(D863,$D$2:$F$4,3,FALSE))-(VLOOKUP(D863,$D$2:$F$4,3,FALSE))</f>
        <v>#N/A</v>
      </c>
      <c r="G863" s="137" t="e">
        <f t="shared" si="17"/>
        <v>#N/A</v>
      </c>
    </row>
    <row r="864" spans="1:7">
      <c r="A864" s="112" t="str">
        <f>VLOOKUP('Informe Kelly'!A858,Base!A:B,2,FALSE)</f>
        <v>10.157.067-3</v>
      </c>
      <c r="B864" s="112" t="str">
        <f>VLOOKUP('Informe Kelly'!A858,Base!A:G,7,FALSE)</f>
        <v>MELLA FRIAS MIGUEL ALBERTO</v>
      </c>
      <c r="C864" s="112" t="str">
        <f>'Informe Kelly'!E858</f>
        <v>04.04.2011</v>
      </c>
      <c r="D864" s="112" t="e">
        <f>VLOOKUP(A864,Ingreso!K:P,6,FALSE)</f>
        <v>#N/A</v>
      </c>
      <c r="E864" s="142" t="e">
        <f>(VLOOKUP(D864,$D$2:$E$4,2,FALSE))-(IF('Informe Kelly'!H858=$A$2,'Informe Kelly'!F858,VLOOKUP(D864,$D$2:$E$4,2,FALSE)))</f>
        <v>#N/A</v>
      </c>
      <c r="F864" s="142" t="e">
        <f>IF('Informe Kelly'!H858=$A$3,'Informe Kelly'!F858,VLOOKUP(D864,$D$2:$F$4,3,FALSE))-(VLOOKUP(D864,$D$2:$F$4,3,FALSE))</f>
        <v>#N/A</v>
      </c>
      <c r="G864" s="137" t="e">
        <f t="shared" si="17"/>
        <v>#N/A</v>
      </c>
    </row>
    <row r="865" spans="1:7">
      <c r="A865" s="112" t="str">
        <f>VLOOKUP('Informe Kelly'!A859,Base!A:B,2,FALSE)</f>
        <v>10.157.067-3</v>
      </c>
      <c r="B865" s="112" t="str">
        <f>VLOOKUP('Informe Kelly'!A859,Base!A:G,7,FALSE)</f>
        <v>MELLA FRIAS MIGUEL ALBERTO</v>
      </c>
      <c r="C865" s="112" t="str">
        <f>'Informe Kelly'!E859</f>
        <v>04.04.2011</v>
      </c>
      <c r="D865" s="112" t="e">
        <f>VLOOKUP(A865,Ingreso!K:P,6,FALSE)</f>
        <v>#N/A</v>
      </c>
      <c r="E865" s="142" t="e">
        <f>(VLOOKUP(D865,$D$2:$E$4,2,FALSE))-(IF('Informe Kelly'!H859=$A$2,'Informe Kelly'!F859,VLOOKUP(D865,$D$2:$E$4,2,FALSE)))</f>
        <v>#N/A</v>
      </c>
      <c r="F865" s="142" t="e">
        <f>IF('Informe Kelly'!H859=$A$3,'Informe Kelly'!F859,VLOOKUP(D865,$D$2:$F$4,3,FALSE))-(VLOOKUP(D865,$D$2:$F$4,3,FALSE))</f>
        <v>#N/A</v>
      </c>
      <c r="G865" s="137" t="e">
        <f t="shared" si="17"/>
        <v>#N/A</v>
      </c>
    </row>
    <row r="866" spans="1:7">
      <c r="A866" s="112" t="str">
        <f>VLOOKUP('Informe Kelly'!A860,Base!A:B,2,FALSE)</f>
        <v>10.157.067-3</v>
      </c>
      <c r="B866" s="112" t="str">
        <f>VLOOKUP('Informe Kelly'!A860,Base!A:G,7,FALSE)</f>
        <v>MELLA FRIAS MIGUEL ALBERTO</v>
      </c>
      <c r="C866" s="112" t="str">
        <f>'Informe Kelly'!E860</f>
        <v>05.04.2011</v>
      </c>
      <c r="D866" s="112" t="e">
        <f>VLOOKUP(A866,Ingreso!K:P,6,FALSE)</f>
        <v>#N/A</v>
      </c>
      <c r="E866" s="142" t="e">
        <f>(VLOOKUP(D866,$D$2:$E$4,2,FALSE))-(IF('Informe Kelly'!H860=$A$2,'Informe Kelly'!F860,VLOOKUP(D866,$D$2:$E$4,2,FALSE)))</f>
        <v>#N/A</v>
      </c>
      <c r="F866" s="142" t="e">
        <f>IF('Informe Kelly'!H860=$A$3,'Informe Kelly'!F860,VLOOKUP(D866,$D$2:$F$4,3,FALSE))-(VLOOKUP(D866,$D$2:$F$4,3,FALSE))</f>
        <v>#N/A</v>
      </c>
      <c r="G866" s="137" t="e">
        <f t="shared" si="17"/>
        <v>#N/A</v>
      </c>
    </row>
    <row r="867" spans="1:7">
      <c r="A867" s="112" t="str">
        <f>VLOOKUP('Informe Kelly'!A861,Base!A:B,2,FALSE)</f>
        <v>10.157.067-3</v>
      </c>
      <c r="B867" s="112" t="str">
        <f>VLOOKUP('Informe Kelly'!A861,Base!A:G,7,FALSE)</f>
        <v>MELLA FRIAS MIGUEL ALBERTO</v>
      </c>
      <c r="C867" s="112" t="str">
        <f>'Informe Kelly'!E861</f>
        <v>05.04.2011</v>
      </c>
      <c r="D867" s="112" t="e">
        <f>VLOOKUP(A867,Ingreso!K:P,6,FALSE)</f>
        <v>#N/A</v>
      </c>
      <c r="E867" s="142" t="e">
        <f>(VLOOKUP(D867,$D$2:$E$4,2,FALSE))-(IF('Informe Kelly'!H861=$A$2,'Informe Kelly'!F861,VLOOKUP(D867,$D$2:$E$4,2,FALSE)))</f>
        <v>#N/A</v>
      </c>
      <c r="F867" s="142" t="e">
        <f>IF('Informe Kelly'!H861=$A$3,'Informe Kelly'!F861,VLOOKUP(D867,$D$2:$F$4,3,FALSE))-(VLOOKUP(D867,$D$2:$F$4,3,FALSE))</f>
        <v>#N/A</v>
      </c>
      <c r="G867" s="137" t="e">
        <f t="shared" si="17"/>
        <v>#N/A</v>
      </c>
    </row>
    <row r="868" spans="1:7">
      <c r="A868" s="112" t="str">
        <f>VLOOKUP('Informe Kelly'!A862,Base!A:B,2,FALSE)</f>
        <v>10.157.067-3</v>
      </c>
      <c r="B868" s="112" t="str">
        <f>VLOOKUP('Informe Kelly'!A862,Base!A:G,7,FALSE)</f>
        <v>MELLA FRIAS MIGUEL ALBERTO</v>
      </c>
      <c r="C868" s="112" t="str">
        <f>'Informe Kelly'!E862</f>
        <v>06.04.2011</v>
      </c>
      <c r="D868" s="112" t="e">
        <f>VLOOKUP(A868,Ingreso!K:P,6,FALSE)</f>
        <v>#N/A</v>
      </c>
      <c r="E868" s="142" t="e">
        <f>(VLOOKUP(D868,$D$2:$E$4,2,FALSE))-(IF('Informe Kelly'!H862=$A$2,'Informe Kelly'!F862,VLOOKUP(D868,$D$2:$E$4,2,FALSE)))</f>
        <v>#N/A</v>
      </c>
      <c r="F868" s="142" t="e">
        <f>IF('Informe Kelly'!H862=$A$3,'Informe Kelly'!F862,VLOOKUP(D868,$D$2:$F$4,3,FALSE))-(VLOOKUP(D868,$D$2:$F$4,3,FALSE))</f>
        <v>#N/A</v>
      </c>
      <c r="G868" s="137" t="e">
        <f t="shared" si="17"/>
        <v>#N/A</v>
      </c>
    </row>
    <row r="869" spans="1:7">
      <c r="A869" s="112" t="str">
        <f>VLOOKUP('Informe Kelly'!A863,Base!A:B,2,FALSE)</f>
        <v>10.157.067-3</v>
      </c>
      <c r="B869" s="112" t="str">
        <f>VLOOKUP('Informe Kelly'!A863,Base!A:G,7,FALSE)</f>
        <v>MELLA FRIAS MIGUEL ALBERTO</v>
      </c>
      <c r="C869" s="112" t="str">
        <f>'Informe Kelly'!E863</f>
        <v>06.04.2011</v>
      </c>
      <c r="D869" s="112" t="e">
        <f>VLOOKUP(A869,Ingreso!K:P,6,FALSE)</f>
        <v>#N/A</v>
      </c>
      <c r="E869" s="142" t="e">
        <f>(VLOOKUP(D869,$D$2:$E$4,2,FALSE))-(IF('Informe Kelly'!H863=$A$2,'Informe Kelly'!F863,VLOOKUP(D869,$D$2:$E$4,2,FALSE)))</f>
        <v>#N/A</v>
      </c>
      <c r="F869" s="142" t="e">
        <f>IF('Informe Kelly'!H863=$A$3,'Informe Kelly'!F863,VLOOKUP(D869,$D$2:$F$4,3,FALSE))-(VLOOKUP(D869,$D$2:$F$4,3,FALSE))</f>
        <v>#N/A</v>
      </c>
      <c r="G869" s="137" t="e">
        <f t="shared" si="17"/>
        <v>#N/A</v>
      </c>
    </row>
    <row r="870" spans="1:7">
      <c r="A870" s="112" t="str">
        <f>VLOOKUP('Informe Kelly'!A864,Base!A:B,2,FALSE)</f>
        <v>10.157.067-3</v>
      </c>
      <c r="B870" s="112" t="str">
        <f>VLOOKUP('Informe Kelly'!A864,Base!A:G,7,FALSE)</f>
        <v>MELLA FRIAS MIGUEL ALBERTO</v>
      </c>
      <c r="C870" s="112" t="str">
        <f>'Informe Kelly'!E864</f>
        <v>07.04.2011</v>
      </c>
      <c r="D870" s="112" t="e">
        <f>VLOOKUP(A870,Ingreso!K:P,6,FALSE)</f>
        <v>#N/A</v>
      </c>
      <c r="E870" s="142" t="e">
        <f>(VLOOKUP(D870,$D$2:$E$4,2,FALSE))-(IF('Informe Kelly'!H864=$A$2,'Informe Kelly'!F864,VLOOKUP(D870,$D$2:$E$4,2,FALSE)))</f>
        <v>#N/A</v>
      </c>
      <c r="F870" s="142" t="e">
        <f>IF('Informe Kelly'!H864=$A$3,'Informe Kelly'!F864,VLOOKUP(D870,$D$2:$F$4,3,FALSE))-(VLOOKUP(D870,$D$2:$F$4,3,FALSE))</f>
        <v>#N/A</v>
      </c>
      <c r="G870" s="137" t="e">
        <f t="shared" si="17"/>
        <v>#N/A</v>
      </c>
    </row>
    <row r="871" spans="1:7">
      <c r="A871" s="112" t="str">
        <f>VLOOKUP('Informe Kelly'!A865,Base!A:B,2,FALSE)</f>
        <v>10.157.067-3</v>
      </c>
      <c r="B871" s="112" t="str">
        <f>VLOOKUP('Informe Kelly'!A865,Base!A:G,7,FALSE)</f>
        <v>MELLA FRIAS MIGUEL ALBERTO</v>
      </c>
      <c r="C871" s="112" t="str">
        <f>'Informe Kelly'!E865</f>
        <v>07.04.2011</v>
      </c>
      <c r="D871" s="112" t="e">
        <f>VLOOKUP(A871,Ingreso!K:P,6,FALSE)</f>
        <v>#N/A</v>
      </c>
      <c r="E871" s="142" t="e">
        <f>(VLOOKUP(D871,$D$2:$E$4,2,FALSE))-(IF('Informe Kelly'!H865=$A$2,'Informe Kelly'!F865,VLOOKUP(D871,$D$2:$E$4,2,FALSE)))</f>
        <v>#N/A</v>
      </c>
      <c r="F871" s="142" t="e">
        <f>IF('Informe Kelly'!H865=$A$3,'Informe Kelly'!F865,VLOOKUP(D871,$D$2:$F$4,3,FALSE))-(VLOOKUP(D871,$D$2:$F$4,3,FALSE))</f>
        <v>#N/A</v>
      </c>
      <c r="G871" s="137" t="e">
        <f t="shared" si="17"/>
        <v>#N/A</v>
      </c>
    </row>
    <row r="872" spans="1:7">
      <c r="A872" s="112" t="str">
        <f>VLOOKUP('Informe Kelly'!A866,Base!A:B,2,FALSE)</f>
        <v>10.157.067-3</v>
      </c>
      <c r="B872" s="112" t="str">
        <f>VLOOKUP('Informe Kelly'!A866,Base!A:G,7,FALSE)</f>
        <v>MELLA FRIAS MIGUEL ALBERTO</v>
      </c>
      <c r="C872" s="112" t="str">
        <f>'Informe Kelly'!E866</f>
        <v>08.04.2011</v>
      </c>
      <c r="D872" s="112" t="e">
        <f>VLOOKUP(A872,Ingreso!K:P,6,FALSE)</f>
        <v>#N/A</v>
      </c>
      <c r="E872" s="142" t="e">
        <f>(VLOOKUP(D872,$D$2:$E$4,2,FALSE))-(IF('Informe Kelly'!H866=$A$2,'Informe Kelly'!F866,VLOOKUP(D872,$D$2:$E$4,2,FALSE)))</f>
        <v>#N/A</v>
      </c>
      <c r="F872" s="142" t="e">
        <f>IF('Informe Kelly'!H866=$A$3,'Informe Kelly'!F866,VLOOKUP(D872,$D$2:$F$4,3,FALSE))-(VLOOKUP(D872,$D$2:$F$4,3,FALSE))</f>
        <v>#N/A</v>
      </c>
      <c r="G872" s="137" t="e">
        <f t="shared" si="17"/>
        <v>#N/A</v>
      </c>
    </row>
    <row r="873" spans="1:7">
      <c r="A873" s="112" t="str">
        <f>VLOOKUP('Informe Kelly'!A867,Base!A:B,2,FALSE)</f>
        <v>10.157.067-3</v>
      </c>
      <c r="B873" s="112" t="str">
        <f>VLOOKUP('Informe Kelly'!A867,Base!A:G,7,FALSE)</f>
        <v>MELLA FRIAS MIGUEL ALBERTO</v>
      </c>
      <c r="C873" s="112" t="str">
        <f>'Informe Kelly'!E867</f>
        <v>08.04.2011</v>
      </c>
      <c r="D873" s="112" t="e">
        <f>VLOOKUP(A873,Ingreso!K:P,6,FALSE)</f>
        <v>#N/A</v>
      </c>
      <c r="E873" s="142" t="e">
        <f>(VLOOKUP(D873,$D$2:$E$4,2,FALSE))-(IF('Informe Kelly'!H867=$A$2,'Informe Kelly'!F867,VLOOKUP(D873,$D$2:$E$4,2,FALSE)))</f>
        <v>#N/A</v>
      </c>
      <c r="F873" s="142" t="e">
        <f>IF('Informe Kelly'!H867=$A$3,'Informe Kelly'!F867,VLOOKUP(D873,$D$2:$F$4,3,FALSE))-(VLOOKUP(D873,$D$2:$F$4,3,FALSE))</f>
        <v>#N/A</v>
      </c>
      <c r="G873" s="137" t="e">
        <f t="shared" si="17"/>
        <v>#N/A</v>
      </c>
    </row>
    <row r="874" spans="1:7">
      <c r="A874" s="112" t="str">
        <f>VLOOKUP('Informe Kelly'!A868,Base!A:B,2,FALSE)</f>
        <v>10.157.067-3</v>
      </c>
      <c r="B874" s="112" t="str">
        <f>VLOOKUP('Informe Kelly'!A868,Base!A:G,7,FALSE)</f>
        <v>MELLA FRIAS MIGUEL ALBERTO</v>
      </c>
      <c r="C874" s="112" t="str">
        <f>'Informe Kelly'!E868</f>
        <v>09.04.2011</v>
      </c>
      <c r="D874" s="112" t="e">
        <f>VLOOKUP(A874,Ingreso!K:P,6,FALSE)</f>
        <v>#N/A</v>
      </c>
      <c r="E874" s="142" t="e">
        <f>(VLOOKUP(D874,$D$2:$E$4,2,FALSE))-(IF('Informe Kelly'!H868=$A$2,'Informe Kelly'!F868,VLOOKUP(D874,$D$2:$E$4,2,FALSE)))</f>
        <v>#N/A</v>
      </c>
      <c r="F874" s="142" t="e">
        <f>IF('Informe Kelly'!H868=$A$3,'Informe Kelly'!F868,VLOOKUP(D874,$D$2:$F$4,3,FALSE))-(VLOOKUP(D874,$D$2:$F$4,3,FALSE))</f>
        <v>#N/A</v>
      </c>
      <c r="G874" s="137" t="e">
        <f t="shared" si="17"/>
        <v>#N/A</v>
      </c>
    </row>
    <row r="875" spans="1:7">
      <c r="A875" s="112" t="str">
        <f>VLOOKUP('Informe Kelly'!A869,Base!A:B,2,FALSE)</f>
        <v>10.157.067-3</v>
      </c>
      <c r="B875" s="112" t="str">
        <f>VLOOKUP('Informe Kelly'!A869,Base!A:G,7,FALSE)</f>
        <v>MELLA FRIAS MIGUEL ALBERTO</v>
      </c>
      <c r="C875" s="112" t="str">
        <f>'Informe Kelly'!E869</f>
        <v>09.04.2011</v>
      </c>
      <c r="D875" s="112" t="e">
        <f>VLOOKUP(A875,Ingreso!K:P,6,FALSE)</f>
        <v>#N/A</v>
      </c>
      <c r="E875" s="142" t="e">
        <f>(VLOOKUP(D875,$D$2:$E$4,2,FALSE))-(IF('Informe Kelly'!H869=$A$2,'Informe Kelly'!F869,VLOOKUP(D875,$D$2:$E$4,2,FALSE)))</f>
        <v>#N/A</v>
      </c>
      <c r="F875" s="142" t="e">
        <f>IF('Informe Kelly'!H869=$A$3,'Informe Kelly'!F869,VLOOKUP(D875,$D$2:$F$4,3,FALSE))-(VLOOKUP(D875,$D$2:$F$4,3,FALSE))</f>
        <v>#N/A</v>
      </c>
      <c r="G875" s="137" t="e">
        <f t="shared" si="17"/>
        <v>#N/A</v>
      </c>
    </row>
    <row r="876" spans="1:7">
      <c r="A876" s="112" t="str">
        <f>VLOOKUP('Informe Kelly'!A870,Base!A:B,2,FALSE)</f>
        <v>10.168.958-1</v>
      </c>
      <c r="B876" s="112" t="str">
        <f>VLOOKUP('Informe Kelly'!A870,Base!A:G,7,FALSE)</f>
        <v>RAMIREZ VASQUEZ RAUL</v>
      </c>
      <c r="C876" s="112" t="str">
        <f>'Informe Kelly'!E870</f>
        <v>04.04.2011</v>
      </c>
      <c r="D876" s="112" t="e">
        <f>VLOOKUP(A876,Ingreso!K:P,6,FALSE)</f>
        <v>#N/A</v>
      </c>
      <c r="E876" s="142" t="e">
        <f>(VLOOKUP(D876,$D$2:$E$4,2,FALSE))-(IF('Informe Kelly'!H870=$A$2,'Informe Kelly'!F870,VLOOKUP(D876,$D$2:$E$4,2,FALSE)))</f>
        <v>#N/A</v>
      </c>
      <c r="F876" s="142" t="e">
        <f>IF('Informe Kelly'!H870=$A$3,'Informe Kelly'!F870,VLOOKUP(D876,$D$2:$F$4,3,FALSE))-(VLOOKUP(D876,$D$2:$F$4,3,FALSE))</f>
        <v>#N/A</v>
      </c>
      <c r="G876" s="137" t="e">
        <f t="shared" si="17"/>
        <v>#N/A</v>
      </c>
    </row>
    <row r="877" spans="1:7">
      <c r="A877" s="112" t="str">
        <f>VLOOKUP('Informe Kelly'!A871,Base!A:B,2,FALSE)</f>
        <v>10.168.958-1</v>
      </c>
      <c r="B877" s="112" t="str">
        <f>VLOOKUP('Informe Kelly'!A871,Base!A:G,7,FALSE)</f>
        <v>RAMIREZ VASQUEZ RAUL</v>
      </c>
      <c r="C877" s="112" t="str">
        <f>'Informe Kelly'!E871</f>
        <v>05.04.2011</v>
      </c>
      <c r="D877" s="112" t="e">
        <f>VLOOKUP(A877,Ingreso!K:P,6,FALSE)</f>
        <v>#N/A</v>
      </c>
      <c r="E877" s="142" t="e">
        <f>(VLOOKUP(D877,$D$2:$E$4,2,FALSE))-(IF('Informe Kelly'!H871=$A$2,'Informe Kelly'!F871,VLOOKUP(D877,$D$2:$E$4,2,FALSE)))</f>
        <v>#N/A</v>
      </c>
      <c r="F877" s="142" t="e">
        <f>IF('Informe Kelly'!H871=$A$3,'Informe Kelly'!F871,VLOOKUP(D877,$D$2:$F$4,3,FALSE))-(VLOOKUP(D877,$D$2:$F$4,3,FALSE))</f>
        <v>#N/A</v>
      </c>
      <c r="G877" s="137" t="e">
        <f t="shared" si="17"/>
        <v>#N/A</v>
      </c>
    </row>
    <row r="878" spans="1:7">
      <c r="A878" s="112" t="str">
        <f>VLOOKUP('Informe Kelly'!A872,Base!A:B,2,FALSE)</f>
        <v>10.168.958-1</v>
      </c>
      <c r="B878" s="112" t="str">
        <f>VLOOKUP('Informe Kelly'!A872,Base!A:G,7,FALSE)</f>
        <v>RAMIREZ VASQUEZ RAUL</v>
      </c>
      <c r="C878" s="112" t="str">
        <f>'Informe Kelly'!E872</f>
        <v>05.04.2011</v>
      </c>
      <c r="D878" s="112" t="e">
        <f>VLOOKUP(A878,Ingreso!K:P,6,FALSE)</f>
        <v>#N/A</v>
      </c>
      <c r="E878" s="142" t="e">
        <f>(VLOOKUP(D878,$D$2:$E$4,2,FALSE))-(IF('Informe Kelly'!H872=$A$2,'Informe Kelly'!F872,VLOOKUP(D878,$D$2:$E$4,2,FALSE)))</f>
        <v>#N/A</v>
      </c>
      <c r="F878" s="142" t="e">
        <f>IF('Informe Kelly'!H872=$A$3,'Informe Kelly'!F872,VLOOKUP(D878,$D$2:$F$4,3,FALSE))-(VLOOKUP(D878,$D$2:$F$4,3,FALSE))</f>
        <v>#N/A</v>
      </c>
      <c r="G878" s="137" t="e">
        <f t="shared" si="17"/>
        <v>#N/A</v>
      </c>
    </row>
    <row r="879" spans="1:7">
      <c r="A879" s="112" t="str">
        <f>VLOOKUP('Informe Kelly'!A873,Base!A:B,2,FALSE)</f>
        <v>10.168.958-1</v>
      </c>
      <c r="B879" s="112" t="str">
        <f>VLOOKUP('Informe Kelly'!A873,Base!A:G,7,FALSE)</f>
        <v>RAMIREZ VASQUEZ RAUL</v>
      </c>
      <c r="C879" s="112" t="str">
        <f>'Informe Kelly'!E873</f>
        <v>06.04.2011</v>
      </c>
      <c r="D879" s="112" t="e">
        <f>VLOOKUP(A879,Ingreso!K:P,6,FALSE)</f>
        <v>#N/A</v>
      </c>
      <c r="E879" s="142" t="e">
        <f>(VLOOKUP(D879,$D$2:$E$4,2,FALSE))-(IF('Informe Kelly'!H873=$A$2,'Informe Kelly'!F873,VLOOKUP(D879,$D$2:$E$4,2,FALSE)))</f>
        <v>#N/A</v>
      </c>
      <c r="F879" s="142" t="e">
        <f>IF('Informe Kelly'!H873=$A$3,'Informe Kelly'!F873,VLOOKUP(D879,$D$2:$F$4,3,FALSE))-(VLOOKUP(D879,$D$2:$F$4,3,FALSE))</f>
        <v>#N/A</v>
      </c>
      <c r="G879" s="137" t="e">
        <f t="shared" si="17"/>
        <v>#N/A</v>
      </c>
    </row>
    <row r="880" spans="1:7">
      <c r="A880" s="112" t="str">
        <f>VLOOKUP('Informe Kelly'!A874,Base!A:B,2,FALSE)</f>
        <v>10.168.958-1</v>
      </c>
      <c r="B880" s="112" t="str">
        <f>VLOOKUP('Informe Kelly'!A874,Base!A:G,7,FALSE)</f>
        <v>RAMIREZ VASQUEZ RAUL</v>
      </c>
      <c r="C880" s="112" t="str">
        <f>'Informe Kelly'!E874</f>
        <v>06.04.2011</v>
      </c>
      <c r="D880" s="112" t="e">
        <f>VLOOKUP(A880,Ingreso!K:P,6,FALSE)</f>
        <v>#N/A</v>
      </c>
      <c r="E880" s="142" t="e">
        <f>(VLOOKUP(D880,$D$2:$E$4,2,FALSE))-(IF('Informe Kelly'!H874=$A$2,'Informe Kelly'!F874,VLOOKUP(D880,$D$2:$E$4,2,FALSE)))</f>
        <v>#N/A</v>
      </c>
      <c r="F880" s="142" t="e">
        <f>IF('Informe Kelly'!H874=$A$3,'Informe Kelly'!F874,VLOOKUP(D880,$D$2:$F$4,3,FALSE))-(VLOOKUP(D880,$D$2:$F$4,3,FALSE))</f>
        <v>#N/A</v>
      </c>
      <c r="G880" s="137" t="e">
        <f t="shared" si="17"/>
        <v>#N/A</v>
      </c>
    </row>
    <row r="881" spans="1:7">
      <c r="A881" s="112" t="str">
        <f>VLOOKUP('Informe Kelly'!A875,Base!A:B,2,FALSE)</f>
        <v>10.168.958-1</v>
      </c>
      <c r="B881" s="112" t="str">
        <f>VLOOKUP('Informe Kelly'!A875,Base!A:G,7,FALSE)</f>
        <v>RAMIREZ VASQUEZ RAUL</v>
      </c>
      <c r="C881" s="112" t="str">
        <f>'Informe Kelly'!E875</f>
        <v>07.04.2011</v>
      </c>
      <c r="D881" s="112" t="e">
        <f>VLOOKUP(A881,Ingreso!K:P,6,FALSE)</f>
        <v>#N/A</v>
      </c>
      <c r="E881" s="142" t="e">
        <f>(VLOOKUP(D881,$D$2:$E$4,2,FALSE))-(IF('Informe Kelly'!H875=$A$2,'Informe Kelly'!F875,VLOOKUP(D881,$D$2:$E$4,2,FALSE)))</f>
        <v>#N/A</v>
      </c>
      <c r="F881" s="142" t="e">
        <f>IF('Informe Kelly'!H875=$A$3,'Informe Kelly'!F875,VLOOKUP(D881,$D$2:$F$4,3,FALSE))-(VLOOKUP(D881,$D$2:$F$4,3,FALSE))</f>
        <v>#N/A</v>
      </c>
      <c r="G881" s="137" t="e">
        <f t="shared" si="17"/>
        <v>#N/A</v>
      </c>
    </row>
    <row r="882" spans="1:7">
      <c r="A882" s="112" t="str">
        <f>VLOOKUP('Informe Kelly'!A876,Base!A:B,2,FALSE)</f>
        <v>10.168.958-1</v>
      </c>
      <c r="B882" s="112" t="str">
        <f>VLOOKUP('Informe Kelly'!A876,Base!A:G,7,FALSE)</f>
        <v>RAMIREZ VASQUEZ RAUL</v>
      </c>
      <c r="C882" s="112" t="str">
        <f>'Informe Kelly'!E876</f>
        <v>07.04.2011</v>
      </c>
      <c r="D882" s="112" t="e">
        <f>VLOOKUP(A882,Ingreso!K:P,6,FALSE)</f>
        <v>#N/A</v>
      </c>
      <c r="E882" s="142" t="e">
        <f>(VLOOKUP(D882,$D$2:$E$4,2,FALSE))-(IF('Informe Kelly'!H876=$A$2,'Informe Kelly'!F876,VLOOKUP(D882,$D$2:$E$4,2,FALSE)))</f>
        <v>#N/A</v>
      </c>
      <c r="F882" s="142" t="e">
        <f>IF('Informe Kelly'!H876=$A$3,'Informe Kelly'!F876,VLOOKUP(D882,$D$2:$F$4,3,FALSE))-(VLOOKUP(D882,$D$2:$F$4,3,FALSE))</f>
        <v>#N/A</v>
      </c>
      <c r="G882" s="137" t="e">
        <f t="shared" si="17"/>
        <v>#N/A</v>
      </c>
    </row>
    <row r="883" spans="1:7">
      <c r="A883" s="112" t="str">
        <f>VLOOKUP('Informe Kelly'!A877,Base!A:B,2,FALSE)</f>
        <v>10.168.958-1</v>
      </c>
      <c r="B883" s="112" t="str">
        <f>VLOOKUP('Informe Kelly'!A877,Base!A:G,7,FALSE)</f>
        <v>RAMIREZ VASQUEZ RAUL</v>
      </c>
      <c r="C883" s="112" t="str">
        <f>'Informe Kelly'!E877</f>
        <v>08.04.2011</v>
      </c>
      <c r="D883" s="112" t="e">
        <f>VLOOKUP(A883,Ingreso!K:P,6,FALSE)</f>
        <v>#N/A</v>
      </c>
      <c r="E883" s="142" t="e">
        <f>(VLOOKUP(D883,$D$2:$E$4,2,FALSE))-(IF('Informe Kelly'!H877=$A$2,'Informe Kelly'!F877,VLOOKUP(D883,$D$2:$E$4,2,FALSE)))</f>
        <v>#N/A</v>
      </c>
      <c r="F883" s="142" t="e">
        <f>IF('Informe Kelly'!H877=$A$3,'Informe Kelly'!F877,VLOOKUP(D883,$D$2:$F$4,3,FALSE))-(VLOOKUP(D883,$D$2:$F$4,3,FALSE))</f>
        <v>#N/A</v>
      </c>
      <c r="G883" s="137" t="e">
        <f t="shared" si="17"/>
        <v>#N/A</v>
      </c>
    </row>
    <row r="884" spans="1:7">
      <c r="A884" s="112" t="str">
        <f>VLOOKUP('Informe Kelly'!A878,Base!A:B,2,FALSE)</f>
        <v>10.168.958-1</v>
      </c>
      <c r="B884" s="112" t="str">
        <f>VLOOKUP('Informe Kelly'!A878,Base!A:G,7,FALSE)</f>
        <v>RAMIREZ VASQUEZ RAUL</v>
      </c>
      <c r="C884" s="112" t="str">
        <f>'Informe Kelly'!E878</f>
        <v>08.04.2011</v>
      </c>
      <c r="D884" s="112" t="e">
        <f>VLOOKUP(A884,Ingreso!K:P,6,FALSE)</f>
        <v>#N/A</v>
      </c>
      <c r="E884" s="142" t="e">
        <f>(VLOOKUP(D884,$D$2:$E$4,2,FALSE))-(IF('Informe Kelly'!H878=$A$2,'Informe Kelly'!F878,VLOOKUP(D884,$D$2:$E$4,2,FALSE)))</f>
        <v>#N/A</v>
      </c>
      <c r="F884" s="142" t="e">
        <f>IF('Informe Kelly'!H878=$A$3,'Informe Kelly'!F878,VLOOKUP(D884,$D$2:$F$4,3,FALSE))-(VLOOKUP(D884,$D$2:$F$4,3,FALSE))</f>
        <v>#N/A</v>
      </c>
      <c r="G884" s="137" t="e">
        <f t="shared" si="17"/>
        <v>#N/A</v>
      </c>
    </row>
    <row r="885" spans="1:7">
      <c r="A885" s="112" t="str">
        <f>VLOOKUP('Informe Kelly'!A879,Base!A:B,2,FALSE)</f>
        <v>10.168.958-1</v>
      </c>
      <c r="B885" s="112" t="str">
        <f>VLOOKUP('Informe Kelly'!A879,Base!A:G,7,FALSE)</f>
        <v>RAMIREZ VASQUEZ RAUL</v>
      </c>
      <c r="C885" s="112" t="str">
        <f>'Informe Kelly'!E879</f>
        <v>09.04.2011</v>
      </c>
      <c r="D885" s="112" t="e">
        <f>VLOOKUP(A885,Ingreso!K:P,6,FALSE)</f>
        <v>#N/A</v>
      </c>
      <c r="E885" s="142" t="e">
        <f>(VLOOKUP(D885,$D$2:$E$4,2,FALSE))-(IF('Informe Kelly'!H879=$A$2,'Informe Kelly'!F879,VLOOKUP(D885,$D$2:$E$4,2,FALSE)))</f>
        <v>#N/A</v>
      </c>
      <c r="F885" s="142" t="e">
        <f>IF('Informe Kelly'!H879=$A$3,'Informe Kelly'!F879,VLOOKUP(D885,$D$2:$F$4,3,FALSE))-(VLOOKUP(D885,$D$2:$F$4,3,FALSE))</f>
        <v>#N/A</v>
      </c>
      <c r="G885" s="137" t="e">
        <f t="shared" si="17"/>
        <v>#N/A</v>
      </c>
    </row>
    <row r="886" spans="1:7">
      <c r="A886" s="112" t="str">
        <f>VLOOKUP('Informe Kelly'!A880,Base!A:B,2,FALSE)</f>
        <v>10.173.910-4</v>
      </c>
      <c r="B886" s="112" t="str">
        <f>VLOOKUP('Informe Kelly'!A880,Base!A:G,7,FALSE)</f>
        <v>ARSENDIGA PALMA FELIX EXEQUIEL</v>
      </c>
      <c r="C886" s="112" t="str">
        <f>'Informe Kelly'!E880</f>
        <v>04.04.2011</v>
      </c>
      <c r="D886" s="112" t="e">
        <f>VLOOKUP(A886,Ingreso!K:P,6,FALSE)</f>
        <v>#N/A</v>
      </c>
      <c r="E886" s="142" t="e">
        <f>(VLOOKUP(D886,$D$2:$E$4,2,FALSE))-(IF('Informe Kelly'!H880=$A$2,'Informe Kelly'!F880,VLOOKUP(D886,$D$2:$E$4,2,FALSE)))</f>
        <v>#N/A</v>
      </c>
      <c r="F886" s="142" t="e">
        <f>IF('Informe Kelly'!H880=$A$3,'Informe Kelly'!F880,VLOOKUP(D886,$D$2:$F$4,3,FALSE))-(VLOOKUP(D886,$D$2:$F$4,3,FALSE))</f>
        <v>#N/A</v>
      </c>
      <c r="G886" s="137" t="e">
        <f t="shared" si="17"/>
        <v>#N/A</v>
      </c>
    </row>
    <row r="887" spans="1:7">
      <c r="A887" s="112" t="str">
        <f>VLOOKUP('Informe Kelly'!A881,Base!A:B,2,FALSE)</f>
        <v>10.173.910-4</v>
      </c>
      <c r="B887" s="112" t="str">
        <f>VLOOKUP('Informe Kelly'!A881,Base!A:G,7,FALSE)</f>
        <v>ARSENDIGA PALMA FELIX EXEQUIEL</v>
      </c>
      <c r="C887" s="112" t="str">
        <f>'Informe Kelly'!E881</f>
        <v>04.04.2011</v>
      </c>
      <c r="D887" s="112" t="e">
        <f>VLOOKUP(A887,Ingreso!K:P,6,FALSE)</f>
        <v>#N/A</v>
      </c>
      <c r="E887" s="142" t="e">
        <f>(VLOOKUP(D887,$D$2:$E$4,2,FALSE))-(IF('Informe Kelly'!H881=$A$2,'Informe Kelly'!F881,VLOOKUP(D887,$D$2:$E$4,2,FALSE)))</f>
        <v>#N/A</v>
      </c>
      <c r="F887" s="142" t="e">
        <f>IF('Informe Kelly'!H881=$A$3,'Informe Kelly'!F881,VLOOKUP(D887,$D$2:$F$4,3,FALSE))-(VLOOKUP(D887,$D$2:$F$4,3,FALSE))</f>
        <v>#N/A</v>
      </c>
      <c r="G887" s="137" t="e">
        <f t="shared" si="17"/>
        <v>#N/A</v>
      </c>
    </row>
    <row r="888" spans="1:7">
      <c r="A888" s="112" t="str">
        <f>VLOOKUP('Informe Kelly'!A882,Base!A:B,2,FALSE)</f>
        <v>10.173.910-4</v>
      </c>
      <c r="B888" s="112" t="str">
        <f>VLOOKUP('Informe Kelly'!A882,Base!A:G,7,FALSE)</f>
        <v>ARSENDIGA PALMA FELIX EXEQUIEL</v>
      </c>
      <c r="C888" s="112" t="str">
        <f>'Informe Kelly'!E882</f>
        <v>05.04.2011</v>
      </c>
      <c r="D888" s="112" t="e">
        <f>VLOOKUP(A888,Ingreso!K:P,6,FALSE)</f>
        <v>#N/A</v>
      </c>
      <c r="E888" s="142" t="e">
        <f>(VLOOKUP(D888,$D$2:$E$4,2,FALSE))-(IF('Informe Kelly'!H882=$A$2,'Informe Kelly'!F882,VLOOKUP(D888,$D$2:$E$4,2,FALSE)))</f>
        <v>#N/A</v>
      </c>
      <c r="F888" s="142" t="e">
        <f>IF('Informe Kelly'!H882=$A$3,'Informe Kelly'!F882,VLOOKUP(D888,$D$2:$F$4,3,FALSE))-(VLOOKUP(D888,$D$2:$F$4,3,FALSE))</f>
        <v>#N/A</v>
      </c>
      <c r="G888" s="137" t="e">
        <f t="shared" si="17"/>
        <v>#N/A</v>
      </c>
    </row>
    <row r="889" spans="1:7">
      <c r="A889" s="112" t="str">
        <f>VLOOKUP('Informe Kelly'!A883,Base!A:B,2,FALSE)</f>
        <v>10.173.910-4</v>
      </c>
      <c r="B889" s="112" t="str">
        <f>VLOOKUP('Informe Kelly'!A883,Base!A:G,7,FALSE)</f>
        <v>ARSENDIGA PALMA FELIX EXEQUIEL</v>
      </c>
      <c r="C889" s="112" t="str">
        <f>'Informe Kelly'!E883</f>
        <v>05.04.2011</v>
      </c>
      <c r="D889" s="112" t="e">
        <f>VLOOKUP(A889,Ingreso!K:P,6,FALSE)</f>
        <v>#N/A</v>
      </c>
      <c r="E889" s="142" t="e">
        <f>(VLOOKUP(D889,$D$2:$E$4,2,FALSE))-(IF('Informe Kelly'!H883=$A$2,'Informe Kelly'!F883,VLOOKUP(D889,$D$2:$E$4,2,FALSE)))</f>
        <v>#N/A</v>
      </c>
      <c r="F889" s="142" t="e">
        <f>IF('Informe Kelly'!H883=$A$3,'Informe Kelly'!F883,VLOOKUP(D889,$D$2:$F$4,3,FALSE))-(VLOOKUP(D889,$D$2:$F$4,3,FALSE))</f>
        <v>#N/A</v>
      </c>
      <c r="G889" s="137" t="e">
        <f t="shared" si="17"/>
        <v>#N/A</v>
      </c>
    </row>
    <row r="890" spans="1:7">
      <c r="A890" s="112" t="str">
        <f>VLOOKUP('Informe Kelly'!A884,Base!A:B,2,FALSE)</f>
        <v>10.173.910-4</v>
      </c>
      <c r="B890" s="112" t="str">
        <f>VLOOKUP('Informe Kelly'!A884,Base!A:G,7,FALSE)</f>
        <v>ARSENDIGA PALMA FELIX EXEQUIEL</v>
      </c>
      <c r="C890" s="112" t="str">
        <f>'Informe Kelly'!E884</f>
        <v>06.04.2011</v>
      </c>
      <c r="D890" s="112" t="e">
        <f>VLOOKUP(A890,Ingreso!K:P,6,FALSE)</f>
        <v>#N/A</v>
      </c>
      <c r="E890" s="142" t="e">
        <f>(VLOOKUP(D890,$D$2:$E$4,2,FALSE))-(IF('Informe Kelly'!H884=$A$2,'Informe Kelly'!F884,VLOOKUP(D890,$D$2:$E$4,2,FALSE)))</f>
        <v>#N/A</v>
      </c>
      <c r="F890" s="142" t="e">
        <f>IF('Informe Kelly'!H884=$A$3,'Informe Kelly'!F884,VLOOKUP(D890,$D$2:$F$4,3,FALSE))-(VLOOKUP(D890,$D$2:$F$4,3,FALSE))</f>
        <v>#N/A</v>
      </c>
      <c r="G890" s="137" t="e">
        <f t="shared" si="17"/>
        <v>#N/A</v>
      </c>
    </row>
    <row r="891" spans="1:7">
      <c r="A891" s="112" t="str">
        <f>VLOOKUP('Informe Kelly'!A885,Base!A:B,2,FALSE)</f>
        <v>10.173.910-4</v>
      </c>
      <c r="B891" s="112" t="str">
        <f>VLOOKUP('Informe Kelly'!A885,Base!A:G,7,FALSE)</f>
        <v>ARSENDIGA PALMA FELIX EXEQUIEL</v>
      </c>
      <c r="C891" s="112" t="str">
        <f>'Informe Kelly'!E885</f>
        <v>07.04.2011</v>
      </c>
      <c r="D891" s="112" t="e">
        <f>VLOOKUP(A891,Ingreso!K:P,6,FALSE)</f>
        <v>#N/A</v>
      </c>
      <c r="E891" s="142" t="e">
        <f>(VLOOKUP(D891,$D$2:$E$4,2,FALSE))-(IF('Informe Kelly'!H885=$A$2,'Informe Kelly'!F885,VLOOKUP(D891,$D$2:$E$4,2,FALSE)))</f>
        <v>#N/A</v>
      </c>
      <c r="F891" s="142" t="e">
        <f>IF('Informe Kelly'!H885=$A$3,'Informe Kelly'!F885,VLOOKUP(D891,$D$2:$F$4,3,FALSE))-(VLOOKUP(D891,$D$2:$F$4,3,FALSE))</f>
        <v>#N/A</v>
      </c>
      <c r="G891" s="137" t="e">
        <f t="shared" si="17"/>
        <v>#N/A</v>
      </c>
    </row>
    <row r="892" spans="1:7">
      <c r="A892" s="112" t="str">
        <f>VLOOKUP('Informe Kelly'!A886,Base!A:B,2,FALSE)</f>
        <v>10.173.910-4</v>
      </c>
      <c r="B892" s="112" t="str">
        <f>VLOOKUP('Informe Kelly'!A886,Base!A:G,7,FALSE)</f>
        <v>ARSENDIGA PALMA FELIX EXEQUIEL</v>
      </c>
      <c r="C892" s="112" t="str">
        <f>'Informe Kelly'!E886</f>
        <v>07.04.2011</v>
      </c>
      <c r="D892" s="112" t="e">
        <f>VLOOKUP(A892,Ingreso!K:P,6,FALSE)</f>
        <v>#N/A</v>
      </c>
      <c r="E892" s="142" t="e">
        <f>(VLOOKUP(D892,$D$2:$E$4,2,FALSE))-(IF('Informe Kelly'!H886=$A$2,'Informe Kelly'!F886,VLOOKUP(D892,$D$2:$E$4,2,FALSE)))</f>
        <v>#N/A</v>
      </c>
      <c r="F892" s="142" t="e">
        <f>IF('Informe Kelly'!H886=$A$3,'Informe Kelly'!F886,VLOOKUP(D892,$D$2:$F$4,3,FALSE))-(VLOOKUP(D892,$D$2:$F$4,3,FALSE))</f>
        <v>#N/A</v>
      </c>
      <c r="G892" s="137" t="e">
        <f t="shared" si="17"/>
        <v>#N/A</v>
      </c>
    </row>
    <row r="893" spans="1:7">
      <c r="A893" s="112" t="str">
        <f>VLOOKUP('Informe Kelly'!A887,Base!A:B,2,FALSE)</f>
        <v>10.173.910-4</v>
      </c>
      <c r="B893" s="112" t="str">
        <f>VLOOKUP('Informe Kelly'!A887,Base!A:G,7,FALSE)</f>
        <v>ARSENDIGA PALMA FELIX EXEQUIEL</v>
      </c>
      <c r="C893" s="112" t="str">
        <f>'Informe Kelly'!E887</f>
        <v>08.04.2011</v>
      </c>
      <c r="D893" s="112" t="e">
        <f>VLOOKUP(A893,Ingreso!K:P,6,FALSE)</f>
        <v>#N/A</v>
      </c>
      <c r="E893" s="142" t="e">
        <f>(VLOOKUP(D893,$D$2:$E$4,2,FALSE))-(IF('Informe Kelly'!H887=$A$2,'Informe Kelly'!F887,VLOOKUP(D893,$D$2:$E$4,2,FALSE)))</f>
        <v>#N/A</v>
      </c>
      <c r="F893" s="142" t="e">
        <f>IF('Informe Kelly'!H887=$A$3,'Informe Kelly'!F887,VLOOKUP(D893,$D$2:$F$4,3,FALSE))-(VLOOKUP(D893,$D$2:$F$4,3,FALSE))</f>
        <v>#N/A</v>
      </c>
      <c r="G893" s="137" t="e">
        <f t="shared" si="17"/>
        <v>#N/A</v>
      </c>
    </row>
    <row r="894" spans="1:7">
      <c r="A894" s="112" t="str">
        <f>VLOOKUP('Informe Kelly'!A888,Base!A:B,2,FALSE)</f>
        <v>10.173.910-4</v>
      </c>
      <c r="B894" s="112" t="str">
        <f>VLOOKUP('Informe Kelly'!A888,Base!A:G,7,FALSE)</f>
        <v>ARSENDIGA PALMA FELIX EXEQUIEL</v>
      </c>
      <c r="C894" s="112" t="str">
        <f>'Informe Kelly'!E888</f>
        <v>08.04.2011</v>
      </c>
      <c r="D894" s="112" t="e">
        <f>VLOOKUP(A894,Ingreso!K:P,6,FALSE)</f>
        <v>#N/A</v>
      </c>
      <c r="E894" s="142" t="e">
        <f>(VLOOKUP(D894,$D$2:$E$4,2,FALSE))-(IF('Informe Kelly'!H888=$A$2,'Informe Kelly'!F888,VLOOKUP(D894,$D$2:$E$4,2,FALSE)))</f>
        <v>#N/A</v>
      </c>
      <c r="F894" s="142" t="e">
        <f>IF('Informe Kelly'!H888=$A$3,'Informe Kelly'!F888,VLOOKUP(D894,$D$2:$F$4,3,FALSE))-(VLOOKUP(D894,$D$2:$F$4,3,FALSE))</f>
        <v>#N/A</v>
      </c>
      <c r="G894" s="137" t="e">
        <f t="shared" si="17"/>
        <v>#N/A</v>
      </c>
    </row>
    <row r="895" spans="1:7">
      <c r="A895" s="112" t="str">
        <f>VLOOKUP('Informe Kelly'!A889,Base!A:B,2,FALSE)</f>
        <v>10.173.910-4</v>
      </c>
      <c r="B895" s="112" t="str">
        <f>VLOOKUP('Informe Kelly'!A889,Base!A:G,7,FALSE)</f>
        <v>ARSENDIGA PALMA FELIX EXEQUIEL</v>
      </c>
      <c r="C895" s="112" t="str">
        <f>'Informe Kelly'!E889</f>
        <v>09.04.2011</v>
      </c>
      <c r="D895" s="112" t="e">
        <f>VLOOKUP(A895,Ingreso!K:P,6,FALSE)</f>
        <v>#N/A</v>
      </c>
      <c r="E895" s="142" t="e">
        <f>(VLOOKUP(D895,$D$2:$E$4,2,FALSE))-(IF('Informe Kelly'!H889=$A$2,'Informe Kelly'!F889,VLOOKUP(D895,$D$2:$E$4,2,FALSE)))</f>
        <v>#N/A</v>
      </c>
      <c r="F895" s="142" t="e">
        <f>IF('Informe Kelly'!H889=$A$3,'Informe Kelly'!F889,VLOOKUP(D895,$D$2:$F$4,3,FALSE))-(VLOOKUP(D895,$D$2:$F$4,3,FALSE))</f>
        <v>#N/A</v>
      </c>
      <c r="G895" s="137" t="e">
        <f t="shared" si="17"/>
        <v>#N/A</v>
      </c>
    </row>
    <row r="896" spans="1:7">
      <c r="A896" s="112" t="str">
        <f>VLOOKUP('Informe Kelly'!A890,Base!A:B,2,FALSE)</f>
        <v>10.199.755-3</v>
      </c>
      <c r="B896" s="112" t="str">
        <f>VLOOKUP('Informe Kelly'!A890,Base!A:G,7,FALSE)</f>
        <v>HERNANDEZ GONZALEZ QUINTIN ROBERTO</v>
      </c>
      <c r="C896" s="112" t="str">
        <f>'Informe Kelly'!E890</f>
        <v>04.04.2011</v>
      </c>
      <c r="D896" s="112" t="e">
        <f>VLOOKUP(A896,Ingreso!K:P,6,FALSE)</f>
        <v>#N/A</v>
      </c>
      <c r="E896" s="142" t="e">
        <f>(VLOOKUP(D896,$D$2:$E$4,2,FALSE))-(IF('Informe Kelly'!H890=$A$2,'Informe Kelly'!F890,VLOOKUP(D896,$D$2:$E$4,2,FALSE)))</f>
        <v>#N/A</v>
      </c>
      <c r="F896" s="142" t="e">
        <f>IF('Informe Kelly'!H890=$A$3,'Informe Kelly'!F890,VLOOKUP(D896,$D$2:$F$4,3,FALSE))-(VLOOKUP(D896,$D$2:$F$4,3,FALSE))</f>
        <v>#N/A</v>
      </c>
      <c r="G896" s="137" t="e">
        <f t="shared" si="17"/>
        <v>#N/A</v>
      </c>
    </row>
    <row r="897" spans="1:7">
      <c r="A897" s="112" t="str">
        <f>VLOOKUP('Informe Kelly'!A891,Base!A:B,2,FALSE)</f>
        <v>10.199.755-3</v>
      </c>
      <c r="B897" s="112" t="str">
        <f>VLOOKUP('Informe Kelly'!A891,Base!A:G,7,FALSE)</f>
        <v>HERNANDEZ GONZALEZ QUINTIN ROBERTO</v>
      </c>
      <c r="C897" s="112" t="str">
        <f>'Informe Kelly'!E891</f>
        <v>04.04.2011</v>
      </c>
      <c r="D897" s="112" t="e">
        <f>VLOOKUP(A897,Ingreso!K:P,6,FALSE)</f>
        <v>#N/A</v>
      </c>
      <c r="E897" s="142" t="e">
        <f>(VLOOKUP(D897,$D$2:$E$4,2,FALSE))-(IF('Informe Kelly'!H891=$A$2,'Informe Kelly'!F891,VLOOKUP(D897,$D$2:$E$4,2,FALSE)))</f>
        <v>#N/A</v>
      </c>
      <c r="F897" s="142" t="e">
        <f>IF('Informe Kelly'!H891=$A$3,'Informe Kelly'!F891,VLOOKUP(D897,$D$2:$F$4,3,FALSE))-(VLOOKUP(D897,$D$2:$F$4,3,FALSE))</f>
        <v>#N/A</v>
      </c>
      <c r="G897" s="137" t="e">
        <f t="shared" si="17"/>
        <v>#N/A</v>
      </c>
    </row>
    <row r="898" spans="1:7">
      <c r="A898" s="112" t="str">
        <f>VLOOKUP('Informe Kelly'!A892,Base!A:B,2,FALSE)</f>
        <v>10.199.755-3</v>
      </c>
      <c r="B898" s="112" t="str">
        <f>VLOOKUP('Informe Kelly'!A892,Base!A:G,7,FALSE)</f>
        <v>HERNANDEZ GONZALEZ QUINTIN ROBERTO</v>
      </c>
      <c r="C898" s="112" t="str">
        <f>'Informe Kelly'!E892</f>
        <v>05.04.2011</v>
      </c>
      <c r="D898" s="112" t="e">
        <f>VLOOKUP(A898,Ingreso!K:P,6,FALSE)</f>
        <v>#N/A</v>
      </c>
      <c r="E898" s="142" t="e">
        <f>(VLOOKUP(D898,$D$2:$E$4,2,FALSE))-(IF('Informe Kelly'!H892=$A$2,'Informe Kelly'!F892,VLOOKUP(D898,$D$2:$E$4,2,FALSE)))</f>
        <v>#N/A</v>
      </c>
      <c r="F898" s="142" t="e">
        <f>IF('Informe Kelly'!H892=$A$3,'Informe Kelly'!F892,VLOOKUP(D898,$D$2:$F$4,3,FALSE))-(VLOOKUP(D898,$D$2:$F$4,3,FALSE))</f>
        <v>#N/A</v>
      </c>
      <c r="G898" s="137" t="e">
        <f t="shared" si="17"/>
        <v>#N/A</v>
      </c>
    </row>
    <row r="899" spans="1:7">
      <c r="A899" s="112" t="str">
        <f>VLOOKUP('Informe Kelly'!A893,Base!A:B,2,FALSE)</f>
        <v>10.199.755-3</v>
      </c>
      <c r="B899" s="112" t="str">
        <f>VLOOKUP('Informe Kelly'!A893,Base!A:G,7,FALSE)</f>
        <v>HERNANDEZ GONZALEZ QUINTIN ROBERTO</v>
      </c>
      <c r="C899" s="112" t="str">
        <f>'Informe Kelly'!E893</f>
        <v>05.04.2011</v>
      </c>
      <c r="D899" s="112" t="e">
        <f>VLOOKUP(A899,Ingreso!K:P,6,FALSE)</f>
        <v>#N/A</v>
      </c>
      <c r="E899" s="142" t="e">
        <f>(VLOOKUP(D899,$D$2:$E$4,2,FALSE))-(IF('Informe Kelly'!H893=$A$2,'Informe Kelly'!F893,VLOOKUP(D899,$D$2:$E$4,2,FALSE)))</f>
        <v>#N/A</v>
      </c>
      <c r="F899" s="142" t="e">
        <f>IF('Informe Kelly'!H893=$A$3,'Informe Kelly'!F893,VLOOKUP(D899,$D$2:$F$4,3,FALSE))-(VLOOKUP(D899,$D$2:$F$4,3,FALSE))</f>
        <v>#N/A</v>
      </c>
      <c r="G899" s="137" t="e">
        <f t="shared" si="17"/>
        <v>#N/A</v>
      </c>
    </row>
    <row r="900" spans="1:7">
      <c r="A900" s="112" t="str">
        <f>VLOOKUP('Informe Kelly'!A894,Base!A:B,2,FALSE)</f>
        <v>10.199.755-3</v>
      </c>
      <c r="B900" s="112" t="str">
        <f>VLOOKUP('Informe Kelly'!A894,Base!A:G,7,FALSE)</f>
        <v>HERNANDEZ GONZALEZ QUINTIN ROBERTO</v>
      </c>
      <c r="C900" s="112" t="str">
        <f>'Informe Kelly'!E894</f>
        <v>06.04.2011</v>
      </c>
      <c r="D900" s="112" t="e">
        <f>VLOOKUP(A900,Ingreso!K:P,6,FALSE)</f>
        <v>#N/A</v>
      </c>
      <c r="E900" s="142" t="e">
        <f>(VLOOKUP(D900,$D$2:$E$4,2,FALSE))-(IF('Informe Kelly'!H894=$A$2,'Informe Kelly'!F894,VLOOKUP(D900,$D$2:$E$4,2,FALSE)))</f>
        <v>#N/A</v>
      </c>
      <c r="F900" s="142" t="e">
        <f>IF('Informe Kelly'!H894=$A$3,'Informe Kelly'!F894,VLOOKUP(D900,$D$2:$F$4,3,FALSE))-(VLOOKUP(D900,$D$2:$F$4,3,FALSE))</f>
        <v>#N/A</v>
      </c>
      <c r="G900" s="137" t="e">
        <f t="shared" si="17"/>
        <v>#N/A</v>
      </c>
    </row>
    <row r="901" spans="1:7">
      <c r="A901" s="112" t="str">
        <f>VLOOKUP('Informe Kelly'!A895,Base!A:B,2,FALSE)</f>
        <v>10.199.755-3</v>
      </c>
      <c r="B901" s="112" t="str">
        <f>VLOOKUP('Informe Kelly'!A895,Base!A:G,7,FALSE)</f>
        <v>HERNANDEZ GONZALEZ QUINTIN ROBERTO</v>
      </c>
      <c r="C901" s="112" t="str">
        <f>'Informe Kelly'!E895</f>
        <v>06.04.2011</v>
      </c>
      <c r="D901" s="112" t="e">
        <f>VLOOKUP(A901,Ingreso!K:P,6,FALSE)</f>
        <v>#N/A</v>
      </c>
      <c r="E901" s="142" t="e">
        <f>(VLOOKUP(D901,$D$2:$E$4,2,FALSE))-(IF('Informe Kelly'!H895=$A$2,'Informe Kelly'!F895,VLOOKUP(D901,$D$2:$E$4,2,FALSE)))</f>
        <v>#N/A</v>
      </c>
      <c r="F901" s="142" t="e">
        <f>IF('Informe Kelly'!H895=$A$3,'Informe Kelly'!F895,VLOOKUP(D901,$D$2:$F$4,3,FALSE))-(VLOOKUP(D901,$D$2:$F$4,3,FALSE))</f>
        <v>#N/A</v>
      </c>
      <c r="G901" s="137" t="e">
        <f t="shared" si="17"/>
        <v>#N/A</v>
      </c>
    </row>
    <row r="902" spans="1:7">
      <c r="A902" s="112" t="str">
        <f>VLOOKUP('Informe Kelly'!A896,Base!A:B,2,FALSE)</f>
        <v>10.199.755-3</v>
      </c>
      <c r="B902" s="112" t="str">
        <f>VLOOKUP('Informe Kelly'!A896,Base!A:G,7,FALSE)</f>
        <v>HERNANDEZ GONZALEZ QUINTIN ROBERTO</v>
      </c>
      <c r="C902" s="112" t="str">
        <f>'Informe Kelly'!E896</f>
        <v>07.04.2011</v>
      </c>
      <c r="D902" s="112" t="e">
        <f>VLOOKUP(A902,Ingreso!K:P,6,FALSE)</f>
        <v>#N/A</v>
      </c>
      <c r="E902" s="142" t="e">
        <f>(VLOOKUP(D902,$D$2:$E$4,2,FALSE))-(IF('Informe Kelly'!H896=$A$2,'Informe Kelly'!F896,VLOOKUP(D902,$D$2:$E$4,2,FALSE)))</f>
        <v>#N/A</v>
      </c>
      <c r="F902" s="142" t="e">
        <f>IF('Informe Kelly'!H896=$A$3,'Informe Kelly'!F896,VLOOKUP(D902,$D$2:$F$4,3,FALSE))-(VLOOKUP(D902,$D$2:$F$4,3,FALSE))</f>
        <v>#N/A</v>
      </c>
      <c r="G902" s="137" t="e">
        <f t="shared" si="17"/>
        <v>#N/A</v>
      </c>
    </row>
    <row r="903" spans="1:7">
      <c r="A903" s="112" t="str">
        <f>VLOOKUP('Informe Kelly'!A897,Base!A:B,2,FALSE)</f>
        <v>10.199.755-3</v>
      </c>
      <c r="B903" s="112" t="str">
        <f>VLOOKUP('Informe Kelly'!A897,Base!A:G,7,FALSE)</f>
        <v>HERNANDEZ GONZALEZ QUINTIN ROBERTO</v>
      </c>
      <c r="C903" s="112" t="str">
        <f>'Informe Kelly'!E897</f>
        <v>07.04.2011</v>
      </c>
      <c r="D903" s="112" t="e">
        <f>VLOOKUP(A903,Ingreso!K:P,6,FALSE)</f>
        <v>#N/A</v>
      </c>
      <c r="E903" s="142" t="e">
        <f>(VLOOKUP(D903,$D$2:$E$4,2,FALSE))-(IF('Informe Kelly'!H897=$A$2,'Informe Kelly'!F897,VLOOKUP(D903,$D$2:$E$4,2,FALSE)))</f>
        <v>#N/A</v>
      </c>
      <c r="F903" s="142" t="e">
        <f>IF('Informe Kelly'!H897=$A$3,'Informe Kelly'!F897,VLOOKUP(D903,$D$2:$F$4,3,FALSE))-(VLOOKUP(D903,$D$2:$F$4,3,FALSE))</f>
        <v>#N/A</v>
      </c>
      <c r="G903" s="137" t="e">
        <f t="shared" si="17"/>
        <v>#N/A</v>
      </c>
    </row>
    <row r="904" spans="1:7">
      <c r="A904" s="112" t="str">
        <f>VLOOKUP('Informe Kelly'!A898,Base!A:B,2,FALSE)</f>
        <v>10.199.755-3</v>
      </c>
      <c r="B904" s="112" t="str">
        <f>VLOOKUP('Informe Kelly'!A898,Base!A:G,7,FALSE)</f>
        <v>HERNANDEZ GONZALEZ QUINTIN ROBERTO</v>
      </c>
      <c r="C904" s="112" t="str">
        <f>'Informe Kelly'!E898</f>
        <v>08.04.2011</v>
      </c>
      <c r="D904" s="112" t="e">
        <f>VLOOKUP(A904,Ingreso!K:P,6,FALSE)</f>
        <v>#N/A</v>
      </c>
      <c r="E904" s="142" t="e">
        <f>(VLOOKUP(D904,$D$2:$E$4,2,FALSE))-(IF('Informe Kelly'!H898=$A$2,'Informe Kelly'!F898,VLOOKUP(D904,$D$2:$E$4,2,FALSE)))</f>
        <v>#N/A</v>
      </c>
      <c r="F904" s="142" t="e">
        <f>IF('Informe Kelly'!H898=$A$3,'Informe Kelly'!F898,VLOOKUP(D904,$D$2:$F$4,3,FALSE))-(VLOOKUP(D904,$D$2:$F$4,3,FALSE))</f>
        <v>#N/A</v>
      </c>
      <c r="G904" s="137" t="e">
        <f t="shared" si="17"/>
        <v>#N/A</v>
      </c>
    </row>
    <row r="905" spans="1:7">
      <c r="A905" s="112" t="str">
        <f>VLOOKUP('Informe Kelly'!A899,Base!A:B,2,FALSE)</f>
        <v>10.199.755-3</v>
      </c>
      <c r="B905" s="112" t="str">
        <f>VLOOKUP('Informe Kelly'!A899,Base!A:G,7,FALSE)</f>
        <v>HERNANDEZ GONZALEZ QUINTIN ROBERTO</v>
      </c>
      <c r="C905" s="112" t="str">
        <f>'Informe Kelly'!E899</f>
        <v>08.04.2011</v>
      </c>
      <c r="D905" s="112" t="e">
        <f>VLOOKUP(A905,Ingreso!K:P,6,FALSE)</f>
        <v>#N/A</v>
      </c>
      <c r="E905" s="142" t="e">
        <f>(VLOOKUP(D905,$D$2:$E$4,2,FALSE))-(IF('Informe Kelly'!H899=$A$2,'Informe Kelly'!F899,VLOOKUP(D905,$D$2:$E$4,2,FALSE)))</f>
        <v>#N/A</v>
      </c>
      <c r="F905" s="142" t="e">
        <f>IF('Informe Kelly'!H899=$A$3,'Informe Kelly'!F899,VLOOKUP(D905,$D$2:$F$4,3,FALSE))-(VLOOKUP(D905,$D$2:$F$4,3,FALSE))</f>
        <v>#N/A</v>
      </c>
      <c r="G905" s="137" t="e">
        <f t="shared" ref="G905:G968" si="18">IF(E905="",IF(F905&lt;0.0409722222222222,0,E905),IF(E905&lt;0.0409722222222222,0,E905))</f>
        <v>#N/A</v>
      </c>
    </row>
    <row r="906" spans="1:7">
      <c r="A906" s="112" t="str">
        <f>VLOOKUP('Informe Kelly'!A900,Base!A:B,2,FALSE)</f>
        <v>10.199.755-3</v>
      </c>
      <c r="B906" s="112" t="str">
        <f>VLOOKUP('Informe Kelly'!A900,Base!A:G,7,FALSE)</f>
        <v>HERNANDEZ GONZALEZ QUINTIN ROBERTO</v>
      </c>
      <c r="C906" s="112" t="str">
        <f>'Informe Kelly'!E900</f>
        <v>09.04.2011</v>
      </c>
      <c r="D906" s="112" t="e">
        <f>VLOOKUP(A906,Ingreso!K:P,6,FALSE)</f>
        <v>#N/A</v>
      </c>
      <c r="E906" s="142" t="e">
        <f>(VLOOKUP(D906,$D$2:$E$4,2,FALSE))-(IF('Informe Kelly'!H900=$A$2,'Informe Kelly'!F900,VLOOKUP(D906,$D$2:$E$4,2,FALSE)))</f>
        <v>#N/A</v>
      </c>
      <c r="F906" s="142" t="e">
        <f>IF('Informe Kelly'!H900=$A$3,'Informe Kelly'!F900,VLOOKUP(D906,$D$2:$F$4,3,FALSE))-(VLOOKUP(D906,$D$2:$F$4,3,FALSE))</f>
        <v>#N/A</v>
      </c>
      <c r="G906" s="137" t="e">
        <f t="shared" si="18"/>
        <v>#N/A</v>
      </c>
    </row>
    <row r="907" spans="1:7">
      <c r="A907" s="112" t="str">
        <f>VLOOKUP('Informe Kelly'!A901,Base!A:B,2,FALSE)</f>
        <v>10.199.755-3</v>
      </c>
      <c r="B907" s="112" t="str">
        <f>VLOOKUP('Informe Kelly'!A901,Base!A:G,7,FALSE)</f>
        <v>HERNANDEZ GONZALEZ QUINTIN ROBERTO</v>
      </c>
      <c r="C907" s="112" t="str">
        <f>'Informe Kelly'!E901</f>
        <v>09.04.2011</v>
      </c>
      <c r="D907" s="112" t="e">
        <f>VLOOKUP(A907,Ingreso!K:P,6,FALSE)</f>
        <v>#N/A</v>
      </c>
      <c r="E907" s="142" t="e">
        <f>(VLOOKUP(D907,$D$2:$E$4,2,FALSE))-(IF('Informe Kelly'!H901=$A$2,'Informe Kelly'!F901,VLOOKUP(D907,$D$2:$E$4,2,FALSE)))</f>
        <v>#N/A</v>
      </c>
      <c r="F907" s="142" t="e">
        <f>IF('Informe Kelly'!H901=$A$3,'Informe Kelly'!F901,VLOOKUP(D907,$D$2:$F$4,3,FALSE))-(VLOOKUP(D907,$D$2:$F$4,3,FALSE))</f>
        <v>#N/A</v>
      </c>
      <c r="G907" s="137" t="e">
        <f t="shared" si="18"/>
        <v>#N/A</v>
      </c>
    </row>
    <row r="908" spans="1:7">
      <c r="A908" s="112" t="str">
        <f>VLOOKUP('Informe Kelly'!A902,Base!A:B,2,FALSE)</f>
        <v>10.309.203-5</v>
      </c>
      <c r="B908" s="112" t="str">
        <f>VLOOKUP('Informe Kelly'!A902,Base!A:G,7,FALSE)</f>
        <v>REYES LARA ANGELA ADELA</v>
      </c>
      <c r="C908" s="112" t="str">
        <f>'Informe Kelly'!E902</f>
        <v>04.04.2011</v>
      </c>
      <c r="D908" s="112" t="e">
        <f>VLOOKUP(A908,Ingreso!K:P,6,FALSE)</f>
        <v>#N/A</v>
      </c>
      <c r="E908" s="142" t="e">
        <f>(VLOOKUP(D908,$D$2:$E$4,2,FALSE))-(IF('Informe Kelly'!H902=$A$2,'Informe Kelly'!F902,VLOOKUP(D908,$D$2:$E$4,2,FALSE)))</f>
        <v>#N/A</v>
      </c>
      <c r="F908" s="142" t="e">
        <f>IF('Informe Kelly'!H902=$A$3,'Informe Kelly'!F902,VLOOKUP(D908,$D$2:$F$4,3,FALSE))-(VLOOKUP(D908,$D$2:$F$4,3,FALSE))</f>
        <v>#N/A</v>
      </c>
      <c r="G908" s="137" t="e">
        <f t="shared" si="18"/>
        <v>#N/A</v>
      </c>
    </row>
    <row r="909" spans="1:7">
      <c r="A909" s="112" t="str">
        <f>VLOOKUP('Informe Kelly'!A903,Base!A:B,2,FALSE)</f>
        <v>10.309.203-5</v>
      </c>
      <c r="B909" s="112" t="str">
        <f>VLOOKUP('Informe Kelly'!A903,Base!A:G,7,FALSE)</f>
        <v>REYES LARA ANGELA ADELA</v>
      </c>
      <c r="C909" s="112" t="str">
        <f>'Informe Kelly'!E903</f>
        <v>04.04.2011</v>
      </c>
      <c r="D909" s="112" t="e">
        <f>VLOOKUP(A909,Ingreso!K:P,6,FALSE)</f>
        <v>#N/A</v>
      </c>
      <c r="E909" s="142" t="e">
        <f>(VLOOKUP(D909,$D$2:$E$4,2,FALSE))-(IF('Informe Kelly'!H903=$A$2,'Informe Kelly'!F903,VLOOKUP(D909,$D$2:$E$4,2,FALSE)))</f>
        <v>#N/A</v>
      </c>
      <c r="F909" s="142" t="e">
        <f>IF('Informe Kelly'!H903=$A$3,'Informe Kelly'!F903,VLOOKUP(D909,$D$2:$F$4,3,FALSE))-(VLOOKUP(D909,$D$2:$F$4,3,FALSE))</f>
        <v>#N/A</v>
      </c>
      <c r="G909" s="137" t="e">
        <f t="shared" si="18"/>
        <v>#N/A</v>
      </c>
    </row>
    <row r="910" spans="1:7">
      <c r="A910" s="112" t="str">
        <f>VLOOKUP('Informe Kelly'!A904,Base!A:B,2,FALSE)</f>
        <v>10.309.203-5</v>
      </c>
      <c r="B910" s="112" t="str">
        <f>VLOOKUP('Informe Kelly'!A904,Base!A:G,7,FALSE)</f>
        <v>REYES LARA ANGELA ADELA</v>
      </c>
      <c r="C910" s="112" t="str">
        <f>'Informe Kelly'!E904</f>
        <v>05.04.2011</v>
      </c>
      <c r="D910" s="112" t="e">
        <f>VLOOKUP(A910,Ingreso!K:P,6,FALSE)</f>
        <v>#N/A</v>
      </c>
      <c r="E910" s="142" t="e">
        <f>(VLOOKUP(D910,$D$2:$E$4,2,FALSE))-(IF('Informe Kelly'!H904=$A$2,'Informe Kelly'!F904,VLOOKUP(D910,$D$2:$E$4,2,FALSE)))</f>
        <v>#N/A</v>
      </c>
      <c r="F910" s="142" t="e">
        <f>IF('Informe Kelly'!H904=$A$3,'Informe Kelly'!F904,VLOOKUP(D910,$D$2:$F$4,3,FALSE))-(VLOOKUP(D910,$D$2:$F$4,3,FALSE))</f>
        <v>#N/A</v>
      </c>
      <c r="G910" s="137" t="e">
        <f t="shared" si="18"/>
        <v>#N/A</v>
      </c>
    </row>
    <row r="911" spans="1:7">
      <c r="A911" s="112" t="str">
        <f>VLOOKUP('Informe Kelly'!A905,Base!A:B,2,FALSE)</f>
        <v>10.309.203-5</v>
      </c>
      <c r="B911" s="112" t="str">
        <f>VLOOKUP('Informe Kelly'!A905,Base!A:G,7,FALSE)</f>
        <v>REYES LARA ANGELA ADELA</v>
      </c>
      <c r="C911" s="112" t="str">
        <f>'Informe Kelly'!E905</f>
        <v>05.04.2011</v>
      </c>
      <c r="D911" s="112" t="e">
        <f>VLOOKUP(A911,Ingreso!K:P,6,FALSE)</f>
        <v>#N/A</v>
      </c>
      <c r="E911" s="142" t="e">
        <f>(VLOOKUP(D911,$D$2:$E$4,2,FALSE))-(IF('Informe Kelly'!H905=$A$2,'Informe Kelly'!F905,VLOOKUP(D911,$D$2:$E$4,2,FALSE)))</f>
        <v>#N/A</v>
      </c>
      <c r="F911" s="142" t="e">
        <f>IF('Informe Kelly'!H905=$A$3,'Informe Kelly'!F905,VLOOKUP(D911,$D$2:$F$4,3,FALSE))-(VLOOKUP(D911,$D$2:$F$4,3,FALSE))</f>
        <v>#N/A</v>
      </c>
      <c r="G911" s="137" t="e">
        <f t="shared" si="18"/>
        <v>#N/A</v>
      </c>
    </row>
    <row r="912" spans="1:7">
      <c r="A912" s="112" t="str">
        <f>VLOOKUP('Informe Kelly'!A906,Base!A:B,2,FALSE)</f>
        <v>10.309.203-5</v>
      </c>
      <c r="B912" s="112" t="str">
        <f>VLOOKUP('Informe Kelly'!A906,Base!A:G,7,FALSE)</f>
        <v>REYES LARA ANGELA ADELA</v>
      </c>
      <c r="C912" s="112" t="str">
        <f>'Informe Kelly'!E906</f>
        <v>06.04.2011</v>
      </c>
      <c r="D912" s="112" t="e">
        <f>VLOOKUP(A912,Ingreso!K:P,6,FALSE)</f>
        <v>#N/A</v>
      </c>
      <c r="E912" s="142" t="e">
        <f>(VLOOKUP(D912,$D$2:$E$4,2,FALSE))-(IF('Informe Kelly'!H906=$A$2,'Informe Kelly'!F906,VLOOKUP(D912,$D$2:$E$4,2,FALSE)))</f>
        <v>#N/A</v>
      </c>
      <c r="F912" s="142" t="e">
        <f>IF('Informe Kelly'!H906=$A$3,'Informe Kelly'!F906,VLOOKUP(D912,$D$2:$F$4,3,FALSE))-(VLOOKUP(D912,$D$2:$F$4,3,FALSE))</f>
        <v>#N/A</v>
      </c>
      <c r="G912" s="137" t="e">
        <f t="shared" si="18"/>
        <v>#N/A</v>
      </c>
    </row>
    <row r="913" spans="1:7">
      <c r="A913" s="112" t="str">
        <f>VLOOKUP('Informe Kelly'!A907,Base!A:B,2,FALSE)</f>
        <v>10.309.203-5</v>
      </c>
      <c r="B913" s="112" t="str">
        <f>VLOOKUP('Informe Kelly'!A907,Base!A:G,7,FALSE)</f>
        <v>REYES LARA ANGELA ADELA</v>
      </c>
      <c r="C913" s="112" t="str">
        <f>'Informe Kelly'!E907</f>
        <v>06.04.2011</v>
      </c>
      <c r="D913" s="112" t="e">
        <f>VLOOKUP(A913,Ingreso!K:P,6,FALSE)</f>
        <v>#N/A</v>
      </c>
      <c r="E913" s="142" t="e">
        <f>(VLOOKUP(D913,$D$2:$E$4,2,FALSE))-(IF('Informe Kelly'!H907=$A$2,'Informe Kelly'!F907,VLOOKUP(D913,$D$2:$E$4,2,FALSE)))</f>
        <v>#N/A</v>
      </c>
      <c r="F913" s="142" t="e">
        <f>IF('Informe Kelly'!H907=$A$3,'Informe Kelly'!F907,VLOOKUP(D913,$D$2:$F$4,3,FALSE))-(VLOOKUP(D913,$D$2:$F$4,3,FALSE))</f>
        <v>#N/A</v>
      </c>
      <c r="G913" s="137" t="e">
        <f t="shared" si="18"/>
        <v>#N/A</v>
      </c>
    </row>
    <row r="914" spans="1:7">
      <c r="A914" s="112" t="str">
        <f>VLOOKUP('Informe Kelly'!A908,Base!A:B,2,FALSE)</f>
        <v>10.309.203-5</v>
      </c>
      <c r="B914" s="112" t="str">
        <f>VLOOKUP('Informe Kelly'!A908,Base!A:G,7,FALSE)</f>
        <v>REYES LARA ANGELA ADELA</v>
      </c>
      <c r="C914" s="112" t="str">
        <f>'Informe Kelly'!E908</f>
        <v>07.04.2011</v>
      </c>
      <c r="D914" s="112" t="e">
        <f>VLOOKUP(A914,Ingreso!K:P,6,FALSE)</f>
        <v>#N/A</v>
      </c>
      <c r="E914" s="142" t="e">
        <f>(VLOOKUP(D914,$D$2:$E$4,2,FALSE))-(IF('Informe Kelly'!H908=$A$2,'Informe Kelly'!F908,VLOOKUP(D914,$D$2:$E$4,2,FALSE)))</f>
        <v>#N/A</v>
      </c>
      <c r="F914" s="142" t="e">
        <f>IF('Informe Kelly'!H908=$A$3,'Informe Kelly'!F908,VLOOKUP(D914,$D$2:$F$4,3,FALSE))-(VLOOKUP(D914,$D$2:$F$4,3,FALSE))</f>
        <v>#N/A</v>
      </c>
      <c r="G914" s="137" t="e">
        <f t="shared" si="18"/>
        <v>#N/A</v>
      </c>
    </row>
    <row r="915" spans="1:7">
      <c r="A915" s="112" t="str">
        <f>VLOOKUP('Informe Kelly'!A909,Base!A:B,2,FALSE)</f>
        <v>10.309.203-5</v>
      </c>
      <c r="B915" s="112" t="str">
        <f>VLOOKUP('Informe Kelly'!A909,Base!A:G,7,FALSE)</f>
        <v>REYES LARA ANGELA ADELA</v>
      </c>
      <c r="C915" s="112" t="str">
        <f>'Informe Kelly'!E909</f>
        <v>07.04.2011</v>
      </c>
      <c r="D915" s="112" t="e">
        <f>VLOOKUP(A915,Ingreso!K:P,6,FALSE)</f>
        <v>#N/A</v>
      </c>
      <c r="E915" s="142" t="e">
        <f>(VLOOKUP(D915,$D$2:$E$4,2,FALSE))-(IF('Informe Kelly'!H909=$A$2,'Informe Kelly'!F909,VLOOKUP(D915,$D$2:$E$4,2,FALSE)))</f>
        <v>#N/A</v>
      </c>
      <c r="F915" s="142" t="e">
        <f>IF('Informe Kelly'!H909=$A$3,'Informe Kelly'!F909,VLOOKUP(D915,$D$2:$F$4,3,FALSE))-(VLOOKUP(D915,$D$2:$F$4,3,FALSE))</f>
        <v>#N/A</v>
      </c>
      <c r="G915" s="137" t="e">
        <f t="shared" si="18"/>
        <v>#N/A</v>
      </c>
    </row>
    <row r="916" spans="1:7">
      <c r="A916" s="112" t="str">
        <f>VLOOKUP('Informe Kelly'!A910,Base!A:B,2,FALSE)</f>
        <v>10.309.203-5</v>
      </c>
      <c r="B916" s="112" t="str">
        <f>VLOOKUP('Informe Kelly'!A910,Base!A:G,7,FALSE)</f>
        <v>REYES LARA ANGELA ADELA</v>
      </c>
      <c r="C916" s="112" t="str">
        <f>'Informe Kelly'!E910</f>
        <v>08.04.2011</v>
      </c>
      <c r="D916" s="112" t="e">
        <f>VLOOKUP(A916,Ingreso!K:P,6,FALSE)</f>
        <v>#N/A</v>
      </c>
      <c r="E916" s="142" t="e">
        <f>(VLOOKUP(D916,$D$2:$E$4,2,FALSE))-(IF('Informe Kelly'!H910=$A$2,'Informe Kelly'!F910,VLOOKUP(D916,$D$2:$E$4,2,FALSE)))</f>
        <v>#N/A</v>
      </c>
      <c r="F916" s="142" t="e">
        <f>IF('Informe Kelly'!H910=$A$3,'Informe Kelly'!F910,VLOOKUP(D916,$D$2:$F$4,3,FALSE))-(VLOOKUP(D916,$D$2:$F$4,3,FALSE))</f>
        <v>#N/A</v>
      </c>
      <c r="G916" s="137" t="e">
        <f t="shared" si="18"/>
        <v>#N/A</v>
      </c>
    </row>
    <row r="917" spans="1:7">
      <c r="A917" s="112" t="str">
        <f>VLOOKUP('Informe Kelly'!A911,Base!A:B,2,FALSE)</f>
        <v>10.309.203-5</v>
      </c>
      <c r="B917" s="112" t="str">
        <f>VLOOKUP('Informe Kelly'!A911,Base!A:G,7,FALSE)</f>
        <v>REYES LARA ANGELA ADELA</v>
      </c>
      <c r="C917" s="112" t="str">
        <f>'Informe Kelly'!E911</f>
        <v>08.04.2011</v>
      </c>
      <c r="D917" s="112" t="e">
        <f>VLOOKUP(A917,Ingreso!K:P,6,FALSE)</f>
        <v>#N/A</v>
      </c>
      <c r="E917" s="142" t="e">
        <f>(VLOOKUP(D917,$D$2:$E$4,2,FALSE))-(IF('Informe Kelly'!H911=$A$2,'Informe Kelly'!F911,VLOOKUP(D917,$D$2:$E$4,2,FALSE)))</f>
        <v>#N/A</v>
      </c>
      <c r="F917" s="142" t="e">
        <f>IF('Informe Kelly'!H911=$A$3,'Informe Kelly'!F911,VLOOKUP(D917,$D$2:$F$4,3,FALSE))-(VLOOKUP(D917,$D$2:$F$4,3,FALSE))</f>
        <v>#N/A</v>
      </c>
      <c r="G917" s="137" t="e">
        <f t="shared" si="18"/>
        <v>#N/A</v>
      </c>
    </row>
    <row r="918" spans="1:7">
      <c r="A918" s="112" t="str">
        <f>VLOOKUP('Informe Kelly'!A912,Base!A:B,2,FALSE)</f>
        <v>10.311.290-7</v>
      </c>
      <c r="B918" s="112" t="str">
        <f>VLOOKUP('Informe Kelly'!A912,Base!A:G,7,FALSE)</f>
        <v>VIDAL  ATENAS,RICARDO V.</v>
      </c>
      <c r="C918" s="112" t="str">
        <f>'Informe Kelly'!E912</f>
        <v>04.04.2011</v>
      </c>
      <c r="D918" s="112" t="e">
        <f>VLOOKUP(A918,Ingreso!K:P,6,FALSE)</f>
        <v>#N/A</v>
      </c>
      <c r="E918" s="142" t="e">
        <f>(VLOOKUP(D918,$D$2:$E$4,2,FALSE))-(IF('Informe Kelly'!H912=$A$2,'Informe Kelly'!F912,VLOOKUP(D918,$D$2:$E$4,2,FALSE)))</f>
        <v>#N/A</v>
      </c>
      <c r="F918" s="142" t="e">
        <f>IF('Informe Kelly'!H912=$A$3,'Informe Kelly'!F912,VLOOKUP(D918,$D$2:$F$4,3,FALSE))-(VLOOKUP(D918,$D$2:$F$4,3,FALSE))</f>
        <v>#N/A</v>
      </c>
      <c r="G918" s="137" t="e">
        <f t="shared" si="18"/>
        <v>#N/A</v>
      </c>
    </row>
    <row r="919" spans="1:7">
      <c r="A919" s="112" t="str">
        <f>VLOOKUP('Informe Kelly'!A913,Base!A:B,2,FALSE)</f>
        <v>10.311.290-7</v>
      </c>
      <c r="B919" s="112" t="str">
        <f>VLOOKUP('Informe Kelly'!A913,Base!A:G,7,FALSE)</f>
        <v>VIDAL  ATENAS,RICARDO V.</v>
      </c>
      <c r="C919" s="112" t="str">
        <f>'Informe Kelly'!E913</f>
        <v>04.04.2011</v>
      </c>
      <c r="D919" s="112" t="e">
        <f>VLOOKUP(A919,Ingreso!K:P,6,FALSE)</f>
        <v>#N/A</v>
      </c>
      <c r="E919" s="142" t="e">
        <f>(VLOOKUP(D919,$D$2:$E$4,2,FALSE))-(IF('Informe Kelly'!H913=$A$2,'Informe Kelly'!F913,VLOOKUP(D919,$D$2:$E$4,2,FALSE)))</f>
        <v>#N/A</v>
      </c>
      <c r="F919" s="142" t="e">
        <f>IF('Informe Kelly'!H913=$A$3,'Informe Kelly'!F913,VLOOKUP(D919,$D$2:$F$4,3,FALSE))-(VLOOKUP(D919,$D$2:$F$4,3,FALSE))</f>
        <v>#N/A</v>
      </c>
      <c r="G919" s="137" t="e">
        <f t="shared" si="18"/>
        <v>#N/A</v>
      </c>
    </row>
    <row r="920" spans="1:7">
      <c r="A920" s="112" t="str">
        <f>VLOOKUP('Informe Kelly'!A914,Base!A:B,2,FALSE)</f>
        <v>10.311.290-7</v>
      </c>
      <c r="B920" s="112" t="str">
        <f>VLOOKUP('Informe Kelly'!A914,Base!A:G,7,FALSE)</f>
        <v>VIDAL  ATENAS,RICARDO V.</v>
      </c>
      <c r="C920" s="112" t="str">
        <f>'Informe Kelly'!E914</f>
        <v>05.04.2011</v>
      </c>
      <c r="D920" s="112" t="e">
        <f>VLOOKUP(A920,Ingreso!K:P,6,FALSE)</f>
        <v>#N/A</v>
      </c>
      <c r="E920" s="142" t="e">
        <f>(VLOOKUP(D920,$D$2:$E$4,2,FALSE))-(IF('Informe Kelly'!H914=$A$2,'Informe Kelly'!F914,VLOOKUP(D920,$D$2:$E$4,2,FALSE)))</f>
        <v>#N/A</v>
      </c>
      <c r="F920" s="142" t="e">
        <f>IF('Informe Kelly'!H914=$A$3,'Informe Kelly'!F914,VLOOKUP(D920,$D$2:$F$4,3,FALSE))-(VLOOKUP(D920,$D$2:$F$4,3,FALSE))</f>
        <v>#N/A</v>
      </c>
      <c r="G920" s="137" t="e">
        <f t="shared" si="18"/>
        <v>#N/A</v>
      </c>
    </row>
    <row r="921" spans="1:7">
      <c r="A921" s="112" t="str">
        <f>VLOOKUP('Informe Kelly'!A915,Base!A:B,2,FALSE)</f>
        <v>10.311.290-7</v>
      </c>
      <c r="B921" s="112" t="str">
        <f>VLOOKUP('Informe Kelly'!A915,Base!A:G,7,FALSE)</f>
        <v>VIDAL  ATENAS,RICARDO V.</v>
      </c>
      <c r="C921" s="112" t="str">
        <f>'Informe Kelly'!E915</f>
        <v>05.04.2011</v>
      </c>
      <c r="D921" s="112" t="e">
        <f>VLOOKUP(A921,Ingreso!K:P,6,FALSE)</f>
        <v>#N/A</v>
      </c>
      <c r="E921" s="142" t="e">
        <f>(VLOOKUP(D921,$D$2:$E$4,2,FALSE))-(IF('Informe Kelly'!H915=$A$2,'Informe Kelly'!F915,VLOOKUP(D921,$D$2:$E$4,2,FALSE)))</f>
        <v>#N/A</v>
      </c>
      <c r="F921" s="142" t="e">
        <f>IF('Informe Kelly'!H915=$A$3,'Informe Kelly'!F915,VLOOKUP(D921,$D$2:$F$4,3,FALSE))-(VLOOKUP(D921,$D$2:$F$4,3,FALSE))</f>
        <v>#N/A</v>
      </c>
      <c r="G921" s="137" t="e">
        <f t="shared" si="18"/>
        <v>#N/A</v>
      </c>
    </row>
    <row r="922" spans="1:7">
      <c r="A922" s="112" t="str">
        <f>VLOOKUP('Informe Kelly'!A916,Base!A:B,2,FALSE)</f>
        <v>10.311.290-7</v>
      </c>
      <c r="B922" s="112" t="str">
        <f>VLOOKUP('Informe Kelly'!A916,Base!A:G,7,FALSE)</f>
        <v>VIDAL  ATENAS,RICARDO V.</v>
      </c>
      <c r="C922" s="112" t="str">
        <f>'Informe Kelly'!E916</f>
        <v>06.04.2011</v>
      </c>
      <c r="D922" s="112" t="e">
        <f>VLOOKUP(A922,Ingreso!K:P,6,FALSE)</f>
        <v>#N/A</v>
      </c>
      <c r="E922" s="142" t="e">
        <f>(VLOOKUP(D922,$D$2:$E$4,2,FALSE))-(IF('Informe Kelly'!H916=$A$2,'Informe Kelly'!F916,VLOOKUP(D922,$D$2:$E$4,2,FALSE)))</f>
        <v>#N/A</v>
      </c>
      <c r="F922" s="142" t="e">
        <f>IF('Informe Kelly'!H916=$A$3,'Informe Kelly'!F916,VLOOKUP(D922,$D$2:$F$4,3,FALSE))-(VLOOKUP(D922,$D$2:$F$4,3,FALSE))</f>
        <v>#N/A</v>
      </c>
      <c r="G922" s="137" t="e">
        <f t="shared" si="18"/>
        <v>#N/A</v>
      </c>
    </row>
    <row r="923" spans="1:7">
      <c r="A923" s="112" t="str">
        <f>VLOOKUP('Informe Kelly'!A917,Base!A:B,2,FALSE)</f>
        <v>10.311.290-7</v>
      </c>
      <c r="B923" s="112" t="str">
        <f>VLOOKUP('Informe Kelly'!A917,Base!A:G,7,FALSE)</f>
        <v>VIDAL  ATENAS,RICARDO V.</v>
      </c>
      <c r="C923" s="112" t="str">
        <f>'Informe Kelly'!E917</f>
        <v>06.04.2011</v>
      </c>
      <c r="D923" s="112" t="e">
        <f>VLOOKUP(A923,Ingreso!K:P,6,FALSE)</f>
        <v>#N/A</v>
      </c>
      <c r="E923" s="142" t="e">
        <f>(VLOOKUP(D923,$D$2:$E$4,2,FALSE))-(IF('Informe Kelly'!H917=$A$2,'Informe Kelly'!F917,VLOOKUP(D923,$D$2:$E$4,2,FALSE)))</f>
        <v>#N/A</v>
      </c>
      <c r="F923" s="142" t="e">
        <f>IF('Informe Kelly'!H917=$A$3,'Informe Kelly'!F917,VLOOKUP(D923,$D$2:$F$4,3,FALSE))-(VLOOKUP(D923,$D$2:$F$4,3,FALSE))</f>
        <v>#N/A</v>
      </c>
      <c r="G923" s="137" t="e">
        <f t="shared" si="18"/>
        <v>#N/A</v>
      </c>
    </row>
    <row r="924" spans="1:7">
      <c r="A924" s="112" t="str">
        <f>VLOOKUP('Informe Kelly'!A918,Base!A:B,2,FALSE)</f>
        <v>10.311.290-7</v>
      </c>
      <c r="B924" s="112" t="str">
        <f>VLOOKUP('Informe Kelly'!A918,Base!A:G,7,FALSE)</f>
        <v>VIDAL  ATENAS,RICARDO V.</v>
      </c>
      <c r="C924" s="112" t="str">
        <f>'Informe Kelly'!E918</f>
        <v>07.04.2011</v>
      </c>
      <c r="D924" s="112" t="e">
        <f>VLOOKUP(A924,Ingreso!K:P,6,FALSE)</f>
        <v>#N/A</v>
      </c>
      <c r="E924" s="142" t="e">
        <f>(VLOOKUP(D924,$D$2:$E$4,2,FALSE))-(IF('Informe Kelly'!H918=$A$2,'Informe Kelly'!F918,VLOOKUP(D924,$D$2:$E$4,2,FALSE)))</f>
        <v>#N/A</v>
      </c>
      <c r="F924" s="142" t="e">
        <f>IF('Informe Kelly'!H918=$A$3,'Informe Kelly'!F918,VLOOKUP(D924,$D$2:$F$4,3,FALSE))-(VLOOKUP(D924,$D$2:$F$4,3,FALSE))</f>
        <v>#N/A</v>
      </c>
      <c r="G924" s="137" t="e">
        <f t="shared" si="18"/>
        <v>#N/A</v>
      </c>
    </row>
    <row r="925" spans="1:7">
      <c r="A925" s="112" t="str">
        <f>VLOOKUP('Informe Kelly'!A919,Base!A:B,2,FALSE)</f>
        <v>10.311.290-7</v>
      </c>
      <c r="B925" s="112" t="str">
        <f>VLOOKUP('Informe Kelly'!A919,Base!A:G,7,FALSE)</f>
        <v>VIDAL  ATENAS,RICARDO V.</v>
      </c>
      <c r="C925" s="112" t="str">
        <f>'Informe Kelly'!E919</f>
        <v>07.04.2011</v>
      </c>
      <c r="D925" s="112" t="e">
        <f>VLOOKUP(A925,Ingreso!K:P,6,FALSE)</f>
        <v>#N/A</v>
      </c>
      <c r="E925" s="142" t="e">
        <f>(VLOOKUP(D925,$D$2:$E$4,2,FALSE))-(IF('Informe Kelly'!H919=$A$2,'Informe Kelly'!F919,VLOOKUP(D925,$D$2:$E$4,2,FALSE)))</f>
        <v>#N/A</v>
      </c>
      <c r="F925" s="142" t="e">
        <f>IF('Informe Kelly'!H919=$A$3,'Informe Kelly'!F919,VLOOKUP(D925,$D$2:$F$4,3,FALSE))-(VLOOKUP(D925,$D$2:$F$4,3,FALSE))</f>
        <v>#N/A</v>
      </c>
      <c r="G925" s="137" t="e">
        <f t="shared" si="18"/>
        <v>#N/A</v>
      </c>
    </row>
    <row r="926" spans="1:7">
      <c r="A926" s="112" t="str">
        <f>VLOOKUP('Informe Kelly'!A920,Base!A:B,2,FALSE)</f>
        <v>10.311.290-7</v>
      </c>
      <c r="B926" s="112" t="str">
        <f>VLOOKUP('Informe Kelly'!A920,Base!A:G,7,FALSE)</f>
        <v>VIDAL  ATENAS,RICARDO V.</v>
      </c>
      <c r="C926" s="112" t="str">
        <f>'Informe Kelly'!E920</f>
        <v>08.04.2011</v>
      </c>
      <c r="D926" s="112" t="e">
        <f>VLOOKUP(A926,Ingreso!K:P,6,FALSE)</f>
        <v>#N/A</v>
      </c>
      <c r="E926" s="142" t="e">
        <f>(VLOOKUP(D926,$D$2:$E$4,2,FALSE))-(IF('Informe Kelly'!H920=$A$2,'Informe Kelly'!F920,VLOOKUP(D926,$D$2:$E$4,2,FALSE)))</f>
        <v>#N/A</v>
      </c>
      <c r="F926" s="142" t="e">
        <f>IF('Informe Kelly'!H920=$A$3,'Informe Kelly'!F920,VLOOKUP(D926,$D$2:$F$4,3,FALSE))-(VLOOKUP(D926,$D$2:$F$4,3,FALSE))</f>
        <v>#N/A</v>
      </c>
      <c r="G926" s="137" t="e">
        <f t="shared" si="18"/>
        <v>#N/A</v>
      </c>
    </row>
    <row r="927" spans="1:7">
      <c r="A927" s="112" t="str">
        <f>VLOOKUP('Informe Kelly'!A921,Base!A:B,2,FALSE)</f>
        <v>10.311.290-7</v>
      </c>
      <c r="B927" s="112" t="str">
        <f>VLOOKUP('Informe Kelly'!A921,Base!A:G,7,FALSE)</f>
        <v>VIDAL  ATENAS,RICARDO V.</v>
      </c>
      <c r="C927" s="112" t="str">
        <f>'Informe Kelly'!E921</f>
        <v>08.04.2011</v>
      </c>
      <c r="D927" s="112" t="e">
        <f>VLOOKUP(A927,Ingreso!K:P,6,FALSE)</f>
        <v>#N/A</v>
      </c>
      <c r="E927" s="142" t="e">
        <f>(VLOOKUP(D927,$D$2:$E$4,2,FALSE))-(IF('Informe Kelly'!H921=$A$2,'Informe Kelly'!F921,VLOOKUP(D927,$D$2:$E$4,2,FALSE)))</f>
        <v>#N/A</v>
      </c>
      <c r="F927" s="142" t="e">
        <f>IF('Informe Kelly'!H921=$A$3,'Informe Kelly'!F921,VLOOKUP(D927,$D$2:$F$4,3,FALSE))-(VLOOKUP(D927,$D$2:$F$4,3,FALSE))</f>
        <v>#N/A</v>
      </c>
      <c r="G927" s="137" t="e">
        <f t="shared" si="18"/>
        <v>#N/A</v>
      </c>
    </row>
    <row r="928" spans="1:7">
      <c r="A928" s="112" t="str">
        <f>VLOOKUP('Informe Kelly'!A922,Base!A:B,2,FALSE)</f>
        <v>10.311.290-7</v>
      </c>
      <c r="B928" s="112" t="str">
        <f>VLOOKUP('Informe Kelly'!A922,Base!A:G,7,FALSE)</f>
        <v>VIDAL  ATENAS,RICARDO V.</v>
      </c>
      <c r="C928" s="112" t="str">
        <f>'Informe Kelly'!E922</f>
        <v>09.04.2011</v>
      </c>
      <c r="D928" s="112" t="e">
        <f>VLOOKUP(A928,Ingreso!K:P,6,FALSE)</f>
        <v>#N/A</v>
      </c>
      <c r="E928" s="142" t="e">
        <f>(VLOOKUP(D928,$D$2:$E$4,2,FALSE))-(IF('Informe Kelly'!H922=$A$2,'Informe Kelly'!F922,VLOOKUP(D928,$D$2:$E$4,2,FALSE)))</f>
        <v>#N/A</v>
      </c>
      <c r="F928" s="142" t="e">
        <f>IF('Informe Kelly'!H922=$A$3,'Informe Kelly'!F922,VLOOKUP(D928,$D$2:$F$4,3,FALSE))-(VLOOKUP(D928,$D$2:$F$4,3,FALSE))</f>
        <v>#N/A</v>
      </c>
      <c r="G928" s="137" t="e">
        <f t="shared" si="18"/>
        <v>#N/A</v>
      </c>
    </row>
    <row r="929" spans="1:7">
      <c r="A929" s="112" t="str">
        <f>VLOOKUP('Informe Kelly'!A923,Base!A:B,2,FALSE)</f>
        <v>10.407.614-9</v>
      </c>
      <c r="B929" s="112" t="str">
        <f>VLOOKUP('Informe Kelly'!A923,Base!A:G,7,FALSE)</f>
        <v>MORA MORA CARLOS ALEJANDRO</v>
      </c>
      <c r="C929" s="112" t="str">
        <f>'Informe Kelly'!E923</f>
        <v>04.04.2011</v>
      </c>
      <c r="D929" s="112" t="e">
        <f>VLOOKUP(A929,Ingreso!K:P,6,FALSE)</f>
        <v>#N/A</v>
      </c>
      <c r="E929" s="142" t="e">
        <f>(VLOOKUP(D929,$D$2:$E$4,2,FALSE))-(IF('Informe Kelly'!H923=$A$2,'Informe Kelly'!F923,VLOOKUP(D929,$D$2:$E$4,2,FALSE)))</f>
        <v>#N/A</v>
      </c>
      <c r="F929" s="142" t="e">
        <f>IF('Informe Kelly'!H923=$A$3,'Informe Kelly'!F923,VLOOKUP(D929,$D$2:$F$4,3,FALSE))-(VLOOKUP(D929,$D$2:$F$4,3,FALSE))</f>
        <v>#N/A</v>
      </c>
      <c r="G929" s="137" t="e">
        <f t="shared" si="18"/>
        <v>#N/A</v>
      </c>
    </row>
    <row r="930" spans="1:7">
      <c r="A930" s="112" t="str">
        <f>VLOOKUP('Informe Kelly'!A924,Base!A:B,2,FALSE)</f>
        <v>10.407.614-9</v>
      </c>
      <c r="B930" s="112" t="str">
        <f>VLOOKUP('Informe Kelly'!A924,Base!A:G,7,FALSE)</f>
        <v>MORA MORA CARLOS ALEJANDRO</v>
      </c>
      <c r="C930" s="112" t="str">
        <f>'Informe Kelly'!E924</f>
        <v>04.04.2011</v>
      </c>
      <c r="D930" s="112" t="e">
        <f>VLOOKUP(A930,Ingreso!K:P,6,FALSE)</f>
        <v>#N/A</v>
      </c>
      <c r="E930" s="142" t="e">
        <f>(VLOOKUP(D930,$D$2:$E$4,2,FALSE))-(IF('Informe Kelly'!H924=$A$2,'Informe Kelly'!F924,VLOOKUP(D930,$D$2:$E$4,2,FALSE)))</f>
        <v>#N/A</v>
      </c>
      <c r="F930" s="142" t="e">
        <f>IF('Informe Kelly'!H924=$A$3,'Informe Kelly'!F924,VLOOKUP(D930,$D$2:$F$4,3,FALSE))-(VLOOKUP(D930,$D$2:$F$4,3,FALSE))</f>
        <v>#N/A</v>
      </c>
      <c r="G930" s="137" t="e">
        <f t="shared" si="18"/>
        <v>#N/A</v>
      </c>
    </row>
    <row r="931" spans="1:7">
      <c r="A931" s="112" t="str">
        <f>VLOOKUP('Informe Kelly'!A925,Base!A:B,2,FALSE)</f>
        <v>10.407.614-9</v>
      </c>
      <c r="B931" s="112" t="str">
        <f>VLOOKUP('Informe Kelly'!A925,Base!A:G,7,FALSE)</f>
        <v>MORA MORA CARLOS ALEJANDRO</v>
      </c>
      <c r="C931" s="112" t="str">
        <f>'Informe Kelly'!E925</f>
        <v>05.04.2011</v>
      </c>
      <c r="D931" s="112" t="e">
        <f>VLOOKUP(A931,Ingreso!K:P,6,FALSE)</f>
        <v>#N/A</v>
      </c>
      <c r="E931" s="142" t="e">
        <f>(VLOOKUP(D931,$D$2:$E$4,2,FALSE))-(IF('Informe Kelly'!H925=$A$2,'Informe Kelly'!F925,VLOOKUP(D931,$D$2:$E$4,2,FALSE)))</f>
        <v>#N/A</v>
      </c>
      <c r="F931" s="142" t="e">
        <f>IF('Informe Kelly'!H925=$A$3,'Informe Kelly'!F925,VLOOKUP(D931,$D$2:$F$4,3,FALSE))-(VLOOKUP(D931,$D$2:$F$4,3,FALSE))</f>
        <v>#N/A</v>
      </c>
      <c r="G931" s="137" t="e">
        <f t="shared" si="18"/>
        <v>#N/A</v>
      </c>
    </row>
    <row r="932" spans="1:7">
      <c r="A932" s="112" t="str">
        <f>VLOOKUP('Informe Kelly'!A926,Base!A:B,2,FALSE)</f>
        <v>10.407.614-9</v>
      </c>
      <c r="B932" s="112" t="str">
        <f>VLOOKUP('Informe Kelly'!A926,Base!A:G,7,FALSE)</f>
        <v>MORA MORA CARLOS ALEJANDRO</v>
      </c>
      <c r="C932" s="112" t="str">
        <f>'Informe Kelly'!E926</f>
        <v>05.04.2011</v>
      </c>
      <c r="D932" s="112" t="e">
        <f>VLOOKUP(A932,Ingreso!K:P,6,FALSE)</f>
        <v>#N/A</v>
      </c>
      <c r="E932" s="142" t="e">
        <f>(VLOOKUP(D932,$D$2:$E$4,2,FALSE))-(IF('Informe Kelly'!H926=$A$2,'Informe Kelly'!F926,VLOOKUP(D932,$D$2:$E$4,2,FALSE)))</f>
        <v>#N/A</v>
      </c>
      <c r="F932" s="142" t="e">
        <f>IF('Informe Kelly'!H926=$A$3,'Informe Kelly'!F926,VLOOKUP(D932,$D$2:$F$4,3,FALSE))-(VLOOKUP(D932,$D$2:$F$4,3,FALSE))</f>
        <v>#N/A</v>
      </c>
      <c r="G932" s="137" t="e">
        <f t="shared" si="18"/>
        <v>#N/A</v>
      </c>
    </row>
    <row r="933" spans="1:7">
      <c r="A933" s="112" t="str">
        <f>VLOOKUP('Informe Kelly'!A927,Base!A:B,2,FALSE)</f>
        <v>10.407.614-9</v>
      </c>
      <c r="B933" s="112" t="str">
        <f>VLOOKUP('Informe Kelly'!A927,Base!A:G,7,FALSE)</f>
        <v>MORA MORA CARLOS ALEJANDRO</v>
      </c>
      <c r="C933" s="112" t="str">
        <f>'Informe Kelly'!E927</f>
        <v>06.04.2011</v>
      </c>
      <c r="D933" s="112" t="e">
        <f>VLOOKUP(A933,Ingreso!K:P,6,FALSE)</f>
        <v>#N/A</v>
      </c>
      <c r="E933" s="142" t="e">
        <f>(VLOOKUP(D933,$D$2:$E$4,2,FALSE))-(IF('Informe Kelly'!H927=$A$2,'Informe Kelly'!F927,VLOOKUP(D933,$D$2:$E$4,2,FALSE)))</f>
        <v>#N/A</v>
      </c>
      <c r="F933" s="142" t="e">
        <f>IF('Informe Kelly'!H927=$A$3,'Informe Kelly'!F927,VLOOKUP(D933,$D$2:$F$4,3,FALSE))-(VLOOKUP(D933,$D$2:$F$4,3,FALSE))</f>
        <v>#N/A</v>
      </c>
      <c r="G933" s="137" t="e">
        <f t="shared" si="18"/>
        <v>#N/A</v>
      </c>
    </row>
    <row r="934" spans="1:7">
      <c r="A934" s="112" t="str">
        <f>VLOOKUP('Informe Kelly'!A928,Base!A:B,2,FALSE)</f>
        <v>10.407.614-9</v>
      </c>
      <c r="B934" s="112" t="str">
        <f>VLOOKUP('Informe Kelly'!A928,Base!A:G,7,FALSE)</f>
        <v>MORA MORA CARLOS ALEJANDRO</v>
      </c>
      <c r="C934" s="112" t="str">
        <f>'Informe Kelly'!E928</f>
        <v>06.04.2011</v>
      </c>
      <c r="D934" s="112" t="e">
        <f>VLOOKUP(A934,Ingreso!K:P,6,FALSE)</f>
        <v>#N/A</v>
      </c>
      <c r="E934" s="142" t="e">
        <f>(VLOOKUP(D934,$D$2:$E$4,2,FALSE))-(IF('Informe Kelly'!H928=$A$2,'Informe Kelly'!F928,VLOOKUP(D934,$D$2:$E$4,2,FALSE)))</f>
        <v>#N/A</v>
      </c>
      <c r="F934" s="142" t="e">
        <f>IF('Informe Kelly'!H928=$A$3,'Informe Kelly'!F928,VLOOKUP(D934,$D$2:$F$4,3,FALSE))-(VLOOKUP(D934,$D$2:$F$4,3,FALSE))</f>
        <v>#N/A</v>
      </c>
      <c r="G934" s="137" t="e">
        <f t="shared" si="18"/>
        <v>#N/A</v>
      </c>
    </row>
    <row r="935" spans="1:7">
      <c r="A935" s="112" t="str">
        <f>VLOOKUP('Informe Kelly'!A929,Base!A:B,2,FALSE)</f>
        <v>10.407.614-9</v>
      </c>
      <c r="B935" s="112" t="str">
        <f>VLOOKUP('Informe Kelly'!A929,Base!A:G,7,FALSE)</f>
        <v>MORA MORA CARLOS ALEJANDRO</v>
      </c>
      <c r="C935" s="112" t="str">
        <f>'Informe Kelly'!E929</f>
        <v>07.04.2011</v>
      </c>
      <c r="D935" s="112" t="e">
        <f>VLOOKUP(A935,Ingreso!K:P,6,FALSE)</f>
        <v>#N/A</v>
      </c>
      <c r="E935" s="142" t="e">
        <f>(VLOOKUP(D935,$D$2:$E$4,2,FALSE))-(IF('Informe Kelly'!H929=$A$2,'Informe Kelly'!F929,VLOOKUP(D935,$D$2:$E$4,2,FALSE)))</f>
        <v>#N/A</v>
      </c>
      <c r="F935" s="142" t="e">
        <f>IF('Informe Kelly'!H929=$A$3,'Informe Kelly'!F929,VLOOKUP(D935,$D$2:$F$4,3,FALSE))-(VLOOKUP(D935,$D$2:$F$4,3,FALSE))</f>
        <v>#N/A</v>
      </c>
      <c r="G935" s="137" t="e">
        <f t="shared" si="18"/>
        <v>#N/A</v>
      </c>
    </row>
    <row r="936" spans="1:7">
      <c r="A936" s="112" t="str">
        <f>VLOOKUP('Informe Kelly'!A930,Base!A:B,2,FALSE)</f>
        <v>10.407.614-9</v>
      </c>
      <c r="B936" s="112" t="str">
        <f>VLOOKUP('Informe Kelly'!A930,Base!A:G,7,FALSE)</f>
        <v>MORA MORA CARLOS ALEJANDRO</v>
      </c>
      <c r="C936" s="112" t="str">
        <f>'Informe Kelly'!E930</f>
        <v>07.04.2011</v>
      </c>
      <c r="D936" s="112" t="e">
        <f>VLOOKUP(A936,Ingreso!K:P,6,FALSE)</f>
        <v>#N/A</v>
      </c>
      <c r="E936" s="142" t="e">
        <f>(VLOOKUP(D936,$D$2:$E$4,2,FALSE))-(IF('Informe Kelly'!H930=$A$2,'Informe Kelly'!F930,VLOOKUP(D936,$D$2:$E$4,2,FALSE)))</f>
        <v>#N/A</v>
      </c>
      <c r="F936" s="142" t="e">
        <f>IF('Informe Kelly'!H930=$A$3,'Informe Kelly'!F930,VLOOKUP(D936,$D$2:$F$4,3,FALSE))-(VLOOKUP(D936,$D$2:$F$4,3,FALSE))</f>
        <v>#N/A</v>
      </c>
      <c r="G936" s="137" t="e">
        <f t="shared" si="18"/>
        <v>#N/A</v>
      </c>
    </row>
    <row r="937" spans="1:7">
      <c r="A937" s="112" t="str">
        <f>VLOOKUP('Informe Kelly'!A931,Base!A:B,2,FALSE)</f>
        <v>10.407.614-9</v>
      </c>
      <c r="B937" s="112" t="str">
        <f>VLOOKUP('Informe Kelly'!A931,Base!A:G,7,FALSE)</f>
        <v>MORA MORA CARLOS ALEJANDRO</v>
      </c>
      <c r="C937" s="112" t="str">
        <f>'Informe Kelly'!E931</f>
        <v>08.04.2011</v>
      </c>
      <c r="D937" s="112" t="e">
        <f>VLOOKUP(A937,Ingreso!K:P,6,FALSE)</f>
        <v>#N/A</v>
      </c>
      <c r="E937" s="142" t="e">
        <f>(VLOOKUP(D937,$D$2:$E$4,2,FALSE))-(IF('Informe Kelly'!H931=$A$2,'Informe Kelly'!F931,VLOOKUP(D937,$D$2:$E$4,2,FALSE)))</f>
        <v>#N/A</v>
      </c>
      <c r="F937" s="142" t="e">
        <f>IF('Informe Kelly'!H931=$A$3,'Informe Kelly'!F931,VLOOKUP(D937,$D$2:$F$4,3,FALSE))-(VLOOKUP(D937,$D$2:$F$4,3,FALSE))</f>
        <v>#N/A</v>
      </c>
      <c r="G937" s="137" t="e">
        <f t="shared" si="18"/>
        <v>#N/A</v>
      </c>
    </row>
    <row r="938" spans="1:7">
      <c r="A938" s="112" t="str">
        <f>VLOOKUP('Informe Kelly'!A932,Base!A:B,2,FALSE)</f>
        <v>10.407.614-9</v>
      </c>
      <c r="B938" s="112" t="str">
        <f>VLOOKUP('Informe Kelly'!A932,Base!A:G,7,FALSE)</f>
        <v>MORA MORA CARLOS ALEJANDRO</v>
      </c>
      <c r="C938" s="112" t="str">
        <f>'Informe Kelly'!E932</f>
        <v>08.04.2011</v>
      </c>
      <c r="D938" s="112" t="e">
        <f>VLOOKUP(A938,Ingreso!K:P,6,FALSE)</f>
        <v>#N/A</v>
      </c>
      <c r="E938" s="142" t="e">
        <f>(VLOOKUP(D938,$D$2:$E$4,2,FALSE))-(IF('Informe Kelly'!H932=$A$2,'Informe Kelly'!F932,VLOOKUP(D938,$D$2:$E$4,2,FALSE)))</f>
        <v>#N/A</v>
      </c>
      <c r="F938" s="142" t="e">
        <f>IF('Informe Kelly'!H932=$A$3,'Informe Kelly'!F932,VLOOKUP(D938,$D$2:$F$4,3,FALSE))-(VLOOKUP(D938,$D$2:$F$4,3,FALSE))</f>
        <v>#N/A</v>
      </c>
      <c r="G938" s="137" t="e">
        <f t="shared" si="18"/>
        <v>#N/A</v>
      </c>
    </row>
    <row r="939" spans="1:7">
      <c r="A939" s="112" t="str">
        <f>VLOOKUP('Informe Kelly'!A933,Base!A:B,2,FALSE)</f>
        <v>10.407.614-9</v>
      </c>
      <c r="B939" s="112" t="str">
        <f>VLOOKUP('Informe Kelly'!A933,Base!A:G,7,FALSE)</f>
        <v>MORA MORA CARLOS ALEJANDRO</v>
      </c>
      <c r="C939" s="112" t="str">
        <f>'Informe Kelly'!E933</f>
        <v>09.04.2011</v>
      </c>
      <c r="D939" s="112" t="e">
        <f>VLOOKUP(A939,Ingreso!K:P,6,FALSE)</f>
        <v>#N/A</v>
      </c>
      <c r="E939" s="142" t="e">
        <f>(VLOOKUP(D939,$D$2:$E$4,2,FALSE))-(IF('Informe Kelly'!H933=$A$2,'Informe Kelly'!F933,VLOOKUP(D939,$D$2:$E$4,2,FALSE)))</f>
        <v>#N/A</v>
      </c>
      <c r="F939" s="142" t="e">
        <f>IF('Informe Kelly'!H933=$A$3,'Informe Kelly'!F933,VLOOKUP(D939,$D$2:$F$4,3,FALSE))-(VLOOKUP(D939,$D$2:$F$4,3,FALSE))</f>
        <v>#N/A</v>
      </c>
      <c r="G939" s="137" t="e">
        <f t="shared" si="18"/>
        <v>#N/A</v>
      </c>
    </row>
    <row r="940" spans="1:7">
      <c r="A940" s="112" t="str">
        <f>VLOOKUP('Informe Kelly'!A934,Base!A:B,2,FALSE)</f>
        <v>10.407.614-9</v>
      </c>
      <c r="B940" s="112" t="str">
        <f>VLOOKUP('Informe Kelly'!A934,Base!A:G,7,FALSE)</f>
        <v>MORA MORA CARLOS ALEJANDRO</v>
      </c>
      <c r="C940" s="112" t="str">
        <f>'Informe Kelly'!E934</f>
        <v>09.04.2011</v>
      </c>
      <c r="D940" s="112" t="e">
        <f>VLOOKUP(A940,Ingreso!K:P,6,FALSE)</f>
        <v>#N/A</v>
      </c>
      <c r="E940" s="142" t="e">
        <f>(VLOOKUP(D940,$D$2:$E$4,2,FALSE))-(IF('Informe Kelly'!H934=$A$2,'Informe Kelly'!F934,VLOOKUP(D940,$D$2:$E$4,2,FALSE)))</f>
        <v>#N/A</v>
      </c>
      <c r="F940" s="142" t="e">
        <f>IF('Informe Kelly'!H934=$A$3,'Informe Kelly'!F934,VLOOKUP(D940,$D$2:$F$4,3,FALSE))-(VLOOKUP(D940,$D$2:$F$4,3,FALSE))</f>
        <v>#N/A</v>
      </c>
      <c r="G940" s="137" t="e">
        <f t="shared" si="18"/>
        <v>#N/A</v>
      </c>
    </row>
    <row r="941" spans="1:7">
      <c r="A941" s="112" t="str">
        <f>VLOOKUP('Informe Kelly'!A935,Base!A:B,2,FALSE)</f>
        <v>10.572.816-6</v>
      </c>
      <c r="B941" s="112" t="str">
        <f>VLOOKUP('Informe Kelly'!A935,Base!A:G,7,FALSE)</f>
        <v>VARGAS MORENO MARCO ANTONIO</v>
      </c>
      <c r="C941" s="112" t="str">
        <f>'Informe Kelly'!E935</f>
        <v>04.04.2011</v>
      </c>
      <c r="D941" s="112" t="e">
        <f>VLOOKUP(A941,Ingreso!K:P,6,FALSE)</f>
        <v>#N/A</v>
      </c>
      <c r="E941" s="142" t="e">
        <f>(VLOOKUP(D941,$D$2:$E$4,2,FALSE))-(IF('Informe Kelly'!H935=$A$2,'Informe Kelly'!F935,VLOOKUP(D941,$D$2:$E$4,2,FALSE)))</f>
        <v>#N/A</v>
      </c>
      <c r="F941" s="142" t="e">
        <f>IF('Informe Kelly'!H935=$A$3,'Informe Kelly'!F935,VLOOKUP(D941,$D$2:$F$4,3,FALSE))-(VLOOKUP(D941,$D$2:$F$4,3,FALSE))</f>
        <v>#N/A</v>
      </c>
      <c r="G941" s="137" t="e">
        <f t="shared" si="18"/>
        <v>#N/A</v>
      </c>
    </row>
    <row r="942" spans="1:7">
      <c r="A942" s="112" t="str">
        <f>VLOOKUP('Informe Kelly'!A936,Base!A:B,2,FALSE)</f>
        <v>10.572.816-6</v>
      </c>
      <c r="B942" s="112" t="str">
        <f>VLOOKUP('Informe Kelly'!A936,Base!A:G,7,FALSE)</f>
        <v>VARGAS MORENO MARCO ANTONIO</v>
      </c>
      <c r="C942" s="112" t="str">
        <f>'Informe Kelly'!E936</f>
        <v>05.04.2011</v>
      </c>
      <c r="D942" s="112" t="e">
        <f>VLOOKUP(A942,Ingreso!K:P,6,FALSE)</f>
        <v>#N/A</v>
      </c>
      <c r="E942" s="142" t="e">
        <f>(VLOOKUP(D942,$D$2:$E$4,2,FALSE))-(IF('Informe Kelly'!H936=$A$2,'Informe Kelly'!F936,VLOOKUP(D942,$D$2:$E$4,2,FALSE)))</f>
        <v>#N/A</v>
      </c>
      <c r="F942" s="142" t="e">
        <f>IF('Informe Kelly'!H936=$A$3,'Informe Kelly'!F936,VLOOKUP(D942,$D$2:$F$4,3,FALSE))-(VLOOKUP(D942,$D$2:$F$4,3,FALSE))</f>
        <v>#N/A</v>
      </c>
      <c r="G942" s="137" t="e">
        <f t="shared" si="18"/>
        <v>#N/A</v>
      </c>
    </row>
    <row r="943" spans="1:7">
      <c r="A943" s="112" t="str">
        <f>VLOOKUP('Informe Kelly'!A937,Base!A:B,2,FALSE)</f>
        <v>10.572.816-6</v>
      </c>
      <c r="B943" s="112" t="str">
        <f>VLOOKUP('Informe Kelly'!A937,Base!A:G,7,FALSE)</f>
        <v>VARGAS MORENO MARCO ANTONIO</v>
      </c>
      <c r="C943" s="112" t="str">
        <f>'Informe Kelly'!E937</f>
        <v>05.04.2011</v>
      </c>
      <c r="D943" s="112" t="e">
        <f>VLOOKUP(A943,Ingreso!K:P,6,FALSE)</f>
        <v>#N/A</v>
      </c>
      <c r="E943" s="142" t="e">
        <f>(VLOOKUP(D943,$D$2:$E$4,2,FALSE))-(IF('Informe Kelly'!H937=$A$2,'Informe Kelly'!F937,VLOOKUP(D943,$D$2:$E$4,2,FALSE)))</f>
        <v>#N/A</v>
      </c>
      <c r="F943" s="142" t="e">
        <f>IF('Informe Kelly'!H937=$A$3,'Informe Kelly'!F937,VLOOKUP(D943,$D$2:$F$4,3,FALSE))-(VLOOKUP(D943,$D$2:$F$4,3,FALSE))</f>
        <v>#N/A</v>
      </c>
      <c r="G943" s="137" t="e">
        <f t="shared" si="18"/>
        <v>#N/A</v>
      </c>
    </row>
    <row r="944" spans="1:7">
      <c r="A944" s="112" t="str">
        <f>VLOOKUP('Informe Kelly'!A938,Base!A:B,2,FALSE)</f>
        <v>10.572.816-6</v>
      </c>
      <c r="B944" s="112" t="str">
        <f>VLOOKUP('Informe Kelly'!A938,Base!A:G,7,FALSE)</f>
        <v>VARGAS MORENO MARCO ANTONIO</v>
      </c>
      <c r="C944" s="112" t="str">
        <f>'Informe Kelly'!E938</f>
        <v>06.04.2011</v>
      </c>
      <c r="D944" s="112" t="e">
        <f>VLOOKUP(A944,Ingreso!K:P,6,FALSE)</f>
        <v>#N/A</v>
      </c>
      <c r="E944" s="142" t="e">
        <f>(VLOOKUP(D944,$D$2:$E$4,2,FALSE))-(IF('Informe Kelly'!H938=$A$2,'Informe Kelly'!F938,VLOOKUP(D944,$D$2:$E$4,2,FALSE)))</f>
        <v>#N/A</v>
      </c>
      <c r="F944" s="142" t="e">
        <f>IF('Informe Kelly'!H938=$A$3,'Informe Kelly'!F938,VLOOKUP(D944,$D$2:$F$4,3,FALSE))-(VLOOKUP(D944,$D$2:$F$4,3,FALSE))</f>
        <v>#N/A</v>
      </c>
      <c r="G944" s="137" t="e">
        <f t="shared" si="18"/>
        <v>#N/A</v>
      </c>
    </row>
    <row r="945" spans="1:7">
      <c r="A945" s="112" t="str">
        <f>VLOOKUP('Informe Kelly'!A939,Base!A:B,2,FALSE)</f>
        <v>10.572.816-6</v>
      </c>
      <c r="B945" s="112" t="str">
        <f>VLOOKUP('Informe Kelly'!A939,Base!A:G,7,FALSE)</f>
        <v>VARGAS MORENO MARCO ANTONIO</v>
      </c>
      <c r="C945" s="112" t="str">
        <f>'Informe Kelly'!E939</f>
        <v>06.04.2011</v>
      </c>
      <c r="D945" s="112" t="e">
        <f>VLOOKUP(A945,Ingreso!K:P,6,FALSE)</f>
        <v>#N/A</v>
      </c>
      <c r="E945" s="142" t="e">
        <f>(VLOOKUP(D945,$D$2:$E$4,2,FALSE))-(IF('Informe Kelly'!H939=$A$2,'Informe Kelly'!F939,VLOOKUP(D945,$D$2:$E$4,2,FALSE)))</f>
        <v>#N/A</v>
      </c>
      <c r="F945" s="142" t="e">
        <f>IF('Informe Kelly'!H939=$A$3,'Informe Kelly'!F939,VLOOKUP(D945,$D$2:$F$4,3,FALSE))-(VLOOKUP(D945,$D$2:$F$4,3,FALSE))</f>
        <v>#N/A</v>
      </c>
      <c r="G945" s="137" t="e">
        <f t="shared" si="18"/>
        <v>#N/A</v>
      </c>
    </row>
    <row r="946" spans="1:7">
      <c r="A946" s="112" t="str">
        <f>VLOOKUP('Informe Kelly'!A940,Base!A:B,2,FALSE)</f>
        <v>10.572.816-6</v>
      </c>
      <c r="B946" s="112" t="str">
        <f>VLOOKUP('Informe Kelly'!A940,Base!A:G,7,FALSE)</f>
        <v>VARGAS MORENO MARCO ANTONIO</v>
      </c>
      <c r="C946" s="112" t="str">
        <f>'Informe Kelly'!E940</f>
        <v>07.04.2011</v>
      </c>
      <c r="D946" s="112" t="e">
        <f>VLOOKUP(A946,Ingreso!K:P,6,FALSE)</f>
        <v>#N/A</v>
      </c>
      <c r="E946" s="142" t="e">
        <f>(VLOOKUP(D946,$D$2:$E$4,2,FALSE))-(IF('Informe Kelly'!H940=$A$2,'Informe Kelly'!F940,VLOOKUP(D946,$D$2:$E$4,2,FALSE)))</f>
        <v>#N/A</v>
      </c>
      <c r="F946" s="142" t="e">
        <f>IF('Informe Kelly'!H940=$A$3,'Informe Kelly'!F940,VLOOKUP(D946,$D$2:$F$4,3,FALSE))-(VLOOKUP(D946,$D$2:$F$4,3,FALSE))</f>
        <v>#N/A</v>
      </c>
      <c r="G946" s="137" t="e">
        <f t="shared" si="18"/>
        <v>#N/A</v>
      </c>
    </row>
    <row r="947" spans="1:7">
      <c r="A947" s="112" t="str">
        <f>VLOOKUP('Informe Kelly'!A941,Base!A:B,2,FALSE)</f>
        <v>10.572.816-6</v>
      </c>
      <c r="B947" s="112" t="str">
        <f>VLOOKUP('Informe Kelly'!A941,Base!A:G,7,FALSE)</f>
        <v>VARGAS MORENO MARCO ANTONIO</v>
      </c>
      <c r="C947" s="112" t="str">
        <f>'Informe Kelly'!E941</f>
        <v>07.04.2011</v>
      </c>
      <c r="D947" s="112" t="e">
        <f>VLOOKUP(A947,Ingreso!K:P,6,FALSE)</f>
        <v>#N/A</v>
      </c>
      <c r="E947" s="142" t="e">
        <f>(VLOOKUP(D947,$D$2:$E$4,2,FALSE))-(IF('Informe Kelly'!H941=$A$2,'Informe Kelly'!F941,VLOOKUP(D947,$D$2:$E$4,2,FALSE)))</f>
        <v>#N/A</v>
      </c>
      <c r="F947" s="142" t="e">
        <f>IF('Informe Kelly'!H941=$A$3,'Informe Kelly'!F941,VLOOKUP(D947,$D$2:$F$4,3,FALSE))-(VLOOKUP(D947,$D$2:$F$4,3,FALSE))</f>
        <v>#N/A</v>
      </c>
      <c r="G947" s="137" t="e">
        <f t="shared" si="18"/>
        <v>#N/A</v>
      </c>
    </row>
    <row r="948" spans="1:7">
      <c r="A948" s="112" t="str">
        <f>VLOOKUP('Informe Kelly'!A942,Base!A:B,2,FALSE)</f>
        <v>10.572.816-6</v>
      </c>
      <c r="B948" s="112" t="str">
        <f>VLOOKUP('Informe Kelly'!A942,Base!A:G,7,FALSE)</f>
        <v>VARGAS MORENO MARCO ANTONIO</v>
      </c>
      <c r="C948" s="112" t="str">
        <f>'Informe Kelly'!E942</f>
        <v>08.04.2011</v>
      </c>
      <c r="D948" s="112" t="e">
        <f>VLOOKUP(A948,Ingreso!K:P,6,FALSE)</f>
        <v>#N/A</v>
      </c>
      <c r="E948" s="142" t="e">
        <f>(VLOOKUP(D948,$D$2:$E$4,2,FALSE))-(IF('Informe Kelly'!H942=$A$2,'Informe Kelly'!F942,VLOOKUP(D948,$D$2:$E$4,2,FALSE)))</f>
        <v>#N/A</v>
      </c>
      <c r="F948" s="142" t="e">
        <f>IF('Informe Kelly'!H942=$A$3,'Informe Kelly'!F942,VLOOKUP(D948,$D$2:$F$4,3,FALSE))-(VLOOKUP(D948,$D$2:$F$4,3,FALSE))</f>
        <v>#N/A</v>
      </c>
      <c r="G948" s="137" t="e">
        <f t="shared" si="18"/>
        <v>#N/A</v>
      </c>
    </row>
    <row r="949" spans="1:7">
      <c r="A949" s="112" t="str">
        <f>VLOOKUP('Informe Kelly'!A943,Base!A:B,2,FALSE)</f>
        <v>10.572.816-6</v>
      </c>
      <c r="B949" s="112" t="str">
        <f>VLOOKUP('Informe Kelly'!A943,Base!A:G,7,FALSE)</f>
        <v>VARGAS MORENO MARCO ANTONIO</v>
      </c>
      <c r="C949" s="112" t="str">
        <f>'Informe Kelly'!E943</f>
        <v>08.04.2011</v>
      </c>
      <c r="D949" s="112" t="e">
        <f>VLOOKUP(A949,Ingreso!K:P,6,FALSE)</f>
        <v>#N/A</v>
      </c>
      <c r="E949" s="142" t="e">
        <f>(VLOOKUP(D949,$D$2:$E$4,2,FALSE))-(IF('Informe Kelly'!H943=$A$2,'Informe Kelly'!F943,VLOOKUP(D949,$D$2:$E$4,2,FALSE)))</f>
        <v>#N/A</v>
      </c>
      <c r="F949" s="142" t="e">
        <f>IF('Informe Kelly'!H943=$A$3,'Informe Kelly'!F943,VLOOKUP(D949,$D$2:$F$4,3,FALSE))-(VLOOKUP(D949,$D$2:$F$4,3,FALSE))</f>
        <v>#N/A</v>
      </c>
      <c r="G949" s="137" t="e">
        <f t="shared" si="18"/>
        <v>#N/A</v>
      </c>
    </row>
    <row r="950" spans="1:7">
      <c r="A950" s="112" t="str">
        <f>VLOOKUP('Informe Kelly'!A944,Base!A:B,2,FALSE)</f>
        <v>10.572.816-6</v>
      </c>
      <c r="B950" s="112" t="str">
        <f>VLOOKUP('Informe Kelly'!A944,Base!A:G,7,FALSE)</f>
        <v>VARGAS MORENO MARCO ANTONIO</v>
      </c>
      <c r="C950" s="112" t="str">
        <f>'Informe Kelly'!E944</f>
        <v>09.04.2011</v>
      </c>
      <c r="D950" s="112" t="e">
        <f>VLOOKUP(A950,Ingreso!K:P,6,FALSE)</f>
        <v>#N/A</v>
      </c>
      <c r="E950" s="142" t="e">
        <f>(VLOOKUP(D950,$D$2:$E$4,2,FALSE))-(IF('Informe Kelly'!H944=$A$2,'Informe Kelly'!F944,VLOOKUP(D950,$D$2:$E$4,2,FALSE)))</f>
        <v>#N/A</v>
      </c>
      <c r="F950" s="142" t="e">
        <f>IF('Informe Kelly'!H944=$A$3,'Informe Kelly'!F944,VLOOKUP(D950,$D$2:$F$4,3,FALSE))-(VLOOKUP(D950,$D$2:$F$4,3,FALSE))</f>
        <v>#N/A</v>
      </c>
      <c r="G950" s="137" t="e">
        <f t="shared" si="18"/>
        <v>#N/A</v>
      </c>
    </row>
    <row r="951" spans="1:7">
      <c r="A951" s="112" t="str">
        <f>VLOOKUP('Informe Kelly'!A945,Base!A:B,2,FALSE)</f>
        <v>10.746.078-0</v>
      </c>
      <c r="B951" s="112" t="str">
        <f>VLOOKUP('Informe Kelly'!A945,Base!A:G,7,FALSE)</f>
        <v>ORELLANA  OLIVARES,ARMANDO</v>
      </c>
      <c r="C951" s="112" t="str">
        <f>'Informe Kelly'!E945</f>
        <v>04.04.2011</v>
      </c>
      <c r="D951" s="112" t="e">
        <f>VLOOKUP(A951,Ingreso!K:P,6,FALSE)</f>
        <v>#N/A</v>
      </c>
      <c r="E951" s="142" t="e">
        <f>(VLOOKUP(D951,$D$2:$E$4,2,FALSE))-(IF('Informe Kelly'!H945=$A$2,'Informe Kelly'!F945,VLOOKUP(D951,$D$2:$E$4,2,FALSE)))</f>
        <v>#N/A</v>
      </c>
      <c r="F951" s="142" t="e">
        <f>IF('Informe Kelly'!H945=$A$3,'Informe Kelly'!F945,VLOOKUP(D951,$D$2:$F$4,3,FALSE))-(VLOOKUP(D951,$D$2:$F$4,3,FALSE))</f>
        <v>#N/A</v>
      </c>
      <c r="G951" s="137" t="e">
        <f t="shared" si="18"/>
        <v>#N/A</v>
      </c>
    </row>
    <row r="952" spans="1:7">
      <c r="A952" s="112" t="str">
        <f>VLOOKUP('Informe Kelly'!A946,Base!A:B,2,FALSE)</f>
        <v>10.746.078-0</v>
      </c>
      <c r="B952" s="112" t="str">
        <f>VLOOKUP('Informe Kelly'!A946,Base!A:G,7,FALSE)</f>
        <v>ORELLANA  OLIVARES,ARMANDO</v>
      </c>
      <c r="C952" s="112" t="str">
        <f>'Informe Kelly'!E946</f>
        <v>04.04.2011</v>
      </c>
      <c r="D952" s="112" t="e">
        <f>VLOOKUP(A952,Ingreso!K:P,6,FALSE)</f>
        <v>#N/A</v>
      </c>
      <c r="E952" s="142" t="e">
        <f>(VLOOKUP(D952,$D$2:$E$4,2,FALSE))-(IF('Informe Kelly'!H946=$A$2,'Informe Kelly'!F946,VLOOKUP(D952,$D$2:$E$4,2,FALSE)))</f>
        <v>#N/A</v>
      </c>
      <c r="F952" s="142" t="e">
        <f>IF('Informe Kelly'!H946=$A$3,'Informe Kelly'!F946,VLOOKUP(D952,$D$2:$F$4,3,FALSE))-(VLOOKUP(D952,$D$2:$F$4,3,FALSE))</f>
        <v>#N/A</v>
      </c>
      <c r="G952" s="137" t="e">
        <f t="shared" si="18"/>
        <v>#N/A</v>
      </c>
    </row>
    <row r="953" spans="1:7">
      <c r="A953" s="112" t="str">
        <f>VLOOKUP('Informe Kelly'!A947,Base!A:B,2,FALSE)</f>
        <v>10.746.078-0</v>
      </c>
      <c r="B953" s="112" t="str">
        <f>VLOOKUP('Informe Kelly'!A947,Base!A:G,7,FALSE)</f>
        <v>ORELLANA  OLIVARES,ARMANDO</v>
      </c>
      <c r="C953" s="112" t="str">
        <f>'Informe Kelly'!E947</f>
        <v>05.04.2011</v>
      </c>
      <c r="D953" s="112" t="e">
        <f>VLOOKUP(A953,Ingreso!K:P,6,FALSE)</f>
        <v>#N/A</v>
      </c>
      <c r="E953" s="142" t="e">
        <f>(VLOOKUP(D953,$D$2:$E$4,2,FALSE))-(IF('Informe Kelly'!H947=$A$2,'Informe Kelly'!F947,VLOOKUP(D953,$D$2:$E$4,2,FALSE)))</f>
        <v>#N/A</v>
      </c>
      <c r="F953" s="142" t="e">
        <f>IF('Informe Kelly'!H947=$A$3,'Informe Kelly'!F947,VLOOKUP(D953,$D$2:$F$4,3,FALSE))-(VLOOKUP(D953,$D$2:$F$4,3,FALSE))</f>
        <v>#N/A</v>
      </c>
      <c r="G953" s="137" t="e">
        <f t="shared" si="18"/>
        <v>#N/A</v>
      </c>
    </row>
    <row r="954" spans="1:7">
      <c r="A954" s="112" t="str">
        <f>VLOOKUP('Informe Kelly'!A948,Base!A:B,2,FALSE)</f>
        <v>10.746.078-0</v>
      </c>
      <c r="B954" s="112" t="str">
        <f>VLOOKUP('Informe Kelly'!A948,Base!A:G,7,FALSE)</f>
        <v>ORELLANA  OLIVARES,ARMANDO</v>
      </c>
      <c r="C954" s="112" t="str">
        <f>'Informe Kelly'!E948</f>
        <v>05.04.2011</v>
      </c>
      <c r="D954" s="112" t="e">
        <f>VLOOKUP(A954,Ingreso!K:P,6,FALSE)</f>
        <v>#N/A</v>
      </c>
      <c r="E954" s="142" t="e">
        <f>(VLOOKUP(D954,$D$2:$E$4,2,FALSE))-(IF('Informe Kelly'!H948=$A$2,'Informe Kelly'!F948,VLOOKUP(D954,$D$2:$E$4,2,FALSE)))</f>
        <v>#N/A</v>
      </c>
      <c r="F954" s="142" t="e">
        <f>IF('Informe Kelly'!H948=$A$3,'Informe Kelly'!F948,VLOOKUP(D954,$D$2:$F$4,3,FALSE))-(VLOOKUP(D954,$D$2:$F$4,3,FALSE))</f>
        <v>#N/A</v>
      </c>
      <c r="G954" s="137" t="e">
        <f t="shared" si="18"/>
        <v>#N/A</v>
      </c>
    </row>
    <row r="955" spans="1:7">
      <c r="A955" s="112" t="str">
        <f>VLOOKUP('Informe Kelly'!A949,Base!A:B,2,FALSE)</f>
        <v>10.746.078-0</v>
      </c>
      <c r="B955" s="112" t="str">
        <f>VLOOKUP('Informe Kelly'!A949,Base!A:G,7,FALSE)</f>
        <v>ORELLANA  OLIVARES,ARMANDO</v>
      </c>
      <c r="C955" s="112" t="str">
        <f>'Informe Kelly'!E949</f>
        <v>06.04.2011</v>
      </c>
      <c r="D955" s="112" t="e">
        <f>VLOOKUP(A955,Ingreso!K:P,6,FALSE)</f>
        <v>#N/A</v>
      </c>
      <c r="E955" s="142" t="e">
        <f>(VLOOKUP(D955,$D$2:$E$4,2,FALSE))-(IF('Informe Kelly'!H949=$A$2,'Informe Kelly'!F949,VLOOKUP(D955,$D$2:$E$4,2,FALSE)))</f>
        <v>#N/A</v>
      </c>
      <c r="F955" s="142" t="e">
        <f>IF('Informe Kelly'!H949=$A$3,'Informe Kelly'!F949,VLOOKUP(D955,$D$2:$F$4,3,FALSE))-(VLOOKUP(D955,$D$2:$F$4,3,FALSE))</f>
        <v>#N/A</v>
      </c>
      <c r="G955" s="137" t="e">
        <f t="shared" si="18"/>
        <v>#N/A</v>
      </c>
    </row>
    <row r="956" spans="1:7">
      <c r="A956" s="112" t="str">
        <f>VLOOKUP('Informe Kelly'!A950,Base!A:B,2,FALSE)</f>
        <v>10.746.078-0</v>
      </c>
      <c r="B956" s="112" t="str">
        <f>VLOOKUP('Informe Kelly'!A950,Base!A:G,7,FALSE)</f>
        <v>ORELLANA  OLIVARES,ARMANDO</v>
      </c>
      <c r="C956" s="112" t="str">
        <f>'Informe Kelly'!E950</f>
        <v>06.04.2011</v>
      </c>
      <c r="D956" s="112" t="e">
        <f>VLOOKUP(A956,Ingreso!K:P,6,FALSE)</f>
        <v>#N/A</v>
      </c>
      <c r="E956" s="142" t="e">
        <f>(VLOOKUP(D956,$D$2:$E$4,2,FALSE))-(IF('Informe Kelly'!H950=$A$2,'Informe Kelly'!F950,VLOOKUP(D956,$D$2:$E$4,2,FALSE)))</f>
        <v>#N/A</v>
      </c>
      <c r="F956" s="142" t="e">
        <f>IF('Informe Kelly'!H950=$A$3,'Informe Kelly'!F950,VLOOKUP(D956,$D$2:$F$4,3,FALSE))-(VLOOKUP(D956,$D$2:$F$4,3,FALSE))</f>
        <v>#N/A</v>
      </c>
      <c r="G956" s="137" t="e">
        <f t="shared" si="18"/>
        <v>#N/A</v>
      </c>
    </row>
    <row r="957" spans="1:7">
      <c r="A957" s="112" t="str">
        <f>VLOOKUP('Informe Kelly'!A951,Base!A:B,2,FALSE)</f>
        <v>10.746.078-0</v>
      </c>
      <c r="B957" s="112" t="str">
        <f>VLOOKUP('Informe Kelly'!A951,Base!A:G,7,FALSE)</f>
        <v>ORELLANA  OLIVARES,ARMANDO</v>
      </c>
      <c r="C957" s="112" t="str">
        <f>'Informe Kelly'!E951</f>
        <v>07.04.2011</v>
      </c>
      <c r="D957" s="112" t="e">
        <f>VLOOKUP(A957,Ingreso!K:P,6,FALSE)</f>
        <v>#N/A</v>
      </c>
      <c r="E957" s="142" t="e">
        <f>(VLOOKUP(D957,$D$2:$E$4,2,FALSE))-(IF('Informe Kelly'!H951=$A$2,'Informe Kelly'!F951,VLOOKUP(D957,$D$2:$E$4,2,FALSE)))</f>
        <v>#N/A</v>
      </c>
      <c r="F957" s="142" t="e">
        <f>IF('Informe Kelly'!H951=$A$3,'Informe Kelly'!F951,VLOOKUP(D957,$D$2:$F$4,3,FALSE))-(VLOOKUP(D957,$D$2:$F$4,3,FALSE))</f>
        <v>#N/A</v>
      </c>
      <c r="G957" s="137" t="e">
        <f t="shared" si="18"/>
        <v>#N/A</v>
      </c>
    </row>
    <row r="958" spans="1:7">
      <c r="A958" s="112" t="str">
        <f>VLOOKUP('Informe Kelly'!A952,Base!A:B,2,FALSE)</f>
        <v>10.746.078-0</v>
      </c>
      <c r="B958" s="112" t="str">
        <f>VLOOKUP('Informe Kelly'!A952,Base!A:G,7,FALSE)</f>
        <v>ORELLANA  OLIVARES,ARMANDO</v>
      </c>
      <c r="C958" s="112" t="str">
        <f>'Informe Kelly'!E952</f>
        <v>07.04.2011</v>
      </c>
      <c r="D958" s="112" t="e">
        <f>VLOOKUP(A958,Ingreso!K:P,6,FALSE)</f>
        <v>#N/A</v>
      </c>
      <c r="E958" s="142" t="e">
        <f>(VLOOKUP(D958,$D$2:$E$4,2,FALSE))-(IF('Informe Kelly'!H952=$A$2,'Informe Kelly'!F952,VLOOKUP(D958,$D$2:$E$4,2,FALSE)))</f>
        <v>#N/A</v>
      </c>
      <c r="F958" s="142" t="e">
        <f>IF('Informe Kelly'!H952=$A$3,'Informe Kelly'!F952,VLOOKUP(D958,$D$2:$F$4,3,FALSE))-(VLOOKUP(D958,$D$2:$F$4,3,FALSE))</f>
        <v>#N/A</v>
      </c>
      <c r="G958" s="137" t="e">
        <f t="shared" si="18"/>
        <v>#N/A</v>
      </c>
    </row>
    <row r="959" spans="1:7">
      <c r="A959" s="112" t="str">
        <f>VLOOKUP('Informe Kelly'!A953,Base!A:B,2,FALSE)</f>
        <v>10.746.078-0</v>
      </c>
      <c r="B959" s="112" t="str">
        <f>VLOOKUP('Informe Kelly'!A953,Base!A:G,7,FALSE)</f>
        <v>ORELLANA  OLIVARES,ARMANDO</v>
      </c>
      <c r="C959" s="112" t="str">
        <f>'Informe Kelly'!E953</f>
        <v>08.04.2011</v>
      </c>
      <c r="D959" s="112" t="e">
        <f>VLOOKUP(A959,Ingreso!K:P,6,FALSE)</f>
        <v>#N/A</v>
      </c>
      <c r="E959" s="142" t="e">
        <f>(VLOOKUP(D959,$D$2:$E$4,2,FALSE))-(IF('Informe Kelly'!H953=$A$2,'Informe Kelly'!F953,VLOOKUP(D959,$D$2:$E$4,2,FALSE)))</f>
        <v>#N/A</v>
      </c>
      <c r="F959" s="142" t="e">
        <f>IF('Informe Kelly'!H953=$A$3,'Informe Kelly'!F953,VLOOKUP(D959,$D$2:$F$4,3,FALSE))-(VLOOKUP(D959,$D$2:$F$4,3,FALSE))</f>
        <v>#N/A</v>
      </c>
      <c r="G959" s="137" t="e">
        <f t="shared" si="18"/>
        <v>#N/A</v>
      </c>
    </row>
    <row r="960" spans="1:7">
      <c r="A960" s="112" t="str">
        <f>VLOOKUP('Informe Kelly'!A954,Base!A:B,2,FALSE)</f>
        <v>10.746.078-0</v>
      </c>
      <c r="B960" s="112" t="str">
        <f>VLOOKUP('Informe Kelly'!A954,Base!A:G,7,FALSE)</f>
        <v>ORELLANA  OLIVARES,ARMANDO</v>
      </c>
      <c r="C960" s="112" t="str">
        <f>'Informe Kelly'!E954</f>
        <v>08.04.2011</v>
      </c>
      <c r="D960" s="112" t="e">
        <f>VLOOKUP(A960,Ingreso!K:P,6,FALSE)</f>
        <v>#N/A</v>
      </c>
      <c r="E960" s="142" t="e">
        <f>(VLOOKUP(D960,$D$2:$E$4,2,FALSE))-(IF('Informe Kelly'!H954=$A$2,'Informe Kelly'!F954,VLOOKUP(D960,$D$2:$E$4,2,FALSE)))</f>
        <v>#N/A</v>
      </c>
      <c r="F960" s="142" t="e">
        <f>IF('Informe Kelly'!H954=$A$3,'Informe Kelly'!F954,VLOOKUP(D960,$D$2:$F$4,3,FALSE))-(VLOOKUP(D960,$D$2:$F$4,3,FALSE))</f>
        <v>#N/A</v>
      </c>
      <c r="G960" s="137" t="e">
        <f t="shared" si="18"/>
        <v>#N/A</v>
      </c>
    </row>
    <row r="961" spans="1:7">
      <c r="A961" s="112" t="str">
        <f>VLOOKUP('Informe Kelly'!A955,Base!A:B,2,FALSE)</f>
        <v>10.746.078-0</v>
      </c>
      <c r="B961" s="112" t="str">
        <f>VLOOKUP('Informe Kelly'!A955,Base!A:G,7,FALSE)</f>
        <v>ORELLANA  OLIVARES,ARMANDO</v>
      </c>
      <c r="C961" s="112" t="str">
        <f>'Informe Kelly'!E955</f>
        <v>09.04.2011</v>
      </c>
      <c r="D961" s="112" t="e">
        <f>VLOOKUP(A961,Ingreso!K:P,6,FALSE)</f>
        <v>#N/A</v>
      </c>
      <c r="E961" s="142" t="e">
        <f>(VLOOKUP(D961,$D$2:$E$4,2,FALSE))-(IF('Informe Kelly'!H955=$A$2,'Informe Kelly'!F955,VLOOKUP(D961,$D$2:$E$4,2,FALSE)))</f>
        <v>#N/A</v>
      </c>
      <c r="F961" s="142" t="e">
        <f>IF('Informe Kelly'!H955=$A$3,'Informe Kelly'!F955,VLOOKUP(D961,$D$2:$F$4,3,FALSE))-(VLOOKUP(D961,$D$2:$F$4,3,FALSE))</f>
        <v>#N/A</v>
      </c>
      <c r="G961" s="137" t="e">
        <f t="shared" si="18"/>
        <v>#N/A</v>
      </c>
    </row>
    <row r="962" spans="1:7">
      <c r="A962" s="112" t="str">
        <f>VLOOKUP('Informe Kelly'!A956,Base!A:B,2,FALSE)</f>
        <v>10.746.078-0</v>
      </c>
      <c r="B962" s="112" t="str">
        <f>VLOOKUP('Informe Kelly'!A956,Base!A:G,7,FALSE)</f>
        <v>ORELLANA  OLIVARES,ARMANDO</v>
      </c>
      <c r="C962" s="112" t="str">
        <f>'Informe Kelly'!E956</f>
        <v>09.04.2011</v>
      </c>
      <c r="D962" s="112" t="e">
        <f>VLOOKUP(A962,Ingreso!K:P,6,FALSE)</f>
        <v>#N/A</v>
      </c>
      <c r="E962" s="142" t="e">
        <f>(VLOOKUP(D962,$D$2:$E$4,2,FALSE))-(IF('Informe Kelly'!H956=$A$2,'Informe Kelly'!F956,VLOOKUP(D962,$D$2:$E$4,2,FALSE)))</f>
        <v>#N/A</v>
      </c>
      <c r="F962" s="142" t="e">
        <f>IF('Informe Kelly'!H956=$A$3,'Informe Kelly'!F956,VLOOKUP(D962,$D$2:$F$4,3,FALSE))-(VLOOKUP(D962,$D$2:$F$4,3,FALSE))</f>
        <v>#N/A</v>
      </c>
      <c r="G962" s="137" t="e">
        <f t="shared" si="18"/>
        <v>#N/A</v>
      </c>
    </row>
    <row r="963" spans="1:7">
      <c r="A963" s="112" t="str">
        <f>VLOOKUP('Informe Kelly'!A957,Base!A:B,2,FALSE)</f>
        <v>10.835.391-0</v>
      </c>
      <c r="B963" s="112" t="str">
        <f>VLOOKUP('Informe Kelly'!A957,Base!A:G,7,FALSE)</f>
        <v>SANCHEZ VASQUEZ DANIEL PATRICIO</v>
      </c>
      <c r="C963" s="112" t="str">
        <f>'Informe Kelly'!E957</f>
        <v>04.04.2011</v>
      </c>
      <c r="D963" s="112" t="e">
        <f>VLOOKUP(A963,Ingreso!K:P,6,FALSE)</f>
        <v>#N/A</v>
      </c>
      <c r="E963" s="142" t="e">
        <f>(VLOOKUP(D963,$D$2:$E$4,2,FALSE))-(IF('Informe Kelly'!H957=$A$2,'Informe Kelly'!F957,VLOOKUP(D963,$D$2:$E$4,2,FALSE)))</f>
        <v>#N/A</v>
      </c>
      <c r="F963" s="142" t="e">
        <f>IF('Informe Kelly'!H957=$A$3,'Informe Kelly'!F957,VLOOKUP(D963,$D$2:$F$4,3,FALSE))-(VLOOKUP(D963,$D$2:$F$4,3,FALSE))</f>
        <v>#N/A</v>
      </c>
      <c r="G963" s="137" t="e">
        <f t="shared" si="18"/>
        <v>#N/A</v>
      </c>
    </row>
    <row r="964" spans="1:7">
      <c r="A964" s="112" t="str">
        <f>VLOOKUP('Informe Kelly'!A958,Base!A:B,2,FALSE)</f>
        <v>10.835.391-0</v>
      </c>
      <c r="B964" s="112" t="str">
        <f>VLOOKUP('Informe Kelly'!A958,Base!A:G,7,FALSE)</f>
        <v>SANCHEZ VASQUEZ DANIEL PATRICIO</v>
      </c>
      <c r="C964" s="112" t="str">
        <f>'Informe Kelly'!E958</f>
        <v>05.04.2011</v>
      </c>
      <c r="D964" s="112" t="e">
        <f>VLOOKUP(A964,Ingreso!K:P,6,FALSE)</f>
        <v>#N/A</v>
      </c>
      <c r="E964" s="142" t="e">
        <f>(VLOOKUP(D964,$D$2:$E$4,2,FALSE))-(IF('Informe Kelly'!H958=$A$2,'Informe Kelly'!F958,VLOOKUP(D964,$D$2:$E$4,2,FALSE)))</f>
        <v>#N/A</v>
      </c>
      <c r="F964" s="142" t="e">
        <f>IF('Informe Kelly'!H958=$A$3,'Informe Kelly'!F958,VLOOKUP(D964,$D$2:$F$4,3,FALSE))-(VLOOKUP(D964,$D$2:$F$4,3,FALSE))</f>
        <v>#N/A</v>
      </c>
      <c r="G964" s="137" t="e">
        <f t="shared" si="18"/>
        <v>#N/A</v>
      </c>
    </row>
    <row r="965" spans="1:7">
      <c r="A965" s="112" t="str">
        <f>VLOOKUP('Informe Kelly'!A959,Base!A:B,2,FALSE)</f>
        <v>10.835.391-0</v>
      </c>
      <c r="B965" s="112" t="str">
        <f>VLOOKUP('Informe Kelly'!A959,Base!A:G,7,FALSE)</f>
        <v>SANCHEZ VASQUEZ DANIEL PATRICIO</v>
      </c>
      <c r="C965" s="112" t="str">
        <f>'Informe Kelly'!E959</f>
        <v>05.04.2011</v>
      </c>
      <c r="D965" s="112" t="e">
        <f>VLOOKUP(A965,Ingreso!K:P,6,FALSE)</f>
        <v>#N/A</v>
      </c>
      <c r="E965" s="142" t="e">
        <f>(VLOOKUP(D965,$D$2:$E$4,2,FALSE))-(IF('Informe Kelly'!H959=$A$2,'Informe Kelly'!F959,VLOOKUP(D965,$D$2:$E$4,2,FALSE)))</f>
        <v>#N/A</v>
      </c>
      <c r="F965" s="142" t="e">
        <f>IF('Informe Kelly'!H959=$A$3,'Informe Kelly'!F959,VLOOKUP(D965,$D$2:$F$4,3,FALSE))-(VLOOKUP(D965,$D$2:$F$4,3,FALSE))</f>
        <v>#N/A</v>
      </c>
      <c r="G965" s="137" t="e">
        <f t="shared" si="18"/>
        <v>#N/A</v>
      </c>
    </row>
    <row r="966" spans="1:7">
      <c r="A966" s="112" t="str">
        <f>VLOOKUP('Informe Kelly'!A960,Base!A:B,2,FALSE)</f>
        <v>10.835.391-0</v>
      </c>
      <c r="B966" s="112" t="str">
        <f>VLOOKUP('Informe Kelly'!A960,Base!A:G,7,FALSE)</f>
        <v>SANCHEZ VASQUEZ DANIEL PATRICIO</v>
      </c>
      <c r="C966" s="112" t="str">
        <f>'Informe Kelly'!E960</f>
        <v>06.04.2011</v>
      </c>
      <c r="D966" s="112" t="e">
        <f>VLOOKUP(A966,Ingreso!K:P,6,FALSE)</f>
        <v>#N/A</v>
      </c>
      <c r="E966" s="142" t="e">
        <f>(VLOOKUP(D966,$D$2:$E$4,2,FALSE))-(IF('Informe Kelly'!H960=$A$2,'Informe Kelly'!F960,VLOOKUP(D966,$D$2:$E$4,2,FALSE)))</f>
        <v>#N/A</v>
      </c>
      <c r="F966" s="142" t="e">
        <f>IF('Informe Kelly'!H960=$A$3,'Informe Kelly'!F960,VLOOKUP(D966,$D$2:$F$4,3,FALSE))-(VLOOKUP(D966,$D$2:$F$4,3,FALSE))</f>
        <v>#N/A</v>
      </c>
      <c r="G966" s="137" t="e">
        <f t="shared" si="18"/>
        <v>#N/A</v>
      </c>
    </row>
    <row r="967" spans="1:7">
      <c r="A967" s="112" t="str">
        <f>VLOOKUP('Informe Kelly'!A961,Base!A:B,2,FALSE)</f>
        <v>10.835.391-0</v>
      </c>
      <c r="B967" s="112" t="str">
        <f>VLOOKUP('Informe Kelly'!A961,Base!A:G,7,FALSE)</f>
        <v>SANCHEZ VASQUEZ DANIEL PATRICIO</v>
      </c>
      <c r="C967" s="112" t="str">
        <f>'Informe Kelly'!E961</f>
        <v>06.04.2011</v>
      </c>
      <c r="D967" s="112" t="e">
        <f>VLOOKUP(A967,Ingreso!K:P,6,FALSE)</f>
        <v>#N/A</v>
      </c>
      <c r="E967" s="142" t="e">
        <f>(VLOOKUP(D967,$D$2:$E$4,2,FALSE))-(IF('Informe Kelly'!H961=$A$2,'Informe Kelly'!F961,VLOOKUP(D967,$D$2:$E$4,2,FALSE)))</f>
        <v>#N/A</v>
      </c>
      <c r="F967" s="142" t="e">
        <f>IF('Informe Kelly'!H961=$A$3,'Informe Kelly'!F961,VLOOKUP(D967,$D$2:$F$4,3,FALSE))-(VLOOKUP(D967,$D$2:$F$4,3,FALSE))</f>
        <v>#N/A</v>
      </c>
      <c r="G967" s="137" t="e">
        <f t="shared" si="18"/>
        <v>#N/A</v>
      </c>
    </row>
    <row r="968" spans="1:7">
      <c r="A968" s="112" t="str">
        <f>VLOOKUP('Informe Kelly'!A962,Base!A:B,2,FALSE)</f>
        <v>10.835.391-0</v>
      </c>
      <c r="B968" s="112" t="str">
        <f>VLOOKUP('Informe Kelly'!A962,Base!A:G,7,FALSE)</f>
        <v>SANCHEZ VASQUEZ DANIEL PATRICIO</v>
      </c>
      <c r="C968" s="112" t="str">
        <f>'Informe Kelly'!E962</f>
        <v>07.04.2011</v>
      </c>
      <c r="D968" s="112" t="e">
        <f>VLOOKUP(A968,Ingreso!K:P,6,FALSE)</f>
        <v>#N/A</v>
      </c>
      <c r="E968" s="142" t="e">
        <f>(VLOOKUP(D968,$D$2:$E$4,2,FALSE))-(IF('Informe Kelly'!H962=$A$2,'Informe Kelly'!F962,VLOOKUP(D968,$D$2:$E$4,2,FALSE)))</f>
        <v>#N/A</v>
      </c>
      <c r="F968" s="142" t="e">
        <f>IF('Informe Kelly'!H962=$A$3,'Informe Kelly'!F962,VLOOKUP(D968,$D$2:$F$4,3,FALSE))-(VLOOKUP(D968,$D$2:$F$4,3,FALSE))</f>
        <v>#N/A</v>
      </c>
      <c r="G968" s="137" t="e">
        <f t="shared" si="18"/>
        <v>#N/A</v>
      </c>
    </row>
    <row r="969" spans="1:7">
      <c r="A969" s="112" t="str">
        <f>VLOOKUP('Informe Kelly'!A963,Base!A:B,2,FALSE)</f>
        <v>10.835.391-0</v>
      </c>
      <c r="B969" s="112" t="str">
        <f>VLOOKUP('Informe Kelly'!A963,Base!A:G,7,FALSE)</f>
        <v>SANCHEZ VASQUEZ DANIEL PATRICIO</v>
      </c>
      <c r="C969" s="112" t="str">
        <f>'Informe Kelly'!E963</f>
        <v>07.04.2011</v>
      </c>
      <c r="D969" s="112" t="e">
        <f>VLOOKUP(A969,Ingreso!K:P,6,FALSE)</f>
        <v>#N/A</v>
      </c>
      <c r="E969" s="142" t="e">
        <f>(VLOOKUP(D969,$D$2:$E$4,2,FALSE))-(IF('Informe Kelly'!H963=$A$2,'Informe Kelly'!F963,VLOOKUP(D969,$D$2:$E$4,2,FALSE)))</f>
        <v>#N/A</v>
      </c>
      <c r="F969" s="142" t="e">
        <f>IF('Informe Kelly'!H963=$A$3,'Informe Kelly'!F963,VLOOKUP(D969,$D$2:$F$4,3,FALSE))-(VLOOKUP(D969,$D$2:$F$4,3,FALSE))</f>
        <v>#N/A</v>
      </c>
      <c r="G969" s="137" t="e">
        <f t="shared" ref="G969:G1032" si="19">IF(E969="",IF(F969&lt;0.0409722222222222,0,E969),IF(E969&lt;0.0409722222222222,0,E969))</f>
        <v>#N/A</v>
      </c>
    </row>
    <row r="970" spans="1:7">
      <c r="A970" s="112" t="str">
        <f>VLOOKUP('Informe Kelly'!A964,Base!A:B,2,FALSE)</f>
        <v>10.835.391-0</v>
      </c>
      <c r="B970" s="112" t="str">
        <f>VLOOKUP('Informe Kelly'!A964,Base!A:G,7,FALSE)</f>
        <v>SANCHEZ VASQUEZ DANIEL PATRICIO</v>
      </c>
      <c r="C970" s="112" t="str">
        <f>'Informe Kelly'!E964</f>
        <v>08.04.2011</v>
      </c>
      <c r="D970" s="112" t="e">
        <f>VLOOKUP(A970,Ingreso!K:P,6,FALSE)</f>
        <v>#N/A</v>
      </c>
      <c r="E970" s="142" t="e">
        <f>(VLOOKUP(D970,$D$2:$E$4,2,FALSE))-(IF('Informe Kelly'!H964=$A$2,'Informe Kelly'!F964,VLOOKUP(D970,$D$2:$E$4,2,FALSE)))</f>
        <v>#N/A</v>
      </c>
      <c r="F970" s="142" t="e">
        <f>IF('Informe Kelly'!H964=$A$3,'Informe Kelly'!F964,VLOOKUP(D970,$D$2:$F$4,3,FALSE))-(VLOOKUP(D970,$D$2:$F$4,3,FALSE))</f>
        <v>#N/A</v>
      </c>
      <c r="G970" s="137" t="e">
        <f t="shared" si="19"/>
        <v>#N/A</v>
      </c>
    </row>
    <row r="971" spans="1:7">
      <c r="A971" s="112" t="str">
        <f>VLOOKUP('Informe Kelly'!A965,Base!A:B,2,FALSE)</f>
        <v>10.835.391-0</v>
      </c>
      <c r="B971" s="112" t="str">
        <f>VLOOKUP('Informe Kelly'!A965,Base!A:G,7,FALSE)</f>
        <v>SANCHEZ VASQUEZ DANIEL PATRICIO</v>
      </c>
      <c r="C971" s="112" t="str">
        <f>'Informe Kelly'!E965</f>
        <v>08.04.2011</v>
      </c>
      <c r="D971" s="112" t="e">
        <f>VLOOKUP(A971,Ingreso!K:P,6,FALSE)</f>
        <v>#N/A</v>
      </c>
      <c r="E971" s="142" t="e">
        <f>(VLOOKUP(D971,$D$2:$E$4,2,FALSE))-(IF('Informe Kelly'!H965=$A$2,'Informe Kelly'!F965,VLOOKUP(D971,$D$2:$E$4,2,FALSE)))</f>
        <v>#N/A</v>
      </c>
      <c r="F971" s="142" t="e">
        <f>IF('Informe Kelly'!H965=$A$3,'Informe Kelly'!F965,VLOOKUP(D971,$D$2:$F$4,3,FALSE))-(VLOOKUP(D971,$D$2:$F$4,3,FALSE))</f>
        <v>#N/A</v>
      </c>
      <c r="G971" s="137" t="e">
        <f t="shared" si="19"/>
        <v>#N/A</v>
      </c>
    </row>
    <row r="972" spans="1:7">
      <c r="A972" s="112" t="str">
        <f>VLOOKUP('Informe Kelly'!A966,Base!A:B,2,FALSE)</f>
        <v>10.835.391-0</v>
      </c>
      <c r="B972" s="112" t="str">
        <f>VLOOKUP('Informe Kelly'!A966,Base!A:G,7,FALSE)</f>
        <v>SANCHEZ VASQUEZ DANIEL PATRICIO</v>
      </c>
      <c r="C972" s="112" t="str">
        <f>'Informe Kelly'!E966</f>
        <v>09.04.2011</v>
      </c>
      <c r="D972" s="112" t="e">
        <f>VLOOKUP(A972,Ingreso!K:P,6,FALSE)</f>
        <v>#N/A</v>
      </c>
      <c r="E972" s="142" t="e">
        <f>(VLOOKUP(D972,$D$2:$E$4,2,FALSE))-(IF('Informe Kelly'!H966=$A$2,'Informe Kelly'!F966,VLOOKUP(D972,$D$2:$E$4,2,FALSE)))</f>
        <v>#N/A</v>
      </c>
      <c r="F972" s="142" t="e">
        <f>IF('Informe Kelly'!H966=$A$3,'Informe Kelly'!F966,VLOOKUP(D972,$D$2:$F$4,3,FALSE))-(VLOOKUP(D972,$D$2:$F$4,3,FALSE))</f>
        <v>#N/A</v>
      </c>
      <c r="G972" s="137" t="e">
        <f t="shared" si="19"/>
        <v>#N/A</v>
      </c>
    </row>
    <row r="973" spans="1:7">
      <c r="A973" s="112" t="str">
        <f>VLOOKUP('Informe Kelly'!A967,Base!A:B,2,FALSE)</f>
        <v>10.846.598-0</v>
      </c>
      <c r="B973" s="112" t="str">
        <f>VLOOKUP('Informe Kelly'!A967,Base!A:G,7,FALSE)</f>
        <v>ALVEAR GONZALEZ RODOLFO ALBERTO</v>
      </c>
      <c r="C973" s="112" t="str">
        <f>'Informe Kelly'!E967</f>
        <v>04.04.2011</v>
      </c>
      <c r="D973" s="112" t="e">
        <f>VLOOKUP(A973,Ingreso!K:P,6,FALSE)</f>
        <v>#N/A</v>
      </c>
      <c r="E973" s="142" t="e">
        <f>(VLOOKUP(D973,$D$2:$E$4,2,FALSE))-(IF('Informe Kelly'!H967=$A$2,'Informe Kelly'!F967,VLOOKUP(D973,$D$2:$E$4,2,FALSE)))</f>
        <v>#N/A</v>
      </c>
      <c r="F973" s="142" t="e">
        <f>IF('Informe Kelly'!H967=$A$3,'Informe Kelly'!F967,VLOOKUP(D973,$D$2:$F$4,3,FALSE))-(VLOOKUP(D973,$D$2:$F$4,3,FALSE))</f>
        <v>#N/A</v>
      </c>
      <c r="G973" s="137" t="e">
        <f t="shared" si="19"/>
        <v>#N/A</v>
      </c>
    </row>
    <row r="974" spans="1:7">
      <c r="A974" s="112" t="str">
        <f>VLOOKUP('Informe Kelly'!A968,Base!A:B,2,FALSE)</f>
        <v>10.846.598-0</v>
      </c>
      <c r="B974" s="112" t="str">
        <f>VLOOKUP('Informe Kelly'!A968,Base!A:G,7,FALSE)</f>
        <v>ALVEAR GONZALEZ RODOLFO ALBERTO</v>
      </c>
      <c r="C974" s="112" t="str">
        <f>'Informe Kelly'!E968</f>
        <v>05.04.2011</v>
      </c>
      <c r="D974" s="112" t="e">
        <f>VLOOKUP(A974,Ingreso!K:P,6,FALSE)</f>
        <v>#N/A</v>
      </c>
      <c r="E974" s="142" t="e">
        <f>(VLOOKUP(D974,$D$2:$E$4,2,FALSE))-(IF('Informe Kelly'!H968=$A$2,'Informe Kelly'!F968,VLOOKUP(D974,$D$2:$E$4,2,FALSE)))</f>
        <v>#N/A</v>
      </c>
      <c r="F974" s="142" t="e">
        <f>IF('Informe Kelly'!H968=$A$3,'Informe Kelly'!F968,VLOOKUP(D974,$D$2:$F$4,3,FALSE))-(VLOOKUP(D974,$D$2:$F$4,3,FALSE))</f>
        <v>#N/A</v>
      </c>
      <c r="G974" s="137" t="e">
        <f t="shared" si="19"/>
        <v>#N/A</v>
      </c>
    </row>
    <row r="975" spans="1:7">
      <c r="A975" s="112" t="str">
        <f>VLOOKUP('Informe Kelly'!A969,Base!A:B,2,FALSE)</f>
        <v>10.846.598-0</v>
      </c>
      <c r="B975" s="112" t="str">
        <f>VLOOKUP('Informe Kelly'!A969,Base!A:G,7,FALSE)</f>
        <v>ALVEAR GONZALEZ RODOLFO ALBERTO</v>
      </c>
      <c r="C975" s="112" t="str">
        <f>'Informe Kelly'!E969</f>
        <v>05.04.2011</v>
      </c>
      <c r="D975" s="112" t="e">
        <f>VLOOKUP(A975,Ingreso!K:P,6,FALSE)</f>
        <v>#N/A</v>
      </c>
      <c r="E975" s="142" t="e">
        <f>(VLOOKUP(D975,$D$2:$E$4,2,FALSE))-(IF('Informe Kelly'!H969=$A$2,'Informe Kelly'!F969,VLOOKUP(D975,$D$2:$E$4,2,FALSE)))</f>
        <v>#N/A</v>
      </c>
      <c r="F975" s="142" t="e">
        <f>IF('Informe Kelly'!H969=$A$3,'Informe Kelly'!F969,VLOOKUP(D975,$D$2:$F$4,3,FALSE))-(VLOOKUP(D975,$D$2:$F$4,3,FALSE))</f>
        <v>#N/A</v>
      </c>
      <c r="G975" s="137" t="e">
        <f t="shared" si="19"/>
        <v>#N/A</v>
      </c>
    </row>
    <row r="976" spans="1:7">
      <c r="A976" s="112" t="str">
        <f>VLOOKUP('Informe Kelly'!A970,Base!A:B,2,FALSE)</f>
        <v>10.846.598-0</v>
      </c>
      <c r="B976" s="112" t="str">
        <f>VLOOKUP('Informe Kelly'!A970,Base!A:G,7,FALSE)</f>
        <v>ALVEAR GONZALEZ RODOLFO ALBERTO</v>
      </c>
      <c r="C976" s="112" t="str">
        <f>'Informe Kelly'!E970</f>
        <v>06.04.2011</v>
      </c>
      <c r="D976" s="112" t="e">
        <f>VLOOKUP(A976,Ingreso!K:P,6,FALSE)</f>
        <v>#N/A</v>
      </c>
      <c r="E976" s="142" t="e">
        <f>(VLOOKUP(D976,$D$2:$E$4,2,FALSE))-(IF('Informe Kelly'!H970=$A$2,'Informe Kelly'!F970,VLOOKUP(D976,$D$2:$E$4,2,FALSE)))</f>
        <v>#N/A</v>
      </c>
      <c r="F976" s="142" t="e">
        <f>IF('Informe Kelly'!H970=$A$3,'Informe Kelly'!F970,VLOOKUP(D976,$D$2:$F$4,3,FALSE))-(VLOOKUP(D976,$D$2:$F$4,3,FALSE))</f>
        <v>#N/A</v>
      </c>
      <c r="G976" s="137" t="e">
        <f t="shared" si="19"/>
        <v>#N/A</v>
      </c>
    </row>
    <row r="977" spans="1:7">
      <c r="A977" s="112" t="str">
        <f>VLOOKUP('Informe Kelly'!A971,Base!A:B,2,FALSE)</f>
        <v>10.846.598-0</v>
      </c>
      <c r="B977" s="112" t="str">
        <f>VLOOKUP('Informe Kelly'!A971,Base!A:G,7,FALSE)</f>
        <v>ALVEAR GONZALEZ RODOLFO ALBERTO</v>
      </c>
      <c r="C977" s="112" t="str">
        <f>'Informe Kelly'!E971</f>
        <v>06.04.2011</v>
      </c>
      <c r="D977" s="112" t="e">
        <f>VLOOKUP(A977,Ingreso!K:P,6,FALSE)</f>
        <v>#N/A</v>
      </c>
      <c r="E977" s="142" t="e">
        <f>(VLOOKUP(D977,$D$2:$E$4,2,FALSE))-(IF('Informe Kelly'!H971=$A$2,'Informe Kelly'!F971,VLOOKUP(D977,$D$2:$E$4,2,FALSE)))</f>
        <v>#N/A</v>
      </c>
      <c r="F977" s="142" t="e">
        <f>IF('Informe Kelly'!H971=$A$3,'Informe Kelly'!F971,VLOOKUP(D977,$D$2:$F$4,3,FALSE))-(VLOOKUP(D977,$D$2:$F$4,3,FALSE))</f>
        <v>#N/A</v>
      </c>
      <c r="G977" s="137" t="e">
        <f t="shared" si="19"/>
        <v>#N/A</v>
      </c>
    </row>
    <row r="978" spans="1:7">
      <c r="A978" s="112" t="str">
        <f>VLOOKUP('Informe Kelly'!A972,Base!A:B,2,FALSE)</f>
        <v>10.846.598-0</v>
      </c>
      <c r="B978" s="112" t="str">
        <f>VLOOKUP('Informe Kelly'!A972,Base!A:G,7,FALSE)</f>
        <v>ALVEAR GONZALEZ RODOLFO ALBERTO</v>
      </c>
      <c r="C978" s="112" t="str">
        <f>'Informe Kelly'!E972</f>
        <v>07.04.2011</v>
      </c>
      <c r="D978" s="112" t="e">
        <f>VLOOKUP(A978,Ingreso!K:P,6,FALSE)</f>
        <v>#N/A</v>
      </c>
      <c r="E978" s="142" t="e">
        <f>(VLOOKUP(D978,$D$2:$E$4,2,FALSE))-(IF('Informe Kelly'!H972=$A$2,'Informe Kelly'!F972,VLOOKUP(D978,$D$2:$E$4,2,FALSE)))</f>
        <v>#N/A</v>
      </c>
      <c r="F978" s="142" t="e">
        <f>IF('Informe Kelly'!H972=$A$3,'Informe Kelly'!F972,VLOOKUP(D978,$D$2:$F$4,3,FALSE))-(VLOOKUP(D978,$D$2:$F$4,3,FALSE))</f>
        <v>#N/A</v>
      </c>
      <c r="G978" s="137" t="e">
        <f t="shared" si="19"/>
        <v>#N/A</v>
      </c>
    </row>
    <row r="979" spans="1:7">
      <c r="A979" s="112" t="str">
        <f>VLOOKUP('Informe Kelly'!A973,Base!A:B,2,FALSE)</f>
        <v>10.846.598-0</v>
      </c>
      <c r="B979" s="112" t="str">
        <f>VLOOKUP('Informe Kelly'!A973,Base!A:G,7,FALSE)</f>
        <v>ALVEAR GONZALEZ RODOLFO ALBERTO</v>
      </c>
      <c r="C979" s="112" t="str">
        <f>'Informe Kelly'!E973</f>
        <v>07.04.2011</v>
      </c>
      <c r="D979" s="112" t="e">
        <f>VLOOKUP(A979,Ingreso!K:P,6,FALSE)</f>
        <v>#N/A</v>
      </c>
      <c r="E979" s="142" t="e">
        <f>(VLOOKUP(D979,$D$2:$E$4,2,FALSE))-(IF('Informe Kelly'!H973=$A$2,'Informe Kelly'!F973,VLOOKUP(D979,$D$2:$E$4,2,FALSE)))</f>
        <v>#N/A</v>
      </c>
      <c r="F979" s="142" t="e">
        <f>IF('Informe Kelly'!H973=$A$3,'Informe Kelly'!F973,VLOOKUP(D979,$D$2:$F$4,3,FALSE))-(VLOOKUP(D979,$D$2:$F$4,3,FALSE))</f>
        <v>#N/A</v>
      </c>
      <c r="G979" s="137" t="e">
        <f t="shared" si="19"/>
        <v>#N/A</v>
      </c>
    </row>
    <row r="980" spans="1:7">
      <c r="A980" s="112" t="str">
        <f>VLOOKUP('Informe Kelly'!A974,Base!A:B,2,FALSE)</f>
        <v>10.846.598-0</v>
      </c>
      <c r="B980" s="112" t="str">
        <f>VLOOKUP('Informe Kelly'!A974,Base!A:G,7,FALSE)</f>
        <v>ALVEAR GONZALEZ RODOLFO ALBERTO</v>
      </c>
      <c r="C980" s="112" t="str">
        <f>'Informe Kelly'!E974</f>
        <v>08.04.2011</v>
      </c>
      <c r="D980" s="112" t="e">
        <f>VLOOKUP(A980,Ingreso!K:P,6,FALSE)</f>
        <v>#N/A</v>
      </c>
      <c r="E980" s="142" t="e">
        <f>(VLOOKUP(D980,$D$2:$E$4,2,FALSE))-(IF('Informe Kelly'!H974=$A$2,'Informe Kelly'!F974,VLOOKUP(D980,$D$2:$E$4,2,FALSE)))</f>
        <v>#N/A</v>
      </c>
      <c r="F980" s="142" t="e">
        <f>IF('Informe Kelly'!H974=$A$3,'Informe Kelly'!F974,VLOOKUP(D980,$D$2:$F$4,3,FALSE))-(VLOOKUP(D980,$D$2:$F$4,3,FALSE))</f>
        <v>#N/A</v>
      </c>
      <c r="G980" s="137" t="e">
        <f t="shared" si="19"/>
        <v>#N/A</v>
      </c>
    </row>
    <row r="981" spans="1:7">
      <c r="A981" s="112" t="str">
        <f>VLOOKUP('Informe Kelly'!A975,Base!A:B,2,FALSE)</f>
        <v>10.846.598-0</v>
      </c>
      <c r="B981" s="112" t="str">
        <f>VLOOKUP('Informe Kelly'!A975,Base!A:G,7,FALSE)</f>
        <v>ALVEAR GONZALEZ RODOLFO ALBERTO</v>
      </c>
      <c r="C981" s="112" t="str">
        <f>'Informe Kelly'!E975</f>
        <v>08.04.2011</v>
      </c>
      <c r="D981" s="112" t="e">
        <f>VLOOKUP(A981,Ingreso!K:P,6,FALSE)</f>
        <v>#N/A</v>
      </c>
      <c r="E981" s="142" t="e">
        <f>(VLOOKUP(D981,$D$2:$E$4,2,FALSE))-(IF('Informe Kelly'!H975=$A$2,'Informe Kelly'!F975,VLOOKUP(D981,$D$2:$E$4,2,FALSE)))</f>
        <v>#N/A</v>
      </c>
      <c r="F981" s="142" t="e">
        <f>IF('Informe Kelly'!H975=$A$3,'Informe Kelly'!F975,VLOOKUP(D981,$D$2:$F$4,3,FALSE))-(VLOOKUP(D981,$D$2:$F$4,3,FALSE))</f>
        <v>#N/A</v>
      </c>
      <c r="G981" s="137" t="e">
        <f t="shared" si="19"/>
        <v>#N/A</v>
      </c>
    </row>
    <row r="982" spans="1:7">
      <c r="A982" s="112" t="str">
        <f>VLOOKUP('Informe Kelly'!A976,Base!A:B,2,FALSE)</f>
        <v>10.846.598-0</v>
      </c>
      <c r="B982" s="112" t="str">
        <f>VLOOKUP('Informe Kelly'!A976,Base!A:G,7,FALSE)</f>
        <v>ALVEAR GONZALEZ RODOLFO ALBERTO</v>
      </c>
      <c r="C982" s="112" t="str">
        <f>'Informe Kelly'!E976</f>
        <v>09.04.2011</v>
      </c>
      <c r="D982" s="112" t="e">
        <f>VLOOKUP(A982,Ingreso!K:P,6,FALSE)</f>
        <v>#N/A</v>
      </c>
      <c r="E982" s="142" t="e">
        <f>(VLOOKUP(D982,$D$2:$E$4,2,FALSE))-(IF('Informe Kelly'!H976=$A$2,'Informe Kelly'!F976,VLOOKUP(D982,$D$2:$E$4,2,FALSE)))</f>
        <v>#N/A</v>
      </c>
      <c r="F982" s="142" t="e">
        <f>IF('Informe Kelly'!H976=$A$3,'Informe Kelly'!F976,VLOOKUP(D982,$D$2:$F$4,3,FALSE))-(VLOOKUP(D982,$D$2:$F$4,3,FALSE))</f>
        <v>#N/A</v>
      </c>
      <c r="G982" s="137" t="e">
        <f t="shared" si="19"/>
        <v>#N/A</v>
      </c>
    </row>
    <row r="983" spans="1:7">
      <c r="A983" s="112" t="str">
        <f>VLOOKUP('Informe Kelly'!A977,Base!A:B,2,FALSE)</f>
        <v>10.849.076-4</v>
      </c>
      <c r="B983" s="112" t="str">
        <f>VLOOKUP('Informe Kelly'!A977,Base!A:G,7,FALSE)</f>
        <v>SANTANA PEREZ RICARDO</v>
      </c>
      <c r="C983" s="112" t="str">
        <f>'Informe Kelly'!E977</f>
        <v>04.04.2011</v>
      </c>
      <c r="D983" s="112" t="e">
        <f>VLOOKUP(A983,Ingreso!K:P,6,FALSE)</f>
        <v>#N/A</v>
      </c>
      <c r="E983" s="142" t="e">
        <f>(VLOOKUP(D983,$D$2:$E$4,2,FALSE))-(IF('Informe Kelly'!H977=$A$2,'Informe Kelly'!F977,VLOOKUP(D983,$D$2:$E$4,2,FALSE)))</f>
        <v>#N/A</v>
      </c>
      <c r="F983" s="142" t="e">
        <f>IF('Informe Kelly'!H977=$A$3,'Informe Kelly'!F977,VLOOKUP(D983,$D$2:$F$4,3,FALSE))-(VLOOKUP(D983,$D$2:$F$4,3,FALSE))</f>
        <v>#N/A</v>
      </c>
      <c r="G983" s="137" t="e">
        <f t="shared" si="19"/>
        <v>#N/A</v>
      </c>
    </row>
    <row r="984" spans="1:7">
      <c r="A984" s="112" t="str">
        <f>VLOOKUP('Informe Kelly'!A978,Base!A:B,2,FALSE)</f>
        <v>10.849.076-4</v>
      </c>
      <c r="B984" s="112" t="str">
        <f>VLOOKUP('Informe Kelly'!A978,Base!A:G,7,FALSE)</f>
        <v>SANTANA PEREZ RICARDO</v>
      </c>
      <c r="C984" s="112" t="str">
        <f>'Informe Kelly'!E978</f>
        <v>04.04.2011</v>
      </c>
      <c r="D984" s="112" t="e">
        <f>VLOOKUP(A984,Ingreso!K:P,6,FALSE)</f>
        <v>#N/A</v>
      </c>
      <c r="E984" s="142" t="e">
        <f>(VLOOKUP(D984,$D$2:$E$4,2,FALSE))-(IF('Informe Kelly'!H978=$A$2,'Informe Kelly'!F978,VLOOKUP(D984,$D$2:$E$4,2,FALSE)))</f>
        <v>#N/A</v>
      </c>
      <c r="F984" s="142" t="e">
        <f>IF('Informe Kelly'!H978=$A$3,'Informe Kelly'!F978,VLOOKUP(D984,$D$2:$F$4,3,FALSE))-(VLOOKUP(D984,$D$2:$F$4,3,FALSE))</f>
        <v>#N/A</v>
      </c>
      <c r="G984" s="137" t="e">
        <f t="shared" si="19"/>
        <v>#N/A</v>
      </c>
    </row>
    <row r="985" spans="1:7">
      <c r="A985" s="112" t="str">
        <f>VLOOKUP('Informe Kelly'!A979,Base!A:B,2,FALSE)</f>
        <v>10.849.076-4</v>
      </c>
      <c r="B985" s="112" t="str">
        <f>VLOOKUP('Informe Kelly'!A979,Base!A:G,7,FALSE)</f>
        <v>SANTANA PEREZ RICARDO</v>
      </c>
      <c r="C985" s="112" t="str">
        <f>'Informe Kelly'!E979</f>
        <v>06.04.2011</v>
      </c>
      <c r="D985" s="112" t="e">
        <f>VLOOKUP(A985,Ingreso!K:P,6,FALSE)</f>
        <v>#N/A</v>
      </c>
      <c r="E985" s="142" t="e">
        <f>(VLOOKUP(D985,$D$2:$E$4,2,FALSE))-(IF('Informe Kelly'!H979=$A$2,'Informe Kelly'!F979,VLOOKUP(D985,$D$2:$E$4,2,FALSE)))</f>
        <v>#N/A</v>
      </c>
      <c r="F985" s="142" t="e">
        <f>IF('Informe Kelly'!H979=$A$3,'Informe Kelly'!F979,VLOOKUP(D985,$D$2:$F$4,3,FALSE))-(VLOOKUP(D985,$D$2:$F$4,3,FALSE))</f>
        <v>#N/A</v>
      </c>
      <c r="G985" s="137" t="e">
        <f t="shared" si="19"/>
        <v>#N/A</v>
      </c>
    </row>
    <row r="986" spans="1:7">
      <c r="A986" s="112" t="str">
        <f>VLOOKUP('Informe Kelly'!A980,Base!A:B,2,FALSE)</f>
        <v>10.849.076-4</v>
      </c>
      <c r="B986" s="112" t="str">
        <f>VLOOKUP('Informe Kelly'!A980,Base!A:G,7,FALSE)</f>
        <v>SANTANA PEREZ RICARDO</v>
      </c>
      <c r="C986" s="112" t="str">
        <f>'Informe Kelly'!E980</f>
        <v>06.04.2011</v>
      </c>
      <c r="D986" s="112" t="e">
        <f>VLOOKUP(A986,Ingreso!K:P,6,FALSE)</f>
        <v>#N/A</v>
      </c>
      <c r="E986" s="142" t="e">
        <f>(VLOOKUP(D986,$D$2:$E$4,2,FALSE))-(IF('Informe Kelly'!H980=$A$2,'Informe Kelly'!F980,VLOOKUP(D986,$D$2:$E$4,2,FALSE)))</f>
        <v>#N/A</v>
      </c>
      <c r="F986" s="142" t="e">
        <f>IF('Informe Kelly'!H980=$A$3,'Informe Kelly'!F980,VLOOKUP(D986,$D$2:$F$4,3,FALSE))-(VLOOKUP(D986,$D$2:$F$4,3,FALSE))</f>
        <v>#N/A</v>
      </c>
      <c r="G986" s="137" t="e">
        <f t="shared" si="19"/>
        <v>#N/A</v>
      </c>
    </row>
    <row r="987" spans="1:7">
      <c r="A987" s="112" t="str">
        <f>VLOOKUP('Informe Kelly'!A981,Base!A:B,2,FALSE)</f>
        <v>10.849.076-4</v>
      </c>
      <c r="B987" s="112" t="str">
        <f>VLOOKUP('Informe Kelly'!A981,Base!A:G,7,FALSE)</f>
        <v>SANTANA PEREZ RICARDO</v>
      </c>
      <c r="C987" s="112" t="str">
        <f>'Informe Kelly'!E981</f>
        <v>07.04.2011</v>
      </c>
      <c r="D987" s="112" t="e">
        <f>VLOOKUP(A987,Ingreso!K:P,6,FALSE)</f>
        <v>#N/A</v>
      </c>
      <c r="E987" s="142" t="e">
        <f>(VLOOKUP(D987,$D$2:$E$4,2,FALSE))-(IF('Informe Kelly'!H981=$A$2,'Informe Kelly'!F981,VLOOKUP(D987,$D$2:$E$4,2,FALSE)))</f>
        <v>#N/A</v>
      </c>
      <c r="F987" s="142" t="e">
        <f>IF('Informe Kelly'!H981=$A$3,'Informe Kelly'!F981,VLOOKUP(D987,$D$2:$F$4,3,FALSE))-(VLOOKUP(D987,$D$2:$F$4,3,FALSE))</f>
        <v>#N/A</v>
      </c>
      <c r="G987" s="137" t="e">
        <f t="shared" si="19"/>
        <v>#N/A</v>
      </c>
    </row>
    <row r="988" spans="1:7">
      <c r="A988" s="112" t="str">
        <f>VLOOKUP('Informe Kelly'!A982,Base!A:B,2,FALSE)</f>
        <v>10.849.076-4</v>
      </c>
      <c r="B988" s="112" t="str">
        <f>VLOOKUP('Informe Kelly'!A982,Base!A:G,7,FALSE)</f>
        <v>SANTANA PEREZ RICARDO</v>
      </c>
      <c r="C988" s="112" t="str">
        <f>'Informe Kelly'!E982</f>
        <v>07.04.2011</v>
      </c>
      <c r="D988" s="112" t="e">
        <f>VLOOKUP(A988,Ingreso!K:P,6,FALSE)</f>
        <v>#N/A</v>
      </c>
      <c r="E988" s="142" t="e">
        <f>(VLOOKUP(D988,$D$2:$E$4,2,FALSE))-(IF('Informe Kelly'!H982=$A$2,'Informe Kelly'!F982,VLOOKUP(D988,$D$2:$E$4,2,FALSE)))</f>
        <v>#N/A</v>
      </c>
      <c r="F988" s="142" t="e">
        <f>IF('Informe Kelly'!H982=$A$3,'Informe Kelly'!F982,VLOOKUP(D988,$D$2:$F$4,3,FALSE))-(VLOOKUP(D988,$D$2:$F$4,3,FALSE))</f>
        <v>#N/A</v>
      </c>
      <c r="G988" s="137" t="e">
        <f t="shared" si="19"/>
        <v>#N/A</v>
      </c>
    </row>
    <row r="989" spans="1:7">
      <c r="A989" s="112" t="str">
        <f>VLOOKUP('Informe Kelly'!A983,Base!A:B,2,FALSE)</f>
        <v>10.849.076-4</v>
      </c>
      <c r="B989" s="112" t="str">
        <f>VLOOKUP('Informe Kelly'!A983,Base!A:G,7,FALSE)</f>
        <v>SANTANA PEREZ RICARDO</v>
      </c>
      <c r="C989" s="112" t="str">
        <f>'Informe Kelly'!E983</f>
        <v>08.04.2011</v>
      </c>
      <c r="D989" s="112" t="e">
        <f>VLOOKUP(A989,Ingreso!K:P,6,FALSE)</f>
        <v>#N/A</v>
      </c>
      <c r="E989" s="142" t="e">
        <f>(VLOOKUP(D989,$D$2:$E$4,2,FALSE))-(IF('Informe Kelly'!H983=$A$2,'Informe Kelly'!F983,VLOOKUP(D989,$D$2:$E$4,2,FALSE)))</f>
        <v>#N/A</v>
      </c>
      <c r="F989" s="142" t="e">
        <f>IF('Informe Kelly'!H983=$A$3,'Informe Kelly'!F983,VLOOKUP(D989,$D$2:$F$4,3,FALSE))-(VLOOKUP(D989,$D$2:$F$4,3,FALSE))</f>
        <v>#N/A</v>
      </c>
      <c r="G989" s="137" t="e">
        <f t="shared" si="19"/>
        <v>#N/A</v>
      </c>
    </row>
    <row r="990" spans="1:7">
      <c r="A990" s="112" t="str">
        <f>VLOOKUP('Informe Kelly'!A984,Base!A:B,2,FALSE)</f>
        <v>10.849.076-4</v>
      </c>
      <c r="B990" s="112" t="str">
        <f>VLOOKUP('Informe Kelly'!A984,Base!A:G,7,FALSE)</f>
        <v>SANTANA PEREZ RICARDO</v>
      </c>
      <c r="C990" s="112" t="str">
        <f>'Informe Kelly'!E984</f>
        <v>08.04.2011</v>
      </c>
      <c r="D990" s="112" t="e">
        <f>VLOOKUP(A990,Ingreso!K:P,6,FALSE)</f>
        <v>#N/A</v>
      </c>
      <c r="E990" s="142" t="e">
        <f>(VLOOKUP(D990,$D$2:$E$4,2,FALSE))-(IF('Informe Kelly'!H984=$A$2,'Informe Kelly'!F984,VLOOKUP(D990,$D$2:$E$4,2,FALSE)))</f>
        <v>#N/A</v>
      </c>
      <c r="F990" s="142" t="e">
        <f>IF('Informe Kelly'!H984=$A$3,'Informe Kelly'!F984,VLOOKUP(D990,$D$2:$F$4,3,FALSE))-(VLOOKUP(D990,$D$2:$F$4,3,FALSE))</f>
        <v>#N/A</v>
      </c>
      <c r="G990" s="137" t="e">
        <f t="shared" si="19"/>
        <v>#N/A</v>
      </c>
    </row>
    <row r="991" spans="1:7">
      <c r="A991" s="112" t="str">
        <f>VLOOKUP('Informe Kelly'!A985,Base!A:B,2,FALSE)</f>
        <v>10.849.076-4</v>
      </c>
      <c r="B991" s="112" t="str">
        <f>VLOOKUP('Informe Kelly'!A985,Base!A:G,7,FALSE)</f>
        <v>SANTANA PEREZ RICARDO</v>
      </c>
      <c r="C991" s="112" t="str">
        <f>'Informe Kelly'!E985</f>
        <v>09.04.2011</v>
      </c>
      <c r="D991" s="112" t="e">
        <f>VLOOKUP(A991,Ingreso!K:P,6,FALSE)</f>
        <v>#N/A</v>
      </c>
      <c r="E991" s="142" t="e">
        <f>(VLOOKUP(D991,$D$2:$E$4,2,FALSE))-(IF('Informe Kelly'!H985=$A$2,'Informe Kelly'!F985,VLOOKUP(D991,$D$2:$E$4,2,FALSE)))</f>
        <v>#N/A</v>
      </c>
      <c r="F991" s="142" t="e">
        <f>IF('Informe Kelly'!H985=$A$3,'Informe Kelly'!F985,VLOOKUP(D991,$D$2:$F$4,3,FALSE))-(VLOOKUP(D991,$D$2:$F$4,3,FALSE))</f>
        <v>#N/A</v>
      </c>
      <c r="G991" s="137" t="e">
        <f t="shared" si="19"/>
        <v>#N/A</v>
      </c>
    </row>
    <row r="992" spans="1:7">
      <c r="A992" s="112" t="str">
        <f>VLOOKUP('Informe Kelly'!A986,Base!A:B,2,FALSE)</f>
        <v>10.849.076-4</v>
      </c>
      <c r="B992" s="112" t="str">
        <f>VLOOKUP('Informe Kelly'!A986,Base!A:G,7,FALSE)</f>
        <v>SANTANA PEREZ RICARDO</v>
      </c>
      <c r="C992" s="112" t="str">
        <f>'Informe Kelly'!E986</f>
        <v>09.04.2011</v>
      </c>
      <c r="D992" s="112" t="e">
        <f>VLOOKUP(A992,Ingreso!K:P,6,FALSE)</f>
        <v>#N/A</v>
      </c>
      <c r="E992" s="142" t="e">
        <f>(VLOOKUP(D992,$D$2:$E$4,2,FALSE))-(IF('Informe Kelly'!H986=$A$2,'Informe Kelly'!F986,VLOOKUP(D992,$D$2:$E$4,2,FALSE)))</f>
        <v>#N/A</v>
      </c>
      <c r="F992" s="142" t="e">
        <f>IF('Informe Kelly'!H986=$A$3,'Informe Kelly'!F986,VLOOKUP(D992,$D$2:$F$4,3,FALSE))-(VLOOKUP(D992,$D$2:$F$4,3,FALSE))</f>
        <v>#N/A</v>
      </c>
      <c r="G992" s="137" t="e">
        <f t="shared" si="19"/>
        <v>#N/A</v>
      </c>
    </row>
    <row r="993" spans="1:7">
      <c r="A993" s="112" t="str">
        <f>VLOOKUP('Informe Kelly'!A987,Base!A:B,2,FALSE)</f>
        <v>10.849.486-7</v>
      </c>
      <c r="B993" s="112" t="str">
        <f>VLOOKUP('Informe Kelly'!A987,Base!A:G,7,FALSE)</f>
        <v>VALDENEGRO  GARRIDO, ELVIO</v>
      </c>
      <c r="C993" s="112" t="str">
        <f>'Informe Kelly'!E987</f>
        <v>04.04.2011</v>
      </c>
      <c r="D993" s="112" t="e">
        <f>VLOOKUP(A993,Ingreso!K:P,6,FALSE)</f>
        <v>#N/A</v>
      </c>
      <c r="E993" s="142" t="e">
        <f>(VLOOKUP(D993,$D$2:$E$4,2,FALSE))-(IF('Informe Kelly'!H987=$A$2,'Informe Kelly'!F987,VLOOKUP(D993,$D$2:$E$4,2,FALSE)))</f>
        <v>#N/A</v>
      </c>
      <c r="F993" s="142" t="e">
        <f>IF('Informe Kelly'!H987=$A$3,'Informe Kelly'!F987,VLOOKUP(D993,$D$2:$F$4,3,FALSE))-(VLOOKUP(D993,$D$2:$F$4,3,FALSE))</f>
        <v>#N/A</v>
      </c>
      <c r="G993" s="137" t="e">
        <f t="shared" si="19"/>
        <v>#N/A</v>
      </c>
    </row>
    <row r="994" spans="1:7">
      <c r="A994" s="112" t="str">
        <f>VLOOKUP('Informe Kelly'!A988,Base!A:B,2,FALSE)</f>
        <v>10.849.486-7</v>
      </c>
      <c r="B994" s="112" t="str">
        <f>VLOOKUP('Informe Kelly'!A988,Base!A:G,7,FALSE)</f>
        <v>VALDENEGRO  GARRIDO, ELVIO</v>
      </c>
      <c r="C994" s="112" t="str">
        <f>'Informe Kelly'!E988</f>
        <v>05.04.2011</v>
      </c>
      <c r="D994" s="112" t="e">
        <f>VLOOKUP(A994,Ingreso!K:P,6,FALSE)</f>
        <v>#N/A</v>
      </c>
      <c r="E994" s="142" t="e">
        <f>(VLOOKUP(D994,$D$2:$E$4,2,FALSE))-(IF('Informe Kelly'!H988=$A$2,'Informe Kelly'!F988,VLOOKUP(D994,$D$2:$E$4,2,FALSE)))</f>
        <v>#N/A</v>
      </c>
      <c r="F994" s="142" t="e">
        <f>IF('Informe Kelly'!H988=$A$3,'Informe Kelly'!F988,VLOOKUP(D994,$D$2:$F$4,3,FALSE))-(VLOOKUP(D994,$D$2:$F$4,3,FALSE))</f>
        <v>#N/A</v>
      </c>
      <c r="G994" s="137" t="e">
        <f t="shared" si="19"/>
        <v>#N/A</v>
      </c>
    </row>
    <row r="995" spans="1:7">
      <c r="A995" s="112" t="str">
        <f>VLOOKUP('Informe Kelly'!A989,Base!A:B,2,FALSE)</f>
        <v>10.849.486-7</v>
      </c>
      <c r="B995" s="112" t="str">
        <f>VLOOKUP('Informe Kelly'!A989,Base!A:G,7,FALSE)</f>
        <v>VALDENEGRO  GARRIDO, ELVIO</v>
      </c>
      <c r="C995" s="112" t="str">
        <f>'Informe Kelly'!E989</f>
        <v>05.04.2011</v>
      </c>
      <c r="D995" s="112" t="e">
        <f>VLOOKUP(A995,Ingreso!K:P,6,FALSE)</f>
        <v>#N/A</v>
      </c>
      <c r="E995" s="142" t="e">
        <f>(VLOOKUP(D995,$D$2:$E$4,2,FALSE))-(IF('Informe Kelly'!H989=$A$2,'Informe Kelly'!F989,VLOOKUP(D995,$D$2:$E$4,2,FALSE)))</f>
        <v>#N/A</v>
      </c>
      <c r="F995" s="142" t="e">
        <f>IF('Informe Kelly'!H989=$A$3,'Informe Kelly'!F989,VLOOKUP(D995,$D$2:$F$4,3,FALSE))-(VLOOKUP(D995,$D$2:$F$4,3,FALSE))</f>
        <v>#N/A</v>
      </c>
      <c r="G995" s="137" t="e">
        <f t="shared" si="19"/>
        <v>#N/A</v>
      </c>
    </row>
    <row r="996" spans="1:7">
      <c r="A996" s="112" t="str">
        <f>VLOOKUP('Informe Kelly'!A990,Base!A:B,2,FALSE)</f>
        <v>10.849.486-7</v>
      </c>
      <c r="B996" s="112" t="str">
        <f>VLOOKUP('Informe Kelly'!A990,Base!A:G,7,FALSE)</f>
        <v>VALDENEGRO  GARRIDO, ELVIO</v>
      </c>
      <c r="C996" s="112" t="str">
        <f>'Informe Kelly'!E990</f>
        <v>06.04.2011</v>
      </c>
      <c r="D996" s="112" t="e">
        <f>VLOOKUP(A996,Ingreso!K:P,6,FALSE)</f>
        <v>#N/A</v>
      </c>
      <c r="E996" s="142" t="e">
        <f>(VLOOKUP(D996,$D$2:$E$4,2,FALSE))-(IF('Informe Kelly'!H990=$A$2,'Informe Kelly'!F990,VLOOKUP(D996,$D$2:$E$4,2,FALSE)))</f>
        <v>#N/A</v>
      </c>
      <c r="F996" s="142" t="e">
        <f>IF('Informe Kelly'!H990=$A$3,'Informe Kelly'!F990,VLOOKUP(D996,$D$2:$F$4,3,FALSE))-(VLOOKUP(D996,$D$2:$F$4,3,FALSE))</f>
        <v>#N/A</v>
      </c>
      <c r="G996" s="137" t="e">
        <f t="shared" si="19"/>
        <v>#N/A</v>
      </c>
    </row>
    <row r="997" spans="1:7">
      <c r="A997" s="112" t="str">
        <f>VLOOKUP('Informe Kelly'!A991,Base!A:B,2,FALSE)</f>
        <v>10.849.486-7</v>
      </c>
      <c r="B997" s="112" t="str">
        <f>VLOOKUP('Informe Kelly'!A991,Base!A:G,7,FALSE)</f>
        <v>VALDENEGRO  GARRIDO, ELVIO</v>
      </c>
      <c r="C997" s="112" t="str">
        <f>'Informe Kelly'!E991</f>
        <v>06.04.2011</v>
      </c>
      <c r="D997" s="112" t="e">
        <f>VLOOKUP(A997,Ingreso!K:P,6,FALSE)</f>
        <v>#N/A</v>
      </c>
      <c r="E997" s="142" t="e">
        <f>(VLOOKUP(D997,$D$2:$E$4,2,FALSE))-(IF('Informe Kelly'!H991=$A$2,'Informe Kelly'!F991,VLOOKUP(D997,$D$2:$E$4,2,FALSE)))</f>
        <v>#N/A</v>
      </c>
      <c r="F997" s="142" t="e">
        <f>IF('Informe Kelly'!H991=$A$3,'Informe Kelly'!F991,VLOOKUP(D997,$D$2:$F$4,3,FALSE))-(VLOOKUP(D997,$D$2:$F$4,3,FALSE))</f>
        <v>#N/A</v>
      </c>
      <c r="G997" s="137" t="e">
        <f t="shared" si="19"/>
        <v>#N/A</v>
      </c>
    </row>
    <row r="998" spans="1:7">
      <c r="A998" s="112" t="str">
        <f>VLOOKUP('Informe Kelly'!A992,Base!A:B,2,FALSE)</f>
        <v>10.849.486-7</v>
      </c>
      <c r="B998" s="112" t="str">
        <f>VLOOKUP('Informe Kelly'!A992,Base!A:G,7,FALSE)</f>
        <v>VALDENEGRO  GARRIDO, ELVIO</v>
      </c>
      <c r="C998" s="112" t="str">
        <f>'Informe Kelly'!E992</f>
        <v>07.04.2011</v>
      </c>
      <c r="D998" s="112" t="e">
        <f>VLOOKUP(A998,Ingreso!K:P,6,FALSE)</f>
        <v>#N/A</v>
      </c>
      <c r="E998" s="142" t="e">
        <f>(VLOOKUP(D998,$D$2:$E$4,2,FALSE))-(IF('Informe Kelly'!H992=$A$2,'Informe Kelly'!F992,VLOOKUP(D998,$D$2:$E$4,2,FALSE)))</f>
        <v>#N/A</v>
      </c>
      <c r="F998" s="142" t="e">
        <f>IF('Informe Kelly'!H992=$A$3,'Informe Kelly'!F992,VLOOKUP(D998,$D$2:$F$4,3,FALSE))-(VLOOKUP(D998,$D$2:$F$4,3,FALSE))</f>
        <v>#N/A</v>
      </c>
      <c r="G998" s="137" t="e">
        <f t="shared" si="19"/>
        <v>#N/A</v>
      </c>
    </row>
    <row r="999" spans="1:7">
      <c r="A999" s="112" t="str">
        <f>VLOOKUP('Informe Kelly'!A993,Base!A:B,2,FALSE)</f>
        <v>10.849.486-7</v>
      </c>
      <c r="B999" s="112" t="str">
        <f>VLOOKUP('Informe Kelly'!A993,Base!A:G,7,FALSE)</f>
        <v>VALDENEGRO  GARRIDO, ELVIO</v>
      </c>
      <c r="C999" s="112" t="str">
        <f>'Informe Kelly'!E993</f>
        <v>08.04.2011</v>
      </c>
      <c r="D999" s="112" t="e">
        <f>VLOOKUP(A999,Ingreso!K:P,6,FALSE)</f>
        <v>#N/A</v>
      </c>
      <c r="E999" s="142" t="e">
        <f>(VLOOKUP(D999,$D$2:$E$4,2,FALSE))-(IF('Informe Kelly'!H993=$A$2,'Informe Kelly'!F993,VLOOKUP(D999,$D$2:$E$4,2,FALSE)))</f>
        <v>#N/A</v>
      </c>
      <c r="F999" s="142" t="e">
        <f>IF('Informe Kelly'!H993=$A$3,'Informe Kelly'!F993,VLOOKUP(D999,$D$2:$F$4,3,FALSE))-(VLOOKUP(D999,$D$2:$F$4,3,FALSE))</f>
        <v>#N/A</v>
      </c>
      <c r="G999" s="137" t="e">
        <f t="shared" si="19"/>
        <v>#N/A</v>
      </c>
    </row>
    <row r="1000" spans="1:7">
      <c r="A1000" s="112" t="str">
        <f>VLOOKUP('Informe Kelly'!A994,Base!A:B,2,FALSE)</f>
        <v>10.849.486-7</v>
      </c>
      <c r="B1000" s="112" t="str">
        <f>VLOOKUP('Informe Kelly'!A994,Base!A:G,7,FALSE)</f>
        <v>VALDENEGRO  GARRIDO, ELVIO</v>
      </c>
      <c r="C1000" s="112" t="str">
        <f>'Informe Kelly'!E994</f>
        <v>08.04.2011</v>
      </c>
      <c r="D1000" s="112" t="e">
        <f>VLOOKUP(A1000,Ingreso!K:P,6,FALSE)</f>
        <v>#N/A</v>
      </c>
      <c r="E1000" s="142" t="e">
        <f>(VLOOKUP(D1000,$D$2:$E$4,2,FALSE))-(IF('Informe Kelly'!H994=$A$2,'Informe Kelly'!F994,VLOOKUP(D1000,$D$2:$E$4,2,FALSE)))</f>
        <v>#N/A</v>
      </c>
      <c r="F1000" s="142" t="e">
        <f>IF('Informe Kelly'!H994=$A$3,'Informe Kelly'!F994,VLOOKUP(D1000,$D$2:$F$4,3,FALSE))-(VLOOKUP(D1000,$D$2:$F$4,3,FALSE))</f>
        <v>#N/A</v>
      </c>
      <c r="G1000" s="137" t="e">
        <f t="shared" si="19"/>
        <v>#N/A</v>
      </c>
    </row>
    <row r="1001" spans="1:7">
      <c r="A1001" s="112" t="str">
        <f>VLOOKUP('Informe Kelly'!A995,Base!A:B,2,FALSE)</f>
        <v>10.849.486-7</v>
      </c>
      <c r="B1001" s="112" t="str">
        <f>VLOOKUP('Informe Kelly'!A995,Base!A:G,7,FALSE)</f>
        <v>VALDENEGRO  GARRIDO, ELVIO</v>
      </c>
      <c r="C1001" s="112" t="str">
        <f>'Informe Kelly'!E995</f>
        <v>08.04.2011</v>
      </c>
      <c r="D1001" s="112" t="e">
        <f>VLOOKUP(A1001,Ingreso!K:P,6,FALSE)</f>
        <v>#N/A</v>
      </c>
      <c r="E1001" s="142" t="e">
        <f>(VLOOKUP(D1001,$D$2:$E$4,2,FALSE))-(IF('Informe Kelly'!H995=$A$2,'Informe Kelly'!F995,VLOOKUP(D1001,$D$2:$E$4,2,FALSE)))</f>
        <v>#N/A</v>
      </c>
      <c r="F1001" s="142" t="e">
        <f>IF('Informe Kelly'!H995=$A$3,'Informe Kelly'!F995,VLOOKUP(D1001,$D$2:$F$4,3,FALSE))-(VLOOKUP(D1001,$D$2:$F$4,3,FALSE))</f>
        <v>#N/A</v>
      </c>
      <c r="G1001" s="137" t="e">
        <f t="shared" si="19"/>
        <v>#N/A</v>
      </c>
    </row>
    <row r="1002" spans="1:7">
      <c r="A1002" s="112" t="str">
        <f>VLOOKUP('Informe Kelly'!A996,Base!A:B,2,FALSE)</f>
        <v>10.849.486-7</v>
      </c>
      <c r="B1002" s="112" t="str">
        <f>VLOOKUP('Informe Kelly'!A996,Base!A:G,7,FALSE)</f>
        <v>VALDENEGRO  GARRIDO, ELVIO</v>
      </c>
      <c r="C1002" s="112" t="str">
        <f>'Informe Kelly'!E996</f>
        <v>09.04.2011</v>
      </c>
      <c r="D1002" s="112" t="e">
        <f>VLOOKUP(A1002,Ingreso!K:P,6,FALSE)</f>
        <v>#N/A</v>
      </c>
      <c r="E1002" s="142" t="e">
        <f>(VLOOKUP(D1002,$D$2:$E$4,2,FALSE))-(IF('Informe Kelly'!H996=$A$2,'Informe Kelly'!F996,VLOOKUP(D1002,$D$2:$E$4,2,FALSE)))</f>
        <v>#N/A</v>
      </c>
      <c r="F1002" s="142" t="e">
        <f>IF('Informe Kelly'!H996=$A$3,'Informe Kelly'!F996,VLOOKUP(D1002,$D$2:$F$4,3,FALSE))-(VLOOKUP(D1002,$D$2:$F$4,3,FALSE))</f>
        <v>#N/A</v>
      </c>
      <c r="G1002" s="137" t="e">
        <f t="shared" si="19"/>
        <v>#N/A</v>
      </c>
    </row>
    <row r="1003" spans="1:7">
      <c r="A1003" s="112" t="str">
        <f>VLOOKUP('Informe Kelly'!A997,Base!A:B,2,FALSE)</f>
        <v>10.869.222-7</v>
      </c>
      <c r="B1003" s="112" t="str">
        <f>VLOOKUP('Informe Kelly'!A997,Base!A:G,7,FALSE)</f>
        <v>MADRID PINTO MARCO ANTONIO</v>
      </c>
      <c r="C1003" s="112" t="str">
        <f>'Informe Kelly'!E997</f>
        <v>04.04.2011</v>
      </c>
      <c r="D1003" s="112" t="e">
        <f>VLOOKUP(A1003,Ingreso!K:P,6,FALSE)</f>
        <v>#N/A</v>
      </c>
      <c r="E1003" s="142" t="e">
        <f>(VLOOKUP(D1003,$D$2:$E$4,2,FALSE))-(IF('Informe Kelly'!H997=$A$2,'Informe Kelly'!F997,VLOOKUP(D1003,$D$2:$E$4,2,FALSE)))</f>
        <v>#N/A</v>
      </c>
      <c r="F1003" s="142" t="e">
        <f>IF('Informe Kelly'!H997=$A$3,'Informe Kelly'!F997,VLOOKUP(D1003,$D$2:$F$4,3,FALSE))-(VLOOKUP(D1003,$D$2:$F$4,3,FALSE))</f>
        <v>#N/A</v>
      </c>
      <c r="G1003" s="137" t="e">
        <f t="shared" si="19"/>
        <v>#N/A</v>
      </c>
    </row>
    <row r="1004" spans="1:7">
      <c r="A1004" s="112" t="str">
        <f>VLOOKUP('Informe Kelly'!A998,Base!A:B,2,FALSE)</f>
        <v>10.869.222-7</v>
      </c>
      <c r="B1004" s="112" t="str">
        <f>VLOOKUP('Informe Kelly'!A998,Base!A:G,7,FALSE)</f>
        <v>MADRID PINTO MARCO ANTONIO</v>
      </c>
      <c r="C1004" s="112" t="str">
        <f>'Informe Kelly'!E998</f>
        <v>05.04.2011</v>
      </c>
      <c r="D1004" s="112" t="e">
        <f>VLOOKUP(A1004,Ingreso!K:P,6,FALSE)</f>
        <v>#N/A</v>
      </c>
      <c r="E1004" s="142" t="e">
        <f>(VLOOKUP(D1004,$D$2:$E$4,2,FALSE))-(IF('Informe Kelly'!H998=$A$2,'Informe Kelly'!F998,VLOOKUP(D1004,$D$2:$E$4,2,FALSE)))</f>
        <v>#N/A</v>
      </c>
      <c r="F1004" s="142" t="e">
        <f>IF('Informe Kelly'!H998=$A$3,'Informe Kelly'!F998,VLOOKUP(D1004,$D$2:$F$4,3,FALSE))-(VLOOKUP(D1004,$D$2:$F$4,3,FALSE))</f>
        <v>#N/A</v>
      </c>
      <c r="G1004" s="137" t="e">
        <f t="shared" si="19"/>
        <v>#N/A</v>
      </c>
    </row>
    <row r="1005" spans="1:7">
      <c r="A1005" s="112" t="str">
        <f>VLOOKUP('Informe Kelly'!A999,Base!A:B,2,FALSE)</f>
        <v>10.869.222-7</v>
      </c>
      <c r="B1005" s="112" t="str">
        <f>VLOOKUP('Informe Kelly'!A999,Base!A:G,7,FALSE)</f>
        <v>MADRID PINTO MARCO ANTONIO</v>
      </c>
      <c r="C1005" s="112" t="str">
        <f>'Informe Kelly'!E999</f>
        <v>05.04.2011</v>
      </c>
      <c r="D1005" s="112" t="e">
        <f>VLOOKUP(A1005,Ingreso!K:P,6,FALSE)</f>
        <v>#N/A</v>
      </c>
      <c r="E1005" s="142" t="e">
        <f>(VLOOKUP(D1005,$D$2:$E$4,2,FALSE))-(IF('Informe Kelly'!H999=$A$2,'Informe Kelly'!F999,VLOOKUP(D1005,$D$2:$E$4,2,FALSE)))</f>
        <v>#N/A</v>
      </c>
      <c r="F1005" s="142" t="e">
        <f>IF('Informe Kelly'!H999=$A$3,'Informe Kelly'!F999,VLOOKUP(D1005,$D$2:$F$4,3,FALSE))-(VLOOKUP(D1005,$D$2:$F$4,3,FALSE))</f>
        <v>#N/A</v>
      </c>
      <c r="G1005" s="137" t="e">
        <f t="shared" si="19"/>
        <v>#N/A</v>
      </c>
    </row>
    <row r="1006" spans="1:7">
      <c r="A1006" s="112" t="str">
        <f>VLOOKUP('Informe Kelly'!A1000,Base!A:B,2,FALSE)</f>
        <v>10.869.222-7</v>
      </c>
      <c r="B1006" s="112" t="str">
        <f>VLOOKUP('Informe Kelly'!A1000,Base!A:G,7,FALSE)</f>
        <v>MADRID PINTO MARCO ANTONIO</v>
      </c>
      <c r="C1006" s="112" t="str">
        <f>'Informe Kelly'!E1000</f>
        <v>06.04.2011</v>
      </c>
      <c r="D1006" s="112" t="e">
        <f>VLOOKUP(A1006,Ingreso!K:P,6,FALSE)</f>
        <v>#N/A</v>
      </c>
      <c r="E1006" s="142" t="e">
        <f>(VLOOKUP(D1006,$D$2:$E$4,2,FALSE))-(IF('Informe Kelly'!H1000=$A$2,'Informe Kelly'!F1000,VLOOKUP(D1006,$D$2:$E$4,2,FALSE)))</f>
        <v>#N/A</v>
      </c>
      <c r="F1006" s="142" t="e">
        <f>IF('Informe Kelly'!H1000=$A$3,'Informe Kelly'!F1000,VLOOKUP(D1006,$D$2:$F$4,3,FALSE))-(VLOOKUP(D1006,$D$2:$F$4,3,FALSE))</f>
        <v>#N/A</v>
      </c>
      <c r="G1006" s="137" t="e">
        <f t="shared" si="19"/>
        <v>#N/A</v>
      </c>
    </row>
    <row r="1007" spans="1:7">
      <c r="A1007" s="112" t="str">
        <f>VLOOKUP('Informe Kelly'!A1001,Base!A:B,2,FALSE)</f>
        <v>10.869.222-7</v>
      </c>
      <c r="B1007" s="112" t="str">
        <f>VLOOKUP('Informe Kelly'!A1001,Base!A:G,7,FALSE)</f>
        <v>MADRID PINTO MARCO ANTONIO</v>
      </c>
      <c r="C1007" s="112" t="str">
        <f>'Informe Kelly'!E1001</f>
        <v>06.04.2011</v>
      </c>
      <c r="D1007" s="112" t="e">
        <f>VLOOKUP(A1007,Ingreso!K:P,6,FALSE)</f>
        <v>#N/A</v>
      </c>
      <c r="E1007" s="142" t="e">
        <f>(VLOOKUP(D1007,$D$2:$E$4,2,FALSE))-(IF('Informe Kelly'!H1001=$A$2,'Informe Kelly'!F1001,VLOOKUP(D1007,$D$2:$E$4,2,FALSE)))</f>
        <v>#N/A</v>
      </c>
      <c r="F1007" s="142" t="e">
        <f>IF('Informe Kelly'!H1001=$A$3,'Informe Kelly'!F1001,VLOOKUP(D1007,$D$2:$F$4,3,FALSE))-(VLOOKUP(D1007,$D$2:$F$4,3,FALSE))</f>
        <v>#N/A</v>
      </c>
      <c r="G1007" s="137" t="e">
        <f t="shared" si="19"/>
        <v>#N/A</v>
      </c>
    </row>
    <row r="1008" spans="1:7">
      <c r="A1008" s="112" t="str">
        <f>VLOOKUP('Informe Kelly'!A1002,Base!A:B,2,FALSE)</f>
        <v>10.869.222-7</v>
      </c>
      <c r="B1008" s="112" t="str">
        <f>VLOOKUP('Informe Kelly'!A1002,Base!A:G,7,FALSE)</f>
        <v>MADRID PINTO MARCO ANTONIO</v>
      </c>
      <c r="C1008" s="112" t="str">
        <f>'Informe Kelly'!E1002</f>
        <v>07.04.2011</v>
      </c>
      <c r="D1008" s="112" t="e">
        <f>VLOOKUP(A1008,Ingreso!K:P,6,FALSE)</f>
        <v>#N/A</v>
      </c>
      <c r="E1008" s="142" t="e">
        <f>(VLOOKUP(D1008,$D$2:$E$4,2,FALSE))-(IF('Informe Kelly'!H1002=$A$2,'Informe Kelly'!F1002,VLOOKUP(D1008,$D$2:$E$4,2,FALSE)))</f>
        <v>#N/A</v>
      </c>
      <c r="F1008" s="142" t="e">
        <f>IF('Informe Kelly'!H1002=$A$3,'Informe Kelly'!F1002,VLOOKUP(D1008,$D$2:$F$4,3,FALSE))-(VLOOKUP(D1008,$D$2:$F$4,3,FALSE))</f>
        <v>#N/A</v>
      </c>
      <c r="G1008" s="137" t="e">
        <f t="shared" si="19"/>
        <v>#N/A</v>
      </c>
    </row>
    <row r="1009" spans="1:7">
      <c r="A1009" s="112" t="str">
        <f>VLOOKUP('Informe Kelly'!A1003,Base!A:B,2,FALSE)</f>
        <v>10.869.222-7</v>
      </c>
      <c r="B1009" s="112" t="str">
        <f>VLOOKUP('Informe Kelly'!A1003,Base!A:G,7,FALSE)</f>
        <v>MADRID PINTO MARCO ANTONIO</v>
      </c>
      <c r="C1009" s="112" t="str">
        <f>'Informe Kelly'!E1003</f>
        <v>07.04.2011</v>
      </c>
      <c r="D1009" s="112" t="e">
        <f>VLOOKUP(A1009,Ingreso!K:P,6,FALSE)</f>
        <v>#N/A</v>
      </c>
      <c r="E1009" s="142" t="e">
        <f>(VLOOKUP(D1009,$D$2:$E$4,2,FALSE))-(IF('Informe Kelly'!H1003=$A$2,'Informe Kelly'!F1003,VLOOKUP(D1009,$D$2:$E$4,2,FALSE)))</f>
        <v>#N/A</v>
      </c>
      <c r="F1009" s="142" t="e">
        <f>IF('Informe Kelly'!H1003=$A$3,'Informe Kelly'!F1003,VLOOKUP(D1009,$D$2:$F$4,3,FALSE))-(VLOOKUP(D1009,$D$2:$F$4,3,FALSE))</f>
        <v>#N/A</v>
      </c>
      <c r="G1009" s="137" t="e">
        <f t="shared" si="19"/>
        <v>#N/A</v>
      </c>
    </row>
    <row r="1010" spans="1:7">
      <c r="A1010" s="112" t="str">
        <f>VLOOKUP('Informe Kelly'!A1004,Base!A:B,2,FALSE)</f>
        <v>10.869.222-7</v>
      </c>
      <c r="B1010" s="112" t="str">
        <f>VLOOKUP('Informe Kelly'!A1004,Base!A:G,7,FALSE)</f>
        <v>MADRID PINTO MARCO ANTONIO</v>
      </c>
      <c r="C1010" s="112" t="str">
        <f>'Informe Kelly'!E1004</f>
        <v>08.04.2011</v>
      </c>
      <c r="D1010" s="112" t="e">
        <f>VLOOKUP(A1010,Ingreso!K:P,6,FALSE)</f>
        <v>#N/A</v>
      </c>
      <c r="E1010" s="142" t="e">
        <f>(VLOOKUP(D1010,$D$2:$E$4,2,FALSE))-(IF('Informe Kelly'!H1004=$A$2,'Informe Kelly'!F1004,VLOOKUP(D1010,$D$2:$E$4,2,FALSE)))</f>
        <v>#N/A</v>
      </c>
      <c r="F1010" s="142" t="e">
        <f>IF('Informe Kelly'!H1004=$A$3,'Informe Kelly'!F1004,VLOOKUP(D1010,$D$2:$F$4,3,FALSE))-(VLOOKUP(D1010,$D$2:$F$4,3,FALSE))</f>
        <v>#N/A</v>
      </c>
      <c r="G1010" s="137" t="e">
        <f t="shared" si="19"/>
        <v>#N/A</v>
      </c>
    </row>
    <row r="1011" spans="1:7">
      <c r="A1011" s="112" t="str">
        <f>VLOOKUP('Informe Kelly'!A1005,Base!A:B,2,FALSE)</f>
        <v>10.869.222-7</v>
      </c>
      <c r="B1011" s="112" t="str">
        <f>VLOOKUP('Informe Kelly'!A1005,Base!A:G,7,FALSE)</f>
        <v>MADRID PINTO MARCO ANTONIO</v>
      </c>
      <c r="C1011" s="112" t="str">
        <f>'Informe Kelly'!E1005</f>
        <v>08.04.2011</v>
      </c>
      <c r="D1011" s="112" t="e">
        <f>VLOOKUP(A1011,Ingreso!K:P,6,FALSE)</f>
        <v>#N/A</v>
      </c>
      <c r="E1011" s="142" t="e">
        <f>(VLOOKUP(D1011,$D$2:$E$4,2,FALSE))-(IF('Informe Kelly'!H1005=$A$2,'Informe Kelly'!F1005,VLOOKUP(D1011,$D$2:$E$4,2,FALSE)))</f>
        <v>#N/A</v>
      </c>
      <c r="F1011" s="142" t="e">
        <f>IF('Informe Kelly'!H1005=$A$3,'Informe Kelly'!F1005,VLOOKUP(D1011,$D$2:$F$4,3,FALSE))-(VLOOKUP(D1011,$D$2:$F$4,3,FALSE))</f>
        <v>#N/A</v>
      </c>
      <c r="G1011" s="137" t="e">
        <f t="shared" si="19"/>
        <v>#N/A</v>
      </c>
    </row>
    <row r="1012" spans="1:7">
      <c r="A1012" s="112" t="str">
        <f>VLOOKUP('Informe Kelly'!A1006,Base!A:B,2,FALSE)</f>
        <v>10.869.222-7</v>
      </c>
      <c r="B1012" s="112" t="str">
        <f>VLOOKUP('Informe Kelly'!A1006,Base!A:G,7,FALSE)</f>
        <v>MADRID PINTO MARCO ANTONIO</v>
      </c>
      <c r="C1012" s="112" t="str">
        <f>'Informe Kelly'!E1006</f>
        <v>09.04.2011</v>
      </c>
      <c r="D1012" s="112" t="e">
        <f>VLOOKUP(A1012,Ingreso!K:P,6,FALSE)</f>
        <v>#N/A</v>
      </c>
      <c r="E1012" s="142" t="e">
        <f>(VLOOKUP(D1012,$D$2:$E$4,2,FALSE))-(IF('Informe Kelly'!H1006=$A$2,'Informe Kelly'!F1006,VLOOKUP(D1012,$D$2:$E$4,2,FALSE)))</f>
        <v>#N/A</v>
      </c>
      <c r="F1012" s="142" t="e">
        <f>IF('Informe Kelly'!H1006=$A$3,'Informe Kelly'!F1006,VLOOKUP(D1012,$D$2:$F$4,3,FALSE))-(VLOOKUP(D1012,$D$2:$F$4,3,FALSE))</f>
        <v>#N/A</v>
      </c>
      <c r="G1012" s="137" t="e">
        <f t="shared" si="19"/>
        <v>#N/A</v>
      </c>
    </row>
    <row r="1013" spans="1:7">
      <c r="A1013" s="112" t="str">
        <f>VLOOKUP('Informe Kelly'!A1007,Base!A:B,2,FALSE)</f>
        <v>10.874.066-3</v>
      </c>
      <c r="B1013" s="112" t="str">
        <f>VLOOKUP('Informe Kelly'!A1007,Base!A:G,7,FALSE)</f>
        <v>DIAZ  HENRIQUEZ,CRISTIAN</v>
      </c>
      <c r="C1013" s="112" t="str">
        <f>'Informe Kelly'!E1007</f>
        <v>04.04.2011</v>
      </c>
      <c r="D1013" s="112" t="e">
        <f>VLOOKUP(A1013,Ingreso!K:P,6,FALSE)</f>
        <v>#N/A</v>
      </c>
      <c r="E1013" s="142" t="e">
        <f>(VLOOKUP(D1013,$D$2:$E$4,2,FALSE))-(IF('Informe Kelly'!H1007=$A$2,'Informe Kelly'!F1007,VLOOKUP(D1013,$D$2:$E$4,2,FALSE)))</f>
        <v>#N/A</v>
      </c>
      <c r="F1013" s="142" t="e">
        <f>IF('Informe Kelly'!H1007=$A$3,'Informe Kelly'!F1007,VLOOKUP(D1013,$D$2:$F$4,3,FALSE))-(VLOOKUP(D1013,$D$2:$F$4,3,FALSE))</f>
        <v>#N/A</v>
      </c>
      <c r="G1013" s="137" t="e">
        <f t="shared" si="19"/>
        <v>#N/A</v>
      </c>
    </row>
    <row r="1014" spans="1:7">
      <c r="A1014" s="112" t="str">
        <f>VLOOKUP('Informe Kelly'!A1008,Base!A:B,2,FALSE)</f>
        <v>10.874.066-3</v>
      </c>
      <c r="B1014" s="112" t="str">
        <f>VLOOKUP('Informe Kelly'!A1008,Base!A:G,7,FALSE)</f>
        <v>DIAZ  HENRIQUEZ,CRISTIAN</v>
      </c>
      <c r="C1014" s="112" t="str">
        <f>'Informe Kelly'!E1008</f>
        <v>04.04.2011</v>
      </c>
      <c r="D1014" s="112" t="e">
        <f>VLOOKUP(A1014,Ingreso!K:P,6,FALSE)</f>
        <v>#N/A</v>
      </c>
      <c r="E1014" s="142" t="e">
        <f>(VLOOKUP(D1014,$D$2:$E$4,2,FALSE))-(IF('Informe Kelly'!H1008=$A$2,'Informe Kelly'!F1008,VLOOKUP(D1014,$D$2:$E$4,2,FALSE)))</f>
        <v>#N/A</v>
      </c>
      <c r="F1014" s="142" t="e">
        <f>IF('Informe Kelly'!H1008=$A$3,'Informe Kelly'!F1008,VLOOKUP(D1014,$D$2:$F$4,3,FALSE))-(VLOOKUP(D1014,$D$2:$F$4,3,FALSE))</f>
        <v>#N/A</v>
      </c>
      <c r="G1014" s="137" t="e">
        <f t="shared" si="19"/>
        <v>#N/A</v>
      </c>
    </row>
    <row r="1015" spans="1:7">
      <c r="A1015" s="112" t="str">
        <f>VLOOKUP('Informe Kelly'!A1009,Base!A:B,2,FALSE)</f>
        <v>10.874.066-3</v>
      </c>
      <c r="B1015" s="112" t="str">
        <f>VLOOKUP('Informe Kelly'!A1009,Base!A:G,7,FALSE)</f>
        <v>DIAZ  HENRIQUEZ,CRISTIAN</v>
      </c>
      <c r="C1015" s="112" t="str">
        <f>'Informe Kelly'!E1009</f>
        <v>05.04.2011</v>
      </c>
      <c r="D1015" s="112" t="e">
        <f>VLOOKUP(A1015,Ingreso!K:P,6,FALSE)</f>
        <v>#N/A</v>
      </c>
      <c r="E1015" s="142" t="e">
        <f>(VLOOKUP(D1015,$D$2:$E$4,2,FALSE))-(IF('Informe Kelly'!H1009=$A$2,'Informe Kelly'!F1009,VLOOKUP(D1015,$D$2:$E$4,2,FALSE)))</f>
        <v>#N/A</v>
      </c>
      <c r="F1015" s="142" t="e">
        <f>IF('Informe Kelly'!H1009=$A$3,'Informe Kelly'!F1009,VLOOKUP(D1015,$D$2:$F$4,3,FALSE))-(VLOOKUP(D1015,$D$2:$F$4,3,FALSE))</f>
        <v>#N/A</v>
      </c>
      <c r="G1015" s="137" t="e">
        <f t="shared" si="19"/>
        <v>#N/A</v>
      </c>
    </row>
    <row r="1016" spans="1:7">
      <c r="A1016" s="112" t="str">
        <f>VLOOKUP('Informe Kelly'!A1010,Base!A:B,2,FALSE)</f>
        <v>10.874.066-3</v>
      </c>
      <c r="B1016" s="112" t="str">
        <f>VLOOKUP('Informe Kelly'!A1010,Base!A:G,7,FALSE)</f>
        <v>DIAZ  HENRIQUEZ,CRISTIAN</v>
      </c>
      <c r="C1016" s="112" t="str">
        <f>'Informe Kelly'!E1010</f>
        <v>05.04.2011</v>
      </c>
      <c r="D1016" s="112" t="e">
        <f>VLOOKUP(A1016,Ingreso!K:P,6,FALSE)</f>
        <v>#N/A</v>
      </c>
      <c r="E1016" s="142" t="e">
        <f>(VLOOKUP(D1016,$D$2:$E$4,2,FALSE))-(IF('Informe Kelly'!H1010=$A$2,'Informe Kelly'!F1010,VLOOKUP(D1016,$D$2:$E$4,2,FALSE)))</f>
        <v>#N/A</v>
      </c>
      <c r="F1016" s="142" t="e">
        <f>IF('Informe Kelly'!H1010=$A$3,'Informe Kelly'!F1010,VLOOKUP(D1016,$D$2:$F$4,3,FALSE))-(VLOOKUP(D1016,$D$2:$F$4,3,FALSE))</f>
        <v>#N/A</v>
      </c>
      <c r="G1016" s="137" t="e">
        <f t="shared" si="19"/>
        <v>#N/A</v>
      </c>
    </row>
    <row r="1017" spans="1:7">
      <c r="A1017" s="112" t="str">
        <f>VLOOKUP('Informe Kelly'!A1011,Base!A:B,2,FALSE)</f>
        <v>10.874.066-3</v>
      </c>
      <c r="B1017" s="112" t="str">
        <f>VLOOKUP('Informe Kelly'!A1011,Base!A:G,7,FALSE)</f>
        <v>DIAZ  HENRIQUEZ,CRISTIAN</v>
      </c>
      <c r="C1017" s="112" t="str">
        <f>'Informe Kelly'!E1011</f>
        <v>06.04.2011</v>
      </c>
      <c r="D1017" s="112" t="e">
        <f>VLOOKUP(A1017,Ingreso!K:P,6,FALSE)</f>
        <v>#N/A</v>
      </c>
      <c r="E1017" s="142" t="e">
        <f>(VLOOKUP(D1017,$D$2:$E$4,2,FALSE))-(IF('Informe Kelly'!H1011=$A$2,'Informe Kelly'!F1011,VLOOKUP(D1017,$D$2:$E$4,2,FALSE)))</f>
        <v>#N/A</v>
      </c>
      <c r="F1017" s="142" t="e">
        <f>IF('Informe Kelly'!H1011=$A$3,'Informe Kelly'!F1011,VLOOKUP(D1017,$D$2:$F$4,3,FALSE))-(VLOOKUP(D1017,$D$2:$F$4,3,FALSE))</f>
        <v>#N/A</v>
      </c>
      <c r="G1017" s="137" t="e">
        <f t="shared" si="19"/>
        <v>#N/A</v>
      </c>
    </row>
    <row r="1018" spans="1:7">
      <c r="A1018" s="112" t="str">
        <f>VLOOKUP('Informe Kelly'!A1012,Base!A:B,2,FALSE)</f>
        <v>10.874.066-3</v>
      </c>
      <c r="B1018" s="112" t="str">
        <f>VLOOKUP('Informe Kelly'!A1012,Base!A:G,7,FALSE)</f>
        <v>DIAZ  HENRIQUEZ,CRISTIAN</v>
      </c>
      <c r="C1018" s="112" t="str">
        <f>'Informe Kelly'!E1012</f>
        <v>06.04.2011</v>
      </c>
      <c r="D1018" s="112" t="e">
        <f>VLOOKUP(A1018,Ingreso!K:P,6,FALSE)</f>
        <v>#N/A</v>
      </c>
      <c r="E1018" s="142" t="e">
        <f>(VLOOKUP(D1018,$D$2:$E$4,2,FALSE))-(IF('Informe Kelly'!H1012=$A$2,'Informe Kelly'!F1012,VLOOKUP(D1018,$D$2:$E$4,2,FALSE)))</f>
        <v>#N/A</v>
      </c>
      <c r="F1018" s="142" t="e">
        <f>IF('Informe Kelly'!H1012=$A$3,'Informe Kelly'!F1012,VLOOKUP(D1018,$D$2:$F$4,3,FALSE))-(VLOOKUP(D1018,$D$2:$F$4,3,FALSE))</f>
        <v>#N/A</v>
      </c>
      <c r="G1018" s="137" t="e">
        <f t="shared" si="19"/>
        <v>#N/A</v>
      </c>
    </row>
    <row r="1019" spans="1:7">
      <c r="A1019" s="112" t="str">
        <f>VLOOKUP('Informe Kelly'!A1013,Base!A:B,2,FALSE)</f>
        <v>10.874.066-3</v>
      </c>
      <c r="B1019" s="112" t="str">
        <f>VLOOKUP('Informe Kelly'!A1013,Base!A:G,7,FALSE)</f>
        <v>DIAZ  HENRIQUEZ,CRISTIAN</v>
      </c>
      <c r="C1019" s="112" t="str">
        <f>'Informe Kelly'!E1013</f>
        <v>07.04.2011</v>
      </c>
      <c r="D1019" s="112" t="e">
        <f>VLOOKUP(A1019,Ingreso!K:P,6,FALSE)</f>
        <v>#N/A</v>
      </c>
      <c r="E1019" s="142" t="e">
        <f>(VLOOKUP(D1019,$D$2:$E$4,2,FALSE))-(IF('Informe Kelly'!H1013=$A$2,'Informe Kelly'!F1013,VLOOKUP(D1019,$D$2:$E$4,2,FALSE)))</f>
        <v>#N/A</v>
      </c>
      <c r="F1019" s="142" t="e">
        <f>IF('Informe Kelly'!H1013=$A$3,'Informe Kelly'!F1013,VLOOKUP(D1019,$D$2:$F$4,3,FALSE))-(VLOOKUP(D1019,$D$2:$F$4,3,FALSE))</f>
        <v>#N/A</v>
      </c>
      <c r="G1019" s="137" t="e">
        <f t="shared" si="19"/>
        <v>#N/A</v>
      </c>
    </row>
    <row r="1020" spans="1:7">
      <c r="A1020" s="112" t="str">
        <f>VLOOKUP('Informe Kelly'!A1014,Base!A:B,2,FALSE)</f>
        <v>10.874.066-3</v>
      </c>
      <c r="B1020" s="112" t="str">
        <f>VLOOKUP('Informe Kelly'!A1014,Base!A:G,7,FALSE)</f>
        <v>DIAZ  HENRIQUEZ,CRISTIAN</v>
      </c>
      <c r="C1020" s="112" t="str">
        <f>'Informe Kelly'!E1014</f>
        <v>07.04.2011</v>
      </c>
      <c r="D1020" s="112" t="e">
        <f>VLOOKUP(A1020,Ingreso!K:P,6,FALSE)</f>
        <v>#N/A</v>
      </c>
      <c r="E1020" s="142" t="e">
        <f>(VLOOKUP(D1020,$D$2:$E$4,2,FALSE))-(IF('Informe Kelly'!H1014=$A$2,'Informe Kelly'!F1014,VLOOKUP(D1020,$D$2:$E$4,2,FALSE)))</f>
        <v>#N/A</v>
      </c>
      <c r="F1020" s="142" t="e">
        <f>IF('Informe Kelly'!H1014=$A$3,'Informe Kelly'!F1014,VLOOKUP(D1020,$D$2:$F$4,3,FALSE))-(VLOOKUP(D1020,$D$2:$F$4,3,FALSE))</f>
        <v>#N/A</v>
      </c>
      <c r="G1020" s="137" t="e">
        <f t="shared" si="19"/>
        <v>#N/A</v>
      </c>
    </row>
    <row r="1021" spans="1:7">
      <c r="A1021" s="112" t="str">
        <f>VLOOKUP('Informe Kelly'!A1015,Base!A:B,2,FALSE)</f>
        <v>10.874.066-3</v>
      </c>
      <c r="B1021" s="112" t="str">
        <f>VLOOKUP('Informe Kelly'!A1015,Base!A:G,7,FALSE)</f>
        <v>DIAZ  HENRIQUEZ,CRISTIAN</v>
      </c>
      <c r="C1021" s="112" t="str">
        <f>'Informe Kelly'!E1015</f>
        <v>08.04.2011</v>
      </c>
      <c r="D1021" s="112" t="e">
        <f>VLOOKUP(A1021,Ingreso!K:P,6,FALSE)</f>
        <v>#N/A</v>
      </c>
      <c r="E1021" s="142" t="e">
        <f>(VLOOKUP(D1021,$D$2:$E$4,2,FALSE))-(IF('Informe Kelly'!H1015=$A$2,'Informe Kelly'!F1015,VLOOKUP(D1021,$D$2:$E$4,2,FALSE)))</f>
        <v>#N/A</v>
      </c>
      <c r="F1021" s="142" t="e">
        <f>IF('Informe Kelly'!H1015=$A$3,'Informe Kelly'!F1015,VLOOKUP(D1021,$D$2:$F$4,3,FALSE))-(VLOOKUP(D1021,$D$2:$F$4,3,FALSE))</f>
        <v>#N/A</v>
      </c>
      <c r="G1021" s="137" t="e">
        <f t="shared" si="19"/>
        <v>#N/A</v>
      </c>
    </row>
    <row r="1022" spans="1:7">
      <c r="A1022" s="112" t="str">
        <f>VLOOKUP('Informe Kelly'!A1016,Base!A:B,2,FALSE)</f>
        <v>10.874.066-3</v>
      </c>
      <c r="B1022" s="112" t="str">
        <f>VLOOKUP('Informe Kelly'!A1016,Base!A:G,7,FALSE)</f>
        <v>DIAZ  HENRIQUEZ,CRISTIAN</v>
      </c>
      <c r="C1022" s="112" t="str">
        <f>'Informe Kelly'!E1016</f>
        <v>08.04.2011</v>
      </c>
      <c r="D1022" s="112" t="e">
        <f>VLOOKUP(A1022,Ingreso!K:P,6,FALSE)</f>
        <v>#N/A</v>
      </c>
      <c r="E1022" s="142" t="e">
        <f>(VLOOKUP(D1022,$D$2:$E$4,2,FALSE))-(IF('Informe Kelly'!H1016=$A$2,'Informe Kelly'!F1016,VLOOKUP(D1022,$D$2:$E$4,2,FALSE)))</f>
        <v>#N/A</v>
      </c>
      <c r="F1022" s="142" t="e">
        <f>IF('Informe Kelly'!H1016=$A$3,'Informe Kelly'!F1016,VLOOKUP(D1022,$D$2:$F$4,3,FALSE))-(VLOOKUP(D1022,$D$2:$F$4,3,FALSE))</f>
        <v>#N/A</v>
      </c>
      <c r="G1022" s="137" t="e">
        <f t="shared" si="19"/>
        <v>#N/A</v>
      </c>
    </row>
    <row r="1023" spans="1:7">
      <c r="A1023" s="112" t="str">
        <f>VLOOKUP('Informe Kelly'!A1017,Base!A:B,2,FALSE)</f>
        <v>10.874.066-3</v>
      </c>
      <c r="B1023" s="112" t="str">
        <f>VLOOKUP('Informe Kelly'!A1017,Base!A:G,7,FALSE)</f>
        <v>DIAZ  HENRIQUEZ,CRISTIAN</v>
      </c>
      <c r="C1023" s="112" t="str">
        <f>'Informe Kelly'!E1017</f>
        <v>09.04.2011</v>
      </c>
      <c r="D1023" s="112" t="e">
        <f>VLOOKUP(A1023,Ingreso!K:P,6,FALSE)</f>
        <v>#N/A</v>
      </c>
      <c r="E1023" s="142" t="e">
        <f>(VLOOKUP(D1023,$D$2:$E$4,2,FALSE))-(IF('Informe Kelly'!H1017=$A$2,'Informe Kelly'!F1017,VLOOKUP(D1023,$D$2:$E$4,2,FALSE)))</f>
        <v>#N/A</v>
      </c>
      <c r="F1023" s="142" t="e">
        <f>IF('Informe Kelly'!H1017=$A$3,'Informe Kelly'!F1017,VLOOKUP(D1023,$D$2:$F$4,3,FALSE))-(VLOOKUP(D1023,$D$2:$F$4,3,FALSE))</f>
        <v>#N/A</v>
      </c>
      <c r="G1023" s="137" t="e">
        <f t="shared" si="19"/>
        <v>#N/A</v>
      </c>
    </row>
    <row r="1024" spans="1:7">
      <c r="A1024" s="112" t="str">
        <f>VLOOKUP('Informe Kelly'!A1018,Base!A:B,2,FALSE)</f>
        <v>10.874.066-3</v>
      </c>
      <c r="B1024" s="112" t="str">
        <f>VLOOKUP('Informe Kelly'!A1018,Base!A:G,7,FALSE)</f>
        <v>DIAZ  HENRIQUEZ,CRISTIAN</v>
      </c>
      <c r="C1024" s="112" t="str">
        <f>'Informe Kelly'!E1018</f>
        <v>09.04.2011</v>
      </c>
      <c r="D1024" s="112" t="e">
        <f>VLOOKUP(A1024,Ingreso!K:P,6,FALSE)</f>
        <v>#N/A</v>
      </c>
      <c r="E1024" s="142" t="e">
        <f>(VLOOKUP(D1024,$D$2:$E$4,2,FALSE))-(IF('Informe Kelly'!H1018=$A$2,'Informe Kelly'!F1018,VLOOKUP(D1024,$D$2:$E$4,2,FALSE)))</f>
        <v>#N/A</v>
      </c>
      <c r="F1024" s="142" t="e">
        <f>IF('Informe Kelly'!H1018=$A$3,'Informe Kelly'!F1018,VLOOKUP(D1024,$D$2:$F$4,3,FALSE))-(VLOOKUP(D1024,$D$2:$F$4,3,FALSE))</f>
        <v>#N/A</v>
      </c>
      <c r="G1024" s="137" t="e">
        <f t="shared" si="19"/>
        <v>#N/A</v>
      </c>
    </row>
    <row r="1025" spans="1:7">
      <c r="A1025" s="112" t="str">
        <f>VLOOKUP('Informe Kelly'!A1019,Base!A:B,2,FALSE)</f>
        <v>10.876.404-K</v>
      </c>
      <c r="B1025" s="112" t="str">
        <f>VLOOKUP('Informe Kelly'!A1019,Base!A:G,7,FALSE)</f>
        <v>PALMA  MIRANDA,LUIS RAFAEL</v>
      </c>
      <c r="C1025" s="112" t="str">
        <f>'Informe Kelly'!E1019</f>
        <v>04.04.2011</v>
      </c>
      <c r="D1025" s="112" t="e">
        <f>VLOOKUP(A1025,Ingreso!K:P,6,FALSE)</f>
        <v>#N/A</v>
      </c>
      <c r="E1025" s="142" t="e">
        <f>(VLOOKUP(D1025,$D$2:$E$4,2,FALSE))-(IF('Informe Kelly'!H1019=$A$2,'Informe Kelly'!F1019,VLOOKUP(D1025,$D$2:$E$4,2,FALSE)))</f>
        <v>#N/A</v>
      </c>
      <c r="F1025" s="142" t="e">
        <f>IF('Informe Kelly'!H1019=$A$3,'Informe Kelly'!F1019,VLOOKUP(D1025,$D$2:$F$4,3,FALSE))-(VLOOKUP(D1025,$D$2:$F$4,3,FALSE))</f>
        <v>#N/A</v>
      </c>
      <c r="G1025" s="137" t="e">
        <f t="shared" si="19"/>
        <v>#N/A</v>
      </c>
    </row>
    <row r="1026" spans="1:7">
      <c r="A1026" s="112" t="str">
        <f>VLOOKUP('Informe Kelly'!A1020,Base!A:B,2,FALSE)</f>
        <v>10.876.404-K</v>
      </c>
      <c r="B1026" s="112" t="str">
        <f>VLOOKUP('Informe Kelly'!A1020,Base!A:G,7,FALSE)</f>
        <v>PALMA  MIRANDA,LUIS RAFAEL</v>
      </c>
      <c r="C1026" s="112" t="str">
        <f>'Informe Kelly'!E1020</f>
        <v>04.04.2011</v>
      </c>
      <c r="D1026" s="112" t="e">
        <f>VLOOKUP(A1026,Ingreso!K:P,6,FALSE)</f>
        <v>#N/A</v>
      </c>
      <c r="E1026" s="142" t="e">
        <f>(VLOOKUP(D1026,$D$2:$E$4,2,FALSE))-(IF('Informe Kelly'!H1020=$A$2,'Informe Kelly'!F1020,VLOOKUP(D1026,$D$2:$E$4,2,FALSE)))</f>
        <v>#N/A</v>
      </c>
      <c r="F1026" s="142" t="e">
        <f>IF('Informe Kelly'!H1020=$A$3,'Informe Kelly'!F1020,VLOOKUP(D1026,$D$2:$F$4,3,FALSE))-(VLOOKUP(D1026,$D$2:$F$4,3,FALSE))</f>
        <v>#N/A</v>
      </c>
      <c r="G1026" s="137" t="e">
        <f t="shared" si="19"/>
        <v>#N/A</v>
      </c>
    </row>
    <row r="1027" spans="1:7">
      <c r="A1027" s="112" t="str">
        <f>VLOOKUP('Informe Kelly'!A1021,Base!A:B,2,FALSE)</f>
        <v>10.876.404-K</v>
      </c>
      <c r="B1027" s="112" t="str">
        <f>VLOOKUP('Informe Kelly'!A1021,Base!A:G,7,FALSE)</f>
        <v>PALMA  MIRANDA,LUIS RAFAEL</v>
      </c>
      <c r="C1027" s="112" t="str">
        <f>'Informe Kelly'!E1021</f>
        <v>05.04.2011</v>
      </c>
      <c r="D1027" s="112" t="e">
        <f>VLOOKUP(A1027,Ingreso!K:P,6,FALSE)</f>
        <v>#N/A</v>
      </c>
      <c r="E1027" s="142" t="e">
        <f>(VLOOKUP(D1027,$D$2:$E$4,2,FALSE))-(IF('Informe Kelly'!H1021=$A$2,'Informe Kelly'!F1021,VLOOKUP(D1027,$D$2:$E$4,2,FALSE)))</f>
        <v>#N/A</v>
      </c>
      <c r="F1027" s="142" t="e">
        <f>IF('Informe Kelly'!H1021=$A$3,'Informe Kelly'!F1021,VLOOKUP(D1027,$D$2:$F$4,3,FALSE))-(VLOOKUP(D1027,$D$2:$F$4,3,FALSE))</f>
        <v>#N/A</v>
      </c>
      <c r="G1027" s="137" t="e">
        <f t="shared" si="19"/>
        <v>#N/A</v>
      </c>
    </row>
    <row r="1028" spans="1:7">
      <c r="A1028" s="112" t="str">
        <f>VLOOKUP('Informe Kelly'!A1022,Base!A:B,2,FALSE)</f>
        <v>10.876.404-K</v>
      </c>
      <c r="B1028" s="112" t="str">
        <f>VLOOKUP('Informe Kelly'!A1022,Base!A:G,7,FALSE)</f>
        <v>PALMA  MIRANDA,LUIS RAFAEL</v>
      </c>
      <c r="C1028" s="112" t="str">
        <f>'Informe Kelly'!E1022</f>
        <v>05.04.2011</v>
      </c>
      <c r="D1028" s="112" t="e">
        <f>VLOOKUP(A1028,Ingreso!K:P,6,FALSE)</f>
        <v>#N/A</v>
      </c>
      <c r="E1028" s="142" t="e">
        <f>(VLOOKUP(D1028,$D$2:$E$4,2,FALSE))-(IF('Informe Kelly'!H1022=$A$2,'Informe Kelly'!F1022,VLOOKUP(D1028,$D$2:$E$4,2,FALSE)))</f>
        <v>#N/A</v>
      </c>
      <c r="F1028" s="142" t="e">
        <f>IF('Informe Kelly'!H1022=$A$3,'Informe Kelly'!F1022,VLOOKUP(D1028,$D$2:$F$4,3,FALSE))-(VLOOKUP(D1028,$D$2:$F$4,3,FALSE))</f>
        <v>#N/A</v>
      </c>
      <c r="G1028" s="137" t="e">
        <f t="shared" si="19"/>
        <v>#N/A</v>
      </c>
    </row>
    <row r="1029" spans="1:7">
      <c r="A1029" s="112" t="str">
        <f>VLOOKUP('Informe Kelly'!A1023,Base!A:B,2,FALSE)</f>
        <v>10.876.404-K</v>
      </c>
      <c r="B1029" s="112" t="str">
        <f>VLOOKUP('Informe Kelly'!A1023,Base!A:G,7,FALSE)</f>
        <v>PALMA  MIRANDA,LUIS RAFAEL</v>
      </c>
      <c r="C1029" s="112" t="str">
        <f>'Informe Kelly'!E1023</f>
        <v>06.04.2011</v>
      </c>
      <c r="D1029" s="112" t="e">
        <f>VLOOKUP(A1029,Ingreso!K:P,6,FALSE)</f>
        <v>#N/A</v>
      </c>
      <c r="E1029" s="142" t="e">
        <f>(VLOOKUP(D1029,$D$2:$E$4,2,FALSE))-(IF('Informe Kelly'!H1023=$A$2,'Informe Kelly'!F1023,VLOOKUP(D1029,$D$2:$E$4,2,FALSE)))</f>
        <v>#N/A</v>
      </c>
      <c r="F1029" s="142" t="e">
        <f>IF('Informe Kelly'!H1023=$A$3,'Informe Kelly'!F1023,VLOOKUP(D1029,$D$2:$F$4,3,FALSE))-(VLOOKUP(D1029,$D$2:$F$4,3,FALSE))</f>
        <v>#N/A</v>
      </c>
      <c r="G1029" s="137" t="e">
        <f t="shared" si="19"/>
        <v>#N/A</v>
      </c>
    </row>
    <row r="1030" spans="1:7">
      <c r="A1030" s="112" t="str">
        <f>VLOOKUP('Informe Kelly'!A1024,Base!A:B,2,FALSE)</f>
        <v>10.876.404-K</v>
      </c>
      <c r="B1030" s="112" t="str">
        <f>VLOOKUP('Informe Kelly'!A1024,Base!A:G,7,FALSE)</f>
        <v>PALMA  MIRANDA,LUIS RAFAEL</v>
      </c>
      <c r="C1030" s="112" t="str">
        <f>'Informe Kelly'!E1024</f>
        <v>06.04.2011</v>
      </c>
      <c r="D1030" s="112" t="e">
        <f>VLOOKUP(A1030,Ingreso!K:P,6,FALSE)</f>
        <v>#N/A</v>
      </c>
      <c r="E1030" s="142" t="e">
        <f>(VLOOKUP(D1030,$D$2:$E$4,2,FALSE))-(IF('Informe Kelly'!H1024=$A$2,'Informe Kelly'!F1024,VLOOKUP(D1030,$D$2:$E$4,2,FALSE)))</f>
        <v>#N/A</v>
      </c>
      <c r="F1030" s="142" t="e">
        <f>IF('Informe Kelly'!H1024=$A$3,'Informe Kelly'!F1024,VLOOKUP(D1030,$D$2:$F$4,3,FALSE))-(VLOOKUP(D1030,$D$2:$F$4,3,FALSE))</f>
        <v>#N/A</v>
      </c>
      <c r="G1030" s="137" t="e">
        <f t="shared" si="19"/>
        <v>#N/A</v>
      </c>
    </row>
    <row r="1031" spans="1:7">
      <c r="A1031" s="112" t="str">
        <f>VLOOKUP('Informe Kelly'!A1025,Base!A:B,2,FALSE)</f>
        <v>10.876.404-K</v>
      </c>
      <c r="B1031" s="112" t="str">
        <f>VLOOKUP('Informe Kelly'!A1025,Base!A:G,7,FALSE)</f>
        <v>PALMA  MIRANDA,LUIS RAFAEL</v>
      </c>
      <c r="C1031" s="112" t="str">
        <f>'Informe Kelly'!E1025</f>
        <v>07.04.2011</v>
      </c>
      <c r="D1031" s="112" t="e">
        <f>VLOOKUP(A1031,Ingreso!K:P,6,FALSE)</f>
        <v>#N/A</v>
      </c>
      <c r="E1031" s="142" t="e">
        <f>(VLOOKUP(D1031,$D$2:$E$4,2,FALSE))-(IF('Informe Kelly'!H1025=$A$2,'Informe Kelly'!F1025,VLOOKUP(D1031,$D$2:$E$4,2,FALSE)))</f>
        <v>#N/A</v>
      </c>
      <c r="F1031" s="142" t="e">
        <f>IF('Informe Kelly'!H1025=$A$3,'Informe Kelly'!F1025,VLOOKUP(D1031,$D$2:$F$4,3,FALSE))-(VLOOKUP(D1031,$D$2:$F$4,3,FALSE))</f>
        <v>#N/A</v>
      </c>
      <c r="G1031" s="137" t="e">
        <f t="shared" si="19"/>
        <v>#N/A</v>
      </c>
    </row>
    <row r="1032" spans="1:7">
      <c r="A1032" s="112" t="str">
        <f>VLOOKUP('Informe Kelly'!A1026,Base!A:B,2,FALSE)</f>
        <v>10.876.404-K</v>
      </c>
      <c r="B1032" s="112" t="str">
        <f>VLOOKUP('Informe Kelly'!A1026,Base!A:G,7,FALSE)</f>
        <v>PALMA  MIRANDA,LUIS RAFAEL</v>
      </c>
      <c r="C1032" s="112" t="str">
        <f>'Informe Kelly'!E1026</f>
        <v>07.04.2011</v>
      </c>
      <c r="D1032" s="112" t="e">
        <f>VLOOKUP(A1032,Ingreso!K:P,6,FALSE)</f>
        <v>#N/A</v>
      </c>
      <c r="E1032" s="142" t="e">
        <f>(VLOOKUP(D1032,$D$2:$E$4,2,FALSE))-(IF('Informe Kelly'!H1026=$A$2,'Informe Kelly'!F1026,VLOOKUP(D1032,$D$2:$E$4,2,FALSE)))</f>
        <v>#N/A</v>
      </c>
      <c r="F1032" s="142" t="e">
        <f>IF('Informe Kelly'!H1026=$A$3,'Informe Kelly'!F1026,VLOOKUP(D1032,$D$2:$F$4,3,FALSE))-(VLOOKUP(D1032,$D$2:$F$4,3,FALSE))</f>
        <v>#N/A</v>
      </c>
      <c r="G1032" s="137" t="e">
        <f t="shared" si="19"/>
        <v>#N/A</v>
      </c>
    </row>
    <row r="1033" spans="1:7">
      <c r="A1033" s="112" t="str">
        <f>VLOOKUP('Informe Kelly'!A1027,Base!A:B,2,FALSE)</f>
        <v>10.876.404-K</v>
      </c>
      <c r="B1033" s="112" t="str">
        <f>VLOOKUP('Informe Kelly'!A1027,Base!A:G,7,FALSE)</f>
        <v>PALMA  MIRANDA,LUIS RAFAEL</v>
      </c>
      <c r="C1033" s="112" t="str">
        <f>'Informe Kelly'!E1027</f>
        <v>08.04.2011</v>
      </c>
      <c r="D1033" s="112" t="e">
        <f>VLOOKUP(A1033,Ingreso!K:P,6,FALSE)</f>
        <v>#N/A</v>
      </c>
      <c r="E1033" s="142" t="e">
        <f>(VLOOKUP(D1033,$D$2:$E$4,2,FALSE))-(IF('Informe Kelly'!H1027=$A$2,'Informe Kelly'!F1027,VLOOKUP(D1033,$D$2:$E$4,2,FALSE)))</f>
        <v>#N/A</v>
      </c>
      <c r="F1033" s="142" t="e">
        <f>IF('Informe Kelly'!H1027=$A$3,'Informe Kelly'!F1027,VLOOKUP(D1033,$D$2:$F$4,3,FALSE))-(VLOOKUP(D1033,$D$2:$F$4,3,FALSE))</f>
        <v>#N/A</v>
      </c>
      <c r="G1033" s="137" t="e">
        <f t="shared" ref="G1033:G1096" si="20">IF(E1033="",IF(F1033&lt;0.0409722222222222,0,E1033),IF(E1033&lt;0.0409722222222222,0,E1033))</f>
        <v>#N/A</v>
      </c>
    </row>
    <row r="1034" spans="1:7">
      <c r="A1034" s="112" t="str">
        <f>VLOOKUP('Informe Kelly'!A1028,Base!A:B,2,FALSE)</f>
        <v>10.876.404-K</v>
      </c>
      <c r="B1034" s="112" t="str">
        <f>VLOOKUP('Informe Kelly'!A1028,Base!A:G,7,FALSE)</f>
        <v>PALMA  MIRANDA,LUIS RAFAEL</v>
      </c>
      <c r="C1034" s="112" t="str">
        <f>'Informe Kelly'!E1028</f>
        <v>08.04.2011</v>
      </c>
      <c r="D1034" s="112" t="e">
        <f>VLOOKUP(A1034,Ingreso!K:P,6,FALSE)</f>
        <v>#N/A</v>
      </c>
      <c r="E1034" s="142" t="e">
        <f>(VLOOKUP(D1034,$D$2:$E$4,2,FALSE))-(IF('Informe Kelly'!H1028=$A$2,'Informe Kelly'!F1028,VLOOKUP(D1034,$D$2:$E$4,2,FALSE)))</f>
        <v>#N/A</v>
      </c>
      <c r="F1034" s="142" t="e">
        <f>IF('Informe Kelly'!H1028=$A$3,'Informe Kelly'!F1028,VLOOKUP(D1034,$D$2:$F$4,3,FALSE))-(VLOOKUP(D1034,$D$2:$F$4,3,FALSE))</f>
        <v>#N/A</v>
      </c>
      <c r="G1034" s="137" t="e">
        <f t="shared" si="20"/>
        <v>#N/A</v>
      </c>
    </row>
    <row r="1035" spans="1:7">
      <c r="A1035" s="112" t="str">
        <f>VLOOKUP('Informe Kelly'!A1029,Base!A:B,2,FALSE)</f>
        <v>10.876.404-K</v>
      </c>
      <c r="B1035" s="112" t="str">
        <f>VLOOKUP('Informe Kelly'!A1029,Base!A:G,7,FALSE)</f>
        <v>PALMA  MIRANDA,LUIS RAFAEL</v>
      </c>
      <c r="C1035" s="112" t="str">
        <f>'Informe Kelly'!E1029</f>
        <v>09.04.2011</v>
      </c>
      <c r="D1035" s="112" t="e">
        <f>VLOOKUP(A1035,Ingreso!K:P,6,FALSE)</f>
        <v>#N/A</v>
      </c>
      <c r="E1035" s="142" t="e">
        <f>(VLOOKUP(D1035,$D$2:$E$4,2,FALSE))-(IF('Informe Kelly'!H1029=$A$2,'Informe Kelly'!F1029,VLOOKUP(D1035,$D$2:$E$4,2,FALSE)))</f>
        <v>#N/A</v>
      </c>
      <c r="F1035" s="142" t="e">
        <f>IF('Informe Kelly'!H1029=$A$3,'Informe Kelly'!F1029,VLOOKUP(D1035,$D$2:$F$4,3,FALSE))-(VLOOKUP(D1035,$D$2:$F$4,3,FALSE))</f>
        <v>#N/A</v>
      </c>
      <c r="G1035" s="137" t="e">
        <f t="shared" si="20"/>
        <v>#N/A</v>
      </c>
    </row>
    <row r="1036" spans="1:7">
      <c r="A1036" s="112" t="str">
        <f>VLOOKUP('Informe Kelly'!A1030,Base!A:B,2,FALSE)</f>
        <v>10.876.404-K</v>
      </c>
      <c r="B1036" s="112" t="str">
        <f>VLOOKUP('Informe Kelly'!A1030,Base!A:G,7,FALSE)</f>
        <v>PALMA  MIRANDA,LUIS RAFAEL</v>
      </c>
      <c r="C1036" s="112" t="str">
        <f>'Informe Kelly'!E1030</f>
        <v>09.04.2011</v>
      </c>
      <c r="D1036" s="112" t="e">
        <f>VLOOKUP(A1036,Ingreso!K:P,6,FALSE)</f>
        <v>#N/A</v>
      </c>
      <c r="E1036" s="142" t="e">
        <f>(VLOOKUP(D1036,$D$2:$E$4,2,FALSE))-(IF('Informe Kelly'!H1030=$A$2,'Informe Kelly'!F1030,VLOOKUP(D1036,$D$2:$E$4,2,FALSE)))</f>
        <v>#N/A</v>
      </c>
      <c r="F1036" s="142" t="e">
        <f>IF('Informe Kelly'!H1030=$A$3,'Informe Kelly'!F1030,VLOOKUP(D1036,$D$2:$F$4,3,FALSE))-(VLOOKUP(D1036,$D$2:$F$4,3,FALSE))</f>
        <v>#N/A</v>
      </c>
      <c r="G1036" s="137" t="e">
        <f t="shared" si="20"/>
        <v>#N/A</v>
      </c>
    </row>
    <row r="1037" spans="1:7">
      <c r="A1037" s="112" t="str">
        <f>VLOOKUP('Informe Kelly'!A1031,Base!A:B,2,FALSE)</f>
        <v>10.933.716-1</v>
      </c>
      <c r="B1037" s="112" t="str">
        <f>VLOOKUP('Informe Kelly'!A1031,Base!A:G,7,FALSE)</f>
        <v>RIVEROS  RIFFO, HERNANDO</v>
      </c>
      <c r="C1037" s="112" t="str">
        <f>'Informe Kelly'!E1031</f>
        <v>00.00.0000</v>
      </c>
      <c r="D1037" s="112" t="e">
        <f>VLOOKUP(A1037,Ingreso!K:P,6,FALSE)</f>
        <v>#N/A</v>
      </c>
      <c r="E1037" s="142" t="e">
        <f>(VLOOKUP(D1037,$D$2:$E$4,2,FALSE))-(IF('Informe Kelly'!H1031=$A$2,'Informe Kelly'!F1031,VLOOKUP(D1037,$D$2:$E$4,2,FALSE)))</f>
        <v>#N/A</v>
      </c>
      <c r="F1037" s="142" t="e">
        <f>IF('Informe Kelly'!H1031=$A$3,'Informe Kelly'!F1031,VLOOKUP(D1037,$D$2:$F$4,3,FALSE))-(VLOOKUP(D1037,$D$2:$F$4,3,FALSE))</f>
        <v>#N/A</v>
      </c>
      <c r="G1037" s="137" t="e">
        <f t="shared" si="20"/>
        <v>#N/A</v>
      </c>
    </row>
    <row r="1038" spans="1:7">
      <c r="A1038" s="112" t="str">
        <f>VLOOKUP('Informe Kelly'!A1032,Base!A:B,2,FALSE)</f>
        <v>10.970.380-K</v>
      </c>
      <c r="B1038" s="112" t="str">
        <f>VLOOKUP('Informe Kelly'!A1032,Base!A:G,7,FALSE)</f>
        <v>LEIVA MUÑOZ JUAN ENRIQUE</v>
      </c>
      <c r="C1038" s="112" t="str">
        <f>'Informe Kelly'!E1032</f>
        <v>04.04.2011</v>
      </c>
      <c r="D1038" s="112" t="e">
        <f>VLOOKUP(A1038,Ingreso!K:P,6,FALSE)</f>
        <v>#N/A</v>
      </c>
      <c r="E1038" s="142" t="e">
        <f>(VLOOKUP(D1038,$D$2:$E$4,2,FALSE))-(IF('Informe Kelly'!H1032=$A$2,'Informe Kelly'!F1032,VLOOKUP(D1038,$D$2:$E$4,2,FALSE)))</f>
        <v>#N/A</v>
      </c>
      <c r="F1038" s="142" t="e">
        <f>IF('Informe Kelly'!H1032=$A$3,'Informe Kelly'!F1032,VLOOKUP(D1038,$D$2:$F$4,3,FALSE))-(VLOOKUP(D1038,$D$2:$F$4,3,FALSE))</f>
        <v>#N/A</v>
      </c>
      <c r="G1038" s="137" t="e">
        <f t="shared" si="20"/>
        <v>#N/A</v>
      </c>
    </row>
    <row r="1039" spans="1:7">
      <c r="A1039" s="112" t="str">
        <f>VLOOKUP('Informe Kelly'!A1033,Base!A:B,2,FALSE)</f>
        <v>10.970.380-K</v>
      </c>
      <c r="B1039" s="112" t="str">
        <f>VLOOKUP('Informe Kelly'!A1033,Base!A:G,7,FALSE)</f>
        <v>LEIVA MUÑOZ JUAN ENRIQUE</v>
      </c>
      <c r="C1039" s="112" t="str">
        <f>'Informe Kelly'!E1033</f>
        <v>04.04.2011</v>
      </c>
      <c r="D1039" s="112" t="e">
        <f>VLOOKUP(A1039,Ingreso!K:P,6,FALSE)</f>
        <v>#N/A</v>
      </c>
      <c r="E1039" s="142" t="e">
        <f>(VLOOKUP(D1039,$D$2:$E$4,2,FALSE))-(IF('Informe Kelly'!H1033=$A$2,'Informe Kelly'!F1033,VLOOKUP(D1039,$D$2:$E$4,2,FALSE)))</f>
        <v>#N/A</v>
      </c>
      <c r="F1039" s="142" t="e">
        <f>IF('Informe Kelly'!H1033=$A$3,'Informe Kelly'!F1033,VLOOKUP(D1039,$D$2:$F$4,3,FALSE))-(VLOOKUP(D1039,$D$2:$F$4,3,FALSE))</f>
        <v>#N/A</v>
      </c>
      <c r="G1039" s="137" t="e">
        <f t="shared" si="20"/>
        <v>#N/A</v>
      </c>
    </row>
    <row r="1040" spans="1:7">
      <c r="A1040" s="112" t="str">
        <f>VLOOKUP('Informe Kelly'!A1034,Base!A:B,2,FALSE)</f>
        <v>10.970.380-K</v>
      </c>
      <c r="B1040" s="112" t="str">
        <f>VLOOKUP('Informe Kelly'!A1034,Base!A:G,7,FALSE)</f>
        <v>LEIVA MUÑOZ JUAN ENRIQUE</v>
      </c>
      <c r="C1040" s="112" t="str">
        <f>'Informe Kelly'!E1034</f>
        <v>05.04.2011</v>
      </c>
      <c r="D1040" s="112" t="e">
        <f>VLOOKUP(A1040,Ingreso!K:P,6,FALSE)</f>
        <v>#N/A</v>
      </c>
      <c r="E1040" s="142" t="e">
        <f>(VLOOKUP(D1040,$D$2:$E$4,2,FALSE))-(IF('Informe Kelly'!H1034=$A$2,'Informe Kelly'!F1034,VLOOKUP(D1040,$D$2:$E$4,2,FALSE)))</f>
        <v>#N/A</v>
      </c>
      <c r="F1040" s="142" t="e">
        <f>IF('Informe Kelly'!H1034=$A$3,'Informe Kelly'!F1034,VLOOKUP(D1040,$D$2:$F$4,3,FALSE))-(VLOOKUP(D1040,$D$2:$F$4,3,FALSE))</f>
        <v>#N/A</v>
      </c>
      <c r="G1040" s="137" t="e">
        <f t="shared" si="20"/>
        <v>#N/A</v>
      </c>
    </row>
    <row r="1041" spans="1:7">
      <c r="A1041" s="112" t="str">
        <f>VLOOKUP('Informe Kelly'!A1035,Base!A:B,2,FALSE)</f>
        <v>10.970.380-K</v>
      </c>
      <c r="B1041" s="112" t="str">
        <f>VLOOKUP('Informe Kelly'!A1035,Base!A:G,7,FALSE)</f>
        <v>LEIVA MUÑOZ JUAN ENRIQUE</v>
      </c>
      <c r="C1041" s="112" t="str">
        <f>'Informe Kelly'!E1035</f>
        <v>05.04.2011</v>
      </c>
      <c r="D1041" s="112" t="e">
        <f>VLOOKUP(A1041,Ingreso!K:P,6,FALSE)</f>
        <v>#N/A</v>
      </c>
      <c r="E1041" s="142" t="e">
        <f>(VLOOKUP(D1041,$D$2:$E$4,2,FALSE))-(IF('Informe Kelly'!H1035=$A$2,'Informe Kelly'!F1035,VLOOKUP(D1041,$D$2:$E$4,2,FALSE)))</f>
        <v>#N/A</v>
      </c>
      <c r="F1041" s="142" t="e">
        <f>IF('Informe Kelly'!H1035=$A$3,'Informe Kelly'!F1035,VLOOKUP(D1041,$D$2:$F$4,3,FALSE))-(VLOOKUP(D1041,$D$2:$F$4,3,FALSE))</f>
        <v>#N/A</v>
      </c>
      <c r="G1041" s="137" t="e">
        <f t="shared" si="20"/>
        <v>#N/A</v>
      </c>
    </row>
    <row r="1042" spans="1:7">
      <c r="A1042" s="112" t="str">
        <f>VLOOKUP('Informe Kelly'!A1036,Base!A:B,2,FALSE)</f>
        <v>10.970.380-K</v>
      </c>
      <c r="B1042" s="112" t="str">
        <f>VLOOKUP('Informe Kelly'!A1036,Base!A:G,7,FALSE)</f>
        <v>LEIVA MUÑOZ JUAN ENRIQUE</v>
      </c>
      <c r="C1042" s="112" t="str">
        <f>'Informe Kelly'!E1036</f>
        <v>06.04.2011</v>
      </c>
      <c r="D1042" s="112" t="e">
        <f>VLOOKUP(A1042,Ingreso!K:P,6,FALSE)</f>
        <v>#N/A</v>
      </c>
      <c r="E1042" s="142" t="e">
        <f>(VLOOKUP(D1042,$D$2:$E$4,2,FALSE))-(IF('Informe Kelly'!H1036=$A$2,'Informe Kelly'!F1036,VLOOKUP(D1042,$D$2:$E$4,2,FALSE)))</f>
        <v>#N/A</v>
      </c>
      <c r="F1042" s="142" t="e">
        <f>IF('Informe Kelly'!H1036=$A$3,'Informe Kelly'!F1036,VLOOKUP(D1042,$D$2:$F$4,3,FALSE))-(VLOOKUP(D1042,$D$2:$F$4,3,FALSE))</f>
        <v>#N/A</v>
      </c>
      <c r="G1042" s="137" t="e">
        <f t="shared" si="20"/>
        <v>#N/A</v>
      </c>
    </row>
    <row r="1043" spans="1:7">
      <c r="A1043" s="112" t="str">
        <f>VLOOKUP('Informe Kelly'!A1037,Base!A:B,2,FALSE)</f>
        <v>10.970.380-K</v>
      </c>
      <c r="B1043" s="112" t="str">
        <f>VLOOKUP('Informe Kelly'!A1037,Base!A:G,7,FALSE)</f>
        <v>LEIVA MUÑOZ JUAN ENRIQUE</v>
      </c>
      <c r="C1043" s="112" t="str">
        <f>'Informe Kelly'!E1037</f>
        <v>06.04.2011</v>
      </c>
      <c r="D1043" s="112" t="e">
        <f>VLOOKUP(A1043,Ingreso!K:P,6,FALSE)</f>
        <v>#N/A</v>
      </c>
      <c r="E1043" s="142" t="e">
        <f>(VLOOKUP(D1043,$D$2:$E$4,2,FALSE))-(IF('Informe Kelly'!H1037=$A$2,'Informe Kelly'!F1037,VLOOKUP(D1043,$D$2:$E$4,2,FALSE)))</f>
        <v>#N/A</v>
      </c>
      <c r="F1043" s="142" t="e">
        <f>IF('Informe Kelly'!H1037=$A$3,'Informe Kelly'!F1037,VLOOKUP(D1043,$D$2:$F$4,3,FALSE))-(VLOOKUP(D1043,$D$2:$F$4,3,FALSE))</f>
        <v>#N/A</v>
      </c>
      <c r="G1043" s="137" t="e">
        <f t="shared" si="20"/>
        <v>#N/A</v>
      </c>
    </row>
    <row r="1044" spans="1:7">
      <c r="A1044" s="112" t="str">
        <f>VLOOKUP('Informe Kelly'!A1038,Base!A:B,2,FALSE)</f>
        <v>10.970.380-K</v>
      </c>
      <c r="B1044" s="112" t="str">
        <f>VLOOKUP('Informe Kelly'!A1038,Base!A:G,7,FALSE)</f>
        <v>LEIVA MUÑOZ JUAN ENRIQUE</v>
      </c>
      <c r="C1044" s="112" t="str">
        <f>'Informe Kelly'!E1038</f>
        <v>07.04.2011</v>
      </c>
      <c r="D1044" s="112" t="e">
        <f>VLOOKUP(A1044,Ingreso!K:P,6,FALSE)</f>
        <v>#N/A</v>
      </c>
      <c r="E1044" s="142" t="e">
        <f>(VLOOKUP(D1044,$D$2:$E$4,2,FALSE))-(IF('Informe Kelly'!H1038=$A$2,'Informe Kelly'!F1038,VLOOKUP(D1044,$D$2:$E$4,2,FALSE)))</f>
        <v>#N/A</v>
      </c>
      <c r="F1044" s="142" t="e">
        <f>IF('Informe Kelly'!H1038=$A$3,'Informe Kelly'!F1038,VLOOKUP(D1044,$D$2:$F$4,3,FALSE))-(VLOOKUP(D1044,$D$2:$F$4,3,FALSE))</f>
        <v>#N/A</v>
      </c>
      <c r="G1044" s="137" t="e">
        <f t="shared" si="20"/>
        <v>#N/A</v>
      </c>
    </row>
    <row r="1045" spans="1:7">
      <c r="A1045" s="112" t="str">
        <f>VLOOKUP('Informe Kelly'!A1039,Base!A:B,2,FALSE)</f>
        <v>10.970.380-K</v>
      </c>
      <c r="B1045" s="112" t="str">
        <f>VLOOKUP('Informe Kelly'!A1039,Base!A:G,7,FALSE)</f>
        <v>LEIVA MUÑOZ JUAN ENRIQUE</v>
      </c>
      <c r="C1045" s="112" t="str">
        <f>'Informe Kelly'!E1039</f>
        <v>07.04.2011</v>
      </c>
      <c r="D1045" s="112" t="e">
        <f>VLOOKUP(A1045,Ingreso!K:P,6,FALSE)</f>
        <v>#N/A</v>
      </c>
      <c r="E1045" s="142" t="e">
        <f>(VLOOKUP(D1045,$D$2:$E$4,2,FALSE))-(IF('Informe Kelly'!H1039=$A$2,'Informe Kelly'!F1039,VLOOKUP(D1045,$D$2:$E$4,2,FALSE)))</f>
        <v>#N/A</v>
      </c>
      <c r="F1045" s="142" t="e">
        <f>IF('Informe Kelly'!H1039=$A$3,'Informe Kelly'!F1039,VLOOKUP(D1045,$D$2:$F$4,3,FALSE))-(VLOOKUP(D1045,$D$2:$F$4,3,FALSE))</f>
        <v>#N/A</v>
      </c>
      <c r="G1045" s="137" t="e">
        <f t="shared" si="20"/>
        <v>#N/A</v>
      </c>
    </row>
    <row r="1046" spans="1:7">
      <c r="A1046" s="112" t="str">
        <f>VLOOKUP('Informe Kelly'!A1040,Base!A:B,2,FALSE)</f>
        <v>10.970.380-K</v>
      </c>
      <c r="B1046" s="112" t="str">
        <f>VLOOKUP('Informe Kelly'!A1040,Base!A:G,7,FALSE)</f>
        <v>LEIVA MUÑOZ JUAN ENRIQUE</v>
      </c>
      <c r="C1046" s="112" t="str">
        <f>'Informe Kelly'!E1040</f>
        <v>08.04.2011</v>
      </c>
      <c r="D1046" s="112" t="e">
        <f>VLOOKUP(A1046,Ingreso!K:P,6,FALSE)</f>
        <v>#N/A</v>
      </c>
      <c r="E1046" s="142" t="e">
        <f>(VLOOKUP(D1046,$D$2:$E$4,2,FALSE))-(IF('Informe Kelly'!H1040=$A$2,'Informe Kelly'!F1040,VLOOKUP(D1046,$D$2:$E$4,2,FALSE)))</f>
        <v>#N/A</v>
      </c>
      <c r="F1046" s="142" t="e">
        <f>IF('Informe Kelly'!H1040=$A$3,'Informe Kelly'!F1040,VLOOKUP(D1046,$D$2:$F$4,3,FALSE))-(VLOOKUP(D1046,$D$2:$F$4,3,FALSE))</f>
        <v>#N/A</v>
      </c>
      <c r="G1046" s="137" t="e">
        <f t="shared" si="20"/>
        <v>#N/A</v>
      </c>
    </row>
    <row r="1047" spans="1:7">
      <c r="A1047" s="112" t="str">
        <f>VLOOKUP('Informe Kelly'!A1041,Base!A:B,2,FALSE)</f>
        <v>10.970.380-K</v>
      </c>
      <c r="B1047" s="112" t="str">
        <f>VLOOKUP('Informe Kelly'!A1041,Base!A:G,7,FALSE)</f>
        <v>LEIVA MUÑOZ JUAN ENRIQUE</v>
      </c>
      <c r="C1047" s="112" t="str">
        <f>'Informe Kelly'!E1041</f>
        <v>08.04.2011</v>
      </c>
      <c r="D1047" s="112" t="e">
        <f>VLOOKUP(A1047,Ingreso!K:P,6,FALSE)</f>
        <v>#N/A</v>
      </c>
      <c r="E1047" s="142" t="e">
        <f>(VLOOKUP(D1047,$D$2:$E$4,2,FALSE))-(IF('Informe Kelly'!H1041=$A$2,'Informe Kelly'!F1041,VLOOKUP(D1047,$D$2:$E$4,2,FALSE)))</f>
        <v>#N/A</v>
      </c>
      <c r="F1047" s="142" t="e">
        <f>IF('Informe Kelly'!H1041=$A$3,'Informe Kelly'!F1041,VLOOKUP(D1047,$D$2:$F$4,3,FALSE))-(VLOOKUP(D1047,$D$2:$F$4,3,FALSE))</f>
        <v>#N/A</v>
      </c>
      <c r="G1047" s="137" t="e">
        <f t="shared" si="20"/>
        <v>#N/A</v>
      </c>
    </row>
    <row r="1048" spans="1:7">
      <c r="A1048" s="112" t="str">
        <f>VLOOKUP('Informe Kelly'!A1042,Base!A:B,2,FALSE)</f>
        <v>10.970.380-K</v>
      </c>
      <c r="B1048" s="112" t="str">
        <f>VLOOKUP('Informe Kelly'!A1042,Base!A:G,7,FALSE)</f>
        <v>LEIVA MUÑOZ JUAN ENRIQUE</v>
      </c>
      <c r="C1048" s="112" t="str">
        <f>'Informe Kelly'!E1042</f>
        <v>09.04.2011</v>
      </c>
      <c r="D1048" s="112" t="e">
        <f>VLOOKUP(A1048,Ingreso!K:P,6,FALSE)</f>
        <v>#N/A</v>
      </c>
      <c r="E1048" s="142" t="e">
        <f>(VLOOKUP(D1048,$D$2:$E$4,2,FALSE))-(IF('Informe Kelly'!H1042=$A$2,'Informe Kelly'!F1042,VLOOKUP(D1048,$D$2:$E$4,2,FALSE)))</f>
        <v>#N/A</v>
      </c>
      <c r="F1048" s="142" t="e">
        <f>IF('Informe Kelly'!H1042=$A$3,'Informe Kelly'!F1042,VLOOKUP(D1048,$D$2:$F$4,3,FALSE))-(VLOOKUP(D1048,$D$2:$F$4,3,FALSE))</f>
        <v>#N/A</v>
      </c>
      <c r="G1048" s="137" t="e">
        <f t="shared" si="20"/>
        <v>#N/A</v>
      </c>
    </row>
    <row r="1049" spans="1:7">
      <c r="A1049" s="112" t="str">
        <f>VLOOKUP('Informe Kelly'!A1043,Base!A:B,2,FALSE)</f>
        <v>10.970.380-K</v>
      </c>
      <c r="B1049" s="112" t="str">
        <f>VLOOKUP('Informe Kelly'!A1043,Base!A:G,7,FALSE)</f>
        <v>LEIVA MUÑOZ JUAN ENRIQUE</v>
      </c>
      <c r="C1049" s="112" t="str">
        <f>'Informe Kelly'!E1043</f>
        <v>09.04.2011</v>
      </c>
      <c r="D1049" s="112" t="e">
        <f>VLOOKUP(A1049,Ingreso!K:P,6,FALSE)</f>
        <v>#N/A</v>
      </c>
      <c r="E1049" s="142" t="e">
        <f>(VLOOKUP(D1049,$D$2:$E$4,2,FALSE))-(IF('Informe Kelly'!H1043=$A$2,'Informe Kelly'!F1043,VLOOKUP(D1049,$D$2:$E$4,2,FALSE)))</f>
        <v>#N/A</v>
      </c>
      <c r="F1049" s="142" t="e">
        <f>IF('Informe Kelly'!H1043=$A$3,'Informe Kelly'!F1043,VLOOKUP(D1049,$D$2:$F$4,3,FALSE))-(VLOOKUP(D1049,$D$2:$F$4,3,FALSE))</f>
        <v>#N/A</v>
      </c>
      <c r="G1049" s="137" t="e">
        <f t="shared" si="20"/>
        <v>#N/A</v>
      </c>
    </row>
    <row r="1050" spans="1:7">
      <c r="A1050" s="112" t="str">
        <f>VLOOKUP('Informe Kelly'!A1044,Base!A:B,2,FALSE)</f>
        <v>11.123.851-0</v>
      </c>
      <c r="B1050" s="112" t="str">
        <f>VLOOKUP('Informe Kelly'!A1044,Base!A:G,7,FALSE)</f>
        <v>VALLE GONZALEZ MAURICIO</v>
      </c>
      <c r="C1050" s="112" t="str">
        <f>'Informe Kelly'!E1044</f>
        <v>04.04.2011</v>
      </c>
      <c r="D1050" s="112" t="e">
        <f>VLOOKUP(A1050,Ingreso!K:P,6,FALSE)</f>
        <v>#N/A</v>
      </c>
      <c r="E1050" s="142" t="e">
        <f>(VLOOKUP(D1050,$D$2:$E$4,2,FALSE))-(IF('Informe Kelly'!H1044=$A$2,'Informe Kelly'!F1044,VLOOKUP(D1050,$D$2:$E$4,2,FALSE)))</f>
        <v>#N/A</v>
      </c>
      <c r="F1050" s="142" t="e">
        <f>IF('Informe Kelly'!H1044=$A$3,'Informe Kelly'!F1044,VLOOKUP(D1050,$D$2:$F$4,3,FALSE))-(VLOOKUP(D1050,$D$2:$F$4,3,FALSE))</f>
        <v>#N/A</v>
      </c>
      <c r="G1050" s="137" t="e">
        <f t="shared" si="20"/>
        <v>#N/A</v>
      </c>
    </row>
    <row r="1051" spans="1:7">
      <c r="A1051" s="112" t="str">
        <f>VLOOKUP('Informe Kelly'!A1045,Base!A:B,2,FALSE)</f>
        <v>11.123.851-0</v>
      </c>
      <c r="B1051" s="112" t="str">
        <f>VLOOKUP('Informe Kelly'!A1045,Base!A:G,7,FALSE)</f>
        <v>VALLE GONZALEZ MAURICIO</v>
      </c>
      <c r="C1051" s="112" t="str">
        <f>'Informe Kelly'!E1045</f>
        <v>04.04.2011</v>
      </c>
      <c r="D1051" s="112" t="e">
        <f>VLOOKUP(A1051,Ingreso!K:P,6,FALSE)</f>
        <v>#N/A</v>
      </c>
      <c r="E1051" s="142" t="e">
        <f>(VLOOKUP(D1051,$D$2:$E$4,2,FALSE))-(IF('Informe Kelly'!H1045=$A$2,'Informe Kelly'!F1045,VLOOKUP(D1051,$D$2:$E$4,2,FALSE)))</f>
        <v>#N/A</v>
      </c>
      <c r="F1051" s="142" t="e">
        <f>IF('Informe Kelly'!H1045=$A$3,'Informe Kelly'!F1045,VLOOKUP(D1051,$D$2:$F$4,3,FALSE))-(VLOOKUP(D1051,$D$2:$F$4,3,FALSE))</f>
        <v>#N/A</v>
      </c>
      <c r="G1051" s="137" t="e">
        <f t="shared" si="20"/>
        <v>#N/A</v>
      </c>
    </row>
    <row r="1052" spans="1:7">
      <c r="A1052" s="112" t="str">
        <f>VLOOKUP('Informe Kelly'!A1046,Base!A:B,2,FALSE)</f>
        <v>11.123.851-0</v>
      </c>
      <c r="B1052" s="112" t="str">
        <f>VLOOKUP('Informe Kelly'!A1046,Base!A:G,7,FALSE)</f>
        <v>VALLE GONZALEZ MAURICIO</v>
      </c>
      <c r="C1052" s="112" t="str">
        <f>'Informe Kelly'!E1046</f>
        <v>05.04.2011</v>
      </c>
      <c r="D1052" s="112" t="e">
        <f>VLOOKUP(A1052,Ingreso!K:P,6,FALSE)</f>
        <v>#N/A</v>
      </c>
      <c r="E1052" s="142" t="e">
        <f>(VLOOKUP(D1052,$D$2:$E$4,2,FALSE))-(IF('Informe Kelly'!H1046=$A$2,'Informe Kelly'!F1046,VLOOKUP(D1052,$D$2:$E$4,2,FALSE)))</f>
        <v>#N/A</v>
      </c>
      <c r="F1052" s="142" t="e">
        <f>IF('Informe Kelly'!H1046=$A$3,'Informe Kelly'!F1046,VLOOKUP(D1052,$D$2:$F$4,3,FALSE))-(VLOOKUP(D1052,$D$2:$F$4,3,FALSE))</f>
        <v>#N/A</v>
      </c>
      <c r="G1052" s="137" t="e">
        <f t="shared" si="20"/>
        <v>#N/A</v>
      </c>
    </row>
    <row r="1053" spans="1:7">
      <c r="A1053" s="112" t="str">
        <f>VLOOKUP('Informe Kelly'!A1047,Base!A:B,2,FALSE)</f>
        <v>11.123.851-0</v>
      </c>
      <c r="B1053" s="112" t="str">
        <f>VLOOKUP('Informe Kelly'!A1047,Base!A:G,7,FALSE)</f>
        <v>VALLE GONZALEZ MAURICIO</v>
      </c>
      <c r="C1053" s="112" t="str">
        <f>'Informe Kelly'!E1047</f>
        <v>05.04.2011</v>
      </c>
      <c r="D1053" s="112" t="e">
        <f>VLOOKUP(A1053,Ingreso!K:P,6,FALSE)</f>
        <v>#N/A</v>
      </c>
      <c r="E1053" s="142" t="e">
        <f>(VLOOKUP(D1053,$D$2:$E$4,2,FALSE))-(IF('Informe Kelly'!H1047=$A$2,'Informe Kelly'!F1047,VLOOKUP(D1053,$D$2:$E$4,2,FALSE)))</f>
        <v>#N/A</v>
      </c>
      <c r="F1053" s="142" t="e">
        <f>IF('Informe Kelly'!H1047=$A$3,'Informe Kelly'!F1047,VLOOKUP(D1053,$D$2:$F$4,3,FALSE))-(VLOOKUP(D1053,$D$2:$F$4,3,FALSE))</f>
        <v>#N/A</v>
      </c>
      <c r="G1053" s="137" t="e">
        <f t="shared" si="20"/>
        <v>#N/A</v>
      </c>
    </row>
    <row r="1054" spans="1:7">
      <c r="A1054" s="112" t="str">
        <f>VLOOKUP('Informe Kelly'!A1048,Base!A:B,2,FALSE)</f>
        <v>11.123.851-0</v>
      </c>
      <c r="B1054" s="112" t="str">
        <f>VLOOKUP('Informe Kelly'!A1048,Base!A:G,7,FALSE)</f>
        <v>VALLE GONZALEZ MAURICIO</v>
      </c>
      <c r="C1054" s="112" t="str">
        <f>'Informe Kelly'!E1048</f>
        <v>06.04.2011</v>
      </c>
      <c r="D1054" s="112" t="e">
        <f>VLOOKUP(A1054,Ingreso!K:P,6,FALSE)</f>
        <v>#N/A</v>
      </c>
      <c r="E1054" s="142" t="e">
        <f>(VLOOKUP(D1054,$D$2:$E$4,2,FALSE))-(IF('Informe Kelly'!H1048=$A$2,'Informe Kelly'!F1048,VLOOKUP(D1054,$D$2:$E$4,2,FALSE)))</f>
        <v>#N/A</v>
      </c>
      <c r="F1054" s="142" t="e">
        <f>IF('Informe Kelly'!H1048=$A$3,'Informe Kelly'!F1048,VLOOKUP(D1054,$D$2:$F$4,3,FALSE))-(VLOOKUP(D1054,$D$2:$F$4,3,FALSE))</f>
        <v>#N/A</v>
      </c>
      <c r="G1054" s="137" t="e">
        <f t="shared" si="20"/>
        <v>#N/A</v>
      </c>
    </row>
    <row r="1055" spans="1:7">
      <c r="A1055" s="112" t="str">
        <f>VLOOKUP('Informe Kelly'!A1049,Base!A:B,2,FALSE)</f>
        <v>11.123.851-0</v>
      </c>
      <c r="B1055" s="112" t="str">
        <f>VLOOKUP('Informe Kelly'!A1049,Base!A:G,7,FALSE)</f>
        <v>VALLE GONZALEZ MAURICIO</v>
      </c>
      <c r="C1055" s="112" t="str">
        <f>'Informe Kelly'!E1049</f>
        <v>06.04.2011</v>
      </c>
      <c r="D1055" s="112" t="e">
        <f>VLOOKUP(A1055,Ingreso!K:P,6,FALSE)</f>
        <v>#N/A</v>
      </c>
      <c r="E1055" s="142" t="e">
        <f>(VLOOKUP(D1055,$D$2:$E$4,2,FALSE))-(IF('Informe Kelly'!H1049=$A$2,'Informe Kelly'!F1049,VLOOKUP(D1055,$D$2:$E$4,2,FALSE)))</f>
        <v>#N/A</v>
      </c>
      <c r="F1055" s="142" t="e">
        <f>IF('Informe Kelly'!H1049=$A$3,'Informe Kelly'!F1049,VLOOKUP(D1055,$D$2:$F$4,3,FALSE))-(VLOOKUP(D1055,$D$2:$F$4,3,FALSE))</f>
        <v>#N/A</v>
      </c>
      <c r="G1055" s="137" t="e">
        <f t="shared" si="20"/>
        <v>#N/A</v>
      </c>
    </row>
    <row r="1056" spans="1:7">
      <c r="A1056" s="112" t="str">
        <f>VLOOKUP('Informe Kelly'!A1050,Base!A:B,2,FALSE)</f>
        <v>11.123.851-0</v>
      </c>
      <c r="B1056" s="112" t="str">
        <f>VLOOKUP('Informe Kelly'!A1050,Base!A:G,7,FALSE)</f>
        <v>VALLE GONZALEZ MAURICIO</v>
      </c>
      <c r="C1056" s="112" t="str">
        <f>'Informe Kelly'!E1050</f>
        <v>07.04.2011</v>
      </c>
      <c r="D1056" s="112" t="e">
        <f>VLOOKUP(A1056,Ingreso!K:P,6,FALSE)</f>
        <v>#N/A</v>
      </c>
      <c r="E1056" s="142" t="e">
        <f>(VLOOKUP(D1056,$D$2:$E$4,2,FALSE))-(IF('Informe Kelly'!H1050=$A$2,'Informe Kelly'!F1050,VLOOKUP(D1056,$D$2:$E$4,2,FALSE)))</f>
        <v>#N/A</v>
      </c>
      <c r="F1056" s="142" t="e">
        <f>IF('Informe Kelly'!H1050=$A$3,'Informe Kelly'!F1050,VLOOKUP(D1056,$D$2:$F$4,3,FALSE))-(VLOOKUP(D1056,$D$2:$F$4,3,FALSE))</f>
        <v>#N/A</v>
      </c>
      <c r="G1056" s="137" t="e">
        <f t="shared" si="20"/>
        <v>#N/A</v>
      </c>
    </row>
    <row r="1057" spans="1:7">
      <c r="A1057" s="112" t="str">
        <f>VLOOKUP('Informe Kelly'!A1051,Base!A:B,2,FALSE)</f>
        <v>11.123.851-0</v>
      </c>
      <c r="B1057" s="112" t="str">
        <f>VLOOKUP('Informe Kelly'!A1051,Base!A:G,7,FALSE)</f>
        <v>VALLE GONZALEZ MAURICIO</v>
      </c>
      <c r="C1057" s="112" t="str">
        <f>'Informe Kelly'!E1051</f>
        <v>07.04.2011</v>
      </c>
      <c r="D1057" s="112" t="e">
        <f>VLOOKUP(A1057,Ingreso!K:P,6,FALSE)</f>
        <v>#N/A</v>
      </c>
      <c r="E1057" s="142" t="e">
        <f>(VLOOKUP(D1057,$D$2:$E$4,2,FALSE))-(IF('Informe Kelly'!H1051=$A$2,'Informe Kelly'!F1051,VLOOKUP(D1057,$D$2:$E$4,2,FALSE)))</f>
        <v>#N/A</v>
      </c>
      <c r="F1057" s="142" t="e">
        <f>IF('Informe Kelly'!H1051=$A$3,'Informe Kelly'!F1051,VLOOKUP(D1057,$D$2:$F$4,3,FALSE))-(VLOOKUP(D1057,$D$2:$F$4,3,FALSE))</f>
        <v>#N/A</v>
      </c>
      <c r="G1057" s="137" t="e">
        <f t="shared" si="20"/>
        <v>#N/A</v>
      </c>
    </row>
    <row r="1058" spans="1:7">
      <c r="A1058" s="112" t="str">
        <f>VLOOKUP('Informe Kelly'!A1052,Base!A:B,2,FALSE)</f>
        <v>11.123.851-0</v>
      </c>
      <c r="B1058" s="112" t="str">
        <f>VLOOKUP('Informe Kelly'!A1052,Base!A:G,7,FALSE)</f>
        <v>VALLE GONZALEZ MAURICIO</v>
      </c>
      <c r="C1058" s="112" t="str">
        <f>'Informe Kelly'!E1052</f>
        <v>08.04.2011</v>
      </c>
      <c r="D1058" s="112" t="e">
        <f>VLOOKUP(A1058,Ingreso!K:P,6,FALSE)</f>
        <v>#N/A</v>
      </c>
      <c r="E1058" s="142" t="e">
        <f>(VLOOKUP(D1058,$D$2:$E$4,2,FALSE))-(IF('Informe Kelly'!H1052=$A$2,'Informe Kelly'!F1052,VLOOKUP(D1058,$D$2:$E$4,2,FALSE)))</f>
        <v>#N/A</v>
      </c>
      <c r="F1058" s="142" t="e">
        <f>IF('Informe Kelly'!H1052=$A$3,'Informe Kelly'!F1052,VLOOKUP(D1058,$D$2:$F$4,3,FALSE))-(VLOOKUP(D1058,$D$2:$F$4,3,FALSE))</f>
        <v>#N/A</v>
      </c>
      <c r="G1058" s="137" t="e">
        <f t="shared" si="20"/>
        <v>#N/A</v>
      </c>
    </row>
    <row r="1059" spans="1:7">
      <c r="A1059" s="112" t="str">
        <f>VLOOKUP('Informe Kelly'!A1053,Base!A:B,2,FALSE)</f>
        <v>11.123.851-0</v>
      </c>
      <c r="B1059" s="112" t="str">
        <f>VLOOKUP('Informe Kelly'!A1053,Base!A:G,7,FALSE)</f>
        <v>VALLE GONZALEZ MAURICIO</v>
      </c>
      <c r="C1059" s="112" t="str">
        <f>'Informe Kelly'!E1053</f>
        <v>08.04.2011</v>
      </c>
      <c r="D1059" s="112" t="e">
        <f>VLOOKUP(A1059,Ingreso!K:P,6,FALSE)</f>
        <v>#N/A</v>
      </c>
      <c r="E1059" s="142" t="e">
        <f>(VLOOKUP(D1059,$D$2:$E$4,2,FALSE))-(IF('Informe Kelly'!H1053=$A$2,'Informe Kelly'!F1053,VLOOKUP(D1059,$D$2:$E$4,2,FALSE)))</f>
        <v>#N/A</v>
      </c>
      <c r="F1059" s="142" t="e">
        <f>IF('Informe Kelly'!H1053=$A$3,'Informe Kelly'!F1053,VLOOKUP(D1059,$D$2:$F$4,3,FALSE))-(VLOOKUP(D1059,$D$2:$F$4,3,FALSE))</f>
        <v>#N/A</v>
      </c>
      <c r="G1059" s="137" t="e">
        <f t="shared" si="20"/>
        <v>#N/A</v>
      </c>
    </row>
    <row r="1060" spans="1:7">
      <c r="A1060" s="112" t="str">
        <f>VLOOKUP('Informe Kelly'!A1054,Base!A:B,2,FALSE)</f>
        <v>11.123.851-0</v>
      </c>
      <c r="B1060" s="112" t="str">
        <f>VLOOKUP('Informe Kelly'!A1054,Base!A:G,7,FALSE)</f>
        <v>VALLE GONZALEZ MAURICIO</v>
      </c>
      <c r="C1060" s="112" t="str">
        <f>'Informe Kelly'!E1054</f>
        <v>09.04.2011</v>
      </c>
      <c r="D1060" s="112" t="e">
        <f>VLOOKUP(A1060,Ingreso!K:P,6,FALSE)</f>
        <v>#N/A</v>
      </c>
      <c r="E1060" s="142" t="e">
        <f>(VLOOKUP(D1060,$D$2:$E$4,2,FALSE))-(IF('Informe Kelly'!H1054=$A$2,'Informe Kelly'!F1054,VLOOKUP(D1060,$D$2:$E$4,2,FALSE)))</f>
        <v>#N/A</v>
      </c>
      <c r="F1060" s="142" t="e">
        <f>IF('Informe Kelly'!H1054=$A$3,'Informe Kelly'!F1054,VLOOKUP(D1060,$D$2:$F$4,3,FALSE))-(VLOOKUP(D1060,$D$2:$F$4,3,FALSE))</f>
        <v>#N/A</v>
      </c>
      <c r="G1060" s="137" t="e">
        <f t="shared" si="20"/>
        <v>#N/A</v>
      </c>
    </row>
    <row r="1061" spans="1:7">
      <c r="A1061" s="112" t="str">
        <f>VLOOKUP('Informe Kelly'!A1055,Base!A:B,2,FALSE)</f>
        <v>11.123.851-0</v>
      </c>
      <c r="B1061" s="112" t="str">
        <f>VLOOKUP('Informe Kelly'!A1055,Base!A:G,7,FALSE)</f>
        <v>VALLE GONZALEZ MAURICIO</v>
      </c>
      <c r="C1061" s="112" t="str">
        <f>'Informe Kelly'!E1055</f>
        <v>09.04.2011</v>
      </c>
      <c r="D1061" s="112" t="e">
        <f>VLOOKUP(A1061,Ingreso!K:P,6,FALSE)</f>
        <v>#N/A</v>
      </c>
      <c r="E1061" s="142" t="e">
        <f>(VLOOKUP(D1061,$D$2:$E$4,2,FALSE))-(IF('Informe Kelly'!H1055=$A$2,'Informe Kelly'!F1055,VLOOKUP(D1061,$D$2:$E$4,2,FALSE)))</f>
        <v>#N/A</v>
      </c>
      <c r="F1061" s="142" t="e">
        <f>IF('Informe Kelly'!H1055=$A$3,'Informe Kelly'!F1055,VLOOKUP(D1061,$D$2:$F$4,3,FALSE))-(VLOOKUP(D1061,$D$2:$F$4,3,FALSE))</f>
        <v>#N/A</v>
      </c>
      <c r="G1061" s="137" t="e">
        <f t="shared" si="20"/>
        <v>#N/A</v>
      </c>
    </row>
    <row r="1062" spans="1:7">
      <c r="A1062" s="112" t="str">
        <f>VLOOKUP('Informe Kelly'!A1056,Base!A:B,2,FALSE)</f>
        <v>11.124.307-7</v>
      </c>
      <c r="B1062" s="112" t="str">
        <f>VLOOKUP('Informe Kelly'!A1056,Base!A:G,7,FALSE)</f>
        <v>MUÑOZ QUENPUL JOSE ENRIQUE</v>
      </c>
      <c r="C1062" s="112" t="str">
        <f>'Informe Kelly'!E1056</f>
        <v>04.04.2011</v>
      </c>
      <c r="D1062" s="112" t="e">
        <f>VLOOKUP(A1062,Ingreso!K:P,6,FALSE)</f>
        <v>#N/A</v>
      </c>
      <c r="E1062" s="142" t="e">
        <f>(VLOOKUP(D1062,$D$2:$E$4,2,FALSE))-(IF('Informe Kelly'!H1056=$A$2,'Informe Kelly'!F1056,VLOOKUP(D1062,$D$2:$E$4,2,FALSE)))</f>
        <v>#N/A</v>
      </c>
      <c r="F1062" s="142" t="e">
        <f>IF('Informe Kelly'!H1056=$A$3,'Informe Kelly'!F1056,VLOOKUP(D1062,$D$2:$F$4,3,FALSE))-(VLOOKUP(D1062,$D$2:$F$4,3,FALSE))</f>
        <v>#N/A</v>
      </c>
      <c r="G1062" s="137" t="e">
        <f t="shared" si="20"/>
        <v>#N/A</v>
      </c>
    </row>
    <row r="1063" spans="1:7">
      <c r="A1063" s="112" t="str">
        <f>VLOOKUP('Informe Kelly'!A1057,Base!A:B,2,FALSE)</f>
        <v>11.124.307-7</v>
      </c>
      <c r="B1063" s="112" t="str">
        <f>VLOOKUP('Informe Kelly'!A1057,Base!A:G,7,FALSE)</f>
        <v>MUÑOZ QUENPUL JOSE ENRIQUE</v>
      </c>
      <c r="C1063" s="112" t="str">
        <f>'Informe Kelly'!E1057</f>
        <v>04.04.2011</v>
      </c>
      <c r="D1063" s="112" t="e">
        <f>VLOOKUP(A1063,Ingreso!K:P,6,FALSE)</f>
        <v>#N/A</v>
      </c>
      <c r="E1063" s="142" t="e">
        <f>(VLOOKUP(D1063,$D$2:$E$4,2,FALSE))-(IF('Informe Kelly'!H1057=$A$2,'Informe Kelly'!F1057,VLOOKUP(D1063,$D$2:$E$4,2,FALSE)))</f>
        <v>#N/A</v>
      </c>
      <c r="F1063" s="142" t="e">
        <f>IF('Informe Kelly'!H1057=$A$3,'Informe Kelly'!F1057,VLOOKUP(D1063,$D$2:$F$4,3,FALSE))-(VLOOKUP(D1063,$D$2:$F$4,3,FALSE))</f>
        <v>#N/A</v>
      </c>
      <c r="G1063" s="137" t="e">
        <f t="shared" si="20"/>
        <v>#N/A</v>
      </c>
    </row>
    <row r="1064" spans="1:7">
      <c r="A1064" s="112" t="str">
        <f>VLOOKUP('Informe Kelly'!A1058,Base!A:B,2,FALSE)</f>
        <v>11.124.307-7</v>
      </c>
      <c r="B1064" s="112" t="str">
        <f>VLOOKUP('Informe Kelly'!A1058,Base!A:G,7,FALSE)</f>
        <v>MUÑOZ QUENPUL JOSE ENRIQUE</v>
      </c>
      <c r="C1064" s="112" t="str">
        <f>'Informe Kelly'!E1058</f>
        <v>05.04.2011</v>
      </c>
      <c r="D1064" s="112" t="e">
        <f>VLOOKUP(A1064,Ingreso!K:P,6,FALSE)</f>
        <v>#N/A</v>
      </c>
      <c r="E1064" s="142" t="e">
        <f>(VLOOKUP(D1064,$D$2:$E$4,2,FALSE))-(IF('Informe Kelly'!H1058=$A$2,'Informe Kelly'!F1058,VLOOKUP(D1064,$D$2:$E$4,2,FALSE)))</f>
        <v>#N/A</v>
      </c>
      <c r="F1064" s="142" t="e">
        <f>IF('Informe Kelly'!H1058=$A$3,'Informe Kelly'!F1058,VLOOKUP(D1064,$D$2:$F$4,3,FALSE))-(VLOOKUP(D1064,$D$2:$F$4,3,FALSE))</f>
        <v>#N/A</v>
      </c>
      <c r="G1064" s="137" t="e">
        <f t="shared" si="20"/>
        <v>#N/A</v>
      </c>
    </row>
    <row r="1065" spans="1:7">
      <c r="A1065" s="112" t="str">
        <f>VLOOKUP('Informe Kelly'!A1059,Base!A:B,2,FALSE)</f>
        <v>11.124.307-7</v>
      </c>
      <c r="B1065" s="112" t="str">
        <f>VLOOKUP('Informe Kelly'!A1059,Base!A:G,7,FALSE)</f>
        <v>MUÑOZ QUENPUL JOSE ENRIQUE</v>
      </c>
      <c r="C1065" s="112" t="str">
        <f>'Informe Kelly'!E1059</f>
        <v>05.04.2011</v>
      </c>
      <c r="D1065" s="112" t="e">
        <f>VLOOKUP(A1065,Ingreso!K:P,6,FALSE)</f>
        <v>#N/A</v>
      </c>
      <c r="E1065" s="142" t="e">
        <f>(VLOOKUP(D1065,$D$2:$E$4,2,FALSE))-(IF('Informe Kelly'!H1059=$A$2,'Informe Kelly'!F1059,VLOOKUP(D1065,$D$2:$E$4,2,FALSE)))</f>
        <v>#N/A</v>
      </c>
      <c r="F1065" s="142" t="e">
        <f>IF('Informe Kelly'!H1059=$A$3,'Informe Kelly'!F1059,VLOOKUP(D1065,$D$2:$F$4,3,FALSE))-(VLOOKUP(D1065,$D$2:$F$4,3,FALSE))</f>
        <v>#N/A</v>
      </c>
      <c r="G1065" s="137" t="e">
        <f t="shared" si="20"/>
        <v>#N/A</v>
      </c>
    </row>
    <row r="1066" spans="1:7">
      <c r="A1066" s="112" t="str">
        <f>VLOOKUP('Informe Kelly'!A1060,Base!A:B,2,FALSE)</f>
        <v>11.124.307-7</v>
      </c>
      <c r="B1066" s="112" t="str">
        <f>VLOOKUP('Informe Kelly'!A1060,Base!A:G,7,FALSE)</f>
        <v>MUÑOZ QUENPUL JOSE ENRIQUE</v>
      </c>
      <c r="C1066" s="112" t="str">
        <f>'Informe Kelly'!E1060</f>
        <v>06.04.2011</v>
      </c>
      <c r="D1066" s="112" t="e">
        <f>VLOOKUP(A1066,Ingreso!K:P,6,FALSE)</f>
        <v>#N/A</v>
      </c>
      <c r="E1066" s="142" t="e">
        <f>(VLOOKUP(D1066,$D$2:$E$4,2,FALSE))-(IF('Informe Kelly'!H1060=$A$2,'Informe Kelly'!F1060,VLOOKUP(D1066,$D$2:$E$4,2,FALSE)))</f>
        <v>#N/A</v>
      </c>
      <c r="F1066" s="142" t="e">
        <f>IF('Informe Kelly'!H1060=$A$3,'Informe Kelly'!F1060,VLOOKUP(D1066,$D$2:$F$4,3,FALSE))-(VLOOKUP(D1066,$D$2:$F$4,3,FALSE))</f>
        <v>#N/A</v>
      </c>
      <c r="G1066" s="137" t="e">
        <f t="shared" si="20"/>
        <v>#N/A</v>
      </c>
    </row>
    <row r="1067" spans="1:7">
      <c r="A1067" s="112" t="str">
        <f>VLOOKUP('Informe Kelly'!A1061,Base!A:B,2,FALSE)</f>
        <v>11.124.307-7</v>
      </c>
      <c r="B1067" s="112" t="str">
        <f>VLOOKUP('Informe Kelly'!A1061,Base!A:G,7,FALSE)</f>
        <v>MUÑOZ QUENPUL JOSE ENRIQUE</v>
      </c>
      <c r="C1067" s="112" t="str">
        <f>'Informe Kelly'!E1061</f>
        <v>06.04.2011</v>
      </c>
      <c r="D1067" s="112" t="e">
        <f>VLOOKUP(A1067,Ingreso!K:P,6,FALSE)</f>
        <v>#N/A</v>
      </c>
      <c r="E1067" s="142" t="e">
        <f>(VLOOKUP(D1067,$D$2:$E$4,2,FALSE))-(IF('Informe Kelly'!H1061=$A$2,'Informe Kelly'!F1061,VLOOKUP(D1067,$D$2:$E$4,2,FALSE)))</f>
        <v>#N/A</v>
      </c>
      <c r="F1067" s="142" t="e">
        <f>IF('Informe Kelly'!H1061=$A$3,'Informe Kelly'!F1061,VLOOKUP(D1067,$D$2:$F$4,3,FALSE))-(VLOOKUP(D1067,$D$2:$F$4,3,FALSE))</f>
        <v>#N/A</v>
      </c>
      <c r="G1067" s="137" t="e">
        <f t="shared" si="20"/>
        <v>#N/A</v>
      </c>
    </row>
    <row r="1068" spans="1:7">
      <c r="A1068" s="112" t="str">
        <f>VLOOKUP('Informe Kelly'!A1062,Base!A:B,2,FALSE)</f>
        <v>11.124.307-7</v>
      </c>
      <c r="B1068" s="112" t="str">
        <f>VLOOKUP('Informe Kelly'!A1062,Base!A:G,7,FALSE)</f>
        <v>MUÑOZ QUENPUL JOSE ENRIQUE</v>
      </c>
      <c r="C1068" s="112" t="str">
        <f>'Informe Kelly'!E1062</f>
        <v>07.04.2011</v>
      </c>
      <c r="D1068" s="112" t="e">
        <f>VLOOKUP(A1068,Ingreso!K:P,6,FALSE)</f>
        <v>#N/A</v>
      </c>
      <c r="E1068" s="142" t="e">
        <f>(VLOOKUP(D1068,$D$2:$E$4,2,FALSE))-(IF('Informe Kelly'!H1062=$A$2,'Informe Kelly'!F1062,VLOOKUP(D1068,$D$2:$E$4,2,FALSE)))</f>
        <v>#N/A</v>
      </c>
      <c r="F1068" s="142" t="e">
        <f>IF('Informe Kelly'!H1062=$A$3,'Informe Kelly'!F1062,VLOOKUP(D1068,$D$2:$F$4,3,FALSE))-(VLOOKUP(D1068,$D$2:$F$4,3,FALSE))</f>
        <v>#N/A</v>
      </c>
      <c r="G1068" s="137" t="e">
        <f t="shared" si="20"/>
        <v>#N/A</v>
      </c>
    </row>
    <row r="1069" spans="1:7">
      <c r="A1069" s="112" t="str">
        <f>VLOOKUP('Informe Kelly'!A1063,Base!A:B,2,FALSE)</f>
        <v>11.124.307-7</v>
      </c>
      <c r="B1069" s="112" t="str">
        <f>VLOOKUP('Informe Kelly'!A1063,Base!A:G,7,FALSE)</f>
        <v>MUÑOZ QUENPUL JOSE ENRIQUE</v>
      </c>
      <c r="C1069" s="112" t="str">
        <f>'Informe Kelly'!E1063</f>
        <v>07.04.2011</v>
      </c>
      <c r="D1069" s="112" t="e">
        <f>VLOOKUP(A1069,Ingreso!K:P,6,FALSE)</f>
        <v>#N/A</v>
      </c>
      <c r="E1069" s="142" t="e">
        <f>(VLOOKUP(D1069,$D$2:$E$4,2,FALSE))-(IF('Informe Kelly'!H1063=$A$2,'Informe Kelly'!F1063,VLOOKUP(D1069,$D$2:$E$4,2,FALSE)))</f>
        <v>#N/A</v>
      </c>
      <c r="F1069" s="142" t="e">
        <f>IF('Informe Kelly'!H1063=$A$3,'Informe Kelly'!F1063,VLOOKUP(D1069,$D$2:$F$4,3,FALSE))-(VLOOKUP(D1069,$D$2:$F$4,3,FALSE))</f>
        <v>#N/A</v>
      </c>
      <c r="G1069" s="137" t="e">
        <f t="shared" si="20"/>
        <v>#N/A</v>
      </c>
    </row>
    <row r="1070" spans="1:7">
      <c r="A1070" s="112" t="str">
        <f>VLOOKUP('Informe Kelly'!A1064,Base!A:B,2,FALSE)</f>
        <v>11.124.307-7</v>
      </c>
      <c r="B1070" s="112" t="str">
        <f>VLOOKUP('Informe Kelly'!A1064,Base!A:G,7,FALSE)</f>
        <v>MUÑOZ QUENPUL JOSE ENRIQUE</v>
      </c>
      <c r="C1070" s="112" t="str">
        <f>'Informe Kelly'!E1064</f>
        <v>08.04.2011</v>
      </c>
      <c r="D1070" s="112" t="e">
        <f>VLOOKUP(A1070,Ingreso!K:P,6,FALSE)</f>
        <v>#N/A</v>
      </c>
      <c r="E1070" s="142" t="e">
        <f>(VLOOKUP(D1070,$D$2:$E$4,2,FALSE))-(IF('Informe Kelly'!H1064=$A$2,'Informe Kelly'!F1064,VLOOKUP(D1070,$D$2:$E$4,2,FALSE)))</f>
        <v>#N/A</v>
      </c>
      <c r="F1070" s="142" t="e">
        <f>IF('Informe Kelly'!H1064=$A$3,'Informe Kelly'!F1064,VLOOKUP(D1070,$D$2:$F$4,3,FALSE))-(VLOOKUP(D1070,$D$2:$F$4,3,FALSE))</f>
        <v>#N/A</v>
      </c>
      <c r="G1070" s="137" t="e">
        <f t="shared" si="20"/>
        <v>#N/A</v>
      </c>
    </row>
    <row r="1071" spans="1:7">
      <c r="A1071" s="112" t="str">
        <f>VLOOKUP('Informe Kelly'!A1065,Base!A:B,2,FALSE)</f>
        <v>11.124.307-7</v>
      </c>
      <c r="B1071" s="112" t="str">
        <f>VLOOKUP('Informe Kelly'!A1065,Base!A:G,7,FALSE)</f>
        <v>MUÑOZ QUENPUL JOSE ENRIQUE</v>
      </c>
      <c r="C1071" s="112" t="str">
        <f>'Informe Kelly'!E1065</f>
        <v>08.04.2011</v>
      </c>
      <c r="D1071" s="112" t="e">
        <f>VLOOKUP(A1071,Ingreso!K:P,6,FALSE)</f>
        <v>#N/A</v>
      </c>
      <c r="E1071" s="142" t="e">
        <f>(VLOOKUP(D1071,$D$2:$E$4,2,FALSE))-(IF('Informe Kelly'!H1065=$A$2,'Informe Kelly'!F1065,VLOOKUP(D1071,$D$2:$E$4,2,FALSE)))</f>
        <v>#N/A</v>
      </c>
      <c r="F1071" s="142" t="e">
        <f>IF('Informe Kelly'!H1065=$A$3,'Informe Kelly'!F1065,VLOOKUP(D1071,$D$2:$F$4,3,FALSE))-(VLOOKUP(D1071,$D$2:$F$4,3,FALSE))</f>
        <v>#N/A</v>
      </c>
      <c r="G1071" s="137" t="e">
        <f t="shared" si="20"/>
        <v>#N/A</v>
      </c>
    </row>
    <row r="1072" spans="1:7">
      <c r="A1072" s="112" t="str">
        <f>VLOOKUP('Informe Kelly'!A1066,Base!A:B,2,FALSE)</f>
        <v>11.124.307-7</v>
      </c>
      <c r="B1072" s="112" t="str">
        <f>VLOOKUP('Informe Kelly'!A1066,Base!A:G,7,FALSE)</f>
        <v>MUÑOZ QUENPUL JOSE ENRIQUE</v>
      </c>
      <c r="C1072" s="112" t="str">
        <f>'Informe Kelly'!E1066</f>
        <v>09.04.2011</v>
      </c>
      <c r="D1072" s="112" t="e">
        <f>VLOOKUP(A1072,Ingreso!K:P,6,FALSE)</f>
        <v>#N/A</v>
      </c>
      <c r="E1072" s="142" t="e">
        <f>(VLOOKUP(D1072,$D$2:$E$4,2,FALSE))-(IF('Informe Kelly'!H1066=$A$2,'Informe Kelly'!F1066,VLOOKUP(D1072,$D$2:$E$4,2,FALSE)))</f>
        <v>#N/A</v>
      </c>
      <c r="F1072" s="142" t="e">
        <f>IF('Informe Kelly'!H1066=$A$3,'Informe Kelly'!F1066,VLOOKUP(D1072,$D$2:$F$4,3,FALSE))-(VLOOKUP(D1072,$D$2:$F$4,3,FALSE))</f>
        <v>#N/A</v>
      </c>
      <c r="G1072" s="137" t="e">
        <f t="shared" si="20"/>
        <v>#N/A</v>
      </c>
    </row>
    <row r="1073" spans="1:7">
      <c r="A1073" s="112" t="str">
        <f>VLOOKUP('Informe Kelly'!A1067,Base!A:B,2,FALSE)</f>
        <v>11.124.307-7</v>
      </c>
      <c r="B1073" s="112" t="str">
        <f>VLOOKUP('Informe Kelly'!A1067,Base!A:G,7,FALSE)</f>
        <v>MUÑOZ QUENPUL JOSE ENRIQUE</v>
      </c>
      <c r="C1073" s="112" t="str">
        <f>'Informe Kelly'!E1067</f>
        <v>09.04.2011</v>
      </c>
      <c r="D1073" s="112" t="e">
        <f>VLOOKUP(A1073,Ingreso!K:P,6,FALSE)</f>
        <v>#N/A</v>
      </c>
      <c r="E1073" s="142" t="e">
        <f>(VLOOKUP(D1073,$D$2:$E$4,2,FALSE))-(IF('Informe Kelly'!H1067=$A$2,'Informe Kelly'!F1067,VLOOKUP(D1073,$D$2:$E$4,2,FALSE)))</f>
        <v>#N/A</v>
      </c>
      <c r="F1073" s="142" t="e">
        <f>IF('Informe Kelly'!H1067=$A$3,'Informe Kelly'!F1067,VLOOKUP(D1073,$D$2:$F$4,3,FALSE))-(VLOOKUP(D1073,$D$2:$F$4,3,FALSE))</f>
        <v>#N/A</v>
      </c>
      <c r="G1073" s="137" t="e">
        <f t="shared" si="20"/>
        <v>#N/A</v>
      </c>
    </row>
    <row r="1074" spans="1:7">
      <c r="A1074" s="112" t="str">
        <f>VLOOKUP('Informe Kelly'!A1068,Base!A:B,2,FALSE)</f>
        <v>11.267.594-9</v>
      </c>
      <c r="B1074" s="112" t="str">
        <f>VLOOKUP('Informe Kelly'!A1068,Base!A:G,7,FALSE)</f>
        <v>ESPINOZA MORENO JOAQUIN</v>
      </c>
      <c r="C1074" s="112" t="str">
        <f>'Informe Kelly'!E1068</f>
        <v>04.04.2011</v>
      </c>
      <c r="D1074" s="112" t="e">
        <f>VLOOKUP(A1074,Ingreso!K:P,6,FALSE)</f>
        <v>#N/A</v>
      </c>
      <c r="E1074" s="142" t="e">
        <f>(VLOOKUP(D1074,$D$2:$E$4,2,FALSE))-(IF('Informe Kelly'!H1068=$A$2,'Informe Kelly'!F1068,VLOOKUP(D1074,$D$2:$E$4,2,FALSE)))</f>
        <v>#N/A</v>
      </c>
      <c r="F1074" s="142" t="e">
        <f>IF('Informe Kelly'!H1068=$A$3,'Informe Kelly'!F1068,VLOOKUP(D1074,$D$2:$F$4,3,FALSE))-(VLOOKUP(D1074,$D$2:$F$4,3,FALSE))</f>
        <v>#N/A</v>
      </c>
      <c r="G1074" s="137" t="e">
        <f t="shared" si="20"/>
        <v>#N/A</v>
      </c>
    </row>
    <row r="1075" spans="1:7">
      <c r="A1075" s="112" t="str">
        <f>VLOOKUP('Informe Kelly'!A1069,Base!A:B,2,FALSE)</f>
        <v>11.267.594-9</v>
      </c>
      <c r="B1075" s="112" t="str">
        <f>VLOOKUP('Informe Kelly'!A1069,Base!A:G,7,FALSE)</f>
        <v>ESPINOZA MORENO JOAQUIN</v>
      </c>
      <c r="C1075" s="112" t="str">
        <f>'Informe Kelly'!E1069</f>
        <v>04.04.2011</v>
      </c>
      <c r="D1075" s="112" t="e">
        <f>VLOOKUP(A1075,Ingreso!K:P,6,FALSE)</f>
        <v>#N/A</v>
      </c>
      <c r="E1075" s="142" t="e">
        <f>(VLOOKUP(D1075,$D$2:$E$4,2,FALSE))-(IF('Informe Kelly'!H1069=$A$2,'Informe Kelly'!F1069,VLOOKUP(D1075,$D$2:$E$4,2,FALSE)))</f>
        <v>#N/A</v>
      </c>
      <c r="F1075" s="142" t="e">
        <f>IF('Informe Kelly'!H1069=$A$3,'Informe Kelly'!F1069,VLOOKUP(D1075,$D$2:$F$4,3,FALSE))-(VLOOKUP(D1075,$D$2:$F$4,3,FALSE))</f>
        <v>#N/A</v>
      </c>
      <c r="G1075" s="137" t="e">
        <f t="shared" si="20"/>
        <v>#N/A</v>
      </c>
    </row>
    <row r="1076" spans="1:7">
      <c r="A1076" s="112" t="str">
        <f>VLOOKUP('Informe Kelly'!A1070,Base!A:B,2,FALSE)</f>
        <v>11.267.594-9</v>
      </c>
      <c r="B1076" s="112" t="str">
        <f>VLOOKUP('Informe Kelly'!A1070,Base!A:G,7,FALSE)</f>
        <v>ESPINOZA MORENO JOAQUIN</v>
      </c>
      <c r="C1076" s="112" t="str">
        <f>'Informe Kelly'!E1070</f>
        <v>05.04.2011</v>
      </c>
      <c r="D1076" s="112" t="e">
        <f>VLOOKUP(A1076,Ingreso!K:P,6,FALSE)</f>
        <v>#N/A</v>
      </c>
      <c r="E1076" s="142" t="e">
        <f>(VLOOKUP(D1076,$D$2:$E$4,2,FALSE))-(IF('Informe Kelly'!H1070=$A$2,'Informe Kelly'!F1070,VLOOKUP(D1076,$D$2:$E$4,2,FALSE)))</f>
        <v>#N/A</v>
      </c>
      <c r="F1076" s="142" t="e">
        <f>IF('Informe Kelly'!H1070=$A$3,'Informe Kelly'!F1070,VLOOKUP(D1076,$D$2:$F$4,3,FALSE))-(VLOOKUP(D1076,$D$2:$F$4,3,FALSE))</f>
        <v>#N/A</v>
      </c>
      <c r="G1076" s="137" t="e">
        <f t="shared" si="20"/>
        <v>#N/A</v>
      </c>
    </row>
    <row r="1077" spans="1:7">
      <c r="A1077" s="112" t="str">
        <f>VLOOKUP('Informe Kelly'!A1071,Base!A:B,2,FALSE)</f>
        <v>11.267.594-9</v>
      </c>
      <c r="B1077" s="112" t="str">
        <f>VLOOKUP('Informe Kelly'!A1071,Base!A:G,7,FALSE)</f>
        <v>ESPINOZA MORENO JOAQUIN</v>
      </c>
      <c r="C1077" s="112" t="str">
        <f>'Informe Kelly'!E1071</f>
        <v>05.04.2011</v>
      </c>
      <c r="D1077" s="112" t="e">
        <f>VLOOKUP(A1077,Ingreso!K:P,6,FALSE)</f>
        <v>#N/A</v>
      </c>
      <c r="E1077" s="142" t="e">
        <f>(VLOOKUP(D1077,$D$2:$E$4,2,FALSE))-(IF('Informe Kelly'!H1071=$A$2,'Informe Kelly'!F1071,VLOOKUP(D1077,$D$2:$E$4,2,FALSE)))</f>
        <v>#N/A</v>
      </c>
      <c r="F1077" s="142" t="e">
        <f>IF('Informe Kelly'!H1071=$A$3,'Informe Kelly'!F1071,VLOOKUP(D1077,$D$2:$F$4,3,FALSE))-(VLOOKUP(D1077,$D$2:$F$4,3,FALSE))</f>
        <v>#N/A</v>
      </c>
      <c r="G1077" s="137" t="e">
        <f t="shared" si="20"/>
        <v>#N/A</v>
      </c>
    </row>
    <row r="1078" spans="1:7">
      <c r="A1078" s="112" t="str">
        <f>VLOOKUP('Informe Kelly'!A1072,Base!A:B,2,FALSE)</f>
        <v>11.267.594-9</v>
      </c>
      <c r="B1078" s="112" t="str">
        <f>VLOOKUP('Informe Kelly'!A1072,Base!A:G,7,FALSE)</f>
        <v>ESPINOZA MORENO JOAQUIN</v>
      </c>
      <c r="C1078" s="112" t="str">
        <f>'Informe Kelly'!E1072</f>
        <v>06.04.2011</v>
      </c>
      <c r="D1078" s="112" t="e">
        <f>VLOOKUP(A1078,Ingreso!K:P,6,FALSE)</f>
        <v>#N/A</v>
      </c>
      <c r="E1078" s="142" t="e">
        <f>(VLOOKUP(D1078,$D$2:$E$4,2,FALSE))-(IF('Informe Kelly'!H1072=$A$2,'Informe Kelly'!F1072,VLOOKUP(D1078,$D$2:$E$4,2,FALSE)))</f>
        <v>#N/A</v>
      </c>
      <c r="F1078" s="142" t="e">
        <f>IF('Informe Kelly'!H1072=$A$3,'Informe Kelly'!F1072,VLOOKUP(D1078,$D$2:$F$4,3,FALSE))-(VLOOKUP(D1078,$D$2:$F$4,3,FALSE))</f>
        <v>#N/A</v>
      </c>
      <c r="G1078" s="137" t="e">
        <f t="shared" si="20"/>
        <v>#N/A</v>
      </c>
    </row>
    <row r="1079" spans="1:7">
      <c r="A1079" s="112" t="str">
        <f>VLOOKUP('Informe Kelly'!A1073,Base!A:B,2,FALSE)</f>
        <v>11.267.594-9</v>
      </c>
      <c r="B1079" s="112" t="str">
        <f>VLOOKUP('Informe Kelly'!A1073,Base!A:G,7,FALSE)</f>
        <v>ESPINOZA MORENO JOAQUIN</v>
      </c>
      <c r="C1079" s="112" t="str">
        <f>'Informe Kelly'!E1073</f>
        <v>06.04.2011</v>
      </c>
      <c r="D1079" s="112" t="e">
        <f>VLOOKUP(A1079,Ingreso!K:P,6,FALSE)</f>
        <v>#N/A</v>
      </c>
      <c r="E1079" s="142" t="e">
        <f>(VLOOKUP(D1079,$D$2:$E$4,2,FALSE))-(IF('Informe Kelly'!H1073=$A$2,'Informe Kelly'!F1073,VLOOKUP(D1079,$D$2:$E$4,2,FALSE)))</f>
        <v>#N/A</v>
      </c>
      <c r="F1079" s="142" t="e">
        <f>IF('Informe Kelly'!H1073=$A$3,'Informe Kelly'!F1073,VLOOKUP(D1079,$D$2:$F$4,3,FALSE))-(VLOOKUP(D1079,$D$2:$F$4,3,FALSE))</f>
        <v>#N/A</v>
      </c>
      <c r="G1079" s="137" t="e">
        <f t="shared" si="20"/>
        <v>#N/A</v>
      </c>
    </row>
    <row r="1080" spans="1:7">
      <c r="A1080" s="112" t="str">
        <f>VLOOKUP('Informe Kelly'!A1074,Base!A:B,2,FALSE)</f>
        <v>11.267.594-9</v>
      </c>
      <c r="B1080" s="112" t="str">
        <f>VLOOKUP('Informe Kelly'!A1074,Base!A:G,7,FALSE)</f>
        <v>ESPINOZA MORENO JOAQUIN</v>
      </c>
      <c r="C1080" s="112" t="str">
        <f>'Informe Kelly'!E1074</f>
        <v>07.04.2011</v>
      </c>
      <c r="D1080" s="112" t="e">
        <f>VLOOKUP(A1080,Ingreso!K:P,6,FALSE)</f>
        <v>#N/A</v>
      </c>
      <c r="E1080" s="142" t="e">
        <f>(VLOOKUP(D1080,$D$2:$E$4,2,FALSE))-(IF('Informe Kelly'!H1074=$A$2,'Informe Kelly'!F1074,VLOOKUP(D1080,$D$2:$E$4,2,FALSE)))</f>
        <v>#N/A</v>
      </c>
      <c r="F1080" s="142" t="e">
        <f>IF('Informe Kelly'!H1074=$A$3,'Informe Kelly'!F1074,VLOOKUP(D1080,$D$2:$F$4,3,FALSE))-(VLOOKUP(D1080,$D$2:$F$4,3,FALSE))</f>
        <v>#N/A</v>
      </c>
      <c r="G1080" s="137" t="e">
        <f t="shared" si="20"/>
        <v>#N/A</v>
      </c>
    </row>
    <row r="1081" spans="1:7">
      <c r="A1081" s="112" t="str">
        <f>VLOOKUP('Informe Kelly'!A1075,Base!A:B,2,FALSE)</f>
        <v>11.267.594-9</v>
      </c>
      <c r="B1081" s="112" t="str">
        <f>VLOOKUP('Informe Kelly'!A1075,Base!A:G,7,FALSE)</f>
        <v>ESPINOZA MORENO JOAQUIN</v>
      </c>
      <c r="C1081" s="112" t="str">
        <f>'Informe Kelly'!E1075</f>
        <v>07.04.2011</v>
      </c>
      <c r="D1081" s="112" t="e">
        <f>VLOOKUP(A1081,Ingreso!K:P,6,FALSE)</f>
        <v>#N/A</v>
      </c>
      <c r="E1081" s="142" t="e">
        <f>(VLOOKUP(D1081,$D$2:$E$4,2,FALSE))-(IF('Informe Kelly'!H1075=$A$2,'Informe Kelly'!F1075,VLOOKUP(D1081,$D$2:$E$4,2,FALSE)))</f>
        <v>#N/A</v>
      </c>
      <c r="F1081" s="142" t="e">
        <f>IF('Informe Kelly'!H1075=$A$3,'Informe Kelly'!F1075,VLOOKUP(D1081,$D$2:$F$4,3,FALSE))-(VLOOKUP(D1081,$D$2:$F$4,3,FALSE))</f>
        <v>#N/A</v>
      </c>
      <c r="G1081" s="137" t="e">
        <f t="shared" si="20"/>
        <v>#N/A</v>
      </c>
    </row>
    <row r="1082" spans="1:7">
      <c r="A1082" s="112" t="str">
        <f>VLOOKUP('Informe Kelly'!A1076,Base!A:B,2,FALSE)</f>
        <v>11.267.594-9</v>
      </c>
      <c r="B1082" s="112" t="str">
        <f>VLOOKUP('Informe Kelly'!A1076,Base!A:G,7,FALSE)</f>
        <v>ESPINOZA MORENO JOAQUIN</v>
      </c>
      <c r="C1082" s="112" t="str">
        <f>'Informe Kelly'!E1076</f>
        <v>08.04.2011</v>
      </c>
      <c r="D1082" s="112" t="e">
        <f>VLOOKUP(A1082,Ingreso!K:P,6,FALSE)</f>
        <v>#N/A</v>
      </c>
      <c r="E1082" s="142" t="e">
        <f>(VLOOKUP(D1082,$D$2:$E$4,2,FALSE))-(IF('Informe Kelly'!H1076=$A$2,'Informe Kelly'!F1076,VLOOKUP(D1082,$D$2:$E$4,2,FALSE)))</f>
        <v>#N/A</v>
      </c>
      <c r="F1082" s="142" t="e">
        <f>IF('Informe Kelly'!H1076=$A$3,'Informe Kelly'!F1076,VLOOKUP(D1082,$D$2:$F$4,3,FALSE))-(VLOOKUP(D1082,$D$2:$F$4,3,FALSE))</f>
        <v>#N/A</v>
      </c>
      <c r="G1082" s="137" t="e">
        <f t="shared" si="20"/>
        <v>#N/A</v>
      </c>
    </row>
    <row r="1083" spans="1:7">
      <c r="A1083" s="112" t="str">
        <f>VLOOKUP('Informe Kelly'!A1077,Base!A:B,2,FALSE)</f>
        <v>11.267.594-9</v>
      </c>
      <c r="B1083" s="112" t="str">
        <f>VLOOKUP('Informe Kelly'!A1077,Base!A:G,7,FALSE)</f>
        <v>ESPINOZA MORENO JOAQUIN</v>
      </c>
      <c r="C1083" s="112" t="str">
        <f>'Informe Kelly'!E1077</f>
        <v>08.04.2011</v>
      </c>
      <c r="D1083" s="112" t="e">
        <f>VLOOKUP(A1083,Ingreso!K:P,6,FALSE)</f>
        <v>#N/A</v>
      </c>
      <c r="E1083" s="142" t="e">
        <f>(VLOOKUP(D1083,$D$2:$E$4,2,FALSE))-(IF('Informe Kelly'!H1077=$A$2,'Informe Kelly'!F1077,VLOOKUP(D1083,$D$2:$E$4,2,FALSE)))</f>
        <v>#N/A</v>
      </c>
      <c r="F1083" s="142" t="e">
        <f>IF('Informe Kelly'!H1077=$A$3,'Informe Kelly'!F1077,VLOOKUP(D1083,$D$2:$F$4,3,FALSE))-(VLOOKUP(D1083,$D$2:$F$4,3,FALSE))</f>
        <v>#N/A</v>
      </c>
      <c r="G1083" s="137" t="e">
        <f t="shared" si="20"/>
        <v>#N/A</v>
      </c>
    </row>
    <row r="1084" spans="1:7">
      <c r="A1084" s="112" t="str">
        <f>VLOOKUP('Informe Kelly'!A1078,Base!A:B,2,FALSE)</f>
        <v>11.306.351-3</v>
      </c>
      <c r="B1084" s="112" t="str">
        <f>VLOOKUP('Informe Kelly'!A1078,Base!A:G,7,FALSE)</f>
        <v>MANQUIAN NORIEGA RUBEN MARCO</v>
      </c>
      <c r="C1084" s="112" t="str">
        <f>'Informe Kelly'!E1078</f>
        <v>04.04.2011</v>
      </c>
      <c r="D1084" s="112" t="e">
        <f>VLOOKUP(A1084,Ingreso!K:P,6,FALSE)</f>
        <v>#N/A</v>
      </c>
      <c r="E1084" s="142" t="e">
        <f>(VLOOKUP(D1084,$D$2:$E$4,2,FALSE))-(IF('Informe Kelly'!H1078=$A$2,'Informe Kelly'!F1078,VLOOKUP(D1084,$D$2:$E$4,2,FALSE)))</f>
        <v>#N/A</v>
      </c>
      <c r="F1084" s="142" t="e">
        <f>IF('Informe Kelly'!H1078=$A$3,'Informe Kelly'!F1078,VLOOKUP(D1084,$D$2:$F$4,3,FALSE))-(VLOOKUP(D1084,$D$2:$F$4,3,FALSE))</f>
        <v>#N/A</v>
      </c>
      <c r="G1084" s="137" t="e">
        <f t="shared" si="20"/>
        <v>#N/A</v>
      </c>
    </row>
    <row r="1085" spans="1:7">
      <c r="A1085" s="112" t="str">
        <f>VLOOKUP('Informe Kelly'!A1079,Base!A:B,2,FALSE)</f>
        <v>11.306.351-3</v>
      </c>
      <c r="B1085" s="112" t="str">
        <f>VLOOKUP('Informe Kelly'!A1079,Base!A:G,7,FALSE)</f>
        <v>MANQUIAN NORIEGA RUBEN MARCO</v>
      </c>
      <c r="C1085" s="112" t="str">
        <f>'Informe Kelly'!E1079</f>
        <v>04.04.2011</v>
      </c>
      <c r="D1085" s="112" t="e">
        <f>VLOOKUP(A1085,Ingreso!K:P,6,FALSE)</f>
        <v>#N/A</v>
      </c>
      <c r="E1085" s="142" t="e">
        <f>(VLOOKUP(D1085,$D$2:$E$4,2,FALSE))-(IF('Informe Kelly'!H1079=$A$2,'Informe Kelly'!F1079,VLOOKUP(D1085,$D$2:$E$4,2,FALSE)))</f>
        <v>#N/A</v>
      </c>
      <c r="F1085" s="142" t="e">
        <f>IF('Informe Kelly'!H1079=$A$3,'Informe Kelly'!F1079,VLOOKUP(D1085,$D$2:$F$4,3,FALSE))-(VLOOKUP(D1085,$D$2:$F$4,3,FALSE))</f>
        <v>#N/A</v>
      </c>
      <c r="G1085" s="137" t="e">
        <f t="shared" si="20"/>
        <v>#N/A</v>
      </c>
    </row>
    <row r="1086" spans="1:7">
      <c r="A1086" s="112" t="str">
        <f>VLOOKUP('Informe Kelly'!A1080,Base!A:B,2,FALSE)</f>
        <v>11.306.351-3</v>
      </c>
      <c r="B1086" s="112" t="str">
        <f>VLOOKUP('Informe Kelly'!A1080,Base!A:G,7,FALSE)</f>
        <v>MANQUIAN NORIEGA RUBEN MARCO</v>
      </c>
      <c r="C1086" s="112" t="str">
        <f>'Informe Kelly'!E1080</f>
        <v>05.04.2011</v>
      </c>
      <c r="D1086" s="112" t="e">
        <f>VLOOKUP(A1086,Ingreso!K:P,6,FALSE)</f>
        <v>#N/A</v>
      </c>
      <c r="E1086" s="142" t="e">
        <f>(VLOOKUP(D1086,$D$2:$E$4,2,FALSE))-(IF('Informe Kelly'!H1080=$A$2,'Informe Kelly'!F1080,VLOOKUP(D1086,$D$2:$E$4,2,FALSE)))</f>
        <v>#N/A</v>
      </c>
      <c r="F1086" s="142" t="e">
        <f>IF('Informe Kelly'!H1080=$A$3,'Informe Kelly'!F1080,VLOOKUP(D1086,$D$2:$F$4,3,FALSE))-(VLOOKUP(D1086,$D$2:$F$4,3,FALSE))</f>
        <v>#N/A</v>
      </c>
      <c r="G1086" s="137" t="e">
        <f t="shared" si="20"/>
        <v>#N/A</v>
      </c>
    </row>
    <row r="1087" spans="1:7">
      <c r="A1087" s="112" t="str">
        <f>VLOOKUP('Informe Kelly'!A1081,Base!A:B,2,FALSE)</f>
        <v>11.306.351-3</v>
      </c>
      <c r="B1087" s="112" t="str">
        <f>VLOOKUP('Informe Kelly'!A1081,Base!A:G,7,FALSE)</f>
        <v>MANQUIAN NORIEGA RUBEN MARCO</v>
      </c>
      <c r="C1087" s="112" t="str">
        <f>'Informe Kelly'!E1081</f>
        <v>05.04.2011</v>
      </c>
      <c r="D1087" s="112" t="e">
        <f>VLOOKUP(A1087,Ingreso!K:P,6,FALSE)</f>
        <v>#N/A</v>
      </c>
      <c r="E1087" s="142" t="e">
        <f>(VLOOKUP(D1087,$D$2:$E$4,2,FALSE))-(IF('Informe Kelly'!H1081=$A$2,'Informe Kelly'!F1081,VLOOKUP(D1087,$D$2:$E$4,2,FALSE)))</f>
        <v>#N/A</v>
      </c>
      <c r="F1087" s="142" t="e">
        <f>IF('Informe Kelly'!H1081=$A$3,'Informe Kelly'!F1081,VLOOKUP(D1087,$D$2:$F$4,3,FALSE))-(VLOOKUP(D1087,$D$2:$F$4,3,FALSE))</f>
        <v>#N/A</v>
      </c>
      <c r="G1087" s="137" t="e">
        <f t="shared" si="20"/>
        <v>#N/A</v>
      </c>
    </row>
    <row r="1088" spans="1:7">
      <c r="A1088" s="112" t="str">
        <f>VLOOKUP('Informe Kelly'!A1082,Base!A:B,2,FALSE)</f>
        <v>11.306.351-3</v>
      </c>
      <c r="B1088" s="112" t="str">
        <f>VLOOKUP('Informe Kelly'!A1082,Base!A:G,7,FALSE)</f>
        <v>MANQUIAN NORIEGA RUBEN MARCO</v>
      </c>
      <c r="C1088" s="112" t="str">
        <f>'Informe Kelly'!E1082</f>
        <v>06.04.2011</v>
      </c>
      <c r="D1088" s="112" t="e">
        <f>VLOOKUP(A1088,Ingreso!K:P,6,FALSE)</f>
        <v>#N/A</v>
      </c>
      <c r="E1088" s="142" t="e">
        <f>(VLOOKUP(D1088,$D$2:$E$4,2,FALSE))-(IF('Informe Kelly'!H1082=$A$2,'Informe Kelly'!F1082,VLOOKUP(D1088,$D$2:$E$4,2,FALSE)))</f>
        <v>#N/A</v>
      </c>
      <c r="F1088" s="142" t="e">
        <f>IF('Informe Kelly'!H1082=$A$3,'Informe Kelly'!F1082,VLOOKUP(D1088,$D$2:$F$4,3,FALSE))-(VLOOKUP(D1088,$D$2:$F$4,3,FALSE))</f>
        <v>#N/A</v>
      </c>
      <c r="G1088" s="137" t="e">
        <f t="shared" si="20"/>
        <v>#N/A</v>
      </c>
    </row>
    <row r="1089" spans="1:7">
      <c r="A1089" s="112" t="str">
        <f>VLOOKUP('Informe Kelly'!A1083,Base!A:B,2,FALSE)</f>
        <v>11.306.351-3</v>
      </c>
      <c r="B1089" s="112" t="str">
        <f>VLOOKUP('Informe Kelly'!A1083,Base!A:G,7,FALSE)</f>
        <v>MANQUIAN NORIEGA RUBEN MARCO</v>
      </c>
      <c r="C1089" s="112" t="str">
        <f>'Informe Kelly'!E1083</f>
        <v>06.04.2011</v>
      </c>
      <c r="D1089" s="112" t="e">
        <f>VLOOKUP(A1089,Ingreso!K:P,6,FALSE)</f>
        <v>#N/A</v>
      </c>
      <c r="E1089" s="142" t="e">
        <f>(VLOOKUP(D1089,$D$2:$E$4,2,FALSE))-(IF('Informe Kelly'!H1083=$A$2,'Informe Kelly'!F1083,VLOOKUP(D1089,$D$2:$E$4,2,FALSE)))</f>
        <v>#N/A</v>
      </c>
      <c r="F1089" s="142" t="e">
        <f>IF('Informe Kelly'!H1083=$A$3,'Informe Kelly'!F1083,VLOOKUP(D1089,$D$2:$F$4,3,FALSE))-(VLOOKUP(D1089,$D$2:$F$4,3,FALSE))</f>
        <v>#N/A</v>
      </c>
      <c r="G1089" s="137" t="e">
        <f t="shared" si="20"/>
        <v>#N/A</v>
      </c>
    </row>
    <row r="1090" spans="1:7">
      <c r="A1090" s="112" t="str">
        <f>VLOOKUP('Informe Kelly'!A1084,Base!A:B,2,FALSE)</f>
        <v>11.306.351-3</v>
      </c>
      <c r="B1090" s="112" t="str">
        <f>VLOOKUP('Informe Kelly'!A1084,Base!A:G,7,FALSE)</f>
        <v>MANQUIAN NORIEGA RUBEN MARCO</v>
      </c>
      <c r="C1090" s="112" t="str">
        <f>'Informe Kelly'!E1084</f>
        <v>07.04.2011</v>
      </c>
      <c r="D1090" s="112" t="e">
        <f>VLOOKUP(A1090,Ingreso!K:P,6,FALSE)</f>
        <v>#N/A</v>
      </c>
      <c r="E1090" s="142" t="e">
        <f>(VLOOKUP(D1090,$D$2:$E$4,2,FALSE))-(IF('Informe Kelly'!H1084=$A$2,'Informe Kelly'!F1084,VLOOKUP(D1090,$D$2:$E$4,2,FALSE)))</f>
        <v>#N/A</v>
      </c>
      <c r="F1090" s="142" t="e">
        <f>IF('Informe Kelly'!H1084=$A$3,'Informe Kelly'!F1084,VLOOKUP(D1090,$D$2:$F$4,3,FALSE))-(VLOOKUP(D1090,$D$2:$F$4,3,FALSE))</f>
        <v>#N/A</v>
      </c>
      <c r="G1090" s="137" t="e">
        <f t="shared" si="20"/>
        <v>#N/A</v>
      </c>
    </row>
    <row r="1091" spans="1:7">
      <c r="A1091" s="112" t="str">
        <f>VLOOKUP('Informe Kelly'!A1085,Base!A:B,2,FALSE)</f>
        <v>11.306.351-3</v>
      </c>
      <c r="B1091" s="112" t="str">
        <f>VLOOKUP('Informe Kelly'!A1085,Base!A:G,7,FALSE)</f>
        <v>MANQUIAN NORIEGA RUBEN MARCO</v>
      </c>
      <c r="C1091" s="112" t="str">
        <f>'Informe Kelly'!E1085</f>
        <v>07.04.2011</v>
      </c>
      <c r="D1091" s="112" t="e">
        <f>VLOOKUP(A1091,Ingreso!K:P,6,FALSE)</f>
        <v>#N/A</v>
      </c>
      <c r="E1091" s="142" t="e">
        <f>(VLOOKUP(D1091,$D$2:$E$4,2,FALSE))-(IF('Informe Kelly'!H1085=$A$2,'Informe Kelly'!F1085,VLOOKUP(D1091,$D$2:$E$4,2,FALSE)))</f>
        <v>#N/A</v>
      </c>
      <c r="F1091" s="142" t="e">
        <f>IF('Informe Kelly'!H1085=$A$3,'Informe Kelly'!F1085,VLOOKUP(D1091,$D$2:$F$4,3,FALSE))-(VLOOKUP(D1091,$D$2:$F$4,3,FALSE))</f>
        <v>#N/A</v>
      </c>
      <c r="G1091" s="137" t="e">
        <f t="shared" si="20"/>
        <v>#N/A</v>
      </c>
    </row>
    <row r="1092" spans="1:7">
      <c r="A1092" s="112" t="str">
        <f>VLOOKUP('Informe Kelly'!A1086,Base!A:B,2,FALSE)</f>
        <v>11.306.351-3</v>
      </c>
      <c r="B1092" s="112" t="str">
        <f>VLOOKUP('Informe Kelly'!A1086,Base!A:G,7,FALSE)</f>
        <v>MANQUIAN NORIEGA RUBEN MARCO</v>
      </c>
      <c r="C1092" s="112" t="str">
        <f>'Informe Kelly'!E1086</f>
        <v>08.04.2011</v>
      </c>
      <c r="D1092" s="112" t="e">
        <f>VLOOKUP(A1092,Ingreso!K:P,6,FALSE)</f>
        <v>#N/A</v>
      </c>
      <c r="E1092" s="142" t="e">
        <f>(VLOOKUP(D1092,$D$2:$E$4,2,FALSE))-(IF('Informe Kelly'!H1086=$A$2,'Informe Kelly'!F1086,VLOOKUP(D1092,$D$2:$E$4,2,FALSE)))</f>
        <v>#N/A</v>
      </c>
      <c r="F1092" s="142" t="e">
        <f>IF('Informe Kelly'!H1086=$A$3,'Informe Kelly'!F1086,VLOOKUP(D1092,$D$2:$F$4,3,FALSE))-(VLOOKUP(D1092,$D$2:$F$4,3,FALSE))</f>
        <v>#N/A</v>
      </c>
      <c r="G1092" s="137" t="e">
        <f t="shared" si="20"/>
        <v>#N/A</v>
      </c>
    </row>
    <row r="1093" spans="1:7">
      <c r="A1093" s="112" t="str">
        <f>VLOOKUP('Informe Kelly'!A1087,Base!A:B,2,FALSE)</f>
        <v>11.306.351-3</v>
      </c>
      <c r="B1093" s="112" t="str">
        <f>VLOOKUP('Informe Kelly'!A1087,Base!A:G,7,FALSE)</f>
        <v>MANQUIAN NORIEGA RUBEN MARCO</v>
      </c>
      <c r="C1093" s="112" t="str">
        <f>'Informe Kelly'!E1087</f>
        <v>08.04.2011</v>
      </c>
      <c r="D1093" s="112" t="e">
        <f>VLOOKUP(A1093,Ingreso!K:P,6,FALSE)</f>
        <v>#N/A</v>
      </c>
      <c r="E1093" s="142" t="e">
        <f>(VLOOKUP(D1093,$D$2:$E$4,2,FALSE))-(IF('Informe Kelly'!H1087=$A$2,'Informe Kelly'!F1087,VLOOKUP(D1093,$D$2:$E$4,2,FALSE)))</f>
        <v>#N/A</v>
      </c>
      <c r="F1093" s="142" t="e">
        <f>IF('Informe Kelly'!H1087=$A$3,'Informe Kelly'!F1087,VLOOKUP(D1093,$D$2:$F$4,3,FALSE))-(VLOOKUP(D1093,$D$2:$F$4,3,FALSE))</f>
        <v>#N/A</v>
      </c>
      <c r="G1093" s="137" t="e">
        <f t="shared" si="20"/>
        <v>#N/A</v>
      </c>
    </row>
    <row r="1094" spans="1:7">
      <c r="A1094" s="112" t="str">
        <f>VLOOKUP('Informe Kelly'!A1088,Base!A:B,2,FALSE)</f>
        <v>11.306.351-3</v>
      </c>
      <c r="B1094" s="112" t="str">
        <f>VLOOKUP('Informe Kelly'!A1088,Base!A:G,7,FALSE)</f>
        <v>MANQUIAN NORIEGA RUBEN MARCO</v>
      </c>
      <c r="C1094" s="112" t="str">
        <f>'Informe Kelly'!E1088</f>
        <v>09.04.2011</v>
      </c>
      <c r="D1094" s="112" t="e">
        <f>VLOOKUP(A1094,Ingreso!K:P,6,FALSE)</f>
        <v>#N/A</v>
      </c>
      <c r="E1094" s="142" t="e">
        <f>(VLOOKUP(D1094,$D$2:$E$4,2,FALSE))-(IF('Informe Kelly'!H1088=$A$2,'Informe Kelly'!F1088,VLOOKUP(D1094,$D$2:$E$4,2,FALSE)))</f>
        <v>#N/A</v>
      </c>
      <c r="F1094" s="142" t="e">
        <f>IF('Informe Kelly'!H1088=$A$3,'Informe Kelly'!F1088,VLOOKUP(D1094,$D$2:$F$4,3,FALSE))-(VLOOKUP(D1094,$D$2:$F$4,3,FALSE))</f>
        <v>#N/A</v>
      </c>
      <c r="G1094" s="137" t="e">
        <f t="shared" si="20"/>
        <v>#N/A</v>
      </c>
    </row>
    <row r="1095" spans="1:7">
      <c r="A1095" s="112" t="str">
        <f>VLOOKUP('Informe Kelly'!A1089,Base!A:B,2,FALSE)</f>
        <v>11.306.351-3</v>
      </c>
      <c r="B1095" s="112" t="str">
        <f>VLOOKUP('Informe Kelly'!A1089,Base!A:G,7,FALSE)</f>
        <v>MANQUIAN NORIEGA RUBEN MARCO</v>
      </c>
      <c r="C1095" s="112" t="str">
        <f>'Informe Kelly'!E1089</f>
        <v>09.04.2011</v>
      </c>
      <c r="D1095" s="112" t="e">
        <f>VLOOKUP(A1095,Ingreso!K:P,6,FALSE)</f>
        <v>#N/A</v>
      </c>
      <c r="E1095" s="142" t="e">
        <f>(VLOOKUP(D1095,$D$2:$E$4,2,FALSE))-(IF('Informe Kelly'!H1089=$A$2,'Informe Kelly'!F1089,VLOOKUP(D1095,$D$2:$E$4,2,FALSE)))</f>
        <v>#N/A</v>
      </c>
      <c r="F1095" s="142" t="e">
        <f>IF('Informe Kelly'!H1089=$A$3,'Informe Kelly'!F1089,VLOOKUP(D1095,$D$2:$F$4,3,FALSE))-(VLOOKUP(D1095,$D$2:$F$4,3,FALSE))</f>
        <v>#N/A</v>
      </c>
      <c r="G1095" s="137" t="e">
        <f t="shared" si="20"/>
        <v>#N/A</v>
      </c>
    </row>
    <row r="1096" spans="1:7">
      <c r="A1096" s="112" t="str">
        <f>VLOOKUP('Informe Kelly'!A1090,Base!A:B,2,FALSE)</f>
        <v>11.325.204-9</v>
      </c>
      <c r="B1096" s="112" t="str">
        <f>VLOOKUP('Informe Kelly'!A1090,Base!A:G,7,FALSE)</f>
        <v>ALVARADO MARTINEZ LUIS ALBERTO</v>
      </c>
      <c r="C1096" s="112" t="str">
        <f>'Informe Kelly'!E1090</f>
        <v>04.04.2011</v>
      </c>
      <c r="D1096" s="112" t="e">
        <f>VLOOKUP(A1096,Ingreso!K:P,6,FALSE)</f>
        <v>#N/A</v>
      </c>
      <c r="E1096" s="142" t="e">
        <f>(VLOOKUP(D1096,$D$2:$E$4,2,FALSE))-(IF('Informe Kelly'!H1090=$A$2,'Informe Kelly'!F1090,VLOOKUP(D1096,$D$2:$E$4,2,FALSE)))</f>
        <v>#N/A</v>
      </c>
      <c r="F1096" s="142" t="e">
        <f>IF('Informe Kelly'!H1090=$A$3,'Informe Kelly'!F1090,VLOOKUP(D1096,$D$2:$F$4,3,FALSE))-(VLOOKUP(D1096,$D$2:$F$4,3,FALSE))</f>
        <v>#N/A</v>
      </c>
      <c r="G1096" s="137" t="e">
        <f t="shared" si="20"/>
        <v>#N/A</v>
      </c>
    </row>
    <row r="1097" spans="1:7">
      <c r="A1097" s="112" t="str">
        <f>VLOOKUP('Informe Kelly'!A1091,Base!A:B,2,FALSE)</f>
        <v>11.325.204-9</v>
      </c>
      <c r="B1097" s="112" t="str">
        <f>VLOOKUP('Informe Kelly'!A1091,Base!A:G,7,FALSE)</f>
        <v>ALVARADO MARTINEZ LUIS ALBERTO</v>
      </c>
      <c r="C1097" s="112" t="str">
        <f>'Informe Kelly'!E1091</f>
        <v>04.04.2011</v>
      </c>
      <c r="D1097" s="112" t="e">
        <f>VLOOKUP(A1097,Ingreso!K:P,6,FALSE)</f>
        <v>#N/A</v>
      </c>
      <c r="E1097" s="142" t="e">
        <f>(VLOOKUP(D1097,$D$2:$E$4,2,FALSE))-(IF('Informe Kelly'!H1091=$A$2,'Informe Kelly'!F1091,VLOOKUP(D1097,$D$2:$E$4,2,FALSE)))</f>
        <v>#N/A</v>
      </c>
      <c r="F1097" s="142" t="e">
        <f>IF('Informe Kelly'!H1091=$A$3,'Informe Kelly'!F1091,VLOOKUP(D1097,$D$2:$F$4,3,FALSE))-(VLOOKUP(D1097,$D$2:$F$4,3,FALSE))</f>
        <v>#N/A</v>
      </c>
      <c r="G1097" s="137" t="e">
        <f t="shared" ref="G1097:G1160" si="21">IF(E1097="",IF(F1097&lt;0.0409722222222222,0,E1097),IF(E1097&lt;0.0409722222222222,0,E1097))</f>
        <v>#N/A</v>
      </c>
    </row>
    <row r="1098" spans="1:7">
      <c r="A1098" s="112" t="str">
        <f>VLOOKUP('Informe Kelly'!A1092,Base!A:B,2,FALSE)</f>
        <v>11.325.204-9</v>
      </c>
      <c r="B1098" s="112" t="str">
        <f>VLOOKUP('Informe Kelly'!A1092,Base!A:G,7,FALSE)</f>
        <v>ALVARADO MARTINEZ LUIS ALBERTO</v>
      </c>
      <c r="C1098" s="112" t="str">
        <f>'Informe Kelly'!E1092</f>
        <v>05.04.2011</v>
      </c>
      <c r="D1098" s="112" t="e">
        <f>VLOOKUP(A1098,Ingreso!K:P,6,FALSE)</f>
        <v>#N/A</v>
      </c>
      <c r="E1098" s="142" t="e">
        <f>(VLOOKUP(D1098,$D$2:$E$4,2,FALSE))-(IF('Informe Kelly'!H1092=$A$2,'Informe Kelly'!F1092,VLOOKUP(D1098,$D$2:$E$4,2,FALSE)))</f>
        <v>#N/A</v>
      </c>
      <c r="F1098" s="142" t="e">
        <f>IF('Informe Kelly'!H1092=$A$3,'Informe Kelly'!F1092,VLOOKUP(D1098,$D$2:$F$4,3,FALSE))-(VLOOKUP(D1098,$D$2:$F$4,3,FALSE))</f>
        <v>#N/A</v>
      </c>
      <c r="G1098" s="137" t="e">
        <f t="shared" si="21"/>
        <v>#N/A</v>
      </c>
    </row>
    <row r="1099" spans="1:7">
      <c r="A1099" s="112" t="str">
        <f>VLOOKUP('Informe Kelly'!A1093,Base!A:B,2,FALSE)</f>
        <v>11.325.204-9</v>
      </c>
      <c r="B1099" s="112" t="str">
        <f>VLOOKUP('Informe Kelly'!A1093,Base!A:G,7,FALSE)</f>
        <v>ALVARADO MARTINEZ LUIS ALBERTO</v>
      </c>
      <c r="C1099" s="112" t="str">
        <f>'Informe Kelly'!E1093</f>
        <v>05.04.2011</v>
      </c>
      <c r="D1099" s="112" t="e">
        <f>VLOOKUP(A1099,Ingreso!K:P,6,FALSE)</f>
        <v>#N/A</v>
      </c>
      <c r="E1099" s="142" t="e">
        <f>(VLOOKUP(D1099,$D$2:$E$4,2,FALSE))-(IF('Informe Kelly'!H1093=$A$2,'Informe Kelly'!F1093,VLOOKUP(D1099,$D$2:$E$4,2,FALSE)))</f>
        <v>#N/A</v>
      </c>
      <c r="F1099" s="142" t="e">
        <f>IF('Informe Kelly'!H1093=$A$3,'Informe Kelly'!F1093,VLOOKUP(D1099,$D$2:$F$4,3,FALSE))-(VLOOKUP(D1099,$D$2:$F$4,3,FALSE))</f>
        <v>#N/A</v>
      </c>
      <c r="G1099" s="137" t="e">
        <f t="shared" si="21"/>
        <v>#N/A</v>
      </c>
    </row>
    <row r="1100" spans="1:7">
      <c r="A1100" s="112" t="str">
        <f>VLOOKUP('Informe Kelly'!A1094,Base!A:B,2,FALSE)</f>
        <v>11.325.204-9</v>
      </c>
      <c r="B1100" s="112" t="str">
        <f>VLOOKUP('Informe Kelly'!A1094,Base!A:G,7,FALSE)</f>
        <v>ALVARADO MARTINEZ LUIS ALBERTO</v>
      </c>
      <c r="C1100" s="112" t="str">
        <f>'Informe Kelly'!E1094</f>
        <v>06.04.2011</v>
      </c>
      <c r="D1100" s="112" t="e">
        <f>VLOOKUP(A1100,Ingreso!K:P,6,FALSE)</f>
        <v>#N/A</v>
      </c>
      <c r="E1100" s="142" t="e">
        <f>(VLOOKUP(D1100,$D$2:$E$4,2,FALSE))-(IF('Informe Kelly'!H1094=$A$2,'Informe Kelly'!F1094,VLOOKUP(D1100,$D$2:$E$4,2,FALSE)))</f>
        <v>#N/A</v>
      </c>
      <c r="F1100" s="142" t="e">
        <f>IF('Informe Kelly'!H1094=$A$3,'Informe Kelly'!F1094,VLOOKUP(D1100,$D$2:$F$4,3,FALSE))-(VLOOKUP(D1100,$D$2:$F$4,3,FALSE))</f>
        <v>#N/A</v>
      </c>
      <c r="G1100" s="137" t="e">
        <f t="shared" si="21"/>
        <v>#N/A</v>
      </c>
    </row>
    <row r="1101" spans="1:7">
      <c r="A1101" s="112" t="str">
        <f>VLOOKUP('Informe Kelly'!A1095,Base!A:B,2,FALSE)</f>
        <v>11.325.204-9</v>
      </c>
      <c r="B1101" s="112" t="str">
        <f>VLOOKUP('Informe Kelly'!A1095,Base!A:G,7,FALSE)</f>
        <v>ALVARADO MARTINEZ LUIS ALBERTO</v>
      </c>
      <c r="C1101" s="112" t="str">
        <f>'Informe Kelly'!E1095</f>
        <v>06.04.2011</v>
      </c>
      <c r="D1101" s="112" t="e">
        <f>VLOOKUP(A1101,Ingreso!K:P,6,FALSE)</f>
        <v>#N/A</v>
      </c>
      <c r="E1101" s="142" t="e">
        <f>(VLOOKUP(D1101,$D$2:$E$4,2,FALSE))-(IF('Informe Kelly'!H1095=$A$2,'Informe Kelly'!F1095,VLOOKUP(D1101,$D$2:$E$4,2,FALSE)))</f>
        <v>#N/A</v>
      </c>
      <c r="F1101" s="142" t="e">
        <f>IF('Informe Kelly'!H1095=$A$3,'Informe Kelly'!F1095,VLOOKUP(D1101,$D$2:$F$4,3,FALSE))-(VLOOKUP(D1101,$D$2:$F$4,3,FALSE))</f>
        <v>#N/A</v>
      </c>
      <c r="G1101" s="137" t="e">
        <f t="shared" si="21"/>
        <v>#N/A</v>
      </c>
    </row>
    <row r="1102" spans="1:7">
      <c r="A1102" s="112" t="str">
        <f>VLOOKUP('Informe Kelly'!A1096,Base!A:B,2,FALSE)</f>
        <v>11.325.204-9</v>
      </c>
      <c r="B1102" s="112" t="str">
        <f>VLOOKUP('Informe Kelly'!A1096,Base!A:G,7,FALSE)</f>
        <v>ALVARADO MARTINEZ LUIS ALBERTO</v>
      </c>
      <c r="C1102" s="112" t="str">
        <f>'Informe Kelly'!E1096</f>
        <v>07.04.2011</v>
      </c>
      <c r="D1102" s="112" t="e">
        <f>VLOOKUP(A1102,Ingreso!K:P,6,FALSE)</f>
        <v>#N/A</v>
      </c>
      <c r="E1102" s="142" t="e">
        <f>(VLOOKUP(D1102,$D$2:$E$4,2,FALSE))-(IF('Informe Kelly'!H1096=$A$2,'Informe Kelly'!F1096,VLOOKUP(D1102,$D$2:$E$4,2,FALSE)))</f>
        <v>#N/A</v>
      </c>
      <c r="F1102" s="142" t="e">
        <f>IF('Informe Kelly'!H1096=$A$3,'Informe Kelly'!F1096,VLOOKUP(D1102,$D$2:$F$4,3,FALSE))-(VLOOKUP(D1102,$D$2:$F$4,3,FALSE))</f>
        <v>#N/A</v>
      </c>
      <c r="G1102" s="137" t="e">
        <f t="shared" si="21"/>
        <v>#N/A</v>
      </c>
    </row>
    <row r="1103" spans="1:7">
      <c r="A1103" s="112" t="str">
        <f>VLOOKUP('Informe Kelly'!A1097,Base!A:B,2,FALSE)</f>
        <v>11.325.204-9</v>
      </c>
      <c r="B1103" s="112" t="str">
        <f>VLOOKUP('Informe Kelly'!A1097,Base!A:G,7,FALSE)</f>
        <v>ALVARADO MARTINEZ LUIS ALBERTO</v>
      </c>
      <c r="C1103" s="112" t="str">
        <f>'Informe Kelly'!E1097</f>
        <v>07.04.2011</v>
      </c>
      <c r="D1103" s="112" t="e">
        <f>VLOOKUP(A1103,Ingreso!K:P,6,FALSE)</f>
        <v>#N/A</v>
      </c>
      <c r="E1103" s="142" t="e">
        <f>(VLOOKUP(D1103,$D$2:$E$4,2,FALSE))-(IF('Informe Kelly'!H1097=$A$2,'Informe Kelly'!F1097,VLOOKUP(D1103,$D$2:$E$4,2,FALSE)))</f>
        <v>#N/A</v>
      </c>
      <c r="F1103" s="142" t="e">
        <f>IF('Informe Kelly'!H1097=$A$3,'Informe Kelly'!F1097,VLOOKUP(D1103,$D$2:$F$4,3,FALSE))-(VLOOKUP(D1103,$D$2:$F$4,3,FALSE))</f>
        <v>#N/A</v>
      </c>
      <c r="G1103" s="137" t="e">
        <f t="shared" si="21"/>
        <v>#N/A</v>
      </c>
    </row>
    <row r="1104" spans="1:7">
      <c r="A1104" s="112" t="str">
        <f>VLOOKUP('Informe Kelly'!A1098,Base!A:B,2,FALSE)</f>
        <v>11.325.204-9</v>
      </c>
      <c r="B1104" s="112" t="str">
        <f>VLOOKUP('Informe Kelly'!A1098,Base!A:G,7,FALSE)</f>
        <v>ALVARADO MARTINEZ LUIS ALBERTO</v>
      </c>
      <c r="C1104" s="112" t="str">
        <f>'Informe Kelly'!E1098</f>
        <v>08.04.2011</v>
      </c>
      <c r="D1104" s="112" t="e">
        <f>VLOOKUP(A1104,Ingreso!K:P,6,FALSE)</f>
        <v>#N/A</v>
      </c>
      <c r="E1104" s="142" t="e">
        <f>(VLOOKUP(D1104,$D$2:$E$4,2,FALSE))-(IF('Informe Kelly'!H1098=$A$2,'Informe Kelly'!F1098,VLOOKUP(D1104,$D$2:$E$4,2,FALSE)))</f>
        <v>#N/A</v>
      </c>
      <c r="F1104" s="142" t="e">
        <f>IF('Informe Kelly'!H1098=$A$3,'Informe Kelly'!F1098,VLOOKUP(D1104,$D$2:$F$4,3,FALSE))-(VLOOKUP(D1104,$D$2:$F$4,3,FALSE))</f>
        <v>#N/A</v>
      </c>
      <c r="G1104" s="137" t="e">
        <f t="shared" si="21"/>
        <v>#N/A</v>
      </c>
    </row>
    <row r="1105" spans="1:7">
      <c r="A1105" s="112" t="str">
        <f>VLOOKUP('Informe Kelly'!A1099,Base!A:B,2,FALSE)</f>
        <v>11.325.204-9</v>
      </c>
      <c r="B1105" s="112" t="str">
        <f>VLOOKUP('Informe Kelly'!A1099,Base!A:G,7,FALSE)</f>
        <v>ALVARADO MARTINEZ LUIS ALBERTO</v>
      </c>
      <c r="C1105" s="112" t="str">
        <f>'Informe Kelly'!E1099</f>
        <v>08.04.2011</v>
      </c>
      <c r="D1105" s="112" t="e">
        <f>VLOOKUP(A1105,Ingreso!K:P,6,FALSE)</f>
        <v>#N/A</v>
      </c>
      <c r="E1105" s="142" t="e">
        <f>(VLOOKUP(D1105,$D$2:$E$4,2,FALSE))-(IF('Informe Kelly'!H1099=$A$2,'Informe Kelly'!F1099,VLOOKUP(D1105,$D$2:$E$4,2,FALSE)))</f>
        <v>#N/A</v>
      </c>
      <c r="F1105" s="142" t="e">
        <f>IF('Informe Kelly'!H1099=$A$3,'Informe Kelly'!F1099,VLOOKUP(D1105,$D$2:$F$4,3,FALSE))-(VLOOKUP(D1105,$D$2:$F$4,3,FALSE))</f>
        <v>#N/A</v>
      </c>
      <c r="G1105" s="137" t="e">
        <f t="shared" si="21"/>
        <v>#N/A</v>
      </c>
    </row>
    <row r="1106" spans="1:7">
      <c r="A1106" s="112" t="str">
        <f>VLOOKUP('Informe Kelly'!A1100,Base!A:B,2,FALSE)</f>
        <v>11.325.204-9</v>
      </c>
      <c r="B1106" s="112" t="str">
        <f>VLOOKUP('Informe Kelly'!A1100,Base!A:G,7,FALSE)</f>
        <v>ALVARADO MARTINEZ LUIS ALBERTO</v>
      </c>
      <c r="C1106" s="112" t="str">
        <f>'Informe Kelly'!E1100</f>
        <v>09.04.2011</v>
      </c>
      <c r="D1106" s="112" t="e">
        <f>VLOOKUP(A1106,Ingreso!K:P,6,FALSE)</f>
        <v>#N/A</v>
      </c>
      <c r="E1106" s="142" t="e">
        <f>(VLOOKUP(D1106,$D$2:$E$4,2,FALSE))-(IF('Informe Kelly'!H1100=$A$2,'Informe Kelly'!F1100,VLOOKUP(D1106,$D$2:$E$4,2,FALSE)))</f>
        <v>#N/A</v>
      </c>
      <c r="F1106" s="142" t="e">
        <f>IF('Informe Kelly'!H1100=$A$3,'Informe Kelly'!F1100,VLOOKUP(D1106,$D$2:$F$4,3,FALSE))-(VLOOKUP(D1106,$D$2:$F$4,3,FALSE))</f>
        <v>#N/A</v>
      </c>
      <c r="G1106" s="137" t="e">
        <f t="shared" si="21"/>
        <v>#N/A</v>
      </c>
    </row>
    <row r="1107" spans="1:7">
      <c r="A1107" s="112" t="str">
        <f>VLOOKUP('Informe Kelly'!A1101,Base!A:B,2,FALSE)</f>
        <v>11.325.204-9</v>
      </c>
      <c r="B1107" s="112" t="str">
        <f>VLOOKUP('Informe Kelly'!A1101,Base!A:G,7,FALSE)</f>
        <v>ALVARADO MARTINEZ LUIS ALBERTO</v>
      </c>
      <c r="C1107" s="112" t="str">
        <f>'Informe Kelly'!E1101</f>
        <v>09.04.2011</v>
      </c>
      <c r="D1107" s="112" t="e">
        <f>VLOOKUP(A1107,Ingreso!K:P,6,FALSE)</f>
        <v>#N/A</v>
      </c>
      <c r="E1107" s="142" t="e">
        <f>(VLOOKUP(D1107,$D$2:$E$4,2,FALSE))-(IF('Informe Kelly'!H1101=$A$2,'Informe Kelly'!F1101,VLOOKUP(D1107,$D$2:$E$4,2,FALSE)))</f>
        <v>#N/A</v>
      </c>
      <c r="F1107" s="142" t="e">
        <f>IF('Informe Kelly'!H1101=$A$3,'Informe Kelly'!F1101,VLOOKUP(D1107,$D$2:$F$4,3,FALSE))-(VLOOKUP(D1107,$D$2:$F$4,3,FALSE))</f>
        <v>#N/A</v>
      </c>
      <c r="G1107" s="137" t="e">
        <f t="shared" si="21"/>
        <v>#N/A</v>
      </c>
    </row>
    <row r="1108" spans="1:7">
      <c r="A1108" s="112" t="str">
        <f>VLOOKUP('Informe Kelly'!A1102,Base!A:B,2,FALSE)</f>
        <v>11.347.053-4</v>
      </c>
      <c r="B1108" s="112" t="str">
        <f>VLOOKUP('Informe Kelly'!A1102,Base!A:G,7,FALSE)</f>
        <v>CRUZ ROMERO LUISA ISABEL</v>
      </c>
      <c r="C1108" s="112" t="str">
        <f>'Informe Kelly'!E1102</f>
        <v>04.04.2011</v>
      </c>
      <c r="D1108" s="112" t="e">
        <f>VLOOKUP(A1108,Ingreso!K:P,6,FALSE)</f>
        <v>#N/A</v>
      </c>
      <c r="E1108" s="142" t="e">
        <f>(VLOOKUP(D1108,$D$2:$E$4,2,FALSE))-(IF('Informe Kelly'!H1102=$A$2,'Informe Kelly'!F1102,VLOOKUP(D1108,$D$2:$E$4,2,FALSE)))</f>
        <v>#N/A</v>
      </c>
      <c r="F1108" s="142" t="e">
        <f>IF('Informe Kelly'!H1102=$A$3,'Informe Kelly'!F1102,VLOOKUP(D1108,$D$2:$F$4,3,FALSE))-(VLOOKUP(D1108,$D$2:$F$4,3,FALSE))</f>
        <v>#N/A</v>
      </c>
      <c r="G1108" s="137" t="e">
        <f t="shared" si="21"/>
        <v>#N/A</v>
      </c>
    </row>
    <row r="1109" spans="1:7">
      <c r="A1109" s="112" t="str">
        <f>VLOOKUP('Informe Kelly'!A1103,Base!A:B,2,FALSE)</f>
        <v>11.347.053-4</v>
      </c>
      <c r="B1109" s="112" t="str">
        <f>VLOOKUP('Informe Kelly'!A1103,Base!A:G,7,FALSE)</f>
        <v>CRUZ ROMERO LUISA ISABEL</v>
      </c>
      <c r="C1109" s="112" t="str">
        <f>'Informe Kelly'!E1103</f>
        <v>04.04.2011</v>
      </c>
      <c r="D1109" s="112" t="e">
        <f>VLOOKUP(A1109,Ingreso!K:P,6,FALSE)</f>
        <v>#N/A</v>
      </c>
      <c r="E1109" s="142" t="e">
        <f>(VLOOKUP(D1109,$D$2:$E$4,2,FALSE))-(IF('Informe Kelly'!H1103=$A$2,'Informe Kelly'!F1103,VLOOKUP(D1109,$D$2:$E$4,2,FALSE)))</f>
        <v>#N/A</v>
      </c>
      <c r="F1109" s="142" t="e">
        <f>IF('Informe Kelly'!H1103=$A$3,'Informe Kelly'!F1103,VLOOKUP(D1109,$D$2:$F$4,3,FALSE))-(VLOOKUP(D1109,$D$2:$F$4,3,FALSE))</f>
        <v>#N/A</v>
      </c>
      <c r="G1109" s="137" t="e">
        <f t="shared" si="21"/>
        <v>#N/A</v>
      </c>
    </row>
    <row r="1110" spans="1:7">
      <c r="A1110" s="112" t="str">
        <f>VLOOKUP('Informe Kelly'!A1104,Base!A:B,2,FALSE)</f>
        <v>11.347.053-4</v>
      </c>
      <c r="B1110" s="112" t="str">
        <f>VLOOKUP('Informe Kelly'!A1104,Base!A:G,7,FALSE)</f>
        <v>CRUZ ROMERO LUISA ISABEL</v>
      </c>
      <c r="C1110" s="112" t="str">
        <f>'Informe Kelly'!E1104</f>
        <v>05.04.2011</v>
      </c>
      <c r="D1110" s="112" t="e">
        <f>VLOOKUP(A1110,Ingreso!K:P,6,FALSE)</f>
        <v>#N/A</v>
      </c>
      <c r="E1110" s="142" t="e">
        <f>(VLOOKUP(D1110,$D$2:$E$4,2,FALSE))-(IF('Informe Kelly'!H1104=$A$2,'Informe Kelly'!F1104,VLOOKUP(D1110,$D$2:$E$4,2,FALSE)))</f>
        <v>#N/A</v>
      </c>
      <c r="F1110" s="142" t="e">
        <f>IF('Informe Kelly'!H1104=$A$3,'Informe Kelly'!F1104,VLOOKUP(D1110,$D$2:$F$4,3,FALSE))-(VLOOKUP(D1110,$D$2:$F$4,3,FALSE))</f>
        <v>#N/A</v>
      </c>
      <c r="G1110" s="137" t="e">
        <f t="shared" si="21"/>
        <v>#N/A</v>
      </c>
    </row>
    <row r="1111" spans="1:7">
      <c r="A1111" s="112" t="str">
        <f>VLOOKUP('Informe Kelly'!A1105,Base!A:B,2,FALSE)</f>
        <v>11.347.053-4</v>
      </c>
      <c r="B1111" s="112" t="str">
        <f>VLOOKUP('Informe Kelly'!A1105,Base!A:G,7,FALSE)</f>
        <v>CRUZ ROMERO LUISA ISABEL</v>
      </c>
      <c r="C1111" s="112" t="str">
        <f>'Informe Kelly'!E1105</f>
        <v>05.04.2011</v>
      </c>
      <c r="D1111" s="112" t="e">
        <f>VLOOKUP(A1111,Ingreso!K:P,6,FALSE)</f>
        <v>#N/A</v>
      </c>
      <c r="E1111" s="142" t="e">
        <f>(VLOOKUP(D1111,$D$2:$E$4,2,FALSE))-(IF('Informe Kelly'!H1105=$A$2,'Informe Kelly'!F1105,VLOOKUP(D1111,$D$2:$E$4,2,FALSE)))</f>
        <v>#N/A</v>
      </c>
      <c r="F1111" s="142" t="e">
        <f>IF('Informe Kelly'!H1105=$A$3,'Informe Kelly'!F1105,VLOOKUP(D1111,$D$2:$F$4,3,FALSE))-(VLOOKUP(D1111,$D$2:$F$4,3,FALSE))</f>
        <v>#N/A</v>
      </c>
      <c r="G1111" s="137" t="e">
        <f t="shared" si="21"/>
        <v>#N/A</v>
      </c>
    </row>
    <row r="1112" spans="1:7">
      <c r="A1112" s="112" t="str">
        <f>VLOOKUP('Informe Kelly'!A1106,Base!A:B,2,FALSE)</f>
        <v>11.347.053-4</v>
      </c>
      <c r="B1112" s="112" t="str">
        <f>VLOOKUP('Informe Kelly'!A1106,Base!A:G,7,FALSE)</f>
        <v>CRUZ ROMERO LUISA ISABEL</v>
      </c>
      <c r="C1112" s="112" t="str">
        <f>'Informe Kelly'!E1106</f>
        <v>06.04.2011</v>
      </c>
      <c r="D1112" s="112" t="e">
        <f>VLOOKUP(A1112,Ingreso!K:P,6,FALSE)</f>
        <v>#N/A</v>
      </c>
      <c r="E1112" s="142" t="e">
        <f>(VLOOKUP(D1112,$D$2:$E$4,2,FALSE))-(IF('Informe Kelly'!H1106=$A$2,'Informe Kelly'!F1106,VLOOKUP(D1112,$D$2:$E$4,2,FALSE)))</f>
        <v>#N/A</v>
      </c>
      <c r="F1112" s="142" t="e">
        <f>IF('Informe Kelly'!H1106=$A$3,'Informe Kelly'!F1106,VLOOKUP(D1112,$D$2:$F$4,3,FALSE))-(VLOOKUP(D1112,$D$2:$F$4,3,FALSE))</f>
        <v>#N/A</v>
      </c>
      <c r="G1112" s="137" t="e">
        <f t="shared" si="21"/>
        <v>#N/A</v>
      </c>
    </row>
    <row r="1113" spans="1:7">
      <c r="A1113" s="112" t="str">
        <f>VLOOKUP('Informe Kelly'!A1107,Base!A:B,2,FALSE)</f>
        <v>11.347.053-4</v>
      </c>
      <c r="B1113" s="112" t="str">
        <f>VLOOKUP('Informe Kelly'!A1107,Base!A:G,7,FALSE)</f>
        <v>CRUZ ROMERO LUISA ISABEL</v>
      </c>
      <c r="C1113" s="112" t="str">
        <f>'Informe Kelly'!E1107</f>
        <v>06.04.2011</v>
      </c>
      <c r="D1113" s="112" t="e">
        <f>VLOOKUP(A1113,Ingreso!K:P,6,FALSE)</f>
        <v>#N/A</v>
      </c>
      <c r="E1113" s="142" t="e">
        <f>(VLOOKUP(D1113,$D$2:$E$4,2,FALSE))-(IF('Informe Kelly'!H1107=$A$2,'Informe Kelly'!F1107,VLOOKUP(D1113,$D$2:$E$4,2,FALSE)))</f>
        <v>#N/A</v>
      </c>
      <c r="F1113" s="142" t="e">
        <f>IF('Informe Kelly'!H1107=$A$3,'Informe Kelly'!F1107,VLOOKUP(D1113,$D$2:$F$4,3,FALSE))-(VLOOKUP(D1113,$D$2:$F$4,3,FALSE))</f>
        <v>#N/A</v>
      </c>
      <c r="G1113" s="137" t="e">
        <f t="shared" si="21"/>
        <v>#N/A</v>
      </c>
    </row>
    <row r="1114" spans="1:7">
      <c r="A1114" s="112" t="str">
        <f>VLOOKUP('Informe Kelly'!A1108,Base!A:B,2,FALSE)</f>
        <v>11.347.053-4</v>
      </c>
      <c r="B1114" s="112" t="str">
        <f>VLOOKUP('Informe Kelly'!A1108,Base!A:G,7,FALSE)</f>
        <v>CRUZ ROMERO LUISA ISABEL</v>
      </c>
      <c r="C1114" s="112" t="str">
        <f>'Informe Kelly'!E1108</f>
        <v>07.04.2011</v>
      </c>
      <c r="D1114" s="112" t="e">
        <f>VLOOKUP(A1114,Ingreso!K:P,6,FALSE)</f>
        <v>#N/A</v>
      </c>
      <c r="E1114" s="142" t="e">
        <f>(VLOOKUP(D1114,$D$2:$E$4,2,FALSE))-(IF('Informe Kelly'!H1108=$A$2,'Informe Kelly'!F1108,VLOOKUP(D1114,$D$2:$E$4,2,FALSE)))</f>
        <v>#N/A</v>
      </c>
      <c r="F1114" s="142" t="e">
        <f>IF('Informe Kelly'!H1108=$A$3,'Informe Kelly'!F1108,VLOOKUP(D1114,$D$2:$F$4,3,FALSE))-(VLOOKUP(D1114,$D$2:$F$4,3,FALSE))</f>
        <v>#N/A</v>
      </c>
      <c r="G1114" s="137" t="e">
        <f t="shared" si="21"/>
        <v>#N/A</v>
      </c>
    </row>
    <row r="1115" spans="1:7">
      <c r="A1115" s="112" t="str">
        <f>VLOOKUP('Informe Kelly'!A1109,Base!A:B,2,FALSE)</f>
        <v>11.347.053-4</v>
      </c>
      <c r="B1115" s="112" t="str">
        <f>VLOOKUP('Informe Kelly'!A1109,Base!A:G,7,FALSE)</f>
        <v>CRUZ ROMERO LUISA ISABEL</v>
      </c>
      <c r="C1115" s="112" t="str">
        <f>'Informe Kelly'!E1109</f>
        <v>07.04.2011</v>
      </c>
      <c r="D1115" s="112" t="e">
        <f>VLOOKUP(A1115,Ingreso!K:P,6,FALSE)</f>
        <v>#N/A</v>
      </c>
      <c r="E1115" s="142" t="e">
        <f>(VLOOKUP(D1115,$D$2:$E$4,2,FALSE))-(IF('Informe Kelly'!H1109=$A$2,'Informe Kelly'!F1109,VLOOKUP(D1115,$D$2:$E$4,2,FALSE)))</f>
        <v>#N/A</v>
      </c>
      <c r="F1115" s="142" t="e">
        <f>IF('Informe Kelly'!H1109=$A$3,'Informe Kelly'!F1109,VLOOKUP(D1115,$D$2:$F$4,3,FALSE))-(VLOOKUP(D1115,$D$2:$F$4,3,FALSE))</f>
        <v>#N/A</v>
      </c>
      <c r="G1115" s="137" t="e">
        <f t="shared" si="21"/>
        <v>#N/A</v>
      </c>
    </row>
    <row r="1116" spans="1:7">
      <c r="A1116" s="112" t="str">
        <f>VLOOKUP('Informe Kelly'!A1110,Base!A:B,2,FALSE)</f>
        <v>11.347.053-4</v>
      </c>
      <c r="B1116" s="112" t="str">
        <f>VLOOKUP('Informe Kelly'!A1110,Base!A:G,7,FALSE)</f>
        <v>CRUZ ROMERO LUISA ISABEL</v>
      </c>
      <c r="C1116" s="112" t="str">
        <f>'Informe Kelly'!E1110</f>
        <v>08.04.2011</v>
      </c>
      <c r="D1116" s="112" t="e">
        <f>VLOOKUP(A1116,Ingreso!K:P,6,FALSE)</f>
        <v>#N/A</v>
      </c>
      <c r="E1116" s="142" t="e">
        <f>(VLOOKUP(D1116,$D$2:$E$4,2,FALSE))-(IF('Informe Kelly'!H1110=$A$2,'Informe Kelly'!F1110,VLOOKUP(D1116,$D$2:$E$4,2,FALSE)))</f>
        <v>#N/A</v>
      </c>
      <c r="F1116" s="142" t="e">
        <f>IF('Informe Kelly'!H1110=$A$3,'Informe Kelly'!F1110,VLOOKUP(D1116,$D$2:$F$4,3,FALSE))-(VLOOKUP(D1116,$D$2:$F$4,3,FALSE))</f>
        <v>#N/A</v>
      </c>
      <c r="G1116" s="137" t="e">
        <f t="shared" si="21"/>
        <v>#N/A</v>
      </c>
    </row>
    <row r="1117" spans="1:7">
      <c r="A1117" s="112" t="str">
        <f>VLOOKUP('Informe Kelly'!A1111,Base!A:B,2,FALSE)</f>
        <v>11.347.053-4</v>
      </c>
      <c r="B1117" s="112" t="str">
        <f>VLOOKUP('Informe Kelly'!A1111,Base!A:G,7,FALSE)</f>
        <v>CRUZ ROMERO LUISA ISABEL</v>
      </c>
      <c r="C1117" s="112" t="str">
        <f>'Informe Kelly'!E1111</f>
        <v>08.04.2011</v>
      </c>
      <c r="D1117" s="112" t="e">
        <f>VLOOKUP(A1117,Ingreso!K:P,6,FALSE)</f>
        <v>#N/A</v>
      </c>
      <c r="E1117" s="142" t="e">
        <f>(VLOOKUP(D1117,$D$2:$E$4,2,FALSE))-(IF('Informe Kelly'!H1111=$A$2,'Informe Kelly'!F1111,VLOOKUP(D1117,$D$2:$E$4,2,FALSE)))</f>
        <v>#N/A</v>
      </c>
      <c r="F1117" s="142" t="e">
        <f>IF('Informe Kelly'!H1111=$A$3,'Informe Kelly'!F1111,VLOOKUP(D1117,$D$2:$F$4,3,FALSE))-(VLOOKUP(D1117,$D$2:$F$4,3,FALSE))</f>
        <v>#N/A</v>
      </c>
      <c r="G1117" s="137" t="e">
        <f t="shared" si="21"/>
        <v>#N/A</v>
      </c>
    </row>
    <row r="1118" spans="1:7">
      <c r="A1118" s="112" t="str">
        <f>VLOOKUP('Informe Kelly'!A1112,Base!A:B,2,FALSE)</f>
        <v>11.347.053-4</v>
      </c>
      <c r="B1118" s="112" t="str">
        <f>VLOOKUP('Informe Kelly'!A1112,Base!A:G,7,FALSE)</f>
        <v>CRUZ ROMERO LUISA ISABEL</v>
      </c>
      <c r="C1118" s="112" t="str">
        <f>'Informe Kelly'!E1112</f>
        <v>09.04.2011</v>
      </c>
      <c r="D1118" s="112" t="e">
        <f>VLOOKUP(A1118,Ingreso!K:P,6,FALSE)</f>
        <v>#N/A</v>
      </c>
      <c r="E1118" s="142" t="e">
        <f>(VLOOKUP(D1118,$D$2:$E$4,2,FALSE))-(IF('Informe Kelly'!H1112=$A$2,'Informe Kelly'!F1112,VLOOKUP(D1118,$D$2:$E$4,2,FALSE)))</f>
        <v>#N/A</v>
      </c>
      <c r="F1118" s="142" t="e">
        <f>IF('Informe Kelly'!H1112=$A$3,'Informe Kelly'!F1112,VLOOKUP(D1118,$D$2:$F$4,3,FALSE))-(VLOOKUP(D1118,$D$2:$F$4,3,FALSE))</f>
        <v>#N/A</v>
      </c>
      <c r="G1118" s="137" t="e">
        <f t="shared" si="21"/>
        <v>#N/A</v>
      </c>
    </row>
    <row r="1119" spans="1:7">
      <c r="A1119" s="112" t="str">
        <f>VLOOKUP('Informe Kelly'!A1113,Base!A:B,2,FALSE)</f>
        <v>11.347.053-4</v>
      </c>
      <c r="B1119" s="112" t="str">
        <f>VLOOKUP('Informe Kelly'!A1113,Base!A:G,7,FALSE)</f>
        <v>CRUZ ROMERO LUISA ISABEL</v>
      </c>
      <c r="C1119" s="112" t="str">
        <f>'Informe Kelly'!E1113</f>
        <v>09.04.2011</v>
      </c>
      <c r="D1119" s="112" t="e">
        <f>VLOOKUP(A1119,Ingreso!K:P,6,FALSE)</f>
        <v>#N/A</v>
      </c>
      <c r="E1119" s="142" t="e">
        <f>(VLOOKUP(D1119,$D$2:$E$4,2,FALSE))-(IF('Informe Kelly'!H1113=$A$2,'Informe Kelly'!F1113,VLOOKUP(D1119,$D$2:$E$4,2,FALSE)))</f>
        <v>#N/A</v>
      </c>
      <c r="F1119" s="142" t="e">
        <f>IF('Informe Kelly'!H1113=$A$3,'Informe Kelly'!F1113,VLOOKUP(D1119,$D$2:$F$4,3,FALSE))-(VLOOKUP(D1119,$D$2:$F$4,3,FALSE))</f>
        <v>#N/A</v>
      </c>
      <c r="G1119" s="137" t="e">
        <f t="shared" si="21"/>
        <v>#N/A</v>
      </c>
    </row>
    <row r="1120" spans="1:7">
      <c r="A1120" s="112" t="str">
        <f>VLOOKUP('Informe Kelly'!A1114,Base!A:B,2,FALSE)</f>
        <v>11.370.436-5</v>
      </c>
      <c r="B1120" s="112" t="str">
        <f>VLOOKUP('Informe Kelly'!A1114,Base!A:G,7,FALSE)</f>
        <v>MARDONES ALVARADO LUIS HUMBERTO</v>
      </c>
      <c r="C1120" s="112" t="str">
        <f>'Informe Kelly'!E1114</f>
        <v>04.04.2011</v>
      </c>
      <c r="D1120" s="112" t="e">
        <f>VLOOKUP(A1120,Ingreso!K:P,6,FALSE)</f>
        <v>#N/A</v>
      </c>
      <c r="E1120" s="142" t="e">
        <f>(VLOOKUP(D1120,$D$2:$E$4,2,FALSE))-(IF('Informe Kelly'!H1114=$A$2,'Informe Kelly'!F1114,VLOOKUP(D1120,$D$2:$E$4,2,FALSE)))</f>
        <v>#N/A</v>
      </c>
      <c r="F1120" s="142" t="e">
        <f>IF('Informe Kelly'!H1114=$A$3,'Informe Kelly'!F1114,VLOOKUP(D1120,$D$2:$F$4,3,FALSE))-(VLOOKUP(D1120,$D$2:$F$4,3,FALSE))</f>
        <v>#N/A</v>
      </c>
      <c r="G1120" s="137" t="e">
        <f t="shared" si="21"/>
        <v>#N/A</v>
      </c>
    </row>
    <row r="1121" spans="1:7">
      <c r="A1121" s="112" t="str">
        <f>VLOOKUP('Informe Kelly'!A1115,Base!A:B,2,FALSE)</f>
        <v>11.370.436-5</v>
      </c>
      <c r="B1121" s="112" t="str">
        <f>VLOOKUP('Informe Kelly'!A1115,Base!A:G,7,FALSE)</f>
        <v>MARDONES ALVARADO LUIS HUMBERTO</v>
      </c>
      <c r="C1121" s="112" t="str">
        <f>'Informe Kelly'!E1115</f>
        <v>04.04.2011</v>
      </c>
      <c r="D1121" s="112" t="e">
        <f>VLOOKUP(A1121,Ingreso!K:P,6,FALSE)</f>
        <v>#N/A</v>
      </c>
      <c r="E1121" s="142" t="e">
        <f>(VLOOKUP(D1121,$D$2:$E$4,2,FALSE))-(IF('Informe Kelly'!H1115=$A$2,'Informe Kelly'!F1115,VLOOKUP(D1121,$D$2:$E$4,2,FALSE)))</f>
        <v>#N/A</v>
      </c>
      <c r="F1121" s="142" t="e">
        <f>IF('Informe Kelly'!H1115=$A$3,'Informe Kelly'!F1115,VLOOKUP(D1121,$D$2:$F$4,3,FALSE))-(VLOOKUP(D1121,$D$2:$F$4,3,FALSE))</f>
        <v>#N/A</v>
      </c>
      <c r="G1121" s="137" t="e">
        <f t="shared" si="21"/>
        <v>#N/A</v>
      </c>
    </row>
    <row r="1122" spans="1:7">
      <c r="A1122" s="112" t="str">
        <f>VLOOKUP('Informe Kelly'!A1116,Base!A:B,2,FALSE)</f>
        <v>11.370.436-5</v>
      </c>
      <c r="B1122" s="112" t="str">
        <f>VLOOKUP('Informe Kelly'!A1116,Base!A:G,7,FALSE)</f>
        <v>MARDONES ALVARADO LUIS HUMBERTO</v>
      </c>
      <c r="C1122" s="112" t="str">
        <f>'Informe Kelly'!E1116</f>
        <v>05.04.2011</v>
      </c>
      <c r="D1122" s="112" t="e">
        <f>VLOOKUP(A1122,Ingreso!K:P,6,FALSE)</f>
        <v>#N/A</v>
      </c>
      <c r="E1122" s="142" t="e">
        <f>(VLOOKUP(D1122,$D$2:$E$4,2,FALSE))-(IF('Informe Kelly'!H1116=$A$2,'Informe Kelly'!F1116,VLOOKUP(D1122,$D$2:$E$4,2,FALSE)))</f>
        <v>#N/A</v>
      </c>
      <c r="F1122" s="142" t="e">
        <f>IF('Informe Kelly'!H1116=$A$3,'Informe Kelly'!F1116,VLOOKUP(D1122,$D$2:$F$4,3,FALSE))-(VLOOKUP(D1122,$D$2:$F$4,3,FALSE))</f>
        <v>#N/A</v>
      </c>
      <c r="G1122" s="137" t="e">
        <f t="shared" si="21"/>
        <v>#N/A</v>
      </c>
    </row>
    <row r="1123" spans="1:7">
      <c r="A1123" s="112" t="str">
        <f>VLOOKUP('Informe Kelly'!A1117,Base!A:B,2,FALSE)</f>
        <v>11.370.436-5</v>
      </c>
      <c r="B1123" s="112" t="str">
        <f>VLOOKUP('Informe Kelly'!A1117,Base!A:G,7,FALSE)</f>
        <v>MARDONES ALVARADO LUIS HUMBERTO</v>
      </c>
      <c r="C1123" s="112" t="str">
        <f>'Informe Kelly'!E1117</f>
        <v>05.04.2011</v>
      </c>
      <c r="D1123" s="112" t="e">
        <f>VLOOKUP(A1123,Ingreso!K:P,6,FALSE)</f>
        <v>#N/A</v>
      </c>
      <c r="E1123" s="142" t="e">
        <f>(VLOOKUP(D1123,$D$2:$E$4,2,FALSE))-(IF('Informe Kelly'!H1117=$A$2,'Informe Kelly'!F1117,VLOOKUP(D1123,$D$2:$E$4,2,FALSE)))</f>
        <v>#N/A</v>
      </c>
      <c r="F1123" s="142" t="e">
        <f>IF('Informe Kelly'!H1117=$A$3,'Informe Kelly'!F1117,VLOOKUP(D1123,$D$2:$F$4,3,FALSE))-(VLOOKUP(D1123,$D$2:$F$4,3,FALSE))</f>
        <v>#N/A</v>
      </c>
      <c r="G1123" s="137" t="e">
        <f t="shared" si="21"/>
        <v>#N/A</v>
      </c>
    </row>
    <row r="1124" spans="1:7">
      <c r="A1124" s="112" t="str">
        <f>VLOOKUP('Informe Kelly'!A1118,Base!A:B,2,FALSE)</f>
        <v>11.370.436-5</v>
      </c>
      <c r="B1124" s="112" t="str">
        <f>VLOOKUP('Informe Kelly'!A1118,Base!A:G,7,FALSE)</f>
        <v>MARDONES ALVARADO LUIS HUMBERTO</v>
      </c>
      <c r="C1124" s="112" t="str">
        <f>'Informe Kelly'!E1118</f>
        <v>06.04.2011</v>
      </c>
      <c r="D1124" s="112" t="e">
        <f>VLOOKUP(A1124,Ingreso!K:P,6,FALSE)</f>
        <v>#N/A</v>
      </c>
      <c r="E1124" s="142" t="e">
        <f>(VLOOKUP(D1124,$D$2:$E$4,2,FALSE))-(IF('Informe Kelly'!H1118=$A$2,'Informe Kelly'!F1118,VLOOKUP(D1124,$D$2:$E$4,2,FALSE)))</f>
        <v>#N/A</v>
      </c>
      <c r="F1124" s="142" t="e">
        <f>IF('Informe Kelly'!H1118=$A$3,'Informe Kelly'!F1118,VLOOKUP(D1124,$D$2:$F$4,3,FALSE))-(VLOOKUP(D1124,$D$2:$F$4,3,FALSE))</f>
        <v>#N/A</v>
      </c>
      <c r="G1124" s="137" t="e">
        <f t="shared" si="21"/>
        <v>#N/A</v>
      </c>
    </row>
    <row r="1125" spans="1:7">
      <c r="A1125" s="112" t="str">
        <f>VLOOKUP('Informe Kelly'!A1119,Base!A:B,2,FALSE)</f>
        <v>11.370.436-5</v>
      </c>
      <c r="B1125" s="112" t="str">
        <f>VLOOKUP('Informe Kelly'!A1119,Base!A:G,7,FALSE)</f>
        <v>MARDONES ALVARADO LUIS HUMBERTO</v>
      </c>
      <c r="C1125" s="112" t="str">
        <f>'Informe Kelly'!E1119</f>
        <v>06.04.2011</v>
      </c>
      <c r="D1125" s="112" t="e">
        <f>VLOOKUP(A1125,Ingreso!K:P,6,FALSE)</f>
        <v>#N/A</v>
      </c>
      <c r="E1125" s="142" t="e">
        <f>(VLOOKUP(D1125,$D$2:$E$4,2,FALSE))-(IF('Informe Kelly'!H1119=$A$2,'Informe Kelly'!F1119,VLOOKUP(D1125,$D$2:$E$4,2,FALSE)))</f>
        <v>#N/A</v>
      </c>
      <c r="F1125" s="142" t="e">
        <f>IF('Informe Kelly'!H1119=$A$3,'Informe Kelly'!F1119,VLOOKUP(D1125,$D$2:$F$4,3,FALSE))-(VLOOKUP(D1125,$D$2:$F$4,3,FALSE))</f>
        <v>#N/A</v>
      </c>
      <c r="G1125" s="137" t="e">
        <f t="shared" si="21"/>
        <v>#N/A</v>
      </c>
    </row>
    <row r="1126" spans="1:7">
      <c r="A1126" s="112" t="str">
        <f>VLOOKUP('Informe Kelly'!A1120,Base!A:B,2,FALSE)</f>
        <v>11.370.436-5</v>
      </c>
      <c r="B1126" s="112" t="str">
        <f>VLOOKUP('Informe Kelly'!A1120,Base!A:G,7,FALSE)</f>
        <v>MARDONES ALVARADO LUIS HUMBERTO</v>
      </c>
      <c r="C1126" s="112" t="str">
        <f>'Informe Kelly'!E1120</f>
        <v>07.04.2011</v>
      </c>
      <c r="D1126" s="112" t="e">
        <f>VLOOKUP(A1126,Ingreso!K:P,6,FALSE)</f>
        <v>#N/A</v>
      </c>
      <c r="E1126" s="142" t="e">
        <f>(VLOOKUP(D1126,$D$2:$E$4,2,FALSE))-(IF('Informe Kelly'!H1120=$A$2,'Informe Kelly'!F1120,VLOOKUP(D1126,$D$2:$E$4,2,FALSE)))</f>
        <v>#N/A</v>
      </c>
      <c r="F1126" s="142" t="e">
        <f>IF('Informe Kelly'!H1120=$A$3,'Informe Kelly'!F1120,VLOOKUP(D1126,$D$2:$F$4,3,FALSE))-(VLOOKUP(D1126,$D$2:$F$4,3,FALSE))</f>
        <v>#N/A</v>
      </c>
      <c r="G1126" s="137" t="e">
        <f t="shared" si="21"/>
        <v>#N/A</v>
      </c>
    </row>
    <row r="1127" spans="1:7">
      <c r="A1127" s="112" t="str">
        <f>VLOOKUP('Informe Kelly'!A1121,Base!A:B,2,FALSE)</f>
        <v>11.370.436-5</v>
      </c>
      <c r="B1127" s="112" t="str">
        <f>VLOOKUP('Informe Kelly'!A1121,Base!A:G,7,FALSE)</f>
        <v>MARDONES ALVARADO LUIS HUMBERTO</v>
      </c>
      <c r="C1127" s="112" t="str">
        <f>'Informe Kelly'!E1121</f>
        <v>07.04.2011</v>
      </c>
      <c r="D1127" s="112" t="e">
        <f>VLOOKUP(A1127,Ingreso!K:P,6,FALSE)</f>
        <v>#N/A</v>
      </c>
      <c r="E1127" s="142" t="e">
        <f>(VLOOKUP(D1127,$D$2:$E$4,2,FALSE))-(IF('Informe Kelly'!H1121=$A$2,'Informe Kelly'!F1121,VLOOKUP(D1127,$D$2:$E$4,2,FALSE)))</f>
        <v>#N/A</v>
      </c>
      <c r="F1127" s="142" t="e">
        <f>IF('Informe Kelly'!H1121=$A$3,'Informe Kelly'!F1121,VLOOKUP(D1127,$D$2:$F$4,3,FALSE))-(VLOOKUP(D1127,$D$2:$F$4,3,FALSE))</f>
        <v>#N/A</v>
      </c>
      <c r="G1127" s="137" t="e">
        <f t="shared" si="21"/>
        <v>#N/A</v>
      </c>
    </row>
    <row r="1128" spans="1:7">
      <c r="A1128" s="112" t="str">
        <f>VLOOKUP('Informe Kelly'!A1122,Base!A:B,2,FALSE)</f>
        <v>11.370.436-5</v>
      </c>
      <c r="B1128" s="112" t="str">
        <f>VLOOKUP('Informe Kelly'!A1122,Base!A:G,7,FALSE)</f>
        <v>MARDONES ALVARADO LUIS HUMBERTO</v>
      </c>
      <c r="C1128" s="112" t="str">
        <f>'Informe Kelly'!E1122</f>
        <v>08.04.2011</v>
      </c>
      <c r="D1128" s="112" t="e">
        <f>VLOOKUP(A1128,Ingreso!K:P,6,FALSE)</f>
        <v>#N/A</v>
      </c>
      <c r="E1128" s="142" t="e">
        <f>(VLOOKUP(D1128,$D$2:$E$4,2,FALSE))-(IF('Informe Kelly'!H1122=$A$2,'Informe Kelly'!F1122,VLOOKUP(D1128,$D$2:$E$4,2,FALSE)))</f>
        <v>#N/A</v>
      </c>
      <c r="F1128" s="142" t="e">
        <f>IF('Informe Kelly'!H1122=$A$3,'Informe Kelly'!F1122,VLOOKUP(D1128,$D$2:$F$4,3,FALSE))-(VLOOKUP(D1128,$D$2:$F$4,3,FALSE))</f>
        <v>#N/A</v>
      </c>
      <c r="G1128" s="137" t="e">
        <f t="shared" si="21"/>
        <v>#N/A</v>
      </c>
    </row>
    <row r="1129" spans="1:7">
      <c r="A1129" s="112" t="str">
        <f>VLOOKUP('Informe Kelly'!A1123,Base!A:B,2,FALSE)</f>
        <v>11.370.436-5</v>
      </c>
      <c r="B1129" s="112" t="str">
        <f>VLOOKUP('Informe Kelly'!A1123,Base!A:G,7,FALSE)</f>
        <v>MARDONES ALVARADO LUIS HUMBERTO</v>
      </c>
      <c r="C1129" s="112" t="str">
        <f>'Informe Kelly'!E1123</f>
        <v>08.04.2011</v>
      </c>
      <c r="D1129" s="112" t="e">
        <f>VLOOKUP(A1129,Ingreso!K:P,6,FALSE)</f>
        <v>#N/A</v>
      </c>
      <c r="E1129" s="142" t="e">
        <f>(VLOOKUP(D1129,$D$2:$E$4,2,FALSE))-(IF('Informe Kelly'!H1123=$A$2,'Informe Kelly'!F1123,VLOOKUP(D1129,$D$2:$E$4,2,FALSE)))</f>
        <v>#N/A</v>
      </c>
      <c r="F1129" s="142" t="e">
        <f>IF('Informe Kelly'!H1123=$A$3,'Informe Kelly'!F1123,VLOOKUP(D1129,$D$2:$F$4,3,FALSE))-(VLOOKUP(D1129,$D$2:$F$4,3,FALSE))</f>
        <v>#N/A</v>
      </c>
      <c r="G1129" s="137" t="e">
        <f t="shared" si="21"/>
        <v>#N/A</v>
      </c>
    </row>
    <row r="1130" spans="1:7">
      <c r="A1130" s="112" t="str">
        <f>VLOOKUP('Informe Kelly'!A1124,Base!A:B,2,FALSE)</f>
        <v>11.370.436-5</v>
      </c>
      <c r="B1130" s="112" t="str">
        <f>VLOOKUP('Informe Kelly'!A1124,Base!A:G,7,FALSE)</f>
        <v>MARDONES ALVARADO LUIS HUMBERTO</v>
      </c>
      <c r="C1130" s="112" t="str">
        <f>'Informe Kelly'!E1124</f>
        <v>09.04.2011</v>
      </c>
      <c r="D1130" s="112" t="e">
        <f>VLOOKUP(A1130,Ingreso!K:P,6,FALSE)</f>
        <v>#N/A</v>
      </c>
      <c r="E1130" s="142" t="e">
        <f>(VLOOKUP(D1130,$D$2:$E$4,2,FALSE))-(IF('Informe Kelly'!H1124=$A$2,'Informe Kelly'!F1124,VLOOKUP(D1130,$D$2:$E$4,2,FALSE)))</f>
        <v>#N/A</v>
      </c>
      <c r="F1130" s="142" t="e">
        <f>IF('Informe Kelly'!H1124=$A$3,'Informe Kelly'!F1124,VLOOKUP(D1130,$D$2:$F$4,3,FALSE))-(VLOOKUP(D1130,$D$2:$F$4,3,FALSE))</f>
        <v>#N/A</v>
      </c>
      <c r="G1130" s="137" t="e">
        <f t="shared" si="21"/>
        <v>#N/A</v>
      </c>
    </row>
    <row r="1131" spans="1:7">
      <c r="A1131" s="112" t="str">
        <f>VLOOKUP('Informe Kelly'!A1125,Base!A:B,2,FALSE)</f>
        <v>11.370.436-5</v>
      </c>
      <c r="B1131" s="112" t="str">
        <f>VLOOKUP('Informe Kelly'!A1125,Base!A:G,7,FALSE)</f>
        <v>MARDONES ALVARADO LUIS HUMBERTO</v>
      </c>
      <c r="C1131" s="112" t="str">
        <f>'Informe Kelly'!E1125</f>
        <v>09.04.2011</v>
      </c>
      <c r="D1131" s="112" t="e">
        <f>VLOOKUP(A1131,Ingreso!K:P,6,FALSE)</f>
        <v>#N/A</v>
      </c>
      <c r="E1131" s="142" t="e">
        <f>(VLOOKUP(D1131,$D$2:$E$4,2,FALSE))-(IF('Informe Kelly'!H1125=$A$2,'Informe Kelly'!F1125,VLOOKUP(D1131,$D$2:$E$4,2,FALSE)))</f>
        <v>#N/A</v>
      </c>
      <c r="F1131" s="142" t="e">
        <f>IF('Informe Kelly'!H1125=$A$3,'Informe Kelly'!F1125,VLOOKUP(D1131,$D$2:$F$4,3,FALSE))-(VLOOKUP(D1131,$D$2:$F$4,3,FALSE))</f>
        <v>#N/A</v>
      </c>
      <c r="G1131" s="137" t="e">
        <f t="shared" si="21"/>
        <v>#N/A</v>
      </c>
    </row>
    <row r="1132" spans="1:7">
      <c r="A1132" s="112" t="str">
        <f>VLOOKUP('Informe Kelly'!A1126,Base!A:B,2,FALSE)</f>
        <v>11.523.492-7</v>
      </c>
      <c r="B1132" s="112" t="str">
        <f>VLOOKUP('Informe Kelly'!A1126,Base!A:G,7,FALSE)</f>
        <v>CORTES  ULLOA, CLAUDIO</v>
      </c>
      <c r="C1132" s="112" t="str">
        <f>'Informe Kelly'!E1126</f>
        <v>04.04.2011</v>
      </c>
      <c r="D1132" s="112" t="e">
        <f>VLOOKUP(A1132,Ingreso!K:P,6,FALSE)</f>
        <v>#N/A</v>
      </c>
      <c r="E1132" s="142" t="e">
        <f>(VLOOKUP(D1132,$D$2:$E$4,2,FALSE))-(IF('Informe Kelly'!H1126=$A$2,'Informe Kelly'!F1126,VLOOKUP(D1132,$D$2:$E$4,2,FALSE)))</f>
        <v>#N/A</v>
      </c>
      <c r="F1132" s="142" t="e">
        <f>IF('Informe Kelly'!H1126=$A$3,'Informe Kelly'!F1126,VLOOKUP(D1132,$D$2:$F$4,3,FALSE))-(VLOOKUP(D1132,$D$2:$F$4,3,FALSE))</f>
        <v>#N/A</v>
      </c>
      <c r="G1132" s="137" t="e">
        <f t="shared" si="21"/>
        <v>#N/A</v>
      </c>
    </row>
    <row r="1133" spans="1:7">
      <c r="A1133" s="112" t="str">
        <f>VLOOKUP('Informe Kelly'!A1127,Base!A:B,2,FALSE)</f>
        <v>11.523.492-7</v>
      </c>
      <c r="B1133" s="112" t="str">
        <f>VLOOKUP('Informe Kelly'!A1127,Base!A:G,7,FALSE)</f>
        <v>CORTES  ULLOA, CLAUDIO</v>
      </c>
      <c r="C1133" s="112" t="str">
        <f>'Informe Kelly'!E1127</f>
        <v>04.04.2011</v>
      </c>
      <c r="D1133" s="112" t="e">
        <f>VLOOKUP(A1133,Ingreso!K:P,6,FALSE)</f>
        <v>#N/A</v>
      </c>
      <c r="E1133" s="142" t="e">
        <f>(VLOOKUP(D1133,$D$2:$E$4,2,FALSE))-(IF('Informe Kelly'!H1127=$A$2,'Informe Kelly'!F1127,VLOOKUP(D1133,$D$2:$E$4,2,FALSE)))</f>
        <v>#N/A</v>
      </c>
      <c r="F1133" s="142" t="e">
        <f>IF('Informe Kelly'!H1127=$A$3,'Informe Kelly'!F1127,VLOOKUP(D1133,$D$2:$F$4,3,FALSE))-(VLOOKUP(D1133,$D$2:$F$4,3,FALSE))</f>
        <v>#N/A</v>
      </c>
      <c r="G1133" s="137" t="e">
        <f t="shared" si="21"/>
        <v>#N/A</v>
      </c>
    </row>
    <row r="1134" spans="1:7">
      <c r="A1134" s="112" t="str">
        <f>VLOOKUP('Informe Kelly'!A1128,Base!A:B,2,FALSE)</f>
        <v>11.523.492-7</v>
      </c>
      <c r="B1134" s="112" t="str">
        <f>VLOOKUP('Informe Kelly'!A1128,Base!A:G,7,FALSE)</f>
        <v>CORTES  ULLOA, CLAUDIO</v>
      </c>
      <c r="C1134" s="112" t="str">
        <f>'Informe Kelly'!E1128</f>
        <v>05.04.2011</v>
      </c>
      <c r="D1134" s="112" t="e">
        <f>VLOOKUP(A1134,Ingreso!K:P,6,FALSE)</f>
        <v>#N/A</v>
      </c>
      <c r="E1134" s="142" t="e">
        <f>(VLOOKUP(D1134,$D$2:$E$4,2,FALSE))-(IF('Informe Kelly'!H1128=$A$2,'Informe Kelly'!F1128,VLOOKUP(D1134,$D$2:$E$4,2,FALSE)))</f>
        <v>#N/A</v>
      </c>
      <c r="F1134" s="142" t="e">
        <f>IF('Informe Kelly'!H1128=$A$3,'Informe Kelly'!F1128,VLOOKUP(D1134,$D$2:$F$4,3,FALSE))-(VLOOKUP(D1134,$D$2:$F$4,3,FALSE))</f>
        <v>#N/A</v>
      </c>
      <c r="G1134" s="137" t="e">
        <f t="shared" si="21"/>
        <v>#N/A</v>
      </c>
    </row>
    <row r="1135" spans="1:7">
      <c r="A1135" s="112" t="str">
        <f>VLOOKUP('Informe Kelly'!A1129,Base!A:B,2,FALSE)</f>
        <v>11.523.492-7</v>
      </c>
      <c r="B1135" s="112" t="str">
        <f>VLOOKUP('Informe Kelly'!A1129,Base!A:G,7,FALSE)</f>
        <v>CORTES  ULLOA, CLAUDIO</v>
      </c>
      <c r="C1135" s="112" t="str">
        <f>'Informe Kelly'!E1129</f>
        <v>05.04.2011</v>
      </c>
      <c r="D1135" s="112" t="e">
        <f>VLOOKUP(A1135,Ingreso!K:P,6,FALSE)</f>
        <v>#N/A</v>
      </c>
      <c r="E1135" s="142" t="e">
        <f>(VLOOKUP(D1135,$D$2:$E$4,2,FALSE))-(IF('Informe Kelly'!H1129=$A$2,'Informe Kelly'!F1129,VLOOKUP(D1135,$D$2:$E$4,2,FALSE)))</f>
        <v>#N/A</v>
      </c>
      <c r="F1135" s="142" t="e">
        <f>IF('Informe Kelly'!H1129=$A$3,'Informe Kelly'!F1129,VLOOKUP(D1135,$D$2:$F$4,3,FALSE))-(VLOOKUP(D1135,$D$2:$F$4,3,FALSE))</f>
        <v>#N/A</v>
      </c>
      <c r="G1135" s="137" t="e">
        <f t="shared" si="21"/>
        <v>#N/A</v>
      </c>
    </row>
    <row r="1136" spans="1:7">
      <c r="A1136" s="112" t="str">
        <f>VLOOKUP('Informe Kelly'!A1130,Base!A:B,2,FALSE)</f>
        <v>11.523.492-7</v>
      </c>
      <c r="B1136" s="112" t="str">
        <f>VLOOKUP('Informe Kelly'!A1130,Base!A:G,7,FALSE)</f>
        <v>CORTES  ULLOA, CLAUDIO</v>
      </c>
      <c r="C1136" s="112" t="str">
        <f>'Informe Kelly'!E1130</f>
        <v>06.04.2011</v>
      </c>
      <c r="D1136" s="112" t="e">
        <f>VLOOKUP(A1136,Ingreso!K:P,6,FALSE)</f>
        <v>#N/A</v>
      </c>
      <c r="E1136" s="142" t="e">
        <f>(VLOOKUP(D1136,$D$2:$E$4,2,FALSE))-(IF('Informe Kelly'!H1130=$A$2,'Informe Kelly'!F1130,VLOOKUP(D1136,$D$2:$E$4,2,FALSE)))</f>
        <v>#N/A</v>
      </c>
      <c r="F1136" s="142" t="e">
        <f>IF('Informe Kelly'!H1130=$A$3,'Informe Kelly'!F1130,VLOOKUP(D1136,$D$2:$F$4,3,FALSE))-(VLOOKUP(D1136,$D$2:$F$4,3,FALSE))</f>
        <v>#N/A</v>
      </c>
      <c r="G1136" s="137" t="e">
        <f t="shared" si="21"/>
        <v>#N/A</v>
      </c>
    </row>
    <row r="1137" spans="1:7">
      <c r="A1137" s="112" t="str">
        <f>VLOOKUP('Informe Kelly'!A1131,Base!A:B,2,FALSE)</f>
        <v>11.523.492-7</v>
      </c>
      <c r="B1137" s="112" t="str">
        <f>VLOOKUP('Informe Kelly'!A1131,Base!A:G,7,FALSE)</f>
        <v>CORTES  ULLOA, CLAUDIO</v>
      </c>
      <c r="C1137" s="112" t="str">
        <f>'Informe Kelly'!E1131</f>
        <v>06.04.2011</v>
      </c>
      <c r="D1137" s="112" t="e">
        <f>VLOOKUP(A1137,Ingreso!K:P,6,FALSE)</f>
        <v>#N/A</v>
      </c>
      <c r="E1137" s="142" t="e">
        <f>(VLOOKUP(D1137,$D$2:$E$4,2,FALSE))-(IF('Informe Kelly'!H1131=$A$2,'Informe Kelly'!F1131,VLOOKUP(D1137,$D$2:$E$4,2,FALSE)))</f>
        <v>#N/A</v>
      </c>
      <c r="F1137" s="142" t="e">
        <f>IF('Informe Kelly'!H1131=$A$3,'Informe Kelly'!F1131,VLOOKUP(D1137,$D$2:$F$4,3,FALSE))-(VLOOKUP(D1137,$D$2:$F$4,3,FALSE))</f>
        <v>#N/A</v>
      </c>
      <c r="G1137" s="137" t="e">
        <f t="shared" si="21"/>
        <v>#N/A</v>
      </c>
    </row>
    <row r="1138" spans="1:7">
      <c r="A1138" s="112" t="str">
        <f>VLOOKUP('Informe Kelly'!A1132,Base!A:B,2,FALSE)</f>
        <v>11.523.492-7</v>
      </c>
      <c r="B1138" s="112" t="str">
        <f>VLOOKUP('Informe Kelly'!A1132,Base!A:G,7,FALSE)</f>
        <v>CORTES  ULLOA, CLAUDIO</v>
      </c>
      <c r="C1138" s="112" t="str">
        <f>'Informe Kelly'!E1132</f>
        <v>07.04.2011</v>
      </c>
      <c r="D1138" s="112" t="e">
        <f>VLOOKUP(A1138,Ingreso!K:P,6,FALSE)</f>
        <v>#N/A</v>
      </c>
      <c r="E1138" s="142" t="e">
        <f>(VLOOKUP(D1138,$D$2:$E$4,2,FALSE))-(IF('Informe Kelly'!H1132=$A$2,'Informe Kelly'!F1132,VLOOKUP(D1138,$D$2:$E$4,2,FALSE)))</f>
        <v>#N/A</v>
      </c>
      <c r="F1138" s="142" t="e">
        <f>IF('Informe Kelly'!H1132=$A$3,'Informe Kelly'!F1132,VLOOKUP(D1138,$D$2:$F$4,3,FALSE))-(VLOOKUP(D1138,$D$2:$F$4,3,FALSE))</f>
        <v>#N/A</v>
      </c>
      <c r="G1138" s="137" t="e">
        <f t="shared" si="21"/>
        <v>#N/A</v>
      </c>
    </row>
    <row r="1139" spans="1:7">
      <c r="A1139" s="112" t="str">
        <f>VLOOKUP('Informe Kelly'!A1133,Base!A:B,2,FALSE)</f>
        <v>11.523.492-7</v>
      </c>
      <c r="B1139" s="112" t="str">
        <f>VLOOKUP('Informe Kelly'!A1133,Base!A:G,7,FALSE)</f>
        <v>CORTES  ULLOA, CLAUDIO</v>
      </c>
      <c r="C1139" s="112" t="str">
        <f>'Informe Kelly'!E1133</f>
        <v>07.04.2011</v>
      </c>
      <c r="D1139" s="112" t="e">
        <f>VLOOKUP(A1139,Ingreso!K:P,6,FALSE)</f>
        <v>#N/A</v>
      </c>
      <c r="E1139" s="142" t="e">
        <f>(VLOOKUP(D1139,$D$2:$E$4,2,FALSE))-(IF('Informe Kelly'!H1133=$A$2,'Informe Kelly'!F1133,VLOOKUP(D1139,$D$2:$E$4,2,FALSE)))</f>
        <v>#N/A</v>
      </c>
      <c r="F1139" s="142" t="e">
        <f>IF('Informe Kelly'!H1133=$A$3,'Informe Kelly'!F1133,VLOOKUP(D1139,$D$2:$F$4,3,FALSE))-(VLOOKUP(D1139,$D$2:$F$4,3,FALSE))</f>
        <v>#N/A</v>
      </c>
      <c r="G1139" s="137" t="e">
        <f t="shared" si="21"/>
        <v>#N/A</v>
      </c>
    </row>
    <row r="1140" spans="1:7">
      <c r="A1140" s="112" t="str">
        <f>VLOOKUP('Informe Kelly'!A1134,Base!A:B,2,FALSE)</f>
        <v>11.523.492-7</v>
      </c>
      <c r="B1140" s="112" t="str">
        <f>VLOOKUP('Informe Kelly'!A1134,Base!A:G,7,FALSE)</f>
        <v>CORTES  ULLOA, CLAUDIO</v>
      </c>
      <c r="C1140" s="112" t="str">
        <f>'Informe Kelly'!E1134</f>
        <v>08.04.2011</v>
      </c>
      <c r="D1140" s="112" t="e">
        <f>VLOOKUP(A1140,Ingreso!K:P,6,FALSE)</f>
        <v>#N/A</v>
      </c>
      <c r="E1140" s="142" t="e">
        <f>(VLOOKUP(D1140,$D$2:$E$4,2,FALSE))-(IF('Informe Kelly'!H1134=$A$2,'Informe Kelly'!F1134,VLOOKUP(D1140,$D$2:$E$4,2,FALSE)))</f>
        <v>#N/A</v>
      </c>
      <c r="F1140" s="142" t="e">
        <f>IF('Informe Kelly'!H1134=$A$3,'Informe Kelly'!F1134,VLOOKUP(D1140,$D$2:$F$4,3,FALSE))-(VLOOKUP(D1140,$D$2:$F$4,3,FALSE))</f>
        <v>#N/A</v>
      </c>
      <c r="G1140" s="137" t="e">
        <f t="shared" si="21"/>
        <v>#N/A</v>
      </c>
    </row>
    <row r="1141" spans="1:7">
      <c r="A1141" s="112" t="str">
        <f>VLOOKUP('Informe Kelly'!A1135,Base!A:B,2,FALSE)</f>
        <v>11.523.492-7</v>
      </c>
      <c r="B1141" s="112" t="str">
        <f>VLOOKUP('Informe Kelly'!A1135,Base!A:G,7,FALSE)</f>
        <v>CORTES  ULLOA, CLAUDIO</v>
      </c>
      <c r="C1141" s="112" t="str">
        <f>'Informe Kelly'!E1135</f>
        <v>08.04.2011</v>
      </c>
      <c r="D1141" s="112" t="e">
        <f>VLOOKUP(A1141,Ingreso!K:P,6,FALSE)</f>
        <v>#N/A</v>
      </c>
      <c r="E1141" s="142" t="e">
        <f>(VLOOKUP(D1141,$D$2:$E$4,2,FALSE))-(IF('Informe Kelly'!H1135=$A$2,'Informe Kelly'!F1135,VLOOKUP(D1141,$D$2:$E$4,2,FALSE)))</f>
        <v>#N/A</v>
      </c>
      <c r="F1141" s="142" t="e">
        <f>IF('Informe Kelly'!H1135=$A$3,'Informe Kelly'!F1135,VLOOKUP(D1141,$D$2:$F$4,3,FALSE))-(VLOOKUP(D1141,$D$2:$F$4,3,FALSE))</f>
        <v>#N/A</v>
      </c>
      <c r="G1141" s="137" t="e">
        <f t="shared" si="21"/>
        <v>#N/A</v>
      </c>
    </row>
    <row r="1142" spans="1:7">
      <c r="A1142" s="112" t="str">
        <f>VLOOKUP('Informe Kelly'!A1136,Base!A:B,2,FALSE)</f>
        <v>11.523.492-7</v>
      </c>
      <c r="B1142" s="112" t="str">
        <f>VLOOKUP('Informe Kelly'!A1136,Base!A:G,7,FALSE)</f>
        <v>CORTES  ULLOA, CLAUDIO</v>
      </c>
      <c r="C1142" s="112" t="str">
        <f>'Informe Kelly'!E1136</f>
        <v>09.04.2011</v>
      </c>
      <c r="D1142" s="112" t="e">
        <f>VLOOKUP(A1142,Ingreso!K:P,6,FALSE)</f>
        <v>#N/A</v>
      </c>
      <c r="E1142" s="142" t="e">
        <f>(VLOOKUP(D1142,$D$2:$E$4,2,FALSE))-(IF('Informe Kelly'!H1136=$A$2,'Informe Kelly'!F1136,VLOOKUP(D1142,$D$2:$E$4,2,FALSE)))</f>
        <v>#N/A</v>
      </c>
      <c r="F1142" s="142" t="e">
        <f>IF('Informe Kelly'!H1136=$A$3,'Informe Kelly'!F1136,VLOOKUP(D1142,$D$2:$F$4,3,FALSE))-(VLOOKUP(D1142,$D$2:$F$4,3,FALSE))</f>
        <v>#N/A</v>
      </c>
      <c r="G1142" s="137" t="e">
        <f t="shared" si="21"/>
        <v>#N/A</v>
      </c>
    </row>
    <row r="1143" spans="1:7">
      <c r="A1143" s="112" t="str">
        <f>VLOOKUP('Informe Kelly'!A1137,Base!A:B,2,FALSE)</f>
        <v>11.523.492-7</v>
      </c>
      <c r="B1143" s="112" t="str">
        <f>VLOOKUP('Informe Kelly'!A1137,Base!A:G,7,FALSE)</f>
        <v>CORTES  ULLOA, CLAUDIO</v>
      </c>
      <c r="C1143" s="112" t="str">
        <f>'Informe Kelly'!E1137</f>
        <v>09.04.2011</v>
      </c>
      <c r="D1143" s="112" t="e">
        <f>VLOOKUP(A1143,Ingreso!K:P,6,FALSE)</f>
        <v>#N/A</v>
      </c>
      <c r="E1143" s="142" t="e">
        <f>(VLOOKUP(D1143,$D$2:$E$4,2,FALSE))-(IF('Informe Kelly'!H1137=$A$2,'Informe Kelly'!F1137,VLOOKUP(D1143,$D$2:$E$4,2,FALSE)))</f>
        <v>#N/A</v>
      </c>
      <c r="F1143" s="142" t="e">
        <f>IF('Informe Kelly'!H1137=$A$3,'Informe Kelly'!F1137,VLOOKUP(D1143,$D$2:$F$4,3,FALSE))-(VLOOKUP(D1143,$D$2:$F$4,3,FALSE))</f>
        <v>#N/A</v>
      </c>
      <c r="G1143" s="137" t="e">
        <f t="shared" si="21"/>
        <v>#N/A</v>
      </c>
    </row>
    <row r="1144" spans="1:7">
      <c r="A1144" s="112" t="str">
        <f>VLOOKUP('Informe Kelly'!A1138,Base!A:B,2,FALSE)</f>
        <v>11.523.497-8</v>
      </c>
      <c r="B1144" s="112" t="str">
        <f>VLOOKUP('Informe Kelly'!A1138,Base!A:G,7,FALSE)</f>
        <v>NARVAI DIAZ LUIS</v>
      </c>
      <c r="C1144" s="112" t="str">
        <f>'Informe Kelly'!E1138</f>
        <v>04.04.2011</v>
      </c>
      <c r="D1144" s="112" t="e">
        <f>VLOOKUP(A1144,Ingreso!K:P,6,FALSE)</f>
        <v>#N/A</v>
      </c>
      <c r="E1144" s="142" t="e">
        <f>(VLOOKUP(D1144,$D$2:$E$4,2,FALSE))-(IF('Informe Kelly'!H1138=$A$2,'Informe Kelly'!F1138,VLOOKUP(D1144,$D$2:$E$4,2,FALSE)))</f>
        <v>#N/A</v>
      </c>
      <c r="F1144" s="142" t="e">
        <f>IF('Informe Kelly'!H1138=$A$3,'Informe Kelly'!F1138,VLOOKUP(D1144,$D$2:$F$4,3,FALSE))-(VLOOKUP(D1144,$D$2:$F$4,3,FALSE))</f>
        <v>#N/A</v>
      </c>
      <c r="G1144" s="137" t="e">
        <f t="shared" si="21"/>
        <v>#N/A</v>
      </c>
    </row>
    <row r="1145" spans="1:7">
      <c r="A1145" s="112" t="str">
        <f>VLOOKUP('Informe Kelly'!A1139,Base!A:B,2,FALSE)</f>
        <v>11.523.497-8</v>
      </c>
      <c r="B1145" s="112" t="str">
        <f>VLOOKUP('Informe Kelly'!A1139,Base!A:G,7,FALSE)</f>
        <v>NARVAI DIAZ LUIS</v>
      </c>
      <c r="C1145" s="112" t="str">
        <f>'Informe Kelly'!E1139</f>
        <v>04.04.2011</v>
      </c>
      <c r="D1145" s="112" t="e">
        <f>VLOOKUP(A1145,Ingreso!K:P,6,FALSE)</f>
        <v>#N/A</v>
      </c>
      <c r="E1145" s="142" t="e">
        <f>(VLOOKUP(D1145,$D$2:$E$4,2,FALSE))-(IF('Informe Kelly'!H1139=$A$2,'Informe Kelly'!F1139,VLOOKUP(D1145,$D$2:$E$4,2,FALSE)))</f>
        <v>#N/A</v>
      </c>
      <c r="F1145" s="142" t="e">
        <f>IF('Informe Kelly'!H1139=$A$3,'Informe Kelly'!F1139,VLOOKUP(D1145,$D$2:$F$4,3,FALSE))-(VLOOKUP(D1145,$D$2:$F$4,3,FALSE))</f>
        <v>#N/A</v>
      </c>
      <c r="G1145" s="137" t="e">
        <f t="shared" si="21"/>
        <v>#N/A</v>
      </c>
    </row>
    <row r="1146" spans="1:7">
      <c r="A1146" s="112" t="str">
        <f>VLOOKUP('Informe Kelly'!A1140,Base!A:B,2,FALSE)</f>
        <v>11.523.497-8</v>
      </c>
      <c r="B1146" s="112" t="str">
        <f>VLOOKUP('Informe Kelly'!A1140,Base!A:G,7,FALSE)</f>
        <v>NARVAI DIAZ LUIS</v>
      </c>
      <c r="C1146" s="112" t="str">
        <f>'Informe Kelly'!E1140</f>
        <v>05.04.2011</v>
      </c>
      <c r="D1146" s="112" t="e">
        <f>VLOOKUP(A1146,Ingreso!K:P,6,FALSE)</f>
        <v>#N/A</v>
      </c>
      <c r="E1146" s="142" t="e">
        <f>(VLOOKUP(D1146,$D$2:$E$4,2,FALSE))-(IF('Informe Kelly'!H1140=$A$2,'Informe Kelly'!F1140,VLOOKUP(D1146,$D$2:$E$4,2,FALSE)))</f>
        <v>#N/A</v>
      </c>
      <c r="F1146" s="142" t="e">
        <f>IF('Informe Kelly'!H1140=$A$3,'Informe Kelly'!F1140,VLOOKUP(D1146,$D$2:$F$4,3,FALSE))-(VLOOKUP(D1146,$D$2:$F$4,3,FALSE))</f>
        <v>#N/A</v>
      </c>
      <c r="G1146" s="137" t="e">
        <f t="shared" si="21"/>
        <v>#N/A</v>
      </c>
    </row>
    <row r="1147" spans="1:7">
      <c r="A1147" s="112" t="str">
        <f>VLOOKUP('Informe Kelly'!A1141,Base!A:B,2,FALSE)</f>
        <v>11.523.497-8</v>
      </c>
      <c r="B1147" s="112" t="str">
        <f>VLOOKUP('Informe Kelly'!A1141,Base!A:G,7,FALSE)</f>
        <v>NARVAI DIAZ LUIS</v>
      </c>
      <c r="C1147" s="112" t="str">
        <f>'Informe Kelly'!E1141</f>
        <v>05.04.2011</v>
      </c>
      <c r="D1147" s="112" t="e">
        <f>VLOOKUP(A1147,Ingreso!K:P,6,FALSE)</f>
        <v>#N/A</v>
      </c>
      <c r="E1147" s="142" t="e">
        <f>(VLOOKUP(D1147,$D$2:$E$4,2,FALSE))-(IF('Informe Kelly'!H1141=$A$2,'Informe Kelly'!F1141,VLOOKUP(D1147,$D$2:$E$4,2,FALSE)))</f>
        <v>#N/A</v>
      </c>
      <c r="F1147" s="142" t="e">
        <f>IF('Informe Kelly'!H1141=$A$3,'Informe Kelly'!F1141,VLOOKUP(D1147,$D$2:$F$4,3,FALSE))-(VLOOKUP(D1147,$D$2:$F$4,3,FALSE))</f>
        <v>#N/A</v>
      </c>
      <c r="G1147" s="137" t="e">
        <f t="shared" si="21"/>
        <v>#N/A</v>
      </c>
    </row>
    <row r="1148" spans="1:7">
      <c r="A1148" s="112" t="str">
        <f>VLOOKUP('Informe Kelly'!A1142,Base!A:B,2,FALSE)</f>
        <v>11.523.497-8</v>
      </c>
      <c r="B1148" s="112" t="str">
        <f>VLOOKUP('Informe Kelly'!A1142,Base!A:G,7,FALSE)</f>
        <v>NARVAI DIAZ LUIS</v>
      </c>
      <c r="C1148" s="112" t="str">
        <f>'Informe Kelly'!E1142</f>
        <v>06.04.2011</v>
      </c>
      <c r="D1148" s="112" t="e">
        <f>VLOOKUP(A1148,Ingreso!K:P,6,FALSE)</f>
        <v>#N/A</v>
      </c>
      <c r="E1148" s="142" t="e">
        <f>(VLOOKUP(D1148,$D$2:$E$4,2,FALSE))-(IF('Informe Kelly'!H1142=$A$2,'Informe Kelly'!F1142,VLOOKUP(D1148,$D$2:$E$4,2,FALSE)))</f>
        <v>#N/A</v>
      </c>
      <c r="F1148" s="142" t="e">
        <f>IF('Informe Kelly'!H1142=$A$3,'Informe Kelly'!F1142,VLOOKUP(D1148,$D$2:$F$4,3,FALSE))-(VLOOKUP(D1148,$D$2:$F$4,3,FALSE))</f>
        <v>#N/A</v>
      </c>
      <c r="G1148" s="137" t="e">
        <f t="shared" si="21"/>
        <v>#N/A</v>
      </c>
    </row>
    <row r="1149" spans="1:7">
      <c r="A1149" s="112" t="str">
        <f>VLOOKUP('Informe Kelly'!A1143,Base!A:B,2,FALSE)</f>
        <v>11.523.497-8</v>
      </c>
      <c r="B1149" s="112" t="str">
        <f>VLOOKUP('Informe Kelly'!A1143,Base!A:G,7,FALSE)</f>
        <v>NARVAI DIAZ LUIS</v>
      </c>
      <c r="C1149" s="112" t="str">
        <f>'Informe Kelly'!E1143</f>
        <v>06.04.2011</v>
      </c>
      <c r="D1149" s="112" t="e">
        <f>VLOOKUP(A1149,Ingreso!K:P,6,FALSE)</f>
        <v>#N/A</v>
      </c>
      <c r="E1149" s="142" t="e">
        <f>(VLOOKUP(D1149,$D$2:$E$4,2,FALSE))-(IF('Informe Kelly'!H1143=$A$2,'Informe Kelly'!F1143,VLOOKUP(D1149,$D$2:$E$4,2,FALSE)))</f>
        <v>#N/A</v>
      </c>
      <c r="F1149" s="142" t="e">
        <f>IF('Informe Kelly'!H1143=$A$3,'Informe Kelly'!F1143,VLOOKUP(D1149,$D$2:$F$4,3,FALSE))-(VLOOKUP(D1149,$D$2:$F$4,3,FALSE))</f>
        <v>#N/A</v>
      </c>
      <c r="G1149" s="137" t="e">
        <f t="shared" si="21"/>
        <v>#N/A</v>
      </c>
    </row>
    <row r="1150" spans="1:7">
      <c r="A1150" s="112" t="str">
        <f>VLOOKUP('Informe Kelly'!A1144,Base!A:B,2,FALSE)</f>
        <v>11.523.497-8</v>
      </c>
      <c r="B1150" s="112" t="str">
        <f>VLOOKUP('Informe Kelly'!A1144,Base!A:G,7,FALSE)</f>
        <v>NARVAI DIAZ LUIS</v>
      </c>
      <c r="C1150" s="112" t="str">
        <f>'Informe Kelly'!E1144</f>
        <v>07.04.2011</v>
      </c>
      <c r="D1150" s="112" t="e">
        <f>VLOOKUP(A1150,Ingreso!K:P,6,FALSE)</f>
        <v>#N/A</v>
      </c>
      <c r="E1150" s="142" t="e">
        <f>(VLOOKUP(D1150,$D$2:$E$4,2,FALSE))-(IF('Informe Kelly'!H1144=$A$2,'Informe Kelly'!F1144,VLOOKUP(D1150,$D$2:$E$4,2,FALSE)))</f>
        <v>#N/A</v>
      </c>
      <c r="F1150" s="142" t="e">
        <f>IF('Informe Kelly'!H1144=$A$3,'Informe Kelly'!F1144,VLOOKUP(D1150,$D$2:$F$4,3,FALSE))-(VLOOKUP(D1150,$D$2:$F$4,3,FALSE))</f>
        <v>#N/A</v>
      </c>
      <c r="G1150" s="137" t="e">
        <f t="shared" si="21"/>
        <v>#N/A</v>
      </c>
    </row>
    <row r="1151" spans="1:7">
      <c r="A1151" s="112" t="str">
        <f>VLOOKUP('Informe Kelly'!A1145,Base!A:B,2,FALSE)</f>
        <v>11.523.497-8</v>
      </c>
      <c r="B1151" s="112" t="str">
        <f>VLOOKUP('Informe Kelly'!A1145,Base!A:G,7,FALSE)</f>
        <v>NARVAI DIAZ LUIS</v>
      </c>
      <c r="C1151" s="112" t="str">
        <f>'Informe Kelly'!E1145</f>
        <v>07.04.2011</v>
      </c>
      <c r="D1151" s="112" t="e">
        <f>VLOOKUP(A1151,Ingreso!K:P,6,FALSE)</f>
        <v>#N/A</v>
      </c>
      <c r="E1151" s="142" t="e">
        <f>(VLOOKUP(D1151,$D$2:$E$4,2,FALSE))-(IF('Informe Kelly'!H1145=$A$2,'Informe Kelly'!F1145,VLOOKUP(D1151,$D$2:$E$4,2,FALSE)))</f>
        <v>#N/A</v>
      </c>
      <c r="F1151" s="142" t="e">
        <f>IF('Informe Kelly'!H1145=$A$3,'Informe Kelly'!F1145,VLOOKUP(D1151,$D$2:$F$4,3,FALSE))-(VLOOKUP(D1151,$D$2:$F$4,3,FALSE))</f>
        <v>#N/A</v>
      </c>
      <c r="G1151" s="137" t="e">
        <f t="shared" si="21"/>
        <v>#N/A</v>
      </c>
    </row>
    <row r="1152" spans="1:7">
      <c r="A1152" s="112" t="str">
        <f>VLOOKUP('Informe Kelly'!A1146,Base!A:B,2,FALSE)</f>
        <v>11.523.497-8</v>
      </c>
      <c r="B1152" s="112" t="str">
        <f>VLOOKUP('Informe Kelly'!A1146,Base!A:G,7,FALSE)</f>
        <v>NARVAI DIAZ LUIS</v>
      </c>
      <c r="C1152" s="112" t="str">
        <f>'Informe Kelly'!E1146</f>
        <v>08.04.2011</v>
      </c>
      <c r="D1152" s="112" t="e">
        <f>VLOOKUP(A1152,Ingreso!K:P,6,FALSE)</f>
        <v>#N/A</v>
      </c>
      <c r="E1152" s="142" t="e">
        <f>(VLOOKUP(D1152,$D$2:$E$4,2,FALSE))-(IF('Informe Kelly'!H1146=$A$2,'Informe Kelly'!F1146,VLOOKUP(D1152,$D$2:$E$4,2,FALSE)))</f>
        <v>#N/A</v>
      </c>
      <c r="F1152" s="142" t="e">
        <f>IF('Informe Kelly'!H1146=$A$3,'Informe Kelly'!F1146,VLOOKUP(D1152,$D$2:$F$4,3,FALSE))-(VLOOKUP(D1152,$D$2:$F$4,3,FALSE))</f>
        <v>#N/A</v>
      </c>
      <c r="G1152" s="137" t="e">
        <f t="shared" si="21"/>
        <v>#N/A</v>
      </c>
    </row>
    <row r="1153" spans="1:7">
      <c r="A1153" s="112" t="str">
        <f>VLOOKUP('Informe Kelly'!A1147,Base!A:B,2,FALSE)</f>
        <v>11.523.497-8</v>
      </c>
      <c r="B1153" s="112" t="str">
        <f>VLOOKUP('Informe Kelly'!A1147,Base!A:G,7,FALSE)</f>
        <v>NARVAI DIAZ LUIS</v>
      </c>
      <c r="C1153" s="112" t="str">
        <f>'Informe Kelly'!E1147</f>
        <v>08.04.2011</v>
      </c>
      <c r="D1153" s="112" t="e">
        <f>VLOOKUP(A1153,Ingreso!K:P,6,FALSE)</f>
        <v>#N/A</v>
      </c>
      <c r="E1153" s="142" t="e">
        <f>(VLOOKUP(D1153,$D$2:$E$4,2,FALSE))-(IF('Informe Kelly'!H1147=$A$2,'Informe Kelly'!F1147,VLOOKUP(D1153,$D$2:$E$4,2,FALSE)))</f>
        <v>#N/A</v>
      </c>
      <c r="F1153" s="142" t="e">
        <f>IF('Informe Kelly'!H1147=$A$3,'Informe Kelly'!F1147,VLOOKUP(D1153,$D$2:$F$4,3,FALSE))-(VLOOKUP(D1153,$D$2:$F$4,3,FALSE))</f>
        <v>#N/A</v>
      </c>
      <c r="G1153" s="137" t="e">
        <f t="shared" si="21"/>
        <v>#N/A</v>
      </c>
    </row>
    <row r="1154" spans="1:7">
      <c r="A1154" s="112" t="str">
        <f>VLOOKUP('Informe Kelly'!A1148,Base!A:B,2,FALSE)</f>
        <v>11.656.057-7</v>
      </c>
      <c r="B1154" s="112" t="str">
        <f>VLOOKUP('Informe Kelly'!A1148,Base!A:G,7,FALSE)</f>
        <v>IBAÑEZ GRANIFO PAOLO CESAR</v>
      </c>
      <c r="C1154" s="112" t="str">
        <f>'Informe Kelly'!E1148</f>
        <v>04.04.2011</v>
      </c>
      <c r="D1154" s="112" t="e">
        <f>VLOOKUP(A1154,Ingreso!K:P,6,FALSE)</f>
        <v>#N/A</v>
      </c>
      <c r="E1154" s="142" t="e">
        <f>(VLOOKUP(D1154,$D$2:$E$4,2,FALSE))-(IF('Informe Kelly'!H1148=$A$2,'Informe Kelly'!F1148,VLOOKUP(D1154,$D$2:$E$4,2,FALSE)))</f>
        <v>#N/A</v>
      </c>
      <c r="F1154" s="142" t="e">
        <f>IF('Informe Kelly'!H1148=$A$3,'Informe Kelly'!F1148,VLOOKUP(D1154,$D$2:$F$4,3,FALSE))-(VLOOKUP(D1154,$D$2:$F$4,3,FALSE))</f>
        <v>#N/A</v>
      </c>
      <c r="G1154" s="137" t="e">
        <f t="shared" si="21"/>
        <v>#N/A</v>
      </c>
    </row>
    <row r="1155" spans="1:7">
      <c r="A1155" s="112" t="str">
        <f>VLOOKUP('Informe Kelly'!A1149,Base!A:B,2,FALSE)</f>
        <v>11.656.057-7</v>
      </c>
      <c r="B1155" s="112" t="str">
        <f>VLOOKUP('Informe Kelly'!A1149,Base!A:G,7,FALSE)</f>
        <v>IBAÑEZ GRANIFO PAOLO CESAR</v>
      </c>
      <c r="C1155" s="112" t="str">
        <f>'Informe Kelly'!E1149</f>
        <v>04.04.2011</v>
      </c>
      <c r="D1155" s="112" t="e">
        <f>VLOOKUP(A1155,Ingreso!K:P,6,FALSE)</f>
        <v>#N/A</v>
      </c>
      <c r="E1155" s="142" t="e">
        <f>(VLOOKUP(D1155,$D$2:$E$4,2,FALSE))-(IF('Informe Kelly'!H1149=$A$2,'Informe Kelly'!F1149,VLOOKUP(D1155,$D$2:$E$4,2,FALSE)))</f>
        <v>#N/A</v>
      </c>
      <c r="F1155" s="142" t="e">
        <f>IF('Informe Kelly'!H1149=$A$3,'Informe Kelly'!F1149,VLOOKUP(D1155,$D$2:$F$4,3,FALSE))-(VLOOKUP(D1155,$D$2:$F$4,3,FALSE))</f>
        <v>#N/A</v>
      </c>
      <c r="G1155" s="137" t="e">
        <f t="shared" si="21"/>
        <v>#N/A</v>
      </c>
    </row>
    <row r="1156" spans="1:7">
      <c r="A1156" s="112" t="str">
        <f>VLOOKUP('Informe Kelly'!A1150,Base!A:B,2,FALSE)</f>
        <v>11.656.057-7</v>
      </c>
      <c r="B1156" s="112" t="str">
        <f>VLOOKUP('Informe Kelly'!A1150,Base!A:G,7,FALSE)</f>
        <v>IBAÑEZ GRANIFO PAOLO CESAR</v>
      </c>
      <c r="C1156" s="112" t="str">
        <f>'Informe Kelly'!E1150</f>
        <v>05.04.2011</v>
      </c>
      <c r="D1156" s="112" t="e">
        <f>VLOOKUP(A1156,Ingreso!K:P,6,FALSE)</f>
        <v>#N/A</v>
      </c>
      <c r="E1156" s="142" t="e">
        <f>(VLOOKUP(D1156,$D$2:$E$4,2,FALSE))-(IF('Informe Kelly'!H1150=$A$2,'Informe Kelly'!F1150,VLOOKUP(D1156,$D$2:$E$4,2,FALSE)))</f>
        <v>#N/A</v>
      </c>
      <c r="F1156" s="142" t="e">
        <f>IF('Informe Kelly'!H1150=$A$3,'Informe Kelly'!F1150,VLOOKUP(D1156,$D$2:$F$4,3,FALSE))-(VLOOKUP(D1156,$D$2:$F$4,3,FALSE))</f>
        <v>#N/A</v>
      </c>
      <c r="G1156" s="137" t="e">
        <f t="shared" si="21"/>
        <v>#N/A</v>
      </c>
    </row>
    <row r="1157" spans="1:7">
      <c r="A1157" s="112" t="str">
        <f>VLOOKUP('Informe Kelly'!A1151,Base!A:B,2,FALSE)</f>
        <v>11.656.057-7</v>
      </c>
      <c r="B1157" s="112" t="str">
        <f>VLOOKUP('Informe Kelly'!A1151,Base!A:G,7,FALSE)</f>
        <v>IBAÑEZ GRANIFO PAOLO CESAR</v>
      </c>
      <c r="C1157" s="112" t="str">
        <f>'Informe Kelly'!E1151</f>
        <v>05.04.2011</v>
      </c>
      <c r="D1157" s="112" t="e">
        <f>VLOOKUP(A1157,Ingreso!K:P,6,FALSE)</f>
        <v>#N/A</v>
      </c>
      <c r="E1157" s="142" t="e">
        <f>(VLOOKUP(D1157,$D$2:$E$4,2,FALSE))-(IF('Informe Kelly'!H1151=$A$2,'Informe Kelly'!F1151,VLOOKUP(D1157,$D$2:$E$4,2,FALSE)))</f>
        <v>#N/A</v>
      </c>
      <c r="F1157" s="142" t="e">
        <f>IF('Informe Kelly'!H1151=$A$3,'Informe Kelly'!F1151,VLOOKUP(D1157,$D$2:$F$4,3,FALSE))-(VLOOKUP(D1157,$D$2:$F$4,3,FALSE))</f>
        <v>#N/A</v>
      </c>
      <c r="G1157" s="137" t="e">
        <f t="shared" si="21"/>
        <v>#N/A</v>
      </c>
    </row>
    <row r="1158" spans="1:7">
      <c r="A1158" s="112" t="str">
        <f>VLOOKUP('Informe Kelly'!A1152,Base!A:B,2,FALSE)</f>
        <v>11.656.057-7</v>
      </c>
      <c r="B1158" s="112" t="str">
        <f>VLOOKUP('Informe Kelly'!A1152,Base!A:G,7,FALSE)</f>
        <v>IBAÑEZ GRANIFO PAOLO CESAR</v>
      </c>
      <c r="C1158" s="112" t="str">
        <f>'Informe Kelly'!E1152</f>
        <v>06.04.2011</v>
      </c>
      <c r="D1158" s="112" t="e">
        <f>VLOOKUP(A1158,Ingreso!K:P,6,FALSE)</f>
        <v>#N/A</v>
      </c>
      <c r="E1158" s="142" t="e">
        <f>(VLOOKUP(D1158,$D$2:$E$4,2,FALSE))-(IF('Informe Kelly'!H1152=$A$2,'Informe Kelly'!F1152,VLOOKUP(D1158,$D$2:$E$4,2,FALSE)))</f>
        <v>#N/A</v>
      </c>
      <c r="F1158" s="142" t="e">
        <f>IF('Informe Kelly'!H1152=$A$3,'Informe Kelly'!F1152,VLOOKUP(D1158,$D$2:$F$4,3,FALSE))-(VLOOKUP(D1158,$D$2:$F$4,3,FALSE))</f>
        <v>#N/A</v>
      </c>
      <c r="G1158" s="137" t="e">
        <f t="shared" si="21"/>
        <v>#N/A</v>
      </c>
    </row>
    <row r="1159" spans="1:7">
      <c r="A1159" s="112" t="str">
        <f>VLOOKUP('Informe Kelly'!A1153,Base!A:B,2,FALSE)</f>
        <v>11.656.057-7</v>
      </c>
      <c r="B1159" s="112" t="str">
        <f>VLOOKUP('Informe Kelly'!A1153,Base!A:G,7,FALSE)</f>
        <v>IBAÑEZ GRANIFO PAOLO CESAR</v>
      </c>
      <c r="C1159" s="112" t="str">
        <f>'Informe Kelly'!E1153</f>
        <v>06.04.2011</v>
      </c>
      <c r="D1159" s="112" t="e">
        <f>VLOOKUP(A1159,Ingreso!K:P,6,FALSE)</f>
        <v>#N/A</v>
      </c>
      <c r="E1159" s="142" t="e">
        <f>(VLOOKUP(D1159,$D$2:$E$4,2,FALSE))-(IF('Informe Kelly'!H1153=$A$2,'Informe Kelly'!F1153,VLOOKUP(D1159,$D$2:$E$4,2,FALSE)))</f>
        <v>#N/A</v>
      </c>
      <c r="F1159" s="142" t="e">
        <f>IF('Informe Kelly'!H1153=$A$3,'Informe Kelly'!F1153,VLOOKUP(D1159,$D$2:$F$4,3,FALSE))-(VLOOKUP(D1159,$D$2:$F$4,3,FALSE))</f>
        <v>#N/A</v>
      </c>
      <c r="G1159" s="137" t="e">
        <f t="shared" si="21"/>
        <v>#N/A</v>
      </c>
    </row>
    <row r="1160" spans="1:7">
      <c r="A1160" s="112" t="str">
        <f>VLOOKUP('Informe Kelly'!A1154,Base!A:B,2,FALSE)</f>
        <v>11.656.057-7</v>
      </c>
      <c r="B1160" s="112" t="str">
        <f>VLOOKUP('Informe Kelly'!A1154,Base!A:G,7,FALSE)</f>
        <v>IBAÑEZ GRANIFO PAOLO CESAR</v>
      </c>
      <c r="C1160" s="112" t="str">
        <f>'Informe Kelly'!E1154</f>
        <v>07.04.2011</v>
      </c>
      <c r="D1160" s="112" t="e">
        <f>VLOOKUP(A1160,Ingreso!K:P,6,FALSE)</f>
        <v>#N/A</v>
      </c>
      <c r="E1160" s="142" t="e">
        <f>(VLOOKUP(D1160,$D$2:$E$4,2,FALSE))-(IF('Informe Kelly'!H1154=$A$2,'Informe Kelly'!F1154,VLOOKUP(D1160,$D$2:$E$4,2,FALSE)))</f>
        <v>#N/A</v>
      </c>
      <c r="F1160" s="142" t="e">
        <f>IF('Informe Kelly'!H1154=$A$3,'Informe Kelly'!F1154,VLOOKUP(D1160,$D$2:$F$4,3,FALSE))-(VLOOKUP(D1160,$D$2:$F$4,3,FALSE))</f>
        <v>#N/A</v>
      </c>
      <c r="G1160" s="137" t="e">
        <f t="shared" si="21"/>
        <v>#N/A</v>
      </c>
    </row>
    <row r="1161" spans="1:7">
      <c r="A1161" s="112" t="str">
        <f>VLOOKUP('Informe Kelly'!A1155,Base!A:B,2,FALSE)</f>
        <v>11.656.057-7</v>
      </c>
      <c r="B1161" s="112" t="str">
        <f>VLOOKUP('Informe Kelly'!A1155,Base!A:G,7,FALSE)</f>
        <v>IBAÑEZ GRANIFO PAOLO CESAR</v>
      </c>
      <c r="C1161" s="112" t="str">
        <f>'Informe Kelly'!E1155</f>
        <v>07.04.2011</v>
      </c>
      <c r="D1161" s="112" t="e">
        <f>VLOOKUP(A1161,Ingreso!K:P,6,FALSE)</f>
        <v>#N/A</v>
      </c>
      <c r="E1161" s="142" t="e">
        <f>(VLOOKUP(D1161,$D$2:$E$4,2,FALSE))-(IF('Informe Kelly'!H1155=$A$2,'Informe Kelly'!F1155,VLOOKUP(D1161,$D$2:$E$4,2,FALSE)))</f>
        <v>#N/A</v>
      </c>
      <c r="F1161" s="142" t="e">
        <f>IF('Informe Kelly'!H1155=$A$3,'Informe Kelly'!F1155,VLOOKUP(D1161,$D$2:$F$4,3,FALSE))-(VLOOKUP(D1161,$D$2:$F$4,3,FALSE))</f>
        <v>#N/A</v>
      </c>
      <c r="G1161" s="137" t="e">
        <f t="shared" ref="G1161:G1224" si="22">IF(E1161="",IF(F1161&lt;0.0409722222222222,0,E1161),IF(E1161&lt;0.0409722222222222,0,E1161))</f>
        <v>#N/A</v>
      </c>
    </row>
    <row r="1162" spans="1:7">
      <c r="A1162" s="112" t="str">
        <f>VLOOKUP('Informe Kelly'!A1156,Base!A:B,2,FALSE)</f>
        <v>11.656.057-7</v>
      </c>
      <c r="B1162" s="112" t="str">
        <f>VLOOKUP('Informe Kelly'!A1156,Base!A:G,7,FALSE)</f>
        <v>IBAÑEZ GRANIFO PAOLO CESAR</v>
      </c>
      <c r="C1162" s="112" t="str">
        <f>'Informe Kelly'!E1156</f>
        <v>08.04.2011</v>
      </c>
      <c r="D1162" s="112" t="e">
        <f>VLOOKUP(A1162,Ingreso!K:P,6,FALSE)</f>
        <v>#N/A</v>
      </c>
      <c r="E1162" s="142" t="e">
        <f>(VLOOKUP(D1162,$D$2:$E$4,2,FALSE))-(IF('Informe Kelly'!H1156=$A$2,'Informe Kelly'!F1156,VLOOKUP(D1162,$D$2:$E$4,2,FALSE)))</f>
        <v>#N/A</v>
      </c>
      <c r="F1162" s="142" t="e">
        <f>IF('Informe Kelly'!H1156=$A$3,'Informe Kelly'!F1156,VLOOKUP(D1162,$D$2:$F$4,3,FALSE))-(VLOOKUP(D1162,$D$2:$F$4,3,FALSE))</f>
        <v>#N/A</v>
      </c>
      <c r="G1162" s="137" t="e">
        <f t="shared" si="22"/>
        <v>#N/A</v>
      </c>
    </row>
    <row r="1163" spans="1:7">
      <c r="A1163" s="112" t="str">
        <f>VLOOKUP('Informe Kelly'!A1157,Base!A:B,2,FALSE)</f>
        <v>11.656.057-7</v>
      </c>
      <c r="B1163" s="112" t="str">
        <f>VLOOKUP('Informe Kelly'!A1157,Base!A:G,7,FALSE)</f>
        <v>IBAÑEZ GRANIFO PAOLO CESAR</v>
      </c>
      <c r="C1163" s="112" t="str">
        <f>'Informe Kelly'!E1157</f>
        <v>08.04.2011</v>
      </c>
      <c r="D1163" s="112" t="e">
        <f>VLOOKUP(A1163,Ingreso!K:P,6,FALSE)</f>
        <v>#N/A</v>
      </c>
      <c r="E1163" s="142" t="e">
        <f>(VLOOKUP(D1163,$D$2:$E$4,2,FALSE))-(IF('Informe Kelly'!H1157=$A$2,'Informe Kelly'!F1157,VLOOKUP(D1163,$D$2:$E$4,2,FALSE)))</f>
        <v>#N/A</v>
      </c>
      <c r="F1163" s="142" t="e">
        <f>IF('Informe Kelly'!H1157=$A$3,'Informe Kelly'!F1157,VLOOKUP(D1163,$D$2:$F$4,3,FALSE))-(VLOOKUP(D1163,$D$2:$F$4,3,FALSE))</f>
        <v>#N/A</v>
      </c>
      <c r="G1163" s="137" t="e">
        <f t="shared" si="22"/>
        <v>#N/A</v>
      </c>
    </row>
    <row r="1164" spans="1:7">
      <c r="A1164" s="112" t="str">
        <f>VLOOKUP('Informe Kelly'!A1158,Base!A:B,2,FALSE)</f>
        <v>11.656.057-7</v>
      </c>
      <c r="B1164" s="112" t="str">
        <f>VLOOKUP('Informe Kelly'!A1158,Base!A:G,7,FALSE)</f>
        <v>IBAÑEZ GRANIFO PAOLO CESAR</v>
      </c>
      <c r="C1164" s="112" t="str">
        <f>'Informe Kelly'!E1158</f>
        <v>09.04.2011</v>
      </c>
      <c r="D1164" s="112" t="e">
        <f>VLOOKUP(A1164,Ingreso!K:P,6,FALSE)</f>
        <v>#N/A</v>
      </c>
      <c r="E1164" s="142" t="e">
        <f>(VLOOKUP(D1164,$D$2:$E$4,2,FALSE))-(IF('Informe Kelly'!H1158=$A$2,'Informe Kelly'!F1158,VLOOKUP(D1164,$D$2:$E$4,2,FALSE)))</f>
        <v>#N/A</v>
      </c>
      <c r="F1164" s="142" t="e">
        <f>IF('Informe Kelly'!H1158=$A$3,'Informe Kelly'!F1158,VLOOKUP(D1164,$D$2:$F$4,3,FALSE))-(VLOOKUP(D1164,$D$2:$F$4,3,FALSE))</f>
        <v>#N/A</v>
      </c>
      <c r="G1164" s="137" t="e">
        <f t="shared" si="22"/>
        <v>#N/A</v>
      </c>
    </row>
    <row r="1165" spans="1:7">
      <c r="A1165" s="112" t="str">
        <f>VLOOKUP('Informe Kelly'!A1159,Base!A:B,2,FALSE)</f>
        <v>11.656.057-7</v>
      </c>
      <c r="B1165" s="112" t="str">
        <f>VLOOKUP('Informe Kelly'!A1159,Base!A:G,7,FALSE)</f>
        <v>IBAÑEZ GRANIFO PAOLO CESAR</v>
      </c>
      <c r="C1165" s="112" t="str">
        <f>'Informe Kelly'!E1159</f>
        <v>09.04.2011</v>
      </c>
      <c r="D1165" s="112" t="e">
        <f>VLOOKUP(A1165,Ingreso!K:P,6,FALSE)</f>
        <v>#N/A</v>
      </c>
      <c r="E1165" s="142" t="e">
        <f>(VLOOKUP(D1165,$D$2:$E$4,2,FALSE))-(IF('Informe Kelly'!H1159=$A$2,'Informe Kelly'!F1159,VLOOKUP(D1165,$D$2:$E$4,2,FALSE)))</f>
        <v>#N/A</v>
      </c>
      <c r="F1165" s="142" t="e">
        <f>IF('Informe Kelly'!H1159=$A$3,'Informe Kelly'!F1159,VLOOKUP(D1165,$D$2:$F$4,3,FALSE))-(VLOOKUP(D1165,$D$2:$F$4,3,FALSE))</f>
        <v>#N/A</v>
      </c>
      <c r="G1165" s="137" t="e">
        <f t="shared" si="22"/>
        <v>#N/A</v>
      </c>
    </row>
    <row r="1166" spans="1:7">
      <c r="A1166" s="112" t="str">
        <f>VLOOKUP('Informe Kelly'!A1160,Base!A:B,2,FALSE)</f>
        <v>11.657.838-7</v>
      </c>
      <c r="B1166" s="112" t="str">
        <f>VLOOKUP('Informe Kelly'!A1160,Base!A:G,7,FALSE)</f>
        <v>SALAMANCA VIDAL JUAN RAMON</v>
      </c>
      <c r="C1166" s="112" t="str">
        <f>'Informe Kelly'!E1160</f>
        <v>04.04.2011</v>
      </c>
      <c r="D1166" s="112" t="e">
        <f>VLOOKUP(A1166,Ingreso!K:P,6,FALSE)</f>
        <v>#N/A</v>
      </c>
      <c r="E1166" s="142" t="e">
        <f>(VLOOKUP(D1166,$D$2:$E$4,2,FALSE))-(IF('Informe Kelly'!H1160=$A$2,'Informe Kelly'!F1160,VLOOKUP(D1166,$D$2:$E$4,2,FALSE)))</f>
        <v>#N/A</v>
      </c>
      <c r="F1166" s="142" t="e">
        <f>IF('Informe Kelly'!H1160=$A$3,'Informe Kelly'!F1160,VLOOKUP(D1166,$D$2:$F$4,3,FALSE))-(VLOOKUP(D1166,$D$2:$F$4,3,FALSE))</f>
        <v>#N/A</v>
      </c>
      <c r="G1166" s="137" t="e">
        <f t="shared" si="22"/>
        <v>#N/A</v>
      </c>
    </row>
    <row r="1167" spans="1:7">
      <c r="A1167" s="112" t="str">
        <f>VLOOKUP('Informe Kelly'!A1161,Base!A:B,2,FALSE)</f>
        <v>11.657.838-7</v>
      </c>
      <c r="B1167" s="112" t="str">
        <f>VLOOKUP('Informe Kelly'!A1161,Base!A:G,7,FALSE)</f>
        <v>SALAMANCA VIDAL JUAN RAMON</v>
      </c>
      <c r="C1167" s="112" t="str">
        <f>'Informe Kelly'!E1161</f>
        <v>05.04.2011</v>
      </c>
      <c r="D1167" s="112" t="e">
        <f>VLOOKUP(A1167,Ingreso!K:P,6,FALSE)</f>
        <v>#N/A</v>
      </c>
      <c r="E1167" s="142" t="e">
        <f>(VLOOKUP(D1167,$D$2:$E$4,2,FALSE))-(IF('Informe Kelly'!H1161=$A$2,'Informe Kelly'!F1161,VLOOKUP(D1167,$D$2:$E$4,2,FALSE)))</f>
        <v>#N/A</v>
      </c>
      <c r="F1167" s="142" t="e">
        <f>IF('Informe Kelly'!H1161=$A$3,'Informe Kelly'!F1161,VLOOKUP(D1167,$D$2:$F$4,3,FALSE))-(VLOOKUP(D1167,$D$2:$F$4,3,FALSE))</f>
        <v>#N/A</v>
      </c>
      <c r="G1167" s="137" t="e">
        <f t="shared" si="22"/>
        <v>#N/A</v>
      </c>
    </row>
    <row r="1168" spans="1:7">
      <c r="A1168" s="112" t="str">
        <f>VLOOKUP('Informe Kelly'!A1162,Base!A:B,2,FALSE)</f>
        <v>11.657.838-7</v>
      </c>
      <c r="B1168" s="112" t="str">
        <f>VLOOKUP('Informe Kelly'!A1162,Base!A:G,7,FALSE)</f>
        <v>SALAMANCA VIDAL JUAN RAMON</v>
      </c>
      <c r="C1168" s="112" t="str">
        <f>'Informe Kelly'!E1162</f>
        <v>05.04.2011</v>
      </c>
      <c r="D1168" s="112" t="e">
        <f>VLOOKUP(A1168,Ingreso!K:P,6,FALSE)</f>
        <v>#N/A</v>
      </c>
      <c r="E1168" s="142" t="e">
        <f>(VLOOKUP(D1168,$D$2:$E$4,2,FALSE))-(IF('Informe Kelly'!H1162=$A$2,'Informe Kelly'!F1162,VLOOKUP(D1168,$D$2:$E$4,2,FALSE)))</f>
        <v>#N/A</v>
      </c>
      <c r="F1168" s="142" t="e">
        <f>IF('Informe Kelly'!H1162=$A$3,'Informe Kelly'!F1162,VLOOKUP(D1168,$D$2:$F$4,3,FALSE))-(VLOOKUP(D1168,$D$2:$F$4,3,FALSE))</f>
        <v>#N/A</v>
      </c>
      <c r="G1168" s="137" t="e">
        <f t="shared" si="22"/>
        <v>#N/A</v>
      </c>
    </row>
    <row r="1169" spans="1:7">
      <c r="A1169" s="112" t="str">
        <f>VLOOKUP('Informe Kelly'!A1163,Base!A:B,2,FALSE)</f>
        <v>11.657.838-7</v>
      </c>
      <c r="B1169" s="112" t="str">
        <f>VLOOKUP('Informe Kelly'!A1163,Base!A:G,7,FALSE)</f>
        <v>SALAMANCA VIDAL JUAN RAMON</v>
      </c>
      <c r="C1169" s="112" t="str">
        <f>'Informe Kelly'!E1163</f>
        <v>05.04.2011</v>
      </c>
      <c r="D1169" s="112" t="e">
        <f>VLOOKUP(A1169,Ingreso!K:P,6,FALSE)</f>
        <v>#N/A</v>
      </c>
      <c r="E1169" s="142" t="e">
        <f>(VLOOKUP(D1169,$D$2:$E$4,2,FALSE))-(IF('Informe Kelly'!H1163=$A$2,'Informe Kelly'!F1163,VLOOKUP(D1169,$D$2:$E$4,2,FALSE)))</f>
        <v>#N/A</v>
      </c>
      <c r="F1169" s="142" t="e">
        <f>IF('Informe Kelly'!H1163=$A$3,'Informe Kelly'!F1163,VLOOKUP(D1169,$D$2:$F$4,3,FALSE))-(VLOOKUP(D1169,$D$2:$F$4,3,FALSE))</f>
        <v>#N/A</v>
      </c>
      <c r="G1169" s="137" t="e">
        <f t="shared" si="22"/>
        <v>#N/A</v>
      </c>
    </row>
    <row r="1170" spans="1:7">
      <c r="A1170" s="112" t="str">
        <f>VLOOKUP('Informe Kelly'!A1164,Base!A:B,2,FALSE)</f>
        <v>11.657.838-7</v>
      </c>
      <c r="B1170" s="112" t="str">
        <f>VLOOKUP('Informe Kelly'!A1164,Base!A:G,7,FALSE)</f>
        <v>SALAMANCA VIDAL JUAN RAMON</v>
      </c>
      <c r="C1170" s="112" t="str">
        <f>'Informe Kelly'!E1164</f>
        <v>06.04.2011</v>
      </c>
      <c r="D1170" s="112" t="e">
        <f>VLOOKUP(A1170,Ingreso!K:P,6,FALSE)</f>
        <v>#N/A</v>
      </c>
      <c r="E1170" s="142" t="e">
        <f>(VLOOKUP(D1170,$D$2:$E$4,2,FALSE))-(IF('Informe Kelly'!H1164=$A$2,'Informe Kelly'!F1164,VLOOKUP(D1170,$D$2:$E$4,2,FALSE)))</f>
        <v>#N/A</v>
      </c>
      <c r="F1170" s="142" t="e">
        <f>IF('Informe Kelly'!H1164=$A$3,'Informe Kelly'!F1164,VLOOKUP(D1170,$D$2:$F$4,3,FALSE))-(VLOOKUP(D1170,$D$2:$F$4,3,FALSE))</f>
        <v>#N/A</v>
      </c>
      <c r="G1170" s="137" t="e">
        <f t="shared" si="22"/>
        <v>#N/A</v>
      </c>
    </row>
    <row r="1171" spans="1:7">
      <c r="A1171" s="112" t="str">
        <f>VLOOKUP('Informe Kelly'!A1165,Base!A:B,2,FALSE)</f>
        <v>11.657.838-7</v>
      </c>
      <c r="B1171" s="112" t="str">
        <f>VLOOKUP('Informe Kelly'!A1165,Base!A:G,7,FALSE)</f>
        <v>SALAMANCA VIDAL JUAN RAMON</v>
      </c>
      <c r="C1171" s="112" t="str">
        <f>'Informe Kelly'!E1165</f>
        <v>06.04.2011</v>
      </c>
      <c r="D1171" s="112" t="e">
        <f>VLOOKUP(A1171,Ingreso!K:P,6,FALSE)</f>
        <v>#N/A</v>
      </c>
      <c r="E1171" s="142" t="e">
        <f>(VLOOKUP(D1171,$D$2:$E$4,2,FALSE))-(IF('Informe Kelly'!H1165=$A$2,'Informe Kelly'!F1165,VLOOKUP(D1171,$D$2:$E$4,2,FALSE)))</f>
        <v>#N/A</v>
      </c>
      <c r="F1171" s="142" t="e">
        <f>IF('Informe Kelly'!H1165=$A$3,'Informe Kelly'!F1165,VLOOKUP(D1171,$D$2:$F$4,3,FALSE))-(VLOOKUP(D1171,$D$2:$F$4,3,FALSE))</f>
        <v>#N/A</v>
      </c>
      <c r="G1171" s="137" t="e">
        <f t="shared" si="22"/>
        <v>#N/A</v>
      </c>
    </row>
    <row r="1172" spans="1:7">
      <c r="A1172" s="112" t="str">
        <f>VLOOKUP('Informe Kelly'!A1166,Base!A:B,2,FALSE)</f>
        <v>11.657.838-7</v>
      </c>
      <c r="B1172" s="112" t="str">
        <f>VLOOKUP('Informe Kelly'!A1166,Base!A:G,7,FALSE)</f>
        <v>SALAMANCA VIDAL JUAN RAMON</v>
      </c>
      <c r="C1172" s="112" t="str">
        <f>'Informe Kelly'!E1166</f>
        <v>07.04.2011</v>
      </c>
      <c r="D1172" s="112" t="e">
        <f>VLOOKUP(A1172,Ingreso!K:P,6,FALSE)</f>
        <v>#N/A</v>
      </c>
      <c r="E1172" s="142" t="e">
        <f>(VLOOKUP(D1172,$D$2:$E$4,2,FALSE))-(IF('Informe Kelly'!H1166=$A$2,'Informe Kelly'!F1166,VLOOKUP(D1172,$D$2:$E$4,2,FALSE)))</f>
        <v>#N/A</v>
      </c>
      <c r="F1172" s="142" t="e">
        <f>IF('Informe Kelly'!H1166=$A$3,'Informe Kelly'!F1166,VLOOKUP(D1172,$D$2:$F$4,3,FALSE))-(VLOOKUP(D1172,$D$2:$F$4,3,FALSE))</f>
        <v>#N/A</v>
      </c>
      <c r="G1172" s="137" t="e">
        <f t="shared" si="22"/>
        <v>#N/A</v>
      </c>
    </row>
    <row r="1173" spans="1:7">
      <c r="A1173" s="112" t="str">
        <f>VLOOKUP('Informe Kelly'!A1167,Base!A:B,2,FALSE)</f>
        <v>11.657.838-7</v>
      </c>
      <c r="B1173" s="112" t="str">
        <f>VLOOKUP('Informe Kelly'!A1167,Base!A:G,7,FALSE)</f>
        <v>SALAMANCA VIDAL JUAN RAMON</v>
      </c>
      <c r="C1173" s="112" t="str">
        <f>'Informe Kelly'!E1167</f>
        <v>07.04.2011</v>
      </c>
      <c r="D1173" s="112" t="e">
        <f>VLOOKUP(A1173,Ingreso!K:P,6,FALSE)</f>
        <v>#N/A</v>
      </c>
      <c r="E1173" s="142" t="e">
        <f>(VLOOKUP(D1173,$D$2:$E$4,2,FALSE))-(IF('Informe Kelly'!H1167=$A$2,'Informe Kelly'!F1167,VLOOKUP(D1173,$D$2:$E$4,2,FALSE)))</f>
        <v>#N/A</v>
      </c>
      <c r="F1173" s="142" t="e">
        <f>IF('Informe Kelly'!H1167=$A$3,'Informe Kelly'!F1167,VLOOKUP(D1173,$D$2:$F$4,3,FALSE))-(VLOOKUP(D1173,$D$2:$F$4,3,FALSE))</f>
        <v>#N/A</v>
      </c>
      <c r="G1173" s="137" t="e">
        <f t="shared" si="22"/>
        <v>#N/A</v>
      </c>
    </row>
    <row r="1174" spans="1:7">
      <c r="A1174" s="112" t="str">
        <f>VLOOKUP('Informe Kelly'!A1168,Base!A:B,2,FALSE)</f>
        <v>11.657.838-7</v>
      </c>
      <c r="B1174" s="112" t="str">
        <f>VLOOKUP('Informe Kelly'!A1168,Base!A:G,7,FALSE)</f>
        <v>SALAMANCA VIDAL JUAN RAMON</v>
      </c>
      <c r="C1174" s="112" t="str">
        <f>'Informe Kelly'!E1168</f>
        <v>08.04.2011</v>
      </c>
      <c r="D1174" s="112" t="e">
        <f>VLOOKUP(A1174,Ingreso!K:P,6,FALSE)</f>
        <v>#N/A</v>
      </c>
      <c r="E1174" s="142" t="e">
        <f>(VLOOKUP(D1174,$D$2:$E$4,2,FALSE))-(IF('Informe Kelly'!H1168=$A$2,'Informe Kelly'!F1168,VLOOKUP(D1174,$D$2:$E$4,2,FALSE)))</f>
        <v>#N/A</v>
      </c>
      <c r="F1174" s="142" t="e">
        <f>IF('Informe Kelly'!H1168=$A$3,'Informe Kelly'!F1168,VLOOKUP(D1174,$D$2:$F$4,3,FALSE))-(VLOOKUP(D1174,$D$2:$F$4,3,FALSE))</f>
        <v>#N/A</v>
      </c>
      <c r="G1174" s="137" t="e">
        <f t="shared" si="22"/>
        <v>#N/A</v>
      </c>
    </row>
    <row r="1175" spans="1:7">
      <c r="A1175" s="112" t="str">
        <f>VLOOKUP('Informe Kelly'!A1169,Base!A:B,2,FALSE)</f>
        <v>11.657.838-7</v>
      </c>
      <c r="B1175" s="112" t="str">
        <f>VLOOKUP('Informe Kelly'!A1169,Base!A:G,7,FALSE)</f>
        <v>SALAMANCA VIDAL JUAN RAMON</v>
      </c>
      <c r="C1175" s="112" t="str">
        <f>'Informe Kelly'!E1169</f>
        <v>08.04.2011</v>
      </c>
      <c r="D1175" s="112" t="e">
        <f>VLOOKUP(A1175,Ingreso!K:P,6,FALSE)</f>
        <v>#N/A</v>
      </c>
      <c r="E1175" s="142" t="e">
        <f>(VLOOKUP(D1175,$D$2:$E$4,2,FALSE))-(IF('Informe Kelly'!H1169=$A$2,'Informe Kelly'!F1169,VLOOKUP(D1175,$D$2:$E$4,2,FALSE)))</f>
        <v>#N/A</v>
      </c>
      <c r="F1175" s="142" t="e">
        <f>IF('Informe Kelly'!H1169=$A$3,'Informe Kelly'!F1169,VLOOKUP(D1175,$D$2:$F$4,3,FALSE))-(VLOOKUP(D1175,$D$2:$F$4,3,FALSE))</f>
        <v>#N/A</v>
      </c>
      <c r="G1175" s="137" t="e">
        <f t="shared" si="22"/>
        <v>#N/A</v>
      </c>
    </row>
    <row r="1176" spans="1:7">
      <c r="A1176" s="112" t="str">
        <f>VLOOKUP('Informe Kelly'!A1170,Base!A:B,2,FALSE)</f>
        <v>11.657.838-7</v>
      </c>
      <c r="B1176" s="112" t="str">
        <f>VLOOKUP('Informe Kelly'!A1170,Base!A:G,7,FALSE)</f>
        <v>SALAMANCA VIDAL JUAN RAMON</v>
      </c>
      <c r="C1176" s="112" t="str">
        <f>'Informe Kelly'!E1170</f>
        <v>09.04.2011</v>
      </c>
      <c r="D1176" s="112" t="e">
        <f>VLOOKUP(A1176,Ingreso!K:P,6,FALSE)</f>
        <v>#N/A</v>
      </c>
      <c r="E1176" s="142" t="e">
        <f>(VLOOKUP(D1176,$D$2:$E$4,2,FALSE))-(IF('Informe Kelly'!H1170=$A$2,'Informe Kelly'!F1170,VLOOKUP(D1176,$D$2:$E$4,2,FALSE)))</f>
        <v>#N/A</v>
      </c>
      <c r="F1176" s="142" t="e">
        <f>IF('Informe Kelly'!H1170=$A$3,'Informe Kelly'!F1170,VLOOKUP(D1176,$D$2:$F$4,3,FALSE))-(VLOOKUP(D1176,$D$2:$F$4,3,FALSE))</f>
        <v>#N/A</v>
      </c>
      <c r="G1176" s="137" t="e">
        <f t="shared" si="22"/>
        <v>#N/A</v>
      </c>
    </row>
    <row r="1177" spans="1:7">
      <c r="A1177" s="112" t="str">
        <f>VLOOKUP('Informe Kelly'!A1171,Base!A:B,2,FALSE)</f>
        <v>11.659.510-9</v>
      </c>
      <c r="B1177" s="112" t="str">
        <f>VLOOKUP('Informe Kelly'!A1171,Base!A:G,7,FALSE)</f>
        <v>MUÑOZ MUÑOZ CLAUDIO ARTURO</v>
      </c>
      <c r="C1177" s="112" t="str">
        <f>'Informe Kelly'!E1171</f>
        <v>04.04.2011</v>
      </c>
      <c r="D1177" s="112" t="e">
        <f>VLOOKUP(A1177,Ingreso!K:P,6,FALSE)</f>
        <v>#N/A</v>
      </c>
      <c r="E1177" s="142" t="e">
        <f>(VLOOKUP(D1177,$D$2:$E$4,2,FALSE))-(IF('Informe Kelly'!H1171=$A$2,'Informe Kelly'!F1171,VLOOKUP(D1177,$D$2:$E$4,2,FALSE)))</f>
        <v>#N/A</v>
      </c>
      <c r="F1177" s="142" t="e">
        <f>IF('Informe Kelly'!H1171=$A$3,'Informe Kelly'!F1171,VLOOKUP(D1177,$D$2:$F$4,3,FALSE))-(VLOOKUP(D1177,$D$2:$F$4,3,FALSE))</f>
        <v>#N/A</v>
      </c>
      <c r="G1177" s="137" t="e">
        <f t="shared" si="22"/>
        <v>#N/A</v>
      </c>
    </row>
    <row r="1178" spans="1:7">
      <c r="A1178" s="112" t="str">
        <f>VLOOKUP('Informe Kelly'!A1172,Base!A:B,2,FALSE)</f>
        <v>11.659.510-9</v>
      </c>
      <c r="B1178" s="112" t="str">
        <f>VLOOKUP('Informe Kelly'!A1172,Base!A:G,7,FALSE)</f>
        <v>MUÑOZ MUÑOZ CLAUDIO ARTURO</v>
      </c>
      <c r="C1178" s="112" t="str">
        <f>'Informe Kelly'!E1172</f>
        <v>04.04.2011</v>
      </c>
      <c r="D1178" s="112" t="e">
        <f>VLOOKUP(A1178,Ingreso!K:P,6,FALSE)</f>
        <v>#N/A</v>
      </c>
      <c r="E1178" s="142" t="e">
        <f>(VLOOKUP(D1178,$D$2:$E$4,2,FALSE))-(IF('Informe Kelly'!H1172=$A$2,'Informe Kelly'!F1172,VLOOKUP(D1178,$D$2:$E$4,2,FALSE)))</f>
        <v>#N/A</v>
      </c>
      <c r="F1178" s="142" t="e">
        <f>IF('Informe Kelly'!H1172=$A$3,'Informe Kelly'!F1172,VLOOKUP(D1178,$D$2:$F$4,3,FALSE))-(VLOOKUP(D1178,$D$2:$F$4,3,FALSE))</f>
        <v>#N/A</v>
      </c>
      <c r="G1178" s="137" t="e">
        <f t="shared" si="22"/>
        <v>#N/A</v>
      </c>
    </row>
    <row r="1179" spans="1:7">
      <c r="A1179" s="112" t="str">
        <f>VLOOKUP('Informe Kelly'!A1173,Base!A:B,2,FALSE)</f>
        <v>11.659.510-9</v>
      </c>
      <c r="B1179" s="112" t="str">
        <f>VLOOKUP('Informe Kelly'!A1173,Base!A:G,7,FALSE)</f>
        <v>MUÑOZ MUÑOZ CLAUDIO ARTURO</v>
      </c>
      <c r="C1179" s="112" t="str">
        <f>'Informe Kelly'!E1173</f>
        <v>05.04.2011</v>
      </c>
      <c r="D1179" s="112" t="e">
        <f>VLOOKUP(A1179,Ingreso!K:P,6,FALSE)</f>
        <v>#N/A</v>
      </c>
      <c r="E1179" s="142" t="e">
        <f>(VLOOKUP(D1179,$D$2:$E$4,2,FALSE))-(IF('Informe Kelly'!H1173=$A$2,'Informe Kelly'!F1173,VLOOKUP(D1179,$D$2:$E$4,2,FALSE)))</f>
        <v>#N/A</v>
      </c>
      <c r="F1179" s="142" t="e">
        <f>IF('Informe Kelly'!H1173=$A$3,'Informe Kelly'!F1173,VLOOKUP(D1179,$D$2:$F$4,3,FALSE))-(VLOOKUP(D1179,$D$2:$F$4,3,FALSE))</f>
        <v>#N/A</v>
      </c>
      <c r="G1179" s="137" t="e">
        <f t="shared" si="22"/>
        <v>#N/A</v>
      </c>
    </row>
    <row r="1180" spans="1:7">
      <c r="A1180" s="112" t="str">
        <f>VLOOKUP('Informe Kelly'!A1174,Base!A:B,2,FALSE)</f>
        <v>11.659.510-9</v>
      </c>
      <c r="B1180" s="112" t="str">
        <f>VLOOKUP('Informe Kelly'!A1174,Base!A:G,7,FALSE)</f>
        <v>MUÑOZ MUÑOZ CLAUDIO ARTURO</v>
      </c>
      <c r="C1180" s="112" t="str">
        <f>'Informe Kelly'!E1174</f>
        <v>05.04.2011</v>
      </c>
      <c r="D1180" s="112" t="e">
        <f>VLOOKUP(A1180,Ingreso!K:P,6,FALSE)</f>
        <v>#N/A</v>
      </c>
      <c r="E1180" s="142" t="e">
        <f>(VLOOKUP(D1180,$D$2:$E$4,2,FALSE))-(IF('Informe Kelly'!H1174=$A$2,'Informe Kelly'!F1174,VLOOKUP(D1180,$D$2:$E$4,2,FALSE)))</f>
        <v>#N/A</v>
      </c>
      <c r="F1180" s="142" t="e">
        <f>IF('Informe Kelly'!H1174=$A$3,'Informe Kelly'!F1174,VLOOKUP(D1180,$D$2:$F$4,3,FALSE))-(VLOOKUP(D1180,$D$2:$F$4,3,FALSE))</f>
        <v>#N/A</v>
      </c>
      <c r="G1180" s="137" t="e">
        <f t="shared" si="22"/>
        <v>#N/A</v>
      </c>
    </row>
    <row r="1181" spans="1:7">
      <c r="A1181" s="112" t="str">
        <f>VLOOKUP('Informe Kelly'!A1175,Base!A:B,2,FALSE)</f>
        <v>11.659.510-9</v>
      </c>
      <c r="B1181" s="112" t="str">
        <f>VLOOKUP('Informe Kelly'!A1175,Base!A:G,7,FALSE)</f>
        <v>MUÑOZ MUÑOZ CLAUDIO ARTURO</v>
      </c>
      <c r="C1181" s="112" t="str">
        <f>'Informe Kelly'!E1175</f>
        <v>06.04.2011</v>
      </c>
      <c r="D1181" s="112" t="e">
        <f>VLOOKUP(A1181,Ingreso!K:P,6,FALSE)</f>
        <v>#N/A</v>
      </c>
      <c r="E1181" s="142" t="e">
        <f>(VLOOKUP(D1181,$D$2:$E$4,2,FALSE))-(IF('Informe Kelly'!H1175=$A$2,'Informe Kelly'!F1175,VLOOKUP(D1181,$D$2:$E$4,2,FALSE)))</f>
        <v>#N/A</v>
      </c>
      <c r="F1181" s="142" t="e">
        <f>IF('Informe Kelly'!H1175=$A$3,'Informe Kelly'!F1175,VLOOKUP(D1181,$D$2:$F$4,3,FALSE))-(VLOOKUP(D1181,$D$2:$F$4,3,FALSE))</f>
        <v>#N/A</v>
      </c>
      <c r="G1181" s="137" t="e">
        <f t="shared" si="22"/>
        <v>#N/A</v>
      </c>
    </row>
    <row r="1182" spans="1:7">
      <c r="A1182" s="112" t="str">
        <f>VLOOKUP('Informe Kelly'!A1176,Base!A:B,2,FALSE)</f>
        <v>11.659.510-9</v>
      </c>
      <c r="B1182" s="112" t="str">
        <f>VLOOKUP('Informe Kelly'!A1176,Base!A:G,7,FALSE)</f>
        <v>MUÑOZ MUÑOZ CLAUDIO ARTURO</v>
      </c>
      <c r="C1182" s="112" t="str">
        <f>'Informe Kelly'!E1176</f>
        <v>06.04.2011</v>
      </c>
      <c r="D1182" s="112" t="e">
        <f>VLOOKUP(A1182,Ingreso!K:P,6,FALSE)</f>
        <v>#N/A</v>
      </c>
      <c r="E1182" s="142" t="e">
        <f>(VLOOKUP(D1182,$D$2:$E$4,2,FALSE))-(IF('Informe Kelly'!H1176=$A$2,'Informe Kelly'!F1176,VLOOKUP(D1182,$D$2:$E$4,2,FALSE)))</f>
        <v>#N/A</v>
      </c>
      <c r="F1182" s="142" t="e">
        <f>IF('Informe Kelly'!H1176=$A$3,'Informe Kelly'!F1176,VLOOKUP(D1182,$D$2:$F$4,3,FALSE))-(VLOOKUP(D1182,$D$2:$F$4,3,FALSE))</f>
        <v>#N/A</v>
      </c>
      <c r="G1182" s="137" t="e">
        <f t="shared" si="22"/>
        <v>#N/A</v>
      </c>
    </row>
    <row r="1183" spans="1:7">
      <c r="A1183" s="112" t="str">
        <f>VLOOKUP('Informe Kelly'!A1177,Base!A:B,2,FALSE)</f>
        <v>11.659.510-9</v>
      </c>
      <c r="B1183" s="112" t="str">
        <f>VLOOKUP('Informe Kelly'!A1177,Base!A:G,7,FALSE)</f>
        <v>MUÑOZ MUÑOZ CLAUDIO ARTURO</v>
      </c>
      <c r="C1183" s="112" t="str">
        <f>'Informe Kelly'!E1177</f>
        <v>07.04.2011</v>
      </c>
      <c r="D1183" s="112" t="e">
        <f>VLOOKUP(A1183,Ingreso!K:P,6,FALSE)</f>
        <v>#N/A</v>
      </c>
      <c r="E1183" s="142" t="e">
        <f>(VLOOKUP(D1183,$D$2:$E$4,2,FALSE))-(IF('Informe Kelly'!H1177=$A$2,'Informe Kelly'!F1177,VLOOKUP(D1183,$D$2:$E$4,2,FALSE)))</f>
        <v>#N/A</v>
      </c>
      <c r="F1183" s="142" t="e">
        <f>IF('Informe Kelly'!H1177=$A$3,'Informe Kelly'!F1177,VLOOKUP(D1183,$D$2:$F$4,3,FALSE))-(VLOOKUP(D1183,$D$2:$F$4,3,FALSE))</f>
        <v>#N/A</v>
      </c>
      <c r="G1183" s="137" t="e">
        <f t="shared" si="22"/>
        <v>#N/A</v>
      </c>
    </row>
    <row r="1184" spans="1:7">
      <c r="A1184" s="112" t="str">
        <f>VLOOKUP('Informe Kelly'!A1178,Base!A:B,2,FALSE)</f>
        <v>11.659.510-9</v>
      </c>
      <c r="B1184" s="112" t="str">
        <f>VLOOKUP('Informe Kelly'!A1178,Base!A:G,7,FALSE)</f>
        <v>MUÑOZ MUÑOZ CLAUDIO ARTURO</v>
      </c>
      <c r="C1184" s="112" t="str">
        <f>'Informe Kelly'!E1178</f>
        <v>07.04.2011</v>
      </c>
      <c r="D1184" s="112" t="e">
        <f>VLOOKUP(A1184,Ingreso!K:P,6,FALSE)</f>
        <v>#N/A</v>
      </c>
      <c r="E1184" s="142" t="e">
        <f>(VLOOKUP(D1184,$D$2:$E$4,2,FALSE))-(IF('Informe Kelly'!H1178=$A$2,'Informe Kelly'!F1178,VLOOKUP(D1184,$D$2:$E$4,2,FALSE)))</f>
        <v>#N/A</v>
      </c>
      <c r="F1184" s="142" t="e">
        <f>IF('Informe Kelly'!H1178=$A$3,'Informe Kelly'!F1178,VLOOKUP(D1184,$D$2:$F$4,3,FALSE))-(VLOOKUP(D1184,$D$2:$F$4,3,FALSE))</f>
        <v>#N/A</v>
      </c>
      <c r="G1184" s="137" t="e">
        <f t="shared" si="22"/>
        <v>#N/A</v>
      </c>
    </row>
    <row r="1185" spans="1:7">
      <c r="A1185" s="112" t="str">
        <f>VLOOKUP('Informe Kelly'!A1179,Base!A:B,2,FALSE)</f>
        <v>11.659.510-9</v>
      </c>
      <c r="B1185" s="112" t="str">
        <f>VLOOKUP('Informe Kelly'!A1179,Base!A:G,7,FALSE)</f>
        <v>MUÑOZ MUÑOZ CLAUDIO ARTURO</v>
      </c>
      <c r="C1185" s="112" t="str">
        <f>'Informe Kelly'!E1179</f>
        <v>08.04.2011</v>
      </c>
      <c r="D1185" s="112" t="e">
        <f>VLOOKUP(A1185,Ingreso!K:P,6,FALSE)</f>
        <v>#N/A</v>
      </c>
      <c r="E1185" s="142" t="e">
        <f>(VLOOKUP(D1185,$D$2:$E$4,2,FALSE))-(IF('Informe Kelly'!H1179=$A$2,'Informe Kelly'!F1179,VLOOKUP(D1185,$D$2:$E$4,2,FALSE)))</f>
        <v>#N/A</v>
      </c>
      <c r="F1185" s="142" t="e">
        <f>IF('Informe Kelly'!H1179=$A$3,'Informe Kelly'!F1179,VLOOKUP(D1185,$D$2:$F$4,3,FALSE))-(VLOOKUP(D1185,$D$2:$F$4,3,FALSE))</f>
        <v>#N/A</v>
      </c>
      <c r="G1185" s="137" t="e">
        <f t="shared" si="22"/>
        <v>#N/A</v>
      </c>
    </row>
    <row r="1186" spans="1:7">
      <c r="A1186" s="112" t="str">
        <f>VLOOKUP('Informe Kelly'!A1180,Base!A:B,2,FALSE)</f>
        <v>11.659.510-9</v>
      </c>
      <c r="B1186" s="112" t="str">
        <f>VLOOKUP('Informe Kelly'!A1180,Base!A:G,7,FALSE)</f>
        <v>MUÑOZ MUÑOZ CLAUDIO ARTURO</v>
      </c>
      <c r="C1186" s="112" t="str">
        <f>'Informe Kelly'!E1180</f>
        <v>08.04.2011</v>
      </c>
      <c r="D1186" s="112" t="e">
        <f>VLOOKUP(A1186,Ingreso!K:P,6,FALSE)</f>
        <v>#N/A</v>
      </c>
      <c r="E1186" s="142" t="e">
        <f>(VLOOKUP(D1186,$D$2:$E$4,2,FALSE))-(IF('Informe Kelly'!H1180=$A$2,'Informe Kelly'!F1180,VLOOKUP(D1186,$D$2:$E$4,2,FALSE)))</f>
        <v>#N/A</v>
      </c>
      <c r="F1186" s="142" t="e">
        <f>IF('Informe Kelly'!H1180=$A$3,'Informe Kelly'!F1180,VLOOKUP(D1186,$D$2:$F$4,3,FALSE))-(VLOOKUP(D1186,$D$2:$F$4,3,FALSE))</f>
        <v>#N/A</v>
      </c>
      <c r="G1186" s="137" t="e">
        <f t="shared" si="22"/>
        <v>#N/A</v>
      </c>
    </row>
    <row r="1187" spans="1:7">
      <c r="A1187" s="112" t="str">
        <f>VLOOKUP('Informe Kelly'!A1181,Base!A:B,2,FALSE)</f>
        <v>11.659.510-9</v>
      </c>
      <c r="B1187" s="112" t="str">
        <f>VLOOKUP('Informe Kelly'!A1181,Base!A:G,7,FALSE)</f>
        <v>MUÑOZ MUÑOZ CLAUDIO ARTURO</v>
      </c>
      <c r="C1187" s="112" t="str">
        <f>'Informe Kelly'!E1181</f>
        <v>09.04.2011</v>
      </c>
      <c r="D1187" s="112" t="e">
        <f>VLOOKUP(A1187,Ingreso!K:P,6,FALSE)</f>
        <v>#N/A</v>
      </c>
      <c r="E1187" s="142" t="e">
        <f>(VLOOKUP(D1187,$D$2:$E$4,2,FALSE))-(IF('Informe Kelly'!H1181=$A$2,'Informe Kelly'!F1181,VLOOKUP(D1187,$D$2:$E$4,2,FALSE)))</f>
        <v>#N/A</v>
      </c>
      <c r="F1187" s="142" t="e">
        <f>IF('Informe Kelly'!H1181=$A$3,'Informe Kelly'!F1181,VLOOKUP(D1187,$D$2:$F$4,3,FALSE))-(VLOOKUP(D1187,$D$2:$F$4,3,FALSE))</f>
        <v>#N/A</v>
      </c>
      <c r="G1187" s="137" t="e">
        <f t="shared" si="22"/>
        <v>#N/A</v>
      </c>
    </row>
    <row r="1188" spans="1:7">
      <c r="A1188" s="112" t="str">
        <f>VLOOKUP('Informe Kelly'!A1182,Base!A:B,2,FALSE)</f>
        <v>11.659.510-9</v>
      </c>
      <c r="B1188" s="112" t="str">
        <f>VLOOKUP('Informe Kelly'!A1182,Base!A:G,7,FALSE)</f>
        <v>MUÑOZ MUÑOZ CLAUDIO ARTURO</v>
      </c>
      <c r="C1188" s="112" t="str">
        <f>'Informe Kelly'!E1182</f>
        <v>09.04.2011</v>
      </c>
      <c r="D1188" s="112" t="e">
        <f>VLOOKUP(A1188,Ingreso!K:P,6,FALSE)</f>
        <v>#N/A</v>
      </c>
      <c r="E1188" s="142" t="e">
        <f>(VLOOKUP(D1188,$D$2:$E$4,2,FALSE))-(IF('Informe Kelly'!H1182=$A$2,'Informe Kelly'!F1182,VLOOKUP(D1188,$D$2:$E$4,2,FALSE)))</f>
        <v>#N/A</v>
      </c>
      <c r="F1188" s="142" t="e">
        <f>IF('Informe Kelly'!H1182=$A$3,'Informe Kelly'!F1182,VLOOKUP(D1188,$D$2:$F$4,3,FALSE))-(VLOOKUP(D1188,$D$2:$F$4,3,FALSE))</f>
        <v>#N/A</v>
      </c>
      <c r="G1188" s="137" t="e">
        <f t="shared" si="22"/>
        <v>#N/A</v>
      </c>
    </row>
    <row r="1189" spans="1:7">
      <c r="A1189" s="112" t="str">
        <f>VLOOKUP('Informe Kelly'!A1183,Base!A:B,2,FALSE)</f>
        <v>11.659.510-9</v>
      </c>
      <c r="B1189" s="112" t="str">
        <f>VLOOKUP('Informe Kelly'!A1183,Base!A:G,7,FALSE)</f>
        <v>MUÑOZ MUÑOZ CLAUDIO ARTURO</v>
      </c>
      <c r="C1189" s="112" t="str">
        <f>'Informe Kelly'!E1183</f>
        <v>09.04.2011</v>
      </c>
      <c r="D1189" s="112" t="e">
        <f>VLOOKUP(A1189,Ingreso!K:P,6,FALSE)</f>
        <v>#N/A</v>
      </c>
      <c r="E1189" s="142" t="e">
        <f>(VLOOKUP(D1189,$D$2:$E$4,2,FALSE))-(IF('Informe Kelly'!H1183=$A$2,'Informe Kelly'!F1183,VLOOKUP(D1189,$D$2:$E$4,2,FALSE)))</f>
        <v>#N/A</v>
      </c>
      <c r="F1189" s="142" t="e">
        <f>IF('Informe Kelly'!H1183=$A$3,'Informe Kelly'!F1183,VLOOKUP(D1189,$D$2:$F$4,3,FALSE))-(VLOOKUP(D1189,$D$2:$F$4,3,FALSE))</f>
        <v>#N/A</v>
      </c>
      <c r="G1189" s="137" t="e">
        <f t="shared" si="22"/>
        <v>#N/A</v>
      </c>
    </row>
    <row r="1190" spans="1:7">
      <c r="A1190" s="112" t="str">
        <f>VLOOKUP('Informe Kelly'!A1184,Base!A:B,2,FALSE)</f>
        <v>11.660.411-6</v>
      </c>
      <c r="B1190" s="112" t="str">
        <f>VLOOKUP('Informe Kelly'!A1184,Base!A:G,7,FALSE)</f>
        <v>CORTES HERRERA SIXTO PATRICIO</v>
      </c>
      <c r="C1190" s="112" t="str">
        <f>'Informe Kelly'!E1184</f>
        <v>04.04.2011</v>
      </c>
      <c r="D1190" s="112" t="e">
        <f>VLOOKUP(A1190,Ingreso!K:P,6,FALSE)</f>
        <v>#N/A</v>
      </c>
      <c r="E1190" s="142" t="e">
        <f>(VLOOKUP(D1190,$D$2:$E$4,2,FALSE))-(IF('Informe Kelly'!H1184=$A$2,'Informe Kelly'!F1184,VLOOKUP(D1190,$D$2:$E$4,2,FALSE)))</f>
        <v>#N/A</v>
      </c>
      <c r="F1190" s="142" t="e">
        <f>IF('Informe Kelly'!H1184=$A$3,'Informe Kelly'!F1184,VLOOKUP(D1190,$D$2:$F$4,3,FALSE))-(VLOOKUP(D1190,$D$2:$F$4,3,FALSE))</f>
        <v>#N/A</v>
      </c>
      <c r="G1190" s="137" t="e">
        <f t="shared" si="22"/>
        <v>#N/A</v>
      </c>
    </row>
    <row r="1191" spans="1:7">
      <c r="A1191" s="112" t="str">
        <f>VLOOKUP('Informe Kelly'!A1185,Base!A:B,2,FALSE)</f>
        <v>11.660.411-6</v>
      </c>
      <c r="B1191" s="112" t="str">
        <f>VLOOKUP('Informe Kelly'!A1185,Base!A:G,7,FALSE)</f>
        <v>CORTES HERRERA SIXTO PATRICIO</v>
      </c>
      <c r="C1191" s="112" t="str">
        <f>'Informe Kelly'!E1185</f>
        <v>05.04.2011</v>
      </c>
      <c r="D1191" s="112" t="e">
        <f>VLOOKUP(A1191,Ingreso!K:P,6,FALSE)</f>
        <v>#N/A</v>
      </c>
      <c r="E1191" s="142" t="e">
        <f>(VLOOKUP(D1191,$D$2:$E$4,2,FALSE))-(IF('Informe Kelly'!H1185=$A$2,'Informe Kelly'!F1185,VLOOKUP(D1191,$D$2:$E$4,2,FALSE)))</f>
        <v>#N/A</v>
      </c>
      <c r="F1191" s="142" t="e">
        <f>IF('Informe Kelly'!H1185=$A$3,'Informe Kelly'!F1185,VLOOKUP(D1191,$D$2:$F$4,3,FALSE))-(VLOOKUP(D1191,$D$2:$F$4,3,FALSE))</f>
        <v>#N/A</v>
      </c>
      <c r="G1191" s="137" t="e">
        <f t="shared" si="22"/>
        <v>#N/A</v>
      </c>
    </row>
    <row r="1192" spans="1:7">
      <c r="A1192" s="112" t="str">
        <f>VLOOKUP('Informe Kelly'!A1186,Base!A:B,2,FALSE)</f>
        <v>11.660.411-6</v>
      </c>
      <c r="B1192" s="112" t="str">
        <f>VLOOKUP('Informe Kelly'!A1186,Base!A:G,7,FALSE)</f>
        <v>CORTES HERRERA SIXTO PATRICIO</v>
      </c>
      <c r="C1192" s="112" t="str">
        <f>'Informe Kelly'!E1186</f>
        <v>05.04.2011</v>
      </c>
      <c r="D1192" s="112" t="e">
        <f>VLOOKUP(A1192,Ingreso!K:P,6,FALSE)</f>
        <v>#N/A</v>
      </c>
      <c r="E1192" s="142" t="e">
        <f>(VLOOKUP(D1192,$D$2:$E$4,2,FALSE))-(IF('Informe Kelly'!H1186=$A$2,'Informe Kelly'!F1186,VLOOKUP(D1192,$D$2:$E$4,2,FALSE)))</f>
        <v>#N/A</v>
      </c>
      <c r="F1192" s="142" t="e">
        <f>IF('Informe Kelly'!H1186=$A$3,'Informe Kelly'!F1186,VLOOKUP(D1192,$D$2:$F$4,3,FALSE))-(VLOOKUP(D1192,$D$2:$F$4,3,FALSE))</f>
        <v>#N/A</v>
      </c>
      <c r="G1192" s="137" t="e">
        <f t="shared" si="22"/>
        <v>#N/A</v>
      </c>
    </row>
    <row r="1193" spans="1:7">
      <c r="A1193" s="112" t="str">
        <f>VLOOKUP('Informe Kelly'!A1187,Base!A:B,2,FALSE)</f>
        <v>11.660.411-6</v>
      </c>
      <c r="B1193" s="112" t="str">
        <f>VLOOKUP('Informe Kelly'!A1187,Base!A:G,7,FALSE)</f>
        <v>CORTES HERRERA SIXTO PATRICIO</v>
      </c>
      <c r="C1193" s="112" t="str">
        <f>'Informe Kelly'!E1187</f>
        <v>06.04.2011</v>
      </c>
      <c r="D1193" s="112" t="e">
        <f>VLOOKUP(A1193,Ingreso!K:P,6,FALSE)</f>
        <v>#N/A</v>
      </c>
      <c r="E1193" s="142" t="e">
        <f>(VLOOKUP(D1193,$D$2:$E$4,2,FALSE))-(IF('Informe Kelly'!H1187=$A$2,'Informe Kelly'!F1187,VLOOKUP(D1193,$D$2:$E$4,2,FALSE)))</f>
        <v>#N/A</v>
      </c>
      <c r="F1193" s="142" t="e">
        <f>IF('Informe Kelly'!H1187=$A$3,'Informe Kelly'!F1187,VLOOKUP(D1193,$D$2:$F$4,3,FALSE))-(VLOOKUP(D1193,$D$2:$F$4,3,FALSE))</f>
        <v>#N/A</v>
      </c>
      <c r="G1193" s="137" t="e">
        <f t="shared" si="22"/>
        <v>#N/A</v>
      </c>
    </row>
    <row r="1194" spans="1:7">
      <c r="A1194" s="112" t="str">
        <f>VLOOKUP('Informe Kelly'!A1188,Base!A:B,2,FALSE)</f>
        <v>11.660.411-6</v>
      </c>
      <c r="B1194" s="112" t="str">
        <f>VLOOKUP('Informe Kelly'!A1188,Base!A:G,7,FALSE)</f>
        <v>CORTES HERRERA SIXTO PATRICIO</v>
      </c>
      <c r="C1194" s="112" t="str">
        <f>'Informe Kelly'!E1188</f>
        <v>06.04.2011</v>
      </c>
      <c r="D1194" s="112" t="e">
        <f>VLOOKUP(A1194,Ingreso!K:P,6,FALSE)</f>
        <v>#N/A</v>
      </c>
      <c r="E1194" s="142" t="e">
        <f>(VLOOKUP(D1194,$D$2:$E$4,2,FALSE))-(IF('Informe Kelly'!H1188=$A$2,'Informe Kelly'!F1188,VLOOKUP(D1194,$D$2:$E$4,2,FALSE)))</f>
        <v>#N/A</v>
      </c>
      <c r="F1194" s="142" t="e">
        <f>IF('Informe Kelly'!H1188=$A$3,'Informe Kelly'!F1188,VLOOKUP(D1194,$D$2:$F$4,3,FALSE))-(VLOOKUP(D1194,$D$2:$F$4,3,FALSE))</f>
        <v>#N/A</v>
      </c>
      <c r="G1194" s="137" t="e">
        <f t="shared" si="22"/>
        <v>#N/A</v>
      </c>
    </row>
    <row r="1195" spans="1:7">
      <c r="A1195" s="112" t="str">
        <f>VLOOKUP('Informe Kelly'!A1189,Base!A:B,2,FALSE)</f>
        <v>11.660.411-6</v>
      </c>
      <c r="B1195" s="112" t="str">
        <f>VLOOKUP('Informe Kelly'!A1189,Base!A:G,7,FALSE)</f>
        <v>CORTES HERRERA SIXTO PATRICIO</v>
      </c>
      <c r="C1195" s="112" t="str">
        <f>'Informe Kelly'!E1189</f>
        <v>07.04.2011</v>
      </c>
      <c r="D1195" s="112" t="e">
        <f>VLOOKUP(A1195,Ingreso!K:P,6,FALSE)</f>
        <v>#N/A</v>
      </c>
      <c r="E1195" s="142" t="e">
        <f>(VLOOKUP(D1195,$D$2:$E$4,2,FALSE))-(IF('Informe Kelly'!H1189=$A$2,'Informe Kelly'!F1189,VLOOKUP(D1195,$D$2:$E$4,2,FALSE)))</f>
        <v>#N/A</v>
      </c>
      <c r="F1195" s="142" t="e">
        <f>IF('Informe Kelly'!H1189=$A$3,'Informe Kelly'!F1189,VLOOKUP(D1195,$D$2:$F$4,3,FALSE))-(VLOOKUP(D1195,$D$2:$F$4,3,FALSE))</f>
        <v>#N/A</v>
      </c>
      <c r="G1195" s="137" t="e">
        <f t="shared" si="22"/>
        <v>#N/A</v>
      </c>
    </row>
    <row r="1196" spans="1:7">
      <c r="A1196" s="112" t="str">
        <f>VLOOKUP('Informe Kelly'!A1190,Base!A:B,2,FALSE)</f>
        <v>11.660.411-6</v>
      </c>
      <c r="B1196" s="112" t="str">
        <f>VLOOKUP('Informe Kelly'!A1190,Base!A:G,7,FALSE)</f>
        <v>CORTES HERRERA SIXTO PATRICIO</v>
      </c>
      <c r="C1196" s="112" t="str">
        <f>'Informe Kelly'!E1190</f>
        <v>07.04.2011</v>
      </c>
      <c r="D1196" s="112" t="e">
        <f>VLOOKUP(A1196,Ingreso!K:P,6,FALSE)</f>
        <v>#N/A</v>
      </c>
      <c r="E1196" s="142" t="e">
        <f>(VLOOKUP(D1196,$D$2:$E$4,2,FALSE))-(IF('Informe Kelly'!H1190=$A$2,'Informe Kelly'!F1190,VLOOKUP(D1196,$D$2:$E$4,2,FALSE)))</f>
        <v>#N/A</v>
      </c>
      <c r="F1196" s="142" t="e">
        <f>IF('Informe Kelly'!H1190=$A$3,'Informe Kelly'!F1190,VLOOKUP(D1196,$D$2:$F$4,3,FALSE))-(VLOOKUP(D1196,$D$2:$F$4,3,FALSE))</f>
        <v>#N/A</v>
      </c>
      <c r="G1196" s="137" t="e">
        <f t="shared" si="22"/>
        <v>#N/A</v>
      </c>
    </row>
    <row r="1197" spans="1:7">
      <c r="A1197" s="112" t="str">
        <f>VLOOKUP('Informe Kelly'!A1191,Base!A:B,2,FALSE)</f>
        <v>11.660.411-6</v>
      </c>
      <c r="B1197" s="112" t="str">
        <f>VLOOKUP('Informe Kelly'!A1191,Base!A:G,7,FALSE)</f>
        <v>CORTES HERRERA SIXTO PATRICIO</v>
      </c>
      <c r="C1197" s="112" t="str">
        <f>'Informe Kelly'!E1191</f>
        <v>08.04.2011</v>
      </c>
      <c r="D1197" s="112" t="e">
        <f>VLOOKUP(A1197,Ingreso!K:P,6,FALSE)</f>
        <v>#N/A</v>
      </c>
      <c r="E1197" s="142" t="e">
        <f>(VLOOKUP(D1197,$D$2:$E$4,2,FALSE))-(IF('Informe Kelly'!H1191=$A$2,'Informe Kelly'!F1191,VLOOKUP(D1197,$D$2:$E$4,2,FALSE)))</f>
        <v>#N/A</v>
      </c>
      <c r="F1197" s="142" t="e">
        <f>IF('Informe Kelly'!H1191=$A$3,'Informe Kelly'!F1191,VLOOKUP(D1197,$D$2:$F$4,3,FALSE))-(VLOOKUP(D1197,$D$2:$F$4,3,FALSE))</f>
        <v>#N/A</v>
      </c>
      <c r="G1197" s="137" t="e">
        <f t="shared" si="22"/>
        <v>#N/A</v>
      </c>
    </row>
    <row r="1198" spans="1:7">
      <c r="A1198" s="112" t="str">
        <f>VLOOKUP('Informe Kelly'!A1192,Base!A:B,2,FALSE)</f>
        <v>11.660.411-6</v>
      </c>
      <c r="B1198" s="112" t="str">
        <f>VLOOKUP('Informe Kelly'!A1192,Base!A:G,7,FALSE)</f>
        <v>CORTES HERRERA SIXTO PATRICIO</v>
      </c>
      <c r="C1198" s="112" t="str">
        <f>'Informe Kelly'!E1192</f>
        <v>08.04.2011</v>
      </c>
      <c r="D1198" s="112" t="e">
        <f>VLOOKUP(A1198,Ingreso!K:P,6,FALSE)</f>
        <v>#N/A</v>
      </c>
      <c r="E1198" s="142" t="e">
        <f>(VLOOKUP(D1198,$D$2:$E$4,2,FALSE))-(IF('Informe Kelly'!H1192=$A$2,'Informe Kelly'!F1192,VLOOKUP(D1198,$D$2:$E$4,2,FALSE)))</f>
        <v>#N/A</v>
      </c>
      <c r="F1198" s="142" t="e">
        <f>IF('Informe Kelly'!H1192=$A$3,'Informe Kelly'!F1192,VLOOKUP(D1198,$D$2:$F$4,3,FALSE))-(VLOOKUP(D1198,$D$2:$F$4,3,FALSE))</f>
        <v>#N/A</v>
      </c>
      <c r="G1198" s="137" t="e">
        <f t="shared" si="22"/>
        <v>#N/A</v>
      </c>
    </row>
    <row r="1199" spans="1:7">
      <c r="A1199" s="112" t="str">
        <f>VLOOKUP('Informe Kelly'!A1193,Base!A:B,2,FALSE)</f>
        <v>11.660.411-6</v>
      </c>
      <c r="B1199" s="112" t="str">
        <f>VLOOKUP('Informe Kelly'!A1193,Base!A:G,7,FALSE)</f>
        <v>CORTES HERRERA SIXTO PATRICIO</v>
      </c>
      <c r="C1199" s="112" t="str">
        <f>'Informe Kelly'!E1193</f>
        <v>09.04.2011</v>
      </c>
      <c r="D1199" s="112" t="e">
        <f>VLOOKUP(A1199,Ingreso!K:P,6,FALSE)</f>
        <v>#N/A</v>
      </c>
      <c r="E1199" s="142" t="e">
        <f>(VLOOKUP(D1199,$D$2:$E$4,2,FALSE))-(IF('Informe Kelly'!H1193=$A$2,'Informe Kelly'!F1193,VLOOKUP(D1199,$D$2:$E$4,2,FALSE)))</f>
        <v>#N/A</v>
      </c>
      <c r="F1199" s="142" t="e">
        <f>IF('Informe Kelly'!H1193=$A$3,'Informe Kelly'!F1193,VLOOKUP(D1199,$D$2:$F$4,3,FALSE))-(VLOOKUP(D1199,$D$2:$F$4,3,FALSE))</f>
        <v>#N/A</v>
      </c>
      <c r="G1199" s="137" t="e">
        <f t="shared" si="22"/>
        <v>#N/A</v>
      </c>
    </row>
    <row r="1200" spans="1:7">
      <c r="A1200" s="112" t="str">
        <f>VLOOKUP('Informe Kelly'!A1194,Base!A:B,2,FALSE)</f>
        <v>11.754.811-2</v>
      </c>
      <c r="B1200" s="112" t="str">
        <f>VLOOKUP('Informe Kelly'!A1194,Base!A:G,7,FALSE)</f>
        <v>NARVAI DIAZ ALEXIS ANTONIO</v>
      </c>
      <c r="C1200" s="112" t="str">
        <f>'Informe Kelly'!E1194</f>
        <v>04.04.2011</v>
      </c>
      <c r="D1200" s="112" t="e">
        <f>VLOOKUP(A1200,Ingreso!K:P,6,FALSE)</f>
        <v>#N/A</v>
      </c>
      <c r="E1200" s="142" t="e">
        <f>(VLOOKUP(D1200,$D$2:$E$4,2,FALSE))-(IF('Informe Kelly'!H1194=$A$2,'Informe Kelly'!F1194,VLOOKUP(D1200,$D$2:$E$4,2,FALSE)))</f>
        <v>#N/A</v>
      </c>
      <c r="F1200" s="142" t="e">
        <f>IF('Informe Kelly'!H1194=$A$3,'Informe Kelly'!F1194,VLOOKUP(D1200,$D$2:$F$4,3,FALSE))-(VLOOKUP(D1200,$D$2:$F$4,3,FALSE))</f>
        <v>#N/A</v>
      </c>
      <c r="G1200" s="137" t="e">
        <f t="shared" si="22"/>
        <v>#N/A</v>
      </c>
    </row>
    <row r="1201" spans="1:7">
      <c r="A1201" s="112" t="str">
        <f>VLOOKUP('Informe Kelly'!A1195,Base!A:B,2,FALSE)</f>
        <v>11.754.811-2</v>
      </c>
      <c r="B1201" s="112" t="str">
        <f>VLOOKUP('Informe Kelly'!A1195,Base!A:G,7,FALSE)</f>
        <v>NARVAI DIAZ ALEXIS ANTONIO</v>
      </c>
      <c r="C1201" s="112" t="str">
        <f>'Informe Kelly'!E1195</f>
        <v>05.04.2011</v>
      </c>
      <c r="D1201" s="112" t="e">
        <f>VLOOKUP(A1201,Ingreso!K:P,6,FALSE)</f>
        <v>#N/A</v>
      </c>
      <c r="E1201" s="142" t="e">
        <f>(VLOOKUP(D1201,$D$2:$E$4,2,FALSE))-(IF('Informe Kelly'!H1195=$A$2,'Informe Kelly'!F1195,VLOOKUP(D1201,$D$2:$E$4,2,FALSE)))</f>
        <v>#N/A</v>
      </c>
      <c r="F1201" s="142" t="e">
        <f>IF('Informe Kelly'!H1195=$A$3,'Informe Kelly'!F1195,VLOOKUP(D1201,$D$2:$F$4,3,FALSE))-(VLOOKUP(D1201,$D$2:$F$4,3,FALSE))</f>
        <v>#N/A</v>
      </c>
      <c r="G1201" s="137" t="e">
        <f t="shared" si="22"/>
        <v>#N/A</v>
      </c>
    </row>
    <row r="1202" spans="1:7">
      <c r="A1202" s="112" t="str">
        <f>VLOOKUP('Informe Kelly'!A1196,Base!A:B,2,FALSE)</f>
        <v>11.754.811-2</v>
      </c>
      <c r="B1202" s="112" t="str">
        <f>VLOOKUP('Informe Kelly'!A1196,Base!A:G,7,FALSE)</f>
        <v>NARVAI DIAZ ALEXIS ANTONIO</v>
      </c>
      <c r="C1202" s="112" t="str">
        <f>'Informe Kelly'!E1196</f>
        <v>06.04.2011</v>
      </c>
      <c r="D1202" s="112" t="e">
        <f>VLOOKUP(A1202,Ingreso!K:P,6,FALSE)</f>
        <v>#N/A</v>
      </c>
      <c r="E1202" s="142" t="e">
        <f>(VLOOKUP(D1202,$D$2:$E$4,2,FALSE))-(IF('Informe Kelly'!H1196=$A$2,'Informe Kelly'!F1196,VLOOKUP(D1202,$D$2:$E$4,2,FALSE)))</f>
        <v>#N/A</v>
      </c>
      <c r="F1202" s="142" t="e">
        <f>IF('Informe Kelly'!H1196=$A$3,'Informe Kelly'!F1196,VLOOKUP(D1202,$D$2:$F$4,3,FALSE))-(VLOOKUP(D1202,$D$2:$F$4,3,FALSE))</f>
        <v>#N/A</v>
      </c>
      <c r="G1202" s="137" t="e">
        <f t="shared" si="22"/>
        <v>#N/A</v>
      </c>
    </row>
    <row r="1203" spans="1:7">
      <c r="A1203" s="112" t="str">
        <f>VLOOKUP('Informe Kelly'!A1197,Base!A:B,2,FALSE)</f>
        <v>11.754.811-2</v>
      </c>
      <c r="B1203" s="112" t="str">
        <f>VLOOKUP('Informe Kelly'!A1197,Base!A:G,7,FALSE)</f>
        <v>NARVAI DIAZ ALEXIS ANTONIO</v>
      </c>
      <c r="C1203" s="112" t="str">
        <f>'Informe Kelly'!E1197</f>
        <v>07.04.2011</v>
      </c>
      <c r="D1203" s="112" t="e">
        <f>VLOOKUP(A1203,Ingreso!K:P,6,FALSE)</f>
        <v>#N/A</v>
      </c>
      <c r="E1203" s="142" t="e">
        <f>(VLOOKUP(D1203,$D$2:$E$4,2,FALSE))-(IF('Informe Kelly'!H1197=$A$2,'Informe Kelly'!F1197,VLOOKUP(D1203,$D$2:$E$4,2,FALSE)))</f>
        <v>#N/A</v>
      </c>
      <c r="F1203" s="142" t="e">
        <f>IF('Informe Kelly'!H1197=$A$3,'Informe Kelly'!F1197,VLOOKUP(D1203,$D$2:$F$4,3,FALSE))-(VLOOKUP(D1203,$D$2:$F$4,3,FALSE))</f>
        <v>#N/A</v>
      </c>
      <c r="G1203" s="137" t="e">
        <f t="shared" si="22"/>
        <v>#N/A</v>
      </c>
    </row>
    <row r="1204" spans="1:7">
      <c r="A1204" s="112" t="str">
        <f>VLOOKUP('Informe Kelly'!A1198,Base!A:B,2,FALSE)</f>
        <v>11.754.811-2</v>
      </c>
      <c r="B1204" s="112" t="str">
        <f>VLOOKUP('Informe Kelly'!A1198,Base!A:G,7,FALSE)</f>
        <v>NARVAI DIAZ ALEXIS ANTONIO</v>
      </c>
      <c r="C1204" s="112" t="str">
        <f>'Informe Kelly'!E1198</f>
        <v>08.04.2011</v>
      </c>
      <c r="D1204" s="112" t="e">
        <f>VLOOKUP(A1204,Ingreso!K:P,6,FALSE)</f>
        <v>#N/A</v>
      </c>
      <c r="E1204" s="142" t="e">
        <f>(VLOOKUP(D1204,$D$2:$E$4,2,FALSE))-(IF('Informe Kelly'!H1198=$A$2,'Informe Kelly'!F1198,VLOOKUP(D1204,$D$2:$E$4,2,FALSE)))</f>
        <v>#N/A</v>
      </c>
      <c r="F1204" s="142" t="e">
        <f>IF('Informe Kelly'!H1198=$A$3,'Informe Kelly'!F1198,VLOOKUP(D1204,$D$2:$F$4,3,FALSE))-(VLOOKUP(D1204,$D$2:$F$4,3,FALSE))</f>
        <v>#N/A</v>
      </c>
      <c r="G1204" s="137" t="e">
        <f t="shared" si="22"/>
        <v>#N/A</v>
      </c>
    </row>
    <row r="1205" spans="1:7">
      <c r="A1205" s="112" t="str">
        <f>VLOOKUP('Informe Kelly'!A1199,Base!A:B,2,FALSE)</f>
        <v>11.840.491-2</v>
      </c>
      <c r="B1205" s="112" t="str">
        <f>VLOOKUP('Informe Kelly'!A1199,Base!A:G,7,FALSE)</f>
        <v>TORRES FARIAS CESAR OMAR</v>
      </c>
      <c r="C1205" s="112" t="str">
        <f>'Informe Kelly'!E1199</f>
        <v>04.04.2011</v>
      </c>
      <c r="D1205" s="112" t="e">
        <f>VLOOKUP(A1205,Ingreso!K:P,6,FALSE)</f>
        <v>#N/A</v>
      </c>
      <c r="E1205" s="142" t="e">
        <f>(VLOOKUP(D1205,$D$2:$E$4,2,FALSE))-(IF('Informe Kelly'!H1199=$A$2,'Informe Kelly'!F1199,VLOOKUP(D1205,$D$2:$E$4,2,FALSE)))</f>
        <v>#N/A</v>
      </c>
      <c r="F1205" s="142" t="e">
        <f>IF('Informe Kelly'!H1199=$A$3,'Informe Kelly'!F1199,VLOOKUP(D1205,$D$2:$F$4,3,FALSE))-(VLOOKUP(D1205,$D$2:$F$4,3,FALSE))</f>
        <v>#N/A</v>
      </c>
      <c r="G1205" s="137" t="e">
        <f t="shared" si="22"/>
        <v>#N/A</v>
      </c>
    </row>
    <row r="1206" spans="1:7">
      <c r="A1206" s="112" t="str">
        <f>VLOOKUP('Informe Kelly'!A1200,Base!A:B,2,FALSE)</f>
        <v>11.840.491-2</v>
      </c>
      <c r="B1206" s="112" t="str">
        <f>VLOOKUP('Informe Kelly'!A1200,Base!A:G,7,FALSE)</f>
        <v>TORRES FARIAS CESAR OMAR</v>
      </c>
      <c r="C1206" s="112" t="str">
        <f>'Informe Kelly'!E1200</f>
        <v>04.04.2011</v>
      </c>
      <c r="D1206" s="112" t="e">
        <f>VLOOKUP(A1206,Ingreso!K:P,6,FALSE)</f>
        <v>#N/A</v>
      </c>
      <c r="E1206" s="142" t="e">
        <f>(VLOOKUP(D1206,$D$2:$E$4,2,FALSE))-(IF('Informe Kelly'!H1200=$A$2,'Informe Kelly'!F1200,VLOOKUP(D1206,$D$2:$E$4,2,FALSE)))</f>
        <v>#N/A</v>
      </c>
      <c r="F1206" s="142" t="e">
        <f>IF('Informe Kelly'!H1200=$A$3,'Informe Kelly'!F1200,VLOOKUP(D1206,$D$2:$F$4,3,FALSE))-(VLOOKUP(D1206,$D$2:$F$4,3,FALSE))</f>
        <v>#N/A</v>
      </c>
      <c r="G1206" s="137" t="e">
        <f t="shared" si="22"/>
        <v>#N/A</v>
      </c>
    </row>
    <row r="1207" spans="1:7">
      <c r="A1207" s="112" t="str">
        <f>VLOOKUP('Informe Kelly'!A1201,Base!A:B,2,FALSE)</f>
        <v>11.840.491-2</v>
      </c>
      <c r="B1207" s="112" t="str">
        <f>VLOOKUP('Informe Kelly'!A1201,Base!A:G,7,FALSE)</f>
        <v>TORRES FARIAS CESAR OMAR</v>
      </c>
      <c r="C1207" s="112" t="str">
        <f>'Informe Kelly'!E1201</f>
        <v>05.04.2011</v>
      </c>
      <c r="D1207" s="112" t="e">
        <f>VLOOKUP(A1207,Ingreso!K:P,6,FALSE)</f>
        <v>#N/A</v>
      </c>
      <c r="E1207" s="142" t="e">
        <f>(VLOOKUP(D1207,$D$2:$E$4,2,FALSE))-(IF('Informe Kelly'!H1201=$A$2,'Informe Kelly'!F1201,VLOOKUP(D1207,$D$2:$E$4,2,FALSE)))</f>
        <v>#N/A</v>
      </c>
      <c r="F1207" s="142" t="e">
        <f>IF('Informe Kelly'!H1201=$A$3,'Informe Kelly'!F1201,VLOOKUP(D1207,$D$2:$F$4,3,FALSE))-(VLOOKUP(D1207,$D$2:$F$4,3,FALSE))</f>
        <v>#N/A</v>
      </c>
      <c r="G1207" s="137" t="e">
        <f t="shared" si="22"/>
        <v>#N/A</v>
      </c>
    </row>
    <row r="1208" spans="1:7">
      <c r="A1208" s="112" t="str">
        <f>VLOOKUP('Informe Kelly'!A1202,Base!A:B,2,FALSE)</f>
        <v>11.840.491-2</v>
      </c>
      <c r="B1208" s="112" t="str">
        <f>VLOOKUP('Informe Kelly'!A1202,Base!A:G,7,FALSE)</f>
        <v>TORRES FARIAS CESAR OMAR</v>
      </c>
      <c r="C1208" s="112" t="str">
        <f>'Informe Kelly'!E1202</f>
        <v>05.04.2011</v>
      </c>
      <c r="D1208" s="112" t="e">
        <f>VLOOKUP(A1208,Ingreso!K:P,6,FALSE)</f>
        <v>#N/A</v>
      </c>
      <c r="E1208" s="142" t="e">
        <f>(VLOOKUP(D1208,$D$2:$E$4,2,FALSE))-(IF('Informe Kelly'!H1202=$A$2,'Informe Kelly'!F1202,VLOOKUP(D1208,$D$2:$E$4,2,FALSE)))</f>
        <v>#N/A</v>
      </c>
      <c r="F1208" s="142" t="e">
        <f>IF('Informe Kelly'!H1202=$A$3,'Informe Kelly'!F1202,VLOOKUP(D1208,$D$2:$F$4,3,FALSE))-(VLOOKUP(D1208,$D$2:$F$4,3,FALSE))</f>
        <v>#N/A</v>
      </c>
      <c r="G1208" s="137" t="e">
        <f t="shared" si="22"/>
        <v>#N/A</v>
      </c>
    </row>
    <row r="1209" spans="1:7">
      <c r="A1209" s="112" t="str">
        <f>VLOOKUP('Informe Kelly'!A1203,Base!A:B,2,FALSE)</f>
        <v>11.840.491-2</v>
      </c>
      <c r="B1209" s="112" t="str">
        <f>VLOOKUP('Informe Kelly'!A1203,Base!A:G,7,FALSE)</f>
        <v>TORRES FARIAS CESAR OMAR</v>
      </c>
      <c r="C1209" s="112" t="str">
        <f>'Informe Kelly'!E1203</f>
        <v>06.04.2011</v>
      </c>
      <c r="D1209" s="112" t="e">
        <f>VLOOKUP(A1209,Ingreso!K:P,6,FALSE)</f>
        <v>#N/A</v>
      </c>
      <c r="E1209" s="142" t="e">
        <f>(VLOOKUP(D1209,$D$2:$E$4,2,FALSE))-(IF('Informe Kelly'!H1203=$A$2,'Informe Kelly'!F1203,VLOOKUP(D1209,$D$2:$E$4,2,FALSE)))</f>
        <v>#N/A</v>
      </c>
      <c r="F1209" s="142" t="e">
        <f>IF('Informe Kelly'!H1203=$A$3,'Informe Kelly'!F1203,VLOOKUP(D1209,$D$2:$F$4,3,FALSE))-(VLOOKUP(D1209,$D$2:$F$4,3,FALSE))</f>
        <v>#N/A</v>
      </c>
      <c r="G1209" s="137" t="e">
        <f t="shared" si="22"/>
        <v>#N/A</v>
      </c>
    </row>
    <row r="1210" spans="1:7">
      <c r="A1210" s="112" t="str">
        <f>VLOOKUP('Informe Kelly'!A1204,Base!A:B,2,FALSE)</f>
        <v>11.840.491-2</v>
      </c>
      <c r="B1210" s="112" t="str">
        <f>VLOOKUP('Informe Kelly'!A1204,Base!A:G,7,FALSE)</f>
        <v>TORRES FARIAS CESAR OMAR</v>
      </c>
      <c r="C1210" s="112" t="str">
        <f>'Informe Kelly'!E1204</f>
        <v>06.04.2011</v>
      </c>
      <c r="D1210" s="112" t="e">
        <f>VLOOKUP(A1210,Ingreso!K:P,6,FALSE)</f>
        <v>#N/A</v>
      </c>
      <c r="E1210" s="142" t="e">
        <f>(VLOOKUP(D1210,$D$2:$E$4,2,FALSE))-(IF('Informe Kelly'!H1204=$A$2,'Informe Kelly'!F1204,VLOOKUP(D1210,$D$2:$E$4,2,FALSE)))</f>
        <v>#N/A</v>
      </c>
      <c r="F1210" s="142" t="e">
        <f>IF('Informe Kelly'!H1204=$A$3,'Informe Kelly'!F1204,VLOOKUP(D1210,$D$2:$F$4,3,FALSE))-(VLOOKUP(D1210,$D$2:$F$4,3,FALSE))</f>
        <v>#N/A</v>
      </c>
      <c r="G1210" s="137" t="e">
        <f t="shared" si="22"/>
        <v>#N/A</v>
      </c>
    </row>
    <row r="1211" spans="1:7">
      <c r="A1211" s="112" t="str">
        <f>VLOOKUP('Informe Kelly'!A1205,Base!A:B,2,FALSE)</f>
        <v>11.840.491-2</v>
      </c>
      <c r="B1211" s="112" t="str">
        <f>VLOOKUP('Informe Kelly'!A1205,Base!A:G,7,FALSE)</f>
        <v>TORRES FARIAS CESAR OMAR</v>
      </c>
      <c r="C1211" s="112" t="str">
        <f>'Informe Kelly'!E1205</f>
        <v>07.04.2011</v>
      </c>
      <c r="D1211" s="112" t="e">
        <f>VLOOKUP(A1211,Ingreso!K:P,6,FALSE)</f>
        <v>#N/A</v>
      </c>
      <c r="E1211" s="142" t="e">
        <f>(VLOOKUP(D1211,$D$2:$E$4,2,FALSE))-(IF('Informe Kelly'!H1205=$A$2,'Informe Kelly'!F1205,VLOOKUP(D1211,$D$2:$E$4,2,FALSE)))</f>
        <v>#N/A</v>
      </c>
      <c r="F1211" s="142" t="e">
        <f>IF('Informe Kelly'!H1205=$A$3,'Informe Kelly'!F1205,VLOOKUP(D1211,$D$2:$F$4,3,FALSE))-(VLOOKUP(D1211,$D$2:$F$4,3,FALSE))</f>
        <v>#N/A</v>
      </c>
      <c r="G1211" s="137" t="e">
        <f t="shared" si="22"/>
        <v>#N/A</v>
      </c>
    </row>
    <row r="1212" spans="1:7">
      <c r="A1212" s="112" t="str">
        <f>VLOOKUP('Informe Kelly'!A1206,Base!A:B,2,FALSE)</f>
        <v>11.840.491-2</v>
      </c>
      <c r="B1212" s="112" t="str">
        <f>VLOOKUP('Informe Kelly'!A1206,Base!A:G,7,FALSE)</f>
        <v>TORRES FARIAS CESAR OMAR</v>
      </c>
      <c r="C1212" s="112" t="str">
        <f>'Informe Kelly'!E1206</f>
        <v>07.04.2011</v>
      </c>
      <c r="D1212" s="112" t="e">
        <f>VLOOKUP(A1212,Ingreso!K:P,6,FALSE)</f>
        <v>#N/A</v>
      </c>
      <c r="E1212" s="142" t="e">
        <f>(VLOOKUP(D1212,$D$2:$E$4,2,FALSE))-(IF('Informe Kelly'!H1206=$A$2,'Informe Kelly'!F1206,VLOOKUP(D1212,$D$2:$E$4,2,FALSE)))</f>
        <v>#N/A</v>
      </c>
      <c r="F1212" s="142" t="e">
        <f>IF('Informe Kelly'!H1206=$A$3,'Informe Kelly'!F1206,VLOOKUP(D1212,$D$2:$F$4,3,FALSE))-(VLOOKUP(D1212,$D$2:$F$4,3,FALSE))</f>
        <v>#N/A</v>
      </c>
      <c r="G1212" s="137" t="e">
        <f t="shared" si="22"/>
        <v>#N/A</v>
      </c>
    </row>
    <row r="1213" spans="1:7">
      <c r="A1213" s="112" t="str">
        <f>VLOOKUP('Informe Kelly'!A1207,Base!A:B,2,FALSE)</f>
        <v>11.840.491-2</v>
      </c>
      <c r="B1213" s="112" t="str">
        <f>VLOOKUP('Informe Kelly'!A1207,Base!A:G,7,FALSE)</f>
        <v>TORRES FARIAS CESAR OMAR</v>
      </c>
      <c r="C1213" s="112" t="str">
        <f>'Informe Kelly'!E1207</f>
        <v>08.04.2011</v>
      </c>
      <c r="D1213" s="112" t="e">
        <f>VLOOKUP(A1213,Ingreso!K:P,6,FALSE)</f>
        <v>#N/A</v>
      </c>
      <c r="E1213" s="142" t="e">
        <f>(VLOOKUP(D1213,$D$2:$E$4,2,FALSE))-(IF('Informe Kelly'!H1207=$A$2,'Informe Kelly'!F1207,VLOOKUP(D1213,$D$2:$E$4,2,FALSE)))</f>
        <v>#N/A</v>
      </c>
      <c r="F1213" s="142" t="e">
        <f>IF('Informe Kelly'!H1207=$A$3,'Informe Kelly'!F1207,VLOOKUP(D1213,$D$2:$F$4,3,FALSE))-(VLOOKUP(D1213,$D$2:$F$4,3,FALSE))</f>
        <v>#N/A</v>
      </c>
      <c r="G1213" s="137" t="e">
        <f t="shared" si="22"/>
        <v>#N/A</v>
      </c>
    </row>
    <row r="1214" spans="1:7">
      <c r="A1214" s="112" t="str">
        <f>VLOOKUP('Informe Kelly'!A1208,Base!A:B,2,FALSE)</f>
        <v>11.840.491-2</v>
      </c>
      <c r="B1214" s="112" t="str">
        <f>VLOOKUP('Informe Kelly'!A1208,Base!A:G,7,FALSE)</f>
        <v>TORRES FARIAS CESAR OMAR</v>
      </c>
      <c r="C1214" s="112" t="str">
        <f>'Informe Kelly'!E1208</f>
        <v>08.04.2011</v>
      </c>
      <c r="D1214" s="112" t="e">
        <f>VLOOKUP(A1214,Ingreso!K:P,6,FALSE)</f>
        <v>#N/A</v>
      </c>
      <c r="E1214" s="142" t="e">
        <f>(VLOOKUP(D1214,$D$2:$E$4,2,FALSE))-(IF('Informe Kelly'!H1208=$A$2,'Informe Kelly'!F1208,VLOOKUP(D1214,$D$2:$E$4,2,FALSE)))</f>
        <v>#N/A</v>
      </c>
      <c r="F1214" s="142" t="e">
        <f>IF('Informe Kelly'!H1208=$A$3,'Informe Kelly'!F1208,VLOOKUP(D1214,$D$2:$F$4,3,FALSE))-(VLOOKUP(D1214,$D$2:$F$4,3,FALSE))</f>
        <v>#N/A</v>
      </c>
      <c r="G1214" s="137" t="e">
        <f t="shared" si="22"/>
        <v>#N/A</v>
      </c>
    </row>
    <row r="1215" spans="1:7">
      <c r="A1215" s="112" t="str">
        <f>VLOOKUP('Informe Kelly'!A1209,Base!A:B,2,FALSE)</f>
        <v>11.840.491-2</v>
      </c>
      <c r="B1215" s="112" t="str">
        <f>VLOOKUP('Informe Kelly'!A1209,Base!A:G,7,FALSE)</f>
        <v>TORRES FARIAS CESAR OMAR</v>
      </c>
      <c r="C1215" s="112" t="str">
        <f>'Informe Kelly'!E1209</f>
        <v>09.04.2011</v>
      </c>
      <c r="D1215" s="112" t="e">
        <f>VLOOKUP(A1215,Ingreso!K:P,6,FALSE)</f>
        <v>#N/A</v>
      </c>
      <c r="E1215" s="142" t="e">
        <f>(VLOOKUP(D1215,$D$2:$E$4,2,FALSE))-(IF('Informe Kelly'!H1209=$A$2,'Informe Kelly'!F1209,VLOOKUP(D1215,$D$2:$E$4,2,FALSE)))</f>
        <v>#N/A</v>
      </c>
      <c r="F1215" s="142" t="e">
        <f>IF('Informe Kelly'!H1209=$A$3,'Informe Kelly'!F1209,VLOOKUP(D1215,$D$2:$F$4,3,FALSE))-(VLOOKUP(D1215,$D$2:$F$4,3,FALSE))</f>
        <v>#N/A</v>
      </c>
      <c r="G1215" s="137" t="e">
        <f t="shared" si="22"/>
        <v>#N/A</v>
      </c>
    </row>
    <row r="1216" spans="1:7">
      <c r="A1216" s="112" t="str">
        <f>VLOOKUP('Informe Kelly'!A1210,Base!A:B,2,FALSE)</f>
        <v>11.840.491-2</v>
      </c>
      <c r="B1216" s="112" t="str">
        <f>VLOOKUP('Informe Kelly'!A1210,Base!A:G,7,FALSE)</f>
        <v>TORRES FARIAS CESAR OMAR</v>
      </c>
      <c r="C1216" s="112" t="str">
        <f>'Informe Kelly'!E1210</f>
        <v>09.04.2011</v>
      </c>
      <c r="D1216" s="112" t="e">
        <f>VLOOKUP(A1216,Ingreso!K:P,6,FALSE)</f>
        <v>#N/A</v>
      </c>
      <c r="E1216" s="142" t="e">
        <f>(VLOOKUP(D1216,$D$2:$E$4,2,FALSE))-(IF('Informe Kelly'!H1210=$A$2,'Informe Kelly'!F1210,VLOOKUP(D1216,$D$2:$E$4,2,FALSE)))</f>
        <v>#N/A</v>
      </c>
      <c r="F1216" s="142" t="e">
        <f>IF('Informe Kelly'!H1210=$A$3,'Informe Kelly'!F1210,VLOOKUP(D1216,$D$2:$F$4,3,FALSE))-(VLOOKUP(D1216,$D$2:$F$4,3,FALSE))</f>
        <v>#N/A</v>
      </c>
      <c r="G1216" s="137" t="e">
        <f t="shared" si="22"/>
        <v>#N/A</v>
      </c>
    </row>
    <row r="1217" spans="1:7">
      <c r="A1217" s="112" t="str">
        <f>VLOOKUP('Informe Kelly'!A1211,Base!A:B,2,FALSE)</f>
        <v>11.873.201-4</v>
      </c>
      <c r="B1217" s="112" t="str">
        <f>VLOOKUP('Informe Kelly'!A1211,Base!A:G,7,FALSE)</f>
        <v>LEMUS VELIZ CARLOS</v>
      </c>
      <c r="C1217" s="112" t="str">
        <f>'Informe Kelly'!E1211</f>
        <v>00.00.0000</v>
      </c>
      <c r="D1217" s="112" t="e">
        <f>VLOOKUP(A1217,Ingreso!K:P,6,FALSE)</f>
        <v>#N/A</v>
      </c>
      <c r="E1217" s="142" t="e">
        <f>(VLOOKUP(D1217,$D$2:$E$4,2,FALSE))-(IF('Informe Kelly'!H1211=$A$2,'Informe Kelly'!F1211,VLOOKUP(D1217,$D$2:$E$4,2,FALSE)))</f>
        <v>#N/A</v>
      </c>
      <c r="F1217" s="142" t="e">
        <f>IF('Informe Kelly'!H1211=$A$3,'Informe Kelly'!F1211,VLOOKUP(D1217,$D$2:$F$4,3,FALSE))-(VLOOKUP(D1217,$D$2:$F$4,3,FALSE))</f>
        <v>#N/A</v>
      </c>
      <c r="G1217" s="137" t="e">
        <f t="shared" si="22"/>
        <v>#N/A</v>
      </c>
    </row>
    <row r="1218" spans="1:7">
      <c r="A1218" s="112" t="str">
        <f>VLOOKUP('Informe Kelly'!A1212,Base!A:B,2,FALSE)</f>
        <v>11.914.799-9</v>
      </c>
      <c r="B1218" s="112" t="str">
        <f>VLOOKUP('Informe Kelly'!A1212,Base!A:G,7,FALSE)</f>
        <v>FERNANDEZ MELLA LUIS</v>
      </c>
      <c r="C1218" s="112" t="str">
        <f>'Informe Kelly'!E1212</f>
        <v>04.04.2011</v>
      </c>
      <c r="D1218" s="112" t="e">
        <f>VLOOKUP(A1218,Ingreso!K:P,6,FALSE)</f>
        <v>#N/A</v>
      </c>
      <c r="E1218" s="142" t="e">
        <f>(VLOOKUP(D1218,$D$2:$E$4,2,FALSE))-(IF('Informe Kelly'!H1212=$A$2,'Informe Kelly'!F1212,VLOOKUP(D1218,$D$2:$E$4,2,FALSE)))</f>
        <v>#N/A</v>
      </c>
      <c r="F1218" s="142" t="e">
        <f>IF('Informe Kelly'!H1212=$A$3,'Informe Kelly'!F1212,VLOOKUP(D1218,$D$2:$F$4,3,FALSE))-(VLOOKUP(D1218,$D$2:$F$4,3,FALSE))</f>
        <v>#N/A</v>
      </c>
      <c r="G1218" s="137" t="e">
        <f t="shared" si="22"/>
        <v>#N/A</v>
      </c>
    </row>
    <row r="1219" spans="1:7">
      <c r="A1219" s="112" t="str">
        <f>VLOOKUP('Informe Kelly'!A1213,Base!A:B,2,FALSE)</f>
        <v>11.914.799-9</v>
      </c>
      <c r="B1219" s="112" t="str">
        <f>VLOOKUP('Informe Kelly'!A1213,Base!A:G,7,FALSE)</f>
        <v>FERNANDEZ MELLA LUIS</v>
      </c>
      <c r="C1219" s="112" t="str">
        <f>'Informe Kelly'!E1213</f>
        <v>04.04.2011</v>
      </c>
      <c r="D1219" s="112" t="e">
        <f>VLOOKUP(A1219,Ingreso!K:P,6,FALSE)</f>
        <v>#N/A</v>
      </c>
      <c r="E1219" s="142" t="e">
        <f>(VLOOKUP(D1219,$D$2:$E$4,2,FALSE))-(IF('Informe Kelly'!H1213=$A$2,'Informe Kelly'!F1213,VLOOKUP(D1219,$D$2:$E$4,2,FALSE)))</f>
        <v>#N/A</v>
      </c>
      <c r="F1219" s="142" t="e">
        <f>IF('Informe Kelly'!H1213=$A$3,'Informe Kelly'!F1213,VLOOKUP(D1219,$D$2:$F$4,3,FALSE))-(VLOOKUP(D1219,$D$2:$F$4,3,FALSE))</f>
        <v>#N/A</v>
      </c>
      <c r="G1219" s="137" t="e">
        <f t="shared" si="22"/>
        <v>#N/A</v>
      </c>
    </row>
    <row r="1220" spans="1:7">
      <c r="A1220" s="112" t="str">
        <f>VLOOKUP('Informe Kelly'!A1214,Base!A:B,2,FALSE)</f>
        <v>11.914.799-9</v>
      </c>
      <c r="B1220" s="112" t="str">
        <f>VLOOKUP('Informe Kelly'!A1214,Base!A:G,7,FALSE)</f>
        <v>FERNANDEZ MELLA LUIS</v>
      </c>
      <c r="C1220" s="112" t="str">
        <f>'Informe Kelly'!E1214</f>
        <v>05.04.2011</v>
      </c>
      <c r="D1220" s="112" t="e">
        <f>VLOOKUP(A1220,Ingreso!K:P,6,FALSE)</f>
        <v>#N/A</v>
      </c>
      <c r="E1220" s="142" t="e">
        <f>(VLOOKUP(D1220,$D$2:$E$4,2,FALSE))-(IF('Informe Kelly'!H1214=$A$2,'Informe Kelly'!F1214,VLOOKUP(D1220,$D$2:$E$4,2,FALSE)))</f>
        <v>#N/A</v>
      </c>
      <c r="F1220" s="142" t="e">
        <f>IF('Informe Kelly'!H1214=$A$3,'Informe Kelly'!F1214,VLOOKUP(D1220,$D$2:$F$4,3,FALSE))-(VLOOKUP(D1220,$D$2:$F$4,3,FALSE))</f>
        <v>#N/A</v>
      </c>
      <c r="G1220" s="137" t="e">
        <f t="shared" si="22"/>
        <v>#N/A</v>
      </c>
    </row>
    <row r="1221" spans="1:7">
      <c r="A1221" s="112" t="str">
        <f>VLOOKUP('Informe Kelly'!A1215,Base!A:B,2,FALSE)</f>
        <v>11.914.799-9</v>
      </c>
      <c r="B1221" s="112" t="str">
        <f>VLOOKUP('Informe Kelly'!A1215,Base!A:G,7,FALSE)</f>
        <v>FERNANDEZ MELLA LUIS</v>
      </c>
      <c r="C1221" s="112" t="str">
        <f>'Informe Kelly'!E1215</f>
        <v>05.04.2011</v>
      </c>
      <c r="D1221" s="112" t="e">
        <f>VLOOKUP(A1221,Ingreso!K:P,6,FALSE)</f>
        <v>#N/A</v>
      </c>
      <c r="E1221" s="142" t="e">
        <f>(VLOOKUP(D1221,$D$2:$E$4,2,FALSE))-(IF('Informe Kelly'!H1215=$A$2,'Informe Kelly'!F1215,VLOOKUP(D1221,$D$2:$E$4,2,FALSE)))</f>
        <v>#N/A</v>
      </c>
      <c r="F1221" s="142" t="e">
        <f>IF('Informe Kelly'!H1215=$A$3,'Informe Kelly'!F1215,VLOOKUP(D1221,$D$2:$F$4,3,FALSE))-(VLOOKUP(D1221,$D$2:$F$4,3,FALSE))</f>
        <v>#N/A</v>
      </c>
      <c r="G1221" s="137" t="e">
        <f t="shared" si="22"/>
        <v>#N/A</v>
      </c>
    </row>
    <row r="1222" spans="1:7">
      <c r="A1222" s="112" t="str">
        <f>VLOOKUP('Informe Kelly'!A1216,Base!A:B,2,FALSE)</f>
        <v>11.914.799-9</v>
      </c>
      <c r="B1222" s="112" t="str">
        <f>VLOOKUP('Informe Kelly'!A1216,Base!A:G,7,FALSE)</f>
        <v>FERNANDEZ MELLA LUIS</v>
      </c>
      <c r="C1222" s="112" t="str">
        <f>'Informe Kelly'!E1216</f>
        <v>06.04.2011</v>
      </c>
      <c r="D1222" s="112" t="e">
        <f>VLOOKUP(A1222,Ingreso!K:P,6,FALSE)</f>
        <v>#N/A</v>
      </c>
      <c r="E1222" s="142" t="e">
        <f>(VLOOKUP(D1222,$D$2:$E$4,2,FALSE))-(IF('Informe Kelly'!H1216=$A$2,'Informe Kelly'!F1216,VLOOKUP(D1222,$D$2:$E$4,2,FALSE)))</f>
        <v>#N/A</v>
      </c>
      <c r="F1222" s="142" t="e">
        <f>IF('Informe Kelly'!H1216=$A$3,'Informe Kelly'!F1216,VLOOKUP(D1222,$D$2:$F$4,3,FALSE))-(VLOOKUP(D1222,$D$2:$F$4,3,FALSE))</f>
        <v>#N/A</v>
      </c>
      <c r="G1222" s="137" t="e">
        <f t="shared" si="22"/>
        <v>#N/A</v>
      </c>
    </row>
    <row r="1223" spans="1:7">
      <c r="A1223" s="112" t="str">
        <f>VLOOKUP('Informe Kelly'!A1217,Base!A:B,2,FALSE)</f>
        <v>11.914.799-9</v>
      </c>
      <c r="B1223" s="112" t="str">
        <f>VLOOKUP('Informe Kelly'!A1217,Base!A:G,7,FALSE)</f>
        <v>FERNANDEZ MELLA LUIS</v>
      </c>
      <c r="C1223" s="112" t="str">
        <f>'Informe Kelly'!E1217</f>
        <v>06.04.2011</v>
      </c>
      <c r="D1223" s="112" t="e">
        <f>VLOOKUP(A1223,Ingreso!K:P,6,FALSE)</f>
        <v>#N/A</v>
      </c>
      <c r="E1223" s="142" t="e">
        <f>(VLOOKUP(D1223,$D$2:$E$4,2,FALSE))-(IF('Informe Kelly'!H1217=$A$2,'Informe Kelly'!F1217,VLOOKUP(D1223,$D$2:$E$4,2,FALSE)))</f>
        <v>#N/A</v>
      </c>
      <c r="F1223" s="142" t="e">
        <f>IF('Informe Kelly'!H1217=$A$3,'Informe Kelly'!F1217,VLOOKUP(D1223,$D$2:$F$4,3,FALSE))-(VLOOKUP(D1223,$D$2:$F$4,3,FALSE))</f>
        <v>#N/A</v>
      </c>
      <c r="G1223" s="137" t="e">
        <f t="shared" si="22"/>
        <v>#N/A</v>
      </c>
    </row>
    <row r="1224" spans="1:7">
      <c r="A1224" s="112" t="str">
        <f>VLOOKUP('Informe Kelly'!A1218,Base!A:B,2,FALSE)</f>
        <v>11.914.799-9</v>
      </c>
      <c r="B1224" s="112" t="str">
        <f>VLOOKUP('Informe Kelly'!A1218,Base!A:G,7,FALSE)</f>
        <v>FERNANDEZ MELLA LUIS</v>
      </c>
      <c r="C1224" s="112" t="str">
        <f>'Informe Kelly'!E1218</f>
        <v>07.04.2011</v>
      </c>
      <c r="D1224" s="112" t="e">
        <f>VLOOKUP(A1224,Ingreso!K:P,6,FALSE)</f>
        <v>#N/A</v>
      </c>
      <c r="E1224" s="142" t="e">
        <f>(VLOOKUP(D1224,$D$2:$E$4,2,FALSE))-(IF('Informe Kelly'!H1218=$A$2,'Informe Kelly'!F1218,VLOOKUP(D1224,$D$2:$E$4,2,FALSE)))</f>
        <v>#N/A</v>
      </c>
      <c r="F1224" s="142" t="e">
        <f>IF('Informe Kelly'!H1218=$A$3,'Informe Kelly'!F1218,VLOOKUP(D1224,$D$2:$F$4,3,FALSE))-(VLOOKUP(D1224,$D$2:$F$4,3,FALSE))</f>
        <v>#N/A</v>
      </c>
      <c r="G1224" s="137" t="e">
        <f t="shared" si="22"/>
        <v>#N/A</v>
      </c>
    </row>
    <row r="1225" spans="1:7">
      <c r="A1225" s="112" t="str">
        <f>VLOOKUP('Informe Kelly'!A1219,Base!A:B,2,FALSE)</f>
        <v>11.914.799-9</v>
      </c>
      <c r="B1225" s="112" t="str">
        <f>VLOOKUP('Informe Kelly'!A1219,Base!A:G,7,FALSE)</f>
        <v>FERNANDEZ MELLA LUIS</v>
      </c>
      <c r="C1225" s="112" t="str">
        <f>'Informe Kelly'!E1219</f>
        <v>07.04.2011</v>
      </c>
      <c r="D1225" s="112" t="e">
        <f>VLOOKUP(A1225,Ingreso!K:P,6,FALSE)</f>
        <v>#N/A</v>
      </c>
      <c r="E1225" s="142" t="e">
        <f>(VLOOKUP(D1225,$D$2:$E$4,2,FALSE))-(IF('Informe Kelly'!H1219=$A$2,'Informe Kelly'!F1219,VLOOKUP(D1225,$D$2:$E$4,2,FALSE)))</f>
        <v>#N/A</v>
      </c>
      <c r="F1225" s="142" t="e">
        <f>IF('Informe Kelly'!H1219=$A$3,'Informe Kelly'!F1219,VLOOKUP(D1225,$D$2:$F$4,3,FALSE))-(VLOOKUP(D1225,$D$2:$F$4,3,FALSE))</f>
        <v>#N/A</v>
      </c>
      <c r="G1225" s="137" t="e">
        <f t="shared" ref="G1225:G1288" si="23">IF(E1225="",IF(F1225&lt;0.0409722222222222,0,E1225),IF(E1225&lt;0.0409722222222222,0,E1225))</f>
        <v>#N/A</v>
      </c>
    </row>
    <row r="1226" spans="1:7">
      <c r="A1226" s="112" t="str">
        <f>VLOOKUP('Informe Kelly'!A1220,Base!A:B,2,FALSE)</f>
        <v>11.914.799-9</v>
      </c>
      <c r="B1226" s="112" t="str">
        <f>VLOOKUP('Informe Kelly'!A1220,Base!A:G,7,FALSE)</f>
        <v>FERNANDEZ MELLA LUIS</v>
      </c>
      <c r="C1226" s="112" t="str">
        <f>'Informe Kelly'!E1220</f>
        <v>08.04.2011</v>
      </c>
      <c r="D1226" s="112" t="e">
        <f>VLOOKUP(A1226,Ingreso!K:P,6,FALSE)</f>
        <v>#N/A</v>
      </c>
      <c r="E1226" s="142" t="e">
        <f>(VLOOKUP(D1226,$D$2:$E$4,2,FALSE))-(IF('Informe Kelly'!H1220=$A$2,'Informe Kelly'!F1220,VLOOKUP(D1226,$D$2:$E$4,2,FALSE)))</f>
        <v>#N/A</v>
      </c>
      <c r="F1226" s="142" t="e">
        <f>IF('Informe Kelly'!H1220=$A$3,'Informe Kelly'!F1220,VLOOKUP(D1226,$D$2:$F$4,3,FALSE))-(VLOOKUP(D1226,$D$2:$F$4,3,FALSE))</f>
        <v>#N/A</v>
      </c>
      <c r="G1226" s="137" t="e">
        <f t="shared" si="23"/>
        <v>#N/A</v>
      </c>
    </row>
    <row r="1227" spans="1:7">
      <c r="A1227" s="112" t="str">
        <f>VLOOKUP('Informe Kelly'!A1221,Base!A:B,2,FALSE)</f>
        <v>11.914.799-9</v>
      </c>
      <c r="B1227" s="112" t="str">
        <f>VLOOKUP('Informe Kelly'!A1221,Base!A:G,7,FALSE)</f>
        <v>FERNANDEZ MELLA LUIS</v>
      </c>
      <c r="C1227" s="112" t="str">
        <f>'Informe Kelly'!E1221</f>
        <v>08.04.2011</v>
      </c>
      <c r="D1227" s="112" t="e">
        <f>VLOOKUP(A1227,Ingreso!K:P,6,FALSE)</f>
        <v>#N/A</v>
      </c>
      <c r="E1227" s="142" t="e">
        <f>(VLOOKUP(D1227,$D$2:$E$4,2,FALSE))-(IF('Informe Kelly'!H1221=$A$2,'Informe Kelly'!F1221,VLOOKUP(D1227,$D$2:$E$4,2,FALSE)))</f>
        <v>#N/A</v>
      </c>
      <c r="F1227" s="142" t="e">
        <f>IF('Informe Kelly'!H1221=$A$3,'Informe Kelly'!F1221,VLOOKUP(D1227,$D$2:$F$4,3,FALSE))-(VLOOKUP(D1227,$D$2:$F$4,3,FALSE))</f>
        <v>#N/A</v>
      </c>
      <c r="G1227" s="137" t="e">
        <f t="shared" si="23"/>
        <v>#N/A</v>
      </c>
    </row>
    <row r="1228" spans="1:7">
      <c r="A1228" s="112" t="str">
        <f>VLOOKUP('Informe Kelly'!A1222,Base!A:B,2,FALSE)</f>
        <v>11.914.799-9</v>
      </c>
      <c r="B1228" s="112" t="str">
        <f>VLOOKUP('Informe Kelly'!A1222,Base!A:G,7,FALSE)</f>
        <v>FERNANDEZ MELLA LUIS</v>
      </c>
      <c r="C1228" s="112" t="str">
        <f>'Informe Kelly'!E1222</f>
        <v>09.04.2011</v>
      </c>
      <c r="D1228" s="112" t="e">
        <f>VLOOKUP(A1228,Ingreso!K:P,6,FALSE)</f>
        <v>#N/A</v>
      </c>
      <c r="E1228" s="142" t="e">
        <f>(VLOOKUP(D1228,$D$2:$E$4,2,FALSE))-(IF('Informe Kelly'!H1222=$A$2,'Informe Kelly'!F1222,VLOOKUP(D1228,$D$2:$E$4,2,FALSE)))</f>
        <v>#N/A</v>
      </c>
      <c r="F1228" s="142" t="e">
        <f>IF('Informe Kelly'!H1222=$A$3,'Informe Kelly'!F1222,VLOOKUP(D1228,$D$2:$F$4,3,FALSE))-(VLOOKUP(D1228,$D$2:$F$4,3,FALSE))</f>
        <v>#N/A</v>
      </c>
      <c r="G1228" s="137" t="e">
        <f t="shared" si="23"/>
        <v>#N/A</v>
      </c>
    </row>
    <row r="1229" spans="1:7">
      <c r="A1229" s="112" t="str">
        <f>VLOOKUP('Informe Kelly'!A1223,Base!A:B,2,FALSE)</f>
        <v>11.914.799-9</v>
      </c>
      <c r="B1229" s="112" t="str">
        <f>VLOOKUP('Informe Kelly'!A1223,Base!A:G,7,FALSE)</f>
        <v>FERNANDEZ MELLA LUIS</v>
      </c>
      <c r="C1229" s="112" t="str">
        <f>'Informe Kelly'!E1223</f>
        <v>09.04.2011</v>
      </c>
      <c r="D1229" s="112" t="e">
        <f>VLOOKUP(A1229,Ingreso!K:P,6,FALSE)</f>
        <v>#N/A</v>
      </c>
      <c r="E1229" s="142" t="e">
        <f>(VLOOKUP(D1229,$D$2:$E$4,2,FALSE))-(IF('Informe Kelly'!H1223=$A$2,'Informe Kelly'!F1223,VLOOKUP(D1229,$D$2:$E$4,2,FALSE)))</f>
        <v>#N/A</v>
      </c>
      <c r="F1229" s="142" t="e">
        <f>IF('Informe Kelly'!H1223=$A$3,'Informe Kelly'!F1223,VLOOKUP(D1229,$D$2:$F$4,3,FALSE))-(VLOOKUP(D1229,$D$2:$F$4,3,FALSE))</f>
        <v>#N/A</v>
      </c>
      <c r="G1229" s="137" t="e">
        <f t="shared" si="23"/>
        <v>#N/A</v>
      </c>
    </row>
    <row r="1230" spans="1:7">
      <c r="A1230" s="112" t="str">
        <f>VLOOKUP('Informe Kelly'!A1224,Base!A:B,2,FALSE)</f>
        <v>12.020.450-5</v>
      </c>
      <c r="B1230" s="112" t="str">
        <f>VLOOKUP('Informe Kelly'!A1224,Base!A:G,7,FALSE)</f>
        <v>PINEDA PEREZ ROBERTO</v>
      </c>
      <c r="C1230" s="112" t="str">
        <f>'Informe Kelly'!E1224</f>
        <v>04.04.2011</v>
      </c>
      <c r="D1230" s="112" t="e">
        <f>VLOOKUP(A1230,Ingreso!K:P,6,FALSE)</f>
        <v>#N/A</v>
      </c>
      <c r="E1230" s="142" t="e">
        <f>(VLOOKUP(D1230,$D$2:$E$4,2,FALSE))-(IF('Informe Kelly'!H1224=$A$2,'Informe Kelly'!F1224,VLOOKUP(D1230,$D$2:$E$4,2,FALSE)))</f>
        <v>#N/A</v>
      </c>
      <c r="F1230" s="142" t="e">
        <f>IF('Informe Kelly'!H1224=$A$3,'Informe Kelly'!F1224,VLOOKUP(D1230,$D$2:$F$4,3,FALSE))-(VLOOKUP(D1230,$D$2:$F$4,3,FALSE))</f>
        <v>#N/A</v>
      </c>
      <c r="G1230" s="137" t="e">
        <f t="shared" si="23"/>
        <v>#N/A</v>
      </c>
    </row>
    <row r="1231" spans="1:7">
      <c r="A1231" s="112" t="str">
        <f>VLOOKUP('Informe Kelly'!A1225,Base!A:B,2,FALSE)</f>
        <v>12.020.450-5</v>
      </c>
      <c r="B1231" s="112" t="str">
        <f>VLOOKUP('Informe Kelly'!A1225,Base!A:G,7,FALSE)</f>
        <v>PINEDA PEREZ ROBERTO</v>
      </c>
      <c r="C1231" s="112" t="str">
        <f>'Informe Kelly'!E1225</f>
        <v>04.04.2011</v>
      </c>
      <c r="D1231" s="112" t="e">
        <f>VLOOKUP(A1231,Ingreso!K:P,6,FALSE)</f>
        <v>#N/A</v>
      </c>
      <c r="E1231" s="142" t="e">
        <f>(VLOOKUP(D1231,$D$2:$E$4,2,FALSE))-(IF('Informe Kelly'!H1225=$A$2,'Informe Kelly'!F1225,VLOOKUP(D1231,$D$2:$E$4,2,FALSE)))</f>
        <v>#N/A</v>
      </c>
      <c r="F1231" s="142" t="e">
        <f>IF('Informe Kelly'!H1225=$A$3,'Informe Kelly'!F1225,VLOOKUP(D1231,$D$2:$F$4,3,FALSE))-(VLOOKUP(D1231,$D$2:$F$4,3,FALSE))</f>
        <v>#N/A</v>
      </c>
      <c r="G1231" s="137" t="e">
        <f t="shared" si="23"/>
        <v>#N/A</v>
      </c>
    </row>
    <row r="1232" spans="1:7">
      <c r="A1232" s="112" t="str">
        <f>VLOOKUP('Informe Kelly'!A1226,Base!A:B,2,FALSE)</f>
        <v>12.020.450-5</v>
      </c>
      <c r="B1232" s="112" t="str">
        <f>VLOOKUP('Informe Kelly'!A1226,Base!A:G,7,FALSE)</f>
        <v>PINEDA PEREZ ROBERTO</v>
      </c>
      <c r="C1232" s="112" t="str">
        <f>'Informe Kelly'!E1226</f>
        <v>05.04.2011</v>
      </c>
      <c r="D1232" s="112" t="e">
        <f>VLOOKUP(A1232,Ingreso!K:P,6,FALSE)</f>
        <v>#N/A</v>
      </c>
      <c r="E1232" s="142" t="e">
        <f>(VLOOKUP(D1232,$D$2:$E$4,2,FALSE))-(IF('Informe Kelly'!H1226=$A$2,'Informe Kelly'!F1226,VLOOKUP(D1232,$D$2:$E$4,2,FALSE)))</f>
        <v>#N/A</v>
      </c>
      <c r="F1232" s="142" t="e">
        <f>IF('Informe Kelly'!H1226=$A$3,'Informe Kelly'!F1226,VLOOKUP(D1232,$D$2:$F$4,3,FALSE))-(VLOOKUP(D1232,$D$2:$F$4,3,FALSE))</f>
        <v>#N/A</v>
      </c>
      <c r="G1232" s="137" t="e">
        <f t="shared" si="23"/>
        <v>#N/A</v>
      </c>
    </row>
    <row r="1233" spans="1:7">
      <c r="A1233" s="112" t="str">
        <f>VLOOKUP('Informe Kelly'!A1227,Base!A:B,2,FALSE)</f>
        <v>12.020.450-5</v>
      </c>
      <c r="B1233" s="112" t="str">
        <f>VLOOKUP('Informe Kelly'!A1227,Base!A:G,7,FALSE)</f>
        <v>PINEDA PEREZ ROBERTO</v>
      </c>
      <c r="C1233" s="112" t="str">
        <f>'Informe Kelly'!E1227</f>
        <v>05.04.2011</v>
      </c>
      <c r="D1233" s="112" t="e">
        <f>VLOOKUP(A1233,Ingreso!K:P,6,FALSE)</f>
        <v>#N/A</v>
      </c>
      <c r="E1233" s="142" t="e">
        <f>(VLOOKUP(D1233,$D$2:$E$4,2,FALSE))-(IF('Informe Kelly'!H1227=$A$2,'Informe Kelly'!F1227,VLOOKUP(D1233,$D$2:$E$4,2,FALSE)))</f>
        <v>#N/A</v>
      </c>
      <c r="F1233" s="142" t="e">
        <f>IF('Informe Kelly'!H1227=$A$3,'Informe Kelly'!F1227,VLOOKUP(D1233,$D$2:$F$4,3,FALSE))-(VLOOKUP(D1233,$D$2:$F$4,3,FALSE))</f>
        <v>#N/A</v>
      </c>
      <c r="G1233" s="137" t="e">
        <f t="shared" si="23"/>
        <v>#N/A</v>
      </c>
    </row>
    <row r="1234" spans="1:7">
      <c r="A1234" s="112" t="str">
        <f>VLOOKUP('Informe Kelly'!A1228,Base!A:B,2,FALSE)</f>
        <v>12.020.450-5</v>
      </c>
      <c r="B1234" s="112" t="str">
        <f>VLOOKUP('Informe Kelly'!A1228,Base!A:G,7,FALSE)</f>
        <v>PINEDA PEREZ ROBERTO</v>
      </c>
      <c r="C1234" s="112" t="str">
        <f>'Informe Kelly'!E1228</f>
        <v>06.04.2011</v>
      </c>
      <c r="D1234" s="112" t="e">
        <f>VLOOKUP(A1234,Ingreso!K:P,6,FALSE)</f>
        <v>#N/A</v>
      </c>
      <c r="E1234" s="142" t="e">
        <f>(VLOOKUP(D1234,$D$2:$E$4,2,FALSE))-(IF('Informe Kelly'!H1228=$A$2,'Informe Kelly'!F1228,VLOOKUP(D1234,$D$2:$E$4,2,FALSE)))</f>
        <v>#N/A</v>
      </c>
      <c r="F1234" s="142" t="e">
        <f>IF('Informe Kelly'!H1228=$A$3,'Informe Kelly'!F1228,VLOOKUP(D1234,$D$2:$F$4,3,FALSE))-(VLOOKUP(D1234,$D$2:$F$4,3,FALSE))</f>
        <v>#N/A</v>
      </c>
      <c r="G1234" s="137" t="e">
        <f t="shared" si="23"/>
        <v>#N/A</v>
      </c>
    </row>
    <row r="1235" spans="1:7">
      <c r="A1235" s="112" t="str">
        <f>VLOOKUP('Informe Kelly'!A1229,Base!A:B,2,FALSE)</f>
        <v>12.020.450-5</v>
      </c>
      <c r="B1235" s="112" t="str">
        <f>VLOOKUP('Informe Kelly'!A1229,Base!A:G,7,FALSE)</f>
        <v>PINEDA PEREZ ROBERTO</v>
      </c>
      <c r="C1235" s="112" t="str">
        <f>'Informe Kelly'!E1229</f>
        <v>07.04.2011</v>
      </c>
      <c r="D1235" s="112" t="e">
        <f>VLOOKUP(A1235,Ingreso!K:P,6,FALSE)</f>
        <v>#N/A</v>
      </c>
      <c r="E1235" s="142" t="e">
        <f>(VLOOKUP(D1235,$D$2:$E$4,2,FALSE))-(IF('Informe Kelly'!H1229=$A$2,'Informe Kelly'!F1229,VLOOKUP(D1235,$D$2:$E$4,2,FALSE)))</f>
        <v>#N/A</v>
      </c>
      <c r="F1235" s="142" t="e">
        <f>IF('Informe Kelly'!H1229=$A$3,'Informe Kelly'!F1229,VLOOKUP(D1235,$D$2:$F$4,3,FALSE))-(VLOOKUP(D1235,$D$2:$F$4,3,FALSE))</f>
        <v>#N/A</v>
      </c>
      <c r="G1235" s="137" t="e">
        <f t="shared" si="23"/>
        <v>#N/A</v>
      </c>
    </row>
    <row r="1236" spans="1:7">
      <c r="A1236" s="112" t="str">
        <f>VLOOKUP('Informe Kelly'!A1230,Base!A:B,2,FALSE)</f>
        <v>12.020.450-5</v>
      </c>
      <c r="B1236" s="112" t="str">
        <f>VLOOKUP('Informe Kelly'!A1230,Base!A:G,7,FALSE)</f>
        <v>PINEDA PEREZ ROBERTO</v>
      </c>
      <c r="C1236" s="112" t="str">
        <f>'Informe Kelly'!E1230</f>
        <v>08.04.2011</v>
      </c>
      <c r="D1236" s="112" t="e">
        <f>VLOOKUP(A1236,Ingreso!K:P,6,FALSE)</f>
        <v>#N/A</v>
      </c>
      <c r="E1236" s="142" t="e">
        <f>(VLOOKUP(D1236,$D$2:$E$4,2,FALSE))-(IF('Informe Kelly'!H1230=$A$2,'Informe Kelly'!F1230,VLOOKUP(D1236,$D$2:$E$4,2,FALSE)))</f>
        <v>#N/A</v>
      </c>
      <c r="F1236" s="142" t="e">
        <f>IF('Informe Kelly'!H1230=$A$3,'Informe Kelly'!F1230,VLOOKUP(D1236,$D$2:$F$4,3,FALSE))-(VLOOKUP(D1236,$D$2:$F$4,3,FALSE))</f>
        <v>#N/A</v>
      </c>
      <c r="G1236" s="137" t="e">
        <f t="shared" si="23"/>
        <v>#N/A</v>
      </c>
    </row>
    <row r="1237" spans="1:7">
      <c r="A1237" s="112" t="str">
        <f>VLOOKUP('Informe Kelly'!A1231,Base!A:B,2,FALSE)</f>
        <v>12.020.450-5</v>
      </c>
      <c r="B1237" s="112" t="str">
        <f>VLOOKUP('Informe Kelly'!A1231,Base!A:G,7,FALSE)</f>
        <v>PINEDA PEREZ ROBERTO</v>
      </c>
      <c r="C1237" s="112" t="str">
        <f>'Informe Kelly'!E1231</f>
        <v>08.04.2011</v>
      </c>
      <c r="D1237" s="112" t="e">
        <f>VLOOKUP(A1237,Ingreso!K:P,6,FALSE)</f>
        <v>#N/A</v>
      </c>
      <c r="E1237" s="142" t="e">
        <f>(VLOOKUP(D1237,$D$2:$E$4,2,FALSE))-(IF('Informe Kelly'!H1231=$A$2,'Informe Kelly'!F1231,VLOOKUP(D1237,$D$2:$E$4,2,FALSE)))</f>
        <v>#N/A</v>
      </c>
      <c r="F1237" s="142" t="e">
        <f>IF('Informe Kelly'!H1231=$A$3,'Informe Kelly'!F1231,VLOOKUP(D1237,$D$2:$F$4,3,FALSE))-(VLOOKUP(D1237,$D$2:$F$4,3,FALSE))</f>
        <v>#N/A</v>
      </c>
      <c r="G1237" s="137" t="e">
        <f t="shared" si="23"/>
        <v>#N/A</v>
      </c>
    </row>
    <row r="1238" spans="1:7">
      <c r="A1238" s="112" t="str">
        <f>VLOOKUP('Informe Kelly'!A1232,Base!A:B,2,FALSE)</f>
        <v>12.051.254-4</v>
      </c>
      <c r="B1238" s="112" t="str">
        <f>VLOOKUP('Informe Kelly'!A1232,Base!A:G,7,FALSE)</f>
        <v xml:space="preserve">NOVA FIGUEROA MAURICIO </v>
      </c>
      <c r="C1238" s="112" t="str">
        <f>'Informe Kelly'!E1232</f>
        <v>04.04.2011</v>
      </c>
      <c r="D1238" s="112" t="e">
        <f>VLOOKUP(A1238,Ingreso!K:P,6,FALSE)</f>
        <v>#N/A</v>
      </c>
      <c r="E1238" s="142" t="e">
        <f>(VLOOKUP(D1238,$D$2:$E$4,2,FALSE))-(IF('Informe Kelly'!H1232=$A$2,'Informe Kelly'!F1232,VLOOKUP(D1238,$D$2:$E$4,2,FALSE)))</f>
        <v>#N/A</v>
      </c>
      <c r="F1238" s="142" t="e">
        <f>IF('Informe Kelly'!H1232=$A$3,'Informe Kelly'!F1232,VLOOKUP(D1238,$D$2:$F$4,3,FALSE))-(VLOOKUP(D1238,$D$2:$F$4,3,FALSE))</f>
        <v>#N/A</v>
      </c>
      <c r="G1238" s="137" t="e">
        <f t="shared" si="23"/>
        <v>#N/A</v>
      </c>
    </row>
    <row r="1239" spans="1:7">
      <c r="A1239" s="112" t="str">
        <f>VLOOKUP('Informe Kelly'!A1233,Base!A:B,2,FALSE)</f>
        <v>12.051.254-4</v>
      </c>
      <c r="B1239" s="112" t="str">
        <f>VLOOKUP('Informe Kelly'!A1233,Base!A:G,7,FALSE)</f>
        <v xml:space="preserve">NOVA FIGUEROA MAURICIO </v>
      </c>
      <c r="C1239" s="112" t="str">
        <f>'Informe Kelly'!E1233</f>
        <v>04.04.2011</v>
      </c>
      <c r="D1239" s="112" t="e">
        <f>VLOOKUP(A1239,Ingreso!K:P,6,FALSE)</f>
        <v>#N/A</v>
      </c>
      <c r="E1239" s="142" t="e">
        <f>(VLOOKUP(D1239,$D$2:$E$4,2,FALSE))-(IF('Informe Kelly'!H1233=$A$2,'Informe Kelly'!F1233,VLOOKUP(D1239,$D$2:$E$4,2,FALSE)))</f>
        <v>#N/A</v>
      </c>
      <c r="F1239" s="142" t="e">
        <f>IF('Informe Kelly'!H1233=$A$3,'Informe Kelly'!F1233,VLOOKUP(D1239,$D$2:$F$4,3,FALSE))-(VLOOKUP(D1239,$D$2:$F$4,3,FALSE))</f>
        <v>#N/A</v>
      </c>
      <c r="G1239" s="137" t="e">
        <f t="shared" si="23"/>
        <v>#N/A</v>
      </c>
    </row>
    <row r="1240" spans="1:7">
      <c r="A1240" s="112" t="str">
        <f>VLOOKUP('Informe Kelly'!A1234,Base!A:B,2,FALSE)</f>
        <v>12.051.254-4</v>
      </c>
      <c r="B1240" s="112" t="str">
        <f>VLOOKUP('Informe Kelly'!A1234,Base!A:G,7,FALSE)</f>
        <v xml:space="preserve">NOVA FIGUEROA MAURICIO </v>
      </c>
      <c r="C1240" s="112" t="str">
        <f>'Informe Kelly'!E1234</f>
        <v>05.04.2011</v>
      </c>
      <c r="D1240" s="112" t="e">
        <f>VLOOKUP(A1240,Ingreso!K:P,6,FALSE)</f>
        <v>#N/A</v>
      </c>
      <c r="E1240" s="142" t="e">
        <f>(VLOOKUP(D1240,$D$2:$E$4,2,FALSE))-(IF('Informe Kelly'!H1234=$A$2,'Informe Kelly'!F1234,VLOOKUP(D1240,$D$2:$E$4,2,FALSE)))</f>
        <v>#N/A</v>
      </c>
      <c r="F1240" s="142" t="e">
        <f>IF('Informe Kelly'!H1234=$A$3,'Informe Kelly'!F1234,VLOOKUP(D1240,$D$2:$F$4,3,FALSE))-(VLOOKUP(D1240,$D$2:$F$4,3,FALSE))</f>
        <v>#N/A</v>
      </c>
      <c r="G1240" s="137" t="e">
        <f t="shared" si="23"/>
        <v>#N/A</v>
      </c>
    </row>
    <row r="1241" spans="1:7">
      <c r="A1241" s="112" t="str">
        <f>VLOOKUP('Informe Kelly'!A1235,Base!A:B,2,FALSE)</f>
        <v>12.051.254-4</v>
      </c>
      <c r="B1241" s="112" t="str">
        <f>VLOOKUP('Informe Kelly'!A1235,Base!A:G,7,FALSE)</f>
        <v xml:space="preserve">NOVA FIGUEROA MAURICIO </v>
      </c>
      <c r="C1241" s="112" t="str">
        <f>'Informe Kelly'!E1235</f>
        <v>05.04.2011</v>
      </c>
      <c r="D1241" s="112" t="e">
        <f>VLOOKUP(A1241,Ingreso!K:P,6,FALSE)</f>
        <v>#N/A</v>
      </c>
      <c r="E1241" s="142" t="e">
        <f>(VLOOKUP(D1241,$D$2:$E$4,2,FALSE))-(IF('Informe Kelly'!H1235=$A$2,'Informe Kelly'!F1235,VLOOKUP(D1241,$D$2:$E$4,2,FALSE)))</f>
        <v>#N/A</v>
      </c>
      <c r="F1241" s="142" t="e">
        <f>IF('Informe Kelly'!H1235=$A$3,'Informe Kelly'!F1235,VLOOKUP(D1241,$D$2:$F$4,3,FALSE))-(VLOOKUP(D1241,$D$2:$F$4,3,FALSE))</f>
        <v>#N/A</v>
      </c>
      <c r="G1241" s="137" t="e">
        <f t="shared" si="23"/>
        <v>#N/A</v>
      </c>
    </row>
    <row r="1242" spans="1:7">
      <c r="A1242" s="112" t="str">
        <f>VLOOKUP('Informe Kelly'!A1236,Base!A:B,2,FALSE)</f>
        <v>12.051.254-4</v>
      </c>
      <c r="B1242" s="112" t="str">
        <f>VLOOKUP('Informe Kelly'!A1236,Base!A:G,7,FALSE)</f>
        <v xml:space="preserve">NOVA FIGUEROA MAURICIO </v>
      </c>
      <c r="C1242" s="112" t="str">
        <f>'Informe Kelly'!E1236</f>
        <v>07.04.2011</v>
      </c>
      <c r="D1242" s="112" t="e">
        <f>VLOOKUP(A1242,Ingreso!K:P,6,FALSE)</f>
        <v>#N/A</v>
      </c>
      <c r="E1242" s="142" t="e">
        <f>(VLOOKUP(D1242,$D$2:$E$4,2,FALSE))-(IF('Informe Kelly'!H1236=$A$2,'Informe Kelly'!F1236,VLOOKUP(D1242,$D$2:$E$4,2,FALSE)))</f>
        <v>#N/A</v>
      </c>
      <c r="F1242" s="142" t="e">
        <f>IF('Informe Kelly'!H1236=$A$3,'Informe Kelly'!F1236,VLOOKUP(D1242,$D$2:$F$4,3,FALSE))-(VLOOKUP(D1242,$D$2:$F$4,3,FALSE))</f>
        <v>#N/A</v>
      </c>
      <c r="G1242" s="137" t="e">
        <f t="shared" si="23"/>
        <v>#N/A</v>
      </c>
    </row>
    <row r="1243" spans="1:7">
      <c r="A1243" s="112" t="str">
        <f>VLOOKUP('Informe Kelly'!A1237,Base!A:B,2,FALSE)</f>
        <v>12.051.254-4</v>
      </c>
      <c r="B1243" s="112" t="str">
        <f>VLOOKUP('Informe Kelly'!A1237,Base!A:G,7,FALSE)</f>
        <v xml:space="preserve">NOVA FIGUEROA MAURICIO </v>
      </c>
      <c r="C1243" s="112" t="str">
        <f>'Informe Kelly'!E1237</f>
        <v>07.04.2011</v>
      </c>
      <c r="D1243" s="112" t="e">
        <f>VLOOKUP(A1243,Ingreso!K:P,6,FALSE)</f>
        <v>#N/A</v>
      </c>
      <c r="E1243" s="142" t="e">
        <f>(VLOOKUP(D1243,$D$2:$E$4,2,FALSE))-(IF('Informe Kelly'!H1237=$A$2,'Informe Kelly'!F1237,VLOOKUP(D1243,$D$2:$E$4,2,FALSE)))</f>
        <v>#N/A</v>
      </c>
      <c r="F1243" s="142" t="e">
        <f>IF('Informe Kelly'!H1237=$A$3,'Informe Kelly'!F1237,VLOOKUP(D1243,$D$2:$F$4,3,FALSE))-(VLOOKUP(D1243,$D$2:$F$4,3,FALSE))</f>
        <v>#N/A</v>
      </c>
      <c r="G1243" s="137" t="e">
        <f t="shared" si="23"/>
        <v>#N/A</v>
      </c>
    </row>
    <row r="1244" spans="1:7">
      <c r="A1244" s="112" t="str">
        <f>VLOOKUP('Informe Kelly'!A1238,Base!A:B,2,FALSE)</f>
        <v>12.051.254-4</v>
      </c>
      <c r="B1244" s="112" t="str">
        <f>VLOOKUP('Informe Kelly'!A1238,Base!A:G,7,FALSE)</f>
        <v xml:space="preserve">NOVA FIGUEROA MAURICIO </v>
      </c>
      <c r="C1244" s="112" t="str">
        <f>'Informe Kelly'!E1238</f>
        <v>08.04.2011</v>
      </c>
      <c r="D1244" s="112" t="e">
        <f>VLOOKUP(A1244,Ingreso!K:P,6,FALSE)</f>
        <v>#N/A</v>
      </c>
      <c r="E1244" s="142" t="e">
        <f>(VLOOKUP(D1244,$D$2:$E$4,2,FALSE))-(IF('Informe Kelly'!H1238=$A$2,'Informe Kelly'!F1238,VLOOKUP(D1244,$D$2:$E$4,2,FALSE)))</f>
        <v>#N/A</v>
      </c>
      <c r="F1244" s="142" t="e">
        <f>IF('Informe Kelly'!H1238=$A$3,'Informe Kelly'!F1238,VLOOKUP(D1244,$D$2:$F$4,3,FALSE))-(VLOOKUP(D1244,$D$2:$F$4,3,FALSE))</f>
        <v>#N/A</v>
      </c>
      <c r="G1244" s="137" t="e">
        <f t="shared" si="23"/>
        <v>#N/A</v>
      </c>
    </row>
    <row r="1245" spans="1:7">
      <c r="A1245" s="112" t="str">
        <f>VLOOKUP('Informe Kelly'!A1239,Base!A:B,2,FALSE)</f>
        <v>12.051.254-4</v>
      </c>
      <c r="B1245" s="112" t="str">
        <f>VLOOKUP('Informe Kelly'!A1239,Base!A:G,7,FALSE)</f>
        <v xml:space="preserve">NOVA FIGUEROA MAURICIO </v>
      </c>
      <c r="C1245" s="112" t="str">
        <f>'Informe Kelly'!E1239</f>
        <v>08.04.2011</v>
      </c>
      <c r="D1245" s="112" t="e">
        <f>VLOOKUP(A1245,Ingreso!K:P,6,FALSE)</f>
        <v>#N/A</v>
      </c>
      <c r="E1245" s="142" t="e">
        <f>(VLOOKUP(D1245,$D$2:$E$4,2,FALSE))-(IF('Informe Kelly'!H1239=$A$2,'Informe Kelly'!F1239,VLOOKUP(D1245,$D$2:$E$4,2,FALSE)))</f>
        <v>#N/A</v>
      </c>
      <c r="F1245" s="142" t="e">
        <f>IF('Informe Kelly'!H1239=$A$3,'Informe Kelly'!F1239,VLOOKUP(D1245,$D$2:$F$4,3,FALSE))-(VLOOKUP(D1245,$D$2:$F$4,3,FALSE))</f>
        <v>#N/A</v>
      </c>
      <c r="G1245" s="137" t="e">
        <f t="shared" si="23"/>
        <v>#N/A</v>
      </c>
    </row>
    <row r="1246" spans="1:7">
      <c r="A1246" s="112" t="str">
        <f>VLOOKUP('Informe Kelly'!A1240,Base!A:B,2,FALSE)</f>
        <v>12.093.149-0</v>
      </c>
      <c r="B1246" s="112" t="str">
        <f>VLOOKUP('Informe Kelly'!A1240,Base!A:G,7,FALSE)</f>
        <v>CONTRERAS CORTES ANGEL GUILLERMO</v>
      </c>
      <c r="C1246" s="112" t="str">
        <f>'Informe Kelly'!E1240</f>
        <v>04.04.2011</v>
      </c>
      <c r="D1246" s="112" t="e">
        <f>VLOOKUP(A1246,Ingreso!K:P,6,FALSE)</f>
        <v>#N/A</v>
      </c>
      <c r="E1246" s="142" t="e">
        <f>(VLOOKUP(D1246,$D$2:$E$4,2,FALSE))-(IF('Informe Kelly'!H1240=$A$2,'Informe Kelly'!F1240,VLOOKUP(D1246,$D$2:$E$4,2,FALSE)))</f>
        <v>#N/A</v>
      </c>
      <c r="F1246" s="142" t="e">
        <f>IF('Informe Kelly'!H1240=$A$3,'Informe Kelly'!F1240,VLOOKUP(D1246,$D$2:$F$4,3,FALSE))-(VLOOKUP(D1246,$D$2:$F$4,3,FALSE))</f>
        <v>#N/A</v>
      </c>
      <c r="G1246" s="137" t="e">
        <f t="shared" si="23"/>
        <v>#N/A</v>
      </c>
    </row>
    <row r="1247" spans="1:7">
      <c r="A1247" s="112" t="str">
        <f>VLOOKUP('Informe Kelly'!A1241,Base!A:B,2,FALSE)</f>
        <v>12.093.149-0</v>
      </c>
      <c r="B1247" s="112" t="str">
        <f>VLOOKUP('Informe Kelly'!A1241,Base!A:G,7,FALSE)</f>
        <v>CONTRERAS CORTES ANGEL GUILLERMO</v>
      </c>
      <c r="C1247" s="112" t="str">
        <f>'Informe Kelly'!E1241</f>
        <v>04.04.2011</v>
      </c>
      <c r="D1247" s="112" t="e">
        <f>VLOOKUP(A1247,Ingreso!K:P,6,FALSE)</f>
        <v>#N/A</v>
      </c>
      <c r="E1247" s="142" t="e">
        <f>(VLOOKUP(D1247,$D$2:$E$4,2,FALSE))-(IF('Informe Kelly'!H1241=$A$2,'Informe Kelly'!F1241,VLOOKUP(D1247,$D$2:$E$4,2,FALSE)))</f>
        <v>#N/A</v>
      </c>
      <c r="F1247" s="142" t="e">
        <f>IF('Informe Kelly'!H1241=$A$3,'Informe Kelly'!F1241,VLOOKUP(D1247,$D$2:$F$4,3,FALSE))-(VLOOKUP(D1247,$D$2:$F$4,3,FALSE))</f>
        <v>#N/A</v>
      </c>
      <c r="G1247" s="137" t="e">
        <f t="shared" si="23"/>
        <v>#N/A</v>
      </c>
    </row>
    <row r="1248" spans="1:7">
      <c r="A1248" s="112" t="str">
        <f>VLOOKUP('Informe Kelly'!A1242,Base!A:B,2,FALSE)</f>
        <v>12.093.149-0</v>
      </c>
      <c r="B1248" s="112" t="str">
        <f>VLOOKUP('Informe Kelly'!A1242,Base!A:G,7,FALSE)</f>
        <v>CONTRERAS CORTES ANGEL GUILLERMO</v>
      </c>
      <c r="C1248" s="112" t="str">
        <f>'Informe Kelly'!E1242</f>
        <v>05.04.2011</v>
      </c>
      <c r="D1248" s="112" t="e">
        <f>VLOOKUP(A1248,Ingreso!K:P,6,FALSE)</f>
        <v>#N/A</v>
      </c>
      <c r="E1248" s="142" t="e">
        <f>(VLOOKUP(D1248,$D$2:$E$4,2,FALSE))-(IF('Informe Kelly'!H1242=$A$2,'Informe Kelly'!F1242,VLOOKUP(D1248,$D$2:$E$4,2,FALSE)))</f>
        <v>#N/A</v>
      </c>
      <c r="F1248" s="142" t="e">
        <f>IF('Informe Kelly'!H1242=$A$3,'Informe Kelly'!F1242,VLOOKUP(D1248,$D$2:$F$4,3,FALSE))-(VLOOKUP(D1248,$D$2:$F$4,3,FALSE))</f>
        <v>#N/A</v>
      </c>
      <c r="G1248" s="137" t="e">
        <f t="shared" si="23"/>
        <v>#N/A</v>
      </c>
    </row>
    <row r="1249" spans="1:7">
      <c r="A1249" s="112" t="str">
        <f>VLOOKUP('Informe Kelly'!A1243,Base!A:B,2,FALSE)</f>
        <v>12.093.149-0</v>
      </c>
      <c r="B1249" s="112" t="str">
        <f>VLOOKUP('Informe Kelly'!A1243,Base!A:G,7,FALSE)</f>
        <v>CONTRERAS CORTES ANGEL GUILLERMO</v>
      </c>
      <c r="C1249" s="112" t="str">
        <f>'Informe Kelly'!E1243</f>
        <v>05.04.2011</v>
      </c>
      <c r="D1249" s="112" t="e">
        <f>VLOOKUP(A1249,Ingreso!K:P,6,FALSE)</f>
        <v>#N/A</v>
      </c>
      <c r="E1249" s="142" t="e">
        <f>(VLOOKUP(D1249,$D$2:$E$4,2,FALSE))-(IF('Informe Kelly'!H1243=$A$2,'Informe Kelly'!F1243,VLOOKUP(D1249,$D$2:$E$4,2,FALSE)))</f>
        <v>#N/A</v>
      </c>
      <c r="F1249" s="142" t="e">
        <f>IF('Informe Kelly'!H1243=$A$3,'Informe Kelly'!F1243,VLOOKUP(D1249,$D$2:$F$4,3,FALSE))-(VLOOKUP(D1249,$D$2:$F$4,3,FALSE))</f>
        <v>#N/A</v>
      </c>
      <c r="G1249" s="137" t="e">
        <f t="shared" si="23"/>
        <v>#N/A</v>
      </c>
    </row>
    <row r="1250" spans="1:7">
      <c r="A1250" s="112" t="str">
        <f>VLOOKUP('Informe Kelly'!A1244,Base!A:B,2,FALSE)</f>
        <v>12.093.149-0</v>
      </c>
      <c r="B1250" s="112" t="str">
        <f>VLOOKUP('Informe Kelly'!A1244,Base!A:G,7,FALSE)</f>
        <v>CONTRERAS CORTES ANGEL GUILLERMO</v>
      </c>
      <c r="C1250" s="112" t="str">
        <f>'Informe Kelly'!E1244</f>
        <v>06.04.2011</v>
      </c>
      <c r="D1250" s="112" t="e">
        <f>VLOOKUP(A1250,Ingreso!K:P,6,FALSE)</f>
        <v>#N/A</v>
      </c>
      <c r="E1250" s="142" t="e">
        <f>(VLOOKUP(D1250,$D$2:$E$4,2,FALSE))-(IF('Informe Kelly'!H1244=$A$2,'Informe Kelly'!F1244,VLOOKUP(D1250,$D$2:$E$4,2,FALSE)))</f>
        <v>#N/A</v>
      </c>
      <c r="F1250" s="142" t="e">
        <f>IF('Informe Kelly'!H1244=$A$3,'Informe Kelly'!F1244,VLOOKUP(D1250,$D$2:$F$4,3,FALSE))-(VLOOKUP(D1250,$D$2:$F$4,3,FALSE))</f>
        <v>#N/A</v>
      </c>
      <c r="G1250" s="137" t="e">
        <f t="shared" si="23"/>
        <v>#N/A</v>
      </c>
    </row>
    <row r="1251" spans="1:7">
      <c r="A1251" s="112" t="str">
        <f>VLOOKUP('Informe Kelly'!A1245,Base!A:B,2,FALSE)</f>
        <v>12.093.149-0</v>
      </c>
      <c r="B1251" s="112" t="str">
        <f>VLOOKUP('Informe Kelly'!A1245,Base!A:G,7,FALSE)</f>
        <v>CONTRERAS CORTES ANGEL GUILLERMO</v>
      </c>
      <c r="C1251" s="112" t="str">
        <f>'Informe Kelly'!E1245</f>
        <v>06.04.2011</v>
      </c>
      <c r="D1251" s="112" t="e">
        <f>VLOOKUP(A1251,Ingreso!K:P,6,FALSE)</f>
        <v>#N/A</v>
      </c>
      <c r="E1251" s="142" t="e">
        <f>(VLOOKUP(D1251,$D$2:$E$4,2,FALSE))-(IF('Informe Kelly'!H1245=$A$2,'Informe Kelly'!F1245,VLOOKUP(D1251,$D$2:$E$4,2,FALSE)))</f>
        <v>#N/A</v>
      </c>
      <c r="F1251" s="142" t="e">
        <f>IF('Informe Kelly'!H1245=$A$3,'Informe Kelly'!F1245,VLOOKUP(D1251,$D$2:$F$4,3,FALSE))-(VLOOKUP(D1251,$D$2:$F$4,3,FALSE))</f>
        <v>#N/A</v>
      </c>
      <c r="G1251" s="137" t="e">
        <f t="shared" si="23"/>
        <v>#N/A</v>
      </c>
    </row>
    <row r="1252" spans="1:7">
      <c r="A1252" s="112" t="str">
        <f>VLOOKUP('Informe Kelly'!A1246,Base!A:B,2,FALSE)</f>
        <v>12.093.149-0</v>
      </c>
      <c r="B1252" s="112" t="str">
        <f>VLOOKUP('Informe Kelly'!A1246,Base!A:G,7,FALSE)</f>
        <v>CONTRERAS CORTES ANGEL GUILLERMO</v>
      </c>
      <c r="C1252" s="112" t="str">
        <f>'Informe Kelly'!E1246</f>
        <v>07.04.2011</v>
      </c>
      <c r="D1252" s="112" t="e">
        <f>VLOOKUP(A1252,Ingreso!K:P,6,FALSE)</f>
        <v>#N/A</v>
      </c>
      <c r="E1252" s="142" t="e">
        <f>(VLOOKUP(D1252,$D$2:$E$4,2,FALSE))-(IF('Informe Kelly'!H1246=$A$2,'Informe Kelly'!F1246,VLOOKUP(D1252,$D$2:$E$4,2,FALSE)))</f>
        <v>#N/A</v>
      </c>
      <c r="F1252" s="142" t="e">
        <f>IF('Informe Kelly'!H1246=$A$3,'Informe Kelly'!F1246,VLOOKUP(D1252,$D$2:$F$4,3,FALSE))-(VLOOKUP(D1252,$D$2:$F$4,3,FALSE))</f>
        <v>#N/A</v>
      </c>
      <c r="G1252" s="137" t="e">
        <f t="shared" si="23"/>
        <v>#N/A</v>
      </c>
    </row>
    <row r="1253" spans="1:7">
      <c r="A1253" s="112" t="str">
        <f>VLOOKUP('Informe Kelly'!A1247,Base!A:B,2,FALSE)</f>
        <v>12.093.149-0</v>
      </c>
      <c r="B1253" s="112" t="str">
        <f>VLOOKUP('Informe Kelly'!A1247,Base!A:G,7,FALSE)</f>
        <v>CONTRERAS CORTES ANGEL GUILLERMO</v>
      </c>
      <c r="C1253" s="112" t="str">
        <f>'Informe Kelly'!E1247</f>
        <v>07.04.2011</v>
      </c>
      <c r="D1253" s="112" t="e">
        <f>VLOOKUP(A1253,Ingreso!K:P,6,FALSE)</f>
        <v>#N/A</v>
      </c>
      <c r="E1253" s="142" t="e">
        <f>(VLOOKUP(D1253,$D$2:$E$4,2,FALSE))-(IF('Informe Kelly'!H1247=$A$2,'Informe Kelly'!F1247,VLOOKUP(D1253,$D$2:$E$4,2,FALSE)))</f>
        <v>#N/A</v>
      </c>
      <c r="F1253" s="142" t="e">
        <f>IF('Informe Kelly'!H1247=$A$3,'Informe Kelly'!F1247,VLOOKUP(D1253,$D$2:$F$4,3,FALSE))-(VLOOKUP(D1253,$D$2:$F$4,3,FALSE))</f>
        <v>#N/A</v>
      </c>
      <c r="G1253" s="137" t="e">
        <f t="shared" si="23"/>
        <v>#N/A</v>
      </c>
    </row>
    <row r="1254" spans="1:7">
      <c r="A1254" s="112" t="str">
        <f>VLOOKUP('Informe Kelly'!A1248,Base!A:B,2,FALSE)</f>
        <v>12.093.149-0</v>
      </c>
      <c r="B1254" s="112" t="str">
        <f>VLOOKUP('Informe Kelly'!A1248,Base!A:G,7,FALSE)</f>
        <v>CONTRERAS CORTES ANGEL GUILLERMO</v>
      </c>
      <c r="C1254" s="112" t="str">
        <f>'Informe Kelly'!E1248</f>
        <v>08.04.2011</v>
      </c>
      <c r="D1254" s="112" t="e">
        <f>VLOOKUP(A1254,Ingreso!K:P,6,FALSE)</f>
        <v>#N/A</v>
      </c>
      <c r="E1254" s="142" t="e">
        <f>(VLOOKUP(D1254,$D$2:$E$4,2,FALSE))-(IF('Informe Kelly'!H1248=$A$2,'Informe Kelly'!F1248,VLOOKUP(D1254,$D$2:$E$4,2,FALSE)))</f>
        <v>#N/A</v>
      </c>
      <c r="F1254" s="142" t="e">
        <f>IF('Informe Kelly'!H1248=$A$3,'Informe Kelly'!F1248,VLOOKUP(D1254,$D$2:$F$4,3,FALSE))-(VLOOKUP(D1254,$D$2:$F$4,3,FALSE))</f>
        <v>#N/A</v>
      </c>
      <c r="G1254" s="137" t="e">
        <f t="shared" si="23"/>
        <v>#N/A</v>
      </c>
    </row>
    <row r="1255" spans="1:7">
      <c r="A1255" s="112" t="str">
        <f>VLOOKUP('Informe Kelly'!A1249,Base!A:B,2,FALSE)</f>
        <v>12.093.149-0</v>
      </c>
      <c r="B1255" s="112" t="str">
        <f>VLOOKUP('Informe Kelly'!A1249,Base!A:G,7,FALSE)</f>
        <v>CONTRERAS CORTES ANGEL GUILLERMO</v>
      </c>
      <c r="C1255" s="112" t="str">
        <f>'Informe Kelly'!E1249</f>
        <v>08.04.2011</v>
      </c>
      <c r="D1255" s="112" t="e">
        <f>VLOOKUP(A1255,Ingreso!K:P,6,FALSE)</f>
        <v>#N/A</v>
      </c>
      <c r="E1255" s="142" t="e">
        <f>(VLOOKUP(D1255,$D$2:$E$4,2,FALSE))-(IF('Informe Kelly'!H1249=$A$2,'Informe Kelly'!F1249,VLOOKUP(D1255,$D$2:$E$4,2,FALSE)))</f>
        <v>#N/A</v>
      </c>
      <c r="F1255" s="142" t="e">
        <f>IF('Informe Kelly'!H1249=$A$3,'Informe Kelly'!F1249,VLOOKUP(D1255,$D$2:$F$4,3,FALSE))-(VLOOKUP(D1255,$D$2:$F$4,3,FALSE))</f>
        <v>#N/A</v>
      </c>
      <c r="G1255" s="137" t="e">
        <f t="shared" si="23"/>
        <v>#N/A</v>
      </c>
    </row>
    <row r="1256" spans="1:7">
      <c r="A1256" s="112" t="str">
        <f>VLOOKUP('Informe Kelly'!A1250,Base!A:B,2,FALSE)</f>
        <v>12.093.149-0</v>
      </c>
      <c r="B1256" s="112" t="str">
        <f>VLOOKUP('Informe Kelly'!A1250,Base!A:G,7,FALSE)</f>
        <v>CONTRERAS CORTES ANGEL GUILLERMO</v>
      </c>
      <c r="C1256" s="112" t="str">
        <f>'Informe Kelly'!E1250</f>
        <v>09.04.2011</v>
      </c>
      <c r="D1256" s="112" t="e">
        <f>VLOOKUP(A1256,Ingreso!K:P,6,FALSE)</f>
        <v>#N/A</v>
      </c>
      <c r="E1256" s="142" t="e">
        <f>(VLOOKUP(D1256,$D$2:$E$4,2,FALSE))-(IF('Informe Kelly'!H1250=$A$2,'Informe Kelly'!F1250,VLOOKUP(D1256,$D$2:$E$4,2,FALSE)))</f>
        <v>#N/A</v>
      </c>
      <c r="F1256" s="142" t="e">
        <f>IF('Informe Kelly'!H1250=$A$3,'Informe Kelly'!F1250,VLOOKUP(D1256,$D$2:$F$4,3,FALSE))-(VLOOKUP(D1256,$D$2:$F$4,3,FALSE))</f>
        <v>#N/A</v>
      </c>
      <c r="G1256" s="137" t="e">
        <f t="shared" si="23"/>
        <v>#N/A</v>
      </c>
    </row>
    <row r="1257" spans="1:7">
      <c r="A1257" s="112" t="str">
        <f>VLOOKUP('Informe Kelly'!A1251,Base!A:B,2,FALSE)</f>
        <v>12.093.149-0</v>
      </c>
      <c r="B1257" s="112" t="str">
        <f>VLOOKUP('Informe Kelly'!A1251,Base!A:G,7,FALSE)</f>
        <v>CONTRERAS CORTES ANGEL GUILLERMO</v>
      </c>
      <c r="C1257" s="112" t="str">
        <f>'Informe Kelly'!E1251</f>
        <v>09.04.2011</v>
      </c>
      <c r="D1257" s="112" t="e">
        <f>VLOOKUP(A1257,Ingreso!K:P,6,FALSE)</f>
        <v>#N/A</v>
      </c>
      <c r="E1257" s="142" t="e">
        <f>(VLOOKUP(D1257,$D$2:$E$4,2,FALSE))-(IF('Informe Kelly'!H1251=$A$2,'Informe Kelly'!F1251,VLOOKUP(D1257,$D$2:$E$4,2,FALSE)))</f>
        <v>#N/A</v>
      </c>
      <c r="F1257" s="142" t="e">
        <f>IF('Informe Kelly'!H1251=$A$3,'Informe Kelly'!F1251,VLOOKUP(D1257,$D$2:$F$4,3,FALSE))-(VLOOKUP(D1257,$D$2:$F$4,3,FALSE))</f>
        <v>#N/A</v>
      </c>
      <c r="G1257" s="137" t="e">
        <f t="shared" si="23"/>
        <v>#N/A</v>
      </c>
    </row>
    <row r="1258" spans="1:7">
      <c r="A1258" s="112" t="str">
        <f>VLOOKUP('Informe Kelly'!A1252,Base!A:B,2,FALSE)</f>
        <v>12.093.228-4</v>
      </c>
      <c r="B1258" s="112" t="str">
        <f>VLOOKUP('Informe Kelly'!A1252,Base!A:G,7,FALSE)</f>
        <v>ARANCIBIA NIETO CRISTIAN</v>
      </c>
      <c r="C1258" s="112" t="str">
        <f>'Informe Kelly'!E1252</f>
        <v>04.04.2011</v>
      </c>
      <c r="D1258" s="112" t="e">
        <f>VLOOKUP(A1258,Ingreso!K:P,6,FALSE)</f>
        <v>#N/A</v>
      </c>
      <c r="E1258" s="142" t="e">
        <f>(VLOOKUP(D1258,$D$2:$E$4,2,FALSE))-(IF('Informe Kelly'!H1252=$A$2,'Informe Kelly'!F1252,VLOOKUP(D1258,$D$2:$E$4,2,FALSE)))</f>
        <v>#N/A</v>
      </c>
      <c r="F1258" s="142" t="e">
        <f>IF('Informe Kelly'!H1252=$A$3,'Informe Kelly'!F1252,VLOOKUP(D1258,$D$2:$F$4,3,FALSE))-(VLOOKUP(D1258,$D$2:$F$4,3,FALSE))</f>
        <v>#N/A</v>
      </c>
      <c r="G1258" s="137" t="e">
        <f t="shared" si="23"/>
        <v>#N/A</v>
      </c>
    </row>
    <row r="1259" spans="1:7">
      <c r="A1259" s="112" t="str">
        <f>VLOOKUP('Informe Kelly'!A1253,Base!A:B,2,FALSE)</f>
        <v>12.093.228-4</v>
      </c>
      <c r="B1259" s="112" t="str">
        <f>VLOOKUP('Informe Kelly'!A1253,Base!A:G,7,FALSE)</f>
        <v>ARANCIBIA NIETO CRISTIAN</v>
      </c>
      <c r="C1259" s="112" t="str">
        <f>'Informe Kelly'!E1253</f>
        <v>04.04.2011</v>
      </c>
      <c r="D1259" s="112" t="e">
        <f>VLOOKUP(A1259,Ingreso!K:P,6,FALSE)</f>
        <v>#N/A</v>
      </c>
      <c r="E1259" s="142" t="e">
        <f>(VLOOKUP(D1259,$D$2:$E$4,2,FALSE))-(IF('Informe Kelly'!H1253=$A$2,'Informe Kelly'!F1253,VLOOKUP(D1259,$D$2:$E$4,2,FALSE)))</f>
        <v>#N/A</v>
      </c>
      <c r="F1259" s="142" t="e">
        <f>IF('Informe Kelly'!H1253=$A$3,'Informe Kelly'!F1253,VLOOKUP(D1259,$D$2:$F$4,3,FALSE))-(VLOOKUP(D1259,$D$2:$F$4,3,FALSE))</f>
        <v>#N/A</v>
      </c>
      <c r="G1259" s="137" t="e">
        <f t="shared" si="23"/>
        <v>#N/A</v>
      </c>
    </row>
    <row r="1260" spans="1:7">
      <c r="A1260" s="112" t="str">
        <f>VLOOKUP('Informe Kelly'!A1254,Base!A:B,2,FALSE)</f>
        <v>12.093.228-4</v>
      </c>
      <c r="B1260" s="112" t="str">
        <f>VLOOKUP('Informe Kelly'!A1254,Base!A:G,7,FALSE)</f>
        <v>ARANCIBIA NIETO CRISTIAN</v>
      </c>
      <c r="C1260" s="112" t="str">
        <f>'Informe Kelly'!E1254</f>
        <v>05.04.2011</v>
      </c>
      <c r="D1260" s="112" t="e">
        <f>VLOOKUP(A1260,Ingreso!K:P,6,FALSE)</f>
        <v>#N/A</v>
      </c>
      <c r="E1260" s="142" t="e">
        <f>(VLOOKUP(D1260,$D$2:$E$4,2,FALSE))-(IF('Informe Kelly'!H1254=$A$2,'Informe Kelly'!F1254,VLOOKUP(D1260,$D$2:$E$4,2,FALSE)))</f>
        <v>#N/A</v>
      </c>
      <c r="F1260" s="142" t="e">
        <f>IF('Informe Kelly'!H1254=$A$3,'Informe Kelly'!F1254,VLOOKUP(D1260,$D$2:$F$4,3,FALSE))-(VLOOKUP(D1260,$D$2:$F$4,3,FALSE))</f>
        <v>#N/A</v>
      </c>
      <c r="G1260" s="137" t="e">
        <f t="shared" si="23"/>
        <v>#N/A</v>
      </c>
    </row>
    <row r="1261" spans="1:7">
      <c r="A1261" s="112" t="str">
        <f>VLOOKUP('Informe Kelly'!A1255,Base!A:B,2,FALSE)</f>
        <v>12.093.228-4</v>
      </c>
      <c r="B1261" s="112" t="str">
        <f>VLOOKUP('Informe Kelly'!A1255,Base!A:G,7,FALSE)</f>
        <v>ARANCIBIA NIETO CRISTIAN</v>
      </c>
      <c r="C1261" s="112" t="str">
        <f>'Informe Kelly'!E1255</f>
        <v>05.04.2011</v>
      </c>
      <c r="D1261" s="112" t="e">
        <f>VLOOKUP(A1261,Ingreso!K:P,6,FALSE)</f>
        <v>#N/A</v>
      </c>
      <c r="E1261" s="142" t="e">
        <f>(VLOOKUP(D1261,$D$2:$E$4,2,FALSE))-(IF('Informe Kelly'!H1255=$A$2,'Informe Kelly'!F1255,VLOOKUP(D1261,$D$2:$E$4,2,FALSE)))</f>
        <v>#N/A</v>
      </c>
      <c r="F1261" s="142" t="e">
        <f>IF('Informe Kelly'!H1255=$A$3,'Informe Kelly'!F1255,VLOOKUP(D1261,$D$2:$F$4,3,FALSE))-(VLOOKUP(D1261,$D$2:$F$4,3,FALSE))</f>
        <v>#N/A</v>
      </c>
      <c r="G1261" s="137" t="e">
        <f t="shared" si="23"/>
        <v>#N/A</v>
      </c>
    </row>
    <row r="1262" spans="1:7">
      <c r="A1262" s="112" t="str">
        <f>VLOOKUP('Informe Kelly'!A1256,Base!A:B,2,FALSE)</f>
        <v>12.093.228-4</v>
      </c>
      <c r="B1262" s="112" t="str">
        <f>VLOOKUP('Informe Kelly'!A1256,Base!A:G,7,FALSE)</f>
        <v>ARANCIBIA NIETO CRISTIAN</v>
      </c>
      <c r="C1262" s="112" t="str">
        <f>'Informe Kelly'!E1256</f>
        <v>06.04.2011</v>
      </c>
      <c r="D1262" s="112" t="e">
        <f>VLOOKUP(A1262,Ingreso!K:P,6,FALSE)</f>
        <v>#N/A</v>
      </c>
      <c r="E1262" s="142" t="e">
        <f>(VLOOKUP(D1262,$D$2:$E$4,2,FALSE))-(IF('Informe Kelly'!H1256=$A$2,'Informe Kelly'!F1256,VLOOKUP(D1262,$D$2:$E$4,2,FALSE)))</f>
        <v>#N/A</v>
      </c>
      <c r="F1262" s="142" t="e">
        <f>IF('Informe Kelly'!H1256=$A$3,'Informe Kelly'!F1256,VLOOKUP(D1262,$D$2:$F$4,3,FALSE))-(VLOOKUP(D1262,$D$2:$F$4,3,FALSE))</f>
        <v>#N/A</v>
      </c>
      <c r="G1262" s="137" t="e">
        <f t="shared" si="23"/>
        <v>#N/A</v>
      </c>
    </row>
    <row r="1263" spans="1:7">
      <c r="A1263" s="112" t="str">
        <f>VLOOKUP('Informe Kelly'!A1257,Base!A:B,2,FALSE)</f>
        <v>12.093.228-4</v>
      </c>
      <c r="B1263" s="112" t="str">
        <f>VLOOKUP('Informe Kelly'!A1257,Base!A:G,7,FALSE)</f>
        <v>ARANCIBIA NIETO CRISTIAN</v>
      </c>
      <c r="C1263" s="112" t="str">
        <f>'Informe Kelly'!E1257</f>
        <v>06.04.2011</v>
      </c>
      <c r="D1263" s="112" t="e">
        <f>VLOOKUP(A1263,Ingreso!K:P,6,FALSE)</f>
        <v>#N/A</v>
      </c>
      <c r="E1263" s="142" t="e">
        <f>(VLOOKUP(D1263,$D$2:$E$4,2,FALSE))-(IF('Informe Kelly'!H1257=$A$2,'Informe Kelly'!F1257,VLOOKUP(D1263,$D$2:$E$4,2,FALSE)))</f>
        <v>#N/A</v>
      </c>
      <c r="F1263" s="142" t="e">
        <f>IF('Informe Kelly'!H1257=$A$3,'Informe Kelly'!F1257,VLOOKUP(D1263,$D$2:$F$4,3,FALSE))-(VLOOKUP(D1263,$D$2:$F$4,3,FALSE))</f>
        <v>#N/A</v>
      </c>
      <c r="G1263" s="137" t="e">
        <f t="shared" si="23"/>
        <v>#N/A</v>
      </c>
    </row>
    <row r="1264" spans="1:7">
      <c r="A1264" s="112" t="str">
        <f>VLOOKUP('Informe Kelly'!A1258,Base!A:B,2,FALSE)</f>
        <v>12.093.228-4</v>
      </c>
      <c r="B1264" s="112" t="str">
        <f>VLOOKUP('Informe Kelly'!A1258,Base!A:G,7,FALSE)</f>
        <v>ARANCIBIA NIETO CRISTIAN</v>
      </c>
      <c r="C1264" s="112" t="str">
        <f>'Informe Kelly'!E1258</f>
        <v>07.04.2011</v>
      </c>
      <c r="D1264" s="112" t="e">
        <f>VLOOKUP(A1264,Ingreso!K:P,6,FALSE)</f>
        <v>#N/A</v>
      </c>
      <c r="E1264" s="142" t="e">
        <f>(VLOOKUP(D1264,$D$2:$E$4,2,FALSE))-(IF('Informe Kelly'!H1258=$A$2,'Informe Kelly'!F1258,VLOOKUP(D1264,$D$2:$E$4,2,FALSE)))</f>
        <v>#N/A</v>
      </c>
      <c r="F1264" s="142" t="e">
        <f>IF('Informe Kelly'!H1258=$A$3,'Informe Kelly'!F1258,VLOOKUP(D1264,$D$2:$F$4,3,FALSE))-(VLOOKUP(D1264,$D$2:$F$4,3,FALSE))</f>
        <v>#N/A</v>
      </c>
      <c r="G1264" s="137" t="e">
        <f t="shared" si="23"/>
        <v>#N/A</v>
      </c>
    </row>
    <row r="1265" spans="1:7">
      <c r="A1265" s="112" t="str">
        <f>VLOOKUP('Informe Kelly'!A1259,Base!A:B,2,FALSE)</f>
        <v>12.093.228-4</v>
      </c>
      <c r="B1265" s="112" t="str">
        <f>VLOOKUP('Informe Kelly'!A1259,Base!A:G,7,FALSE)</f>
        <v>ARANCIBIA NIETO CRISTIAN</v>
      </c>
      <c r="C1265" s="112" t="str">
        <f>'Informe Kelly'!E1259</f>
        <v>07.04.2011</v>
      </c>
      <c r="D1265" s="112" t="e">
        <f>VLOOKUP(A1265,Ingreso!K:P,6,FALSE)</f>
        <v>#N/A</v>
      </c>
      <c r="E1265" s="142" t="e">
        <f>(VLOOKUP(D1265,$D$2:$E$4,2,FALSE))-(IF('Informe Kelly'!H1259=$A$2,'Informe Kelly'!F1259,VLOOKUP(D1265,$D$2:$E$4,2,FALSE)))</f>
        <v>#N/A</v>
      </c>
      <c r="F1265" s="142" t="e">
        <f>IF('Informe Kelly'!H1259=$A$3,'Informe Kelly'!F1259,VLOOKUP(D1265,$D$2:$F$4,3,FALSE))-(VLOOKUP(D1265,$D$2:$F$4,3,FALSE))</f>
        <v>#N/A</v>
      </c>
      <c r="G1265" s="137" t="e">
        <f t="shared" si="23"/>
        <v>#N/A</v>
      </c>
    </row>
    <row r="1266" spans="1:7">
      <c r="A1266" s="112" t="str">
        <f>VLOOKUP('Informe Kelly'!A1260,Base!A:B,2,FALSE)</f>
        <v>12.093.228-4</v>
      </c>
      <c r="B1266" s="112" t="str">
        <f>VLOOKUP('Informe Kelly'!A1260,Base!A:G,7,FALSE)</f>
        <v>ARANCIBIA NIETO CRISTIAN</v>
      </c>
      <c r="C1266" s="112" t="str">
        <f>'Informe Kelly'!E1260</f>
        <v>08.04.2011</v>
      </c>
      <c r="D1266" s="112" t="e">
        <f>VLOOKUP(A1266,Ingreso!K:P,6,FALSE)</f>
        <v>#N/A</v>
      </c>
      <c r="E1266" s="142" t="e">
        <f>(VLOOKUP(D1266,$D$2:$E$4,2,FALSE))-(IF('Informe Kelly'!H1260=$A$2,'Informe Kelly'!F1260,VLOOKUP(D1266,$D$2:$E$4,2,FALSE)))</f>
        <v>#N/A</v>
      </c>
      <c r="F1266" s="142" t="e">
        <f>IF('Informe Kelly'!H1260=$A$3,'Informe Kelly'!F1260,VLOOKUP(D1266,$D$2:$F$4,3,FALSE))-(VLOOKUP(D1266,$D$2:$F$4,3,FALSE))</f>
        <v>#N/A</v>
      </c>
      <c r="G1266" s="137" t="e">
        <f t="shared" si="23"/>
        <v>#N/A</v>
      </c>
    </row>
    <row r="1267" spans="1:7">
      <c r="A1267" s="112" t="str">
        <f>VLOOKUP('Informe Kelly'!A1261,Base!A:B,2,FALSE)</f>
        <v>12.093.228-4</v>
      </c>
      <c r="B1267" s="112" t="str">
        <f>VLOOKUP('Informe Kelly'!A1261,Base!A:G,7,FALSE)</f>
        <v>ARANCIBIA NIETO CRISTIAN</v>
      </c>
      <c r="C1267" s="112" t="str">
        <f>'Informe Kelly'!E1261</f>
        <v>08.04.2011</v>
      </c>
      <c r="D1267" s="112" t="e">
        <f>VLOOKUP(A1267,Ingreso!K:P,6,FALSE)</f>
        <v>#N/A</v>
      </c>
      <c r="E1267" s="142" t="e">
        <f>(VLOOKUP(D1267,$D$2:$E$4,2,FALSE))-(IF('Informe Kelly'!H1261=$A$2,'Informe Kelly'!F1261,VLOOKUP(D1267,$D$2:$E$4,2,FALSE)))</f>
        <v>#N/A</v>
      </c>
      <c r="F1267" s="142" t="e">
        <f>IF('Informe Kelly'!H1261=$A$3,'Informe Kelly'!F1261,VLOOKUP(D1267,$D$2:$F$4,3,FALSE))-(VLOOKUP(D1267,$D$2:$F$4,3,FALSE))</f>
        <v>#N/A</v>
      </c>
      <c r="G1267" s="137" t="e">
        <f t="shared" si="23"/>
        <v>#N/A</v>
      </c>
    </row>
    <row r="1268" spans="1:7">
      <c r="A1268" s="112" t="str">
        <f>VLOOKUP('Informe Kelly'!A1262,Base!A:B,2,FALSE)</f>
        <v>12.210.109-0</v>
      </c>
      <c r="B1268" s="112" t="str">
        <f>VLOOKUP('Informe Kelly'!A1262,Base!A:G,7,FALSE)</f>
        <v>ESCOBAR RIVERA ROBERTO FERNANDO</v>
      </c>
      <c r="C1268" s="112" t="str">
        <f>'Informe Kelly'!E1262</f>
        <v>04.04.2011</v>
      </c>
      <c r="D1268" s="112" t="e">
        <f>VLOOKUP(A1268,Ingreso!K:P,6,FALSE)</f>
        <v>#N/A</v>
      </c>
      <c r="E1268" s="142" t="e">
        <f>(VLOOKUP(D1268,$D$2:$E$4,2,FALSE))-(IF('Informe Kelly'!H1262=$A$2,'Informe Kelly'!F1262,VLOOKUP(D1268,$D$2:$E$4,2,FALSE)))</f>
        <v>#N/A</v>
      </c>
      <c r="F1268" s="142" t="e">
        <f>IF('Informe Kelly'!H1262=$A$3,'Informe Kelly'!F1262,VLOOKUP(D1268,$D$2:$F$4,3,FALSE))-(VLOOKUP(D1268,$D$2:$F$4,3,FALSE))</f>
        <v>#N/A</v>
      </c>
      <c r="G1268" s="137" t="e">
        <f t="shared" si="23"/>
        <v>#N/A</v>
      </c>
    </row>
    <row r="1269" spans="1:7">
      <c r="A1269" s="112" t="str">
        <f>VLOOKUP('Informe Kelly'!A1263,Base!A:B,2,FALSE)</f>
        <v>12.210.109-0</v>
      </c>
      <c r="B1269" s="112" t="str">
        <f>VLOOKUP('Informe Kelly'!A1263,Base!A:G,7,FALSE)</f>
        <v>ESCOBAR RIVERA ROBERTO FERNANDO</v>
      </c>
      <c r="C1269" s="112" t="str">
        <f>'Informe Kelly'!E1263</f>
        <v>04.04.2011</v>
      </c>
      <c r="D1269" s="112" t="e">
        <f>VLOOKUP(A1269,Ingreso!K:P,6,FALSE)</f>
        <v>#N/A</v>
      </c>
      <c r="E1269" s="142" t="e">
        <f>(VLOOKUP(D1269,$D$2:$E$4,2,FALSE))-(IF('Informe Kelly'!H1263=$A$2,'Informe Kelly'!F1263,VLOOKUP(D1269,$D$2:$E$4,2,FALSE)))</f>
        <v>#N/A</v>
      </c>
      <c r="F1269" s="142" t="e">
        <f>IF('Informe Kelly'!H1263=$A$3,'Informe Kelly'!F1263,VLOOKUP(D1269,$D$2:$F$4,3,FALSE))-(VLOOKUP(D1269,$D$2:$F$4,3,FALSE))</f>
        <v>#N/A</v>
      </c>
      <c r="G1269" s="137" t="e">
        <f t="shared" si="23"/>
        <v>#N/A</v>
      </c>
    </row>
    <row r="1270" spans="1:7">
      <c r="A1270" s="112" t="str">
        <f>VLOOKUP('Informe Kelly'!A1264,Base!A:B,2,FALSE)</f>
        <v>12.210.109-0</v>
      </c>
      <c r="B1270" s="112" t="str">
        <f>VLOOKUP('Informe Kelly'!A1264,Base!A:G,7,FALSE)</f>
        <v>ESCOBAR RIVERA ROBERTO FERNANDO</v>
      </c>
      <c r="C1270" s="112" t="str">
        <f>'Informe Kelly'!E1264</f>
        <v>05.04.2011</v>
      </c>
      <c r="D1270" s="112" t="e">
        <f>VLOOKUP(A1270,Ingreso!K:P,6,FALSE)</f>
        <v>#N/A</v>
      </c>
      <c r="E1270" s="142" t="e">
        <f>(VLOOKUP(D1270,$D$2:$E$4,2,FALSE))-(IF('Informe Kelly'!H1264=$A$2,'Informe Kelly'!F1264,VLOOKUP(D1270,$D$2:$E$4,2,FALSE)))</f>
        <v>#N/A</v>
      </c>
      <c r="F1270" s="142" t="e">
        <f>IF('Informe Kelly'!H1264=$A$3,'Informe Kelly'!F1264,VLOOKUP(D1270,$D$2:$F$4,3,FALSE))-(VLOOKUP(D1270,$D$2:$F$4,3,FALSE))</f>
        <v>#N/A</v>
      </c>
      <c r="G1270" s="137" t="e">
        <f t="shared" si="23"/>
        <v>#N/A</v>
      </c>
    </row>
    <row r="1271" spans="1:7">
      <c r="A1271" s="112" t="str">
        <f>VLOOKUP('Informe Kelly'!A1265,Base!A:B,2,FALSE)</f>
        <v>12.210.109-0</v>
      </c>
      <c r="B1271" s="112" t="str">
        <f>VLOOKUP('Informe Kelly'!A1265,Base!A:G,7,FALSE)</f>
        <v>ESCOBAR RIVERA ROBERTO FERNANDO</v>
      </c>
      <c r="C1271" s="112" t="str">
        <f>'Informe Kelly'!E1265</f>
        <v>05.04.2011</v>
      </c>
      <c r="D1271" s="112" t="e">
        <f>VLOOKUP(A1271,Ingreso!K:P,6,FALSE)</f>
        <v>#N/A</v>
      </c>
      <c r="E1271" s="142" t="e">
        <f>(VLOOKUP(D1271,$D$2:$E$4,2,FALSE))-(IF('Informe Kelly'!H1265=$A$2,'Informe Kelly'!F1265,VLOOKUP(D1271,$D$2:$E$4,2,FALSE)))</f>
        <v>#N/A</v>
      </c>
      <c r="F1271" s="142" t="e">
        <f>IF('Informe Kelly'!H1265=$A$3,'Informe Kelly'!F1265,VLOOKUP(D1271,$D$2:$F$4,3,FALSE))-(VLOOKUP(D1271,$D$2:$F$4,3,FALSE))</f>
        <v>#N/A</v>
      </c>
      <c r="G1271" s="137" t="e">
        <f t="shared" si="23"/>
        <v>#N/A</v>
      </c>
    </row>
    <row r="1272" spans="1:7">
      <c r="A1272" s="112" t="str">
        <f>VLOOKUP('Informe Kelly'!A1266,Base!A:B,2,FALSE)</f>
        <v>12.210.109-0</v>
      </c>
      <c r="B1272" s="112" t="str">
        <f>VLOOKUP('Informe Kelly'!A1266,Base!A:G,7,FALSE)</f>
        <v>ESCOBAR RIVERA ROBERTO FERNANDO</v>
      </c>
      <c r="C1272" s="112" t="str">
        <f>'Informe Kelly'!E1266</f>
        <v>06.04.2011</v>
      </c>
      <c r="D1272" s="112" t="e">
        <f>VLOOKUP(A1272,Ingreso!K:P,6,FALSE)</f>
        <v>#N/A</v>
      </c>
      <c r="E1272" s="142" t="e">
        <f>(VLOOKUP(D1272,$D$2:$E$4,2,FALSE))-(IF('Informe Kelly'!H1266=$A$2,'Informe Kelly'!F1266,VLOOKUP(D1272,$D$2:$E$4,2,FALSE)))</f>
        <v>#N/A</v>
      </c>
      <c r="F1272" s="142" t="e">
        <f>IF('Informe Kelly'!H1266=$A$3,'Informe Kelly'!F1266,VLOOKUP(D1272,$D$2:$F$4,3,FALSE))-(VLOOKUP(D1272,$D$2:$F$4,3,FALSE))</f>
        <v>#N/A</v>
      </c>
      <c r="G1272" s="137" t="e">
        <f t="shared" si="23"/>
        <v>#N/A</v>
      </c>
    </row>
    <row r="1273" spans="1:7">
      <c r="A1273" s="112" t="str">
        <f>VLOOKUP('Informe Kelly'!A1267,Base!A:B,2,FALSE)</f>
        <v>12.210.109-0</v>
      </c>
      <c r="B1273" s="112" t="str">
        <f>VLOOKUP('Informe Kelly'!A1267,Base!A:G,7,FALSE)</f>
        <v>ESCOBAR RIVERA ROBERTO FERNANDO</v>
      </c>
      <c r="C1273" s="112" t="str">
        <f>'Informe Kelly'!E1267</f>
        <v>06.04.2011</v>
      </c>
      <c r="D1273" s="112" t="e">
        <f>VLOOKUP(A1273,Ingreso!K:P,6,FALSE)</f>
        <v>#N/A</v>
      </c>
      <c r="E1273" s="142" t="e">
        <f>(VLOOKUP(D1273,$D$2:$E$4,2,FALSE))-(IF('Informe Kelly'!H1267=$A$2,'Informe Kelly'!F1267,VLOOKUP(D1273,$D$2:$E$4,2,FALSE)))</f>
        <v>#N/A</v>
      </c>
      <c r="F1273" s="142" t="e">
        <f>IF('Informe Kelly'!H1267=$A$3,'Informe Kelly'!F1267,VLOOKUP(D1273,$D$2:$F$4,3,FALSE))-(VLOOKUP(D1273,$D$2:$F$4,3,FALSE))</f>
        <v>#N/A</v>
      </c>
      <c r="G1273" s="137" t="e">
        <f t="shared" si="23"/>
        <v>#N/A</v>
      </c>
    </row>
    <row r="1274" spans="1:7">
      <c r="A1274" s="112" t="str">
        <f>VLOOKUP('Informe Kelly'!A1268,Base!A:B,2,FALSE)</f>
        <v>12.210.109-0</v>
      </c>
      <c r="B1274" s="112" t="str">
        <f>VLOOKUP('Informe Kelly'!A1268,Base!A:G,7,FALSE)</f>
        <v>ESCOBAR RIVERA ROBERTO FERNANDO</v>
      </c>
      <c r="C1274" s="112" t="str">
        <f>'Informe Kelly'!E1268</f>
        <v>07.04.2011</v>
      </c>
      <c r="D1274" s="112" t="e">
        <f>VLOOKUP(A1274,Ingreso!K:P,6,FALSE)</f>
        <v>#N/A</v>
      </c>
      <c r="E1274" s="142" t="e">
        <f>(VLOOKUP(D1274,$D$2:$E$4,2,FALSE))-(IF('Informe Kelly'!H1268=$A$2,'Informe Kelly'!F1268,VLOOKUP(D1274,$D$2:$E$4,2,FALSE)))</f>
        <v>#N/A</v>
      </c>
      <c r="F1274" s="142" t="e">
        <f>IF('Informe Kelly'!H1268=$A$3,'Informe Kelly'!F1268,VLOOKUP(D1274,$D$2:$F$4,3,FALSE))-(VLOOKUP(D1274,$D$2:$F$4,3,FALSE))</f>
        <v>#N/A</v>
      </c>
      <c r="G1274" s="137" t="e">
        <f t="shared" si="23"/>
        <v>#N/A</v>
      </c>
    </row>
    <row r="1275" spans="1:7">
      <c r="A1275" s="112" t="str">
        <f>VLOOKUP('Informe Kelly'!A1269,Base!A:B,2,FALSE)</f>
        <v>12.210.109-0</v>
      </c>
      <c r="B1275" s="112" t="str">
        <f>VLOOKUP('Informe Kelly'!A1269,Base!A:G,7,FALSE)</f>
        <v>ESCOBAR RIVERA ROBERTO FERNANDO</v>
      </c>
      <c r="C1275" s="112" t="str">
        <f>'Informe Kelly'!E1269</f>
        <v>07.04.2011</v>
      </c>
      <c r="D1275" s="112" t="e">
        <f>VLOOKUP(A1275,Ingreso!K:P,6,FALSE)</f>
        <v>#N/A</v>
      </c>
      <c r="E1275" s="142" t="e">
        <f>(VLOOKUP(D1275,$D$2:$E$4,2,FALSE))-(IF('Informe Kelly'!H1269=$A$2,'Informe Kelly'!F1269,VLOOKUP(D1275,$D$2:$E$4,2,FALSE)))</f>
        <v>#N/A</v>
      </c>
      <c r="F1275" s="142" t="e">
        <f>IF('Informe Kelly'!H1269=$A$3,'Informe Kelly'!F1269,VLOOKUP(D1275,$D$2:$F$4,3,FALSE))-(VLOOKUP(D1275,$D$2:$F$4,3,FALSE))</f>
        <v>#N/A</v>
      </c>
      <c r="G1275" s="137" t="e">
        <f t="shared" si="23"/>
        <v>#N/A</v>
      </c>
    </row>
    <row r="1276" spans="1:7">
      <c r="A1276" s="112" t="str">
        <f>VLOOKUP('Informe Kelly'!A1270,Base!A:B,2,FALSE)</f>
        <v>12.210.109-0</v>
      </c>
      <c r="B1276" s="112" t="str">
        <f>VLOOKUP('Informe Kelly'!A1270,Base!A:G,7,FALSE)</f>
        <v>ESCOBAR RIVERA ROBERTO FERNANDO</v>
      </c>
      <c r="C1276" s="112" t="str">
        <f>'Informe Kelly'!E1270</f>
        <v>08.04.2011</v>
      </c>
      <c r="D1276" s="112" t="e">
        <f>VLOOKUP(A1276,Ingreso!K:P,6,FALSE)</f>
        <v>#N/A</v>
      </c>
      <c r="E1276" s="142" t="e">
        <f>(VLOOKUP(D1276,$D$2:$E$4,2,FALSE))-(IF('Informe Kelly'!H1270=$A$2,'Informe Kelly'!F1270,VLOOKUP(D1276,$D$2:$E$4,2,FALSE)))</f>
        <v>#N/A</v>
      </c>
      <c r="F1276" s="142" t="e">
        <f>IF('Informe Kelly'!H1270=$A$3,'Informe Kelly'!F1270,VLOOKUP(D1276,$D$2:$F$4,3,FALSE))-(VLOOKUP(D1276,$D$2:$F$4,3,FALSE))</f>
        <v>#N/A</v>
      </c>
      <c r="G1276" s="137" t="e">
        <f t="shared" si="23"/>
        <v>#N/A</v>
      </c>
    </row>
    <row r="1277" spans="1:7">
      <c r="A1277" s="112" t="str">
        <f>VLOOKUP('Informe Kelly'!A1271,Base!A:B,2,FALSE)</f>
        <v>12.210.109-0</v>
      </c>
      <c r="B1277" s="112" t="str">
        <f>VLOOKUP('Informe Kelly'!A1271,Base!A:G,7,FALSE)</f>
        <v>ESCOBAR RIVERA ROBERTO FERNANDO</v>
      </c>
      <c r="C1277" s="112" t="str">
        <f>'Informe Kelly'!E1271</f>
        <v>08.04.2011</v>
      </c>
      <c r="D1277" s="112" t="e">
        <f>VLOOKUP(A1277,Ingreso!K:P,6,FALSE)</f>
        <v>#N/A</v>
      </c>
      <c r="E1277" s="142" t="e">
        <f>(VLOOKUP(D1277,$D$2:$E$4,2,FALSE))-(IF('Informe Kelly'!H1271=$A$2,'Informe Kelly'!F1271,VLOOKUP(D1277,$D$2:$E$4,2,FALSE)))</f>
        <v>#N/A</v>
      </c>
      <c r="F1277" s="142" t="e">
        <f>IF('Informe Kelly'!H1271=$A$3,'Informe Kelly'!F1271,VLOOKUP(D1277,$D$2:$F$4,3,FALSE))-(VLOOKUP(D1277,$D$2:$F$4,3,FALSE))</f>
        <v>#N/A</v>
      </c>
      <c r="G1277" s="137" t="e">
        <f t="shared" si="23"/>
        <v>#N/A</v>
      </c>
    </row>
    <row r="1278" spans="1:7">
      <c r="A1278" s="112" t="str">
        <f>VLOOKUP('Informe Kelly'!A1272,Base!A:B,2,FALSE)</f>
        <v>12.210.109-0</v>
      </c>
      <c r="B1278" s="112" t="str">
        <f>VLOOKUP('Informe Kelly'!A1272,Base!A:G,7,FALSE)</f>
        <v>ESCOBAR RIVERA ROBERTO FERNANDO</v>
      </c>
      <c r="C1278" s="112" t="str">
        <f>'Informe Kelly'!E1272</f>
        <v>09.04.2011</v>
      </c>
      <c r="D1278" s="112" t="e">
        <f>VLOOKUP(A1278,Ingreso!K:P,6,FALSE)</f>
        <v>#N/A</v>
      </c>
      <c r="E1278" s="142" t="e">
        <f>(VLOOKUP(D1278,$D$2:$E$4,2,FALSE))-(IF('Informe Kelly'!H1272=$A$2,'Informe Kelly'!F1272,VLOOKUP(D1278,$D$2:$E$4,2,FALSE)))</f>
        <v>#N/A</v>
      </c>
      <c r="F1278" s="142" t="e">
        <f>IF('Informe Kelly'!H1272=$A$3,'Informe Kelly'!F1272,VLOOKUP(D1278,$D$2:$F$4,3,FALSE))-(VLOOKUP(D1278,$D$2:$F$4,3,FALSE))</f>
        <v>#N/A</v>
      </c>
      <c r="G1278" s="137" t="e">
        <f t="shared" si="23"/>
        <v>#N/A</v>
      </c>
    </row>
    <row r="1279" spans="1:7">
      <c r="A1279" s="112" t="str">
        <f>VLOOKUP('Informe Kelly'!A1273,Base!A:B,2,FALSE)</f>
        <v>12.210.109-0</v>
      </c>
      <c r="B1279" s="112" t="str">
        <f>VLOOKUP('Informe Kelly'!A1273,Base!A:G,7,FALSE)</f>
        <v>ESCOBAR RIVERA ROBERTO FERNANDO</v>
      </c>
      <c r="C1279" s="112" t="str">
        <f>'Informe Kelly'!E1273</f>
        <v>09.04.2011</v>
      </c>
      <c r="D1279" s="112" t="e">
        <f>VLOOKUP(A1279,Ingreso!K:P,6,FALSE)</f>
        <v>#N/A</v>
      </c>
      <c r="E1279" s="142" t="e">
        <f>(VLOOKUP(D1279,$D$2:$E$4,2,FALSE))-(IF('Informe Kelly'!H1273=$A$2,'Informe Kelly'!F1273,VLOOKUP(D1279,$D$2:$E$4,2,FALSE)))</f>
        <v>#N/A</v>
      </c>
      <c r="F1279" s="142" t="e">
        <f>IF('Informe Kelly'!H1273=$A$3,'Informe Kelly'!F1273,VLOOKUP(D1279,$D$2:$F$4,3,FALSE))-(VLOOKUP(D1279,$D$2:$F$4,3,FALSE))</f>
        <v>#N/A</v>
      </c>
      <c r="G1279" s="137" t="e">
        <f t="shared" si="23"/>
        <v>#N/A</v>
      </c>
    </row>
    <row r="1280" spans="1:7">
      <c r="A1280" s="112" t="str">
        <f>VLOOKUP('Informe Kelly'!A1274,Base!A:B,2,FALSE)</f>
        <v>12.392.999-3</v>
      </c>
      <c r="B1280" s="112" t="str">
        <f>VLOOKUP('Informe Kelly'!A1274,Base!A:G,7,FALSE)</f>
        <v>TAPIA  CANTILLANA,CARLOS</v>
      </c>
      <c r="C1280" s="112" t="str">
        <f>'Informe Kelly'!E1274</f>
        <v>04.04.2011</v>
      </c>
      <c r="D1280" s="112" t="e">
        <f>VLOOKUP(A1280,Ingreso!K:P,6,FALSE)</f>
        <v>#N/A</v>
      </c>
      <c r="E1280" s="142" t="e">
        <f>(VLOOKUP(D1280,$D$2:$E$4,2,FALSE))-(IF('Informe Kelly'!H1274=$A$2,'Informe Kelly'!F1274,VLOOKUP(D1280,$D$2:$E$4,2,FALSE)))</f>
        <v>#N/A</v>
      </c>
      <c r="F1280" s="142" t="e">
        <f>IF('Informe Kelly'!H1274=$A$3,'Informe Kelly'!F1274,VLOOKUP(D1280,$D$2:$F$4,3,FALSE))-(VLOOKUP(D1280,$D$2:$F$4,3,FALSE))</f>
        <v>#N/A</v>
      </c>
      <c r="G1280" s="137" t="e">
        <f t="shared" si="23"/>
        <v>#N/A</v>
      </c>
    </row>
    <row r="1281" spans="1:7">
      <c r="A1281" s="112" t="str">
        <f>VLOOKUP('Informe Kelly'!A1275,Base!A:B,2,FALSE)</f>
        <v>12.392.999-3</v>
      </c>
      <c r="B1281" s="112" t="str">
        <f>VLOOKUP('Informe Kelly'!A1275,Base!A:G,7,FALSE)</f>
        <v>TAPIA  CANTILLANA,CARLOS</v>
      </c>
      <c r="C1281" s="112" t="str">
        <f>'Informe Kelly'!E1275</f>
        <v>04.04.2011</v>
      </c>
      <c r="D1281" s="112" t="e">
        <f>VLOOKUP(A1281,Ingreso!K:P,6,FALSE)</f>
        <v>#N/A</v>
      </c>
      <c r="E1281" s="142" t="e">
        <f>(VLOOKUP(D1281,$D$2:$E$4,2,FALSE))-(IF('Informe Kelly'!H1275=$A$2,'Informe Kelly'!F1275,VLOOKUP(D1281,$D$2:$E$4,2,FALSE)))</f>
        <v>#N/A</v>
      </c>
      <c r="F1281" s="142" t="e">
        <f>IF('Informe Kelly'!H1275=$A$3,'Informe Kelly'!F1275,VLOOKUP(D1281,$D$2:$F$4,3,FALSE))-(VLOOKUP(D1281,$D$2:$F$4,3,FALSE))</f>
        <v>#N/A</v>
      </c>
      <c r="G1281" s="137" t="e">
        <f t="shared" si="23"/>
        <v>#N/A</v>
      </c>
    </row>
    <row r="1282" spans="1:7">
      <c r="A1282" s="112" t="str">
        <f>VLOOKUP('Informe Kelly'!A1276,Base!A:B,2,FALSE)</f>
        <v>12.392.999-3</v>
      </c>
      <c r="B1282" s="112" t="str">
        <f>VLOOKUP('Informe Kelly'!A1276,Base!A:G,7,FALSE)</f>
        <v>TAPIA  CANTILLANA,CARLOS</v>
      </c>
      <c r="C1282" s="112" t="str">
        <f>'Informe Kelly'!E1276</f>
        <v>05.04.2011</v>
      </c>
      <c r="D1282" s="112" t="e">
        <f>VLOOKUP(A1282,Ingreso!K:P,6,FALSE)</f>
        <v>#N/A</v>
      </c>
      <c r="E1282" s="142" t="e">
        <f>(VLOOKUP(D1282,$D$2:$E$4,2,FALSE))-(IF('Informe Kelly'!H1276=$A$2,'Informe Kelly'!F1276,VLOOKUP(D1282,$D$2:$E$4,2,FALSE)))</f>
        <v>#N/A</v>
      </c>
      <c r="F1282" s="142" t="e">
        <f>IF('Informe Kelly'!H1276=$A$3,'Informe Kelly'!F1276,VLOOKUP(D1282,$D$2:$F$4,3,FALSE))-(VLOOKUP(D1282,$D$2:$F$4,3,FALSE))</f>
        <v>#N/A</v>
      </c>
      <c r="G1282" s="137" t="e">
        <f t="shared" si="23"/>
        <v>#N/A</v>
      </c>
    </row>
    <row r="1283" spans="1:7">
      <c r="A1283" s="112" t="str">
        <f>VLOOKUP('Informe Kelly'!A1277,Base!A:B,2,FALSE)</f>
        <v>12.392.999-3</v>
      </c>
      <c r="B1283" s="112" t="str">
        <f>VLOOKUP('Informe Kelly'!A1277,Base!A:G,7,FALSE)</f>
        <v>TAPIA  CANTILLANA,CARLOS</v>
      </c>
      <c r="C1283" s="112" t="str">
        <f>'Informe Kelly'!E1277</f>
        <v>05.04.2011</v>
      </c>
      <c r="D1283" s="112" t="e">
        <f>VLOOKUP(A1283,Ingreso!K:P,6,FALSE)</f>
        <v>#N/A</v>
      </c>
      <c r="E1283" s="142" t="e">
        <f>(VLOOKUP(D1283,$D$2:$E$4,2,FALSE))-(IF('Informe Kelly'!H1277=$A$2,'Informe Kelly'!F1277,VLOOKUP(D1283,$D$2:$E$4,2,FALSE)))</f>
        <v>#N/A</v>
      </c>
      <c r="F1283" s="142" t="e">
        <f>IF('Informe Kelly'!H1277=$A$3,'Informe Kelly'!F1277,VLOOKUP(D1283,$D$2:$F$4,3,FALSE))-(VLOOKUP(D1283,$D$2:$F$4,3,FALSE))</f>
        <v>#N/A</v>
      </c>
      <c r="G1283" s="137" t="e">
        <f t="shared" si="23"/>
        <v>#N/A</v>
      </c>
    </row>
    <row r="1284" spans="1:7">
      <c r="A1284" s="112" t="str">
        <f>VLOOKUP('Informe Kelly'!A1278,Base!A:B,2,FALSE)</f>
        <v>12.392.999-3</v>
      </c>
      <c r="B1284" s="112" t="str">
        <f>VLOOKUP('Informe Kelly'!A1278,Base!A:G,7,FALSE)</f>
        <v>TAPIA  CANTILLANA,CARLOS</v>
      </c>
      <c r="C1284" s="112" t="str">
        <f>'Informe Kelly'!E1278</f>
        <v>06.04.2011</v>
      </c>
      <c r="D1284" s="112" t="e">
        <f>VLOOKUP(A1284,Ingreso!K:P,6,FALSE)</f>
        <v>#N/A</v>
      </c>
      <c r="E1284" s="142" t="e">
        <f>(VLOOKUP(D1284,$D$2:$E$4,2,FALSE))-(IF('Informe Kelly'!H1278=$A$2,'Informe Kelly'!F1278,VLOOKUP(D1284,$D$2:$E$4,2,FALSE)))</f>
        <v>#N/A</v>
      </c>
      <c r="F1284" s="142" t="e">
        <f>IF('Informe Kelly'!H1278=$A$3,'Informe Kelly'!F1278,VLOOKUP(D1284,$D$2:$F$4,3,FALSE))-(VLOOKUP(D1284,$D$2:$F$4,3,FALSE))</f>
        <v>#N/A</v>
      </c>
      <c r="G1284" s="137" t="e">
        <f t="shared" si="23"/>
        <v>#N/A</v>
      </c>
    </row>
    <row r="1285" spans="1:7">
      <c r="A1285" s="112" t="str">
        <f>VLOOKUP('Informe Kelly'!A1279,Base!A:B,2,FALSE)</f>
        <v>12.392.999-3</v>
      </c>
      <c r="B1285" s="112" t="str">
        <f>VLOOKUP('Informe Kelly'!A1279,Base!A:G,7,FALSE)</f>
        <v>TAPIA  CANTILLANA,CARLOS</v>
      </c>
      <c r="C1285" s="112" t="str">
        <f>'Informe Kelly'!E1279</f>
        <v>06.04.2011</v>
      </c>
      <c r="D1285" s="112" t="e">
        <f>VLOOKUP(A1285,Ingreso!K:P,6,FALSE)</f>
        <v>#N/A</v>
      </c>
      <c r="E1285" s="142" t="e">
        <f>(VLOOKUP(D1285,$D$2:$E$4,2,FALSE))-(IF('Informe Kelly'!H1279=$A$2,'Informe Kelly'!F1279,VLOOKUP(D1285,$D$2:$E$4,2,FALSE)))</f>
        <v>#N/A</v>
      </c>
      <c r="F1285" s="142" t="e">
        <f>IF('Informe Kelly'!H1279=$A$3,'Informe Kelly'!F1279,VLOOKUP(D1285,$D$2:$F$4,3,FALSE))-(VLOOKUP(D1285,$D$2:$F$4,3,FALSE))</f>
        <v>#N/A</v>
      </c>
      <c r="G1285" s="137" t="e">
        <f t="shared" si="23"/>
        <v>#N/A</v>
      </c>
    </row>
    <row r="1286" spans="1:7">
      <c r="A1286" s="112" t="str">
        <f>VLOOKUP('Informe Kelly'!A1280,Base!A:B,2,FALSE)</f>
        <v>12.392.999-3</v>
      </c>
      <c r="B1286" s="112" t="str">
        <f>VLOOKUP('Informe Kelly'!A1280,Base!A:G,7,FALSE)</f>
        <v>TAPIA  CANTILLANA,CARLOS</v>
      </c>
      <c r="C1286" s="112" t="str">
        <f>'Informe Kelly'!E1280</f>
        <v>07.04.2011</v>
      </c>
      <c r="D1286" s="112" t="e">
        <f>VLOOKUP(A1286,Ingreso!K:P,6,FALSE)</f>
        <v>#N/A</v>
      </c>
      <c r="E1286" s="142" t="e">
        <f>(VLOOKUP(D1286,$D$2:$E$4,2,FALSE))-(IF('Informe Kelly'!H1280=$A$2,'Informe Kelly'!F1280,VLOOKUP(D1286,$D$2:$E$4,2,FALSE)))</f>
        <v>#N/A</v>
      </c>
      <c r="F1286" s="142" t="e">
        <f>IF('Informe Kelly'!H1280=$A$3,'Informe Kelly'!F1280,VLOOKUP(D1286,$D$2:$F$4,3,FALSE))-(VLOOKUP(D1286,$D$2:$F$4,3,FALSE))</f>
        <v>#N/A</v>
      </c>
      <c r="G1286" s="137" t="e">
        <f t="shared" si="23"/>
        <v>#N/A</v>
      </c>
    </row>
    <row r="1287" spans="1:7">
      <c r="A1287" s="112" t="str">
        <f>VLOOKUP('Informe Kelly'!A1281,Base!A:B,2,FALSE)</f>
        <v>12.392.999-3</v>
      </c>
      <c r="B1287" s="112" t="str">
        <f>VLOOKUP('Informe Kelly'!A1281,Base!A:G,7,FALSE)</f>
        <v>TAPIA  CANTILLANA,CARLOS</v>
      </c>
      <c r="C1287" s="112" t="str">
        <f>'Informe Kelly'!E1281</f>
        <v>07.04.2011</v>
      </c>
      <c r="D1287" s="112" t="e">
        <f>VLOOKUP(A1287,Ingreso!K:P,6,FALSE)</f>
        <v>#N/A</v>
      </c>
      <c r="E1287" s="142" t="e">
        <f>(VLOOKUP(D1287,$D$2:$E$4,2,FALSE))-(IF('Informe Kelly'!H1281=$A$2,'Informe Kelly'!F1281,VLOOKUP(D1287,$D$2:$E$4,2,FALSE)))</f>
        <v>#N/A</v>
      </c>
      <c r="F1287" s="142" t="e">
        <f>IF('Informe Kelly'!H1281=$A$3,'Informe Kelly'!F1281,VLOOKUP(D1287,$D$2:$F$4,3,FALSE))-(VLOOKUP(D1287,$D$2:$F$4,3,FALSE))</f>
        <v>#N/A</v>
      </c>
      <c r="G1287" s="137" t="e">
        <f t="shared" si="23"/>
        <v>#N/A</v>
      </c>
    </row>
    <row r="1288" spans="1:7">
      <c r="A1288" s="112" t="str">
        <f>VLOOKUP('Informe Kelly'!A1282,Base!A:B,2,FALSE)</f>
        <v>12.410.690-7</v>
      </c>
      <c r="B1288" s="112" t="str">
        <f>VLOOKUP('Informe Kelly'!A1282,Base!A:G,7,FALSE)</f>
        <v>CARRASCO CID ANDRES SIMON</v>
      </c>
      <c r="C1288" s="112" t="str">
        <f>'Informe Kelly'!E1282</f>
        <v>04.04.2011</v>
      </c>
      <c r="D1288" s="112" t="e">
        <f>VLOOKUP(A1288,Ingreso!K:P,6,FALSE)</f>
        <v>#N/A</v>
      </c>
      <c r="E1288" s="142" t="e">
        <f>(VLOOKUP(D1288,$D$2:$E$4,2,FALSE))-(IF('Informe Kelly'!H1282=$A$2,'Informe Kelly'!F1282,VLOOKUP(D1288,$D$2:$E$4,2,FALSE)))</f>
        <v>#N/A</v>
      </c>
      <c r="F1288" s="142" t="e">
        <f>IF('Informe Kelly'!H1282=$A$3,'Informe Kelly'!F1282,VLOOKUP(D1288,$D$2:$F$4,3,FALSE))-(VLOOKUP(D1288,$D$2:$F$4,3,FALSE))</f>
        <v>#N/A</v>
      </c>
      <c r="G1288" s="137" t="e">
        <f t="shared" si="23"/>
        <v>#N/A</v>
      </c>
    </row>
    <row r="1289" spans="1:7">
      <c r="A1289" s="112" t="str">
        <f>VLOOKUP('Informe Kelly'!A1283,Base!A:B,2,FALSE)</f>
        <v>12.410.690-7</v>
      </c>
      <c r="B1289" s="112" t="str">
        <f>VLOOKUP('Informe Kelly'!A1283,Base!A:G,7,FALSE)</f>
        <v>CARRASCO CID ANDRES SIMON</v>
      </c>
      <c r="C1289" s="112" t="str">
        <f>'Informe Kelly'!E1283</f>
        <v>05.04.2011</v>
      </c>
      <c r="D1289" s="112" t="e">
        <f>VLOOKUP(A1289,Ingreso!K:P,6,FALSE)</f>
        <v>#N/A</v>
      </c>
      <c r="E1289" s="142" t="e">
        <f>(VLOOKUP(D1289,$D$2:$E$4,2,FALSE))-(IF('Informe Kelly'!H1283=$A$2,'Informe Kelly'!F1283,VLOOKUP(D1289,$D$2:$E$4,2,FALSE)))</f>
        <v>#N/A</v>
      </c>
      <c r="F1289" s="142" t="e">
        <f>IF('Informe Kelly'!H1283=$A$3,'Informe Kelly'!F1283,VLOOKUP(D1289,$D$2:$F$4,3,FALSE))-(VLOOKUP(D1289,$D$2:$F$4,3,FALSE))</f>
        <v>#N/A</v>
      </c>
      <c r="G1289" s="137" t="e">
        <f t="shared" ref="G1289:G1352" si="24">IF(E1289="",IF(F1289&lt;0.0409722222222222,0,E1289),IF(E1289&lt;0.0409722222222222,0,E1289))</f>
        <v>#N/A</v>
      </c>
    </row>
    <row r="1290" spans="1:7">
      <c r="A1290" s="112" t="str">
        <f>VLOOKUP('Informe Kelly'!A1284,Base!A:B,2,FALSE)</f>
        <v>12.410.690-7</v>
      </c>
      <c r="B1290" s="112" t="str">
        <f>VLOOKUP('Informe Kelly'!A1284,Base!A:G,7,FALSE)</f>
        <v>CARRASCO CID ANDRES SIMON</v>
      </c>
      <c r="C1290" s="112" t="str">
        <f>'Informe Kelly'!E1284</f>
        <v>06.04.2011</v>
      </c>
      <c r="D1290" s="112" t="e">
        <f>VLOOKUP(A1290,Ingreso!K:P,6,FALSE)</f>
        <v>#N/A</v>
      </c>
      <c r="E1290" s="142" t="e">
        <f>(VLOOKUP(D1290,$D$2:$E$4,2,FALSE))-(IF('Informe Kelly'!H1284=$A$2,'Informe Kelly'!F1284,VLOOKUP(D1290,$D$2:$E$4,2,FALSE)))</f>
        <v>#N/A</v>
      </c>
      <c r="F1290" s="142" t="e">
        <f>IF('Informe Kelly'!H1284=$A$3,'Informe Kelly'!F1284,VLOOKUP(D1290,$D$2:$F$4,3,FALSE))-(VLOOKUP(D1290,$D$2:$F$4,3,FALSE))</f>
        <v>#N/A</v>
      </c>
      <c r="G1290" s="137" t="e">
        <f t="shared" si="24"/>
        <v>#N/A</v>
      </c>
    </row>
    <row r="1291" spans="1:7">
      <c r="A1291" s="112" t="str">
        <f>VLOOKUP('Informe Kelly'!A1285,Base!A:B,2,FALSE)</f>
        <v>12.410.690-7</v>
      </c>
      <c r="B1291" s="112" t="str">
        <f>VLOOKUP('Informe Kelly'!A1285,Base!A:G,7,FALSE)</f>
        <v>CARRASCO CID ANDRES SIMON</v>
      </c>
      <c r="C1291" s="112" t="str">
        <f>'Informe Kelly'!E1285</f>
        <v>06.04.2011</v>
      </c>
      <c r="D1291" s="112" t="e">
        <f>VLOOKUP(A1291,Ingreso!K:P,6,FALSE)</f>
        <v>#N/A</v>
      </c>
      <c r="E1291" s="142" t="e">
        <f>(VLOOKUP(D1291,$D$2:$E$4,2,FALSE))-(IF('Informe Kelly'!H1285=$A$2,'Informe Kelly'!F1285,VLOOKUP(D1291,$D$2:$E$4,2,FALSE)))</f>
        <v>#N/A</v>
      </c>
      <c r="F1291" s="142" t="e">
        <f>IF('Informe Kelly'!H1285=$A$3,'Informe Kelly'!F1285,VLOOKUP(D1291,$D$2:$F$4,3,FALSE))-(VLOOKUP(D1291,$D$2:$F$4,3,FALSE))</f>
        <v>#N/A</v>
      </c>
      <c r="G1291" s="137" t="e">
        <f t="shared" si="24"/>
        <v>#N/A</v>
      </c>
    </row>
    <row r="1292" spans="1:7">
      <c r="A1292" s="112" t="str">
        <f>VLOOKUP('Informe Kelly'!A1286,Base!A:B,2,FALSE)</f>
        <v>12.410.690-7</v>
      </c>
      <c r="B1292" s="112" t="str">
        <f>VLOOKUP('Informe Kelly'!A1286,Base!A:G,7,FALSE)</f>
        <v>CARRASCO CID ANDRES SIMON</v>
      </c>
      <c r="C1292" s="112" t="str">
        <f>'Informe Kelly'!E1286</f>
        <v>06.04.2011</v>
      </c>
      <c r="D1292" s="112" t="e">
        <f>VLOOKUP(A1292,Ingreso!K:P,6,FALSE)</f>
        <v>#N/A</v>
      </c>
      <c r="E1292" s="142" t="e">
        <f>(VLOOKUP(D1292,$D$2:$E$4,2,FALSE))-(IF('Informe Kelly'!H1286=$A$2,'Informe Kelly'!F1286,VLOOKUP(D1292,$D$2:$E$4,2,FALSE)))</f>
        <v>#N/A</v>
      </c>
      <c r="F1292" s="142" t="e">
        <f>IF('Informe Kelly'!H1286=$A$3,'Informe Kelly'!F1286,VLOOKUP(D1292,$D$2:$F$4,3,FALSE))-(VLOOKUP(D1292,$D$2:$F$4,3,FALSE))</f>
        <v>#N/A</v>
      </c>
      <c r="G1292" s="137" t="e">
        <f t="shared" si="24"/>
        <v>#N/A</v>
      </c>
    </row>
    <row r="1293" spans="1:7">
      <c r="A1293" s="112" t="str">
        <f>VLOOKUP('Informe Kelly'!A1287,Base!A:B,2,FALSE)</f>
        <v>12.410.690-7</v>
      </c>
      <c r="B1293" s="112" t="str">
        <f>VLOOKUP('Informe Kelly'!A1287,Base!A:G,7,FALSE)</f>
        <v>CARRASCO CID ANDRES SIMON</v>
      </c>
      <c r="C1293" s="112" t="str">
        <f>'Informe Kelly'!E1287</f>
        <v>07.04.2011</v>
      </c>
      <c r="D1293" s="112" t="e">
        <f>VLOOKUP(A1293,Ingreso!K:P,6,FALSE)</f>
        <v>#N/A</v>
      </c>
      <c r="E1293" s="142" t="e">
        <f>(VLOOKUP(D1293,$D$2:$E$4,2,FALSE))-(IF('Informe Kelly'!H1287=$A$2,'Informe Kelly'!F1287,VLOOKUP(D1293,$D$2:$E$4,2,FALSE)))</f>
        <v>#N/A</v>
      </c>
      <c r="F1293" s="142" t="e">
        <f>IF('Informe Kelly'!H1287=$A$3,'Informe Kelly'!F1287,VLOOKUP(D1293,$D$2:$F$4,3,FALSE))-(VLOOKUP(D1293,$D$2:$F$4,3,FALSE))</f>
        <v>#N/A</v>
      </c>
      <c r="G1293" s="137" t="e">
        <f t="shared" si="24"/>
        <v>#N/A</v>
      </c>
    </row>
    <row r="1294" spans="1:7">
      <c r="A1294" s="112" t="str">
        <f>VLOOKUP('Informe Kelly'!A1288,Base!A:B,2,FALSE)</f>
        <v>12.410.690-7</v>
      </c>
      <c r="B1294" s="112" t="str">
        <f>VLOOKUP('Informe Kelly'!A1288,Base!A:G,7,FALSE)</f>
        <v>CARRASCO CID ANDRES SIMON</v>
      </c>
      <c r="C1294" s="112" t="str">
        <f>'Informe Kelly'!E1288</f>
        <v>07.04.2011</v>
      </c>
      <c r="D1294" s="112" t="e">
        <f>VLOOKUP(A1294,Ingreso!K:P,6,FALSE)</f>
        <v>#N/A</v>
      </c>
      <c r="E1294" s="142" t="e">
        <f>(VLOOKUP(D1294,$D$2:$E$4,2,FALSE))-(IF('Informe Kelly'!H1288=$A$2,'Informe Kelly'!F1288,VLOOKUP(D1294,$D$2:$E$4,2,FALSE)))</f>
        <v>#N/A</v>
      </c>
      <c r="F1294" s="142" t="e">
        <f>IF('Informe Kelly'!H1288=$A$3,'Informe Kelly'!F1288,VLOOKUP(D1294,$D$2:$F$4,3,FALSE))-(VLOOKUP(D1294,$D$2:$F$4,3,FALSE))</f>
        <v>#N/A</v>
      </c>
      <c r="G1294" s="137" t="e">
        <f t="shared" si="24"/>
        <v>#N/A</v>
      </c>
    </row>
    <row r="1295" spans="1:7">
      <c r="A1295" s="112" t="str">
        <f>VLOOKUP('Informe Kelly'!A1289,Base!A:B,2,FALSE)</f>
        <v>12.410.690-7</v>
      </c>
      <c r="B1295" s="112" t="str">
        <f>VLOOKUP('Informe Kelly'!A1289,Base!A:G,7,FALSE)</f>
        <v>CARRASCO CID ANDRES SIMON</v>
      </c>
      <c r="C1295" s="112" t="str">
        <f>'Informe Kelly'!E1289</f>
        <v>08.04.2011</v>
      </c>
      <c r="D1295" s="112" t="e">
        <f>VLOOKUP(A1295,Ingreso!K:P,6,FALSE)</f>
        <v>#N/A</v>
      </c>
      <c r="E1295" s="142" t="e">
        <f>(VLOOKUP(D1295,$D$2:$E$4,2,FALSE))-(IF('Informe Kelly'!H1289=$A$2,'Informe Kelly'!F1289,VLOOKUP(D1295,$D$2:$E$4,2,FALSE)))</f>
        <v>#N/A</v>
      </c>
      <c r="F1295" s="142" t="e">
        <f>IF('Informe Kelly'!H1289=$A$3,'Informe Kelly'!F1289,VLOOKUP(D1295,$D$2:$F$4,3,FALSE))-(VLOOKUP(D1295,$D$2:$F$4,3,FALSE))</f>
        <v>#N/A</v>
      </c>
      <c r="G1295" s="137" t="e">
        <f t="shared" si="24"/>
        <v>#N/A</v>
      </c>
    </row>
    <row r="1296" spans="1:7">
      <c r="A1296" s="112" t="str">
        <f>VLOOKUP('Informe Kelly'!A1290,Base!A:B,2,FALSE)</f>
        <v>12.410.690-7</v>
      </c>
      <c r="B1296" s="112" t="str">
        <f>VLOOKUP('Informe Kelly'!A1290,Base!A:G,7,FALSE)</f>
        <v>CARRASCO CID ANDRES SIMON</v>
      </c>
      <c r="C1296" s="112" t="str">
        <f>'Informe Kelly'!E1290</f>
        <v>08.04.2011</v>
      </c>
      <c r="D1296" s="112" t="e">
        <f>VLOOKUP(A1296,Ingreso!K:P,6,FALSE)</f>
        <v>#N/A</v>
      </c>
      <c r="E1296" s="142" t="e">
        <f>(VLOOKUP(D1296,$D$2:$E$4,2,FALSE))-(IF('Informe Kelly'!H1290=$A$2,'Informe Kelly'!F1290,VLOOKUP(D1296,$D$2:$E$4,2,FALSE)))</f>
        <v>#N/A</v>
      </c>
      <c r="F1296" s="142" t="e">
        <f>IF('Informe Kelly'!H1290=$A$3,'Informe Kelly'!F1290,VLOOKUP(D1296,$D$2:$F$4,3,FALSE))-(VLOOKUP(D1296,$D$2:$F$4,3,FALSE))</f>
        <v>#N/A</v>
      </c>
      <c r="G1296" s="137" t="e">
        <f t="shared" si="24"/>
        <v>#N/A</v>
      </c>
    </row>
    <row r="1297" spans="1:7">
      <c r="A1297" s="112" t="str">
        <f>VLOOKUP('Informe Kelly'!A1291,Base!A:B,2,FALSE)</f>
        <v>12.410.690-7</v>
      </c>
      <c r="B1297" s="112" t="str">
        <f>VLOOKUP('Informe Kelly'!A1291,Base!A:G,7,FALSE)</f>
        <v>CARRASCO CID ANDRES SIMON</v>
      </c>
      <c r="C1297" s="112" t="str">
        <f>'Informe Kelly'!E1291</f>
        <v>09.04.2011</v>
      </c>
      <c r="D1297" s="112" t="e">
        <f>VLOOKUP(A1297,Ingreso!K:P,6,FALSE)</f>
        <v>#N/A</v>
      </c>
      <c r="E1297" s="142" t="e">
        <f>(VLOOKUP(D1297,$D$2:$E$4,2,FALSE))-(IF('Informe Kelly'!H1291=$A$2,'Informe Kelly'!F1291,VLOOKUP(D1297,$D$2:$E$4,2,FALSE)))</f>
        <v>#N/A</v>
      </c>
      <c r="F1297" s="142" t="e">
        <f>IF('Informe Kelly'!H1291=$A$3,'Informe Kelly'!F1291,VLOOKUP(D1297,$D$2:$F$4,3,FALSE))-(VLOOKUP(D1297,$D$2:$F$4,3,FALSE))</f>
        <v>#N/A</v>
      </c>
      <c r="G1297" s="137" t="e">
        <f t="shared" si="24"/>
        <v>#N/A</v>
      </c>
    </row>
    <row r="1298" spans="1:7">
      <c r="A1298" s="112" t="str">
        <f>VLOOKUP('Informe Kelly'!A1292,Base!A:B,2,FALSE)</f>
        <v>12.500.119-K</v>
      </c>
      <c r="B1298" s="112" t="str">
        <f>VLOOKUP('Informe Kelly'!A1292,Base!A:G,7,FALSE)</f>
        <v>SANCHEZ TORRES FREDDY</v>
      </c>
      <c r="C1298" s="112" t="str">
        <f>'Informe Kelly'!E1292</f>
        <v>04.04.2011</v>
      </c>
      <c r="D1298" s="112" t="e">
        <f>VLOOKUP(A1298,Ingreso!K:P,6,FALSE)</f>
        <v>#N/A</v>
      </c>
      <c r="E1298" s="142" t="e">
        <f>(VLOOKUP(D1298,$D$2:$E$4,2,FALSE))-(IF('Informe Kelly'!H1292=$A$2,'Informe Kelly'!F1292,VLOOKUP(D1298,$D$2:$E$4,2,FALSE)))</f>
        <v>#N/A</v>
      </c>
      <c r="F1298" s="142" t="e">
        <f>IF('Informe Kelly'!H1292=$A$3,'Informe Kelly'!F1292,VLOOKUP(D1298,$D$2:$F$4,3,FALSE))-(VLOOKUP(D1298,$D$2:$F$4,3,FALSE))</f>
        <v>#N/A</v>
      </c>
      <c r="G1298" s="137" t="e">
        <f t="shared" si="24"/>
        <v>#N/A</v>
      </c>
    </row>
    <row r="1299" spans="1:7">
      <c r="A1299" s="112" t="str">
        <f>VLOOKUP('Informe Kelly'!A1293,Base!A:B,2,FALSE)</f>
        <v>12.500.119-K</v>
      </c>
      <c r="B1299" s="112" t="str">
        <f>VLOOKUP('Informe Kelly'!A1293,Base!A:G,7,FALSE)</f>
        <v>SANCHEZ TORRES FREDDY</v>
      </c>
      <c r="C1299" s="112" t="str">
        <f>'Informe Kelly'!E1293</f>
        <v>04.04.2011</v>
      </c>
      <c r="D1299" s="112" t="e">
        <f>VLOOKUP(A1299,Ingreso!K:P,6,FALSE)</f>
        <v>#N/A</v>
      </c>
      <c r="E1299" s="142" t="e">
        <f>(VLOOKUP(D1299,$D$2:$E$4,2,FALSE))-(IF('Informe Kelly'!H1293=$A$2,'Informe Kelly'!F1293,VLOOKUP(D1299,$D$2:$E$4,2,FALSE)))</f>
        <v>#N/A</v>
      </c>
      <c r="F1299" s="142" t="e">
        <f>IF('Informe Kelly'!H1293=$A$3,'Informe Kelly'!F1293,VLOOKUP(D1299,$D$2:$F$4,3,FALSE))-(VLOOKUP(D1299,$D$2:$F$4,3,FALSE))</f>
        <v>#N/A</v>
      </c>
      <c r="G1299" s="137" t="e">
        <f t="shared" si="24"/>
        <v>#N/A</v>
      </c>
    </row>
    <row r="1300" spans="1:7">
      <c r="A1300" s="112" t="str">
        <f>VLOOKUP('Informe Kelly'!A1294,Base!A:B,2,FALSE)</f>
        <v>12.500.119-K</v>
      </c>
      <c r="B1300" s="112" t="str">
        <f>VLOOKUP('Informe Kelly'!A1294,Base!A:G,7,FALSE)</f>
        <v>SANCHEZ TORRES FREDDY</v>
      </c>
      <c r="C1300" s="112" t="str">
        <f>'Informe Kelly'!E1294</f>
        <v>05.04.2011</v>
      </c>
      <c r="D1300" s="112" t="e">
        <f>VLOOKUP(A1300,Ingreso!K:P,6,FALSE)</f>
        <v>#N/A</v>
      </c>
      <c r="E1300" s="142" t="e">
        <f>(VLOOKUP(D1300,$D$2:$E$4,2,FALSE))-(IF('Informe Kelly'!H1294=$A$2,'Informe Kelly'!F1294,VLOOKUP(D1300,$D$2:$E$4,2,FALSE)))</f>
        <v>#N/A</v>
      </c>
      <c r="F1300" s="142" t="e">
        <f>IF('Informe Kelly'!H1294=$A$3,'Informe Kelly'!F1294,VLOOKUP(D1300,$D$2:$F$4,3,FALSE))-(VLOOKUP(D1300,$D$2:$F$4,3,FALSE))</f>
        <v>#N/A</v>
      </c>
      <c r="G1300" s="137" t="e">
        <f t="shared" si="24"/>
        <v>#N/A</v>
      </c>
    </row>
    <row r="1301" spans="1:7">
      <c r="A1301" s="112" t="str">
        <f>VLOOKUP('Informe Kelly'!A1295,Base!A:B,2,FALSE)</f>
        <v>12.500.119-K</v>
      </c>
      <c r="B1301" s="112" t="str">
        <f>VLOOKUP('Informe Kelly'!A1295,Base!A:G,7,FALSE)</f>
        <v>SANCHEZ TORRES FREDDY</v>
      </c>
      <c r="C1301" s="112" t="str">
        <f>'Informe Kelly'!E1295</f>
        <v>05.04.2011</v>
      </c>
      <c r="D1301" s="112" t="e">
        <f>VLOOKUP(A1301,Ingreso!K:P,6,FALSE)</f>
        <v>#N/A</v>
      </c>
      <c r="E1301" s="142" t="e">
        <f>(VLOOKUP(D1301,$D$2:$E$4,2,FALSE))-(IF('Informe Kelly'!H1295=$A$2,'Informe Kelly'!F1295,VLOOKUP(D1301,$D$2:$E$4,2,FALSE)))</f>
        <v>#N/A</v>
      </c>
      <c r="F1301" s="142" t="e">
        <f>IF('Informe Kelly'!H1295=$A$3,'Informe Kelly'!F1295,VLOOKUP(D1301,$D$2:$F$4,3,FALSE))-(VLOOKUP(D1301,$D$2:$F$4,3,FALSE))</f>
        <v>#N/A</v>
      </c>
      <c r="G1301" s="137" t="e">
        <f t="shared" si="24"/>
        <v>#N/A</v>
      </c>
    </row>
    <row r="1302" spans="1:7">
      <c r="A1302" s="112" t="str">
        <f>VLOOKUP('Informe Kelly'!A1296,Base!A:B,2,FALSE)</f>
        <v>12.500.119-K</v>
      </c>
      <c r="B1302" s="112" t="str">
        <f>VLOOKUP('Informe Kelly'!A1296,Base!A:G,7,FALSE)</f>
        <v>SANCHEZ TORRES FREDDY</v>
      </c>
      <c r="C1302" s="112" t="str">
        <f>'Informe Kelly'!E1296</f>
        <v>06.04.2011</v>
      </c>
      <c r="D1302" s="112" t="e">
        <f>VLOOKUP(A1302,Ingreso!K:P,6,FALSE)</f>
        <v>#N/A</v>
      </c>
      <c r="E1302" s="142" t="e">
        <f>(VLOOKUP(D1302,$D$2:$E$4,2,FALSE))-(IF('Informe Kelly'!H1296=$A$2,'Informe Kelly'!F1296,VLOOKUP(D1302,$D$2:$E$4,2,FALSE)))</f>
        <v>#N/A</v>
      </c>
      <c r="F1302" s="142" t="e">
        <f>IF('Informe Kelly'!H1296=$A$3,'Informe Kelly'!F1296,VLOOKUP(D1302,$D$2:$F$4,3,FALSE))-(VLOOKUP(D1302,$D$2:$F$4,3,FALSE))</f>
        <v>#N/A</v>
      </c>
      <c r="G1302" s="137" t="e">
        <f t="shared" si="24"/>
        <v>#N/A</v>
      </c>
    </row>
    <row r="1303" spans="1:7">
      <c r="A1303" s="112" t="str">
        <f>VLOOKUP('Informe Kelly'!A1297,Base!A:B,2,FALSE)</f>
        <v>12.500.119-K</v>
      </c>
      <c r="B1303" s="112" t="str">
        <f>VLOOKUP('Informe Kelly'!A1297,Base!A:G,7,FALSE)</f>
        <v>SANCHEZ TORRES FREDDY</v>
      </c>
      <c r="C1303" s="112" t="str">
        <f>'Informe Kelly'!E1297</f>
        <v>06.04.2011</v>
      </c>
      <c r="D1303" s="112" t="e">
        <f>VLOOKUP(A1303,Ingreso!K:P,6,FALSE)</f>
        <v>#N/A</v>
      </c>
      <c r="E1303" s="142" t="e">
        <f>(VLOOKUP(D1303,$D$2:$E$4,2,FALSE))-(IF('Informe Kelly'!H1297=$A$2,'Informe Kelly'!F1297,VLOOKUP(D1303,$D$2:$E$4,2,FALSE)))</f>
        <v>#N/A</v>
      </c>
      <c r="F1303" s="142" t="e">
        <f>IF('Informe Kelly'!H1297=$A$3,'Informe Kelly'!F1297,VLOOKUP(D1303,$D$2:$F$4,3,FALSE))-(VLOOKUP(D1303,$D$2:$F$4,3,FALSE))</f>
        <v>#N/A</v>
      </c>
      <c r="G1303" s="137" t="e">
        <f t="shared" si="24"/>
        <v>#N/A</v>
      </c>
    </row>
    <row r="1304" spans="1:7">
      <c r="A1304" s="112" t="str">
        <f>VLOOKUP('Informe Kelly'!A1298,Base!A:B,2,FALSE)</f>
        <v>12.500.119-K</v>
      </c>
      <c r="B1304" s="112" t="str">
        <f>VLOOKUP('Informe Kelly'!A1298,Base!A:G,7,FALSE)</f>
        <v>SANCHEZ TORRES FREDDY</v>
      </c>
      <c r="C1304" s="112" t="str">
        <f>'Informe Kelly'!E1298</f>
        <v>07.04.2011</v>
      </c>
      <c r="D1304" s="112" t="e">
        <f>VLOOKUP(A1304,Ingreso!K:P,6,FALSE)</f>
        <v>#N/A</v>
      </c>
      <c r="E1304" s="142" t="e">
        <f>(VLOOKUP(D1304,$D$2:$E$4,2,FALSE))-(IF('Informe Kelly'!H1298=$A$2,'Informe Kelly'!F1298,VLOOKUP(D1304,$D$2:$E$4,2,FALSE)))</f>
        <v>#N/A</v>
      </c>
      <c r="F1304" s="142" t="e">
        <f>IF('Informe Kelly'!H1298=$A$3,'Informe Kelly'!F1298,VLOOKUP(D1304,$D$2:$F$4,3,FALSE))-(VLOOKUP(D1304,$D$2:$F$4,3,FALSE))</f>
        <v>#N/A</v>
      </c>
      <c r="G1304" s="137" t="e">
        <f t="shared" si="24"/>
        <v>#N/A</v>
      </c>
    </row>
    <row r="1305" spans="1:7">
      <c r="A1305" s="112" t="str">
        <f>VLOOKUP('Informe Kelly'!A1299,Base!A:B,2,FALSE)</f>
        <v>12.500.119-K</v>
      </c>
      <c r="B1305" s="112" t="str">
        <f>VLOOKUP('Informe Kelly'!A1299,Base!A:G,7,FALSE)</f>
        <v>SANCHEZ TORRES FREDDY</v>
      </c>
      <c r="C1305" s="112" t="str">
        <f>'Informe Kelly'!E1299</f>
        <v>07.04.2011</v>
      </c>
      <c r="D1305" s="112" t="e">
        <f>VLOOKUP(A1305,Ingreso!K:P,6,FALSE)</f>
        <v>#N/A</v>
      </c>
      <c r="E1305" s="142" t="e">
        <f>(VLOOKUP(D1305,$D$2:$E$4,2,FALSE))-(IF('Informe Kelly'!H1299=$A$2,'Informe Kelly'!F1299,VLOOKUP(D1305,$D$2:$E$4,2,FALSE)))</f>
        <v>#N/A</v>
      </c>
      <c r="F1305" s="142" t="e">
        <f>IF('Informe Kelly'!H1299=$A$3,'Informe Kelly'!F1299,VLOOKUP(D1305,$D$2:$F$4,3,FALSE))-(VLOOKUP(D1305,$D$2:$F$4,3,FALSE))</f>
        <v>#N/A</v>
      </c>
      <c r="G1305" s="137" t="e">
        <f t="shared" si="24"/>
        <v>#N/A</v>
      </c>
    </row>
    <row r="1306" spans="1:7">
      <c r="A1306" s="112" t="str">
        <f>VLOOKUP('Informe Kelly'!A1300,Base!A:B,2,FALSE)</f>
        <v>12.500.119-K</v>
      </c>
      <c r="B1306" s="112" t="str">
        <f>VLOOKUP('Informe Kelly'!A1300,Base!A:G,7,FALSE)</f>
        <v>SANCHEZ TORRES FREDDY</v>
      </c>
      <c r="C1306" s="112" t="str">
        <f>'Informe Kelly'!E1300</f>
        <v>08.04.2011</v>
      </c>
      <c r="D1306" s="112" t="e">
        <f>VLOOKUP(A1306,Ingreso!K:P,6,FALSE)</f>
        <v>#N/A</v>
      </c>
      <c r="E1306" s="142" t="e">
        <f>(VLOOKUP(D1306,$D$2:$E$4,2,FALSE))-(IF('Informe Kelly'!H1300=$A$2,'Informe Kelly'!F1300,VLOOKUP(D1306,$D$2:$E$4,2,FALSE)))</f>
        <v>#N/A</v>
      </c>
      <c r="F1306" s="142" t="e">
        <f>IF('Informe Kelly'!H1300=$A$3,'Informe Kelly'!F1300,VLOOKUP(D1306,$D$2:$F$4,3,FALSE))-(VLOOKUP(D1306,$D$2:$F$4,3,FALSE))</f>
        <v>#N/A</v>
      </c>
      <c r="G1306" s="137" t="e">
        <f t="shared" si="24"/>
        <v>#N/A</v>
      </c>
    </row>
    <row r="1307" spans="1:7">
      <c r="A1307" s="112" t="str">
        <f>VLOOKUP('Informe Kelly'!A1301,Base!A:B,2,FALSE)</f>
        <v>12.500.119-K</v>
      </c>
      <c r="B1307" s="112" t="str">
        <f>VLOOKUP('Informe Kelly'!A1301,Base!A:G,7,FALSE)</f>
        <v>SANCHEZ TORRES FREDDY</v>
      </c>
      <c r="C1307" s="112" t="str">
        <f>'Informe Kelly'!E1301</f>
        <v>08.04.2011</v>
      </c>
      <c r="D1307" s="112" t="e">
        <f>VLOOKUP(A1307,Ingreso!K:P,6,FALSE)</f>
        <v>#N/A</v>
      </c>
      <c r="E1307" s="142" t="e">
        <f>(VLOOKUP(D1307,$D$2:$E$4,2,FALSE))-(IF('Informe Kelly'!H1301=$A$2,'Informe Kelly'!F1301,VLOOKUP(D1307,$D$2:$E$4,2,FALSE)))</f>
        <v>#N/A</v>
      </c>
      <c r="F1307" s="142" t="e">
        <f>IF('Informe Kelly'!H1301=$A$3,'Informe Kelly'!F1301,VLOOKUP(D1307,$D$2:$F$4,3,FALSE))-(VLOOKUP(D1307,$D$2:$F$4,3,FALSE))</f>
        <v>#N/A</v>
      </c>
      <c r="G1307" s="137" t="e">
        <f t="shared" si="24"/>
        <v>#N/A</v>
      </c>
    </row>
    <row r="1308" spans="1:7">
      <c r="A1308" s="112" t="str">
        <f>VLOOKUP('Informe Kelly'!A1302,Base!A:B,2,FALSE)</f>
        <v>12.501.307-4</v>
      </c>
      <c r="B1308" s="112" t="str">
        <f>VLOOKUP('Informe Kelly'!A1302,Base!A:G,7,FALSE)</f>
        <v>ARAYA FUENTES MARCELO ANTONIO</v>
      </c>
      <c r="C1308" s="112" t="str">
        <f>'Informe Kelly'!E1302</f>
        <v>04.04.2011</v>
      </c>
      <c r="D1308" s="112" t="e">
        <f>VLOOKUP(A1308,Ingreso!K:P,6,FALSE)</f>
        <v>#N/A</v>
      </c>
      <c r="E1308" s="142" t="e">
        <f>(VLOOKUP(D1308,$D$2:$E$4,2,FALSE))-(IF('Informe Kelly'!H1302=$A$2,'Informe Kelly'!F1302,VLOOKUP(D1308,$D$2:$E$4,2,FALSE)))</f>
        <v>#N/A</v>
      </c>
      <c r="F1308" s="142" t="e">
        <f>IF('Informe Kelly'!H1302=$A$3,'Informe Kelly'!F1302,VLOOKUP(D1308,$D$2:$F$4,3,FALSE))-(VLOOKUP(D1308,$D$2:$F$4,3,FALSE))</f>
        <v>#N/A</v>
      </c>
      <c r="G1308" s="137" t="e">
        <f t="shared" si="24"/>
        <v>#N/A</v>
      </c>
    </row>
    <row r="1309" spans="1:7">
      <c r="A1309" s="112" t="str">
        <f>VLOOKUP('Informe Kelly'!A1303,Base!A:B,2,FALSE)</f>
        <v>12.501.307-4</v>
      </c>
      <c r="B1309" s="112" t="str">
        <f>VLOOKUP('Informe Kelly'!A1303,Base!A:G,7,FALSE)</f>
        <v>ARAYA FUENTES MARCELO ANTONIO</v>
      </c>
      <c r="C1309" s="112" t="str">
        <f>'Informe Kelly'!E1303</f>
        <v>04.04.2011</v>
      </c>
      <c r="D1309" s="112" t="e">
        <f>VLOOKUP(A1309,Ingreso!K:P,6,FALSE)</f>
        <v>#N/A</v>
      </c>
      <c r="E1309" s="142" t="e">
        <f>(VLOOKUP(D1309,$D$2:$E$4,2,FALSE))-(IF('Informe Kelly'!H1303=$A$2,'Informe Kelly'!F1303,VLOOKUP(D1309,$D$2:$E$4,2,FALSE)))</f>
        <v>#N/A</v>
      </c>
      <c r="F1309" s="142" t="e">
        <f>IF('Informe Kelly'!H1303=$A$3,'Informe Kelly'!F1303,VLOOKUP(D1309,$D$2:$F$4,3,FALSE))-(VLOOKUP(D1309,$D$2:$F$4,3,FALSE))</f>
        <v>#N/A</v>
      </c>
      <c r="G1309" s="137" t="e">
        <f t="shared" si="24"/>
        <v>#N/A</v>
      </c>
    </row>
    <row r="1310" spans="1:7">
      <c r="A1310" s="112" t="str">
        <f>VLOOKUP('Informe Kelly'!A1304,Base!A:B,2,FALSE)</f>
        <v>12.501.307-4</v>
      </c>
      <c r="B1310" s="112" t="str">
        <f>VLOOKUP('Informe Kelly'!A1304,Base!A:G,7,FALSE)</f>
        <v>ARAYA FUENTES MARCELO ANTONIO</v>
      </c>
      <c r="C1310" s="112" t="str">
        <f>'Informe Kelly'!E1304</f>
        <v>05.04.2011</v>
      </c>
      <c r="D1310" s="112" t="e">
        <f>VLOOKUP(A1310,Ingreso!K:P,6,FALSE)</f>
        <v>#N/A</v>
      </c>
      <c r="E1310" s="142" t="e">
        <f>(VLOOKUP(D1310,$D$2:$E$4,2,FALSE))-(IF('Informe Kelly'!H1304=$A$2,'Informe Kelly'!F1304,VLOOKUP(D1310,$D$2:$E$4,2,FALSE)))</f>
        <v>#N/A</v>
      </c>
      <c r="F1310" s="142" t="e">
        <f>IF('Informe Kelly'!H1304=$A$3,'Informe Kelly'!F1304,VLOOKUP(D1310,$D$2:$F$4,3,FALSE))-(VLOOKUP(D1310,$D$2:$F$4,3,FALSE))</f>
        <v>#N/A</v>
      </c>
      <c r="G1310" s="137" t="e">
        <f t="shared" si="24"/>
        <v>#N/A</v>
      </c>
    </row>
    <row r="1311" spans="1:7">
      <c r="A1311" s="112" t="str">
        <f>VLOOKUP('Informe Kelly'!A1305,Base!A:B,2,FALSE)</f>
        <v>12.501.307-4</v>
      </c>
      <c r="B1311" s="112" t="str">
        <f>VLOOKUP('Informe Kelly'!A1305,Base!A:G,7,FALSE)</f>
        <v>ARAYA FUENTES MARCELO ANTONIO</v>
      </c>
      <c r="C1311" s="112" t="str">
        <f>'Informe Kelly'!E1305</f>
        <v>05.04.2011</v>
      </c>
      <c r="D1311" s="112" t="e">
        <f>VLOOKUP(A1311,Ingreso!K:P,6,FALSE)</f>
        <v>#N/A</v>
      </c>
      <c r="E1311" s="142" t="e">
        <f>(VLOOKUP(D1311,$D$2:$E$4,2,FALSE))-(IF('Informe Kelly'!H1305=$A$2,'Informe Kelly'!F1305,VLOOKUP(D1311,$D$2:$E$4,2,FALSE)))</f>
        <v>#N/A</v>
      </c>
      <c r="F1311" s="142" t="e">
        <f>IF('Informe Kelly'!H1305=$A$3,'Informe Kelly'!F1305,VLOOKUP(D1311,$D$2:$F$4,3,FALSE))-(VLOOKUP(D1311,$D$2:$F$4,3,FALSE))</f>
        <v>#N/A</v>
      </c>
      <c r="G1311" s="137" t="e">
        <f t="shared" si="24"/>
        <v>#N/A</v>
      </c>
    </row>
    <row r="1312" spans="1:7">
      <c r="A1312" s="112" t="str">
        <f>VLOOKUP('Informe Kelly'!A1306,Base!A:B,2,FALSE)</f>
        <v>12.501.307-4</v>
      </c>
      <c r="B1312" s="112" t="str">
        <f>VLOOKUP('Informe Kelly'!A1306,Base!A:G,7,FALSE)</f>
        <v>ARAYA FUENTES MARCELO ANTONIO</v>
      </c>
      <c r="C1312" s="112" t="str">
        <f>'Informe Kelly'!E1306</f>
        <v>06.04.2011</v>
      </c>
      <c r="D1312" s="112" t="e">
        <f>VLOOKUP(A1312,Ingreso!K:P,6,FALSE)</f>
        <v>#N/A</v>
      </c>
      <c r="E1312" s="142" t="e">
        <f>(VLOOKUP(D1312,$D$2:$E$4,2,FALSE))-(IF('Informe Kelly'!H1306=$A$2,'Informe Kelly'!F1306,VLOOKUP(D1312,$D$2:$E$4,2,FALSE)))</f>
        <v>#N/A</v>
      </c>
      <c r="F1312" s="142" t="e">
        <f>IF('Informe Kelly'!H1306=$A$3,'Informe Kelly'!F1306,VLOOKUP(D1312,$D$2:$F$4,3,FALSE))-(VLOOKUP(D1312,$D$2:$F$4,3,FALSE))</f>
        <v>#N/A</v>
      </c>
      <c r="G1312" s="137" t="e">
        <f t="shared" si="24"/>
        <v>#N/A</v>
      </c>
    </row>
    <row r="1313" spans="1:7">
      <c r="A1313" s="112" t="str">
        <f>VLOOKUP('Informe Kelly'!A1307,Base!A:B,2,FALSE)</f>
        <v>12.501.307-4</v>
      </c>
      <c r="B1313" s="112" t="str">
        <f>VLOOKUP('Informe Kelly'!A1307,Base!A:G,7,FALSE)</f>
        <v>ARAYA FUENTES MARCELO ANTONIO</v>
      </c>
      <c r="C1313" s="112" t="str">
        <f>'Informe Kelly'!E1307</f>
        <v>06.04.2011</v>
      </c>
      <c r="D1313" s="112" t="e">
        <f>VLOOKUP(A1313,Ingreso!K:P,6,FALSE)</f>
        <v>#N/A</v>
      </c>
      <c r="E1313" s="142" t="e">
        <f>(VLOOKUP(D1313,$D$2:$E$4,2,FALSE))-(IF('Informe Kelly'!H1307=$A$2,'Informe Kelly'!F1307,VLOOKUP(D1313,$D$2:$E$4,2,FALSE)))</f>
        <v>#N/A</v>
      </c>
      <c r="F1313" s="142" t="e">
        <f>IF('Informe Kelly'!H1307=$A$3,'Informe Kelly'!F1307,VLOOKUP(D1313,$D$2:$F$4,3,FALSE))-(VLOOKUP(D1313,$D$2:$F$4,3,FALSE))</f>
        <v>#N/A</v>
      </c>
      <c r="G1313" s="137" t="e">
        <f t="shared" si="24"/>
        <v>#N/A</v>
      </c>
    </row>
    <row r="1314" spans="1:7">
      <c r="A1314" s="112" t="str">
        <f>VLOOKUP('Informe Kelly'!A1308,Base!A:B,2,FALSE)</f>
        <v>12.501.307-4</v>
      </c>
      <c r="B1314" s="112" t="str">
        <f>VLOOKUP('Informe Kelly'!A1308,Base!A:G,7,FALSE)</f>
        <v>ARAYA FUENTES MARCELO ANTONIO</v>
      </c>
      <c r="C1314" s="112" t="str">
        <f>'Informe Kelly'!E1308</f>
        <v>07.04.2011</v>
      </c>
      <c r="D1314" s="112" t="e">
        <f>VLOOKUP(A1314,Ingreso!K:P,6,FALSE)</f>
        <v>#N/A</v>
      </c>
      <c r="E1314" s="142" t="e">
        <f>(VLOOKUP(D1314,$D$2:$E$4,2,FALSE))-(IF('Informe Kelly'!H1308=$A$2,'Informe Kelly'!F1308,VLOOKUP(D1314,$D$2:$E$4,2,FALSE)))</f>
        <v>#N/A</v>
      </c>
      <c r="F1314" s="142" t="e">
        <f>IF('Informe Kelly'!H1308=$A$3,'Informe Kelly'!F1308,VLOOKUP(D1314,$D$2:$F$4,3,FALSE))-(VLOOKUP(D1314,$D$2:$F$4,3,FALSE))</f>
        <v>#N/A</v>
      </c>
      <c r="G1314" s="137" t="e">
        <f t="shared" si="24"/>
        <v>#N/A</v>
      </c>
    </row>
    <row r="1315" spans="1:7">
      <c r="A1315" s="112" t="str">
        <f>VLOOKUP('Informe Kelly'!A1309,Base!A:B,2,FALSE)</f>
        <v>12.501.307-4</v>
      </c>
      <c r="B1315" s="112" t="str">
        <f>VLOOKUP('Informe Kelly'!A1309,Base!A:G,7,FALSE)</f>
        <v>ARAYA FUENTES MARCELO ANTONIO</v>
      </c>
      <c r="C1315" s="112" t="str">
        <f>'Informe Kelly'!E1309</f>
        <v>07.04.2011</v>
      </c>
      <c r="D1315" s="112" t="e">
        <f>VLOOKUP(A1315,Ingreso!K:P,6,FALSE)</f>
        <v>#N/A</v>
      </c>
      <c r="E1315" s="142" t="e">
        <f>(VLOOKUP(D1315,$D$2:$E$4,2,FALSE))-(IF('Informe Kelly'!H1309=$A$2,'Informe Kelly'!F1309,VLOOKUP(D1315,$D$2:$E$4,2,FALSE)))</f>
        <v>#N/A</v>
      </c>
      <c r="F1315" s="142" t="e">
        <f>IF('Informe Kelly'!H1309=$A$3,'Informe Kelly'!F1309,VLOOKUP(D1315,$D$2:$F$4,3,FALSE))-(VLOOKUP(D1315,$D$2:$F$4,3,FALSE))</f>
        <v>#N/A</v>
      </c>
      <c r="G1315" s="137" t="e">
        <f t="shared" si="24"/>
        <v>#N/A</v>
      </c>
    </row>
    <row r="1316" spans="1:7">
      <c r="A1316" s="112" t="str">
        <f>VLOOKUP('Informe Kelly'!A1310,Base!A:B,2,FALSE)</f>
        <v>12.501.307-4</v>
      </c>
      <c r="B1316" s="112" t="str">
        <f>VLOOKUP('Informe Kelly'!A1310,Base!A:G,7,FALSE)</f>
        <v>ARAYA FUENTES MARCELO ANTONIO</v>
      </c>
      <c r="C1316" s="112" t="str">
        <f>'Informe Kelly'!E1310</f>
        <v>08.04.2011</v>
      </c>
      <c r="D1316" s="112" t="e">
        <f>VLOOKUP(A1316,Ingreso!K:P,6,FALSE)</f>
        <v>#N/A</v>
      </c>
      <c r="E1316" s="142" t="e">
        <f>(VLOOKUP(D1316,$D$2:$E$4,2,FALSE))-(IF('Informe Kelly'!H1310=$A$2,'Informe Kelly'!F1310,VLOOKUP(D1316,$D$2:$E$4,2,FALSE)))</f>
        <v>#N/A</v>
      </c>
      <c r="F1316" s="142" t="e">
        <f>IF('Informe Kelly'!H1310=$A$3,'Informe Kelly'!F1310,VLOOKUP(D1316,$D$2:$F$4,3,FALSE))-(VLOOKUP(D1316,$D$2:$F$4,3,FALSE))</f>
        <v>#N/A</v>
      </c>
      <c r="G1316" s="137" t="e">
        <f t="shared" si="24"/>
        <v>#N/A</v>
      </c>
    </row>
    <row r="1317" spans="1:7">
      <c r="A1317" s="112" t="str">
        <f>VLOOKUP('Informe Kelly'!A1311,Base!A:B,2,FALSE)</f>
        <v>12.501.307-4</v>
      </c>
      <c r="B1317" s="112" t="str">
        <f>VLOOKUP('Informe Kelly'!A1311,Base!A:G,7,FALSE)</f>
        <v>ARAYA FUENTES MARCELO ANTONIO</v>
      </c>
      <c r="C1317" s="112" t="str">
        <f>'Informe Kelly'!E1311</f>
        <v>08.04.2011</v>
      </c>
      <c r="D1317" s="112" t="e">
        <f>VLOOKUP(A1317,Ingreso!K:P,6,FALSE)</f>
        <v>#N/A</v>
      </c>
      <c r="E1317" s="142" t="e">
        <f>(VLOOKUP(D1317,$D$2:$E$4,2,FALSE))-(IF('Informe Kelly'!H1311=$A$2,'Informe Kelly'!F1311,VLOOKUP(D1317,$D$2:$E$4,2,FALSE)))</f>
        <v>#N/A</v>
      </c>
      <c r="F1317" s="142" t="e">
        <f>IF('Informe Kelly'!H1311=$A$3,'Informe Kelly'!F1311,VLOOKUP(D1317,$D$2:$F$4,3,FALSE))-(VLOOKUP(D1317,$D$2:$F$4,3,FALSE))</f>
        <v>#N/A</v>
      </c>
      <c r="G1317" s="137" t="e">
        <f t="shared" si="24"/>
        <v>#N/A</v>
      </c>
    </row>
    <row r="1318" spans="1:7">
      <c r="A1318" s="112" t="str">
        <f>VLOOKUP('Informe Kelly'!A1312,Base!A:B,2,FALSE)</f>
        <v>12.501.307-4</v>
      </c>
      <c r="B1318" s="112" t="str">
        <f>VLOOKUP('Informe Kelly'!A1312,Base!A:G,7,FALSE)</f>
        <v>ARAYA FUENTES MARCELO ANTONIO</v>
      </c>
      <c r="C1318" s="112" t="str">
        <f>'Informe Kelly'!E1312</f>
        <v>09.04.2011</v>
      </c>
      <c r="D1318" s="112" t="e">
        <f>VLOOKUP(A1318,Ingreso!K:P,6,FALSE)</f>
        <v>#N/A</v>
      </c>
      <c r="E1318" s="142" t="e">
        <f>(VLOOKUP(D1318,$D$2:$E$4,2,FALSE))-(IF('Informe Kelly'!H1312=$A$2,'Informe Kelly'!F1312,VLOOKUP(D1318,$D$2:$E$4,2,FALSE)))</f>
        <v>#N/A</v>
      </c>
      <c r="F1318" s="142" t="e">
        <f>IF('Informe Kelly'!H1312=$A$3,'Informe Kelly'!F1312,VLOOKUP(D1318,$D$2:$F$4,3,FALSE))-(VLOOKUP(D1318,$D$2:$F$4,3,FALSE))</f>
        <v>#N/A</v>
      </c>
      <c r="G1318" s="137" t="e">
        <f t="shared" si="24"/>
        <v>#N/A</v>
      </c>
    </row>
    <row r="1319" spans="1:7">
      <c r="A1319" s="112" t="str">
        <f>VLOOKUP('Informe Kelly'!A1313,Base!A:B,2,FALSE)</f>
        <v>12.501.307-4</v>
      </c>
      <c r="B1319" s="112" t="str">
        <f>VLOOKUP('Informe Kelly'!A1313,Base!A:G,7,FALSE)</f>
        <v>ARAYA FUENTES MARCELO ANTONIO</v>
      </c>
      <c r="C1319" s="112" t="str">
        <f>'Informe Kelly'!E1313</f>
        <v>09.04.2011</v>
      </c>
      <c r="D1319" s="112" t="e">
        <f>VLOOKUP(A1319,Ingreso!K:P,6,FALSE)</f>
        <v>#N/A</v>
      </c>
      <c r="E1319" s="142" t="e">
        <f>(VLOOKUP(D1319,$D$2:$E$4,2,FALSE))-(IF('Informe Kelly'!H1313=$A$2,'Informe Kelly'!F1313,VLOOKUP(D1319,$D$2:$E$4,2,FALSE)))</f>
        <v>#N/A</v>
      </c>
      <c r="F1319" s="142" t="e">
        <f>IF('Informe Kelly'!H1313=$A$3,'Informe Kelly'!F1313,VLOOKUP(D1319,$D$2:$F$4,3,FALSE))-(VLOOKUP(D1319,$D$2:$F$4,3,FALSE))</f>
        <v>#N/A</v>
      </c>
      <c r="G1319" s="137" t="e">
        <f t="shared" si="24"/>
        <v>#N/A</v>
      </c>
    </row>
    <row r="1320" spans="1:7">
      <c r="A1320" s="112" t="str">
        <f>VLOOKUP('Informe Kelly'!A1314,Base!A:B,2,FALSE)</f>
        <v>12.647.009-6</v>
      </c>
      <c r="B1320" s="112" t="str">
        <f>VLOOKUP('Informe Kelly'!A1314,Base!A:G,7,FALSE)</f>
        <v xml:space="preserve">SALAZAR FREYHOFER PAULO </v>
      </c>
      <c r="C1320" s="112" t="str">
        <f>'Informe Kelly'!E1314</f>
        <v>00.00.0000</v>
      </c>
      <c r="D1320" s="112" t="e">
        <f>VLOOKUP(A1320,Ingreso!K:P,6,FALSE)</f>
        <v>#N/A</v>
      </c>
      <c r="E1320" s="142" t="e">
        <f>(VLOOKUP(D1320,$D$2:$E$4,2,FALSE))-(IF('Informe Kelly'!H1314=$A$2,'Informe Kelly'!F1314,VLOOKUP(D1320,$D$2:$E$4,2,FALSE)))</f>
        <v>#N/A</v>
      </c>
      <c r="F1320" s="142" t="e">
        <f>IF('Informe Kelly'!H1314=$A$3,'Informe Kelly'!F1314,VLOOKUP(D1320,$D$2:$F$4,3,FALSE))-(VLOOKUP(D1320,$D$2:$F$4,3,FALSE))</f>
        <v>#N/A</v>
      </c>
      <c r="G1320" s="137" t="e">
        <f t="shared" si="24"/>
        <v>#N/A</v>
      </c>
    </row>
    <row r="1321" spans="1:7">
      <c r="A1321" s="112" t="str">
        <f>VLOOKUP('Informe Kelly'!A1315,Base!A:B,2,FALSE)</f>
        <v>12.674.806-K</v>
      </c>
      <c r="B1321" s="112" t="str">
        <f>VLOOKUP('Informe Kelly'!A1315,Base!A:G,7,FALSE)</f>
        <v>CARDENAS  ULLOA,MARCO</v>
      </c>
      <c r="C1321" s="112" t="str">
        <f>'Informe Kelly'!E1315</f>
        <v>04.04.2011</v>
      </c>
      <c r="D1321" s="112" t="e">
        <f>VLOOKUP(A1321,Ingreso!K:P,6,FALSE)</f>
        <v>#N/A</v>
      </c>
      <c r="E1321" s="142" t="e">
        <f>(VLOOKUP(D1321,$D$2:$E$4,2,FALSE))-(IF('Informe Kelly'!H1315=$A$2,'Informe Kelly'!F1315,VLOOKUP(D1321,$D$2:$E$4,2,FALSE)))</f>
        <v>#N/A</v>
      </c>
      <c r="F1321" s="142" t="e">
        <f>IF('Informe Kelly'!H1315=$A$3,'Informe Kelly'!F1315,VLOOKUP(D1321,$D$2:$F$4,3,FALSE))-(VLOOKUP(D1321,$D$2:$F$4,3,FALSE))</f>
        <v>#N/A</v>
      </c>
      <c r="G1321" s="137" t="e">
        <f t="shared" si="24"/>
        <v>#N/A</v>
      </c>
    </row>
    <row r="1322" spans="1:7">
      <c r="A1322" s="112" t="str">
        <f>VLOOKUP('Informe Kelly'!A1316,Base!A:B,2,FALSE)</f>
        <v>12.674.806-K</v>
      </c>
      <c r="B1322" s="112" t="str">
        <f>VLOOKUP('Informe Kelly'!A1316,Base!A:G,7,FALSE)</f>
        <v>CARDENAS  ULLOA,MARCO</v>
      </c>
      <c r="C1322" s="112" t="str">
        <f>'Informe Kelly'!E1316</f>
        <v>04.04.2011</v>
      </c>
      <c r="D1322" s="112" t="e">
        <f>VLOOKUP(A1322,Ingreso!K:P,6,FALSE)</f>
        <v>#N/A</v>
      </c>
      <c r="E1322" s="142" t="e">
        <f>(VLOOKUP(D1322,$D$2:$E$4,2,FALSE))-(IF('Informe Kelly'!H1316=$A$2,'Informe Kelly'!F1316,VLOOKUP(D1322,$D$2:$E$4,2,FALSE)))</f>
        <v>#N/A</v>
      </c>
      <c r="F1322" s="142" t="e">
        <f>IF('Informe Kelly'!H1316=$A$3,'Informe Kelly'!F1316,VLOOKUP(D1322,$D$2:$F$4,3,FALSE))-(VLOOKUP(D1322,$D$2:$F$4,3,FALSE))</f>
        <v>#N/A</v>
      </c>
      <c r="G1322" s="137" t="e">
        <f t="shared" si="24"/>
        <v>#N/A</v>
      </c>
    </row>
    <row r="1323" spans="1:7">
      <c r="A1323" s="112" t="str">
        <f>VLOOKUP('Informe Kelly'!A1317,Base!A:B,2,FALSE)</f>
        <v>12.674.806-K</v>
      </c>
      <c r="B1323" s="112" t="str">
        <f>VLOOKUP('Informe Kelly'!A1317,Base!A:G,7,FALSE)</f>
        <v>CARDENAS  ULLOA,MARCO</v>
      </c>
      <c r="C1323" s="112" t="str">
        <f>'Informe Kelly'!E1317</f>
        <v>05.04.2011</v>
      </c>
      <c r="D1323" s="112" t="e">
        <f>VLOOKUP(A1323,Ingreso!K:P,6,FALSE)</f>
        <v>#N/A</v>
      </c>
      <c r="E1323" s="142" t="e">
        <f>(VLOOKUP(D1323,$D$2:$E$4,2,FALSE))-(IF('Informe Kelly'!H1317=$A$2,'Informe Kelly'!F1317,VLOOKUP(D1323,$D$2:$E$4,2,FALSE)))</f>
        <v>#N/A</v>
      </c>
      <c r="F1323" s="142" t="e">
        <f>IF('Informe Kelly'!H1317=$A$3,'Informe Kelly'!F1317,VLOOKUP(D1323,$D$2:$F$4,3,FALSE))-(VLOOKUP(D1323,$D$2:$F$4,3,FALSE))</f>
        <v>#N/A</v>
      </c>
      <c r="G1323" s="137" t="e">
        <f t="shared" si="24"/>
        <v>#N/A</v>
      </c>
    </row>
    <row r="1324" spans="1:7">
      <c r="A1324" s="112" t="str">
        <f>VLOOKUP('Informe Kelly'!A1318,Base!A:B,2,FALSE)</f>
        <v>12.674.806-K</v>
      </c>
      <c r="B1324" s="112" t="str">
        <f>VLOOKUP('Informe Kelly'!A1318,Base!A:G,7,FALSE)</f>
        <v>CARDENAS  ULLOA,MARCO</v>
      </c>
      <c r="C1324" s="112" t="str">
        <f>'Informe Kelly'!E1318</f>
        <v>05.04.2011</v>
      </c>
      <c r="D1324" s="112" t="e">
        <f>VLOOKUP(A1324,Ingreso!K:P,6,FALSE)</f>
        <v>#N/A</v>
      </c>
      <c r="E1324" s="142" t="e">
        <f>(VLOOKUP(D1324,$D$2:$E$4,2,FALSE))-(IF('Informe Kelly'!H1318=$A$2,'Informe Kelly'!F1318,VLOOKUP(D1324,$D$2:$E$4,2,FALSE)))</f>
        <v>#N/A</v>
      </c>
      <c r="F1324" s="142" t="e">
        <f>IF('Informe Kelly'!H1318=$A$3,'Informe Kelly'!F1318,VLOOKUP(D1324,$D$2:$F$4,3,FALSE))-(VLOOKUP(D1324,$D$2:$F$4,3,FALSE))</f>
        <v>#N/A</v>
      </c>
      <c r="G1324" s="137" t="e">
        <f t="shared" si="24"/>
        <v>#N/A</v>
      </c>
    </row>
    <row r="1325" spans="1:7">
      <c r="A1325" s="112" t="str">
        <f>VLOOKUP('Informe Kelly'!A1319,Base!A:B,2,FALSE)</f>
        <v>12.674.806-K</v>
      </c>
      <c r="B1325" s="112" t="str">
        <f>VLOOKUP('Informe Kelly'!A1319,Base!A:G,7,FALSE)</f>
        <v>CARDENAS  ULLOA,MARCO</v>
      </c>
      <c r="C1325" s="112" t="str">
        <f>'Informe Kelly'!E1319</f>
        <v>06.04.2011</v>
      </c>
      <c r="D1325" s="112" t="e">
        <f>VLOOKUP(A1325,Ingreso!K:P,6,FALSE)</f>
        <v>#N/A</v>
      </c>
      <c r="E1325" s="142" t="e">
        <f>(VLOOKUP(D1325,$D$2:$E$4,2,FALSE))-(IF('Informe Kelly'!H1319=$A$2,'Informe Kelly'!F1319,VLOOKUP(D1325,$D$2:$E$4,2,FALSE)))</f>
        <v>#N/A</v>
      </c>
      <c r="F1325" s="142" t="e">
        <f>IF('Informe Kelly'!H1319=$A$3,'Informe Kelly'!F1319,VLOOKUP(D1325,$D$2:$F$4,3,FALSE))-(VLOOKUP(D1325,$D$2:$F$4,3,FALSE))</f>
        <v>#N/A</v>
      </c>
      <c r="G1325" s="137" t="e">
        <f t="shared" si="24"/>
        <v>#N/A</v>
      </c>
    </row>
    <row r="1326" spans="1:7">
      <c r="A1326" s="112" t="str">
        <f>VLOOKUP('Informe Kelly'!A1320,Base!A:B,2,FALSE)</f>
        <v>12.674.806-K</v>
      </c>
      <c r="B1326" s="112" t="str">
        <f>VLOOKUP('Informe Kelly'!A1320,Base!A:G,7,FALSE)</f>
        <v>CARDENAS  ULLOA,MARCO</v>
      </c>
      <c r="C1326" s="112" t="str">
        <f>'Informe Kelly'!E1320</f>
        <v>06.04.2011</v>
      </c>
      <c r="D1326" s="112" t="e">
        <f>VLOOKUP(A1326,Ingreso!K:P,6,FALSE)</f>
        <v>#N/A</v>
      </c>
      <c r="E1326" s="142" t="e">
        <f>(VLOOKUP(D1326,$D$2:$E$4,2,FALSE))-(IF('Informe Kelly'!H1320=$A$2,'Informe Kelly'!F1320,VLOOKUP(D1326,$D$2:$E$4,2,FALSE)))</f>
        <v>#N/A</v>
      </c>
      <c r="F1326" s="142" t="e">
        <f>IF('Informe Kelly'!H1320=$A$3,'Informe Kelly'!F1320,VLOOKUP(D1326,$D$2:$F$4,3,FALSE))-(VLOOKUP(D1326,$D$2:$F$4,3,FALSE))</f>
        <v>#N/A</v>
      </c>
      <c r="G1326" s="137" t="e">
        <f t="shared" si="24"/>
        <v>#N/A</v>
      </c>
    </row>
    <row r="1327" spans="1:7">
      <c r="A1327" s="112" t="str">
        <f>VLOOKUP('Informe Kelly'!A1321,Base!A:B,2,FALSE)</f>
        <v>12.674.806-K</v>
      </c>
      <c r="B1327" s="112" t="str">
        <f>VLOOKUP('Informe Kelly'!A1321,Base!A:G,7,FALSE)</f>
        <v>CARDENAS  ULLOA,MARCO</v>
      </c>
      <c r="C1327" s="112" t="str">
        <f>'Informe Kelly'!E1321</f>
        <v>07.04.2011</v>
      </c>
      <c r="D1327" s="112" t="e">
        <f>VLOOKUP(A1327,Ingreso!K:P,6,FALSE)</f>
        <v>#N/A</v>
      </c>
      <c r="E1327" s="142" t="e">
        <f>(VLOOKUP(D1327,$D$2:$E$4,2,FALSE))-(IF('Informe Kelly'!H1321=$A$2,'Informe Kelly'!F1321,VLOOKUP(D1327,$D$2:$E$4,2,FALSE)))</f>
        <v>#N/A</v>
      </c>
      <c r="F1327" s="142" t="e">
        <f>IF('Informe Kelly'!H1321=$A$3,'Informe Kelly'!F1321,VLOOKUP(D1327,$D$2:$F$4,3,FALSE))-(VLOOKUP(D1327,$D$2:$F$4,3,FALSE))</f>
        <v>#N/A</v>
      </c>
      <c r="G1327" s="137" t="e">
        <f t="shared" si="24"/>
        <v>#N/A</v>
      </c>
    </row>
    <row r="1328" spans="1:7">
      <c r="A1328" s="112" t="str">
        <f>VLOOKUP('Informe Kelly'!A1322,Base!A:B,2,FALSE)</f>
        <v>12.674.806-K</v>
      </c>
      <c r="B1328" s="112" t="str">
        <f>VLOOKUP('Informe Kelly'!A1322,Base!A:G,7,FALSE)</f>
        <v>CARDENAS  ULLOA,MARCO</v>
      </c>
      <c r="C1328" s="112" t="str">
        <f>'Informe Kelly'!E1322</f>
        <v>07.04.2011</v>
      </c>
      <c r="D1328" s="112" t="e">
        <f>VLOOKUP(A1328,Ingreso!K:P,6,FALSE)</f>
        <v>#N/A</v>
      </c>
      <c r="E1328" s="142" t="e">
        <f>(VLOOKUP(D1328,$D$2:$E$4,2,FALSE))-(IF('Informe Kelly'!H1322=$A$2,'Informe Kelly'!F1322,VLOOKUP(D1328,$D$2:$E$4,2,FALSE)))</f>
        <v>#N/A</v>
      </c>
      <c r="F1328" s="142" t="e">
        <f>IF('Informe Kelly'!H1322=$A$3,'Informe Kelly'!F1322,VLOOKUP(D1328,$D$2:$F$4,3,FALSE))-(VLOOKUP(D1328,$D$2:$F$4,3,FALSE))</f>
        <v>#N/A</v>
      </c>
      <c r="G1328" s="137" t="e">
        <f t="shared" si="24"/>
        <v>#N/A</v>
      </c>
    </row>
    <row r="1329" spans="1:7">
      <c r="A1329" s="112" t="str">
        <f>VLOOKUP('Informe Kelly'!A1323,Base!A:B,2,FALSE)</f>
        <v>12.674.806-K</v>
      </c>
      <c r="B1329" s="112" t="str">
        <f>VLOOKUP('Informe Kelly'!A1323,Base!A:G,7,FALSE)</f>
        <v>CARDENAS  ULLOA,MARCO</v>
      </c>
      <c r="C1329" s="112" t="str">
        <f>'Informe Kelly'!E1323</f>
        <v>08.04.2011</v>
      </c>
      <c r="D1329" s="112" t="e">
        <f>VLOOKUP(A1329,Ingreso!K:P,6,FALSE)</f>
        <v>#N/A</v>
      </c>
      <c r="E1329" s="142" t="e">
        <f>(VLOOKUP(D1329,$D$2:$E$4,2,FALSE))-(IF('Informe Kelly'!H1323=$A$2,'Informe Kelly'!F1323,VLOOKUP(D1329,$D$2:$E$4,2,FALSE)))</f>
        <v>#N/A</v>
      </c>
      <c r="F1329" s="142" t="e">
        <f>IF('Informe Kelly'!H1323=$A$3,'Informe Kelly'!F1323,VLOOKUP(D1329,$D$2:$F$4,3,FALSE))-(VLOOKUP(D1329,$D$2:$F$4,3,FALSE))</f>
        <v>#N/A</v>
      </c>
      <c r="G1329" s="137" t="e">
        <f t="shared" si="24"/>
        <v>#N/A</v>
      </c>
    </row>
    <row r="1330" spans="1:7">
      <c r="A1330" s="112" t="str">
        <f>VLOOKUP('Informe Kelly'!A1324,Base!A:B,2,FALSE)</f>
        <v>12.674.806-K</v>
      </c>
      <c r="B1330" s="112" t="str">
        <f>VLOOKUP('Informe Kelly'!A1324,Base!A:G,7,FALSE)</f>
        <v>CARDENAS  ULLOA,MARCO</v>
      </c>
      <c r="C1330" s="112" t="str">
        <f>'Informe Kelly'!E1324</f>
        <v>08.04.2011</v>
      </c>
      <c r="D1330" s="112" t="e">
        <f>VLOOKUP(A1330,Ingreso!K:P,6,FALSE)</f>
        <v>#N/A</v>
      </c>
      <c r="E1330" s="142" t="e">
        <f>(VLOOKUP(D1330,$D$2:$E$4,2,FALSE))-(IF('Informe Kelly'!H1324=$A$2,'Informe Kelly'!F1324,VLOOKUP(D1330,$D$2:$E$4,2,FALSE)))</f>
        <v>#N/A</v>
      </c>
      <c r="F1330" s="142" t="e">
        <f>IF('Informe Kelly'!H1324=$A$3,'Informe Kelly'!F1324,VLOOKUP(D1330,$D$2:$F$4,3,FALSE))-(VLOOKUP(D1330,$D$2:$F$4,3,FALSE))</f>
        <v>#N/A</v>
      </c>
      <c r="G1330" s="137" t="e">
        <f t="shared" si="24"/>
        <v>#N/A</v>
      </c>
    </row>
    <row r="1331" spans="1:7">
      <c r="A1331" s="112" t="str">
        <f>VLOOKUP('Informe Kelly'!A1325,Base!A:B,2,FALSE)</f>
        <v>12.674.806-K</v>
      </c>
      <c r="B1331" s="112" t="str">
        <f>VLOOKUP('Informe Kelly'!A1325,Base!A:G,7,FALSE)</f>
        <v>CARDENAS  ULLOA,MARCO</v>
      </c>
      <c r="C1331" s="112" t="str">
        <f>'Informe Kelly'!E1325</f>
        <v>09.04.2011</v>
      </c>
      <c r="D1331" s="112" t="e">
        <f>VLOOKUP(A1331,Ingreso!K:P,6,FALSE)</f>
        <v>#N/A</v>
      </c>
      <c r="E1331" s="142" t="e">
        <f>(VLOOKUP(D1331,$D$2:$E$4,2,FALSE))-(IF('Informe Kelly'!H1325=$A$2,'Informe Kelly'!F1325,VLOOKUP(D1331,$D$2:$E$4,2,FALSE)))</f>
        <v>#N/A</v>
      </c>
      <c r="F1331" s="142" t="e">
        <f>IF('Informe Kelly'!H1325=$A$3,'Informe Kelly'!F1325,VLOOKUP(D1331,$D$2:$F$4,3,FALSE))-(VLOOKUP(D1331,$D$2:$F$4,3,FALSE))</f>
        <v>#N/A</v>
      </c>
      <c r="G1331" s="137" t="e">
        <f t="shared" si="24"/>
        <v>#N/A</v>
      </c>
    </row>
    <row r="1332" spans="1:7">
      <c r="A1332" s="112" t="str">
        <f>VLOOKUP('Informe Kelly'!A1326,Base!A:B,2,FALSE)</f>
        <v>12.674.806-K</v>
      </c>
      <c r="B1332" s="112" t="str">
        <f>VLOOKUP('Informe Kelly'!A1326,Base!A:G,7,FALSE)</f>
        <v>CARDENAS  ULLOA,MARCO</v>
      </c>
      <c r="C1332" s="112" t="str">
        <f>'Informe Kelly'!E1326</f>
        <v>09.04.2011</v>
      </c>
      <c r="D1332" s="112" t="e">
        <f>VLOOKUP(A1332,Ingreso!K:P,6,FALSE)</f>
        <v>#N/A</v>
      </c>
      <c r="E1332" s="142" t="e">
        <f>(VLOOKUP(D1332,$D$2:$E$4,2,FALSE))-(IF('Informe Kelly'!H1326=$A$2,'Informe Kelly'!F1326,VLOOKUP(D1332,$D$2:$E$4,2,FALSE)))</f>
        <v>#N/A</v>
      </c>
      <c r="F1332" s="142" t="e">
        <f>IF('Informe Kelly'!H1326=$A$3,'Informe Kelly'!F1326,VLOOKUP(D1332,$D$2:$F$4,3,FALSE))-(VLOOKUP(D1332,$D$2:$F$4,3,FALSE))</f>
        <v>#N/A</v>
      </c>
      <c r="G1332" s="137" t="e">
        <f t="shared" si="24"/>
        <v>#N/A</v>
      </c>
    </row>
    <row r="1333" spans="1:7">
      <c r="A1333" s="112" t="str">
        <f>VLOOKUP('Informe Kelly'!A1327,Base!A:B,2,FALSE)</f>
        <v>12.677.439-7</v>
      </c>
      <c r="B1333" s="112" t="str">
        <f>VLOOKUP('Informe Kelly'!A1327,Base!A:G,7,FALSE)</f>
        <v>AEDO MUÑOZ ANDRES RAUL</v>
      </c>
      <c r="C1333" s="112" t="str">
        <f>'Informe Kelly'!E1327</f>
        <v>04.04.2011</v>
      </c>
      <c r="D1333" s="112" t="e">
        <f>VLOOKUP(A1333,Ingreso!K:P,6,FALSE)</f>
        <v>#N/A</v>
      </c>
      <c r="E1333" s="142" t="e">
        <f>(VLOOKUP(D1333,$D$2:$E$4,2,FALSE))-(IF('Informe Kelly'!H1327=$A$2,'Informe Kelly'!F1327,VLOOKUP(D1333,$D$2:$E$4,2,FALSE)))</f>
        <v>#N/A</v>
      </c>
      <c r="F1333" s="142" t="e">
        <f>IF('Informe Kelly'!H1327=$A$3,'Informe Kelly'!F1327,VLOOKUP(D1333,$D$2:$F$4,3,FALSE))-(VLOOKUP(D1333,$D$2:$F$4,3,FALSE))</f>
        <v>#N/A</v>
      </c>
      <c r="G1333" s="137" t="e">
        <f t="shared" si="24"/>
        <v>#N/A</v>
      </c>
    </row>
    <row r="1334" spans="1:7">
      <c r="A1334" s="112" t="str">
        <f>VLOOKUP('Informe Kelly'!A1328,Base!A:B,2,FALSE)</f>
        <v>12.677.439-7</v>
      </c>
      <c r="B1334" s="112" t="str">
        <f>VLOOKUP('Informe Kelly'!A1328,Base!A:G,7,FALSE)</f>
        <v>AEDO MUÑOZ ANDRES RAUL</v>
      </c>
      <c r="C1334" s="112" t="str">
        <f>'Informe Kelly'!E1328</f>
        <v>04.04.2011</v>
      </c>
      <c r="D1334" s="112" t="e">
        <f>VLOOKUP(A1334,Ingreso!K:P,6,FALSE)</f>
        <v>#N/A</v>
      </c>
      <c r="E1334" s="142" t="e">
        <f>(VLOOKUP(D1334,$D$2:$E$4,2,FALSE))-(IF('Informe Kelly'!H1328=$A$2,'Informe Kelly'!F1328,VLOOKUP(D1334,$D$2:$E$4,2,FALSE)))</f>
        <v>#N/A</v>
      </c>
      <c r="F1334" s="142" t="e">
        <f>IF('Informe Kelly'!H1328=$A$3,'Informe Kelly'!F1328,VLOOKUP(D1334,$D$2:$F$4,3,FALSE))-(VLOOKUP(D1334,$D$2:$F$4,3,FALSE))</f>
        <v>#N/A</v>
      </c>
      <c r="G1334" s="137" t="e">
        <f t="shared" si="24"/>
        <v>#N/A</v>
      </c>
    </row>
    <row r="1335" spans="1:7">
      <c r="A1335" s="112" t="str">
        <f>VLOOKUP('Informe Kelly'!A1329,Base!A:B,2,FALSE)</f>
        <v>12.677.439-7</v>
      </c>
      <c r="B1335" s="112" t="str">
        <f>VLOOKUP('Informe Kelly'!A1329,Base!A:G,7,FALSE)</f>
        <v>AEDO MUÑOZ ANDRES RAUL</v>
      </c>
      <c r="C1335" s="112" t="str">
        <f>'Informe Kelly'!E1329</f>
        <v>05.04.2011</v>
      </c>
      <c r="D1335" s="112" t="e">
        <f>VLOOKUP(A1335,Ingreso!K:P,6,FALSE)</f>
        <v>#N/A</v>
      </c>
      <c r="E1335" s="142" t="e">
        <f>(VLOOKUP(D1335,$D$2:$E$4,2,FALSE))-(IF('Informe Kelly'!H1329=$A$2,'Informe Kelly'!F1329,VLOOKUP(D1335,$D$2:$E$4,2,FALSE)))</f>
        <v>#N/A</v>
      </c>
      <c r="F1335" s="142" t="e">
        <f>IF('Informe Kelly'!H1329=$A$3,'Informe Kelly'!F1329,VLOOKUP(D1335,$D$2:$F$4,3,FALSE))-(VLOOKUP(D1335,$D$2:$F$4,3,FALSE))</f>
        <v>#N/A</v>
      </c>
      <c r="G1335" s="137" t="e">
        <f t="shared" si="24"/>
        <v>#N/A</v>
      </c>
    </row>
    <row r="1336" spans="1:7">
      <c r="A1336" s="112" t="str">
        <f>VLOOKUP('Informe Kelly'!A1330,Base!A:B,2,FALSE)</f>
        <v>12.677.439-7</v>
      </c>
      <c r="B1336" s="112" t="str">
        <f>VLOOKUP('Informe Kelly'!A1330,Base!A:G,7,FALSE)</f>
        <v>AEDO MUÑOZ ANDRES RAUL</v>
      </c>
      <c r="C1336" s="112" t="str">
        <f>'Informe Kelly'!E1330</f>
        <v>05.04.2011</v>
      </c>
      <c r="D1336" s="112" t="e">
        <f>VLOOKUP(A1336,Ingreso!K:P,6,FALSE)</f>
        <v>#N/A</v>
      </c>
      <c r="E1336" s="142" t="e">
        <f>(VLOOKUP(D1336,$D$2:$E$4,2,FALSE))-(IF('Informe Kelly'!H1330=$A$2,'Informe Kelly'!F1330,VLOOKUP(D1336,$D$2:$E$4,2,FALSE)))</f>
        <v>#N/A</v>
      </c>
      <c r="F1336" s="142" t="e">
        <f>IF('Informe Kelly'!H1330=$A$3,'Informe Kelly'!F1330,VLOOKUP(D1336,$D$2:$F$4,3,FALSE))-(VLOOKUP(D1336,$D$2:$F$4,3,FALSE))</f>
        <v>#N/A</v>
      </c>
      <c r="G1336" s="137" t="e">
        <f t="shared" si="24"/>
        <v>#N/A</v>
      </c>
    </row>
    <row r="1337" spans="1:7">
      <c r="A1337" s="112" t="str">
        <f>VLOOKUP('Informe Kelly'!A1331,Base!A:B,2,FALSE)</f>
        <v>12.677.439-7</v>
      </c>
      <c r="B1337" s="112" t="str">
        <f>VLOOKUP('Informe Kelly'!A1331,Base!A:G,7,FALSE)</f>
        <v>AEDO MUÑOZ ANDRES RAUL</v>
      </c>
      <c r="C1337" s="112" t="str">
        <f>'Informe Kelly'!E1331</f>
        <v>06.04.2011</v>
      </c>
      <c r="D1337" s="112" t="e">
        <f>VLOOKUP(A1337,Ingreso!K:P,6,FALSE)</f>
        <v>#N/A</v>
      </c>
      <c r="E1337" s="142" t="e">
        <f>(VLOOKUP(D1337,$D$2:$E$4,2,FALSE))-(IF('Informe Kelly'!H1331=$A$2,'Informe Kelly'!F1331,VLOOKUP(D1337,$D$2:$E$4,2,FALSE)))</f>
        <v>#N/A</v>
      </c>
      <c r="F1337" s="142" t="e">
        <f>IF('Informe Kelly'!H1331=$A$3,'Informe Kelly'!F1331,VLOOKUP(D1337,$D$2:$F$4,3,FALSE))-(VLOOKUP(D1337,$D$2:$F$4,3,FALSE))</f>
        <v>#N/A</v>
      </c>
      <c r="G1337" s="137" t="e">
        <f t="shared" si="24"/>
        <v>#N/A</v>
      </c>
    </row>
    <row r="1338" spans="1:7">
      <c r="A1338" s="112" t="str">
        <f>VLOOKUP('Informe Kelly'!A1332,Base!A:B,2,FALSE)</f>
        <v>12.677.439-7</v>
      </c>
      <c r="B1338" s="112" t="str">
        <f>VLOOKUP('Informe Kelly'!A1332,Base!A:G,7,FALSE)</f>
        <v>AEDO MUÑOZ ANDRES RAUL</v>
      </c>
      <c r="C1338" s="112" t="str">
        <f>'Informe Kelly'!E1332</f>
        <v>06.04.2011</v>
      </c>
      <c r="D1338" s="112" t="e">
        <f>VLOOKUP(A1338,Ingreso!K:P,6,FALSE)</f>
        <v>#N/A</v>
      </c>
      <c r="E1338" s="142" t="e">
        <f>(VLOOKUP(D1338,$D$2:$E$4,2,FALSE))-(IF('Informe Kelly'!H1332=$A$2,'Informe Kelly'!F1332,VLOOKUP(D1338,$D$2:$E$4,2,FALSE)))</f>
        <v>#N/A</v>
      </c>
      <c r="F1338" s="142" t="e">
        <f>IF('Informe Kelly'!H1332=$A$3,'Informe Kelly'!F1332,VLOOKUP(D1338,$D$2:$F$4,3,FALSE))-(VLOOKUP(D1338,$D$2:$F$4,3,FALSE))</f>
        <v>#N/A</v>
      </c>
      <c r="G1338" s="137" t="e">
        <f t="shared" si="24"/>
        <v>#N/A</v>
      </c>
    </row>
    <row r="1339" spans="1:7">
      <c r="A1339" s="112" t="str">
        <f>VLOOKUP('Informe Kelly'!A1333,Base!A:B,2,FALSE)</f>
        <v>12.677.439-7</v>
      </c>
      <c r="B1339" s="112" t="str">
        <f>VLOOKUP('Informe Kelly'!A1333,Base!A:G,7,FALSE)</f>
        <v>AEDO MUÑOZ ANDRES RAUL</v>
      </c>
      <c r="C1339" s="112" t="str">
        <f>'Informe Kelly'!E1333</f>
        <v>07.04.2011</v>
      </c>
      <c r="D1339" s="112" t="e">
        <f>VLOOKUP(A1339,Ingreso!K:P,6,FALSE)</f>
        <v>#N/A</v>
      </c>
      <c r="E1339" s="142" t="e">
        <f>(VLOOKUP(D1339,$D$2:$E$4,2,FALSE))-(IF('Informe Kelly'!H1333=$A$2,'Informe Kelly'!F1333,VLOOKUP(D1339,$D$2:$E$4,2,FALSE)))</f>
        <v>#N/A</v>
      </c>
      <c r="F1339" s="142" t="e">
        <f>IF('Informe Kelly'!H1333=$A$3,'Informe Kelly'!F1333,VLOOKUP(D1339,$D$2:$F$4,3,FALSE))-(VLOOKUP(D1339,$D$2:$F$4,3,FALSE))</f>
        <v>#N/A</v>
      </c>
      <c r="G1339" s="137" t="e">
        <f t="shared" si="24"/>
        <v>#N/A</v>
      </c>
    </row>
    <row r="1340" spans="1:7">
      <c r="A1340" s="112" t="str">
        <f>VLOOKUP('Informe Kelly'!A1334,Base!A:B,2,FALSE)</f>
        <v>12.677.439-7</v>
      </c>
      <c r="B1340" s="112" t="str">
        <f>VLOOKUP('Informe Kelly'!A1334,Base!A:G,7,FALSE)</f>
        <v>AEDO MUÑOZ ANDRES RAUL</v>
      </c>
      <c r="C1340" s="112" t="str">
        <f>'Informe Kelly'!E1334</f>
        <v>07.04.2011</v>
      </c>
      <c r="D1340" s="112" t="e">
        <f>VLOOKUP(A1340,Ingreso!K:P,6,FALSE)</f>
        <v>#N/A</v>
      </c>
      <c r="E1340" s="142" t="e">
        <f>(VLOOKUP(D1340,$D$2:$E$4,2,FALSE))-(IF('Informe Kelly'!H1334=$A$2,'Informe Kelly'!F1334,VLOOKUP(D1340,$D$2:$E$4,2,FALSE)))</f>
        <v>#N/A</v>
      </c>
      <c r="F1340" s="142" t="e">
        <f>IF('Informe Kelly'!H1334=$A$3,'Informe Kelly'!F1334,VLOOKUP(D1340,$D$2:$F$4,3,FALSE))-(VLOOKUP(D1340,$D$2:$F$4,3,FALSE))</f>
        <v>#N/A</v>
      </c>
      <c r="G1340" s="137" t="e">
        <f t="shared" si="24"/>
        <v>#N/A</v>
      </c>
    </row>
    <row r="1341" spans="1:7">
      <c r="A1341" s="112" t="str">
        <f>VLOOKUP('Informe Kelly'!A1335,Base!A:B,2,FALSE)</f>
        <v>12.677.439-7</v>
      </c>
      <c r="B1341" s="112" t="str">
        <f>VLOOKUP('Informe Kelly'!A1335,Base!A:G,7,FALSE)</f>
        <v>AEDO MUÑOZ ANDRES RAUL</v>
      </c>
      <c r="C1341" s="112" t="str">
        <f>'Informe Kelly'!E1335</f>
        <v>08.04.2011</v>
      </c>
      <c r="D1341" s="112" t="e">
        <f>VLOOKUP(A1341,Ingreso!K:P,6,FALSE)</f>
        <v>#N/A</v>
      </c>
      <c r="E1341" s="142" t="e">
        <f>(VLOOKUP(D1341,$D$2:$E$4,2,FALSE))-(IF('Informe Kelly'!H1335=$A$2,'Informe Kelly'!F1335,VLOOKUP(D1341,$D$2:$E$4,2,FALSE)))</f>
        <v>#N/A</v>
      </c>
      <c r="F1341" s="142" t="e">
        <f>IF('Informe Kelly'!H1335=$A$3,'Informe Kelly'!F1335,VLOOKUP(D1341,$D$2:$F$4,3,FALSE))-(VLOOKUP(D1341,$D$2:$F$4,3,FALSE))</f>
        <v>#N/A</v>
      </c>
      <c r="G1341" s="137" t="e">
        <f t="shared" si="24"/>
        <v>#N/A</v>
      </c>
    </row>
    <row r="1342" spans="1:7">
      <c r="A1342" s="112" t="str">
        <f>VLOOKUP('Informe Kelly'!A1336,Base!A:B,2,FALSE)</f>
        <v>12.677.439-7</v>
      </c>
      <c r="B1342" s="112" t="str">
        <f>VLOOKUP('Informe Kelly'!A1336,Base!A:G,7,FALSE)</f>
        <v>AEDO MUÑOZ ANDRES RAUL</v>
      </c>
      <c r="C1342" s="112" t="str">
        <f>'Informe Kelly'!E1336</f>
        <v>08.04.2011</v>
      </c>
      <c r="D1342" s="112" t="e">
        <f>VLOOKUP(A1342,Ingreso!K:P,6,FALSE)</f>
        <v>#N/A</v>
      </c>
      <c r="E1342" s="142" t="e">
        <f>(VLOOKUP(D1342,$D$2:$E$4,2,FALSE))-(IF('Informe Kelly'!H1336=$A$2,'Informe Kelly'!F1336,VLOOKUP(D1342,$D$2:$E$4,2,FALSE)))</f>
        <v>#N/A</v>
      </c>
      <c r="F1342" s="142" t="e">
        <f>IF('Informe Kelly'!H1336=$A$3,'Informe Kelly'!F1336,VLOOKUP(D1342,$D$2:$F$4,3,FALSE))-(VLOOKUP(D1342,$D$2:$F$4,3,FALSE))</f>
        <v>#N/A</v>
      </c>
      <c r="G1342" s="137" t="e">
        <f t="shared" si="24"/>
        <v>#N/A</v>
      </c>
    </row>
    <row r="1343" spans="1:7">
      <c r="A1343" s="112" t="str">
        <f>VLOOKUP('Informe Kelly'!A1337,Base!A:B,2,FALSE)</f>
        <v>12.677.439-7</v>
      </c>
      <c r="B1343" s="112" t="str">
        <f>VLOOKUP('Informe Kelly'!A1337,Base!A:G,7,FALSE)</f>
        <v>AEDO MUÑOZ ANDRES RAUL</v>
      </c>
      <c r="C1343" s="112" t="str">
        <f>'Informe Kelly'!E1337</f>
        <v>09.04.2011</v>
      </c>
      <c r="D1343" s="112" t="e">
        <f>VLOOKUP(A1343,Ingreso!K:P,6,FALSE)</f>
        <v>#N/A</v>
      </c>
      <c r="E1343" s="142" t="e">
        <f>(VLOOKUP(D1343,$D$2:$E$4,2,FALSE))-(IF('Informe Kelly'!H1337=$A$2,'Informe Kelly'!F1337,VLOOKUP(D1343,$D$2:$E$4,2,FALSE)))</f>
        <v>#N/A</v>
      </c>
      <c r="F1343" s="142" t="e">
        <f>IF('Informe Kelly'!H1337=$A$3,'Informe Kelly'!F1337,VLOOKUP(D1343,$D$2:$F$4,3,FALSE))-(VLOOKUP(D1343,$D$2:$F$4,3,FALSE))</f>
        <v>#N/A</v>
      </c>
      <c r="G1343" s="137" t="e">
        <f t="shared" si="24"/>
        <v>#N/A</v>
      </c>
    </row>
    <row r="1344" spans="1:7">
      <c r="A1344" s="112" t="str">
        <f>VLOOKUP('Informe Kelly'!A1338,Base!A:B,2,FALSE)</f>
        <v>12.677.439-7</v>
      </c>
      <c r="B1344" s="112" t="str">
        <f>VLOOKUP('Informe Kelly'!A1338,Base!A:G,7,FALSE)</f>
        <v>AEDO MUÑOZ ANDRES RAUL</v>
      </c>
      <c r="C1344" s="112" t="str">
        <f>'Informe Kelly'!E1338</f>
        <v>09.04.2011</v>
      </c>
      <c r="D1344" s="112" t="e">
        <f>VLOOKUP(A1344,Ingreso!K:P,6,FALSE)</f>
        <v>#N/A</v>
      </c>
      <c r="E1344" s="142" t="e">
        <f>(VLOOKUP(D1344,$D$2:$E$4,2,FALSE))-(IF('Informe Kelly'!H1338=$A$2,'Informe Kelly'!F1338,VLOOKUP(D1344,$D$2:$E$4,2,FALSE)))</f>
        <v>#N/A</v>
      </c>
      <c r="F1344" s="142" t="e">
        <f>IF('Informe Kelly'!H1338=$A$3,'Informe Kelly'!F1338,VLOOKUP(D1344,$D$2:$F$4,3,FALSE))-(VLOOKUP(D1344,$D$2:$F$4,3,FALSE))</f>
        <v>#N/A</v>
      </c>
      <c r="G1344" s="137" t="e">
        <f t="shared" si="24"/>
        <v>#N/A</v>
      </c>
    </row>
    <row r="1345" spans="1:7">
      <c r="A1345" s="112" t="str">
        <f>VLOOKUP('Informe Kelly'!A1339,Base!A:B,2,FALSE)</f>
        <v>12.688.280-7</v>
      </c>
      <c r="B1345" s="112" t="str">
        <f>VLOOKUP('Informe Kelly'!A1339,Base!A:G,7,FALSE)</f>
        <v>RIVERA VARGAS VERONICA ANDREA</v>
      </c>
      <c r="C1345" s="112" t="str">
        <f>'Informe Kelly'!E1339</f>
        <v>04.04.2011</v>
      </c>
      <c r="D1345" s="112" t="e">
        <f>VLOOKUP(A1345,Ingreso!K:P,6,FALSE)</f>
        <v>#N/A</v>
      </c>
      <c r="E1345" s="142" t="e">
        <f>(VLOOKUP(D1345,$D$2:$E$4,2,FALSE))-(IF('Informe Kelly'!H1339=$A$2,'Informe Kelly'!F1339,VLOOKUP(D1345,$D$2:$E$4,2,FALSE)))</f>
        <v>#N/A</v>
      </c>
      <c r="F1345" s="142" t="e">
        <f>IF('Informe Kelly'!H1339=$A$3,'Informe Kelly'!F1339,VLOOKUP(D1345,$D$2:$F$4,3,FALSE))-(VLOOKUP(D1345,$D$2:$F$4,3,FALSE))</f>
        <v>#N/A</v>
      </c>
      <c r="G1345" s="137" t="e">
        <f t="shared" si="24"/>
        <v>#N/A</v>
      </c>
    </row>
    <row r="1346" spans="1:7">
      <c r="A1346" s="112" t="str">
        <f>VLOOKUP('Informe Kelly'!A1340,Base!A:B,2,FALSE)</f>
        <v>12.688.280-7</v>
      </c>
      <c r="B1346" s="112" t="str">
        <f>VLOOKUP('Informe Kelly'!A1340,Base!A:G,7,FALSE)</f>
        <v>RIVERA VARGAS VERONICA ANDREA</v>
      </c>
      <c r="C1346" s="112" t="str">
        <f>'Informe Kelly'!E1340</f>
        <v>04.04.2011</v>
      </c>
      <c r="D1346" s="112" t="e">
        <f>VLOOKUP(A1346,Ingreso!K:P,6,FALSE)</f>
        <v>#N/A</v>
      </c>
      <c r="E1346" s="142" t="e">
        <f>(VLOOKUP(D1346,$D$2:$E$4,2,FALSE))-(IF('Informe Kelly'!H1340=$A$2,'Informe Kelly'!F1340,VLOOKUP(D1346,$D$2:$E$4,2,FALSE)))</f>
        <v>#N/A</v>
      </c>
      <c r="F1346" s="142" t="e">
        <f>IF('Informe Kelly'!H1340=$A$3,'Informe Kelly'!F1340,VLOOKUP(D1346,$D$2:$F$4,3,FALSE))-(VLOOKUP(D1346,$D$2:$F$4,3,FALSE))</f>
        <v>#N/A</v>
      </c>
      <c r="G1346" s="137" t="e">
        <f t="shared" si="24"/>
        <v>#N/A</v>
      </c>
    </row>
    <row r="1347" spans="1:7">
      <c r="A1347" s="112" t="str">
        <f>VLOOKUP('Informe Kelly'!A1341,Base!A:B,2,FALSE)</f>
        <v>12.688.280-7</v>
      </c>
      <c r="B1347" s="112" t="str">
        <f>VLOOKUP('Informe Kelly'!A1341,Base!A:G,7,FALSE)</f>
        <v>RIVERA VARGAS VERONICA ANDREA</v>
      </c>
      <c r="C1347" s="112" t="str">
        <f>'Informe Kelly'!E1341</f>
        <v>05.04.2011</v>
      </c>
      <c r="D1347" s="112" t="e">
        <f>VLOOKUP(A1347,Ingreso!K:P,6,FALSE)</f>
        <v>#N/A</v>
      </c>
      <c r="E1347" s="142" t="e">
        <f>(VLOOKUP(D1347,$D$2:$E$4,2,FALSE))-(IF('Informe Kelly'!H1341=$A$2,'Informe Kelly'!F1341,VLOOKUP(D1347,$D$2:$E$4,2,FALSE)))</f>
        <v>#N/A</v>
      </c>
      <c r="F1347" s="142" t="e">
        <f>IF('Informe Kelly'!H1341=$A$3,'Informe Kelly'!F1341,VLOOKUP(D1347,$D$2:$F$4,3,FALSE))-(VLOOKUP(D1347,$D$2:$F$4,3,FALSE))</f>
        <v>#N/A</v>
      </c>
      <c r="G1347" s="137" t="e">
        <f t="shared" si="24"/>
        <v>#N/A</v>
      </c>
    </row>
    <row r="1348" spans="1:7">
      <c r="A1348" s="112" t="str">
        <f>VLOOKUP('Informe Kelly'!A1342,Base!A:B,2,FALSE)</f>
        <v>12.688.280-7</v>
      </c>
      <c r="B1348" s="112" t="str">
        <f>VLOOKUP('Informe Kelly'!A1342,Base!A:G,7,FALSE)</f>
        <v>RIVERA VARGAS VERONICA ANDREA</v>
      </c>
      <c r="C1348" s="112" t="str">
        <f>'Informe Kelly'!E1342</f>
        <v>05.04.2011</v>
      </c>
      <c r="D1348" s="112" t="e">
        <f>VLOOKUP(A1348,Ingreso!K:P,6,FALSE)</f>
        <v>#N/A</v>
      </c>
      <c r="E1348" s="142" t="e">
        <f>(VLOOKUP(D1348,$D$2:$E$4,2,FALSE))-(IF('Informe Kelly'!H1342=$A$2,'Informe Kelly'!F1342,VLOOKUP(D1348,$D$2:$E$4,2,FALSE)))</f>
        <v>#N/A</v>
      </c>
      <c r="F1348" s="142" t="e">
        <f>IF('Informe Kelly'!H1342=$A$3,'Informe Kelly'!F1342,VLOOKUP(D1348,$D$2:$F$4,3,FALSE))-(VLOOKUP(D1348,$D$2:$F$4,3,FALSE))</f>
        <v>#N/A</v>
      </c>
      <c r="G1348" s="137" t="e">
        <f t="shared" si="24"/>
        <v>#N/A</v>
      </c>
    </row>
    <row r="1349" spans="1:7">
      <c r="A1349" s="112" t="str">
        <f>VLOOKUP('Informe Kelly'!A1343,Base!A:B,2,FALSE)</f>
        <v>12.688.280-7</v>
      </c>
      <c r="B1349" s="112" t="str">
        <f>VLOOKUP('Informe Kelly'!A1343,Base!A:G,7,FALSE)</f>
        <v>RIVERA VARGAS VERONICA ANDREA</v>
      </c>
      <c r="C1349" s="112" t="str">
        <f>'Informe Kelly'!E1343</f>
        <v>06.04.2011</v>
      </c>
      <c r="D1349" s="112" t="e">
        <f>VLOOKUP(A1349,Ingreso!K:P,6,FALSE)</f>
        <v>#N/A</v>
      </c>
      <c r="E1349" s="142" t="e">
        <f>(VLOOKUP(D1349,$D$2:$E$4,2,FALSE))-(IF('Informe Kelly'!H1343=$A$2,'Informe Kelly'!F1343,VLOOKUP(D1349,$D$2:$E$4,2,FALSE)))</f>
        <v>#N/A</v>
      </c>
      <c r="F1349" s="142" t="e">
        <f>IF('Informe Kelly'!H1343=$A$3,'Informe Kelly'!F1343,VLOOKUP(D1349,$D$2:$F$4,3,FALSE))-(VLOOKUP(D1349,$D$2:$F$4,3,FALSE))</f>
        <v>#N/A</v>
      </c>
      <c r="G1349" s="137" t="e">
        <f t="shared" si="24"/>
        <v>#N/A</v>
      </c>
    </row>
    <row r="1350" spans="1:7">
      <c r="A1350" s="112" t="str">
        <f>VLOOKUP('Informe Kelly'!A1344,Base!A:B,2,FALSE)</f>
        <v>12.688.280-7</v>
      </c>
      <c r="B1350" s="112" t="str">
        <f>VLOOKUP('Informe Kelly'!A1344,Base!A:G,7,FALSE)</f>
        <v>RIVERA VARGAS VERONICA ANDREA</v>
      </c>
      <c r="C1350" s="112" t="str">
        <f>'Informe Kelly'!E1344</f>
        <v>06.04.2011</v>
      </c>
      <c r="D1350" s="112" t="e">
        <f>VLOOKUP(A1350,Ingreso!K:P,6,FALSE)</f>
        <v>#N/A</v>
      </c>
      <c r="E1350" s="142" t="e">
        <f>(VLOOKUP(D1350,$D$2:$E$4,2,FALSE))-(IF('Informe Kelly'!H1344=$A$2,'Informe Kelly'!F1344,VLOOKUP(D1350,$D$2:$E$4,2,FALSE)))</f>
        <v>#N/A</v>
      </c>
      <c r="F1350" s="142" t="e">
        <f>IF('Informe Kelly'!H1344=$A$3,'Informe Kelly'!F1344,VLOOKUP(D1350,$D$2:$F$4,3,FALSE))-(VLOOKUP(D1350,$D$2:$F$4,3,FALSE))</f>
        <v>#N/A</v>
      </c>
      <c r="G1350" s="137" t="e">
        <f t="shared" si="24"/>
        <v>#N/A</v>
      </c>
    </row>
    <row r="1351" spans="1:7">
      <c r="A1351" s="112" t="str">
        <f>VLOOKUP('Informe Kelly'!A1345,Base!A:B,2,FALSE)</f>
        <v>12.688.280-7</v>
      </c>
      <c r="B1351" s="112" t="str">
        <f>VLOOKUP('Informe Kelly'!A1345,Base!A:G,7,FALSE)</f>
        <v>RIVERA VARGAS VERONICA ANDREA</v>
      </c>
      <c r="C1351" s="112" t="str">
        <f>'Informe Kelly'!E1345</f>
        <v>07.04.2011</v>
      </c>
      <c r="D1351" s="112" t="e">
        <f>VLOOKUP(A1351,Ingreso!K:P,6,FALSE)</f>
        <v>#N/A</v>
      </c>
      <c r="E1351" s="142" t="e">
        <f>(VLOOKUP(D1351,$D$2:$E$4,2,FALSE))-(IF('Informe Kelly'!H1345=$A$2,'Informe Kelly'!F1345,VLOOKUP(D1351,$D$2:$E$4,2,FALSE)))</f>
        <v>#N/A</v>
      </c>
      <c r="F1351" s="142" t="e">
        <f>IF('Informe Kelly'!H1345=$A$3,'Informe Kelly'!F1345,VLOOKUP(D1351,$D$2:$F$4,3,FALSE))-(VLOOKUP(D1351,$D$2:$F$4,3,FALSE))</f>
        <v>#N/A</v>
      </c>
      <c r="G1351" s="137" t="e">
        <f t="shared" si="24"/>
        <v>#N/A</v>
      </c>
    </row>
    <row r="1352" spans="1:7">
      <c r="A1352" s="112" t="str">
        <f>VLOOKUP('Informe Kelly'!A1346,Base!A:B,2,FALSE)</f>
        <v>12.688.280-7</v>
      </c>
      <c r="B1352" s="112" t="str">
        <f>VLOOKUP('Informe Kelly'!A1346,Base!A:G,7,FALSE)</f>
        <v>RIVERA VARGAS VERONICA ANDREA</v>
      </c>
      <c r="C1352" s="112" t="str">
        <f>'Informe Kelly'!E1346</f>
        <v>07.04.2011</v>
      </c>
      <c r="D1352" s="112" t="e">
        <f>VLOOKUP(A1352,Ingreso!K:P,6,FALSE)</f>
        <v>#N/A</v>
      </c>
      <c r="E1352" s="142" t="e">
        <f>(VLOOKUP(D1352,$D$2:$E$4,2,FALSE))-(IF('Informe Kelly'!H1346=$A$2,'Informe Kelly'!F1346,VLOOKUP(D1352,$D$2:$E$4,2,FALSE)))</f>
        <v>#N/A</v>
      </c>
      <c r="F1352" s="142" t="e">
        <f>IF('Informe Kelly'!H1346=$A$3,'Informe Kelly'!F1346,VLOOKUP(D1352,$D$2:$F$4,3,FALSE))-(VLOOKUP(D1352,$D$2:$F$4,3,FALSE))</f>
        <v>#N/A</v>
      </c>
      <c r="G1352" s="137" t="e">
        <f t="shared" si="24"/>
        <v>#N/A</v>
      </c>
    </row>
    <row r="1353" spans="1:7">
      <c r="A1353" s="112" t="str">
        <f>VLOOKUP('Informe Kelly'!A1347,Base!A:B,2,FALSE)</f>
        <v>12.688.280-7</v>
      </c>
      <c r="B1353" s="112" t="str">
        <f>VLOOKUP('Informe Kelly'!A1347,Base!A:G,7,FALSE)</f>
        <v>RIVERA VARGAS VERONICA ANDREA</v>
      </c>
      <c r="C1353" s="112" t="str">
        <f>'Informe Kelly'!E1347</f>
        <v>08.04.2011</v>
      </c>
      <c r="D1353" s="112" t="e">
        <f>VLOOKUP(A1353,Ingreso!K:P,6,FALSE)</f>
        <v>#N/A</v>
      </c>
      <c r="E1353" s="142" t="e">
        <f>(VLOOKUP(D1353,$D$2:$E$4,2,FALSE))-(IF('Informe Kelly'!H1347=$A$2,'Informe Kelly'!F1347,VLOOKUP(D1353,$D$2:$E$4,2,FALSE)))</f>
        <v>#N/A</v>
      </c>
      <c r="F1353" s="142" t="e">
        <f>IF('Informe Kelly'!H1347=$A$3,'Informe Kelly'!F1347,VLOOKUP(D1353,$D$2:$F$4,3,FALSE))-(VLOOKUP(D1353,$D$2:$F$4,3,FALSE))</f>
        <v>#N/A</v>
      </c>
      <c r="G1353" s="137" t="e">
        <f t="shared" ref="G1353:G1416" si="25">IF(E1353="",IF(F1353&lt;0.0409722222222222,0,E1353),IF(E1353&lt;0.0409722222222222,0,E1353))</f>
        <v>#N/A</v>
      </c>
    </row>
    <row r="1354" spans="1:7">
      <c r="A1354" s="112" t="str">
        <f>VLOOKUP('Informe Kelly'!A1348,Base!A:B,2,FALSE)</f>
        <v>12.688.280-7</v>
      </c>
      <c r="B1354" s="112" t="str">
        <f>VLOOKUP('Informe Kelly'!A1348,Base!A:G,7,FALSE)</f>
        <v>RIVERA VARGAS VERONICA ANDREA</v>
      </c>
      <c r="C1354" s="112" t="str">
        <f>'Informe Kelly'!E1348</f>
        <v>08.04.2011</v>
      </c>
      <c r="D1354" s="112" t="e">
        <f>VLOOKUP(A1354,Ingreso!K:P,6,FALSE)</f>
        <v>#N/A</v>
      </c>
      <c r="E1354" s="142" t="e">
        <f>(VLOOKUP(D1354,$D$2:$E$4,2,FALSE))-(IF('Informe Kelly'!H1348=$A$2,'Informe Kelly'!F1348,VLOOKUP(D1354,$D$2:$E$4,2,FALSE)))</f>
        <v>#N/A</v>
      </c>
      <c r="F1354" s="142" t="e">
        <f>IF('Informe Kelly'!H1348=$A$3,'Informe Kelly'!F1348,VLOOKUP(D1354,$D$2:$F$4,3,FALSE))-(VLOOKUP(D1354,$D$2:$F$4,3,FALSE))</f>
        <v>#N/A</v>
      </c>
      <c r="G1354" s="137" t="e">
        <f t="shared" si="25"/>
        <v>#N/A</v>
      </c>
    </row>
    <row r="1355" spans="1:7">
      <c r="A1355" s="112" t="str">
        <f>VLOOKUP('Informe Kelly'!A1349,Base!A:B,2,FALSE)</f>
        <v>12.688.280-7</v>
      </c>
      <c r="B1355" s="112" t="str">
        <f>VLOOKUP('Informe Kelly'!A1349,Base!A:G,7,FALSE)</f>
        <v>RIVERA VARGAS VERONICA ANDREA</v>
      </c>
      <c r="C1355" s="112" t="str">
        <f>'Informe Kelly'!E1349</f>
        <v>09.04.2011</v>
      </c>
      <c r="D1355" s="112" t="e">
        <f>VLOOKUP(A1355,Ingreso!K:P,6,FALSE)</f>
        <v>#N/A</v>
      </c>
      <c r="E1355" s="142" t="e">
        <f>(VLOOKUP(D1355,$D$2:$E$4,2,FALSE))-(IF('Informe Kelly'!H1349=$A$2,'Informe Kelly'!F1349,VLOOKUP(D1355,$D$2:$E$4,2,FALSE)))</f>
        <v>#N/A</v>
      </c>
      <c r="F1355" s="142" t="e">
        <f>IF('Informe Kelly'!H1349=$A$3,'Informe Kelly'!F1349,VLOOKUP(D1355,$D$2:$F$4,3,FALSE))-(VLOOKUP(D1355,$D$2:$F$4,3,FALSE))</f>
        <v>#N/A</v>
      </c>
      <c r="G1355" s="137" t="e">
        <f t="shared" si="25"/>
        <v>#N/A</v>
      </c>
    </row>
    <row r="1356" spans="1:7">
      <c r="A1356" s="112" t="str">
        <f>VLOOKUP('Informe Kelly'!A1350,Base!A:B,2,FALSE)</f>
        <v>12.688.280-7</v>
      </c>
      <c r="B1356" s="112" t="str">
        <f>VLOOKUP('Informe Kelly'!A1350,Base!A:G,7,FALSE)</f>
        <v>RIVERA VARGAS VERONICA ANDREA</v>
      </c>
      <c r="C1356" s="112" t="str">
        <f>'Informe Kelly'!E1350</f>
        <v>09.04.2011</v>
      </c>
      <c r="D1356" s="112" t="e">
        <f>VLOOKUP(A1356,Ingreso!K:P,6,FALSE)</f>
        <v>#N/A</v>
      </c>
      <c r="E1356" s="142" t="e">
        <f>(VLOOKUP(D1356,$D$2:$E$4,2,FALSE))-(IF('Informe Kelly'!H1350=$A$2,'Informe Kelly'!F1350,VLOOKUP(D1356,$D$2:$E$4,2,FALSE)))</f>
        <v>#N/A</v>
      </c>
      <c r="F1356" s="142" t="e">
        <f>IF('Informe Kelly'!H1350=$A$3,'Informe Kelly'!F1350,VLOOKUP(D1356,$D$2:$F$4,3,FALSE))-(VLOOKUP(D1356,$D$2:$F$4,3,FALSE))</f>
        <v>#N/A</v>
      </c>
      <c r="G1356" s="137" t="e">
        <f t="shared" si="25"/>
        <v>#N/A</v>
      </c>
    </row>
    <row r="1357" spans="1:7">
      <c r="A1357" s="112" t="str">
        <f>VLOOKUP('Informe Kelly'!A1351,Base!A:B,2,FALSE)</f>
        <v>12.690.098-8</v>
      </c>
      <c r="B1357" s="112" t="str">
        <f>VLOOKUP('Informe Kelly'!A1351,Base!A:G,7,FALSE)</f>
        <v>MORALES OLGUIN RODRIGO</v>
      </c>
      <c r="C1357" s="112" t="str">
        <f>'Informe Kelly'!E1351</f>
        <v>04.04.2011</v>
      </c>
      <c r="D1357" s="112" t="e">
        <f>VLOOKUP(A1357,Ingreso!K:P,6,FALSE)</f>
        <v>#N/A</v>
      </c>
      <c r="E1357" s="142" t="e">
        <f>(VLOOKUP(D1357,$D$2:$E$4,2,FALSE))-(IF('Informe Kelly'!H1351=$A$2,'Informe Kelly'!F1351,VLOOKUP(D1357,$D$2:$E$4,2,FALSE)))</f>
        <v>#N/A</v>
      </c>
      <c r="F1357" s="142" t="e">
        <f>IF('Informe Kelly'!H1351=$A$3,'Informe Kelly'!F1351,VLOOKUP(D1357,$D$2:$F$4,3,FALSE))-(VLOOKUP(D1357,$D$2:$F$4,3,FALSE))</f>
        <v>#N/A</v>
      </c>
      <c r="G1357" s="137" t="e">
        <f t="shared" si="25"/>
        <v>#N/A</v>
      </c>
    </row>
    <row r="1358" spans="1:7">
      <c r="A1358" s="112" t="str">
        <f>VLOOKUP('Informe Kelly'!A1352,Base!A:B,2,FALSE)</f>
        <v>12.690.098-8</v>
      </c>
      <c r="B1358" s="112" t="str">
        <f>VLOOKUP('Informe Kelly'!A1352,Base!A:G,7,FALSE)</f>
        <v>MORALES OLGUIN RODRIGO</v>
      </c>
      <c r="C1358" s="112" t="str">
        <f>'Informe Kelly'!E1352</f>
        <v>04.04.2011</v>
      </c>
      <c r="D1358" s="112" t="e">
        <f>VLOOKUP(A1358,Ingreso!K:P,6,FALSE)</f>
        <v>#N/A</v>
      </c>
      <c r="E1358" s="142" t="e">
        <f>(VLOOKUP(D1358,$D$2:$E$4,2,FALSE))-(IF('Informe Kelly'!H1352=$A$2,'Informe Kelly'!F1352,VLOOKUP(D1358,$D$2:$E$4,2,FALSE)))</f>
        <v>#N/A</v>
      </c>
      <c r="F1358" s="142" t="e">
        <f>IF('Informe Kelly'!H1352=$A$3,'Informe Kelly'!F1352,VLOOKUP(D1358,$D$2:$F$4,3,FALSE))-(VLOOKUP(D1358,$D$2:$F$4,3,FALSE))</f>
        <v>#N/A</v>
      </c>
      <c r="G1358" s="137" t="e">
        <f t="shared" si="25"/>
        <v>#N/A</v>
      </c>
    </row>
    <row r="1359" spans="1:7">
      <c r="A1359" s="112" t="str">
        <f>VLOOKUP('Informe Kelly'!A1353,Base!A:B,2,FALSE)</f>
        <v>12.690.098-8</v>
      </c>
      <c r="B1359" s="112" t="str">
        <f>VLOOKUP('Informe Kelly'!A1353,Base!A:G,7,FALSE)</f>
        <v>MORALES OLGUIN RODRIGO</v>
      </c>
      <c r="C1359" s="112" t="str">
        <f>'Informe Kelly'!E1353</f>
        <v>05.04.2011</v>
      </c>
      <c r="D1359" s="112" t="e">
        <f>VLOOKUP(A1359,Ingreso!K:P,6,FALSE)</f>
        <v>#N/A</v>
      </c>
      <c r="E1359" s="142" t="e">
        <f>(VLOOKUP(D1359,$D$2:$E$4,2,FALSE))-(IF('Informe Kelly'!H1353=$A$2,'Informe Kelly'!F1353,VLOOKUP(D1359,$D$2:$E$4,2,FALSE)))</f>
        <v>#N/A</v>
      </c>
      <c r="F1359" s="142" t="e">
        <f>IF('Informe Kelly'!H1353=$A$3,'Informe Kelly'!F1353,VLOOKUP(D1359,$D$2:$F$4,3,FALSE))-(VLOOKUP(D1359,$D$2:$F$4,3,FALSE))</f>
        <v>#N/A</v>
      </c>
      <c r="G1359" s="137" t="e">
        <f t="shared" si="25"/>
        <v>#N/A</v>
      </c>
    </row>
    <row r="1360" spans="1:7">
      <c r="A1360" s="112" t="str">
        <f>VLOOKUP('Informe Kelly'!A1354,Base!A:B,2,FALSE)</f>
        <v>12.690.098-8</v>
      </c>
      <c r="B1360" s="112" t="str">
        <f>VLOOKUP('Informe Kelly'!A1354,Base!A:G,7,FALSE)</f>
        <v>MORALES OLGUIN RODRIGO</v>
      </c>
      <c r="C1360" s="112" t="str">
        <f>'Informe Kelly'!E1354</f>
        <v>05.04.2011</v>
      </c>
      <c r="D1360" s="112" t="e">
        <f>VLOOKUP(A1360,Ingreso!K:P,6,FALSE)</f>
        <v>#N/A</v>
      </c>
      <c r="E1360" s="142" t="e">
        <f>(VLOOKUP(D1360,$D$2:$E$4,2,FALSE))-(IF('Informe Kelly'!H1354=$A$2,'Informe Kelly'!F1354,VLOOKUP(D1360,$D$2:$E$4,2,FALSE)))</f>
        <v>#N/A</v>
      </c>
      <c r="F1360" s="142" t="e">
        <f>IF('Informe Kelly'!H1354=$A$3,'Informe Kelly'!F1354,VLOOKUP(D1360,$D$2:$F$4,3,FALSE))-(VLOOKUP(D1360,$D$2:$F$4,3,FALSE))</f>
        <v>#N/A</v>
      </c>
      <c r="G1360" s="137" t="e">
        <f t="shared" si="25"/>
        <v>#N/A</v>
      </c>
    </row>
    <row r="1361" spans="1:7">
      <c r="A1361" s="112" t="str">
        <f>VLOOKUP('Informe Kelly'!A1355,Base!A:B,2,FALSE)</f>
        <v>12.690.098-8</v>
      </c>
      <c r="B1361" s="112" t="str">
        <f>VLOOKUP('Informe Kelly'!A1355,Base!A:G,7,FALSE)</f>
        <v>MORALES OLGUIN RODRIGO</v>
      </c>
      <c r="C1361" s="112" t="str">
        <f>'Informe Kelly'!E1355</f>
        <v>06.04.2011</v>
      </c>
      <c r="D1361" s="112" t="e">
        <f>VLOOKUP(A1361,Ingreso!K:P,6,FALSE)</f>
        <v>#N/A</v>
      </c>
      <c r="E1361" s="142" t="e">
        <f>(VLOOKUP(D1361,$D$2:$E$4,2,FALSE))-(IF('Informe Kelly'!H1355=$A$2,'Informe Kelly'!F1355,VLOOKUP(D1361,$D$2:$E$4,2,FALSE)))</f>
        <v>#N/A</v>
      </c>
      <c r="F1361" s="142" t="e">
        <f>IF('Informe Kelly'!H1355=$A$3,'Informe Kelly'!F1355,VLOOKUP(D1361,$D$2:$F$4,3,FALSE))-(VLOOKUP(D1361,$D$2:$F$4,3,FALSE))</f>
        <v>#N/A</v>
      </c>
      <c r="G1361" s="137" t="e">
        <f t="shared" si="25"/>
        <v>#N/A</v>
      </c>
    </row>
    <row r="1362" spans="1:7">
      <c r="A1362" s="112" t="str">
        <f>VLOOKUP('Informe Kelly'!A1356,Base!A:B,2,FALSE)</f>
        <v>12.690.098-8</v>
      </c>
      <c r="B1362" s="112" t="str">
        <f>VLOOKUP('Informe Kelly'!A1356,Base!A:G,7,FALSE)</f>
        <v>MORALES OLGUIN RODRIGO</v>
      </c>
      <c r="C1362" s="112" t="str">
        <f>'Informe Kelly'!E1356</f>
        <v>06.04.2011</v>
      </c>
      <c r="D1362" s="112" t="e">
        <f>VLOOKUP(A1362,Ingreso!K:P,6,FALSE)</f>
        <v>#N/A</v>
      </c>
      <c r="E1362" s="142" t="e">
        <f>(VLOOKUP(D1362,$D$2:$E$4,2,FALSE))-(IF('Informe Kelly'!H1356=$A$2,'Informe Kelly'!F1356,VLOOKUP(D1362,$D$2:$E$4,2,FALSE)))</f>
        <v>#N/A</v>
      </c>
      <c r="F1362" s="142" t="e">
        <f>IF('Informe Kelly'!H1356=$A$3,'Informe Kelly'!F1356,VLOOKUP(D1362,$D$2:$F$4,3,FALSE))-(VLOOKUP(D1362,$D$2:$F$4,3,FALSE))</f>
        <v>#N/A</v>
      </c>
      <c r="G1362" s="137" t="e">
        <f t="shared" si="25"/>
        <v>#N/A</v>
      </c>
    </row>
    <row r="1363" spans="1:7">
      <c r="A1363" s="112" t="str">
        <f>VLOOKUP('Informe Kelly'!A1357,Base!A:B,2,FALSE)</f>
        <v>12.690.098-8</v>
      </c>
      <c r="B1363" s="112" t="str">
        <f>VLOOKUP('Informe Kelly'!A1357,Base!A:G,7,FALSE)</f>
        <v>MORALES OLGUIN RODRIGO</v>
      </c>
      <c r="C1363" s="112" t="str">
        <f>'Informe Kelly'!E1357</f>
        <v>07.04.2011</v>
      </c>
      <c r="D1363" s="112" t="e">
        <f>VLOOKUP(A1363,Ingreso!K:P,6,FALSE)</f>
        <v>#N/A</v>
      </c>
      <c r="E1363" s="142" t="e">
        <f>(VLOOKUP(D1363,$D$2:$E$4,2,FALSE))-(IF('Informe Kelly'!H1357=$A$2,'Informe Kelly'!F1357,VLOOKUP(D1363,$D$2:$E$4,2,FALSE)))</f>
        <v>#N/A</v>
      </c>
      <c r="F1363" s="142" t="e">
        <f>IF('Informe Kelly'!H1357=$A$3,'Informe Kelly'!F1357,VLOOKUP(D1363,$D$2:$F$4,3,FALSE))-(VLOOKUP(D1363,$D$2:$F$4,3,FALSE))</f>
        <v>#N/A</v>
      </c>
      <c r="G1363" s="137" t="e">
        <f t="shared" si="25"/>
        <v>#N/A</v>
      </c>
    </row>
    <row r="1364" spans="1:7">
      <c r="A1364" s="112" t="str">
        <f>VLOOKUP('Informe Kelly'!A1358,Base!A:B,2,FALSE)</f>
        <v>12.690.098-8</v>
      </c>
      <c r="B1364" s="112" t="str">
        <f>VLOOKUP('Informe Kelly'!A1358,Base!A:G,7,FALSE)</f>
        <v>MORALES OLGUIN RODRIGO</v>
      </c>
      <c r="C1364" s="112" t="str">
        <f>'Informe Kelly'!E1358</f>
        <v>07.04.2011</v>
      </c>
      <c r="D1364" s="112" t="e">
        <f>VLOOKUP(A1364,Ingreso!K:P,6,FALSE)</f>
        <v>#N/A</v>
      </c>
      <c r="E1364" s="142" t="e">
        <f>(VLOOKUP(D1364,$D$2:$E$4,2,FALSE))-(IF('Informe Kelly'!H1358=$A$2,'Informe Kelly'!F1358,VLOOKUP(D1364,$D$2:$E$4,2,FALSE)))</f>
        <v>#N/A</v>
      </c>
      <c r="F1364" s="142" t="e">
        <f>IF('Informe Kelly'!H1358=$A$3,'Informe Kelly'!F1358,VLOOKUP(D1364,$D$2:$F$4,3,FALSE))-(VLOOKUP(D1364,$D$2:$F$4,3,FALSE))</f>
        <v>#N/A</v>
      </c>
      <c r="G1364" s="137" t="e">
        <f t="shared" si="25"/>
        <v>#N/A</v>
      </c>
    </row>
    <row r="1365" spans="1:7">
      <c r="A1365" s="112" t="str">
        <f>VLOOKUP('Informe Kelly'!A1359,Base!A:B,2,FALSE)</f>
        <v>12.690.098-8</v>
      </c>
      <c r="B1365" s="112" t="str">
        <f>VLOOKUP('Informe Kelly'!A1359,Base!A:G,7,FALSE)</f>
        <v>MORALES OLGUIN RODRIGO</v>
      </c>
      <c r="C1365" s="112" t="str">
        <f>'Informe Kelly'!E1359</f>
        <v>08.04.2011</v>
      </c>
      <c r="D1365" s="112" t="e">
        <f>VLOOKUP(A1365,Ingreso!K:P,6,FALSE)</f>
        <v>#N/A</v>
      </c>
      <c r="E1365" s="142" t="e">
        <f>(VLOOKUP(D1365,$D$2:$E$4,2,FALSE))-(IF('Informe Kelly'!H1359=$A$2,'Informe Kelly'!F1359,VLOOKUP(D1365,$D$2:$E$4,2,FALSE)))</f>
        <v>#N/A</v>
      </c>
      <c r="F1365" s="142" t="e">
        <f>IF('Informe Kelly'!H1359=$A$3,'Informe Kelly'!F1359,VLOOKUP(D1365,$D$2:$F$4,3,FALSE))-(VLOOKUP(D1365,$D$2:$F$4,3,FALSE))</f>
        <v>#N/A</v>
      </c>
      <c r="G1365" s="137" t="e">
        <f t="shared" si="25"/>
        <v>#N/A</v>
      </c>
    </row>
    <row r="1366" spans="1:7">
      <c r="A1366" s="112" t="str">
        <f>VLOOKUP('Informe Kelly'!A1360,Base!A:B,2,FALSE)</f>
        <v>12.690.098-8</v>
      </c>
      <c r="B1366" s="112" t="str">
        <f>VLOOKUP('Informe Kelly'!A1360,Base!A:G,7,FALSE)</f>
        <v>MORALES OLGUIN RODRIGO</v>
      </c>
      <c r="C1366" s="112" t="str">
        <f>'Informe Kelly'!E1360</f>
        <v>08.04.2011</v>
      </c>
      <c r="D1366" s="112" t="e">
        <f>VLOOKUP(A1366,Ingreso!K:P,6,FALSE)</f>
        <v>#N/A</v>
      </c>
      <c r="E1366" s="142" t="e">
        <f>(VLOOKUP(D1366,$D$2:$E$4,2,FALSE))-(IF('Informe Kelly'!H1360=$A$2,'Informe Kelly'!F1360,VLOOKUP(D1366,$D$2:$E$4,2,FALSE)))</f>
        <v>#N/A</v>
      </c>
      <c r="F1366" s="142" t="e">
        <f>IF('Informe Kelly'!H1360=$A$3,'Informe Kelly'!F1360,VLOOKUP(D1366,$D$2:$F$4,3,FALSE))-(VLOOKUP(D1366,$D$2:$F$4,3,FALSE))</f>
        <v>#N/A</v>
      </c>
      <c r="G1366" s="137" t="e">
        <f t="shared" si="25"/>
        <v>#N/A</v>
      </c>
    </row>
    <row r="1367" spans="1:7">
      <c r="A1367" s="112" t="str">
        <f>VLOOKUP('Informe Kelly'!A1361,Base!A:B,2,FALSE)</f>
        <v>12.690.098-8</v>
      </c>
      <c r="B1367" s="112" t="str">
        <f>VLOOKUP('Informe Kelly'!A1361,Base!A:G,7,FALSE)</f>
        <v>MORALES OLGUIN RODRIGO</v>
      </c>
      <c r="C1367" s="112" t="str">
        <f>'Informe Kelly'!E1361</f>
        <v>09.04.2011</v>
      </c>
      <c r="D1367" s="112" t="e">
        <f>VLOOKUP(A1367,Ingreso!K:P,6,FALSE)</f>
        <v>#N/A</v>
      </c>
      <c r="E1367" s="142" t="e">
        <f>(VLOOKUP(D1367,$D$2:$E$4,2,FALSE))-(IF('Informe Kelly'!H1361=$A$2,'Informe Kelly'!F1361,VLOOKUP(D1367,$D$2:$E$4,2,FALSE)))</f>
        <v>#N/A</v>
      </c>
      <c r="F1367" s="142" t="e">
        <f>IF('Informe Kelly'!H1361=$A$3,'Informe Kelly'!F1361,VLOOKUP(D1367,$D$2:$F$4,3,FALSE))-(VLOOKUP(D1367,$D$2:$F$4,3,FALSE))</f>
        <v>#N/A</v>
      </c>
      <c r="G1367" s="137" t="e">
        <f t="shared" si="25"/>
        <v>#N/A</v>
      </c>
    </row>
    <row r="1368" spans="1:7">
      <c r="A1368" s="112" t="str">
        <f>VLOOKUP('Informe Kelly'!A1362,Base!A:B,2,FALSE)</f>
        <v>12.690.098-8</v>
      </c>
      <c r="B1368" s="112" t="str">
        <f>VLOOKUP('Informe Kelly'!A1362,Base!A:G,7,FALSE)</f>
        <v>MORALES OLGUIN RODRIGO</v>
      </c>
      <c r="C1368" s="112" t="str">
        <f>'Informe Kelly'!E1362</f>
        <v>09.04.2011</v>
      </c>
      <c r="D1368" s="112" t="e">
        <f>VLOOKUP(A1368,Ingreso!K:P,6,FALSE)</f>
        <v>#N/A</v>
      </c>
      <c r="E1368" s="142" t="e">
        <f>(VLOOKUP(D1368,$D$2:$E$4,2,FALSE))-(IF('Informe Kelly'!H1362=$A$2,'Informe Kelly'!F1362,VLOOKUP(D1368,$D$2:$E$4,2,FALSE)))</f>
        <v>#N/A</v>
      </c>
      <c r="F1368" s="142" t="e">
        <f>IF('Informe Kelly'!H1362=$A$3,'Informe Kelly'!F1362,VLOOKUP(D1368,$D$2:$F$4,3,FALSE))-(VLOOKUP(D1368,$D$2:$F$4,3,FALSE))</f>
        <v>#N/A</v>
      </c>
      <c r="G1368" s="137" t="e">
        <f t="shared" si="25"/>
        <v>#N/A</v>
      </c>
    </row>
    <row r="1369" spans="1:7">
      <c r="A1369" s="112" t="str">
        <f>VLOOKUP('Informe Kelly'!A1363,Base!A:B,2,FALSE)</f>
        <v>12.740.284-1</v>
      </c>
      <c r="B1369" s="112" t="str">
        <f>VLOOKUP('Informe Kelly'!A1363,Base!A:G,7,FALSE)</f>
        <v>MARCHANT RAMIREZ CARLOS</v>
      </c>
      <c r="C1369" s="112" t="str">
        <f>'Informe Kelly'!E1363</f>
        <v>04.04.2011</v>
      </c>
      <c r="D1369" s="112" t="e">
        <f>VLOOKUP(A1369,Ingreso!K:P,6,FALSE)</f>
        <v>#N/A</v>
      </c>
      <c r="E1369" s="142" t="e">
        <f>(VLOOKUP(D1369,$D$2:$E$4,2,FALSE))-(IF('Informe Kelly'!H1363=$A$2,'Informe Kelly'!F1363,VLOOKUP(D1369,$D$2:$E$4,2,FALSE)))</f>
        <v>#N/A</v>
      </c>
      <c r="F1369" s="142" t="e">
        <f>IF('Informe Kelly'!H1363=$A$3,'Informe Kelly'!F1363,VLOOKUP(D1369,$D$2:$F$4,3,FALSE))-(VLOOKUP(D1369,$D$2:$F$4,3,FALSE))</f>
        <v>#N/A</v>
      </c>
      <c r="G1369" s="137" t="e">
        <f t="shared" si="25"/>
        <v>#N/A</v>
      </c>
    </row>
    <row r="1370" spans="1:7">
      <c r="A1370" s="112" t="str">
        <f>VLOOKUP('Informe Kelly'!A1364,Base!A:B,2,FALSE)</f>
        <v>12.740.284-1</v>
      </c>
      <c r="B1370" s="112" t="str">
        <f>VLOOKUP('Informe Kelly'!A1364,Base!A:G,7,FALSE)</f>
        <v>MARCHANT RAMIREZ CARLOS</v>
      </c>
      <c r="C1370" s="112" t="str">
        <f>'Informe Kelly'!E1364</f>
        <v>05.04.2011</v>
      </c>
      <c r="D1370" s="112" t="e">
        <f>VLOOKUP(A1370,Ingreso!K:P,6,FALSE)</f>
        <v>#N/A</v>
      </c>
      <c r="E1370" s="142" t="e">
        <f>(VLOOKUP(D1370,$D$2:$E$4,2,FALSE))-(IF('Informe Kelly'!H1364=$A$2,'Informe Kelly'!F1364,VLOOKUP(D1370,$D$2:$E$4,2,FALSE)))</f>
        <v>#N/A</v>
      </c>
      <c r="F1370" s="142" t="e">
        <f>IF('Informe Kelly'!H1364=$A$3,'Informe Kelly'!F1364,VLOOKUP(D1370,$D$2:$F$4,3,FALSE))-(VLOOKUP(D1370,$D$2:$F$4,3,FALSE))</f>
        <v>#N/A</v>
      </c>
      <c r="G1370" s="137" t="e">
        <f t="shared" si="25"/>
        <v>#N/A</v>
      </c>
    </row>
    <row r="1371" spans="1:7">
      <c r="A1371" s="112" t="str">
        <f>VLOOKUP('Informe Kelly'!A1365,Base!A:B,2,FALSE)</f>
        <v>12.740.284-1</v>
      </c>
      <c r="B1371" s="112" t="str">
        <f>VLOOKUP('Informe Kelly'!A1365,Base!A:G,7,FALSE)</f>
        <v>MARCHANT RAMIREZ CARLOS</v>
      </c>
      <c r="C1371" s="112" t="str">
        <f>'Informe Kelly'!E1365</f>
        <v>05.04.2011</v>
      </c>
      <c r="D1371" s="112" t="e">
        <f>VLOOKUP(A1371,Ingreso!K:P,6,FALSE)</f>
        <v>#N/A</v>
      </c>
      <c r="E1371" s="142" t="e">
        <f>(VLOOKUP(D1371,$D$2:$E$4,2,FALSE))-(IF('Informe Kelly'!H1365=$A$2,'Informe Kelly'!F1365,VLOOKUP(D1371,$D$2:$E$4,2,FALSE)))</f>
        <v>#N/A</v>
      </c>
      <c r="F1371" s="142" t="e">
        <f>IF('Informe Kelly'!H1365=$A$3,'Informe Kelly'!F1365,VLOOKUP(D1371,$D$2:$F$4,3,FALSE))-(VLOOKUP(D1371,$D$2:$F$4,3,FALSE))</f>
        <v>#N/A</v>
      </c>
      <c r="G1371" s="137" t="e">
        <f t="shared" si="25"/>
        <v>#N/A</v>
      </c>
    </row>
    <row r="1372" spans="1:7">
      <c r="A1372" s="112" t="str">
        <f>VLOOKUP('Informe Kelly'!A1366,Base!A:B,2,FALSE)</f>
        <v>12.740.284-1</v>
      </c>
      <c r="B1372" s="112" t="str">
        <f>VLOOKUP('Informe Kelly'!A1366,Base!A:G,7,FALSE)</f>
        <v>MARCHANT RAMIREZ CARLOS</v>
      </c>
      <c r="C1372" s="112" t="str">
        <f>'Informe Kelly'!E1366</f>
        <v>06.04.2011</v>
      </c>
      <c r="D1372" s="112" t="e">
        <f>VLOOKUP(A1372,Ingreso!K:P,6,FALSE)</f>
        <v>#N/A</v>
      </c>
      <c r="E1372" s="142" t="e">
        <f>(VLOOKUP(D1372,$D$2:$E$4,2,FALSE))-(IF('Informe Kelly'!H1366=$A$2,'Informe Kelly'!F1366,VLOOKUP(D1372,$D$2:$E$4,2,FALSE)))</f>
        <v>#N/A</v>
      </c>
      <c r="F1372" s="142" t="e">
        <f>IF('Informe Kelly'!H1366=$A$3,'Informe Kelly'!F1366,VLOOKUP(D1372,$D$2:$F$4,3,FALSE))-(VLOOKUP(D1372,$D$2:$F$4,3,FALSE))</f>
        <v>#N/A</v>
      </c>
      <c r="G1372" s="137" t="e">
        <f t="shared" si="25"/>
        <v>#N/A</v>
      </c>
    </row>
    <row r="1373" spans="1:7">
      <c r="A1373" s="112" t="str">
        <f>VLOOKUP('Informe Kelly'!A1367,Base!A:B,2,FALSE)</f>
        <v>12.740.284-1</v>
      </c>
      <c r="B1373" s="112" t="str">
        <f>VLOOKUP('Informe Kelly'!A1367,Base!A:G,7,FALSE)</f>
        <v>MARCHANT RAMIREZ CARLOS</v>
      </c>
      <c r="C1373" s="112" t="str">
        <f>'Informe Kelly'!E1367</f>
        <v>06.04.2011</v>
      </c>
      <c r="D1373" s="112" t="e">
        <f>VLOOKUP(A1373,Ingreso!K:P,6,FALSE)</f>
        <v>#N/A</v>
      </c>
      <c r="E1373" s="142" t="e">
        <f>(VLOOKUP(D1373,$D$2:$E$4,2,FALSE))-(IF('Informe Kelly'!H1367=$A$2,'Informe Kelly'!F1367,VLOOKUP(D1373,$D$2:$E$4,2,FALSE)))</f>
        <v>#N/A</v>
      </c>
      <c r="F1373" s="142" t="e">
        <f>IF('Informe Kelly'!H1367=$A$3,'Informe Kelly'!F1367,VLOOKUP(D1373,$D$2:$F$4,3,FALSE))-(VLOOKUP(D1373,$D$2:$F$4,3,FALSE))</f>
        <v>#N/A</v>
      </c>
      <c r="G1373" s="137" t="e">
        <f t="shared" si="25"/>
        <v>#N/A</v>
      </c>
    </row>
    <row r="1374" spans="1:7">
      <c r="A1374" s="112" t="str">
        <f>VLOOKUP('Informe Kelly'!A1368,Base!A:B,2,FALSE)</f>
        <v>12.740.284-1</v>
      </c>
      <c r="B1374" s="112" t="str">
        <f>VLOOKUP('Informe Kelly'!A1368,Base!A:G,7,FALSE)</f>
        <v>MARCHANT RAMIREZ CARLOS</v>
      </c>
      <c r="C1374" s="112" t="str">
        <f>'Informe Kelly'!E1368</f>
        <v>07.04.2011</v>
      </c>
      <c r="D1374" s="112" t="e">
        <f>VLOOKUP(A1374,Ingreso!K:P,6,FALSE)</f>
        <v>#N/A</v>
      </c>
      <c r="E1374" s="142" t="e">
        <f>(VLOOKUP(D1374,$D$2:$E$4,2,FALSE))-(IF('Informe Kelly'!H1368=$A$2,'Informe Kelly'!F1368,VLOOKUP(D1374,$D$2:$E$4,2,FALSE)))</f>
        <v>#N/A</v>
      </c>
      <c r="F1374" s="142" t="e">
        <f>IF('Informe Kelly'!H1368=$A$3,'Informe Kelly'!F1368,VLOOKUP(D1374,$D$2:$F$4,3,FALSE))-(VLOOKUP(D1374,$D$2:$F$4,3,FALSE))</f>
        <v>#N/A</v>
      </c>
      <c r="G1374" s="137" t="e">
        <f t="shared" si="25"/>
        <v>#N/A</v>
      </c>
    </row>
    <row r="1375" spans="1:7">
      <c r="A1375" s="112" t="str">
        <f>VLOOKUP('Informe Kelly'!A1369,Base!A:B,2,FALSE)</f>
        <v>12.740.284-1</v>
      </c>
      <c r="B1375" s="112" t="str">
        <f>VLOOKUP('Informe Kelly'!A1369,Base!A:G,7,FALSE)</f>
        <v>MARCHANT RAMIREZ CARLOS</v>
      </c>
      <c r="C1375" s="112" t="str">
        <f>'Informe Kelly'!E1369</f>
        <v>07.04.2011</v>
      </c>
      <c r="D1375" s="112" t="e">
        <f>VLOOKUP(A1375,Ingreso!K:P,6,FALSE)</f>
        <v>#N/A</v>
      </c>
      <c r="E1375" s="142" t="e">
        <f>(VLOOKUP(D1375,$D$2:$E$4,2,FALSE))-(IF('Informe Kelly'!H1369=$A$2,'Informe Kelly'!F1369,VLOOKUP(D1375,$D$2:$E$4,2,FALSE)))</f>
        <v>#N/A</v>
      </c>
      <c r="F1375" s="142" t="e">
        <f>IF('Informe Kelly'!H1369=$A$3,'Informe Kelly'!F1369,VLOOKUP(D1375,$D$2:$F$4,3,FALSE))-(VLOOKUP(D1375,$D$2:$F$4,3,FALSE))</f>
        <v>#N/A</v>
      </c>
      <c r="G1375" s="137" t="e">
        <f t="shared" si="25"/>
        <v>#N/A</v>
      </c>
    </row>
    <row r="1376" spans="1:7">
      <c r="A1376" s="112" t="str">
        <f>VLOOKUP('Informe Kelly'!A1370,Base!A:B,2,FALSE)</f>
        <v>12.740.284-1</v>
      </c>
      <c r="B1376" s="112" t="str">
        <f>VLOOKUP('Informe Kelly'!A1370,Base!A:G,7,FALSE)</f>
        <v>MARCHANT RAMIREZ CARLOS</v>
      </c>
      <c r="C1376" s="112" t="str">
        <f>'Informe Kelly'!E1370</f>
        <v>08.04.2011</v>
      </c>
      <c r="D1376" s="112" t="e">
        <f>VLOOKUP(A1376,Ingreso!K:P,6,FALSE)</f>
        <v>#N/A</v>
      </c>
      <c r="E1376" s="142" t="e">
        <f>(VLOOKUP(D1376,$D$2:$E$4,2,FALSE))-(IF('Informe Kelly'!H1370=$A$2,'Informe Kelly'!F1370,VLOOKUP(D1376,$D$2:$E$4,2,FALSE)))</f>
        <v>#N/A</v>
      </c>
      <c r="F1376" s="142" t="e">
        <f>IF('Informe Kelly'!H1370=$A$3,'Informe Kelly'!F1370,VLOOKUP(D1376,$D$2:$F$4,3,FALSE))-(VLOOKUP(D1376,$D$2:$F$4,3,FALSE))</f>
        <v>#N/A</v>
      </c>
      <c r="G1376" s="137" t="e">
        <f t="shared" si="25"/>
        <v>#N/A</v>
      </c>
    </row>
    <row r="1377" spans="1:7">
      <c r="A1377" s="112" t="str">
        <f>VLOOKUP('Informe Kelly'!A1371,Base!A:B,2,FALSE)</f>
        <v>12.740.284-1</v>
      </c>
      <c r="B1377" s="112" t="str">
        <f>VLOOKUP('Informe Kelly'!A1371,Base!A:G,7,FALSE)</f>
        <v>MARCHANT RAMIREZ CARLOS</v>
      </c>
      <c r="C1377" s="112" t="str">
        <f>'Informe Kelly'!E1371</f>
        <v>08.04.2011</v>
      </c>
      <c r="D1377" s="112" t="e">
        <f>VLOOKUP(A1377,Ingreso!K:P,6,FALSE)</f>
        <v>#N/A</v>
      </c>
      <c r="E1377" s="142" t="e">
        <f>(VLOOKUP(D1377,$D$2:$E$4,2,FALSE))-(IF('Informe Kelly'!H1371=$A$2,'Informe Kelly'!F1371,VLOOKUP(D1377,$D$2:$E$4,2,FALSE)))</f>
        <v>#N/A</v>
      </c>
      <c r="F1377" s="142" t="e">
        <f>IF('Informe Kelly'!H1371=$A$3,'Informe Kelly'!F1371,VLOOKUP(D1377,$D$2:$F$4,3,FALSE))-(VLOOKUP(D1377,$D$2:$F$4,3,FALSE))</f>
        <v>#N/A</v>
      </c>
      <c r="G1377" s="137" t="e">
        <f t="shared" si="25"/>
        <v>#N/A</v>
      </c>
    </row>
    <row r="1378" spans="1:7">
      <c r="A1378" s="112" t="str">
        <f>VLOOKUP('Informe Kelly'!A1372,Base!A:B,2,FALSE)</f>
        <v>12.740.284-1</v>
      </c>
      <c r="B1378" s="112" t="str">
        <f>VLOOKUP('Informe Kelly'!A1372,Base!A:G,7,FALSE)</f>
        <v>MARCHANT RAMIREZ CARLOS</v>
      </c>
      <c r="C1378" s="112" t="str">
        <f>'Informe Kelly'!E1372</f>
        <v>09.04.2011</v>
      </c>
      <c r="D1378" s="112" t="e">
        <f>VLOOKUP(A1378,Ingreso!K:P,6,FALSE)</f>
        <v>#N/A</v>
      </c>
      <c r="E1378" s="142" t="e">
        <f>(VLOOKUP(D1378,$D$2:$E$4,2,FALSE))-(IF('Informe Kelly'!H1372=$A$2,'Informe Kelly'!F1372,VLOOKUP(D1378,$D$2:$E$4,2,FALSE)))</f>
        <v>#N/A</v>
      </c>
      <c r="F1378" s="142" t="e">
        <f>IF('Informe Kelly'!H1372=$A$3,'Informe Kelly'!F1372,VLOOKUP(D1378,$D$2:$F$4,3,FALSE))-(VLOOKUP(D1378,$D$2:$F$4,3,FALSE))</f>
        <v>#N/A</v>
      </c>
      <c r="G1378" s="137" t="e">
        <f t="shared" si="25"/>
        <v>#N/A</v>
      </c>
    </row>
    <row r="1379" spans="1:7">
      <c r="A1379" s="112" t="str">
        <f>VLOOKUP('Informe Kelly'!A1373,Base!A:B,2,FALSE)</f>
        <v>12.828.475-3</v>
      </c>
      <c r="B1379" s="112" t="str">
        <f>VLOOKUP('Informe Kelly'!A1373,Base!A:G,7,FALSE)</f>
        <v>NARVAI DIAZ ELSON GONZALO</v>
      </c>
      <c r="C1379" s="112" t="str">
        <f>'Informe Kelly'!E1373</f>
        <v>04.04.2011</v>
      </c>
      <c r="D1379" s="112" t="e">
        <f>VLOOKUP(A1379,Ingreso!K:P,6,FALSE)</f>
        <v>#N/A</v>
      </c>
      <c r="E1379" s="142" t="e">
        <f>(VLOOKUP(D1379,$D$2:$E$4,2,FALSE))-(IF('Informe Kelly'!H1373=$A$2,'Informe Kelly'!F1373,VLOOKUP(D1379,$D$2:$E$4,2,FALSE)))</f>
        <v>#N/A</v>
      </c>
      <c r="F1379" s="142" t="e">
        <f>IF('Informe Kelly'!H1373=$A$3,'Informe Kelly'!F1373,VLOOKUP(D1379,$D$2:$F$4,3,FALSE))-(VLOOKUP(D1379,$D$2:$F$4,3,FALSE))</f>
        <v>#N/A</v>
      </c>
      <c r="G1379" s="137" t="e">
        <f t="shared" si="25"/>
        <v>#N/A</v>
      </c>
    </row>
    <row r="1380" spans="1:7">
      <c r="A1380" s="112" t="str">
        <f>VLOOKUP('Informe Kelly'!A1374,Base!A:B,2,FALSE)</f>
        <v>12.828.475-3</v>
      </c>
      <c r="B1380" s="112" t="str">
        <f>VLOOKUP('Informe Kelly'!A1374,Base!A:G,7,FALSE)</f>
        <v>NARVAI DIAZ ELSON GONZALO</v>
      </c>
      <c r="C1380" s="112" t="str">
        <f>'Informe Kelly'!E1374</f>
        <v>04.04.2011</v>
      </c>
      <c r="D1380" s="112" t="e">
        <f>VLOOKUP(A1380,Ingreso!K:P,6,FALSE)</f>
        <v>#N/A</v>
      </c>
      <c r="E1380" s="142" t="e">
        <f>(VLOOKUP(D1380,$D$2:$E$4,2,FALSE))-(IF('Informe Kelly'!H1374=$A$2,'Informe Kelly'!F1374,VLOOKUP(D1380,$D$2:$E$4,2,FALSE)))</f>
        <v>#N/A</v>
      </c>
      <c r="F1380" s="142" t="e">
        <f>IF('Informe Kelly'!H1374=$A$3,'Informe Kelly'!F1374,VLOOKUP(D1380,$D$2:$F$4,3,FALSE))-(VLOOKUP(D1380,$D$2:$F$4,3,FALSE))</f>
        <v>#N/A</v>
      </c>
      <c r="G1380" s="137" t="e">
        <f t="shared" si="25"/>
        <v>#N/A</v>
      </c>
    </row>
    <row r="1381" spans="1:7">
      <c r="A1381" s="112" t="str">
        <f>VLOOKUP('Informe Kelly'!A1375,Base!A:B,2,FALSE)</f>
        <v>12.828.475-3</v>
      </c>
      <c r="B1381" s="112" t="str">
        <f>VLOOKUP('Informe Kelly'!A1375,Base!A:G,7,FALSE)</f>
        <v>NARVAI DIAZ ELSON GONZALO</v>
      </c>
      <c r="C1381" s="112" t="str">
        <f>'Informe Kelly'!E1375</f>
        <v>05.04.2011</v>
      </c>
      <c r="D1381" s="112" t="e">
        <f>VLOOKUP(A1381,Ingreso!K:P,6,FALSE)</f>
        <v>#N/A</v>
      </c>
      <c r="E1381" s="142" t="e">
        <f>(VLOOKUP(D1381,$D$2:$E$4,2,FALSE))-(IF('Informe Kelly'!H1375=$A$2,'Informe Kelly'!F1375,VLOOKUP(D1381,$D$2:$E$4,2,FALSE)))</f>
        <v>#N/A</v>
      </c>
      <c r="F1381" s="142" t="e">
        <f>IF('Informe Kelly'!H1375=$A$3,'Informe Kelly'!F1375,VLOOKUP(D1381,$D$2:$F$4,3,FALSE))-(VLOOKUP(D1381,$D$2:$F$4,3,FALSE))</f>
        <v>#N/A</v>
      </c>
      <c r="G1381" s="137" t="e">
        <f t="shared" si="25"/>
        <v>#N/A</v>
      </c>
    </row>
    <row r="1382" spans="1:7">
      <c r="A1382" s="112" t="str">
        <f>VLOOKUP('Informe Kelly'!A1376,Base!A:B,2,FALSE)</f>
        <v>12.828.475-3</v>
      </c>
      <c r="B1382" s="112" t="str">
        <f>VLOOKUP('Informe Kelly'!A1376,Base!A:G,7,FALSE)</f>
        <v>NARVAI DIAZ ELSON GONZALO</v>
      </c>
      <c r="C1382" s="112" t="str">
        <f>'Informe Kelly'!E1376</f>
        <v>05.04.2011</v>
      </c>
      <c r="D1382" s="112" t="e">
        <f>VLOOKUP(A1382,Ingreso!K:P,6,FALSE)</f>
        <v>#N/A</v>
      </c>
      <c r="E1382" s="142" t="e">
        <f>(VLOOKUP(D1382,$D$2:$E$4,2,FALSE))-(IF('Informe Kelly'!H1376=$A$2,'Informe Kelly'!F1376,VLOOKUP(D1382,$D$2:$E$4,2,FALSE)))</f>
        <v>#N/A</v>
      </c>
      <c r="F1382" s="142" t="e">
        <f>IF('Informe Kelly'!H1376=$A$3,'Informe Kelly'!F1376,VLOOKUP(D1382,$D$2:$F$4,3,FALSE))-(VLOOKUP(D1382,$D$2:$F$4,3,FALSE))</f>
        <v>#N/A</v>
      </c>
      <c r="G1382" s="137" t="e">
        <f t="shared" si="25"/>
        <v>#N/A</v>
      </c>
    </row>
    <row r="1383" spans="1:7">
      <c r="A1383" s="112" t="str">
        <f>VLOOKUP('Informe Kelly'!A1377,Base!A:B,2,FALSE)</f>
        <v>12.828.475-3</v>
      </c>
      <c r="B1383" s="112" t="str">
        <f>VLOOKUP('Informe Kelly'!A1377,Base!A:G,7,FALSE)</f>
        <v>NARVAI DIAZ ELSON GONZALO</v>
      </c>
      <c r="C1383" s="112" t="str">
        <f>'Informe Kelly'!E1377</f>
        <v>06.04.2011</v>
      </c>
      <c r="D1383" s="112" t="e">
        <f>VLOOKUP(A1383,Ingreso!K:P,6,FALSE)</f>
        <v>#N/A</v>
      </c>
      <c r="E1383" s="142" t="e">
        <f>(VLOOKUP(D1383,$D$2:$E$4,2,FALSE))-(IF('Informe Kelly'!H1377=$A$2,'Informe Kelly'!F1377,VLOOKUP(D1383,$D$2:$E$4,2,FALSE)))</f>
        <v>#N/A</v>
      </c>
      <c r="F1383" s="142" t="e">
        <f>IF('Informe Kelly'!H1377=$A$3,'Informe Kelly'!F1377,VLOOKUP(D1383,$D$2:$F$4,3,FALSE))-(VLOOKUP(D1383,$D$2:$F$4,3,FALSE))</f>
        <v>#N/A</v>
      </c>
      <c r="G1383" s="137" t="e">
        <f t="shared" si="25"/>
        <v>#N/A</v>
      </c>
    </row>
    <row r="1384" spans="1:7">
      <c r="A1384" s="112" t="str">
        <f>VLOOKUP('Informe Kelly'!A1378,Base!A:B,2,FALSE)</f>
        <v>12.828.475-3</v>
      </c>
      <c r="B1384" s="112" t="str">
        <f>VLOOKUP('Informe Kelly'!A1378,Base!A:G,7,FALSE)</f>
        <v>NARVAI DIAZ ELSON GONZALO</v>
      </c>
      <c r="C1384" s="112" t="str">
        <f>'Informe Kelly'!E1378</f>
        <v>06.04.2011</v>
      </c>
      <c r="D1384" s="112" t="e">
        <f>VLOOKUP(A1384,Ingreso!K:P,6,FALSE)</f>
        <v>#N/A</v>
      </c>
      <c r="E1384" s="142" t="e">
        <f>(VLOOKUP(D1384,$D$2:$E$4,2,FALSE))-(IF('Informe Kelly'!H1378=$A$2,'Informe Kelly'!F1378,VLOOKUP(D1384,$D$2:$E$4,2,FALSE)))</f>
        <v>#N/A</v>
      </c>
      <c r="F1384" s="142" t="e">
        <f>IF('Informe Kelly'!H1378=$A$3,'Informe Kelly'!F1378,VLOOKUP(D1384,$D$2:$F$4,3,FALSE))-(VLOOKUP(D1384,$D$2:$F$4,3,FALSE))</f>
        <v>#N/A</v>
      </c>
      <c r="G1384" s="137" t="e">
        <f t="shared" si="25"/>
        <v>#N/A</v>
      </c>
    </row>
    <row r="1385" spans="1:7">
      <c r="A1385" s="112" t="str">
        <f>VLOOKUP('Informe Kelly'!A1379,Base!A:B,2,FALSE)</f>
        <v>12.828.475-3</v>
      </c>
      <c r="B1385" s="112" t="str">
        <f>VLOOKUP('Informe Kelly'!A1379,Base!A:G,7,FALSE)</f>
        <v>NARVAI DIAZ ELSON GONZALO</v>
      </c>
      <c r="C1385" s="112" t="str">
        <f>'Informe Kelly'!E1379</f>
        <v>07.04.2011</v>
      </c>
      <c r="D1385" s="112" t="e">
        <f>VLOOKUP(A1385,Ingreso!K:P,6,FALSE)</f>
        <v>#N/A</v>
      </c>
      <c r="E1385" s="142" t="e">
        <f>(VLOOKUP(D1385,$D$2:$E$4,2,FALSE))-(IF('Informe Kelly'!H1379=$A$2,'Informe Kelly'!F1379,VLOOKUP(D1385,$D$2:$E$4,2,FALSE)))</f>
        <v>#N/A</v>
      </c>
      <c r="F1385" s="142" t="e">
        <f>IF('Informe Kelly'!H1379=$A$3,'Informe Kelly'!F1379,VLOOKUP(D1385,$D$2:$F$4,3,FALSE))-(VLOOKUP(D1385,$D$2:$F$4,3,FALSE))</f>
        <v>#N/A</v>
      </c>
      <c r="G1385" s="137" t="e">
        <f t="shared" si="25"/>
        <v>#N/A</v>
      </c>
    </row>
    <row r="1386" spans="1:7">
      <c r="A1386" s="112" t="str">
        <f>VLOOKUP('Informe Kelly'!A1380,Base!A:B,2,FALSE)</f>
        <v>12.828.475-3</v>
      </c>
      <c r="B1386" s="112" t="str">
        <f>VLOOKUP('Informe Kelly'!A1380,Base!A:G,7,FALSE)</f>
        <v>NARVAI DIAZ ELSON GONZALO</v>
      </c>
      <c r="C1386" s="112" t="str">
        <f>'Informe Kelly'!E1380</f>
        <v>07.04.2011</v>
      </c>
      <c r="D1386" s="112" t="e">
        <f>VLOOKUP(A1386,Ingreso!K:P,6,FALSE)</f>
        <v>#N/A</v>
      </c>
      <c r="E1386" s="142" t="e">
        <f>(VLOOKUP(D1386,$D$2:$E$4,2,FALSE))-(IF('Informe Kelly'!H1380=$A$2,'Informe Kelly'!F1380,VLOOKUP(D1386,$D$2:$E$4,2,FALSE)))</f>
        <v>#N/A</v>
      </c>
      <c r="F1386" s="142" t="e">
        <f>IF('Informe Kelly'!H1380=$A$3,'Informe Kelly'!F1380,VLOOKUP(D1386,$D$2:$F$4,3,FALSE))-(VLOOKUP(D1386,$D$2:$F$4,3,FALSE))</f>
        <v>#N/A</v>
      </c>
      <c r="G1386" s="137" t="e">
        <f t="shared" si="25"/>
        <v>#N/A</v>
      </c>
    </row>
    <row r="1387" spans="1:7">
      <c r="A1387" s="112" t="str">
        <f>VLOOKUP('Informe Kelly'!A1381,Base!A:B,2,FALSE)</f>
        <v>12.828.475-3</v>
      </c>
      <c r="B1387" s="112" t="str">
        <f>VLOOKUP('Informe Kelly'!A1381,Base!A:G,7,FALSE)</f>
        <v>NARVAI DIAZ ELSON GONZALO</v>
      </c>
      <c r="C1387" s="112" t="str">
        <f>'Informe Kelly'!E1381</f>
        <v>08.04.2011</v>
      </c>
      <c r="D1387" s="112" t="e">
        <f>VLOOKUP(A1387,Ingreso!K:P,6,FALSE)</f>
        <v>#N/A</v>
      </c>
      <c r="E1387" s="142" t="e">
        <f>(VLOOKUP(D1387,$D$2:$E$4,2,FALSE))-(IF('Informe Kelly'!H1381=$A$2,'Informe Kelly'!F1381,VLOOKUP(D1387,$D$2:$E$4,2,FALSE)))</f>
        <v>#N/A</v>
      </c>
      <c r="F1387" s="142" t="e">
        <f>IF('Informe Kelly'!H1381=$A$3,'Informe Kelly'!F1381,VLOOKUP(D1387,$D$2:$F$4,3,FALSE))-(VLOOKUP(D1387,$D$2:$F$4,3,FALSE))</f>
        <v>#N/A</v>
      </c>
      <c r="G1387" s="137" t="e">
        <f t="shared" si="25"/>
        <v>#N/A</v>
      </c>
    </row>
    <row r="1388" spans="1:7">
      <c r="A1388" s="112" t="str">
        <f>VLOOKUP('Informe Kelly'!A1382,Base!A:B,2,FALSE)</f>
        <v>12.828.475-3</v>
      </c>
      <c r="B1388" s="112" t="str">
        <f>VLOOKUP('Informe Kelly'!A1382,Base!A:G,7,FALSE)</f>
        <v>NARVAI DIAZ ELSON GONZALO</v>
      </c>
      <c r="C1388" s="112" t="str">
        <f>'Informe Kelly'!E1382</f>
        <v>08.04.2011</v>
      </c>
      <c r="D1388" s="112" t="e">
        <f>VLOOKUP(A1388,Ingreso!K:P,6,FALSE)</f>
        <v>#N/A</v>
      </c>
      <c r="E1388" s="142" t="e">
        <f>(VLOOKUP(D1388,$D$2:$E$4,2,FALSE))-(IF('Informe Kelly'!H1382=$A$2,'Informe Kelly'!F1382,VLOOKUP(D1388,$D$2:$E$4,2,FALSE)))</f>
        <v>#N/A</v>
      </c>
      <c r="F1388" s="142" t="e">
        <f>IF('Informe Kelly'!H1382=$A$3,'Informe Kelly'!F1382,VLOOKUP(D1388,$D$2:$F$4,3,FALSE))-(VLOOKUP(D1388,$D$2:$F$4,3,FALSE))</f>
        <v>#N/A</v>
      </c>
      <c r="G1388" s="137" t="e">
        <f t="shared" si="25"/>
        <v>#N/A</v>
      </c>
    </row>
    <row r="1389" spans="1:7">
      <c r="A1389" s="112" t="str">
        <f>VLOOKUP('Informe Kelly'!A1383,Base!A:B,2,FALSE)</f>
        <v>12.896.000-7</v>
      </c>
      <c r="B1389" s="112" t="str">
        <f>VLOOKUP('Informe Kelly'!A1383,Base!A:G,7,FALSE)</f>
        <v>SERRANO  VEGA,IGNACIO ANDRES</v>
      </c>
      <c r="C1389" s="112" t="str">
        <f>'Informe Kelly'!E1383</f>
        <v>04.04.2011</v>
      </c>
      <c r="D1389" s="112" t="e">
        <f>VLOOKUP(A1389,Ingreso!K:P,6,FALSE)</f>
        <v>#N/A</v>
      </c>
      <c r="E1389" s="142" t="e">
        <f>(VLOOKUP(D1389,$D$2:$E$4,2,FALSE))-(IF('Informe Kelly'!H1383=$A$2,'Informe Kelly'!F1383,VLOOKUP(D1389,$D$2:$E$4,2,FALSE)))</f>
        <v>#N/A</v>
      </c>
      <c r="F1389" s="142" t="e">
        <f>IF('Informe Kelly'!H1383=$A$3,'Informe Kelly'!F1383,VLOOKUP(D1389,$D$2:$F$4,3,FALSE))-(VLOOKUP(D1389,$D$2:$F$4,3,FALSE))</f>
        <v>#N/A</v>
      </c>
      <c r="G1389" s="137" t="e">
        <f t="shared" si="25"/>
        <v>#N/A</v>
      </c>
    </row>
    <row r="1390" spans="1:7">
      <c r="A1390" s="112" t="str">
        <f>VLOOKUP('Informe Kelly'!A1384,Base!A:B,2,FALSE)</f>
        <v>12.896.000-7</v>
      </c>
      <c r="B1390" s="112" t="str">
        <f>VLOOKUP('Informe Kelly'!A1384,Base!A:G,7,FALSE)</f>
        <v>SERRANO  VEGA,IGNACIO ANDRES</v>
      </c>
      <c r="C1390" s="112" t="str">
        <f>'Informe Kelly'!E1384</f>
        <v>05.04.2011</v>
      </c>
      <c r="D1390" s="112" t="e">
        <f>VLOOKUP(A1390,Ingreso!K:P,6,FALSE)</f>
        <v>#N/A</v>
      </c>
      <c r="E1390" s="142" t="e">
        <f>(VLOOKUP(D1390,$D$2:$E$4,2,FALSE))-(IF('Informe Kelly'!H1384=$A$2,'Informe Kelly'!F1384,VLOOKUP(D1390,$D$2:$E$4,2,FALSE)))</f>
        <v>#N/A</v>
      </c>
      <c r="F1390" s="142" t="e">
        <f>IF('Informe Kelly'!H1384=$A$3,'Informe Kelly'!F1384,VLOOKUP(D1390,$D$2:$F$4,3,FALSE))-(VLOOKUP(D1390,$D$2:$F$4,3,FALSE))</f>
        <v>#N/A</v>
      </c>
      <c r="G1390" s="137" t="e">
        <f t="shared" si="25"/>
        <v>#N/A</v>
      </c>
    </row>
    <row r="1391" spans="1:7">
      <c r="A1391" s="112" t="str">
        <f>VLOOKUP('Informe Kelly'!A1385,Base!A:B,2,FALSE)</f>
        <v>12.896.000-7</v>
      </c>
      <c r="B1391" s="112" t="str">
        <f>VLOOKUP('Informe Kelly'!A1385,Base!A:G,7,FALSE)</f>
        <v>SERRANO  VEGA,IGNACIO ANDRES</v>
      </c>
      <c r="C1391" s="112" t="str">
        <f>'Informe Kelly'!E1385</f>
        <v>05.04.2011</v>
      </c>
      <c r="D1391" s="112" t="e">
        <f>VLOOKUP(A1391,Ingreso!K:P,6,FALSE)</f>
        <v>#N/A</v>
      </c>
      <c r="E1391" s="142" t="e">
        <f>(VLOOKUP(D1391,$D$2:$E$4,2,FALSE))-(IF('Informe Kelly'!H1385=$A$2,'Informe Kelly'!F1385,VLOOKUP(D1391,$D$2:$E$4,2,FALSE)))</f>
        <v>#N/A</v>
      </c>
      <c r="F1391" s="142" t="e">
        <f>IF('Informe Kelly'!H1385=$A$3,'Informe Kelly'!F1385,VLOOKUP(D1391,$D$2:$F$4,3,FALSE))-(VLOOKUP(D1391,$D$2:$F$4,3,FALSE))</f>
        <v>#N/A</v>
      </c>
      <c r="G1391" s="137" t="e">
        <f t="shared" si="25"/>
        <v>#N/A</v>
      </c>
    </row>
    <row r="1392" spans="1:7">
      <c r="A1392" s="112" t="str">
        <f>VLOOKUP('Informe Kelly'!A1386,Base!A:B,2,FALSE)</f>
        <v>12.896.000-7</v>
      </c>
      <c r="B1392" s="112" t="str">
        <f>VLOOKUP('Informe Kelly'!A1386,Base!A:G,7,FALSE)</f>
        <v>SERRANO  VEGA,IGNACIO ANDRES</v>
      </c>
      <c r="C1392" s="112" t="str">
        <f>'Informe Kelly'!E1386</f>
        <v>06.04.2011</v>
      </c>
      <c r="D1392" s="112" t="e">
        <f>VLOOKUP(A1392,Ingreso!K:P,6,FALSE)</f>
        <v>#N/A</v>
      </c>
      <c r="E1392" s="142" t="e">
        <f>(VLOOKUP(D1392,$D$2:$E$4,2,FALSE))-(IF('Informe Kelly'!H1386=$A$2,'Informe Kelly'!F1386,VLOOKUP(D1392,$D$2:$E$4,2,FALSE)))</f>
        <v>#N/A</v>
      </c>
      <c r="F1392" s="142" t="e">
        <f>IF('Informe Kelly'!H1386=$A$3,'Informe Kelly'!F1386,VLOOKUP(D1392,$D$2:$F$4,3,FALSE))-(VLOOKUP(D1392,$D$2:$F$4,3,FALSE))</f>
        <v>#N/A</v>
      </c>
      <c r="G1392" s="137" t="e">
        <f t="shared" si="25"/>
        <v>#N/A</v>
      </c>
    </row>
    <row r="1393" spans="1:7">
      <c r="A1393" s="112" t="str">
        <f>VLOOKUP('Informe Kelly'!A1387,Base!A:B,2,FALSE)</f>
        <v>12.896.000-7</v>
      </c>
      <c r="B1393" s="112" t="str">
        <f>VLOOKUP('Informe Kelly'!A1387,Base!A:G,7,FALSE)</f>
        <v>SERRANO  VEGA,IGNACIO ANDRES</v>
      </c>
      <c r="C1393" s="112" t="str">
        <f>'Informe Kelly'!E1387</f>
        <v>06.04.2011</v>
      </c>
      <c r="D1393" s="112" t="e">
        <f>VLOOKUP(A1393,Ingreso!K:P,6,FALSE)</f>
        <v>#N/A</v>
      </c>
      <c r="E1393" s="142" t="e">
        <f>(VLOOKUP(D1393,$D$2:$E$4,2,FALSE))-(IF('Informe Kelly'!H1387=$A$2,'Informe Kelly'!F1387,VLOOKUP(D1393,$D$2:$E$4,2,FALSE)))</f>
        <v>#N/A</v>
      </c>
      <c r="F1393" s="142" t="e">
        <f>IF('Informe Kelly'!H1387=$A$3,'Informe Kelly'!F1387,VLOOKUP(D1393,$D$2:$F$4,3,FALSE))-(VLOOKUP(D1393,$D$2:$F$4,3,FALSE))</f>
        <v>#N/A</v>
      </c>
      <c r="G1393" s="137" t="e">
        <f t="shared" si="25"/>
        <v>#N/A</v>
      </c>
    </row>
    <row r="1394" spans="1:7">
      <c r="A1394" s="112" t="str">
        <f>VLOOKUP('Informe Kelly'!A1388,Base!A:B,2,FALSE)</f>
        <v>12.896.000-7</v>
      </c>
      <c r="B1394" s="112" t="str">
        <f>VLOOKUP('Informe Kelly'!A1388,Base!A:G,7,FALSE)</f>
        <v>SERRANO  VEGA,IGNACIO ANDRES</v>
      </c>
      <c r="C1394" s="112" t="str">
        <f>'Informe Kelly'!E1388</f>
        <v>07.04.2011</v>
      </c>
      <c r="D1394" s="112" t="e">
        <f>VLOOKUP(A1394,Ingreso!K:P,6,FALSE)</f>
        <v>#N/A</v>
      </c>
      <c r="E1394" s="142" t="e">
        <f>(VLOOKUP(D1394,$D$2:$E$4,2,FALSE))-(IF('Informe Kelly'!H1388=$A$2,'Informe Kelly'!F1388,VLOOKUP(D1394,$D$2:$E$4,2,FALSE)))</f>
        <v>#N/A</v>
      </c>
      <c r="F1394" s="142" t="e">
        <f>IF('Informe Kelly'!H1388=$A$3,'Informe Kelly'!F1388,VLOOKUP(D1394,$D$2:$F$4,3,FALSE))-(VLOOKUP(D1394,$D$2:$F$4,3,FALSE))</f>
        <v>#N/A</v>
      </c>
      <c r="G1394" s="137" t="e">
        <f t="shared" si="25"/>
        <v>#N/A</v>
      </c>
    </row>
    <row r="1395" spans="1:7">
      <c r="A1395" s="112" t="str">
        <f>VLOOKUP('Informe Kelly'!A1389,Base!A:B,2,FALSE)</f>
        <v>12.896.000-7</v>
      </c>
      <c r="B1395" s="112" t="str">
        <f>VLOOKUP('Informe Kelly'!A1389,Base!A:G,7,FALSE)</f>
        <v>SERRANO  VEGA,IGNACIO ANDRES</v>
      </c>
      <c r="C1395" s="112" t="str">
        <f>'Informe Kelly'!E1389</f>
        <v>07.04.2011</v>
      </c>
      <c r="D1395" s="112" t="e">
        <f>VLOOKUP(A1395,Ingreso!K:P,6,FALSE)</f>
        <v>#N/A</v>
      </c>
      <c r="E1395" s="142" t="e">
        <f>(VLOOKUP(D1395,$D$2:$E$4,2,FALSE))-(IF('Informe Kelly'!H1389=$A$2,'Informe Kelly'!F1389,VLOOKUP(D1395,$D$2:$E$4,2,FALSE)))</f>
        <v>#N/A</v>
      </c>
      <c r="F1395" s="142" t="e">
        <f>IF('Informe Kelly'!H1389=$A$3,'Informe Kelly'!F1389,VLOOKUP(D1395,$D$2:$F$4,3,FALSE))-(VLOOKUP(D1395,$D$2:$F$4,3,FALSE))</f>
        <v>#N/A</v>
      </c>
      <c r="G1395" s="137" t="e">
        <f t="shared" si="25"/>
        <v>#N/A</v>
      </c>
    </row>
    <row r="1396" spans="1:7">
      <c r="A1396" s="112" t="str">
        <f>VLOOKUP('Informe Kelly'!A1390,Base!A:B,2,FALSE)</f>
        <v>12.896.000-7</v>
      </c>
      <c r="B1396" s="112" t="str">
        <f>VLOOKUP('Informe Kelly'!A1390,Base!A:G,7,FALSE)</f>
        <v>SERRANO  VEGA,IGNACIO ANDRES</v>
      </c>
      <c r="C1396" s="112" t="str">
        <f>'Informe Kelly'!E1390</f>
        <v>08.04.2011</v>
      </c>
      <c r="D1396" s="112" t="e">
        <f>VLOOKUP(A1396,Ingreso!K:P,6,FALSE)</f>
        <v>#N/A</v>
      </c>
      <c r="E1396" s="142" t="e">
        <f>(VLOOKUP(D1396,$D$2:$E$4,2,FALSE))-(IF('Informe Kelly'!H1390=$A$2,'Informe Kelly'!F1390,VLOOKUP(D1396,$D$2:$E$4,2,FALSE)))</f>
        <v>#N/A</v>
      </c>
      <c r="F1396" s="142" t="e">
        <f>IF('Informe Kelly'!H1390=$A$3,'Informe Kelly'!F1390,VLOOKUP(D1396,$D$2:$F$4,3,FALSE))-(VLOOKUP(D1396,$D$2:$F$4,3,FALSE))</f>
        <v>#N/A</v>
      </c>
      <c r="G1396" s="137" t="e">
        <f t="shared" si="25"/>
        <v>#N/A</v>
      </c>
    </row>
    <row r="1397" spans="1:7">
      <c r="A1397" s="112" t="str">
        <f>VLOOKUP('Informe Kelly'!A1391,Base!A:B,2,FALSE)</f>
        <v>12.896.000-7</v>
      </c>
      <c r="B1397" s="112" t="str">
        <f>VLOOKUP('Informe Kelly'!A1391,Base!A:G,7,FALSE)</f>
        <v>SERRANO  VEGA,IGNACIO ANDRES</v>
      </c>
      <c r="C1397" s="112" t="str">
        <f>'Informe Kelly'!E1391</f>
        <v>08.04.2011</v>
      </c>
      <c r="D1397" s="112" t="e">
        <f>VLOOKUP(A1397,Ingreso!K:P,6,FALSE)</f>
        <v>#N/A</v>
      </c>
      <c r="E1397" s="142" t="e">
        <f>(VLOOKUP(D1397,$D$2:$E$4,2,FALSE))-(IF('Informe Kelly'!H1391=$A$2,'Informe Kelly'!F1391,VLOOKUP(D1397,$D$2:$E$4,2,FALSE)))</f>
        <v>#N/A</v>
      </c>
      <c r="F1397" s="142" t="e">
        <f>IF('Informe Kelly'!H1391=$A$3,'Informe Kelly'!F1391,VLOOKUP(D1397,$D$2:$F$4,3,FALSE))-(VLOOKUP(D1397,$D$2:$F$4,3,FALSE))</f>
        <v>#N/A</v>
      </c>
      <c r="G1397" s="137" t="e">
        <f t="shared" si="25"/>
        <v>#N/A</v>
      </c>
    </row>
    <row r="1398" spans="1:7">
      <c r="A1398" s="112" t="str">
        <f>VLOOKUP('Informe Kelly'!A1392,Base!A:B,2,FALSE)</f>
        <v>12.896.000-7</v>
      </c>
      <c r="B1398" s="112" t="str">
        <f>VLOOKUP('Informe Kelly'!A1392,Base!A:G,7,FALSE)</f>
        <v>SERRANO  VEGA,IGNACIO ANDRES</v>
      </c>
      <c r="C1398" s="112" t="str">
        <f>'Informe Kelly'!E1392</f>
        <v>09.04.2011</v>
      </c>
      <c r="D1398" s="112" t="e">
        <f>VLOOKUP(A1398,Ingreso!K:P,6,FALSE)</f>
        <v>#N/A</v>
      </c>
      <c r="E1398" s="142" t="e">
        <f>(VLOOKUP(D1398,$D$2:$E$4,2,FALSE))-(IF('Informe Kelly'!H1392=$A$2,'Informe Kelly'!F1392,VLOOKUP(D1398,$D$2:$E$4,2,FALSE)))</f>
        <v>#N/A</v>
      </c>
      <c r="F1398" s="142" t="e">
        <f>IF('Informe Kelly'!H1392=$A$3,'Informe Kelly'!F1392,VLOOKUP(D1398,$D$2:$F$4,3,FALSE))-(VLOOKUP(D1398,$D$2:$F$4,3,FALSE))</f>
        <v>#N/A</v>
      </c>
      <c r="G1398" s="137" t="e">
        <f t="shared" si="25"/>
        <v>#N/A</v>
      </c>
    </row>
    <row r="1399" spans="1:7">
      <c r="A1399" s="112" t="str">
        <f>VLOOKUP('Informe Kelly'!A1393,Base!A:B,2,FALSE)</f>
        <v>12.896.236-0</v>
      </c>
      <c r="B1399" s="112" t="str">
        <f>VLOOKUP('Informe Kelly'!A1393,Base!A:G,7,FALSE)</f>
        <v>CANDIA MUÑOZ GABRIEL</v>
      </c>
      <c r="C1399" s="112" t="str">
        <f>'Informe Kelly'!E1393</f>
        <v>04.04.2011</v>
      </c>
      <c r="D1399" s="112" t="e">
        <f>VLOOKUP(A1399,Ingreso!K:P,6,FALSE)</f>
        <v>#N/A</v>
      </c>
      <c r="E1399" s="142" t="e">
        <f>(VLOOKUP(D1399,$D$2:$E$4,2,FALSE))-(IF('Informe Kelly'!H1393=$A$2,'Informe Kelly'!F1393,VLOOKUP(D1399,$D$2:$E$4,2,FALSE)))</f>
        <v>#N/A</v>
      </c>
      <c r="F1399" s="142" t="e">
        <f>IF('Informe Kelly'!H1393=$A$3,'Informe Kelly'!F1393,VLOOKUP(D1399,$D$2:$F$4,3,FALSE))-(VLOOKUP(D1399,$D$2:$F$4,3,FALSE))</f>
        <v>#N/A</v>
      </c>
      <c r="G1399" s="137" t="e">
        <f t="shared" si="25"/>
        <v>#N/A</v>
      </c>
    </row>
    <row r="1400" spans="1:7">
      <c r="A1400" s="112" t="str">
        <f>VLOOKUP('Informe Kelly'!A1394,Base!A:B,2,FALSE)</f>
        <v>12.896.236-0</v>
      </c>
      <c r="B1400" s="112" t="str">
        <f>VLOOKUP('Informe Kelly'!A1394,Base!A:G,7,FALSE)</f>
        <v>CANDIA MUÑOZ GABRIEL</v>
      </c>
      <c r="C1400" s="112" t="str">
        <f>'Informe Kelly'!E1394</f>
        <v>04.04.2011</v>
      </c>
      <c r="D1400" s="112" t="e">
        <f>VLOOKUP(A1400,Ingreso!K:P,6,FALSE)</f>
        <v>#N/A</v>
      </c>
      <c r="E1400" s="142" t="e">
        <f>(VLOOKUP(D1400,$D$2:$E$4,2,FALSE))-(IF('Informe Kelly'!H1394=$A$2,'Informe Kelly'!F1394,VLOOKUP(D1400,$D$2:$E$4,2,FALSE)))</f>
        <v>#N/A</v>
      </c>
      <c r="F1400" s="142" t="e">
        <f>IF('Informe Kelly'!H1394=$A$3,'Informe Kelly'!F1394,VLOOKUP(D1400,$D$2:$F$4,3,FALSE))-(VLOOKUP(D1400,$D$2:$F$4,3,FALSE))</f>
        <v>#N/A</v>
      </c>
      <c r="G1400" s="137" t="e">
        <f t="shared" si="25"/>
        <v>#N/A</v>
      </c>
    </row>
    <row r="1401" spans="1:7">
      <c r="A1401" s="112" t="str">
        <f>VLOOKUP('Informe Kelly'!A1395,Base!A:B,2,FALSE)</f>
        <v>12.896.236-0</v>
      </c>
      <c r="B1401" s="112" t="str">
        <f>VLOOKUP('Informe Kelly'!A1395,Base!A:G,7,FALSE)</f>
        <v>CANDIA MUÑOZ GABRIEL</v>
      </c>
      <c r="C1401" s="112" t="str">
        <f>'Informe Kelly'!E1395</f>
        <v>05.04.2011</v>
      </c>
      <c r="D1401" s="112" t="e">
        <f>VLOOKUP(A1401,Ingreso!K:P,6,FALSE)</f>
        <v>#N/A</v>
      </c>
      <c r="E1401" s="142" t="e">
        <f>(VLOOKUP(D1401,$D$2:$E$4,2,FALSE))-(IF('Informe Kelly'!H1395=$A$2,'Informe Kelly'!F1395,VLOOKUP(D1401,$D$2:$E$4,2,FALSE)))</f>
        <v>#N/A</v>
      </c>
      <c r="F1401" s="142" t="e">
        <f>IF('Informe Kelly'!H1395=$A$3,'Informe Kelly'!F1395,VLOOKUP(D1401,$D$2:$F$4,3,FALSE))-(VLOOKUP(D1401,$D$2:$F$4,3,FALSE))</f>
        <v>#N/A</v>
      </c>
      <c r="G1401" s="137" t="e">
        <f t="shared" si="25"/>
        <v>#N/A</v>
      </c>
    </row>
    <row r="1402" spans="1:7">
      <c r="A1402" s="112" t="str">
        <f>VLOOKUP('Informe Kelly'!A1396,Base!A:B,2,FALSE)</f>
        <v>12.896.236-0</v>
      </c>
      <c r="B1402" s="112" t="str">
        <f>VLOOKUP('Informe Kelly'!A1396,Base!A:G,7,FALSE)</f>
        <v>CANDIA MUÑOZ GABRIEL</v>
      </c>
      <c r="C1402" s="112" t="str">
        <f>'Informe Kelly'!E1396</f>
        <v>05.04.2011</v>
      </c>
      <c r="D1402" s="112" t="e">
        <f>VLOOKUP(A1402,Ingreso!K:P,6,FALSE)</f>
        <v>#N/A</v>
      </c>
      <c r="E1402" s="142" t="e">
        <f>(VLOOKUP(D1402,$D$2:$E$4,2,FALSE))-(IF('Informe Kelly'!H1396=$A$2,'Informe Kelly'!F1396,VLOOKUP(D1402,$D$2:$E$4,2,FALSE)))</f>
        <v>#N/A</v>
      </c>
      <c r="F1402" s="142" t="e">
        <f>IF('Informe Kelly'!H1396=$A$3,'Informe Kelly'!F1396,VLOOKUP(D1402,$D$2:$F$4,3,FALSE))-(VLOOKUP(D1402,$D$2:$F$4,3,FALSE))</f>
        <v>#N/A</v>
      </c>
      <c r="G1402" s="137" t="e">
        <f t="shared" si="25"/>
        <v>#N/A</v>
      </c>
    </row>
    <row r="1403" spans="1:7">
      <c r="A1403" s="112" t="str">
        <f>VLOOKUP('Informe Kelly'!A1397,Base!A:B,2,FALSE)</f>
        <v>12.896.236-0</v>
      </c>
      <c r="B1403" s="112" t="str">
        <f>VLOOKUP('Informe Kelly'!A1397,Base!A:G,7,FALSE)</f>
        <v>CANDIA MUÑOZ GABRIEL</v>
      </c>
      <c r="C1403" s="112" t="str">
        <f>'Informe Kelly'!E1397</f>
        <v>06.04.2011</v>
      </c>
      <c r="D1403" s="112" t="e">
        <f>VLOOKUP(A1403,Ingreso!K:P,6,FALSE)</f>
        <v>#N/A</v>
      </c>
      <c r="E1403" s="142" t="e">
        <f>(VLOOKUP(D1403,$D$2:$E$4,2,FALSE))-(IF('Informe Kelly'!H1397=$A$2,'Informe Kelly'!F1397,VLOOKUP(D1403,$D$2:$E$4,2,FALSE)))</f>
        <v>#N/A</v>
      </c>
      <c r="F1403" s="142" t="e">
        <f>IF('Informe Kelly'!H1397=$A$3,'Informe Kelly'!F1397,VLOOKUP(D1403,$D$2:$F$4,3,FALSE))-(VLOOKUP(D1403,$D$2:$F$4,3,FALSE))</f>
        <v>#N/A</v>
      </c>
      <c r="G1403" s="137" t="e">
        <f t="shared" si="25"/>
        <v>#N/A</v>
      </c>
    </row>
    <row r="1404" spans="1:7">
      <c r="A1404" s="112" t="str">
        <f>VLOOKUP('Informe Kelly'!A1398,Base!A:B,2,FALSE)</f>
        <v>12.896.236-0</v>
      </c>
      <c r="B1404" s="112" t="str">
        <f>VLOOKUP('Informe Kelly'!A1398,Base!A:G,7,FALSE)</f>
        <v>CANDIA MUÑOZ GABRIEL</v>
      </c>
      <c r="C1404" s="112" t="str">
        <f>'Informe Kelly'!E1398</f>
        <v>06.04.2011</v>
      </c>
      <c r="D1404" s="112" t="e">
        <f>VLOOKUP(A1404,Ingreso!K:P,6,FALSE)</f>
        <v>#N/A</v>
      </c>
      <c r="E1404" s="142" t="e">
        <f>(VLOOKUP(D1404,$D$2:$E$4,2,FALSE))-(IF('Informe Kelly'!H1398=$A$2,'Informe Kelly'!F1398,VLOOKUP(D1404,$D$2:$E$4,2,FALSE)))</f>
        <v>#N/A</v>
      </c>
      <c r="F1404" s="142" t="e">
        <f>IF('Informe Kelly'!H1398=$A$3,'Informe Kelly'!F1398,VLOOKUP(D1404,$D$2:$F$4,3,FALSE))-(VLOOKUP(D1404,$D$2:$F$4,3,FALSE))</f>
        <v>#N/A</v>
      </c>
      <c r="G1404" s="137" t="e">
        <f t="shared" si="25"/>
        <v>#N/A</v>
      </c>
    </row>
    <row r="1405" spans="1:7">
      <c r="A1405" s="112" t="str">
        <f>VLOOKUP('Informe Kelly'!A1399,Base!A:B,2,FALSE)</f>
        <v>12.896.236-0</v>
      </c>
      <c r="B1405" s="112" t="str">
        <f>VLOOKUP('Informe Kelly'!A1399,Base!A:G,7,FALSE)</f>
        <v>CANDIA MUÑOZ GABRIEL</v>
      </c>
      <c r="C1405" s="112" t="str">
        <f>'Informe Kelly'!E1399</f>
        <v>07.04.2011</v>
      </c>
      <c r="D1405" s="112" t="e">
        <f>VLOOKUP(A1405,Ingreso!K:P,6,FALSE)</f>
        <v>#N/A</v>
      </c>
      <c r="E1405" s="142" t="e">
        <f>(VLOOKUP(D1405,$D$2:$E$4,2,FALSE))-(IF('Informe Kelly'!H1399=$A$2,'Informe Kelly'!F1399,VLOOKUP(D1405,$D$2:$E$4,2,FALSE)))</f>
        <v>#N/A</v>
      </c>
      <c r="F1405" s="142" t="e">
        <f>IF('Informe Kelly'!H1399=$A$3,'Informe Kelly'!F1399,VLOOKUP(D1405,$D$2:$F$4,3,FALSE))-(VLOOKUP(D1405,$D$2:$F$4,3,FALSE))</f>
        <v>#N/A</v>
      </c>
      <c r="G1405" s="137" t="e">
        <f t="shared" si="25"/>
        <v>#N/A</v>
      </c>
    </row>
    <row r="1406" spans="1:7">
      <c r="A1406" s="112" t="str">
        <f>VLOOKUP('Informe Kelly'!A1400,Base!A:B,2,FALSE)</f>
        <v>12.896.236-0</v>
      </c>
      <c r="B1406" s="112" t="str">
        <f>VLOOKUP('Informe Kelly'!A1400,Base!A:G,7,FALSE)</f>
        <v>CANDIA MUÑOZ GABRIEL</v>
      </c>
      <c r="C1406" s="112" t="str">
        <f>'Informe Kelly'!E1400</f>
        <v>07.04.2011</v>
      </c>
      <c r="D1406" s="112" t="e">
        <f>VLOOKUP(A1406,Ingreso!K:P,6,FALSE)</f>
        <v>#N/A</v>
      </c>
      <c r="E1406" s="142" t="e">
        <f>(VLOOKUP(D1406,$D$2:$E$4,2,FALSE))-(IF('Informe Kelly'!H1400=$A$2,'Informe Kelly'!F1400,VLOOKUP(D1406,$D$2:$E$4,2,FALSE)))</f>
        <v>#N/A</v>
      </c>
      <c r="F1406" s="142" t="e">
        <f>IF('Informe Kelly'!H1400=$A$3,'Informe Kelly'!F1400,VLOOKUP(D1406,$D$2:$F$4,3,FALSE))-(VLOOKUP(D1406,$D$2:$F$4,3,FALSE))</f>
        <v>#N/A</v>
      </c>
      <c r="G1406" s="137" t="e">
        <f t="shared" si="25"/>
        <v>#N/A</v>
      </c>
    </row>
    <row r="1407" spans="1:7">
      <c r="A1407" s="112" t="str">
        <f>VLOOKUP('Informe Kelly'!A1401,Base!A:B,2,FALSE)</f>
        <v>12.896.236-0</v>
      </c>
      <c r="B1407" s="112" t="str">
        <f>VLOOKUP('Informe Kelly'!A1401,Base!A:G,7,FALSE)</f>
        <v>CANDIA MUÑOZ GABRIEL</v>
      </c>
      <c r="C1407" s="112" t="str">
        <f>'Informe Kelly'!E1401</f>
        <v>08.04.2011</v>
      </c>
      <c r="D1407" s="112" t="e">
        <f>VLOOKUP(A1407,Ingreso!K:P,6,FALSE)</f>
        <v>#N/A</v>
      </c>
      <c r="E1407" s="142" t="e">
        <f>(VLOOKUP(D1407,$D$2:$E$4,2,FALSE))-(IF('Informe Kelly'!H1401=$A$2,'Informe Kelly'!F1401,VLOOKUP(D1407,$D$2:$E$4,2,FALSE)))</f>
        <v>#N/A</v>
      </c>
      <c r="F1407" s="142" t="e">
        <f>IF('Informe Kelly'!H1401=$A$3,'Informe Kelly'!F1401,VLOOKUP(D1407,$D$2:$F$4,3,FALSE))-(VLOOKUP(D1407,$D$2:$F$4,3,FALSE))</f>
        <v>#N/A</v>
      </c>
      <c r="G1407" s="137" t="e">
        <f t="shared" si="25"/>
        <v>#N/A</v>
      </c>
    </row>
    <row r="1408" spans="1:7">
      <c r="A1408" s="112" t="str">
        <f>VLOOKUP('Informe Kelly'!A1402,Base!A:B,2,FALSE)</f>
        <v>12.896.236-0</v>
      </c>
      <c r="B1408" s="112" t="str">
        <f>VLOOKUP('Informe Kelly'!A1402,Base!A:G,7,FALSE)</f>
        <v>CANDIA MUÑOZ GABRIEL</v>
      </c>
      <c r="C1408" s="112" t="str">
        <f>'Informe Kelly'!E1402</f>
        <v>08.04.2011</v>
      </c>
      <c r="D1408" s="112" t="e">
        <f>VLOOKUP(A1408,Ingreso!K:P,6,FALSE)</f>
        <v>#N/A</v>
      </c>
      <c r="E1408" s="142" t="e">
        <f>(VLOOKUP(D1408,$D$2:$E$4,2,FALSE))-(IF('Informe Kelly'!H1402=$A$2,'Informe Kelly'!F1402,VLOOKUP(D1408,$D$2:$E$4,2,FALSE)))</f>
        <v>#N/A</v>
      </c>
      <c r="F1408" s="142" t="e">
        <f>IF('Informe Kelly'!H1402=$A$3,'Informe Kelly'!F1402,VLOOKUP(D1408,$D$2:$F$4,3,FALSE))-(VLOOKUP(D1408,$D$2:$F$4,3,FALSE))</f>
        <v>#N/A</v>
      </c>
      <c r="G1408" s="137" t="e">
        <f t="shared" si="25"/>
        <v>#N/A</v>
      </c>
    </row>
    <row r="1409" spans="1:7">
      <c r="A1409" s="112" t="str">
        <f>VLOOKUP('Informe Kelly'!A1403,Base!A:B,2,FALSE)</f>
        <v>12.896.236-0</v>
      </c>
      <c r="B1409" s="112" t="str">
        <f>VLOOKUP('Informe Kelly'!A1403,Base!A:G,7,FALSE)</f>
        <v>CANDIA MUÑOZ GABRIEL</v>
      </c>
      <c r="C1409" s="112" t="str">
        <f>'Informe Kelly'!E1403</f>
        <v>09.04.2011</v>
      </c>
      <c r="D1409" s="112" t="e">
        <f>VLOOKUP(A1409,Ingreso!K:P,6,FALSE)</f>
        <v>#N/A</v>
      </c>
      <c r="E1409" s="142" t="e">
        <f>(VLOOKUP(D1409,$D$2:$E$4,2,FALSE))-(IF('Informe Kelly'!H1403=$A$2,'Informe Kelly'!F1403,VLOOKUP(D1409,$D$2:$E$4,2,FALSE)))</f>
        <v>#N/A</v>
      </c>
      <c r="F1409" s="142" t="e">
        <f>IF('Informe Kelly'!H1403=$A$3,'Informe Kelly'!F1403,VLOOKUP(D1409,$D$2:$F$4,3,FALSE))-(VLOOKUP(D1409,$D$2:$F$4,3,FALSE))</f>
        <v>#N/A</v>
      </c>
      <c r="G1409" s="137" t="e">
        <f t="shared" si="25"/>
        <v>#N/A</v>
      </c>
    </row>
    <row r="1410" spans="1:7">
      <c r="A1410" s="112" t="str">
        <f>VLOOKUP('Informe Kelly'!A1404,Base!A:B,2,FALSE)</f>
        <v>12.896.236-0</v>
      </c>
      <c r="B1410" s="112" t="str">
        <f>VLOOKUP('Informe Kelly'!A1404,Base!A:G,7,FALSE)</f>
        <v>CANDIA MUÑOZ GABRIEL</v>
      </c>
      <c r="C1410" s="112" t="str">
        <f>'Informe Kelly'!E1404</f>
        <v>09.04.2011</v>
      </c>
      <c r="D1410" s="112" t="e">
        <f>VLOOKUP(A1410,Ingreso!K:P,6,FALSE)</f>
        <v>#N/A</v>
      </c>
      <c r="E1410" s="142" t="e">
        <f>(VLOOKUP(D1410,$D$2:$E$4,2,FALSE))-(IF('Informe Kelly'!H1404=$A$2,'Informe Kelly'!F1404,VLOOKUP(D1410,$D$2:$E$4,2,FALSE)))</f>
        <v>#N/A</v>
      </c>
      <c r="F1410" s="142" t="e">
        <f>IF('Informe Kelly'!H1404=$A$3,'Informe Kelly'!F1404,VLOOKUP(D1410,$D$2:$F$4,3,FALSE))-(VLOOKUP(D1410,$D$2:$F$4,3,FALSE))</f>
        <v>#N/A</v>
      </c>
      <c r="G1410" s="137" t="e">
        <f t="shared" si="25"/>
        <v>#N/A</v>
      </c>
    </row>
    <row r="1411" spans="1:7">
      <c r="A1411" s="112" t="str">
        <f>VLOOKUP('Informe Kelly'!A1405,Base!A:B,2,FALSE)</f>
        <v>12.896.866-0</v>
      </c>
      <c r="B1411" s="112" t="str">
        <f>VLOOKUP('Informe Kelly'!A1405,Base!A:G,7,FALSE)</f>
        <v>SOTO SOTO EDDIE LUIS</v>
      </c>
      <c r="C1411" s="112" t="str">
        <f>'Informe Kelly'!E1405</f>
        <v>04.04.2011</v>
      </c>
      <c r="D1411" s="112" t="e">
        <f>VLOOKUP(A1411,Ingreso!K:P,6,FALSE)</f>
        <v>#N/A</v>
      </c>
      <c r="E1411" s="142" t="e">
        <f>(VLOOKUP(D1411,$D$2:$E$4,2,FALSE))-(IF('Informe Kelly'!H1405=$A$2,'Informe Kelly'!F1405,VLOOKUP(D1411,$D$2:$E$4,2,FALSE)))</f>
        <v>#N/A</v>
      </c>
      <c r="F1411" s="142" t="e">
        <f>IF('Informe Kelly'!H1405=$A$3,'Informe Kelly'!F1405,VLOOKUP(D1411,$D$2:$F$4,3,FALSE))-(VLOOKUP(D1411,$D$2:$F$4,3,FALSE))</f>
        <v>#N/A</v>
      </c>
      <c r="G1411" s="137" t="e">
        <f t="shared" si="25"/>
        <v>#N/A</v>
      </c>
    </row>
    <row r="1412" spans="1:7">
      <c r="A1412" s="112" t="str">
        <f>VLOOKUP('Informe Kelly'!A1406,Base!A:B,2,FALSE)</f>
        <v>12.896.866-0</v>
      </c>
      <c r="B1412" s="112" t="str">
        <f>VLOOKUP('Informe Kelly'!A1406,Base!A:G,7,FALSE)</f>
        <v>SOTO SOTO EDDIE LUIS</v>
      </c>
      <c r="C1412" s="112" t="str">
        <f>'Informe Kelly'!E1406</f>
        <v>04.04.2011</v>
      </c>
      <c r="D1412" s="112" t="e">
        <f>VLOOKUP(A1412,Ingreso!K:P,6,FALSE)</f>
        <v>#N/A</v>
      </c>
      <c r="E1412" s="142" t="e">
        <f>(VLOOKUP(D1412,$D$2:$E$4,2,FALSE))-(IF('Informe Kelly'!H1406=$A$2,'Informe Kelly'!F1406,VLOOKUP(D1412,$D$2:$E$4,2,FALSE)))</f>
        <v>#N/A</v>
      </c>
      <c r="F1412" s="142" t="e">
        <f>IF('Informe Kelly'!H1406=$A$3,'Informe Kelly'!F1406,VLOOKUP(D1412,$D$2:$F$4,3,FALSE))-(VLOOKUP(D1412,$D$2:$F$4,3,FALSE))</f>
        <v>#N/A</v>
      </c>
      <c r="G1412" s="137" t="e">
        <f t="shared" si="25"/>
        <v>#N/A</v>
      </c>
    </row>
    <row r="1413" spans="1:7">
      <c r="A1413" s="112" t="str">
        <f>VLOOKUP('Informe Kelly'!A1407,Base!A:B,2,FALSE)</f>
        <v>12.896.866-0</v>
      </c>
      <c r="B1413" s="112" t="str">
        <f>VLOOKUP('Informe Kelly'!A1407,Base!A:G,7,FALSE)</f>
        <v>SOTO SOTO EDDIE LUIS</v>
      </c>
      <c r="C1413" s="112" t="str">
        <f>'Informe Kelly'!E1407</f>
        <v>05.04.2011</v>
      </c>
      <c r="D1413" s="112" t="e">
        <f>VLOOKUP(A1413,Ingreso!K:P,6,FALSE)</f>
        <v>#N/A</v>
      </c>
      <c r="E1413" s="142" t="e">
        <f>(VLOOKUP(D1413,$D$2:$E$4,2,FALSE))-(IF('Informe Kelly'!H1407=$A$2,'Informe Kelly'!F1407,VLOOKUP(D1413,$D$2:$E$4,2,FALSE)))</f>
        <v>#N/A</v>
      </c>
      <c r="F1413" s="142" t="e">
        <f>IF('Informe Kelly'!H1407=$A$3,'Informe Kelly'!F1407,VLOOKUP(D1413,$D$2:$F$4,3,FALSE))-(VLOOKUP(D1413,$D$2:$F$4,3,FALSE))</f>
        <v>#N/A</v>
      </c>
      <c r="G1413" s="137" t="e">
        <f t="shared" si="25"/>
        <v>#N/A</v>
      </c>
    </row>
    <row r="1414" spans="1:7">
      <c r="A1414" s="112" t="str">
        <f>VLOOKUP('Informe Kelly'!A1408,Base!A:B,2,FALSE)</f>
        <v>12.896.866-0</v>
      </c>
      <c r="B1414" s="112" t="str">
        <f>VLOOKUP('Informe Kelly'!A1408,Base!A:G,7,FALSE)</f>
        <v>SOTO SOTO EDDIE LUIS</v>
      </c>
      <c r="C1414" s="112" t="str">
        <f>'Informe Kelly'!E1408</f>
        <v>05.04.2011</v>
      </c>
      <c r="D1414" s="112" t="e">
        <f>VLOOKUP(A1414,Ingreso!K:P,6,FALSE)</f>
        <v>#N/A</v>
      </c>
      <c r="E1414" s="142" t="e">
        <f>(VLOOKUP(D1414,$D$2:$E$4,2,FALSE))-(IF('Informe Kelly'!H1408=$A$2,'Informe Kelly'!F1408,VLOOKUP(D1414,$D$2:$E$4,2,FALSE)))</f>
        <v>#N/A</v>
      </c>
      <c r="F1414" s="142" t="e">
        <f>IF('Informe Kelly'!H1408=$A$3,'Informe Kelly'!F1408,VLOOKUP(D1414,$D$2:$F$4,3,FALSE))-(VLOOKUP(D1414,$D$2:$F$4,3,FALSE))</f>
        <v>#N/A</v>
      </c>
      <c r="G1414" s="137" t="e">
        <f t="shared" si="25"/>
        <v>#N/A</v>
      </c>
    </row>
    <row r="1415" spans="1:7">
      <c r="A1415" s="112" t="str">
        <f>VLOOKUP('Informe Kelly'!A1409,Base!A:B,2,FALSE)</f>
        <v>12.896.866-0</v>
      </c>
      <c r="B1415" s="112" t="str">
        <f>VLOOKUP('Informe Kelly'!A1409,Base!A:G,7,FALSE)</f>
        <v>SOTO SOTO EDDIE LUIS</v>
      </c>
      <c r="C1415" s="112" t="str">
        <f>'Informe Kelly'!E1409</f>
        <v>06.04.2011</v>
      </c>
      <c r="D1415" s="112" t="e">
        <f>VLOOKUP(A1415,Ingreso!K:P,6,FALSE)</f>
        <v>#N/A</v>
      </c>
      <c r="E1415" s="142" t="e">
        <f>(VLOOKUP(D1415,$D$2:$E$4,2,FALSE))-(IF('Informe Kelly'!H1409=$A$2,'Informe Kelly'!F1409,VLOOKUP(D1415,$D$2:$E$4,2,FALSE)))</f>
        <v>#N/A</v>
      </c>
      <c r="F1415" s="142" t="e">
        <f>IF('Informe Kelly'!H1409=$A$3,'Informe Kelly'!F1409,VLOOKUP(D1415,$D$2:$F$4,3,FALSE))-(VLOOKUP(D1415,$D$2:$F$4,3,FALSE))</f>
        <v>#N/A</v>
      </c>
      <c r="G1415" s="137" t="e">
        <f t="shared" si="25"/>
        <v>#N/A</v>
      </c>
    </row>
    <row r="1416" spans="1:7">
      <c r="A1416" s="112" t="str">
        <f>VLOOKUP('Informe Kelly'!A1410,Base!A:B,2,FALSE)</f>
        <v>12.896.866-0</v>
      </c>
      <c r="B1416" s="112" t="str">
        <f>VLOOKUP('Informe Kelly'!A1410,Base!A:G,7,FALSE)</f>
        <v>SOTO SOTO EDDIE LUIS</v>
      </c>
      <c r="C1416" s="112" t="str">
        <f>'Informe Kelly'!E1410</f>
        <v>06.04.2011</v>
      </c>
      <c r="D1416" s="112" t="e">
        <f>VLOOKUP(A1416,Ingreso!K:P,6,FALSE)</f>
        <v>#N/A</v>
      </c>
      <c r="E1416" s="142" t="e">
        <f>(VLOOKUP(D1416,$D$2:$E$4,2,FALSE))-(IF('Informe Kelly'!H1410=$A$2,'Informe Kelly'!F1410,VLOOKUP(D1416,$D$2:$E$4,2,FALSE)))</f>
        <v>#N/A</v>
      </c>
      <c r="F1416" s="142" t="e">
        <f>IF('Informe Kelly'!H1410=$A$3,'Informe Kelly'!F1410,VLOOKUP(D1416,$D$2:$F$4,3,FALSE))-(VLOOKUP(D1416,$D$2:$F$4,3,FALSE))</f>
        <v>#N/A</v>
      </c>
      <c r="G1416" s="137" t="e">
        <f t="shared" si="25"/>
        <v>#N/A</v>
      </c>
    </row>
    <row r="1417" spans="1:7">
      <c r="A1417" s="112" t="str">
        <f>VLOOKUP('Informe Kelly'!A1411,Base!A:B,2,FALSE)</f>
        <v>12.896.866-0</v>
      </c>
      <c r="B1417" s="112" t="str">
        <f>VLOOKUP('Informe Kelly'!A1411,Base!A:G,7,FALSE)</f>
        <v>SOTO SOTO EDDIE LUIS</v>
      </c>
      <c r="C1417" s="112" t="str">
        <f>'Informe Kelly'!E1411</f>
        <v>07.04.2011</v>
      </c>
      <c r="D1417" s="112" t="e">
        <f>VLOOKUP(A1417,Ingreso!K:P,6,FALSE)</f>
        <v>#N/A</v>
      </c>
      <c r="E1417" s="142" t="e">
        <f>(VLOOKUP(D1417,$D$2:$E$4,2,FALSE))-(IF('Informe Kelly'!H1411=$A$2,'Informe Kelly'!F1411,VLOOKUP(D1417,$D$2:$E$4,2,FALSE)))</f>
        <v>#N/A</v>
      </c>
      <c r="F1417" s="142" t="e">
        <f>IF('Informe Kelly'!H1411=$A$3,'Informe Kelly'!F1411,VLOOKUP(D1417,$D$2:$F$4,3,FALSE))-(VLOOKUP(D1417,$D$2:$F$4,3,FALSE))</f>
        <v>#N/A</v>
      </c>
      <c r="G1417" s="137" t="e">
        <f t="shared" ref="G1417:G1480" si="26">IF(E1417="",IF(F1417&lt;0.0409722222222222,0,E1417),IF(E1417&lt;0.0409722222222222,0,E1417))</f>
        <v>#N/A</v>
      </c>
    </row>
    <row r="1418" spans="1:7">
      <c r="A1418" s="112" t="str">
        <f>VLOOKUP('Informe Kelly'!A1412,Base!A:B,2,FALSE)</f>
        <v>12.896.866-0</v>
      </c>
      <c r="B1418" s="112" t="str">
        <f>VLOOKUP('Informe Kelly'!A1412,Base!A:G,7,FALSE)</f>
        <v>SOTO SOTO EDDIE LUIS</v>
      </c>
      <c r="C1418" s="112" t="str">
        <f>'Informe Kelly'!E1412</f>
        <v>07.04.2011</v>
      </c>
      <c r="D1418" s="112" t="e">
        <f>VLOOKUP(A1418,Ingreso!K:P,6,FALSE)</f>
        <v>#N/A</v>
      </c>
      <c r="E1418" s="142" t="e">
        <f>(VLOOKUP(D1418,$D$2:$E$4,2,FALSE))-(IF('Informe Kelly'!H1412=$A$2,'Informe Kelly'!F1412,VLOOKUP(D1418,$D$2:$E$4,2,FALSE)))</f>
        <v>#N/A</v>
      </c>
      <c r="F1418" s="142" t="e">
        <f>IF('Informe Kelly'!H1412=$A$3,'Informe Kelly'!F1412,VLOOKUP(D1418,$D$2:$F$4,3,FALSE))-(VLOOKUP(D1418,$D$2:$F$4,3,FALSE))</f>
        <v>#N/A</v>
      </c>
      <c r="G1418" s="137" t="e">
        <f t="shared" si="26"/>
        <v>#N/A</v>
      </c>
    </row>
    <row r="1419" spans="1:7">
      <c r="A1419" s="112" t="str">
        <f>VLOOKUP('Informe Kelly'!A1413,Base!A:B,2,FALSE)</f>
        <v>12.896.866-0</v>
      </c>
      <c r="B1419" s="112" t="str">
        <f>VLOOKUP('Informe Kelly'!A1413,Base!A:G,7,FALSE)</f>
        <v>SOTO SOTO EDDIE LUIS</v>
      </c>
      <c r="C1419" s="112" t="str">
        <f>'Informe Kelly'!E1413</f>
        <v>08.04.2011</v>
      </c>
      <c r="D1419" s="112" t="e">
        <f>VLOOKUP(A1419,Ingreso!K:P,6,FALSE)</f>
        <v>#N/A</v>
      </c>
      <c r="E1419" s="142" t="e">
        <f>(VLOOKUP(D1419,$D$2:$E$4,2,FALSE))-(IF('Informe Kelly'!H1413=$A$2,'Informe Kelly'!F1413,VLOOKUP(D1419,$D$2:$E$4,2,FALSE)))</f>
        <v>#N/A</v>
      </c>
      <c r="F1419" s="142" t="e">
        <f>IF('Informe Kelly'!H1413=$A$3,'Informe Kelly'!F1413,VLOOKUP(D1419,$D$2:$F$4,3,FALSE))-(VLOOKUP(D1419,$D$2:$F$4,3,FALSE))</f>
        <v>#N/A</v>
      </c>
      <c r="G1419" s="137" t="e">
        <f t="shared" si="26"/>
        <v>#N/A</v>
      </c>
    </row>
    <row r="1420" spans="1:7">
      <c r="A1420" s="112" t="str">
        <f>VLOOKUP('Informe Kelly'!A1414,Base!A:B,2,FALSE)</f>
        <v>12.896.866-0</v>
      </c>
      <c r="B1420" s="112" t="str">
        <f>VLOOKUP('Informe Kelly'!A1414,Base!A:G,7,FALSE)</f>
        <v>SOTO SOTO EDDIE LUIS</v>
      </c>
      <c r="C1420" s="112" t="str">
        <f>'Informe Kelly'!E1414</f>
        <v>08.04.2011</v>
      </c>
      <c r="D1420" s="112" t="e">
        <f>VLOOKUP(A1420,Ingreso!K:P,6,FALSE)</f>
        <v>#N/A</v>
      </c>
      <c r="E1420" s="142" t="e">
        <f>(VLOOKUP(D1420,$D$2:$E$4,2,FALSE))-(IF('Informe Kelly'!H1414=$A$2,'Informe Kelly'!F1414,VLOOKUP(D1420,$D$2:$E$4,2,FALSE)))</f>
        <v>#N/A</v>
      </c>
      <c r="F1420" s="142" t="e">
        <f>IF('Informe Kelly'!H1414=$A$3,'Informe Kelly'!F1414,VLOOKUP(D1420,$D$2:$F$4,3,FALSE))-(VLOOKUP(D1420,$D$2:$F$4,3,FALSE))</f>
        <v>#N/A</v>
      </c>
      <c r="G1420" s="137" t="e">
        <f t="shared" si="26"/>
        <v>#N/A</v>
      </c>
    </row>
    <row r="1421" spans="1:7">
      <c r="A1421" s="112" t="str">
        <f>VLOOKUP('Informe Kelly'!A1415,Base!A:B,2,FALSE)</f>
        <v>12.896.866-0</v>
      </c>
      <c r="B1421" s="112" t="str">
        <f>VLOOKUP('Informe Kelly'!A1415,Base!A:G,7,FALSE)</f>
        <v>SOTO SOTO EDDIE LUIS</v>
      </c>
      <c r="C1421" s="112" t="str">
        <f>'Informe Kelly'!E1415</f>
        <v>09.04.2011</v>
      </c>
      <c r="D1421" s="112" t="e">
        <f>VLOOKUP(A1421,Ingreso!K:P,6,FALSE)</f>
        <v>#N/A</v>
      </c>
      <c r="E1421" s="142" t="e">
        <f>(VLOOKUP(D1421,$D$2:$E$4,2,FALSE))-(IF('Informe Kelly'!H1415=$A$2,'Informe Kelly'!F1415,VLOOKUP(D1421,$D$2:$E$4,2,FALSE)))</f>
        <v>#N/A</v>
      </c>
      <c r="F1421" s="142" t="e">
        <f>IF('Informe Kelly'!H1415=$A$3,'Informe Kelly'!F1415,VLOOKUP(D1421,$D$2:$F$4,3,FALSE))-(VLOOKUP(D1421,$D$2:$F$4,3,FALSE))</f>
        <v>#N/A</v>
      </c>
      <c r="G1421" s="137" t="e">
        <f t="shared" si="26"/>
        <v>#N/A</v>
      </c>
    </row>
    <row r="1422" spans="1:7">
      <c r="A1422" s="112" t="str">
        <f>VLOOKUP('Informe Kelly'!A1416,Base!A:B,2,FALSE)</f>
        <v>12.896.866-0</v>
      </c>
      <c r="B1422" s="112" t="str">
        <f>VLOOKUP('Informe Kelly'!A1416,Base!A:G,7,FALSE)</f>
        <v>SOTO SOTO EDDIE LUIS</v>
      </c>
      <c r="C1422" s="112" t="str">
        <f>'Informe Kelly'!E1416</f>
        <v>09.04.2011</v>
      </c>
      <c r="D1422" s="112" t="e">
        <f>VLOOKUP(A1422,Ingreso!K:P,6,FALSE)</f>
        <v>#N/A</v>
      </c>
      <c r="E1422" s="142" t="e">
        <f>(VLOOKUP(D1422,$D$2:$E$4,2,FALSE))-(IF('Informe Kelly'!H1416=$A$2,'Informe Kelly'!F1416,VLOOKUP(D1422,$D$2:$E$4,2,FALSE)))</f>
        <v>#N/A</v>
      </c>
      <c r="F1422" s="142" t="e">
        <f>IF('Informe Kelly'!H1416=$A$3,'Informe Kelly'!F1416,VLOOKUP(D1422,$D$2:$F$4,3,FALSE))-(VLOOKUP(D1422,$D$2:$F$4,3,FALSE))</f>
        <v>#N/A</v>
      </c>
      <c r="G1422" s="137" t="e">
        <f t="shared" si="26"/>
        <v>#N/A</v>
      </c>
    </row>
    <row r="1423" spans="1:7">
      <c r="A1423" s="112" t="str">
        <f>VLOOKUP('Informe Kelly'!A1417,Base!A:B,2,FALSE)</f>
        <v>12.898.844-0</v>
      </c>
      <c r="B1423" s="112" t="str">
        <f>VLOOKUP('Informe Kelly'!A1417,Base!A:G,7,FALSE)</f>
        <v>PALMA CLARO DANIEL H.</v>
      </c>
      <c r="C1423" s="112" t="str">
        <f>'Informe Kelly'!E1417</f>
        <v>00.00.0000</v>
      </c>
      <c r="D1423" s="112" t="e">
        <f>VLOOKUP(A1423,Ingreso!K:P,6,FALSE)</f>
        <v>#N/A</v>
      </c>
      <c r="E1423" s="142" t="e">
        <f>(VLOOKUP(D1423,$D$2:$E$4,2,FALSE))-(IF('Informe Kelly'!H1417=$A$2,'Informe Kelly'!F1417,VLOOKUP(D1423,$D$2:$E$4,2,FALSE)))</f>
        <v>#N/A</v>
      </c>
      <c r="F1423" s="142" t="e">
        <f>IF('Informe Kelly'!H1417=$A$3,'Informe Kelly'!F1417,VLOOKUP(D1423,$D$2:$F$4,3,FALSE))-(VLOOKUP(D1423,$D$2:$F$4,3,FALSE))</f>
        <v>#N/A</v>
      </c>
      <c r="G1423" s="137" t="e">
        <f t="shared" si="26"/>
        <v>#N/A</v>
      </c>
    </row>
    <row r="1424" spans="1:7">
      <c r="A1424" s="112" t="str">
        <f>VLOOKUP('Informe Kelly'!A1418,Base!A:B,2,FALSE)</f>
        <v>13.045.231-0</v>
      </c>
      <c r="B1424" s="112" t="str">
        <f>VLOOKUP('Informe Kelly'!A1418,Base!A:G,7,FALSE)</f>
        <v>ARANCIBIA SILVA FELIPE</v>
      </c>
      <c r="C1424" s="112" t="str">
        <f>'Informe Kelly'!E1418</f>
        <v>06.04.2011</v>
      </c>
      <c r="D1424" s="112" t="e">
        <f>VLOOKUP(A1424,Ingreso!K:P,6,FALSE)</f>
        <v>#N/A</v>
      </c>
      <c r="E1424" s="142" t="e">
        <f>(VLOOKUP(D1424,$D$2:$E$4,2,FALSE))-(IF('Informe Kelly'!H1418=$A$2,'Informe Kelly'!F1418,VLOOKUP(D1424,$D$2:$E$4,2,FALSE)))</f>
        <v>#N/A</v>
      </c>
      <c r="F1424" s="142" t="e">
        <f>IF('Informe Kelly'!H1418=$A$3,'Informe Kelly'!F1418,VLOOKUP(D1424,$D$2:$F$4,3,FALSE))-(VLOOKUP(D1424,$D$2:$F$4,3,FALSE))</f>
        <v>#N/A</v>
      </c>
      <c r="G1424" s="137" t="e">
        <f t="shared" si="26"/>
        <v>#N/A</v>
      </c>
    </row>
    <row r="1425" spans="1:7">
      <c r="A1425" s="112" t="str">
        <f>VLOOKUP('Informe Kelly'!A1419,Base!A:B,2,FALSE)</f>
        <v>13.045.231-0</v>
      </c>
      <c r="B1425" s="112" t="str">
        <f>VLOOKUP('Informe Kelly'!A1419,Base!A:G,7,FALSE)</f>
        <v>ARANCIBIA SILVA FELIPE</v>
      </c>
      <c r="C1425" s="112" t="str">
        <f>'Informe Kelly'!E1419</f>
        <v>06.04.2011</v>
      </c>
      <c r="D1425" s="112" t="e">
        <f>VLOOKUP(A1425,Ingreso!K:P,6,FALSE)</f>
        <v>#N/A</v>
      </c>
      <c r="E1425" s="142" t="e">
        <f>(VLOOKUP(D1425,$D$2:$E$4,2,FALSE))-(IF('Informe Kelly'!H1419=$A$2,'Informe Kelly'!F1419,VLOOKUP(D1425,$D$2:$E$4,2,FALSE)))</f>
        <v>#N/A</v>
      </c>
      <c r="F1425" s="142" t="e">
        <f>IF('Informe Kelly'!H1419=$A$3,'Informe Kelly'!F1419,VLOOKUP(D1425,$D$2:$F$4,3,FALSE))-(VLOOKUP(D1425,$D$2:$F$4,3,FALSE))</f>
        <v>#N/A</v>
      </c>
      <c r="G1425" s="137" t="e">
        <f t="shared" si="26"/>
        <v>#N/A</v>
      </c>
    </row>
    <row r="1426" spans="1:7">
      <c r="A1426" s="112" t="str">
        <f>VLOOKUP('Informe Kelly'!A1420,Base!A:B,2,FALSE)</f>
        <v>13.045.231-0</v>
      </c>
      <c r="B1426" s="112" t="str">
        <f>VLOOKUP('Informe Kelly'!A1420,Base!A:G,7,FALSE)</f>
        <v>ARANCIBIA SILVA FELIPE</v>
      </c>
      <c r="C1426" s="112" t="str">
        <f>'Informe Kelly'!E1420</f>
        <v>07.04.2011</v>
      </c>
      <c r="D1426" s="112" t="e">
        <f>VLOOKUP(A1426,Ingreso!K:P,6,FALSE)</f>
        <v>#N/A</v>
      </c>
      <c r="E1426" s="142" t="e">
        <f>(VLOOKUP(D1426,$D$2:$E$4,2,FALSE))-(IF('Informe Kelly'!H1420=$A$2,'Informe Kelly'!F1420,VLOOKUP(D1426,$D$2:$E$4,2,FALSE)))</f>
        <v>#N/A</v>
      </c>
      <c r="F1426" s="142" t="e">
        <f>IF('Informe Kelly'!H1420=$A$3,'Informe Kelly'!F1420,VLOOKUP(D1426,$D$2:$F$4,3,FALSE))-(VLOOKUP(D1426,$D$2:$F$4,3,FALSE))</f>
        <v>#N/A</v>
      </c>
      <c r="G1426" s="137" t="e">
        <f t="shared" si="26"/>
        <v>#N/A</v>
      </c>
    </row>
    <row r="1427" spans="1:7">
      <c r="A1427" s="112" t="str">
        <f>VLOOKUP('Informe Kelly'!A1421,Base!A:B,2,FALSE)</f>
        <v>13.045.231-0</v>
      </c>
      <c r="B1427" s="112" t="str">
        <f>VLOOKUP('Informe Kelly'!A1421,Base!A:G,7,FALSE)</f>
        <v>ARANCIBIA SILVA FELIPE</v>
      </c>
      <c r="C1427" s="112" t="str">
        <f>'Informe Kelly'!E1421</f>
        <v>07.04.2011</v>
      </c>
      <c r="D1427" s="112" t="e">
        <f>VLOOKUP(A1427,Ingreso!K:P,6,FALSE)</f>
        <v>#N/A</v>
      </c>
      <c r="E1427" s="142" t="e">
        <f>(VLOOKUP(D1427,$D$2:$E$4,2,FALSE))-(IF('Informe Kelly'!H1421=$A$2,'Informe Kelly'!F1421,VLOOKUP(D1427,$D$2:$E$4,2,FALSE)))</f>
        <v>#N/A</v>
      </c>
      <c r="F1427" s="142" t="e">
        <f>IF('Informe Kelly'!H1421=$A$3,'Informe Kelly'!F1421,VLOOKUP(D1427,$D$2:$F$4,3,FALSE))-(VLOOKUP(D1427,$D$2:$F$4,3,FALSE))</f>
        <v>#N/A</v>
      </c>
      <c r="G1427" s="137" t="e">
        <f t="shared" si="26"/>
        <v>#N/A</v>
      </c>
    </row>
    <row r="1428" spans="1:7">
      <c r="A1428" s="112" t="str">
        <f>VLOOKUP('Informe Kelly'!A1422,Base!A:B,2,FALSE)</f>
        <v>13.045.231-0</v>
      </c>
      <c r="B1428" s="112" t="str">
        <f>VLOOKUP('Informe Kelly'!A1422,Base!A:G,7,FALSE)</f>
        <v>ARANCIBIA SILVA FELIPE</v>
      </c>
      <c r="C1428" s="112" t="str">
        <f>'Informe Kelly'!E1422</f>
        <v>08.04.2011</v>
      </c>
      <c r="D1428" s="112" t="e">
        <f>VLOOKUP(A1428,Ingreso!K:P,6,FALSE)</f>
        <v>#N/A</v>
      </c>
      <c r="E1428" s="142" t="e">
        <f>(VLOOKUP(D1428,$D$2:$E$4,2,FALSE))-(IF('Informe Kelly'!H1422=$A$2,'Informe Kelly'!F1422,VLOOKUP(D1428,$D$2:$E$4,2,FALSE)))</f>
        <v>#N/A</v>
      </c>
      <c r="F1428" s="142" t="e">
        <f>IF('Informe Kelly'!H1422=$A$3,'Informe Kelly'!F1422,VLOOKUP(D1428,$D$2:$F$4,3,FALSE))-(VLOOKUP(D1428,$D$2:$F$4,3,FALSE))</f>
        <v>#N/A</v>
      </c>
      <c r="G1428" s="137" t="e">
        <f t="shared" si="26"/>
        <v>#N/A</v>
      </c>
    </row>
    <row r="1429" spans="1:7">
      <c r="A1429" s="112" t="str">
        <f>VLOOKUP('Informe Kelly'!A1423,Base!A:B,2,FALSE)</f>
        <v>13.045.231-0</v>
      </c>
      <c r="B1429" s="112" t="str">
        <f>VLOOKUP('Informe Kelly'!A1423,Base!A:G,7,FALSE)</f>
        <v>ARANCIBIA SILVA FELIPE</v>
      </c>
      <c r="C1429" s="112" t="str">
        <f>'Informe Kelly'!E1423</f>
        <v>08.04.2011</v>
      </c>
      <c r="D1429" s="112" t="e">
        <f>VLOOKUP(A1429,Ingreso!K:P,6,FALSE)</f>
        <v>#N/A</v>
      </c>
      <c r="E1429" s="142" t="e">
        <f>(VLOOKUP(D1429,$D$2:$E$4,2,FALSE))-(IF('Informe Kelly'!H1423=$A$2,'Informe Kelly'!F1423,VLOOKUP(D1429,$D$2:$E$4,2,FALSE)))</f>
        <v>#N/A</v>
      </c>
      <c r="F1429" s="142" t="e">
        <f>IF('Informe Kelly'!H1423=$A$3,'Informe Kelly'!F1423,VLOOKUP(D1429,$D$2:$F$4,3,FALSE))-(VLOOKUP(D1429,$D$2:$F$4,3,FALSE))</f>
        <v>#N/A</v>
      </c>
      <c r="G1429" s="137" t="e">
        <f t="shared" si="26"/>
        <v>#N/A</v>
      </c>
    </row>
    <row r="1430" spans="1:7">
      <c r="A1430" s="112" t="str">
        <f>VLOOKUP('Informe Kelly'!A1424,Base!A:B,2,FALSE)</f>
        <v>13.045.231-0</v>
      </c>
      <c r="B1430" s="112" t="str">
        <f>VLOOKUP('Informe Kelly'!A1424,Base!A:G,7,FALSE)</f>
        <v>ARANCIBIA SILVA FELIPE</v>
      </c>
      <c r="C1430" s="112" t="str">
        <f>'Informe Kelly'!E1424</f>
        <v>09.04.2011</v>
      </c>
      <c r="D1430" s="112" t="e">
        <f>VLOOKUP(A1430,Ingreso!K:P,6,FALSE)</f>
        <v>#N/A</v>
      </c>
      <c r="E1430" s="142" t="e">
        <f>(VLOOKUP(D1430,$D$2:$E$4,2,FALSE))-(IF('Informe Kelly'!H1424=$A$2,'Informe Kelly'!F1424,VLOOKUP(D1430,$D$2:$E$4,2,FALSE)))</f>
        <v>#N/A</v>
      </c>
      <c r="F1430" s="142" t="e">
        <f>IF('Informe Kelly'!H1424=$A$3,'Informe Kelly'!F1424,VLOOKUP(D1430,$D$2:$F$4,3,FALSE))-(VLOOKUP(D1430,$D$2:$F$4,3,FALSE))</f>
        <v>#N/A</v>
      </c>
      <c r="G1430" s="137" t="e">
        <f t="shared" si="26"/>
        <v>#N/A</v>
      </c>
    </row>
    <row r="1431" spans="1:7">
      <c r="A1431" s="112" t="str">
        <f>VLOOKUP('Informe Kelly'!A1425,Base!A:B,2,FALSE)</f>
        <v>13.045.231-0</v>
      </c>
      <c r="B1431" s="112" t="str">
        <f>VLOOKUP('Informe Kelly'!A1425,Base!A:G,7,FALSE)</f>
        <v>ARANCIBIA SILVA FELIPE</v>
      </c>
      <c r="C1431" s="112" t="str">
        <f>'Informe Kelly'!E1425</f>
        <v>09.04.2011</v>
      </c>
      <c r="D1431" s="112" t="e">
        <f>VLOOKUP(A1431,Ingreso!K:P,6,FALSE)</f>
        <v>#N/A</v>
      </c>
      <c r="E1431" s="142" t="e">
        <f>(VLOOKUP(D1431,$D$2:$E$4,2,FALSE))-(IF('Informe Kelly'!H1425=$A$2,'Informe Kelly'!F1425,VLOOKUP(D1431,$D$2:$E$4,2,FALSE)))</f>
        <v>#N/A</v>
      </c>
      <c r="F1431" s="142" t="e">
        <f>IF('Informe Kelly'!H1425=$A$3,'Informe Kelly'!F1425,VLOOKUP(D1431,$D$2:$F$4,3,FALSE))-(VLOOKUP(D1431,$D$2:$F$4,3,FALSE))</f>
        <v>#N/A</v>
      </c>
      <c r="G1431" s="137" t="e">
        <f t="shared" si="26"/>
        <v>#N/A</v>
      </c>
    </row>
    <row r="1432" spans="1:7">
      <c r="A1432" s="112" t="str">
        <f>VLOOKUP('Informe Kelly'!A1426,Base!A:B,2,FALSE)</f>
        <v>13.077.995-6</v>
      </c>
      <c r="B1432" s="112" t="str">
        <f>VLOOKUP('Informe Kelly'!A1426,Base!A:G,7,FALSE)</f>
        <v>MARTINEZ OSSES FRANCISCO ANTONIO</v>
      </c>
      <c r="C1432" s="112" t="str">
        <f>'Informe Kelly'!E1426</f>
        <v>04.04.2011</v>
      </c>
      <c r="D1432" s="112" t="e">
        <f>VLOOKUP(A1432,Ingreso!K:P,6,FALSE)</f>
        <v>#N/A</v>
      </c>
      <c r="E1432" s="142" t="e">
        <f>(VLOOKUP(D1432,$D$2:$E$4,2,FALSE))-(IF('Informe Kelly'!H1426=$A$2,'Informe Kelly'!F1426,VLOOKUP(D1432,$D$2:$E$4,2,FALSE)))</f>
        <v>#N/A</v>
      </c>
      <c r="F1432" s="142" t="e">
        <f>IF('Informe Kelly'!H1426=$A$3,'Informe Kelly'!F1426,VLOOKUP(D1432,$D$2:$F$4,3,FALSE))-(VLOOKUP(D1432,$D$2:$F$4,3,FALSE))</f>
        <v>#N/A</v>
      </c>
      <c r="G1432" s="137" t="e">
        <f t="shared" si="26"/>
        <v>#N/A</v>
      </c>
    </row>
    <row r="1433" spans="1:7">
      <c r="A1433" s="112" t="str">
        <f>VLOOKUP('Informe Kelly'!A1427,Base!A:B,2,FALSE)</f>
        <v>13.077.995-6</v>
      </c>
      <c r="B1433" s="112" t="str">
        <f>VLOOKUP('Informe Kelly'!A1427,Base!A:G,7,FALSE)</f>
        <v>MARTINEZ OSSES FRANCISCO ANTONIO</v>
      </c>
      <c r="C1433" s="112" t="str">
        <f>'Informe Kelly'!E1427</f>
        <v>05.04.2011</v>
      </c>
      <c r="D1433" s="112" t="e">
        <f>VLOOKUP(A1433,Ingreso!K:P,6,FALSE)</f>
        <v>#N/A</v>
      </c>
      <c r="E1433" s="142" t="e">
        <f>(VLOOKUP(D1433,$D$2:$E$4,2,FALSE))-(IF('Informe Kelly'!H1427=$A$2,'Informe Kelly'!F1427,VLOOKUP(D1433,$D$2:$E$4,2,FALSE)))</f>
        <v>#N/A</v>
      </c>
      <c r="F1433" s="142" t="e">
        <f>IF('Informe Kelly'!H1427=$A$3,'Informe Kelly'!F1427,VLOOKUP(D1433,$D$2:$F$4,3,FALSE))-(VLOOKUP(D1433,$D$2:$F$4,3,FALSE))</f>
        <v>#N/A</v>
      </c>
      <c r="G1433" s="137" t="e">
        <f t="shared" si="26"/>
        <v>#N/A</v>
      </c>
    </row>
    <row r="1434" spans="1:7">
      <c r="A1434" s="112" t="str">
        <f>VLOOKUP('Informe Kelly'!A1428,Base!A:B,2,FALSE)</f>
        <v>13.077.995-6</v>
      </c>
      <c r="B1434" s="112" t="str">
        <f>VLOOKUP('Informe Kelly'!A1428,Base!A:G,7,FALSE)</f>
        <v>MARTINEZ OSSES FRANCISCO ANTONIO</v>
      </c>
      <c r="C1434" s="112" t="str">
        <f>'Informe Kelly'!E1428</f>
        <v>05.04.2011</v>
      </c>
      <c r="D1434" s="112" t="e">
        <f>VLOOKUP(A1434,Ingreso!K:P,6,FALSE)</f>
        <v>#N/A</v>
      </c>
      <c r="E1434" s="142" t="e">
        <f>(VLOOKUP(D1434,$D$2:$E$4,2,FALSE))-(IF('Informe Kelly'!H1428=$A$2,'Informe Kelly'!F1428,VLOOKUP(D1434,$D$2:$E$4,2,FALSE)))</f>
        <v>#N/A</v>
      </c>
      <c r="F1434" s="142" t="e">
        <f>IF('Informe Kelly'!H1428=$A$3,'Informe Kelly'!F1428,VLOOKUP(D1434,$D$2:$F$4,3,FALSE))-(VLOOKUP(D1434,$D$2:$F$4,3,FALSE))</f>
        <v>#N/A</v>
      </c>
      <c r="G1434" s="137" t="e">
        <f t="shared" si="26"/>
        <v>#N/A</v>
      </c>
    </row>
    <row r="1435" spans="1:7">
      <c r="A1435" s="112" t="str">
        <f>VLOOKUP('Informe Kelly'!A1429,Base!A:B,2,FALSE)</f>
        <v>13.077.995-6</v>
      </c>
      <c r="B1435" s="112" t="str">
        <f>VLOOKUP('Informe Kelly'!A1429,Base!A:G,7,FALSE)</f>
        <v>MARTINEZ OSSES FRANCISCO ANTONIO</v>
      </c>
      <c r="C1435" s="112" t="str">
        <f>'Informe Kelly'!E1429</f>
        <v>06.04.2011</v>
      </c>
      <c r="D1435" s="112" t="e">
        <f>VLOOKUP(A1435,Ingreso!K:P,6,FALSE)</f>
        <v>#N/A</v>
      </c>
      <c r="E1435" s="142" t="e">
        <f>(VLOOKUP(D1435,$D$2:$E$4,2,FALSE))-(IF('Informe Kelly'!H1429=$A$2,'Informe Kelly'!F1429,VLOOKUP(D1435,$D$2:$E$4,2,FALSE)))</f>
        <v>#N/A</v>
      </c>
      <c r="F1435" s="142" t="e">
        <f>IF('Informe Kelly'!H1429=$A$3,'Informe Kelly'!F1429,VLOOKUP(D1435,$D$2:$F$4,3,FALSE))-(VLOOKUP(D1435,$D$2:$F$4,3,FALSE))</f>
        <v>#N/A</v>
      </c>
      <c r="G1435" s="137" t="e">
        <f t="shared" si="26"/>
        <v>#N/A</v>
      </c>
    </row>
    <row r="1436" spans="1:7">
      <c r="A1436" s="112" t="str">
        <f>VLOOKUP('Informe Kelly'!A1430,Base!A:B,2,FALSE)</f>
        <v>13.077.995-6</v>
      </c>
      <c r="B1436" s="112" t="str">
        <f>VLOOKUP('Informe Kelly'!A1430,Base!A:G,7,FALSE)</f>
        <v>MARTINEZ OSSES FRANCISCO ANTONIO</v>
      </c>
      <c r="C1436" s="112" t="str">
        <f>'Informe Kelly'!E1430</f>
        <v>06.04.2011</v>
      </c>
      <c r="D1436" s="112" t="e">
        <f>VLOOKUP(A1436,Ingreso!K:P,6,FALSE)</f>
        <v>#N/A</v>
      </c>
      <c r="E1436" s="142" t="e">
        <f>(VLOOKUP(D1436,$D$2:$E$4,2,FALSE))-(IF('Informe Kelly'!H1430=$A$2,'Informe Kelly'!F1430,VLOOKUP(D1436,$D$2:$E$4,2,FALSE)))</f>
        <v>#N/A</v>
      </c>
      <c r="F1436" s="142" t="e">
        <f>IF('Informe Kelly'!H1430=$A$3,'Informe Kelly'!F1430,VLOOKUP(D1436,$D$2:$F$4,3,FALSE))-(VLOOKUP(D1436,$D$2:$F$4,3,FALSE))</f>
        <v>#N/A</v>
      </c>
      <c r="G1436" s="137" t="e">
        <f t="shared" si="26"/>
        <v>#N/A</v>
      </c>
    </row>
    <row r="1437" spans="1:7">
      <c r="A1437" s="112" t="str">
        <f>VLOOKUP('Informe Kelly'!A1431,Base!A:B,2,FALSE)</f>
        <v>13.077.995-6</v>
      </c>
      <c r="B1437" s="112" t="str">
        <f>VLOOKUP('Informe Kelly'!A1431,Base!A:G,7,FALSE)</f>
        <v>MARTINEZ OSSES FRANCISCO ANTONIO</v>
      </c>
      <c r="C1437" s="112" t="str">
        <f>'Informe Kelly'!E1431</f>
        <v>07.04.2011</v>
      </c>
      <c r="D1437" s="112" t="e">
        <f>VLOOKUP(A1437,Ingreso!K:P,6,FALSE)</f>
        <v>#N/A</v>
      </c>
      <c r="E1437" s="142" t="e">
        <f>(VLOOKUP(D1437,$D$2:$E$4,2,FALSE))-(IF('Informe Kelly'!H1431=$A$2,'Informe Kelly'!F1431,VLOOKUP(D1437,$D$2:$E$4,2,FALSE)))</f>
        <v>#N/A</v>
      </c>
      <c r="F1437" s="142" t="e">
        <f>IF('Informe Kelly'!H1431=$A$3,'Informe Kelly'!F1431,VLOOKUP(D1437,$D$2:$F$4,3,FALSE))-(VLOOKUP(D1437,$D$2:$F$4,3,FALSE))</f>
        <v>#N/A</v>
      </c>
      <c r="G1437" s="137" t="e">
        <f t="shared" si="26"/>
        <v>#N/A</v>
      </c>
    </row>
    <row r="1438" spans="1:7">
      <c r="A1438" s="112" t="str">
        <f>VLOOKUP('Informe Kelly'!A1432,Base!A:B,2,FALSE)</f>
        <v>13.077.995-6</v>
      </c>
      <c r="B1438" s="112" t="str">
        <f>VLOOKUP('Informe Kelly'!A1432,Base!A:G,7,FALSE)</f>
        <v>MARTINEZ OSSES FRANCISCO ANTONIO</v>
      </c>
      <c r="C1438" s="112" t="str">
        <f>'Informe Kelly'!E1432</f>
        <v>07.04.2011</v>
      </c>
      <c r="D1438" s="112" t="e">
        <f>VLOOKUP(A1438,Ingreso!K:P,6,FALSE)</f>
        <v>#N/A</v>
      </c>
      <c r="E1438" s="142" t="e">
        <f>(VLOOKUP(D1438,$D$2:$E$4,2,FALSE))-(IF('Informe Kelly'!H1432=$A$2,'Informe Kelly'!F1432,VLOOKUP(D1438,$D$2:$E$4,2,FALSE)))</f>
        <v>#N/A</v>
      </c>
      <c r="F1438" s="142" t="e">
        <f>IF('Informe Kelly'!H1432=$A$3,'Informe Kelly'!F1432,VLOOKUP(D1438,$D$2:$F$4,3,FALSE))-(VLOOKUP(D1438,$D$2:$F$4,3,FALSE))</f>
        <v>#N/A</v>
      </c>
      <c r="G1438" s="137" t="e">
        <f t="shared" si="26"/>
        <v>#N/A</v>
      </c>
    </row>
    <row r="1439" spans="1:7">
      <c r="A1439" s="112" t="str">
        <f>VLOOKUP('Informe Kelly'!A1433,Base!A:B,2,FALSE)</f>
        <v>13.077.995-6</v>
      </c>
      <c r="B1439" s="112" t="str">
        <f>VLOOKUP('Informe Kelly'!A1433,Base!A:G,7,FALSE)</f>
        <v>MARTINEZ OSSES FRANCISCO ANTONIO</v>
      </c>
      <c r="C1439" s="112" t="str">
        <f>'Informe Kelly'!E1433</f>
        <v>08.04.2011</v>
      </c>
      <c r="D1439" s="112" t="e">
        <f>VLOOKUP(A1439,Ingreso!K:P,6,FALSE)</f>
        <v>#N/A</v>
      </c>
      <c r="E1439" s="142" t="e">
        <f>(VLOOKUP(D1439,$D$2:$E$4,2,FALSE))-(IF('Informe Kelly'!H1433=$A$2,'Informe Kelly'!F1433,VLOOKUP(D1439,$D$2:$E$4,2,FALSE)))</f>
        <v>#N/A</v>
      </c>
      <c r="F1439" s="142" t="e">
        <f>IF('Informe Kelly'!H1433=$A$3,'Informe Kelly'!F1433,VLOOKUP(D1439,$D$2:$F$4,3,FALSE))-(VLOOKUP(D1439,$D$2:$F$4,3,FALSE))</f>
        <v>#N/A</v>
      </c>
      <c r="G1439" s="137" t="e">
        <f t="shared" si="26"/>
        <v>#N/A</v>
      </c>
    </row>
    <row r="1440" spans="1:7">
      <c r="A1440" s="112" t="str">
        <f>VLOOKUP('Informe Kelly'!A1434,Base!A:B,2,FALSE)</f>
        <v>13.077.995-6</v>
      </c>
      <c r="B1440" s="112" t="str">
        <f>VLOOKUP('Informe Kelly'!A1434,Base!A:G,7,FALSE)</f>
        <v>MARTINEZ OSSES FRANCISCO ANTONIO</v>
      </c>
      <c r="C1440" s="112" t="str">
        <f>'Informe Kelly'!E1434</f>
        <v>08.04.2011</v>
      </c>
      <c r="D1440" s="112" t="e">
        <f>VLOOKUP(A1440,Ingreso!K:P,6,FALSE)</f>
        <v>#N/A</v>
      </c>
      <c r="E1440" s="142" t="e">
        <f>(VLOOKUP(D1440,$D$2:$E$4,2,FALSE))-(IF('Informe Kelly'!H1434=$A$2,'Informe Kelly'!F1434,VLOOKUP(D1440,$D$2:$E$4,2,FALSE)))</f>
        <v>#N/A</v>
      </c>
      <c r="F1440" s="142" t="e">
        <f>IF('Informe Kelly'!H1434=$A$3,'Informe Kelly'!F1434,VLOOKUP(D1440,$D$2:$F$4,3,FALSE))-(VLOOKUP(D1440,$D$2:$F$4,3,FALSE))</f>
        <v>#N/A</v>
      </c>
      <c r="G1440" s="137" t="e">
        <f t="shared" si="26"/>
        <v>#N/A</v>
      </c>
    </row>
    <row r="1441" spans="1:7">
      <c r="A1441" s="112" t="str">
        <f>VLOOKUP('Informe Kelly'!A1435,Base!A:B,2,FALSE)</f>
        <v>13.077.995-6</v>
      </c>
      <c r="B1441" s="112" t="str">
        <f>VLOOKUP('Informe Kelly'!A1435,Base!A:G,7,FALSE)</f>
        <v>MARTINEZ OSSES FRANCISCO ANTONIO</v>
      </c>
      <c r="C1441" s="112" t="str">
        <f>'Informe Kelly'!E1435</f>
        <v>09.04.2011</v>
      </c>
      <c r="D1441" s="112" t="e">
        <f>VLOOKUP(A1441,Ingreso!K:P,6,FALSE)</f>
        <v>#N/A</v>
      </c>
      <c r="E1441" s="142" t="e">
        <f>(VLOOKUP(D1441,$D$2:$E$4,2,FALSE))-(IF('Informe Kelly'!H1435=$A$2,'Informe Kelly'!F1435,VLOOKUP(D1441,$D$2:$E$4,2,FALSE)))</f>
        <v>#N/A</v>
      </c>
      <c r="F1441" s="142" t="e">
        <f>IF('Informe Kelly'!H1435=$A$3,'Informe Kelly'!F1435,VLOOKUP(D1441,$D$2:$F$4,3,FALSE))-(VLOOKUP(D1441,$D$2:$F$4,3,FALSE))</f>
        <v>#N/A</v>
      </c>
      <c r="G1441" s="137" t="e">
        <f t="shared" si="26"/>
        <v>#N/A</v>
      </c>
    </row>
    <row r="1442" spans="1:7">
      <c r="A1442" s="112" t="str">
        <f>VLOOKUP('Informe Kelly'!A1436,Base!A:B,2,FALSE)</f>
        <v>13.079.999-K</v>
      </c>
      <c r="B1442" s="112" t="str">
        <f>VLOOKUP('Informe Kelly'!A1436,Base!A:G,7,FALSE)</f>
        <v>SEPULVEDA ARAVENA MAGALY ANDREA</v>
      </c>
      <c r="C1442" s="112" t="str">
        <f>'Informe Kelly'!E1436</f>
        <v>04.04.2011</v>
      </c>
      <c r="D1442" s="112" t="e">
        <f>VLOOKUP(A1442,Ingreso!K:P,6,FALSE)</f>
        <v>#N/A</v>
      </c>
      <c r="E1442" s="142" t="e">
        <f>(VLOOKUP(D1442,$D$2:$E$4,2,FALSE))-(IF('Informe Kelly'!H1436=$A$2,'Informe Kelly'!F1436,VLOOKUP(D1442,$D$2:$E$4,2,FALSE)))</f>
        <v>#N/A</v>
      </c>
      <c r="F1442" s="142" t="e">
        <f>IF('Informe Kelly'!H1436=$A$3,'Informe Kelly'!F1436,VLOOKUP(D1442,$D$2:$F$4,3,FALSE))-(VLOOKUP(D1442,$D$2:$F$4,3,FALSE))</f>
        <v>#N/A</v>
      </c>
      <c r="G1442" s="137" t="e">
        <f t="shared" si="26"/>
        <v>#N/A</v>
      </c>
    </row>
    <row r="1443" spans="1:7">
      <c r="A1443" s="112" t="str">
        <f>VLOOKUP('Informe Kelly'!A1437,Base!A:B,2,FALSE)</f>
        <v>13.079.999-K</v>
      </c>
      <c r="B1443" s="112" t="str">
        <f>VLOOKUP('Informe Kelly'!A1437,Base!A:G,7,FALSE)</f>
        <v>SEPULVEDA ARAVENA MAGALY ANDREA</v>
      </c>
      <c r="C1443" s="112" t="str">
        <f>'Informe Kelly'!E1437</f>
        <v>04.04.2011</v>
      </c>
      <c r="D1443" s="112" t="e">
        <f>VLOOKUP(A1443,Ingreso!K:P,6,FALSE)</f>
        <v>#N/A</v>
      </c>
      <c r="E1443" s="142" t="e">
        <f>(VLOOKUP(D1443,$D$2:$E$4,2,FALSE))-(IF('Informe Kelly'!H1437=$A$2,'Informe Kelly'!F1437,VLOOKUP(D1443,$D$2:$E$4,2,FALSE)))</f>
        <v>#N/A</v>
      </c>
      <c r="F1443" s="142" t="e">
        <f>IF('Informe Kelly'!H1437=$A$3,'Informe Kelly'!F1437,VLOOKUP(D1443,$D$2:$F$4,3,FALSE))-(VLOOKUP(D1443,$D$2:$F$4,3,FALSE))</f>
        <v>#N/A</v>
      </c>
      <c r="G1443" s="137" t="e">
        <f t="shared" si="26"/>
        <v>#N/A</v>
      </c>
    </row>
    <row r="1444" spans="1:7">
      <c r="A1444" s="112" t="str">
        <f>VLOOKUP('Informe Kelly'!A1438,Base!A:B,2,FALSE)</f>
        <v>13.079.999-K</v>
      </c>
      <c r="B1444" s="112" t="str">
        <f>VLOOKUP('Informe Kelly'!A1438,Base!A:G,7,FALSE)</f>
        <v>SEPULVEDA ARAVENA MAGALY ANDREA</v>
      </c>
      <c r="C1444" s="112" t="str">
        <f>'Informe Kelly'!E1438</f>
        <v>05.04.2011</v>
      </c>
      <c r="D1444" s="112" t="e">
        <f>VLOOKUP(A1444,Ingreso!K:P,6,FALSE)</f>
        <v>#N/A</v>
      </c>
      <c r="E1444" s="142" t="e">
        <f>(VLOOKUP(D1444,$D$2:$E$4,2,FALSE))-(IF('Informe Kelly'!H1438=$A$2,'Informe Kelly'!F1438,VLOOKUP(D1444,$D$2:$E$4,2,FALSE)))</f>
        <v>#N/A</v>
      </c>
      <c r="F1444" s="142" t="e">
        <f>IF('Informe Kelly'!H1438=$A$3,'Informe Kelly'!F1438,VLOOKUP(D1444,$D$2:$F$4,3,FALSE))-(VLOOKUP(D1444,$D$2:$F$4,3,FALSE))</f>
        <v>#N/A</v>
      </c>
      <c r="G1444" s="137" t="e">
        <f t="shared" si="26"/>
        <v>#N/A</v>
      </c>
    </row>
    <row r="1445" spans="1:7">
      <c r="A1445" s="112" t="str">
        <f>VLOOKUP('Informe Kelly'!A1439,Base!A:B,2,FALSE)</f>
        <v>13.079.999-K</v>
      </c>
      <c r="B1445" s="112" t="str">
        <f>VLOOKUP('Informe Kelly'!A1439,Base!A:G,7,FALSE)</f>
        <v>SEPULVEDA ARAVENA MAGALY ANDREA</v>
      </c>
      <c r="C1445" s="112" t="str">
        <f>'Informe Kelly'!E1439</f>
        <v>05.04.2011</v>
      </c>
      <c r="D1445" s="112" t="e">
        <f>VLOOKUP(A1445,Ingreso!K:P,6,FALSE)</f>
        <v>#N/A</v>
      </c>
      <c r="E1445" s="142" t="e">
        <f>(VLOOKUP(D1445,$D$2:$E$4,2,FALSE))-(IF('Informe Kelly'!H1439=$A$2,'Informe Kelly'!F1439,VLOOKUP(D1445,$D$2:$E$4,2,FALSE)))</f>
        <v>#N/A</v>
      </c>
      <c r="F1445" s="142" t="e">
        <f>IF('Informe Kelly'!H1439=$A$3,'Informe Kelly'!F1439,VLOOKUP(D1445,$D$2:$F$4,3,FALSE))-(VLOOKUP(D1445,$D$2:$F$4,3,FALSE))</f>
        <v>#N/A</v>
      </c>
      <c r="G1445" s="137" t="e">
        <f t="shared" si="26"/>
        <v>#N/A</v>
      </c>
    </row>
    <row r="1446" spans="1:7">
      <c r="A1446" s="112" t="str">
        <f>VLOOKUP('Informe Kelly'!A1440,Base!A:B,2,FALSE)</f>
        <v>13.079.999-K</v>
      </c>
      <c r="B1446" s="112" t="str">
        <f>VLOOKUP('Informe Kelly'!A1440,Base!A:G,7,FALSE)</f>
        <v>SEPULVEDA ARAVENA MAGALY ANDREA</v>
      </c>
      <c r="C1446" s="112" t="str">
        <f>'Informe Kelly'!E1440</f>
        <v>06.04.2011</v>
      </c>
      <c r="D1446" s="112" t="e">
        <f>VLOOKUP(A1446,Ingreso!K:P,6,FALSE)</f>
        <v>#N/A</v>
      </c>
      <c r="E1446" s="142" t="e">
        <f>(VLOOKUP(D1446,$D$2:$E$4,2,FALSE))-(IF('Informe Kelly'!H1440=$A$2,'Informe Kelly'!F1440,VLOOKUP(D1446,$D$2:$E$4,2,FALSE)))</f>
        <v>#N/A</v>
      </c>
      <c r="F1446" s="142" t="e">
        <f>IF('Informe Kelly'!H1440=$A$3,'Informe Kelly'!F1440,VLOOKUP(D1446,$D$2:$F$4,3,FALSE))-(VLOOKUP(D1446,$D$2:$F$4,3,FALSE))</f>
        <v>#N/A</v>
      </c>
      <c r="G1446" s="137" t="e">
        <f t="shared" si="26"/>
        <v>#N/A</v>
      </c>
    </row>
    <row r="1447" spans="1:7">
      <c r="A1447" s="112" t="str">
        <f>VLOOKUP('Informe Kelly'!A1441,Base!A:B,2,FALSE)</f>
        <v>13.079.999-K</v>
      </c>
      <c r="B1447" s="112" t="str">
        <f>VLOOKUP('Informe Kelly'!A1441,Base!A:G,7,FALSE)</f>
        <v>SEPULVEDA ARAVENA MAGALY ANDREA</v>
      </c>
      <c r="C1447" s="112" t="str">
        <f>'Informe Kelly'!E1441</f>
        <v>06.04.2011</v>
      </c>
      <c r="D1447" s="112" t="e">
        <f>VLOOKUP(A1447,Ingreso!K:P,6,FALSE)</f>
        <v>#N/A</v>
      </c>
      <c r="E1447" s="142" t="e">
        <f>(VLOOKUP(D1447,$D$2:$E$4,2,FALSE))-(IF('Informe Kelly'!H1441=$A$2,'Informe Kelly'!F1441,VLOOKUP(D1447,$D$2:$E$4,2,FALSE)))</f>
        <v>#N/A</v>
      </c>
      <c r="F1447" s="142" t="e">
        <f>IF('Informe Kelly'!H1441=$A$3,'Informe Kelly'!F1441,VLOOKUP(D1447,$D$2:$F$4,3,FALSE))-(VLOOKUP(D1447,$D$2:$F$4,3,FALSE))</f>
        <v>#N/A</v>
      </c>
      <c r="G1447" s="137" t="e">
        <f t="shared" si="26"/>
        <v>#N/A</v>
      </c>
    </row>
    <row r="1448" spans="1:7">
      <c r="A1448" s="112" t="str">
        <f>VLOOKUP('Informe Kelly'!A1442,Base!A:B,2,FALSE)</f>
        <v>13.079.999-K</v>
      </c>
      <c r="B1448" s="112" t="str">
        <f>VLOOKUP('Informe Kelly'!A1442,Base!A:G,7,FALSE)</f>
        <v>SEPULVEDA ARAVENA MAGALY ANDREA</v>
      </c>
      <c r="C1448" s="112" t="str">
        <f>'Informe Kelly'!E1442</f>
        <v>07.04.2011</v>
      </c>
      <c r="D1448" s="112" t="e">
        <f>VLOOKUP(A1448,Ingreso!K:P,6,FALSE)</f>
        <v>#N/A</v>
      </c>
      <c r="E1448" s="142" t="e">
        <f>(VLOOKUP(D1448,$D$2:$E$4,2,FALSE))-(IF('Informe Kelly'!H1442=$A$2,'Informe Kelly'!F1442,VLOOKUP(D1448,$D$2:$E$4,2,FALSE)))</f>
        <v>#N/A</v>
      </c>
      <c r="F1448" s="142" t="e">
        <f>IF('Informe Kelly'!H1442=$A$3,'Informe Kelly'!F1442,VLOOKUP(D1448,$D$2:$F$4,3,FALSE))-(VLOOKUP(D1448,$D$2:$F$4,3,FALSE))</f>
        <v>#N/A</v>
      </c>
      <c r="G1448" s="137" t="e">
        <f t="shared" si="26"/>
        <v>#N/A</v>
      </c>
    </row>
    <row r="1449" spans="1:7">
      <c r="A1449" s="112" t="str">
        <f>VLOOKUP('Informe Kelly'!A1443,Base!A:B,2,FALSE)</f>
        <v>13.079.999-K</v>
      </c>
      <c r="B1449" s="112" t="str">
        <f>VLOOKUP('Informe Kelly'!A1443,Base!A:G,7,FALSE)</f>
        <v>SEPULVEDA ARAVENA MAGALY ANDREA</v>
      </c>
      <c r="C1449" s="112" t="str">
        <f>'Informe Kelly'!E1443</f>
        <v>07.04.2011</v>
      </c>
      <c r="D1449" s="112" t="e">
        <f>VLOOKUP(A1449,Ingreso!K:P,6,FALSE)</f>
        <v>#N/A</v>
      </c>
      <c r="E1449" s="142" t="e">
        <f>(VLOOKUP(D1449,$D$2:$E$4,2,FALSE))-(IF('Informe Kelly'!H1443=$A$2,'Informe Kelly'!F1443,VLOOKUP(D1449,$D$2:$E$4,2,FALSE)))</f>
        <v>#N/A</v>
      </c>
      <c r="F1449" s="142" t="e">
        <f>IF('Informe Kelly'!H1443=$A$3,'Informe Kelly'!F1443,VLOOKUP(D1449,$D$2:$F$4,3,FALSE))-(VLOOKUP(D1449,$D$2:$F$4,3,FALSE))</f>
        <v>#N/A</v>
      </c>
      <c r="G1449" s="137" t="e">
        <f t="shared" si="26"/>
        <v>#N/A</v>
      </c>
    </row>
    <row r="1450" spans="1:7">
      <c r="A1450" s="112" t="str">
        <f>VLOOKUP('Informe Kelly'!A1444,Base!A:B,2,FALSE)</f>
        <v>13.079.999-K</v>
      </c>
      <c r="B1450" s="112" t="str">
        <f>VLOOKUP('Informe Kelly'!A1444,Base!A:G,7,FALSE)</f>
        <v>SEPULVEDA ARAVENA MAGALY ANDREA</v>
      </c>
      <c r="C1450" s="112" t="str">
        <f>'Informe Kelly'!E1444</f>
        <v>08.04.2011</v>
      </c>
      <c r="D1450" s="112" t="e">
        <f>VLOOKUP(A1450,Ingreso!K:P,6,FALSE)</f>
        <v>#N/A</v>
      </c>
      <c r="E1450" s="142" t="e">
        <f>(VLOOKUP(D1450,$D$2:$E$4,2,FALSE))-(IF('Informe Kelly'!H1444=$A$2,'Informe Kelly'!F1444,VLOOKUP(D1450,$D$2:$E$4,2,FALSE)))</f>
        <v>#N/A</v>
      </c>
      <c r="F1450" s="142" t="e">
        <f>IF('Informe Kelly'!H1444=$A$3,'Informe Kelly'!F1444,VLOOKUP(D1450,$D$2:$F$4,3,FALSE))-(VLOOKUP(D1450,$D$2:$F$4,3,FALSE))</f>
        <v>#N/A</v>
      </c>
      <c r="G1450" s="137" t="e">
        <f t="shared" si="26"/>
        <v>#N/A</v>
      </c>
    </row>
    <row r="1451" spans="1:7">
      <c r="A1451" s="112" t="str">
        <f>VLOOKUP('Informe Kelly'!A1445,Base!A:B,2,FALSE)</f>
        <v>13.079.999-K</v>
      </c>
      <c r="B1451" s="112" t="str">
        <f>VLOOKUP('Informe Kelly'!A1445,Base!A:G,7,FALSE)</f>
        <v>SEPULVEDA ARAVENA MAGALY ANDREA</v>
      </c>
      <c r="C1451" s="112" t="str">
        <f>'Informe Kelly'!E1445</f>
        <v>08.04.2011</v>
      </c>
      <c r="D1451" s="112" t="e">
        <f>VLOOKUP(A1451,Ingreso!K:P,6,FALSE)</f>
        <v>#N/A</v>
      </c>
      <c r="E1451" s="142" t="e">
        <f>(VLOOKUP(D1451,$D$2:$E$4,2,FALSE))-(IF('Informe Kelly'!H1445=$A$2,'Informe Kelly'!F1445,VLOOKUP(D1451,$D$2:$E$4,2,FALSE)))</f>
        <v>#N/A</v>
      </c>
      <c r="F1451" s="142" t="e">
        <f>IF('Informe Kelly'!H1445=$A$3,'Informe Kelly'!F1445,VLOOKUP(D1451,$D$2:$F$4,3,FALSE))-(VLOOKUP(D1451,$D$2:$F$4,3,FALSE))</f>
        <v>#N/A</v>
      </c>
      <c r="G1451" s="137" t="e">
        <f t="shared" si="26"/>
        <v>#N/A</v>
      </c>
    </row>
    <row r="1452" spans="1:7">
      <c r="A1452" s="112" t="str">
        <f>VLOOKUP('Informe Kelly'!A1446,Base!A:B,2,FALSE)</f>
        <v>13.079.999-K</v>
      </c>
      <c r="B1452" s="112" t="str">
        <f>VLOOKUP('Informe Kelly'!A1446,Base!A:G,7,FALSE)</f>
        <v>SEPULVEDA ARAVENA MAGALY ANDREA</v>
      </c>
      <c r="C1452" s="112" t="str">
        <f>'Informe Kelly'!E1446</f>
        <v>09.04.2011</v>
      </c>
      <c r="D1452" s="112" t="e">
        <f>VLOOKUP(A1452,Ingreso!K:P,6,FALSE)</f>
        <v>#N/A</v>
      </c>
      <c r="E1452" s="142" t="e">
        <f>(VLOOKUP(D1452,$D$2:$E$4,2,FALSE))-(IF('Informe Kelly'!H1446=$A$2,'Informe Kelly'!F1446,VLOOKUP(D1452,$D$2:$E$4,2,FALSE)))</f>
        <v>#N/A</v>
      </c>
      <c r="F1452" s="142" t="e">
        <f>IF('Informe Kelly'!H1446=$A$3,'Informe Kelly'!F1446,VLOOKUP(D1452,$D$2:$F$4,3,FALSE))-(VLOOKUP(D1452,$D$2:$F$4,3,FALSE))</f>
        <v>#N/A</v>
      </c>
      <c r="G1452" s="137" t="e">
        <f t="shared" si="26"/>
        <v>#N/A</v>
      </c>
    </row>
    <row r="1453" spans="1:7">
      <c r="A1453" s="112" t="str">
        <f>VLOOKUP('Informe Kelly'!A1447,Base!A:B,2,FALSE)</f>
        <v>13.079.999-K</v>
      </c>
      <c r="B1453" s="112" t="str">
        <f>VLOOKUP('Informe Kelly'!A1447,Base!A:G,7,FALSE)</f>
        <v>SEPULVEDA ARAVENA MAGALY ANDREA</v>
      </c>
      <c r="C1453" s="112" t="str">
        <f>'Informe Kelly'!E1447</f>
        <v>09.04.2011</v>
      </c>
      <c r="D1453" s="112" t="e">
        <f>VLOOKUP(A1453,Ingreso!K:P,6,FALSE)</f>
        <v>#N/A</v>
      </c>
      <c r="E1453" s="142" t="e">
        <f>(VLOOKUP(D1453,$D$2:$E$4,2,FALSE))-(IF('Informe Kelly'!H1447=$A$2,'Informe Kelly'!F1447,VLOOKUP(D1453,$D$2:$E$4,2,FALSE)))</f>
        <v>#N/A</v>
      </c>
      <c r="F1453" s="142" t="e">
        <f>IF('Informe Kelly'!H1447=$A$3,'Informe Kelly'!F1447,VLOOKUP(D1453,$D$2:$F$4,3,FALSE))-(VLOOKUP(D1453,$D$2:$F$4,3,FALSE))</f>
        <v>#N/A</v>
      </c>
      <c r="G1453" s="137" t="e">
        <f t="shared" si="26"/>
        <v>#N/A</v>
      </c>
    </row>
    <row r="1454" spans="1:7">
      <c r="A1454" s="112" t="str">
        <f>VLOOKUP('Informe Kelly'!A1448,Base!A:B,2,FALSE)</f>
        <v>13.100.464-8</v>
      </c>
      <c r="B1454" s="112" t="str">
        <f>VLOOKUP('Informe Kelly'!A1448,Base!A:G,7,FALSE)</f>
        <v>GALLARDO  OYARCE,JOSE A.</v>
      </c>
      <c r="C1454" s="112" t="str">
        <f>'Informe Kelly'!E1448</f>
        <v>04.04.2011</v>
      </c>
      <c r="D1454" s="112" t="e">
        <f>VLOOKUP(A1454,Ingreso!K:P,6,FALSE)</f>
        <v>#N/A</v>
      </c>
      <c r="E1454" s="142" t="e">
        <f>(VLOOKUP(D1454,$D$2:$E$4,2,FALSE))-(IF('Informe Kelly'!H1448=$A$2,'Informe Kelly'!F1448,VLOOKUP(D1454,$D$2:$E$4,2,FALSE)))</f>
        <v>#N/A</v>
      </c>
      <c r="F1454" s="142" t="e">
        <f>IF('Informe Kelly'!H1448=$A$3,'Informe Kelly'!F1448,VLOOKUP(D1454,$D$2:$F$4,3,FALSE))-(VLOOKUP(D1454,$D$2:$F$4,3,FALSE))</f>
        <v>#N/A</v>
      </c>
      <c r="G1454" s="137" t="e">
        <f t="shared" si="26"/>
        <v>#N/A</v>
      </c>
    </row>
    <row r="1455" spans="1:7">
      <c r="A1455" s="112" t="str">
        <f>VLOOKUP('Informe Kelly'!A1449,Base!A:B,2,FALSE)</f>
        <v>13.100.464-8</v>
      </c>
      <c r="B1455" s="112" t="str">
        <f>VLOOKUP('Informe Kelly'!A1449,Base!A:G,7,FALSE)</f>
        <v>GALLARDO  OYARCE,JOSE A.</v>
      </c>
      <c r="C1455" s="112" t="str">
        <f>'Informe Kelly'!E1449</f>
        <v>04.04.2011</v>
      </c>
      <c r="D1455" s="112" t="e">
        <f>VLOOKUP(A1455,Ingreso!K:P,6,FALSE)</f>
        <v>#N/A</v>
      </c>
      <c r="E1455" s="142" t="e">
        <f>(VLOOKUP(D1455,$D$2:$E$4,2,FALSE))-(IF('Informe Kelly'!H1449=$A$2,'Informe Kelly'!F1449,VLOOKUP(D1455,$D$2:$E$4,2,FALSE)))</f>
        <v>#N/A</v>
      </c>
      <c r="F1455" s="142" t="e">
        <f>IF('Informe Kelly'!H1449=$A$3,'Informe Kelly'!F1449,VLOOKUP(D1455,$D$2:$F$4,3,FALSE))-(VLOOKUP(D1455,$D$2:$F$4,3,FALSE))</f>
        <v>#N/A</v>
      </c>
      <c r="G1455" s="137" t="e">
        <f t="shared" si="26"/>
        <v>#N/A</v>
      </c>
    </row>
    <row r="1456" spans="1:7">
      <c r="A1456" s="112" t="str">
        <f>VLOOKUP('Informe Kelly'!A1450,Base!A:B,2,FALSE)</f>
        <v>13.100.464-8</v>
      </c>
      <c r="B1456" s="112" t="str">
        <f>VLOOKUP('Informe Kelly'!A1450,Base!A:G,7,FALSE)</f>
        <v>GALLARDO  OYARCE,JOSE A.</v>
      </c>
      <c r="C1456" s="112" t="str">
        <f>'Informe Kelly'!E1450</f>
        <v>05.04.2011</v>
      </c>
      <c r="D1456" s="112" t="e">
        <f>VLOOKUP(A1456,Ingreso!K:P,6,FALSE)</f>
        <v>#N/A</v>
      </c>
      <c r="E1456" s="142" t="e">
        <f>(VLOOKUP(D1456,$D$2:$E$4,2,FALSE))-(IF('Informe Kelly'!H1450=$A$2,'Informe Kelly'!F1450,VLOOKUP(D1456,$D$2:$E$4,2,FALSE)))</f>
        <v>#N/A</v>
      </c>
      <c r="F1456" s="142" t="e">
        <f>IF('Informe Kelly'!H1450=$A$3,'Informe Kelly'!F1450,VLOOKUP(D1456,$D$2:$F$4,3,FALSE))-(VLOOKUP(D1456,$D$2:$F$4,3,FALSE))</f>
        <v>#N/A</v>
      </c>
      <c r="G1456" s="137" t="e">
        <f t="shared" si="26"/>
        <v>#N/A</v>
      </c>
    </row>
    <row r="1457" spans="1:7">
      <c r="A1457" s="112" t="str">
        <f>VLOOKUP('Informe Kelly'!A1451,Base!A:B,2,FALSE)</f>
        <v>13.100.464-8</v>
      </c>
      <c r="B1457" s="112" t="str">
        <f>VLOOKUP('Informe Kelly'!A1451,Base!A:G,7,FALSE)</f>
        <v>GALLARDO  OYARCE,JOSE A.</v>
      </c>
      <c r="C1457" s="112" t="str">
        <f>'Informe Kelly'!E1451</f>
        <v>05.04.2011</v>
      </c>
      <c r="D1457" s="112" t="e">
        <f>VLOOKUP(A1457,Ingreso!K:P,6,FALSE)</f>
        <v>#N/A</v>
      </c>
      <c r="E1457" s="142" t="e">
        <f>(VLOOKUP(D1457,$D$2:$E$4,2,FALSE))-(IF('Informe Kelly'!H1451=$A$2,'Informe Kelly'!F1451,VLOOKUP(D1457,$D$2:$E$4,2,FALSE)))</f>
        <v>#N/A</v>
      </c>
      <c r="F1457" s="142" t="e">
        <f>IF('Informe Kelly'!H1451=$A$3,'Informe Kelly'!F1451,VLOOKUP(D1457,$D$2:$F$4,3,FALSE))-(VLOOKUP(D1457,$D$2:$F$4,3,FALSE))</f>
        <v>#N/A</v>
      </c>
      <c r="G1457" s="137" t="e">
        <f t="shared" si="26"/>
        <v>#N/A</v>
      </c>
    </row>
    <row r="1458" spans="1:7">
      <c r="A1458" s="112" t="str">
        <f>VLOOKUP('Informe Kelly'!A1452,Base!A:B,2,FALSE)</f>
        <v>13.100.464-8</v>
      </c>
      <c r="B1458" s="112" t="str">
        <f>VLOOKUP('Informe Kelly'!A1452,Base!A:G,7,FALSE)</f>
        <v>GALLARDO  OYARCE,JOSE A.</v>
      </c>
      <c r="C1458" s="112" t="str">
        <f>'Informe Kelly'!E1452</f>
        <v>06.04.2011</v>
      </c>
      <c r="D1458" s="112" t="e">
        <f>VLOOKUP(A1458,Ingreso!K:P,6,FALSE)</f>
        <v>#N/A</v>
      </c>
      <c r="E1458" s="142" t="e">
        <f>(VLOOKUP(D1458,$D$2:$E$4,2,FALSE))-(IF('Informe Kelly'!H1452=$A$2,'Informe Kelly'!F1452,VLOOKUP(D1458,$D$2:$E$4,2,FALSE)))</f>
        <v>#N/A</v>
      </c>
      <c r="F1458" s="142" t="e">
        <f>IF('Informe Kelly'!H1452=$A$3,'Informe Kelly'!F1452,VLOOKUP(D1458,$D$2:$F$4,3,FALSE))-(VLOOKUP(D1458,$D$2:$F$4,3,FALSE))</f>
        <v>#N/A</v>
      </c>
      <c r="G1458" s="137" t="e">
        <f t="shared" si="26"/>
        <v>#N/A</v>
      </c>
    </row>
    <row r="1459" spans="1:7">
      <c r="A1459" s="112" t="str">
        <f>VLOOKUP('Informe Kelly'!A1453,Base!A:B,2,FALSE)</f>
        <v>13.100.464-8</v>
      </c>
      <c r="B1459" s="112" t="str">
        <f>VLOOKUP('Informe Kelly'!A1453,Base!A:G,7,FALSE)</f>
        <v>GALLARDO  OYARCE,JOSE A.</v>
      </c>
      <c r="C1459" s="112" t="str">
        <f>'Informe Kelly'!E1453</f>
        <v>06.04.2011</v>
      </c>
      <c r="D1459" s="112" t="e">
        <f>VLOOKUP(A1459,Ingreso!K:P,6,FALSE)</f>
        <v>#N/A</v>
      </c>
      <c r="E1459" s="142" t="e">
        <f>(VLOOKUP(D1459,$D$2:$E$4,2,FALSE))-(IF('Informe Kelly'!H1453=$A$2,'Informe Kelly'!F1453,VLOOKUP(D1459,$D$2:$E$4,2,FALSE)))</f>
        <v>#N/A</v>
      </c>
      <c r="F1459" s="142" t="e">
        <f>IF('Informe Kelly'!H1453=$A$3,'Informe Kelly'!F1453,VLOOKUP(D1459,$D$2:$F$4,3,FALSE))-(VLOOKUP(D1459,$D$2:$F$4,3,FALSE))</f>
        <v>#N/A</v>
      </c>
      <c r="G1459" s="137" t="e">
        <f t="shared" si="26"/>
        <v>#N/A</v>
      </c>
    </row>
    <row r="1460" spans="1:7">
      <c r="A1460" s="112" t="str">
        <f>VLOOKUP('Informe Kelly'!A1454,Base!A:B,2,FALSE)</f>
        <v>13.100.464-8</v>
      </c>
      <c r="B1460" s="112" t="str">
        <f>VLOOKUP('Informe Kelly'!A1454,Base!A:G,7,FALSE)</f>
        <v>GALLARDO  OYARCE,JOSE A.</v>
      </c>
      <c r="C1460" s="112" t="str">
        <f>'Informe Kelly'!E1454</f>
        <v>07.04.2011</v>
      </c>
      <c r="D1460" s="112" t="e">
        <f>VLOOKUP(A1460,Ingreso!K:P,6,FALSE)</f>
        <v>#N/A</v>
      </c>
      <c r="E1460" s="142" t="e">
        <f>(VLOOKUP(D1460,$D$2:$E$4,2,FALSE))-(IF('Informe Kelly'!H1454=$A$2,'Informe Kelly'!F1454,VLOOKUP(D1460,$D$2:$E$4,2,FALSE)))</f>
        <v>#N/A</v>
      </c>
      <c r="F1460" s="142" t="e">
        <f>IF('Informe Kelly'!H1454=$A$3,'Informe Kelly'!F1454,VLOOKUP(D1460,$D$2:$F$4,3,FALSE))-(VLOOKUP(D1460,$D$2:$F$4,3,FALSE))</f>
        <v>#N/A</v>
      </c>
      <c r="G1460" s="137" t="e">
        <f t="shared" si="26"/>
        <v>#N/A</v>
      </c>
    </row>
    <row r="1461" spans="1:7">
      <c r="A1461" s="112" t="str">
        <f>VLOOKUP('Informe Kelly'!A1455,Base!A:B,2,FALSE)</f>
        <v>13.100.464-8</v>
      </c>
      <c r="B1461" s="112" t="str">
        <f>VLOOKUP('Informe Kelly'!A1455,Base!A:G,7,FALSE)</f>
        <v>GALLARDO  OYARCE,JOSE A.</v>
      </c>
      <c r="C1461" s="112" t="str">
        <f>'Informe Kelly'!E1455</f>
        <v>07.04.2011</v>
      </c>
      <c r="D1461" s="112" t="e">
        <f>VLOOKUP(A1461,Ingreso!K:P,6,FALSE)</f>
        <v>#N/A</v>
      </c>
      <c r="E1461" s="142" t="e">
        <f>(VLOOKUP(D1461,$D$2:$E$4,2,FALSE))-(IF('Informe Kelly'!H1455=$A$2,'Informe Kelly'!F1455,VLOOKUP(D1461,$D$2:$E$4,2,FALSE)))</f>
        <v>#N/A</v>
      </c>
      <c r="F1461" s="142" t="e">
        <f>IF('Informe Kelly'!H1455=$A$3,'Informe Kelly'!F1455,VLOOKUP(D1461,$D$2:$F$4,3,FALSE))-(VLOOKUP(D1461,$D$2:$F$4,3,FALSE))</f>
        <v>#N/A</v>
      </c>
      <c r="G1461" s="137" t="e">
        <f t="shared" si="26"/>
        <v>#N/A</v>
      </c>
    </row>
    <row r="1462" spans="1:7">
      <c r="A1462" s="112" t="str">
        <f>VLOOKUP('Informe Kelly'!A1456,Base!A:B,2,FALSE)</f>
        <v>13.100.464-8</v>
      </c>
      <c r="B1462" s="112" t="str">
        <f>VLOOKUP('Informe Kelly'!A1456,Base!A:G,7,FALSE)</f>
        <v>GALLARDO  OYARCE,JOSE A.</v>
      </c>
      <c r="C1462" s="112" t="str">
        <f>'Informe Kelly'!E1456</f>
        <v>08.04.2011</v>
      </c>
      <c r="D1462" s="112" t="e">
        <f>VLOOKUP(A1462,Ingreso!K:P,6,FALSE)</f>
        <v>#N/A</v>
      </c>
      <c r="E1462" s="142" t="e">
        <f>(VLOOKUP(D1462,$D$2:$E$4,2,FALSE))-(IF('Informe Kelly'!H1456=$A$2,'Informe Kelly'!F1456,VLOOKUP(D1462,$D$2:$E$4,2,FALSE)))</f>
        <v>#N/A</v>
      </c>
      <c r="F1462" s="142" t="e">
        <f>IF('Informe Kelly'!H1456=$A$3,'Informe Kelly'!F1456,VLOOKUP(D1462,$D$2:$F$4,3,FALSE))-(VLOOKUP(D1462,$D$2:$F$4,3,FALSE))</f>
        <v>#N/A</v>
      </c>
      <c r="G1462" s="137" t="e">
        <f t="shared" si="26"/>
        <v>#N/A</v>
      </c>
    </row>
    <row r="1463" spans="1:7">
      <c r="A1463" s="112" t="str">
        <f>VLOOKUP('Informe Kelly'!A1457,Base!A:B,2,FALSE)</f>
        <v>13.100.464-8</v>
      </c>
      <c r="B1463" s="112" t="str">
        <f>VLOOKUP('Informe Kelly'!A1457,Base!A:G,7,FALSE)</f>
        <v>GALLARDO  OYARCE,JOSE A.</v>
      </c>
      <c r="C1463" s="112" t="str">
        <f>'Informe Kelly'!E1457</f>
        <v>08.04.2011</v>
      </c>
      <c r="D1463" s="112" t="e">
        <f>VLOOKUP(A1463,Ingreso!K:P,6,FALSE)</f>
        <v>#N/A</v>
      </c>
      <c r="E1463" s="142" t="e">
        <f>(VLOOKUP(D1463,$D$2:$E$4,2,FALSE))-(IF('Informe Kelly'!H1457=$A$2,'Informe Kelly'!F1457,VLOOKUP(D1463,$D$2:$E$4,2,FALSE)))</f>
        <v>#N/A</v>
      </c>
      <c r="F1463" s="142" t="e">
        <f>IF('Informe Kelly'!H1457=$A$3,'Informe Kelly'!F1457,VLOOKUP(D1463,$D$2:$F$4,3,FALSE))-(VLOOKUP(D1463,$D$2:$F$4,3,FALSE))</f>
        <v>#N/A</v>
      </c>
      <c r="G1463" s="137" t="e">
        <f t="shared" si="26"/>
        <v>#N/A</v>
      </c>
    </row>
    <row r="1464" spans="1:7">
      <c r="A1464" s="112" t="str">
        <f>VLOOKUP('Informe Kelly'!A1458,Base!A:B,2,FALSE)</f>
        <v>13.100.464-8</v>
      </c>
      <c r="B1464" s="112" t="str">
        <f>VLOOKUP('Informe Kelly'!A1458,Base!A:G,7,FALSE)</f>
        <v>GALLARDO  OYARCE,JOSE A.</v>
      </c>
      <c r="C1464" s="112" t="str">
        <f>'Informe Kelly'!E1458</f>
        <v>09.04.2011</v>
      </c>
      <c r="D1464" s="112" t="e">
        <f>VLOOKUP(A1464,Ingreso!K:P,6,FALSE)</f>
        <v>#N/A</v>
      </c>
      <c r="E1464" s="142" t="e">
        <f>(VLOOKUP(D1464,$D$2:$E$4,2,FALSE))-(IF('Informe Kelly'!H1458=$A$2,'Informe Kelly'!F1458,VLOOKUP(D1464,$D$2:$E$4,2,FALSE)))</f>
        <v>#N/A</v>
      </c>
      <c r="F1464" s="142" t="e">
        <f>IF('Informe Kelly'!H1458=$A$3,'Informe Kelly'!F1458,VLOOKUP(D1464,$D$2:$F$4,3,FALSE))-(VLOOKUP(D1464,$D$2:$F$4,3,FALSE))</f>
        <v>#N/A</v>
      </c>
      <c r="G1464" s="137" t="e">
        <f t="shared" si="26"/>
        <v>#N/A</v>
      </c>
    </row>
    <row r="1465" spans="1:7">
      <c r="A1465" s="112" t="str">
        <f>VLOOKUP('Informe Kelly'!A1459,Base!A:B,2,FALSE)</f>
        <v>13.100.464-8</v>
      </c>
      <c r="B1465" s="112" t="str">
        <f>VLOOKUP('Informe Kelly'!A1459,Base!A:G,7,FALSE)</f>
        <v>GALLARDO  OYARCE,JOSE A.</v>
      </c>
      <c r="C1465" s="112" t="str">
        <f>'Informe Kelly'!E1459</f>
        <v>09.04.2011</v>
      </c>
      <c r="D1465" s="112" t="e">
        <f>VLOOKUP(A1465,Ingreso!K:P,6,FALSE)</f>
        <v>#N/A</v>
      </c>
      <c r="E1465" s="142" t="e">
        <f>(VLOOKUP(D1465,$D$2:$E$4,2,FALSE))-(IF('Informe Kelly'!H1459=$A$2,'Informe Kelly'!F1459,VLOOKUP(D1465,$D$2:$E$4,2,FALSE)))</f>
        <v>#N/A</v>
      </c>
      <c r="F1465" s="142" t="e">
        <f>IF('Informe Kelly'!H1459=$A$3,'Informe Kelly'!F1459,VLOOKUP(D1465,$D$2:$F$4,3,FALSE))-(VLOOKUP(D1465,$D$2:$F$4,3,FALSE))</f>
        <v>#N/A</v>
      </c>
      <c r="G1465" s="137" t="e">
        <f t="shared" si="26"/>
        <v>#N/A</v>
      </c>
    </row>
    <row r="1466" spans="1:7">
      <c r="A1466" s="112" t="e">
        <f>VLOOKUP('Informe Kelly'!A1460,Base!A:B,2,FALSE)</f>
        <v>#N/A</v>
      </c>
      <c r="B1466" s="112" t="e">
        <f>VLOOKUP('Informe Kelly'!A1460,Base!A:G,7,FALSE)</f>
        <v>#N/A</v>
      </c>
      <c r="C1466" s="112" t="str">
        <f>'Informe Kelly'!E1460</f>
        <v>00.00.0000</v>
      </c>
      <c r="D1466" s="112" t="e">
        <f>VLOOKUP(A1466,Ingreso!K:P,6,FALSE)</f>
        <v>#N/A</v>
      </c>
      <c r="E1466" s="142" t="e">
        <f>(VLOOKUP(D1466,$D$2:$E$4,2,FALSE))-(IF('Informe Kelly'!H1460=$A$2,'Informe Kelly'!F1460,VLOOKUP(D1466,$D$2:$E$4,2,FALSE)))</f>
        <v>#N/A</v>
      </c>
      <c r="F1466" s="142" t="e">
        <f>IF('Informe Kelly'!H1460=$A$3,'Informe Kelly'!F1460,VLOOKUP(D1466,$D$2:$F$4,3,FALSE))-(VLOOKUP(D1466,$D$2:$F$4,3,FALSE))</f>
        <v>#N/A</v>
      </c>
      <c r="G1466" s="137" t="e">
        <f t="shared" si="26"/>
        <v>#N/A</v>
      </c>
    </row>
    <row r="1467" spans="1:7">
      <c r="A1467" s="112" t="str">
        <f>VLOOKUP('Informe Kelly'!A1461,Base!A:B,2,FALSE)</f>
        <v>13.236.100-2</v>
      </c>
      <c r="B1467" s="112" t="str">
        <f>VLOOKUP('Informe Kelly'!A1461,Base!A:G,7,FALSE)</f>
        <v>BUSTAMANTE GONZALEZ MARCO ANTONIO</v>
      </c>
      <c r="C1467" s="112" t="str">
        <f>'Informe Kelly'!E1461</f>
        <v>04.04.2011</v>
      </c>
      <c r="D1467" s="112" t="e">
        <f>VLOOKUP(A1467,Ingreso!K:P,6,FALSE)</f>
        <v>#N/A</v>
      </c>
      <c r="E1467" s="142" t="e">
        <f>(VLOOKUP(D1467,$D$2:$E$4,2,FALSE))-(IF('Informe Kelly'!H1461=$A$2,'Informe Kelly'!F1461,VLOOKUP(D1467,$D$2:$E$4,2,FALSE)))</f>
        <v>#N/A</v>
      </c>
      <c r="F1467" s="142" t="e">
        <f>IF('Informe Kelly'!H1461=$A$3,'Informe Kelly'!F1461,VLOOKUP(D1467,$D$2:$F$4,3,FALSE))-(VLOOKUP(D1467,$D$2:$F$4,3,FALSE))</f>
        <v>#N/A</v>
      </c>
      <c r="G1467" s="137" t="e">
        <f t="shared" si="26"/>
        <v>#N/A</v>
      </c>
    </row>
    <row r="1468" spans="1:7">
      <c r="A1468" s="112" t="str">
        <f>VLOOKUP('Informe Kelly'!A1462,Base!A:B,2,FALSE)</f>
        <v>13.236.100-2</v>
      </c>
      <c r="B1468" s="112" t="str">
        <f>VLOOKUP('Informe Kelly'!A1462,Base!A:G,7,FALSE)</f>
        <v>BUSTAMANTE GONZALEZ MARCO ANTONIO</v>
      </c>
      <c r="C1468" s="112" t="str">
        <f>'Informe Kelly'!E1462</f>
        <v>04.04.2011</v>
      </c>
      <c r="D1468" s="112" t="e">
        <f>VLOOKUP(A1468,Ingreso!K:P,6,FALSE)</f>
        <v>#N/A</v>
      </c>
      <c r="E1468" s="142" t="e">
        <f>(VLOOKUP(D1468,$D$2:$E$4,2,FALSE))-(IF('Informe Kelly'!H1462=$A$2,'Informe Kelly'!F1462,VLOOKUP(D1468,$D$2:$E$4,2,FALSE)))</f>
        <v>#N/A</v>
      </c>
      <c r="F1468" s="142" t="e">
        <f>IF('Informe Kelly'!H1462=$A$3,'Informe Kelly'!F1462,VLOOKUP(D1468,$D$2:$F$4,3,FALSE))-(VLOOKUP(D1468,$D$2:$F$4,3,FALSE))</f>
        <v>#N/A</v>
      </c>
      <c r="G1468" s="137" t="e">
        <f t="shared" si="26"/>
        <v>#N/A</v>
      </c>
    </row>
    <row r="1469" spans="1:7">
      <c r="A1469" s="112" t="str">
        <f>VLOOKUP('Informe Kelly'!A1463,Base!A:B,2,FALSE)</f>
        <v>13.236.100-2</v>
      </c>
      <c r="B1469" s="112" t="str">
        <f>VLOOKUP('Informe Kelly'!A1463,Base!A:G,7,FALSE)</f>
        <v>BUSTAMANTE GONZALEZ MARCO ANTONIO</v>
      </c>
      <c r="C1469" s="112" t="str">
        <f>'Informe Kelly'!E1463</f>
        <v>05.04.2011</v>
      </c>
      <c r="D1469" s="112" t="e">
        <f>VLOOKUP(A1469,Ingreso!K:P,6,FALSE)</f>
        <v>#N/A</v>
      </c>
      <c r="E1469" s="142" t="e">
        <f>(VLOOKUP(D1469,$D$2:$E$4,2,FALSE))-(IF('Informe Kelly'!H1463=$A$2,'Informe Kelly'!F1463,VLOOKUP(D1469,$D$2:$E$4,2,FALSE)))</f>
        <v>#N/A</v>
      </c>
      <c r="F1469" s="142" t="e">
        <f>IF('Informe Kelly'!H1463=$A$3,'Informe Kelly'!F1463,VLOOKUP(D1469,$D$2:$F$4,3,FALSE))-(VLOOKUP(D1469,$D$2:$F$4,3,FALSE))</f>
        <v>#N/A</v>
      </c>
      <c r="G1469" s="137" t="e">
        <f t="shared" si="26"/>
        <v>#N/A</v>
      </c>
    </row>
    <row r="1470" spans="1:7">
      <c r="A1470" s="112" t="str">
        <f>VLOOKUP('Informe Kelly'!A1464,Base!A:B,2,FALSE)</f>
        <v>13.236.100-2</v>
      </c>
      <c r="B1470" s="112" t="str">
        <f>VLOOKUP('Informe Kelly'!A1464,Base!A:G,7,FALSE)</f>
        <v>BUSTAMANTE GONZALEZ MARCO ANTONIO</v>
      </c>
      <c r="C1470" s="112" t="str">
        <f>'Informe Kelly'!E1464</f>
        <v>05.04.2011</v>
      </c>
      <c r="D1470" s="112" t="e">
        <f>VLOOKUP(A1470,Ingreso!K:P,6,FALSE)</f>
        <v>#N/A</v>
      </c>
      <c r="E1470" s="142" t="e">
        <f>(VLOOKUP(D1470,$D$2:$E$4,2,FALSE))-(IF('Informe Kelly'!H1464=$A$2,'Informe Kelly'!F1464,VLOOKUP(D1470,$D$2:$E$4,2,FALSE)))</f>
        <v>#N/A</v>
      </c>
      <c r="F1470" s="142" t="e">
        <f>IF('Informe Kelly'!H1464=$A$3,'Informe Kelly'!F1464,VLOOKUP(D1470,$D$2:$F$4,3,FALSE))-(VLOOKUP(D1470,$D$2:$F$4,3,FALSE))</f>
        <v>#N/A</v>
      </c>
      <c r="G1470" s="137" t="e">
        <f t="shared" si="26"/>
        <v>#N/A</v>
      </c>
    </row>
    <row r="1471" spans="1:7">
      <c r="A1471" s="112" t="str">
        <f>VLOOKUP('Informe Kelly'!A1465,Base!A:B,2,FALSE)</f>
        <v>13.236.100-2</v>
      </c>
      <c r="B1471" s="112" t="str">
        <f>VLOOKUP('Informe Kelly'!A1465,Base!A:G,7,FALSE)</f>
        <v>BUSTAMANTE GONZALEZ MARCO ANTONIO</v>
      </c>
      <c r="C1471" s="112" t="str">
        <f>'Informe Kelly'!E1465</f>
        <v>06.04.2011</v>
      </c>
      <c r="D1471" s="112" t="e">
        <f>VLOOKUP(A1471,Ingreso!K:P,6,FALSE)</f>
        <v>#N/A</v>
      </c>
      <c r="E1471" s="142" t="e">
        <f>(VLOOKUP(D1471,$D$2:$E$4,2,FALSE))-(IF('Informe Kelly'!H1465=$A$2,'Informe Kelly'!F1465,VLOOKUP(D1471,$D$2:$E$4,2,FALSE)))</f>
        <v>#N/A</v>
      </c>
      <c r="F1471" s="142" t="e">
        <f>IF('Informe Kelly'!H1465=$A$3,'Informe Kelly'!F1465,VLOOKUP(D1471,$D$2:$F$4,3,FALSE))-(VLOOKUP(D1471,$D$2:$F$4,3,FALSE))</f>
        <v>#N/A</v>
      </c>
      <c r="G1471" s="137" t="e">
        <f t="shared" si="26"/>
        <v>#N/A</v>
      </c>
    </row>
    <row r="1472" spans="1:7">
      <c r="A1472" s="112" t="str">
        <f>VLOOKUP('Informe Kelly'!A1466,Base!A:B,2,FALSE)</f>
        <v>13.236.100-2</v>
      </c>
      <c r="B1472" s="112" t="str">
        <f>VLOOKUP('Informe Kelly'!A1466,Base!A:G,7,FALSE)</f>
        <v>BUSTAMANTE GONZALEZ MARCO ANTONIO</v>
      </c>
      <c r="C1472" s="112" t="str">
        <f>'Informe Kelly'!E1466</f>
        <v>06.04.2011</v>
      </c>
      <c r="D1472" s="112" t="e">
        <f>VLOOKUP(A1472,Ingreso!K:P,6,FALSE)</f>
        <v>#N/A</v>
      </c>
      <c r="E1472" s="142" t="e">
        <f>(VLOOKUP(D1472,$D$2:$E$4,2,FALSE))-(IF('Informe Kelly'!H1466=$A$2,'Informe Kelly'!F1466,VLOOKUP(D1472,$D$2:$E$4,2,FALSE)))</f>
        <v>#N/A</v>
      </c>
      <c r="F1472" s="142" t="e">
        <f>IF('Informe Kelly'!H1466=$A$3,'Informe Kelly'!F1466,VLOOKUP(D1472,$D$2:$F$4,3,FALSE))-(VLOOKUP(D1472,$D$2:$F$4,3,FALSE))</f>
        <v>#N/A</v>
      </c>
      <c r="G1472" s="137" t="e">
        <f t="shared" si="26"/>
        <v>#N/A</v>
      </c>
    </row>
    <row r="1473" spans="1:7">
      <c r="A1473" s="112" t="str">
        <f>VLOOKUP('Informe Kelly'!A1467,Base!A:B,2,FALSE)</f>
        <v>13.236.100-2</v>
      </c>
      <c r="B1473" s="112" t="str">
        <f>VLOOKUP('Informe Kelly'!A1467,Base!A:G,7,FALSE)</f>
        <v>BUSTAMANTE GONZALEZ MARCO ANTONIO</v>
      </c>
      <c r="C1473" s="112" t="str">
        <f>'Informe Kelly'!E1467</f>
        <v>07.04.2011</v>
      </c>
      <c r="D1473" s="112" t="e">
        <f>VLOOKUP(A1473,Ingreso!K:P,6,FALSE)</f>
        <v>#N/A</v>
      </c>
      <c r="E1473" s="142" t="e">
        <f>(VLOOKUP(D1473,$D$2:$E$4,2,FALSE))-(IF('Informe Kelly'!H1467=$A$2,'Informe Kelly'!F1467,VLOOKUP(D1473,$D$2:$E$4,2,FALSE)))</f>
        <v>#N/A</v>
      </c>
      <c r="F1473" s="142" t="e">
        <f>IF('Informe Kelly'!H1467=$A$3,'Informe Kelly'!F1467,VLOOKUP(D1473,$D$2:$F$4,3,FALSE))-(VLOOKUP(D1473,$D$2:$F$4,3,FALSE))</f>
        <v>#N/A</v>
      </c>
      <c r="G1473" s="137" t="e">
        <f t="shared" si="26"/>
        <v>#N/A</v>
      </c>
    </row>
    <row r="1474" spans="1:7">
      <c r="A1474" s="112" t="str">
        <f>VLOOKUP('Informe Kelly'!A1468,Base!A:B,2,FALSE)</f>
        <v>13.236.100-2</v>
      </c>
      <c r="B1474" s="112" t="str">
        <f>VLOOKUP('Informe Kelly'!A1468,Base!A:G,7,FALSE)</f>
        <v>BUSTAMANTE GONZALEZ MARCO ANTONIO</v>
      </c>
      <c r="C1474" s="112" t="str">
        <f>'Informe Kelly'!E1468</f>
        <v>07.04.2011</v>
      </c>
      <c r="D1474" s="112" t="e">
        <f>VLOOKUP(A1474,Ingreso!K:P,6,FALSE)</f>
        <v>#N/A</v>
      </c>
      <c r="E1474" s="142" t="e">
        <f>(VLOOKUP(D1474,$D$2:$E$4,2,FALSE))-(IF('Informe Kelly'!H1468=$A$2,'Informe Kelly'!F1468,VLOOKUP(D1474,$D$2:$E$4,2,FALSE)))</f>
        <v>#N/A</v>
      </c>
      <c r="F1474" s="142" t="e">
        <f>IF('Informe Kelly'!H1468=$A$3,'Informe Kelly'!F1468,VLOOKUP(D1474,$D$2:$F$4,3,FALSE))-(VLOOKUP(D1474,$D$2:$F$4,3,FALSE))</f>
        <v>#N/A</v>
      </c>
      <c r="G1474" s="137" t="e">
        <f t="shared" si="26"/>
        <v>#N/A</v>
      </c>
    </row>
    <row r="1475" spans="1:7">
      <c r="A1475" s="112" t="str">
        <f>VLOOKUP('Informe Kelly'!A1469,Base!A:B,2,FALSE)</f>
        <v>13.236.100-2</v>
      </c>
      <c r="B1475" s="112" t="str">
        <f>VLOOKUP('Informe Kelly'!A1469,Base!A:G,7,FALSE)</f>
        <v>BUSTAMANTE GONZALEZ MARCO ANTONIO</v>
      </c>
      <c r="C1475" s="112" t="str">
        <f>'Informe Kelly'!E1469</f>
        <v>08.04.2011</v>
      </c>
      <c r="D1475" s="112" t="e">
        <f>VLOOKUP(A1475,Ingreso!K:P,6,FALSE)</f>
        <v>#N/A</v>
      </c>
      <c r="E1475" s="142" t="e">
        <f>(VLOOKUP(D1475,$D$2:$E$4,2,FALSE))-(IF('Informe Kelly'!H1469=$A$2,'Informe Kelly'!F1469,VLOOKUP(D1475,$D$2:$E$4,2,FALSE)))</f>
        <v>#N/A</v>
      </c>
      <c r="F1475" s="142" t="e">
        <f>IF('Informe Kelly'!H1469=$A$3,'Informe Kelly'!F1469,VLOOKUP(D1475,$D$2:$F$4,3,FALSE))-(VLOOKUP(D1475,$D$2:$F$4,3,FALSE))</f>
        <v>#N/A</v>
      </c>
      <c r="G1475" s="137" t="e">
        <f t="shared" si="26"/>
        <v>#N/A</v>
      </c>
    </row>
    <row r="1476" spans="1:7">
      <c r="A1476" s="112" t="str">
        <f>VLOOKUP('Informe Kelly'!A1470,Base!A:B,2,FALSE)</f>
        <v>13.236.100-2</v>
      </c>
      <c r="B1476" s="112" t="str">
        <f>VLOOKUP('Informe Kelly'!A1470,Base!A:G,7,FALSE)</f>
        <v>BUSTAMANTE GONZALEZ MARCO ANTONIO</v>
      </c>
      <c r="C1476" s="112" t="str">
        <f>'Informe Kelly'!E1470</f>
        <v>08.04.2011</v>
      </c>
      <c r="D1476" s="112" t="e">
        <f>VLOOKUP(A1476,Ingreso!K:P,6,FALSE)</f>
        <v>#N/A</v>
      </c>
      <c r="E1476" s="142" t="e">
        <f>(VLOOKUP(D1476,$D$2:$E$4,2,FALSE))-(IF('Informe Kelly'!H1470=$A$2,'Informe Kelly'!F1470,VLOOKUP(D1476,$D$2:$E$4,2,FALSE)))</f>
        <v>#N/A</v>
      </c>
      <c r="F1476" s="142" t="e">
        <f>IF('Informe Kelly'!H1470=$A$3,'Informe Kelly'!F1470,VLOOKUP(D1476,$D$2:$F$4,3,FALSE))-(VLOOKUP(D1476,$D$2:$F$4,3,FALSE))</f>
        <v>#N/A</v>
      </c>
      <c r="G1476" s="137" t="e">
        <f t="shared" si="26"/>
        <v>#N/A</v>
      </c>
    </row>
    <row r="1477" spans="1:7">
      <c r="A1477" s="112" t="str">
        <f>VLOOKUP('Informe Kelly'!A1471,Base!A:B,2,FALSE)</f>
        <v>13.284.475-5</v>
      </c>
      <c r="B1477" s="112" t="str">
        <f>VLOOKUP('Informe Kelly'!A1471,Base!A:G,7,FALSE)</f>
        <v>OSORIO LUCERO ESTEBAN ARIEL</v>
      </c>
      <c r="C1477" s="112" t="str">
        <f>'Informe Kelly'!E1471</f>
        <v>04.04.2011</v>
      </c>
      <c r="D1477" s="112" t="e">
        <f>VLOOKUP(A1477,Ingreso!K:P,6,FALSE)</f>
        <v>#N/A</v>
      </c>
      <c r="E1477" s="142" t="e">
        <f>(VLOOKUP(D1477,$D$2:$E$4,2,FALSE))-(IF('Informe Kelly'!H1471=$A$2,'Informe Kelly'!F1471,VLOOKUP(D1477,$D$2:$E$4,2,FALSE)))</f>
        <v>#N/A</v>
      </c>
      <c r="F1477" s="142" t="e">
        <f>IF('Informe Kelly'!H1471=$A$3,'Informe Kelly'!F1471,VLOOKUP(D1477,$D$2:$F$4,3,FALSE))-(VLOOKUP(D1477,$D$2:$F$4,3,FALSE))</f>
        <v>#N/A</v>
      </c>
      <c r="G1477" s="137" t="e">
        <f t="shared" si="26"/>
        <v>#N/A</v>
      </c>
    </row>
    <row r="1478" spans="1:7">
      <c r="A1478" s="112" t="str">
        <f>VLOOKUP('Informe Kelly'!A1472,Base!A:B,2,FALSE)</f>
        <v>13.284.475-5</v>
      </c>
      <c r="B1478" s="112" t="str">
        <f>VLOOKUP('Informe Kelly'!A1472,Base!A:G,7,FALSE)</f>
        <v>OSORIO LUCERO ESTEBAN ARIEL</v>
      </c>
      <c r="C1478" s="112" t="str">
        <f>'Informe Kelly'!E1472</f>
        <v>04.04.2011</v>
      </c>
      <c r="D1478" s="112" t="e">
        <f>VLOOKUP(A1478,Ingreso!K:P,6,FALSE)</f>
        <v>#N/A</v>
      </c>
      <c r="E1478" s="142" t="e">
        <f>(VLOOKUP(D1478,$D$2:$E$4,2,FALSE))-(IF('Informe Kelly'!H1472=$A$2,'Informe Kelly'!F1472,VLOOKUP(D1478,$D$2:$E$4,2,FALSE)))</f>
        <v>#N/A</v>
      </c>
      <c r="F1478" s="142" t="e">
        <f>IF('Informe Kelly'!H1472=$A$3,'Informe Kelly'!F1472,VLOOKUP(D1478,$D$2:$F$4,3,FALSE))-(VLOOKUP(D1478,$D$2:$F$4,3,FALSE))</f>
        <v>#N/A</v>
      </c>
      <c r="G1478" s="137" t="e">
        <f t="shared" si="26"/>
        <v>#N/A</v>
      </c>
    </row>
    <row r="1479" spans="1:7">
      <c r="A1479" s="112" t="str">
        <f>VLOOKUP('Informe Kelly'!A1473,Base!A:B,2,FALSE)</f>
        <v>13.284.475-5</v>
      </c>
      <c r="B1479" s="112" t="str">
        <f>VLOOKUP('Informe Kelly'!A1473,Base!A:G,7,FALSE)</f>
        <v>OSORIO LUCERO ESTEBAN ARIEL</v>
      </c>
      <c r="C1479" s="112" t="str">
        <f>'Informe Kelly'!E1473</f>
        <v>06.04.2011</v>
      </c>
      <c r="D1479" s="112" t="e">
        <f>VLOOKUP(A1479,Ingreso!K:P,6,FALSE)</f>
        <v>#N/A</v>
      </c>
      <c r="E1479" s="142" t="e">
        <f>(VLOOKUP(D1479,$D$2:$E$4,2,FALSE))-(IF('Informe Kelly'!H1473=$A$2,'Informe Kelly'!F1473,VLOOKUP(D1479,$D$2:$E$4,2,FALSE)))</f>
        <v>#N/A</v>
      </c>
      <c r="F1479" s="142" t="e">
        <f>IF('Informe Kelly'!H1473=$A$3,'Informe Kelly'!F1473,VLOOKUP(D1479,$D$2:$F$4,3,FALSE))-(VLOOKUP(D1479,$D$2:$F$4,3,FALSE))</f>
        <v>#N/A</v>
      </c>
      <c r="G1479" s="137" t="e">
        <f t="shared" si="26"/>
        <v>#N/A</v>
      </c>
    </row>
    <row r="1480" spans="1:7">
      <c r="A1480" s="112" t="str">
        <f>VLOOKUP('Informe Kelly'!A1474,Base!A:B,2,FALSE)</f>
        <v>13.284.475-5</v>
      </c>
      <c r="B1480" s="112" t="str">
        <f>VLOOKUP('Informe Kelly'!A1474,Base!A:G,7,FALSE)</f>
        <v>OSORIO LUCERO ESTEBAN ARIEL</v>
      </c>
      <c r="C1480" s="112" t="str">
        <f>'Informe Kelly'!E1474</f>
        <v>06.04.2011</v>
      </c>
      <c r="D1480" s="112" t="e">
        <f>VLOOKUP(A1480,Ingreso!K:P,6,FALSE)</f>
        <v>#N/A</v>
      </c>
      <c r="E1480" s="142" t="e">
        <f>(VLOOKUP(D1480,$D$2:$E$4,2,FALSE))-(IF('Informe Kelly'!H1474=$A$2,'Informe Kelly'!F1474,VLOOKUP(D1480,$D$2:$E$4,2,FALSE)))</f>
        <v>#N/A</v>
      </c>
      <c r="F1480" s="142" t="e">
        <f>IF('Informe Kelly'!H1474=$A$3,'Informe Kelly'!F1474,VLOOKUP(D1480,$D$2:$F$4,3,FALSE))-(VLOOKUP(D1480,$D$2:$F$4,3,FALSE))</f>
        <v>#N/A</v>
      </c>
      <c r="G1480" s="137" t="e">
        <f t="shared" si="26"/>
        <v>#N/A</v>
      </c>
    </row>
    <row r="1481" spans="1:7">
      <c r="A1481" s="112" t="str">
        <f>VLOOKUP('Informe Kelly'!A1475,Base!A:B,2,FALSE)</f>
        <v>13.284.475-5</v>
      </c>
      <c r="B1481" s="112" t="str">
        <f>VLOOKUP('Informe Kelly'!A1475,Base!A:G,7,FALSE)</f>
        <v>OSORIO LUCERO ESTEBAN ARIEL</v>
      </c>
      <c r="C1481" s="112" t="str">
        <f>'Informe Kelly'!E1475</f>
        <v>07.04.2011</v>
      </c>
      <c r="D1481" s="112" t="e">
        <f>VLOOKUP(A1481,Ingreso!K:P,6,FALSE)</f>
        <v>#N/A</v>
      </c>
      <c r="E1481" s="142" t="e">
        <f>(VLOOKUP(D1481,$D$2:$E$4,2,FALSE))-(IF('Informe Kelly'!H1475=$A$2,'Informe Kelly'!F1475,VLOOKUP(D1481,$D$2:$E$4,2,FALSE)))</f>
        <v>#N/A</v>
      </c>
      <c r="F1481" s="142" t="e">
        <f>IF('Informe Kelly'!H1475=$A$3,'Informe Kelly'!F1475,VLOOKUP(D1481,$D$2:$F$4,3,FALSE))-(VLOOKUP(D1481,$D$2:$F$4,3,FALSE))</f>
        <v>#N/A</v>
      </c>
      <c r="G1481" s="137" t="e">
        <f t="shared" ref="G1481:G1544" si="27">IF(E1481="",IF(F1481&lt;0.0409722222222222,0,E1481),IF(E1481&lt;0.0409722222222222,0,E1481))</f>
        <v>#N/A</v>
      </c>
    </row>
    <row r="1482" spans="1:7">
      <c r="A1482" s="112" t="str">
        <f>VLOOKUP('Informe Kelly'!A1476,Base!A:B,2,FALSE)</f>
        <v>13.284.475-5</v>
      </c>
      <c r="B1482" s="112" t="str">
        <f>VLOOKUP('Informe Kelly'!A1476,Base!A:G,7,FALSE)</f>
        <v>OSORIO LUCERO ESTEBAN ARIEL</v>
      </c>
      <c r="C1482" s="112" t="str">
        <f>'Informe Kelly'!E1476</f>
        <v>07.04.2011</v>
      </c>
      <c r="D1482" s="112" t="e">
        <f>VLOOKUP(A1482,Ingreso!K:P,6,FALSE)</f>
        <v>#N/A</v>
      </c>
      <c r="E1482" s="142" t="e">
        <f>(VLOOKUP(D1482,$D$2:$E$4,2,FALSE))-(IF('Informe Kelly'!H1476=$A$2,'Informe Kelly'!F1476,VLOOKUP(D1482,$D$2:$E$4,2,FALSE)))</f>
        <v>#N/A</v>
      </c>
      <c r="F1482" s="142" t="e">
        <f>IF('Informe Kelly'!H1476=$A$3,'Informe Kelly'!F1476,VLOOKUP(D1482,$D$2:$F$4,3,FALSE))-(VLOOKUP(D1482,$D$2:$F$4,3,FALSE))</f>
        <v>#N/A</v>
      </c>
      <c r="G1482" s="137" t="e">
        <f t="shared" si="27"/>
        <v>#N/A</v>
      </c>
    </row>
    <row r="1483" spans="1:7">
      <c r="A1483" s="112" t="str">
        <f>VLOOKUP('Informe Kelly'!A1477,Base!A:B,2,FALSE)</f>
        <v>13.284.475-5</v>
      </c>
      <c r="B1483" s="112" t="str">
        <f>VLOOKUP('Informe Kelly'!A1477,Base!A:G,7,FALSE)</f>
        <v>OSORIO LUCERO ESTEBAN ARIEL</v>
      </c>
      <c r="C1483" s="112" t="str">
        <f>'Informe Kelly'!E1477</f>
        <v>08.04.2011</v>
      </c>
      <c r="D1483" s="112" t="e">
        <f>VLOOKUP(A1483,Ingreso!K:P,6,FALSE)</f>
        <v>#N/A</v>
      </c>
      <c r="E1483" s="142" t="e">
        <f>(VLOOKUP(D1483,$D$2:$E$4,2,FALSE))-(IF('Informe Kelly'!H1477=$A$2,'Informe Kelly'!F1477,VLOOKUP(D1483,$D$2:$E$4,2,FALSE)))</f>
        <v>#N/A</v>
      </c>
      <c r="F1483" s="142" t="e">
        <f>IF('Informe Kelly'!H1477=$A$3,'Informe Kelly'!F1477,VLOOKUP(D1483,$D$2:$F$4,3,FALSE))-(VLOOKUP(D1483,$D$2:$F$4,3,FALSE))</f>
        <v>#N/A</v>
      </c>
      <c r="G1483" s="137" t="e">
        <f t="shared" si="27"/>
        <v>#N/A</v>
      </c>
    </row>
    <row r="1484" spans="1:7">
      <c r="A1484" s="112" t="str">
        <f>VLOOKUP('Informe Kelly'!A1478,Base!A:B,2,FALSE)</f>
        <v>13.284.475-5</v>
      </c>
      <c r="B1484" s="112" t="str">
        <f>VLOOKUP('Informe Kelly'!A1478,Base!A:G,7,FALSE)</f>
        <v>OSORIO LUCERO ESTEBAN ARIEL</v>
      </c>
      <c r="C1484" s="112" t="str">
        <f>'Informe Kelly'!E1478</f>
        <v>08.04.2011</v>
      </c>
      <c r="D1484" s="112" t="e">
        <f>VLOOKUP(A1484,Ingreso!K:P,6,FALSE)</f>
        <v>#N/A</v>
      </c>
      <c r="E1484" s="142" t="e">
        <f>(VLOOKUP(D1484,$D$2:$E$4,2,FALSE))-(IF('Informe Kelly'!H1478=$A$2,'Informe Kelly'!F1478,VLOOKUP(D1484,$D$2:$E$4,2,FALSE)))</f>
        <v>#N/A</v>
      </c>
      <c r="F1484" s="142" t="e">
        <f>IF('Informe Kelly'!H1478=$A$3,'Informe Kelly'!F1478,VLOOKUP(D1484,$D$2:$F$4,3,FALSE))-(VLOOKUP(D1484,$D$2:$F$4,3,FALSE))</f>
        <v>#N/A</v>
      </c>
      <c r="G1484" s="137" t="e">
        <f t="shared" si="27"/>
        <v>#N/A</v>
      </c>
    </row>
    <row r="1485" spans="1:7">
      <c r="A1485" s="112" t="str">
        <f>VLOOKUP('Informe Kelly'!A1479,Base!A:B,2,FALSE)</f>
        <v>13.284.475-5</v>
      </c>
      <c r="B1485" s="112" t="str">
        <f>VLOOKUP('Informe Kelly'!A1479,Base!A:G,7,FALSE)</f>
        <v>OSORIO LUCERO ESTEBAN ARIEL</v>
      </c>
      <c r="C1485" s="112" t="str">
        <f>'Informe Kelly'!E1479</f>
        <v>09.04.2011</v>
      </c>
      <c r="D1485" s="112" t="e">
        <f>VLOOKUP(A1485,Ingreso!K:P,6,FALSE)</f>
        <v>#N/A</v>
      </c>
      <c r="E1485" s="142" t="e">
        <f>(VLOOKUP(D1485,$D$2:$E$4,2,FALSE))-(IF('Informe Kelly'!H1479=$A$2,'Informe Kelly'!F1479,VLOOKUP(D1485,$D$2:$E$4,2,FALSE)))</f>
        <v>#N/A</v>
      </c>
      <c r="F1485" s="142" t="e">
        <f>IF('Informe Kelly'!H1479=$A$3,'Informe Kelly'!F1479,VLOOKUP(D1485,$D$2:$F$4,3,FALSE))-(VLOOKUP(D1485,$D$2:$F$4,3,FALSE))</f>
        <v>#N/A</v>
      </c>
      <c r="G1485" s="137" t="e">
        <f t="shared" si="27"/>
        <v>#N/A</v>
      </c>
    </row>
    <row r="1486" spans="1:7">
      <c r="A1486" s="112" t="str">
        <f>VLOOKUP('Informe Kelly'!A1480,Base!A:B,2,FALSE)</f>
        <v>13.284.475-5</v>
      </c>
      <c r="B1486" s="112" t="str">
        <f>VLOOKUP('Informe Kelly'!A1480,Base!A:G,7,FALSE)</f>
        <v>OSORIO LUCERO ESTEBAN ARIEL</v>
      </c>
      <c r="C1486" s="112" t="str">
        <f>'Informe Kelly'!E1480</f>
        <v>09.04.2011</v>
      </c>
      <c r="D1486" s="112" t="e">
        <f>VLOOKUP(A1486,Ingreso!K:P,6,FALSE)</f>
        <v>#N/A</v>
      </c>
      <c r="E1486" s="142" t="e">
        <f>(VLOOKUP(D1486,$D$2:$E$4,2,FALSE))-(IF('Informe Kelly'!H1480=$A$2,'Informe Kelly'!F1480,VLOOKUP(D1486,$D$2:$E$4,2,FALSE)))</f>
        <v>#N/A</v>
      </c>
      <c r="F1486" s="142" t="e">
        <f>IF('Informe Kelly'!H1480=$A$3,'Informe Kelly'!F1480,VLOOKUP(D1486,$D$2:$F$4,3,FALSE))-(VLOOKUP(D1486,$D$2:$F$4,3,FALSE))</f>
        <v>#N/A</v>
      </c>
      <c r="G1486" s="137" t="e">
        <f t="shared" si="27"/>
        <v>#N/A</v>
      </c>
    </row>
    <row r="1487" spans="1:7">
      <c r="A1487" s="112" t="str">
        <f>VLOOKUP('Informe Kelly'!A1481,Base!A:B,2,FALSE)</f>
        <v>13.295.279-5</v>
      </c>
      <c r="B1487" s="112" t="str">
        <f>VLOOKUP('Informe Kelly'!A1481,Base!A:G,7,FALSE)</f>
        <v>TOLEDO YENEVES JUAN OSVALDO</v>
      </c>
      <c r="C1487" s="112" t="str">
        <f>'Informe Kelly'!E1481</f>
        <v>04.04.2011</v>
      </c>
      <c r="D1487" s="112" t="e">
        <f>VLOOKUP(A1487,Ingreso!K:P,6,FALSE)</f>
        <v>#N/A</v>
      </c>
      <c r="E1487" s="142" t="e">
        <f>(VLOOKUP(D1487,$D$2:$E$4,2,FALSE))-(IF('Informe Kelly'!H1481=$A$2,'Informe Kelly'!F1481,VLOOKUP(D1487,$D$2:$E$4,2,FALSE)))</f>
        <v>#N/A</v>
      </c>
      <c r="F1487" s="142" t="e">
        <f>IF('Informe Kelly'!H1481=$A$3,'Informe Kelly'!F1481,VLOOKUP(D1487,$D$2:$F$4,3,FALSE))-(VLOOKUP(D1487,$D$2:$F$4,3,FALSE))</f>
        <v>#N/A</v>
      </c>
      <c r="G1487" s="137" t="e">
        <f t="shared" si="27"/>
        <v>#N/A</v>
      </c>
    </row>
    <row r="1488" spans="1:7">
      <c r="A1488" s="112" t="str">
        <f>VLOOKUP('Informe Kelly'!A1482,Base!A:B,2,FALSE)</f>
        <v>13.295.279-5</v>
      </c>
      <c r="B1488" s="112" t="str">
        <f>VLOOKUP('Informe Kelly'!A1482,Base!A:G,7,FALSE)</f>
        <v>TOLEDO YENEVES JUAN OSVALDO</v>
      </c>
      <c r="C1488" s="112" t="str">
        <f>'Informe Kelly'!E1482</f>
        <v>04.04.2011</v>
      </c>
      <c r="D1488" s="112" t="e">
        <f>VLOOKUP(A1488,Ingreso!K:P,6,FALSE)</f>
        <v>#N/A</v>
      </c>
      <c r="E1488" s="142" t="e">
        <f>(VLOOKUP(D1488,$D$2:$E$4,2,FALSE))-(IF('Informe Kelly'!H1482=$A$2,'Informe Kelly'!F1482,VLOOKUP(D1488,$D$2:$E$4,2,FALSE)))</f>
        <v>#N/A</v>
      </c>
      <c r="F1488" s="142" t="e">
        <f>IF('Informe Kelly'!H1482=$A$3,'Informe Kelly'!F1482,VLOOKUP(D1488,$D$2:$F$4,3,FALSE))-(VLOOKUP(D1488,$D$2:$F$4,3,FALSE))</f>
        <v>#N/A</v>
      </c>
      <c r="G1488" s="137" t="e">
        <f t="shared" si="27"/>
        <v>#N/A</v>
      </c>
    </row>
    <row r="1489" spans="1:7">
      <c r="A1489" s="112" t="str">
        <f>VLOOKUP('Informe Kelly'!A1483,Base!A:B,2,FALSE)</f>
        <v>13.295.279-5</v>
      </c>
      <c r="B1489" s="112" t="str">
        <f>VLOOKUP('Informe Kelly'!A1483,Base!A:G,7,FALSE)</f>
        <v>TOLEDO YENEVES JUAN OSVALDO</v>
      </c>
      <c r="C1489" s="112" t="str">
        <f>'Informe Kelly'!E1483</f>
        <v>05.04.2011</v>
      </c>
      <c r="D1489" s="112" t="e">
        <f>VLOOKUP(A1489,Ingreso!K:P,6,FALSE)</f>
        <v>#N/A</v>
      </c>
      <c r="E1489" s="142" t="e">
        <f>(VLOOKUP(D1489,$D$2:$E$4,2,FALSE))-(IF('Informe Kelly'!H1483=$A$2,'Informe Kelly'!F1483,VLOOKUP(D1489,$D$2:$E$4,2,FALSE)))</f>
        <v>#N/A</v>
      </c>
      <c r="F1489" s="142" t="e">
        <f>IF('Informe Kelly'!H1483=$A$3,'Informe Kelly'!F1483,VLOOKUP(D1489,$D$2:$F$4,3,FALSE))-(VLOOKUP(D1489,$D$2:$F$4,3,FALSE))</f>
        <v>#N/A</v>
      </c>
      <c r="G1489" s="137" t="e">
        <f t="shared" si="27"/>
        <v>#N/A</v>
      </c>
    </row>
    <row r="1490" spans="1:7">
      <c r="A1490" s="112" t="str">
        <f>VLOOKUP('Informe Kelly'!A1484,Base!A:B,2,FALSE)</f>
        <v>13.295.279-5</v>
      </c>
      <c r="B1490" s="112" t="str">
        <f>VLOOKUP('Informe Kelly'!A1484,Base!A:G,7,FALSE)</f>
        <v>TOLEDO YENEVES JUAN OSVALDO</v>
      </c>
      <c r="C1490" s="112" t="str">
        <f>'Informe Kelly'!E1484</f>
        <v>05.04.2011</v>
      </c>
      <c r="D1490" s="112" t="e">
        <f>VLOOKUP(A1490,Ingreso!K:P,6,FALSE)</f>
        <v>#N/A</v>
      </c>
      <c r="E1490" s="142" t="e">
        <f>(VLOOKUP(D1490,$D$2:$E$4,2,FALSE))-(IF('Informe Kelly'!H1484=$A$2,'Informe Kelly'!F1484,VLOOKUP(D1490,$D$2:$E$4,2,FALSE)))</f>
        <v>#N/A</v>
      </c>
      <c r="F1490" s="142" t="e">
        <f>IF('Informe Kelly'!H1484=$A$3,'Informe Kelly'!F1484,VLOOKUP(D1490,$D$2:$F$4,3,FALSE))-(VLOOKUP(D1490,$D$2:$F$4,3,FALSE))</f>
        <v>#N/A</v>
      </c>
      <c r="G1490" s="137" t="e">
        <f t="shared" si="27"/>
        <v>#N/A</v>
      </c>
    </row>
    <row r="1491" spans="1:7">
      <c r="A1491" s="112" t="str">
        <f>VLOOKUP('Informe Kelly'!A1485,Base!A:B,2,FALSE)</f>
        <v>13.295.279-5</v>
      </c>
      <c r="B1491" s="112" t="str">
        <f>VLOOKUP('Informe Kelly'!A1485,Base!A:G,7,FALSE)</f>
        <v>TOLEDO YENEVES JUAN OSVALDO</v>
      </c>
      <c r="C1491" s="112" t="str">
        <f>'Informe Kelly'!E1485</f>
        <v>06.04.2011</v>
      </c>
      <c r="D1491" s="112" t="e">
        <f>VLOOKUP(A1491,Ingreso!K:P,6,FALSE)</f>
        <v>#N/A</v>
      </c>
      <c r="E1491" s="142" t="e">
        <f>(VLOOKUP(D1491,$D$2:$E$4,2,FALSE))-(IF('Informe Kelly'!H1485=$A$2,'Informe Kelly'!F1485,VLOOKUP(D1491,$D$2:$E$4,2,FALSE)))</f>
        <v>#N/A</v>
      </c>
      <c r="F1491" s="142" t="e">
        <f>IF('Informe Kelly'!H1485=$A$3,'Informe Kelly'!F1485,VLOOKUP(D1491,$D$2:$F$4,3,FALSE))-(VLOOKUP(D1491,$D$2:$F$4,3,FALSE))</f>
        <v>#N/A</v>
      </c>
      <c r="G1491" s="137" t="e">
        <f t="shared" si="27"/>
        <v>#N/A</v>
      </c>
    </row>
    <row r="1492" spans="1:7">
      <c r="A1492" s="112" t="str">
        <f>VLOOKUP('Informe Kelly'!A1486,Base!A:B,2,FALSE)</f>
        <v>13.295.279-5</v>
      </c>
      <c r="B1492" s="112" t="str">
        <f>VLOOKUP('Informe Kelly'!A1486,Base!A:G,7,FALSE)</f>
        <v>TOLEDO YENEVES JUAN OSVALDO</v>
      </c>
      <c r="C1492" s="112" t="str">
        <f>'Informe Kelly'!E1486</f>
        <v>06.04.2011</v>
      </c>
      <c r="D1492" s="112" t="e">
        <f>VLOOKUP(A1492,Ingreso!K:P,6,FALSE)</f>
        <v>#N/A</v>
      </c>
      <c r="E1492" s="142" t="e">
        <f>(VLOOKUP(D1492,$D$2:$E$4,2,FALSE))-(IF('Informe Kelly'!H1486=$A$2,'Informe Kelly'!F1486,VLOOKUP(D1492,$D$2:$E$4,2,FALSE)))</f>
        <v>#N/A</v>
      </c>
      <c r="F1492" s="142" t="e">
        <f>IF('Informe Kelly'!H1486=$A$3,'Informe Kelly'!F1486,VLOOKUP(D1492,$D$2:$F$4,3,FALSE))-(VLOOKUP(D1492,$D$2:$F$4,3,FALSE))</f>
        <v>#N/A</v>
      </c>
      <c r="G1492" s="137" t="e">
        <f t="shared" si="27"/>
        <v>#N/A</v>
      </c>
    </row>
    <row r="1493" spans="1:7">
      <c r="A1493" s="112" t="str">
        <f>VLOOKUP('Informe Kelly'!A1487,Base!A:B,2,FALSE)</f>
        <v>13.295.279-5</v>
      </c>
      <c r="B1493" s="112" t="str">
        <f>VLOOKUP('Informe Kelly'!A1487,Base!A:G,7,FALSE)</f>
        <v>TOLEDO YENEVES JUAN OSVALDO</v>
      </c>
      <c r="C1493" s="112" t="str">
        <f>'Informe Kelly'!E1487</f>
        <v>07.04.2011</v>
      </c>
      <c r="D1493" s="112" t="e">
        <f>VLOOKUP(A1493,Ingreso!K:P,6,FALSE)</f>
        <v>#N/A</v>
      </c>
      <c r="E1493" s="142" t="e">
        <f>(VLOOKUP(D1493,$D$2:$E$4,2,FALSE))-(IF('Informe Kelly'!H1487=$A$2,'Informe Kelly'!F1487,VLOOKUP(D1493,$D$2:$E$4,2,FALSE)))</f>
        <v>#N/A</v>
      </c>
      <c r="F1493" s="142" t="e">
        <f>IF('Informe Kelly'!H1487=$A$3,'Informe Kelly'!F1487,VLOOKUP(D1493,$D$2:$F$4,3,FALSE))-(VLOOKUP(D1493,$D$2:$F$4,3,FALSE))</f>
        <v>#N/A</v>
      </c>
      <c r="G1493" s="137" t="e">
        <f t="shared" si="27"/>
        <v>#N/A</v>
      </c>
    </row>
    <row r="1494" spans="1:7">
      <c r="A1494" s="112" t="str">
        <f>VLOOKUP('Informe Kelly'!A1488,Base!A:B,2,FALSE)</f>
        <v>13.295.279-5</v>
      </c>
      <c r="B1494" s="112" t="str">
        <f>VLOOKUP('Informe Kelly'!A1488,Base!A:G,7,FALSE)</f>
        <v>TOLEDO YENEVES JUAN OSVALDO</v>
      </c>
      <c r="C1494" s="112" t="str">
        <f>'Informe Kelly'!E1488</f>
        <v>07.04.2011</v>
      </c>
      <c r="D1494" s="112" t="e">
        <f>VLOOKUP(A1494,Ingreso!K:P,6,FALSE)</f>
        <v>#N/A</v>
      </c>
      <c r="E1494" s="142" t="e">
        <f>(VLOOKUP(D1494,$D$2:$E$4,2,FALSE))-(IF('Informe Kelly'!H1488=$A$2,'Informe Kelly'!F1488,VLOOKUP(D1494,$D$2:$E$4,2,FALSE)))</f>
        <v>#N/A</v>
      </c>
      <c r="F1494" s="142" t="e">
        <f>IF('Informe Kelly'!H1488=$A$3,'Informe Kelly'!F1488,VLOOKUP(D1494,$D$2:$F$4,3,FALSE))-(VLOOKUP(D1494,$D$2:$F$4,3,FALSE))</f>
        <v>#N/A</v>
      </c>
      <c r="G1494" s="137" t="e">
        <f t="shared" si="27"/>
        <v>#N/A</v>
      </c>
    </row>
    <row r="1495" spans="1:7">
      <c r="A1495" s="112" t="str">
        <f>VLOOKUP('Informe Kelly'!A1489,Base!A:B,2,FALSE)</f>
        <v>13.295.279-5</v>
      </c>
      <c r="B1495" s="112" t="str">
        <f>VLOOKUP('Informe Kelly'!A1489,Base!A:G,7,FALSE)</f>
        <v>TOLEDO YENEVES JUAN OSVALDO</v>
      </c>
      <c r="C1495" s="112" t="str">
        <f>'Informe Kelly'!E1489</f>
        <v>08.04.2011</v>
      </c>
      <c r="D1495" s="112" t="e">
        <f>VLOOKUP(A1495,Ingreso!K:P,6,FALSE)</f>
        <v>#N/A</v>
      </c>
      <c r="E1495" s="142" t="e">
        <f>(VLOOKUP(D1495,$D$2:$E$4,2,FALSE))-(IF('Informe Kelly'!H1489=$A$2,'Informe Kelly'!F1489,VLOOKUP(D1495,$D$2:$E$4,2,FALSE)))</f>
        <v>#N/A</v>
      </c>
      <c r="F1495" s="142" t="e">
        <f>IF('Informe Kelly'!H1489=$A$3,'Informe Kelly'!F1489,VLOOKUP(D1495,$D$2:$F$4,3,FALSE))-(VLOOKUP(D1495,$D$2:$F$4,3,FALSE))</f>
        <v>#N/A</v>
      </c>
      <c r="G1495" s="137" t="e">
        <f t="shared" si="27"/>
        <v>#N/A</v>
      </c>
    </row>
    <row r="1496" spans="1:7">
      <c r="A1496" s="112" t="str">
        <f>VLOOKUP('Informe Kelly'!A1490,Base!A:B,2,FALSE)</f>
        <v>13.295.279-5</v>
      </c>
      <c r="B1496" s="112" t="str">
        <f>VLOOKUP('Informe Kelly'!A1490,Base!A:G,7,FALSE)</f>
        <v>TOLEDO YENEVES JUAN OSVALDO</v>
      </c>
      <c r="C1496" s="112" t="str">
        <f>'Informe Kelly'!E1490</f>
        <v>08.04.2011</v>
      </c>
      <c r="D1496" s="112" t="e">
        <f>VLOOKUP(A1496,Ingreso!K:P,6,FALSE)</f>
        <v>#N/A</v>
      </c>
      <c r="E1496" s="142" t="e">
        <f>(VLOOKUP(D1496,$D$2:$E$4,2,FALSE))-(IF('Informe Kelly'!H1490=$A$2,'Informe Kelly'!F1490,VLOOKUP(D1496,$D$2:$E$4,2,FALSE)))</f>
        <v>#N/A</v>
      </c>
      <c r="F1496" s="142" t="e">
        <f>IF('Informe Kelly'!H1490=$A$3,'Informe Kelly'!F1490,VLOOKUP(D1496,$D$2:$F$4,3,FALSE))-(VLOOKUP(D1496,$D$2:$F$4,3,FALSE))</f>
        <v>#N/A</v>
      </c>
      <c r="G1496" s="137" t="e">
        <f t="shared" si="27"/>
        <v>#N/A</v>
      </c>
    </row>
    <row r="1497" spans="1:7">
      <c r="A1497" s="112" t="str">
        <f>VLOOKUP('Informe Kelly'!A1491,Base!A:B,2,FALSE)</f>
        <v>13.295.279-5</v>
      </c>
      <c r="B1497" s="112" t="str">
        <f>VLOOKUP('Informe Kelly'!A1491,Base!A:G,7,FALSE)</f>
        <v>TOLEDO YENEVES JUAN OSVALDO</v>
      </c>
      <c r="C1497" s="112" t="str">
        <f>'Informe Kelly'!E1491</f>
        <v>09.04.2011</v>
      </c>
      <c r="D1497" s="112" t="e">
        <f>VLOOKUP(A1497,Ingreso!K:P,6,FALSE)</f>
        <v>#N/A</v>
      </c>
      <c r="E1497" s="142" t="e">
        <f>(VLOOKUP(D1497,$D$2:$E$4,2,FALSE))-(IF('Informe Kelly'!H1491=$A$2,'Informe Kelly'!F1491,VLOOKUP(D1497,$D$2:$E$4,2,FALSE)))</f>
        <v>#N/A</v>
      </c>
      <c r="F1497" s="142" t="e">
        <f>IF('Informe Kelly'!H1491=$A$3,'Informe Kelly'!F1491,VLOOKUP(D1497,$D$2:$F$4,3,FALSE))-(VLOOKUP(D1497,$D$2:$F$4,3,FALSE))</f>
        <v>#N/A</v>
      </c>
      <c r="G1497" s="137" t="e">
        <f t="shared" si="27"/>
        <v>#N/A</v>
      </c>
    </row>
    <row r="1498" spans="1:7">
      <c r="A1498" s="112" t="str">
        <f>VLOOKUP('Informe Kelly'!A1492,Base!A:B,2,FALSE)</f>
        <v>13.295.279-5</v>
      </c>
      <c r="B1498" s="112" t="str">
        <f>VLOOKUP('Informe Kelly'!A1492,Base!A:G,7,FALSE)</f>
        <v>TOLEDO YENEVES JUAN OSVALDO</v>
      </c>
      <c r="C1498" s="112" t="str">
        <f>'Informe Kelly'!E1492</f>
        <v>09.04.2011</v>
      </c>
      <c r="D1498" s="112" t="e">
        <f>VLOOKUP(A1498,Ingreso!K:P,6,FALSE)</f>
        <v>#N/A</v>
      </c>
      <c r="E1498" s="142" t="e">
        <f>(VLOOKUP(D1498,$D$2:$E$4,2,FALSE))-(IF('Informe Kelly'!H1492=$A$2,'Informe Kelly'!F1492,VLOOKUP(D1498,$D$2:$E$4,2,FALSE)))</f>
        <v>#N/A</v>
      </c>
      <c r="F1498" s="142" t="e">
        <f>IF('Informe Kelly'!H1492=$A$3,'Informe Kelly'!F1492,VLOOKUP(D1498,$D$2:$F$4,3,FALSE))-(VLOOKUP(D1498,$D$2:$F$4,3,FALSE))</f>
        <v>#N/A</v>
      </c>
      <c r="G1498" s="137" t="e">
        <f t="shared" si="27"/>
        <v>#N/A</v>
      </c>
    </row>
    <row r="1499" spans="1:7">
      <c r="A1499" s="112" t="str">
        <f>VLOOKUP('Informe Kelly'!A1493,Base!A:B,2,FALSE)</f>
        <v>13.297.988-K</v>
      </c>
      <c r="B1499" s="112" t="str">
        <f>VLOOKUP('Informe Kelly'!A1493,Base!A:G,7,FALSE)</f>
        <v>POBLETE RIVEROS JORGE</v>
      </c>
      <c r="C1499" s="112" t="str">
        <f>'Informe Kelly'!E1493</f>
        <v>04.04.2011</v>
      </c>
      <c r="D1499" s="112" t="e">
        <f>VLOOKUP(A1499,Ingreso!K:P,6,FALSE)</f>
        <v>#N/A</v>
      </c>
      <c r="E1499" s="142" t="e">
        <f>(VLOOKUP(D1499,$D$2:$E$4,2,FALSE))-(IF('Informe Kelly'!H1493=$A$2,'Informe Kelly'!F1493,VLOOKUP(D1499,$D$2:$E$4,2,FALSE)))</f>
        <v>#N/A</v>
      </c>
      <c r="F1499" s="142" t="e">
        <f>IF('Informe Kelly'!H1493=$A$3,'Informe Kelly'!F1493,VLOOKUP(D1499,$D$2:$F$4,3,FALSE))-(VLOOKUP(D1499,$D$2:$F$4,3,FALSE))</f>
        <v>#N/A</v>
      </c>
      <c r="G1499" s="137" t="e">
        <f t="shared" si="27"/>
        <v>#N/A</v>
      </c>
    </row>
    <row r="1500" spans="1:7">
      <c r="A1500" s="112" t="str">
        <f>VLOOKUP('Informe Kelly'!A1494,Base!A:B,2,FALSE)</f>
        <v>13.297.988-K</v>
      </c>
      <c r="B1500" s="112" t="str">
        <f>VLOOKUP('Informe Kelly'!A1494,Base!A:G,7,FALSE)</f>
        <v>POBLETE RIVEROS JORGE</v>
      </c>
      <c r="C1500" s="112" t="str">
        <f>'Informe Kelly'!E1494</f>
        <v>05.04.2011</v>
      </c>
      <c r="D1500" s="112" t="e">
        <f>VLOOKUP(A1500,Ingreso!K:P,6,FALSE)</f>
        <v>#N/A</v>
      </c>
      <c r="E1500" s="142" t="e">
        <f>(VLOOKUP(D1500,$D$2:$E$4,2,FALSE))-(IF('Informe Kelly'!H1494=$A$2,'Informe Kelly'!F1494,VLOOKUP(D1500,$D$2:$E$4,2,FALSE)))</f>
        <v>#N/A</v>
      </c>
      <c r="F1500" s="142" t="e">
        <f>IF('Informe Kelly'!H1494=$A$3,'Informe Kelly'!F1494,VLOOKUP(D1500,$D$2:$F$4,3,FALSE))-(VLOOKUP(D1500,$D$2:$F$4,3,FALSE))</f>
        <v>#N/A</v>
      </c>
      <c r="G1500" s="137" t="e">
        <f t="shared" si="27"/>
        <v>#N/A</v>
      </c>
    </row>
    <row r="1501" spans="1:7">
      <c r="A1501" s="112" t="str">
        <f>VLOOKUP('Informe Kelly'!A1495,Base!A:B,2,FALSE)</f>
        <v>13.297.988-K</v>
      </c>
      <c r="B1501" s="112" t="str">
        <f>VLOOKUP('Informe Kelly'!A1495,Base!A:G,7,FALSE)</f>
        <v>POBLETE RIVEROS JORGE</v>
      </c>
      <c r="C1501" s="112" t="str">
        <f>'Informe Kelly'!E1495</f>
        <v>05.04.2011</v>
      </c>
      <c r="D1501" s="112" t="e">
        <f>VLOOKUP(A1501,Ingreso!K:P,6,FALSE)</f>
        <v>#N/A</v>
      </c>
      <c r="E1501" s="142" t="e">
        <f>(VLOOKUP(D1501,$D$2:$E$4,2,FALSE))-(IF('Informe Kelly'!H1495=$A$2,'Informe Kelly'!F1495,VLOOKUP(D1501,$D$2:$E$4,2,FALSE)))</f>
        <v>#N/A</v>
      </c>
      <c r="F1501" s="142" t="e">
        <f>IF('Informe Kelly'!H1495=$A$3,'Informe Kelly'!F1495,VLOOKUP(D1501,$D$2:$F$4,3,FALSE))-(VLOOKUP(D1501,$D$2:$F$4,3,FALSE))</f>
        <v>#N/A</v>
      </c>
      <c r="G1501" s="137" t="e">
        <f t="shared" si="27"/>
        <v>#N/A</v>
      </c>
    </row>
    <row r="1502" spans="1:7">
      <c r="A1502" s="112" t="str">
        <f>VLOOKUP('Informe Kelly'!A1496,Base!A:B,2,FALSE)</f>
        <v>13.297.988-K</v>
      </c>
      <c r="B1502" s="112" t="str">
        <f>VLOOKUP('Informe Kelly'!A1496,Base!A:G,7,FALSE)</f>
        <v>POBLETE RIVEROS JORGE</v>
      </c>
      <c r="C1502" s="112" t="str">
        <f>'Informe Kelly'!E1496</f>
        <v>06.04.2011</v>
      </c>
      <c r="D1502" s="112" t="e">
        <f>VLOOKUP(A1502,Ingreso!K:P,6,FALSE)</f>
        <v>#N/A</v>
      </c>
      <c r="E1502" s="142" t="e">
        <f>(VLOOKUP(D1502,$D$2:$E$4,2,FALSE))-(IF('Informe Kelly'!H1496=$A$2,'Informe Kelly'!F1496,VLOOKUP(D1502,$D$2:$E$4,2,FALSE)))</f>
        <v>#N/A</v>
      </c>
      <c r="F1502" s="142" t="e">
        <f>IF('Informe Kelly'!H1496=$A$3,'Informe Kelly'!F1496,VLOOKUP(D1502,$D$2:$F$4,3,FALSE))-(VLOOKUP(D1502,$D$2:$F$4,3,FALSE))</f>
        <v>#N/A</v>
      </c>
      <c r="G1502" s="137" t="e">
        <f t="shared" si="27"/>
        <v>#N/A</v>
      </c>
    </row>
    <row r="1503" spans="1:7">
      <c r="A1503" s="112" t="str">
        <f>VLOOKUP('Informe Kelly'!A1497,Base!A:B,2,FALSE)</f>
        <v>13.297.988-K</v>
      </c>
      <c r="B1503" s="112" t="str">
        <f>VLOOKUP('Informe Kelly'!A1497,Base!A:G,7,FALSE)</f>
        <v>POBLETE RIVEROS JORGE</v>
      </c>
      <c r="C1503" s="112" t="str">
        <f>'Informe Kelly'!E1497</f>
        <v>06.04.2011</v>
      </c>
      <c r="D1503" s="112" t="e">
        <f>VLOOKUP(A1503,Ingreso!K:P,6,FALSE)</f>
        <v>#N/A</v>
      </c>
      <c r="E1503" s="142" t="e">
        <f>(VLOOKUP(D1503,$D$2:$E$4,2,FALSE))-(IF('Informe Kelly'!H1497=$A$2,'Informe Kelly'!F1497,VLOOKUP(D1503,$D$2:$E$4,2,FALSE)))</f>
        <v>#N/A</v>
      </c>
      <c r="F1503" s="142" t="e">
        <f>IF('Informe Kelly'!H1497=$A$3,'Informe Kelly'!F1497,VLOOKUP(D1503,$D$2:$F$4,3,FALSE))-(VLOOKUP(D1503,$D$2:$F$4,3,FALSE))</f>
        <v>#N/A</v>
      </c>
      <c r="G1503" s="137" t="e">
        <f t="shared" si="27"/>
        <v>#N/A</v>
      </c>
    </row>
    <row r="1504" spans="1:7">
      <c r="A1504" s="112" t="str">
        <f>VLOOKUP('Informe Kelly'!A1498,Base!A:B,2,FALSE)</f>
        <v>13.297.988-K</v>
      </c>
      <c r="B1504" s="112" t="str">
        <f>VLOOKUP('Informe Kelly'!A1498,Base!A:G,7,FALSE)</f>
        <v>POBLETE RIVEROS JORGE</v>
      </c>
      <c r="C1504" s="112" t="str">
        <f>'Informe Kelly'!E1498</f>
        <v>07.04.2011</v>
      </c>
      <c r="D1504" s="112" t="e">
        <f>VLOOKUP(A1504,Ingreso!K:P,6,FALSE)</f>
        <v>#N/A</v>
      </c>
      <c r="E1504" s="142" t="e">
        <f>(VLOOKUP(D1504,$D$2:$E$4,2,FALSE))-(IF('Informe Kelly'!H1498=$A$2,'Informe Kelly'!F1498,VLOOKUP(D1504,$D$2:$E$4,2,FALSE)))</f>
        <v>#N/A</v>
      </c>
      <c r="F1504" s="142" t="e">
        <f>IF('Informe Kelly'!H1498=$A$3,'Informe Kelly'!F1498,VLOOKUP(D1504,$D$2:$F$4,3,FALSE))-(VLOOKUP(D1504,$D$2:$F$4,3,FALSE))</f>
        <v>#N/A</v>
      </c>
      <c r="G1504" s="137" t="e">
        <f t="shared" si="27"/>
        <v>#N/A</v>
      </c>
    </row>
    <row r="1505" spans="1:7">
      <c r="A1505" s="112" t="str">
        <f>VLOOKUP('Informe Kelly'!A1499,Base!A:B,2,FALSE)</f>
        <v>13.297.988-K</v>
      </c>
      <c r="B1505" s="112" t="str">
        <f>VLOOKUP('Informe Kelly'!A1499,Base!A:G,7,FALSE)</f>
        <v>POBLETE RIVEROS JORGE</v>
      </c>
      <c r="C1505" s="112" t="str">
        <f>'Informe Kelly'!E1499</f>
        <v>07.04.2011</v>
      </c>
      <c r="D1505" s="112" t="e">
        <f>VLOOKUP(A1505,Ingreso!K:P,6,FALSE)</f>
        <v>#N/A</v>
      </c>
      <c r="E1505" s="142" t="e">
        <f>(VLOOKUP(D1505,$D$2:$E$4,2,FALSE))-(IF('Informe Kelly'!H1499=$A$2,'Informe Kelly'!F1499,VLOOKUP(D1505,$D$2:$E$4,2,FALSE)))</f>
        <v>#N/A</v>
      </c>
      <c r="F1505" s="142" t="e">
        <f>IF('Informe Kelly'!H1499=$A$3,'Informe Kelly'!F1499,VLOOKUP(D1505,$D$2:$F$4,3,FALSE))-(VLOOKUP(D1505,$D$2:$F$4,3,FALSE))</f>
        <v>#N/A</v>
      </c>
      <c r="G1505" s="137" t="e">
        <f t="shared" si="27"/>
        <v>#N/A</v>
      </c>
    </row>
    <row r="1506" spans="1:7">
      <c r="A1506" s="112" t="str">
        <f>VLOOKUP('Informe Kelly'!A1500,Base!A:B,2,FALSE)</f>
        <v>13.297.988-K</v>
      </c>
      <c r="B1506" s="112" t="str">
        <f>VLOOKUP('Informe Kelly'!A1500,Base!A:G,7,FALSE)</f>
        <v>POBLETE RIVEROS JORGE</v>
      </c>
      <c r="C1506" s="112" t="str">
        <f>'Informe Kelly'!E1500</f>
        <v>08.04.2011</v>
      </c>
      <c r="D1506" s="112" t="e">
        <f>VLOOKUP(A1506,Ingreso!K:P,6,FALSE)</f>
        <v>#N/A</v>
      </c>
      <c r="E1506" s="142" t="e">
        <f>(VLOOKUP(D1506,$D$2:$E$4,2,FALSE))-(IF('Informe Kelly'!H1500=$A$2,'Informe Kelly'!F1500,VLOOKUP(D1506,$D$2:$E$4,2,FALSE)))</f>
        <v>#N/A</v>
      </c>
      <c r="F1506" s="142" t="e">
        <f>IF('Informe Kelly'!H1500=$A$3,'Informe Kelly'!F1500,VLOOKUP(D1506,$D$2:$F$4,3,FALSE))-(VLOOKUP(D1506,$D$2:$F$4,3,FALSE))</f>
        <v>#N/A</v>
      </c>
      <c r="G1506" s="137" t="e">
        <f t="shared" si="27"/>
        <v>#N/A</v>
      </c>
    </row>
    <row r="1507" spans="1:7">
      <c r="A1507" s="112" t="str">
        <f>VLOOKUP('Informe Kelly'!A1501,Base!A:B,2,FALSE)</f>
        <v>13.297.988-K</v>
      </c>
      <c r="B1507" s="112" t="str">
        <f>VLOOKUP('Informe Kelly'!A1501,Base!A:G,7,FALSE)</f>
        <v>POBLETE RIVEROS JORGE</v>
      </c>
      <c r="C1507" s="112" t="str">
        <f>'Informe Kelly'!E1501</f>
        <v>08.04.2011</v>
      </c>
      <c r="D1507" s="112" t="e">
        <f>VLOOKUP(A1507,Ingreso!K:P,6,FALSE)</f>
        <v>#N/A</v>
      </c>
      <c r="E1507" s="142" t="e">
        <f>(VLOOKUP(D1507,$D$2:$E$4,2,FALSE))-(IF('Informe Kelly'!H1501=$A$2,'Informe Kelly'!F1501,VLOOKUP(D1507,$D$2:$E$4,2,FALSE)))</f>
        <v>#N/A</v>
      </c>
      <c r="F1507" s="142" t="e">
        <f>IF('Informe Kelly'!H1501=$A$3,'Informe Kelly'!F1501,VLOOKUP(D1507,$D$2:$F$4,3,FALSE))-(VLOOKUP(D1507,$D$2:$F$4,3,FALSE))</f>
        <v>#N/A</v>
      </c>
      <c r="G1507" s="137" t="e">
        <f t="shared" si="27"/>
        <v>#N/A</v>
      </c>
    </row>
    <row r="1508" spans="1:7">
      <c r="A1508" s="112" t="str">
        <f>VLOOKUP('Informe Kelly'!A1502,Base!A:B,2,FALSE)</f>
        <v>13.297.988-K</v>
      </c>
      <c r="B1508" s="112" t="str">
        <f>VLOOKUP('Informe Kelly'!A1502,Base!A:G,7,FALSE)</f>
        <v>POBLETE RIVEROS JORGE</v>
      </c>
      <c r="C1508" s="112" t="str">
        <f>'Informe Kelly'!E1502</f>
        <v>09.04.2011</v>
      </c>
      <c r="D1508" s="112" t="e">
        <f>VLOOKUP(A1508,Ingreso!K:P,6,FALSE)</f>
        <v>#N/A</v>
      </c>
      <c r="E1508" s="142" t="e">
        <f>(VLOOKUP(D1508,$D$2:$E$4,2,FALSE))-(IF('Informe Kelly'!H1502=$A$2,'Informe Kelly'!F1502,VLOOKUP(D1508,$D$2:$E$4,2,FALSE)))</f>
        <v>#N/A</v>
      </c>
      <c r="F1508" s="142" t="e">
        <f>IF('Informe Kelly'!H1502=$A$3,'Informe Kelly'!F1502,VLOOKUP(D1508,$D$2:$F$4,3,FALSE))-(VLOOKUP(D1508,$D$2:$F$4,3,FALSE))</f>
        <v>#N/A</v>
      </c>
      <c r="G1508" s="137" t="e">
        <f t="shared" si="27"/>
        <v>#N/A</v>
      </c>
    </row>
    <row r="1509" spans="1:7">
      <c r="A1509" s="112" t="str">
        <f>VLOOKUP('Informe Kelly'!A1503,Base!A:B,2,FALSE)</f>
        <v>13.486.775-2</v>
      </c>
      <c r="B1509" s="112" t="str">
        <f>VLOOKUP('Informe Kelly'!A1503,Base!A:G,7,FALSE)</f>
        <v>CHAVEZ FARIÑA RICARDO</v>
      </c>
      <c r="C1509" s="112" t="str">
        <f>'Informe Kelly'!E1503</f>
        <v>00.00.0000</v>
      </c>
      <c r="D1509" s="112" t="e">
        <f>VLOOKUP(A1509,Ingreso!K:P,6,FALSE)</f>
        <v>#N/A</v>
      </c>
      <c r="E1509" s="142" t="e">
        <f>(VLOOKUP(D1509,$D$2:$E$4,2,FALSE))-(IF('Informe Kelly'!H1503=$A$2,'Informe Kelly'!F1503,VLOOKUP(D1509,$D$2:$E$4,2,FALSE)))</f>
        <v>#N/A</v>
      </c>
      <c r="F1509" s="142" t="e">
        <f>IF('Informe Kelly'!H1503=$A$3,'Informe Kelly'!F1503,VLOOKUP(D1509,$D$2:$F$4,3,FALSE))-(VLOOKUP(D1509,$D$2:$F$4,3,FALSE))</f>
        <v>#N/A</v>
      </c>
      <c r="G1509" s="137" t="e">
        <f t="shared" si="27"/>
        <v>#N/A</v>
      </c>
    </row>
    <row r="1510" spans="1:7">
      <c r="A1510" s="112" t="str">
        <f>VLOOKUP('Informe Kelly'!A1504,Base!A:B,2,FALSE)</f>
        <v>13.486.907-0</v>
      </c>
      <c r="B1510" s="112" t="str">
        <f>VLOOKUP('Informe Kelly'!A1504,Base!A:G,7,FALSE)</f>
        <v>MALDONADO DIAZ MIGUEL</v>
      </c>
      <c r="C1510" s="112" t="str">
        <f>'Informe Kelly'!E1504</f>
        <v>04.04.2011</v>
      </c>
      <c r="D1510" s="112" t="e">
        <f>VLOOKUP(A1510,Ingreso!K:P,6,FALSE)</f>
        <v>#N/A</v>
      </c>
      <c r="E1510" s="142" t="e">
        <f>(VLOOKUP(D1510,$D$2:$E$4,2,FALSE))-(IF('Informe Kelly'!H1504=$A$2,'Informe Kelly'!F1504,VLOOKUP(D1510,$D$2:$E$4,2,FALSE)))</f>
        <v>#N/A</v>
      </c>
      <c r="F1510" s="142" t="e">
        <f>IF('Informe Kelly'!H1504=$A$3,'Informe Kelly'!F1504,VLOOKUP(D1510,$D$2:$F$4,3,FALSE))-(VLOOKUP(D1510,$D$2:$F$4,3,FALSE))</f>
        <v>#N/A</v>
      </c>
      <c r="G1510" s="137" t="e">
        <f t="shared" si="27"/>
        <v>#N/A</v>
      </c>
    </row>
    <row r="1511" spans="1:7">
      <c r="A1511" s="112" t="str">
        <f>VLOOKUP('Informe Kelly'!A1505,Base!A:B,2,FALSE)</f>
        <v>13.486.907-0</v>
      </c>
      <c r="B1511" s="112" t="str">
        <f>VLOOKUP('Informe Kelly'!A1505,Base!A:G,7,FALSE)</f>
        <v>MALDONADO DIAZ MIGUEL</v>
      </c>
      <c r="C1511" s="112" t="str">
        <f>'Informe Kelly'!E1505</f>
        <v>04.04.2011</v>
      </c>
      <c r="D1511" s="112" t="e">
        <f>VLOOKUP(A1511,Ingreso!K:P,6,FALSE)</f>
        <v>#N/A</v>
      </c>
      <c r="E1511" s="142" t="e">
        <f>(VLOOKUP(D1511,$D$2:$E$4,2,FALSE))-(IF('Informe Kelly'!H1505=$A$2,'Informe Kelly'!F1505,VLOOKUP(D1511,$D$2:$E$4,2,FALSE)))</f>
        <v>#N/A</v>
      </c>
      <c r="F1511" s="142" t="e">
        <f>IF('Informe Kelly'!H1505=$A$3,'Informe Kelly'!F1505,VLOOKUP(D1511,$D$2:$F$4,3,FALSE))-(VLOOKUP(D1511,$D$2:$F$4,3,FALSE))</f>
        <v>#N/A</v>
      </c>
      <c r="G1511" s="137" t="e">
        <f t="shared" si="27"/>
        <v>#N/A</v>
      </c>
    </row>
    <row r="1512" spans="1:7">
      <c r="A1512" s="112" t="str">
        <f>VLOOKUP('Informe Kelly'!A1506,Base!A:B,2,FALSE)</f>
        <v>13.486.907-0</v>
      </c>
      <c r="B1512" s="112" t="str">
        <f>VLOOKUP('Informe Kelly'!A1506,Base!A:G,7,FALSE)</f>
        <v>MALDONADO DIAZ MIGUEL</v>
      </c>
      <c r="C1512" s="112" t="str">
        <f>'Informe Kelly'!E1506</f>
        <v>05.04.2011</v>
      </c>
      <c r="D1512" s="112" t="e">
        <f>VLOOKUP(A1512,Ingreso!K:P,6,FALSE)</f>
        <v>#N/A</v>
      </c>
      <c r="E1512" s="142" t="e">
        <f>(VLOOKUP(D1512,$D$2:$E$4,2,FALSE))-(IF('Informe Kelly'!H1506=$A$2,'Informe Kelly'!F1506,VLOOKUP(D1512,$D$2:$E$4,2,FALSE)))</f>
        <v>#N/A</v>
      </c>
      <c r="F1512" s="142" t="e">
        <f>IF('Informe Kelly'!H1506=$A$3,'Informe Kelly'!F1506,VLOOKUP(D1512,$D$2:$F$4,3,FALSE))-(VLOOKUP(D1512,$D$2:$F$4,3,FALSE))</f>
        <v>#N/A</v>
      </c>
      <c r="G1512" s="137" t="e">
        <f t="shared" si="27"/>
        <v>#N/A</v>
      </c>
    </row>
    <row r="1513" spans="1:7">
      <c r="A1513" s="112" t="str">
        <f>VLOOKUP('Informe Kelly'!A1507,Base!A:B,2,FALSE)</f>
        <v>13.486.907-0</v>
      </c>
      <c r="B1513" s="112" t="str">
        <f>VLOOKUP('Informe Kelly'!A1507,Base!A:G,7,FALSE)</f>
        <v>MALDONADO DIAZ MIGUEL</v>
      </c>
      <c r="C1513" s="112" t="str">
        <f>'Informe Kelly'!E1507</f>
        <v>05.04.2011</v>
      </c>
      <c r="D1513" s="112" t="e">
        <f>VLOOKUP(A1513,Ingreso!K:P,6,FALSE)</f>
        <v>#N/A</v>
      </c>
      <c r="E1513" s="142" t="e">
        <f>(VLOOKUP(D1513,$D$2:$E$4,2,FALSE))-(IF('Informe Kelly'!H1507=$A$2,'Informe Kelly'!F1507,VLOOKUP(D1513,$D$2:$E$4,2,FALSE)))</f>
        <v>#N/A</v>
      </c>
      <c r="F1513" s="142" t="e">
        <f>IF('Informe Kelly'!H1507=$A$3,'Informe Kelly'!F1507,VLOOKUP(D1513,$D$2:$F$4,3,FALSE))-(VLOOKUP(D1513,$D$2:$F$4,3,FALSE))</f>
        <v>#N/A</v>
      </c>
      <c r="G1513" s="137" t="e">
        <f t="shared" si="27"/>
        <v>#N/A</v>
      </c>
    </row>
    <row r="1514" spans="1:7">
      <c r="A1514" s="112" t="str">
        <f>VLOOKUP('Informe Kelly'!A1508,Base!A:B,2,FALSE)</f>
        <v>13.486.907-0</v>
      </c>
      <c r="B1514" s="112" t="str">
        <f>VLOOKUP('Informe Kelly'!A1508,Base!A:G,7,FALSE)</f>
        <v>MALDONADO DIAZ MIGUEL</v>
      </c>
      <c r="C1514" s="112" t="str">
        <f>'Informe Kelly'!E1508</f>
        <v>05.04.2011</v>
      </c>
      <c r="D1514" s="112" t="e">
        <f>VLOOKUP(A1514,Ingreso!K:P,6,FALSE)</f>
        <v>#N/A</v>
      </c>
      <c r="E1514" s="142" t="e">
        <f>(VLOOKUP(D1514,$D$2:$E$4,2,FALSE))-(IF('Informe Kelly'!H1508=$A$2,'Informe Kelly'!F1508,VLOOKUP(D1514,$D$2:$E$4,2,FALSE)))</f>
        <v>#N/A</v>
      </c>
      <c r="F1514" s="142" t="e">
        <f>IF('Informe Kelly'!H1508=$A$3,'Informe Kelly'!F1508,VLOOKUP(D1514,$D$2:$F$4,3,FALSE))-(VLOOKUP(D1514,$D$2:$F$4,3,FALSE))</f>
        <v>#N/A</v>
      </c>
      <c r="G1514" s="137" t="e">
        <f t="shared" si="27"/>
        <v>#N/A</v>
      </c>
    </row>
    <row r="1515" spans="1:7">
      <c r="A1515" s="112" t="str">
        <f>VLOOKUP('Informe Kelly'!A1509,Base!A:B,2,FALSE)</f>
        <v>13.486.907-0</v>
      </c>
      <c r="B1515" s="112" t="str">
        <f>VLOOKUP('Informe Kelly'!A1509,Base!A:G,7,FALSE)</f>
        <v>MALDONADO DIAZ MIGUEL</v>
      </c>
      <c r="C1515" s="112" t="str">
        <f>'Informe Kelly'!E1509</f>
        <v>05.04.2011</v>
      </c>
      <c r="D1515" s="112" t="e">
        <f>VLOOKUP(A1515,Ingreso!K:P,6,FALSE)</f>
        <v>#N/A</v>
      </c>
      <c r="E1515" s="142" t="e">
        <f>(VLOOKUP(D1515,$D$2:$E$4,2,FALSE))-(IF('Informe Kelly'!H1509=$A$2,'Informe Kelly'!F1509,VLOOKUP(D1515,$D$2:$E$4,2,FALSE)))</f>
        <v>#N/A</v>
      </c>
      <c r="F1515" s="142" t="e">
        <f>IF('Informe Kelly'!H1509=$A$3,'Informe Kelly'!F1509,VLOOKUP(D1515,$D$2:$F$4,3,FALSE))-(VLOOKUP(D1515,$D$2:$F$4,3,FALSE))</f>
        <v>#N/A</v>
      </c>
      <c r="G1515" s="137" t="e">
        <f t="shared" si="27"/>
        <v>#N/A</v>
      </c>
    </row>
    <row r="1516" spans="1:7">
      <c r="A1516" s="112" t="str">
        <f>VLOOKUP('Informe Kelly'!A1510,Base!A:B,2,FALSE)</f>
        <v>13.486.907-0</v>
      </c>
      <c r="B1516" s="112" t="str">
        <f>VLOOKUP('Informe Kelly'!A1510,Base!A:G,7,FALSE)</f>
        <v>MALDONADO DIAZ MIGUEL</v>
      </c>
      <c r="C1516" s="112" t="str">
        <f>'Informe Kelly'!E1510</f>
        <v>06.04.2011</v>
      </c>
      <c r="D1516" s="112" t="e">
        <f>VLOOKUP(A1516,Ingreso!K:P,6,FALSE)</f>
        <v>#N/A</v>
      </c>
      <c r="E1516" s="142" t="e">
        <f>(VLOOKUP(D1516,$D$2:$E$4,2,FALSE))-(IF('Informe Kelly'!H1510=$A$2,'Informe Kelly'!F1510,VLOOKUP(D1516,$D$2:$E$4,2,FALSE)))</f>
        <v>#N/A</v>
      </c>
      <c r="F1516" s="142" t="e">
        <f>IF('Informe Kelly'!H1510=$A$3,'Informe Kelly'!F1510,VLOOKUP(D1516,$D$2:$F$4,3,FALSE))-(VLOOKUP(D1516,$D$2:$F$4,3,FALSE))</f>
        <v>#N/A</v>
      </c>
      <c r="G1516" s="137" t="e">
        <f t="shared" si="27"/>
        <v>#N/A</v>
      </c>
    </row>
    <row r="1517" spans="1:7">
      <c r="A1517" s="112" t="str">
        <f>VLOOKUP('Informe Kelly'!A1511,Base!A:B,2,FALSE)</f>
        <v>13.486.907-0</v>
      </c>
      <c r="B1517" s="112" t="str">
        <f>VLOOKUP('Informe Kelly'!A1511,Base!A:G,7,FALSE)</f>
        <v>MALDONADO DIAZ MIGUEL</v>
      </c>
      <c r="C1517" s="112" t="str">
        <f>'Informe Kelly'!E1511</f>
        <v>06.04.2011</v>
      </c>
      <c r="D1517" s="112" t="e">
        <f>VLOOKUP(A1517,Ingreso!K:P,6,FALSE)</f>
        <v>#N/A</v>
      </c>
      <c r="E1517" s="142" t="e">
        <f>(VLOOKUP(D1517,$D$2:$E$4,2,FALSE))-(IF('Informe Kelly'!H1511=$A$2,'Informe Kelly'!F1511,VLOOKUP(D1517,$D$2:$E$4,2,FALSE)))</f>
        <v>#N/A</v>
      </c>
      <c r="F1517" s="142" t="e">
        <f>IF('Informe Kelly'!H1511=$A$3,'Informe Kelly'!F1511,VLOOKUP(D1517,$D$2:$F$4,3,FALSE))-(VLOOKUP(D1517,$D$2:$F$4,3,FALSE))</f>
        <v>#N/A</v>
      </c>
      <c r="G1517" s="137" t="e">
        <f t="shared" si="27"/>
        <v>#N/A</v>
      </c>
    </row>
    <row r="1518" spans="1:7">
      <c r="A1518" s="112" t="str">
        <f>VLOOKUP('Informe Kelly'!A1512,Base!A:B,2,FALSE)</f>
        <v>13.486.907-0</v>
      </c>
      <c r="B1518" s="112" t="str">
        <f>VLOOKUP('Informe Kelly'!A1512,Base!A:G,7,FALSE)</f>
        <v>MALDONADO DIAZ MIGUEL</v>
      </c>
      <c r="C1518" s="112" t="str">
        <f>'Informe Kelly'!E1512</f>
        <v>07.04.2011</v>
      </c>
      <c r="D1518" s="112" t="e">
        <f>VLOOKUP(A1518,Ingreso!K:P,6,FALSE)</f>
        <v>#N/A</v>
      </c>
      <c r="E1518" s="142" t="e">
        <f>(VLOOKUP(D1518,$D$2:$E$4,2,FALSE))-(IF('Informe Kelly'!H1512=$A$2,'Informe Kelly'!F1512,VLOOKUP(D1518,$D$2:$E$4,2,FALSE)))</f>
        <v>#N/A</v>
      </c>
      <c r="F1518" s="142" t="e">
        <f>IF('Informe Kelly'!H1512=$A$3,'Informe Kelly'!F1512,VLOOKUP(D1518,$D$2:$F$4,3,FALSE))-(VLOOKUP(D1518,$D$2:$F$4,3,FALSE))</f>
        <v>#N/A</v>
      </c>
      <c r="G1518" s="137" t="e">
        <f t="shared" si="27"/>
        <v>#N/A</v>
      </c>
    </row>
    <row r="1519" spans="1:7">
      <c r="A1519" s="112" t="str">
        <f>VLOOKUP('Informe Kelly'!A1513,Base!A:B,2,FALSE)</f>
        <v>13.486.907-0</v>
      </c>
      <c r="B1519" s="112" t="str">
        <f>VLOOKUP('Informe Kelly'!A1513,Base!A:G,7,FALSE)</f>
        <v>MALDONADO DIAZ MIGUEL</v>
      </c>
      <c r="C1519" s="112" t="str">
        <f>'Informe Kelly'!E1513</f>
        <v>07.04.2011</v>
      </c>
      <c r="D1519" s="112" t="e">
        <f>VLOOKUP(A1519,Ingreso!K:P,6,FALSE)</f>
        <v>#N/A</v>
      </c>
      <c r="E1519" s="142" t="e">
        <f>(VLOOKUP(D1519,$D$2:$E$4,2,FALSE))-(IF('Informe Kelly'!H1513=$A$2,'Informe Kelly'!F1513,VLOOKUP(D1519,$D$2:$E$4,2,FALSE)))</f>
        <v>#N/A</v>
      </c>
      <c r="F1519" s="142" t="e">
        <f>IF('Informe Kelly'!H1513=$A$3,'Informe Kelly'!F1513,VLOOKUP(D1519,$D$2:$F$4,3,FALSE))-(VLOOKUP(D1519,$D$2:$F$4,3,FALSE))</f>
        <v>#N/A</v>
      </c>
      <c r="G1519" s="137" t="e">
        <f t="shared" si="27"/>
        <v>#N/A</v>
      </c>
    </row>
    <row r="1520" spans="1:7">
      <c r="A1520" s="112" t="str">
        <f>VLOOKUP('Informe Kelly'!A1514,Base!A:B,2,FALSE)</f>
        <v>13.486.907-0</v>
      </c>
      <c r="B1520" s="112" t="str">
        <f>VLOOKUP('Informe Kelly'!A1514,Base!A:G,7,FALSE)</f>
        <v>MALDONADO DIAZ MIGUEL</v>
      </c>
      <c r="C1520" s="112" t="str">
        <f>'Informe Kelly'!E1514</f>
        <v>08.04.2011</v>
      </c>
      <c r="D1520" s="112" t="e">
        <f>VLOOKUP(A1520,Ingreso!K:P,6,FALSE)</f>
        <v>#N/A</v>
      </c>
      <c r="E1520" s="142" t="e">
        <f>(VLOOKUP(D1520,$D$2:$E$4,2,FALSE))-(IF('Informe Kelly'!H1514=$A$2,'Informe Kelly'!F1514,VLOOKUP(D1520,$D$2:$E$4,2,FALSE)))</f>
        <v>#N/A</v>
      </c>
      <c r="F1520" s="142" t="e">
        <f>IF('Informe Kelly'!H1514=$A$3,'Informe Kelly'!F1514,VLOOKUP(D1520,$D$2:$F$4,3,FALSE))-(VLOOKUP(D1520,$D$2:$F$4,3,FALSE))</f>
        <v>#N/A</v>
      </c>
      <c r="G1520" s="137" t="e">
        <f t="shared" si="27"/>
        <v>#N/A</v>
      </c>
    </row>
    <row r="1521" spans="1:7">
      <c r="A1521" s="112" t="str">
        <f>VLOOKUP('Informe Kelly'!A1515,Base!A:B,2,FALSE)</f>
        <v>13.486.907-0</v>
      </c>
      <c r="B1521" s="112" t="str">
        <f>VLOOKUP('Informe Kelly'!A1515,Base!A:G,7,FALSE)</f>
        <v>MALDONADO DIAZ MIGUEL</v>
      </c>
      <c r="C1521" s="112" t="str">
        <f>'Informe Kelly'!E1515</f>
        <v>08.04.2011</v>
      </c>
      <c r="D1521" s="112" t="e">
        <f>VLOOKUP(A1521,Ingreso!K:P,6,FALSE)</f>
        <v>#N/A</v>
      </c>
      <c r="E1521" s="142" t="e">
        <f>(VLOOKUP(D1521,$D$2:$E$4,2,FALSE))-(IF('Informe Kelly'!H1515=$A$2,'Informe Kelly'!F1515,VLOOKUP(D1521,$D$2:$E$4,2,FALSE)))</f>
        <v>#N/A</v>
      </c>
      <c r="F1521" s="142" t="e">
        <f>IF('Informe Kelly'!H1515=$A$3,'Informe Kelly'!F1515,VLOOKUP(D1521,$D$2:$F$4,3,FALSE))-(VLOOKUP(D1521,$D$2:$F$4,3,FALSE))</f>
        <v>#N/A</v>
      </c>
      <c r="G1521" s="137" t="e">
        <f t="shared" si="27"/>
        <v>#N/A</v>
      </c>
    </row>
    <row r="1522" spans="1:7">
      <c r="A1522" s="112" t="str">
        <f>VLOOKUP('Informe Kelly'!A1516,Base!A:B,2,FALSE)</f>
        <v>13.486.907-0</v>
      </c>
      <c r="B1522" s="112" t="str">
        <f>VLOOKUP('Informe Kelly'!A1516,Base!A:G,7,FALSE)</f>
        <v>MALDONADO DIAZ MIGUEL</v>
      </c>
      <c r="C1522" s="112" t="str">
        <f>'Informe Kelly'!E1516</f>
        <v>09.04.2011</v>
      </c>
      <c r="D1522" s="112" t="e">
        <f>VLOOKUP(A1522,Ingreso!K:P,6,FALSE)</f>
        <v>#N/A</v>
      </c>
      <c r="E1522" s="142" t="e">
        <f>(VLOOKUP(D1522,$D$2:$E$4,2,FALSE))-(IF('Informe Kelly'!H1516=$A$2,'Informe Kelly'!F1516,VLOOKUP(D1522,$D$2:$E$4,2,FALSE)))</f>
        <v>#N/A</v>
      </c>
      <c r="F1522" s="142" t="e">
        <f>IF('Informe Kelly'!H1516=$A$3,'Informe Kelly'!F1516,VLOOKUP(D1522,$D$2:$F$4,3,FALSE))-(VLOOKUP(D1522,$D$2:$F$4,3,FALSE))</f>
        <v>#N/A</v>
      </c>
      <c r="G1522" s="137" t="e">
        <f t="shared" si="27"/>
        <v>#N/A</v>
      </c>
    </row>
    <row r="1523" spans="1:7">
      <c r="A1523" s="112" t="str">
        <f>VLOOKUP('Informe Kelly'!A1517,Base!A:B,2,FALSE)</f>
        <v>13.486.907-0</v>
      </c>
      <c r="B1523" s="112" t="str">
        <f>VLOOKUP('Informe Kelly'!A1517,Base!A:G,7,FALSE)</f>
        <v>MALDONADO DIAZ MIGUEL</v>
      </c>
      <c r="C1523" s="112" t="str">
        <f>'Informe Kelly'!E1517</f>
        <v>09.04.2011</v>
      </c>
      <c r="D1523" s="112" t="e">
        <f>VLOOKUP(A1523,Ingreso!K:P,6,FALSE)</f>
        <v>#N/A</v>
      </c>
      <c r="E1523" s="142" t="e">
        <f>(VLOOKUP(D1523,$D$2:$E$4,2,FALSE))-(IF('Informe Kelly'!H1517=$A$2,'Informe Kelly'!F1517,VLOOKUP(D1523,$D$2:$E$4,2,FALSE)))</f>
        <v>#N/A</v>
      </c>
      <c r="F1523" s="142" t="e">
        <f>IF('Informe Kelly'!H1517=$A$3,'Informe Kelly'!F1517,VLOOKUP(D1523,$D$2:$F$4,3,FALSE))-(VLOOKUP(D1523,$D$2:$F$4,3,FALSE))</f>
        <v>#N/A</v>
      </c>
      <c r="G1523" s="137" t="e">
        <f t="shared" si="27"/>
        <v>#N/A</v>
      </c>
    </row>
    <row r="1524" spans="1:7">
      <c r="A1524" s="112" t="str">
        <f>VLOOKUP('Informe Kelly'!A1518,Base!A:B,2,FALSE)</f>
        <v>13.552.988-5</v>
      </c>
      <c r="B1524" s="112" t="str">
        <f>VLOOKUP('Informe Kelly'!A1518,Base!A:G,7,FALSE)</f>
        <v>MOYA BEROIZA DAVID</v>
      </c>
      <c r="C1524" s="112" t="str">
        <f>'Informe Kelly'!E1518</f>
        <v>04.04.2011</v>
      </c>
      <c r="D1524" s="112" t="e">
        <f>VLOOKUP(A1524,Ingreso!K:P,6,FALSE)</f>
        <v>#N/A</v>
      </c>
      <c r="E1524" s="142" t="e">
        <f>(VLOOKUP(D1524,$D$2:$E$4,2,FALSE))-(IF('Informe Kelly'!H1518=$A$2,'Informe Kelly'!F1518,VLOOKUP(D1524,$D$2:$E$4,2,FALSE)))</f>
        <v>#N/A</v>
      </c>
      <c r="F1524" s="142" t="e">
        <f>IF('Informe Kelly'!H1518=$A$3,'Informe Kelly'!F1518,VLOOKUP(D1524,$D$2:$F$4,3,FALSE))-(VLOOKUP(D1524,$D$2:$F$4,3,FALSE))</f>
        <v>#N/A</v>
      </c>
      <c r="G1524" s="137" t="e">
        <f t="shared" si="27"/>
        <v>#N/A</v>
      </c>
    </row>
    <row r="1525" spans="1:7">
      <c r="A1525" s="112" t="str">
        <f>VLOOKUP('Informe Kelly'!A1519,Base!A:B,2,FALSE)</f>
        <v>13.552.988-5</v>
      </c>
      <c r="B1525" s="112" t="str">
        <f>VLOOKUP('Informe Kelly'!A1519,Base!A:G,7,FALSE)</f>
        <v>MOYA BEROIZA DAVID</v>
      </c>
      <c r="C1525" s="112" t="str">
        <f>'Informe Kelly'!E1519</f>
        <v>04.04.2011</v>
      </c>
      <c r="D1525" s="112" t="e">
        <f>VLOOKUP(A1525,Ingreso!K:P,6,FALSE)</f>
        <v>#N/A</v>
      </c>
      <c r="E1525" s="142" t="e">
        <f>(VLOOKUP(D1525,$D$2:$E$4,2,FALSE))-(IF('Informe Kelly'!H1519=$A$2,'Informe Kelly'!F1519,VLOOKUP(D1525,$D$2:$E$4,2,FALSE)))</f>
        <v>#N/A</v>
      </c>
      <c r="F1525" s="142" t="e">
        <f>IF('Informe Kelly'!H1519=$A$3,'Informe Kelly'!F1519,VLOOKUP(D1525,$D$2:$F$4,3,FALSE))-(VLOOKUP(D1525,$D$2:$F$4,3,FALSE))</f>
        <v>#N/A</v>
      </c>
      <c r="G1525" s="137" t="e">
        <f t="shared" si="27"/>
        <v>#N/A</v>
      </c>
    </row>
    <row r="1526" spans="1:7">
      <c r="A1526" s="112" t="str">
        <f>VLOOKUP('Informe Kelly'!A1520,Base!A:B,2,FALSE)</f>
        <v>13.552.988-5</v>
      </c>
      <c r="B1526" s="112" t="str">
        <f>VLOOKUP('Informe Kelly'!A1520,Base!A:G,7,FALSE)</f>
        <v>MOYA BEROIZA DAVID</v>
      </c>
      <c r="C1526" s="112" t="str">
        <f>'Informe Kelly'!E1520</f>
        <v>05.04.2011</v>
      </c>
      <c r="D1526" s="112" t="e">
        <f>VLOOKUP(A1526,Ingreso!K:P,6,FALSE)</f>
        <v>#N/A</v>
      </c>
      <c r="E1526" s="142" t="e">
        <f>(VLOOKUP(D1526,$D$2:$E$4,2,FALSE))-(IF('Informe Kelly'!H1520=$A$2,'Informe Kelly'!F1520,VLOOKUP(D1526,$D$2:$E$4,2,FALSE)))</f>
        <v>#N/A</v>
      </c>
      <c r="F1526" s="142" t="e">
        <f>IF('Informe Kelly'!H1520=$A$3,'Informe Kelly'!F1520,VLOOKUP(D1526,$D$2:$F$4,3,FALSE))-(VLOOKUP(D1526,$D$2:$F$4,3,FALSE))</f>
        <v>#N/A</v>
      </c>
      <c r="G1526" s="137" t="e">
        <f t="shared" si="27"/>
        <v>#N/A</v>
      </c>
    </row>
    <row r="1527" spans="1:7">
      <c r="A1527" s="112" t="str">
        <f>VLOOKUP('Informe Kelly'!A1521,Base!A:B,2,FALSE)</f>
        <v>13.552.988-5</v>
      </c>
      <c r="B1527" s="112" t="str">
        <f>VLOOKUP('Informe Kelly'!A1521,Base!A:G,7,FALSE)</f>
        <v>MOYA BEROIZA DAVID</v>
      </c>
      <c r="C1527" s="112" t="str">
        <f>'Informe Kelly'!E1521</f>
        <v>05.04.2011</v>
      </c>
      <c r="D1527" s="112" t="e">
        <f>VLOOKUP(A1527,Ingreso!K:P,6,FALSE)</f>
        <v>#N/A</v>
      </c>
      <c r="E1527" s="142" t="e">
        <f>(VLOOKUP(D1527,$D$2:$E$4,2,FALSE))-(IF('Informe Kelly'!H1521=$A$2,'Informe Kelly'!F1521,VLOOKUP(D1527,$D$2:$E$4,2,FALSE)))</f>
        <v>#N/A</v>
      </c>
      <c r="F1527" s="142" t="e">
        <f>IF('Informe Kelly'!H1521=$A$3,'Informe Kelly'!F1521,VLOOKUP(D1527,$D$2:$F$4,3,FALSE))-(VLOOKUP(D1527,$D$2:$F$4,3,FALSE))</f>
        <v>#N/A</v>
      </c>
      <c r="G1527" s="137" t="e">
        <f t="shared" si="27"/>
        <v>#N/A</v>
      </c>
    </row>
    <row r="1528" spans="1:7">
      <c r="A1528" s="112" t="str">
        <f>VLOOKUP('Informe Kelly'!A1522,Base!A:B,2,FALSE)</f>
        <v>13.552.988-5</v>
      </c>
      <c r="B1528" s="112" t="str">
        <f>VLOOKUP('Informe Kelly'!A1522,Base!A:G,7,FALSE)</f>
        <v>MOYA BEROIZA DAVID</v>
      </c>
      <c r="C1528" s="112" t="str">
        <f>'Informe Kelly'!E1522</f>
        <v>06.04.2011</v>
      </c>
      <c r="D1528" s="112" t="e">
        <f>VLOOKUP(A1528,Ingreso!K:P,6,FALSE)</f>
        <v>#N/A</v>
      </c>
      <c r="E1528" s="142" t="e">
        <f>(VLOOKUP(D1528,$D$2:$E$4,2,FALSE))-(IF('Informe Kelly'!H1522=$A$2,'Informe Kelly'!F1522,VLOOKUP(D1528,$D$2:$E$4,2,FALSE)))</f>
        <v>#N/A</v>
      </c>
      <c r="F1528" s="142" t="e">
        <f>IF('Informe Kelly'!H1522=$A$3,'Informe Kelly'!F1522,VLOOKUP(D1528,$D$2:$F$4,3,FALSE))-(VLOOKUP(D1528,$D$2:$F$4,3,FALSE))</f>
        <v>#N/A</v>
      </c>
      <c r="G1528" s="137" t="e">
        <f t="shared" si="27"/>
        <v>#N/A</v>
      </c>
    </row>
    <row r="1529" spans="1:7">
      <c r="A1529" s="112" t="str">
        <f>VLOOKUP('Informe Kelly'!A1523,Base!A:B,2,FALSE)</f>
        <v>13.552.988-5</v>
      </c>
      <c r="B1529" s="112" t="str">
        <f>VLOOKUP('Informe Kelly'!A1523,Base!A:G,7,FALSE)</f>
        <v>MOYA BEROIZA DAVID</v>
      </c>
      <c r="C1529" s="112" t="str">
        <f>'Informe Kelly'!E1523</f>
        <v>06.04.2011</v>
      </c>
      <c r="D1529" s="112" t="e">
        <f>VLOOKUP(A1529,Ingreso!K:P,6,FALSE)</f>
        <v>#N/A</v>
      </c>
      <c r="E1529" s="142" t="e">
        <f>(VLOOKUP(D1529,$D$2:$E$4,2,FALSE))-(IF('Informe Kelly'!H1523=$A$2,'Informe Kelly'!F1523,VLOOKUP(D1529,$D$2:$E$4,2,FALSE)))</f>
        <v>#N/A</v>
      </c>
      <c r="F1529" s="142" t="e">
        <f>IF('Informe Kelly'!H1523=$A$3,'Informe Kelly'!F1523,VLOOKUP(D1529,$D$2:$F$4,3,FALSE))-(VLOOKUP(D1529,$D$2:$F$4,3,FALSE))</f>
        <v>#N/A</v>
      </c>
      <c r="G1529" s="137" t="e">
        <f t="shared" si="27"/>
        <v>#N/A</v>
      </c>
    </row>
    <row r="1530" spans="1:7">
      <c r="A1530" s="112" t="str">
        <f>VLOOKUP('Informe Kelly'!A1524,Base!A:B,2,FALSE)</f>
        <v>13.552.988-5</v>
      </c>
      <c r="B1530" s="112" t="str">
        <f>VLOOKUP('Informe Kelly'!A1524,Base!A:G,7,FALSE)</f>
        <v>MOYA BEROIZA DAVID</v>
      </c>
      <c r="C1530" s="112" t="str">
        <f>'Informe Kelly'!E1524</f>
        <v>07.04.2011</v>
      </c>
      <c r="D1530" s="112" t="e">
        <f>VLOOKUP(A1530,Ingreso!K:P,6,FALSE)</f>
        <v>#N/A</v>
      </c>
      <c r="E1530" s="142" t="e">
        <f>(VLOOKUP(D1530,$D$2:$E$4,2,FALSE))-(IF('Informe Kelly'!H1524=$A$2,'Informe Kelly'!F1524,VLOOKUP(D1530,$D$2:$E$4,2,FALSE)))</f>
        <v>#N/A</v>
      </c>
      <c r="F1530" s="142" t="e">
        <f>IF('Informe Kelly'!H1524=$A$3,'Informe Kelly'!F1524,VLOOKUP(D1530,$D$2:$F$4,3,FALSE))-(VLOOKUP(D1530,$D$2:$F$4,3,FALSE))</f>
        <v>#N/A</v>
      </c>
      <c r="G1530" s="137" t="e">
        <f t="shared" si="27"/>
        <v>#N/A</v>
      </c>
    </row>
    <row r="1531" spans="1:7">
      <c r="A1531" s="112" t="str">
        <f>VLOOKUP('Informe Kelly'!A1525,Base!A:B,2,FALSE)</f>
        <v>13.552.988-5</v>
      </c>
      <c r="B1531" s="112" t="str">
        <f>VLOOKUP('Informe Kelly'!A1525,Base!A:G,7,FALSE)</f>
        <v>MOYA BEROIZA DAVID</v>
      </c>
      <c r="C1531" s="112" t="str">
        <f>'Informe Kelly'!E1525</f>
        <v>07.04.2011</v>
      </c>
      <c r="D1531" s="112" t="e">
        <f>VLOOKUP(A1531,Ingreso!K:P,6,FALSE)</f>
        <v>#N/A</v>
      </c>
      <c r="E1531" s="142" t="e">
        <f>(VLOOKUP(D1531,$D$2:$E$4,2,FALSE))-(IF('Informe Kelly'!H1525=$A$2,'Informe Kelly'!F1525,VLOOKUP(D1531,$D$2:$E$4,2,FALSE)))</f>
        <v>#N/A</v>
      </c>
      <c r="F1531" s="142" t="e">
        <f>IF('Informe Kelly'!H1525=$A$3,'Informe Kelly'!F1525,VLOOKUP(D1531,$D$2:$F$4,3,FALSE))-(VLOOKUP(D1531,$D$2:$F$4,3,FALSE))</f>
        <v>#N/A</v>
      </c>
      <c r="G1531" s="137" t="e">
        <f t="shared" si="27"/>
        <v>#N/A</v>
      </c>
    </row>
    <row r="1532" spans="1:7">
      <c r="A1532" s="112" t="str">
        <f>VLOOKUP('Informe Kelly'!A1526,Base!A:B,2,FALSE)</f>
        <v>13.552.988-5</v>
      </c>
      <c r="B1532" s="112" t="str">
        <f>VLOOKUP('Informe Kelly'!A1526,Base!A:G,7,FALSE)</f>
        <v>MOYA BEROIZA DAVID</v>
      </c>
      <c r="C1532" s="112" t="str">
        <f>'Informe Kelly'!E1526</f>
        <v>08.04.2011</v>
      </c>
      <c r="D1532" s="112" t="e">
        <f>VLOOKUP(A1532,Ingreso!K:P,6,FALSE)</f>
        <v>#N/A</v>
      </c>
      <c r="E1532" s="142" t="e">
        <f>(VLOOKUP(D1532,$D$2:$E$4,2,FALSE))-(IF('Informe Kelly'!H1526=$A$2,'Informe Kelly'!F1526,VLOOKUP(D1532,$D$2:$E$4,2,FALSE)))</f>
        <v>#N/A</v>
      </c>
      <c r="F1532" s="142" t="e">
        <f>IF('Informe Kelly'!H1526=$A$3,'Informe Kelly'!F1526,VLOOKUP(D1532,$D$2:$F$4,3,FALSE))-(VLOOKUP(D1532,$D$2:$F$4,3,FALSE))</f>
        <v>#N/A</v>
      </c>
      <c r="G1532" s="137" t="e">
        <f t="shared" si="27"/>
        <v>#N/A</v>
      </c>
    </row>
    <row r="1533" spans="1:7">
      <c r="A1533" s="112" t="str">
        <f>VLOOKUP('Informe Kelly'!A1527,Base!A:B,2,FALSE)</f>
        <v>13.552.988-5</v>
      </c>
      <c r="B1533" s="112" t="str">
        <f>VLOOKUP('Informe Kelly'!A1527,Base!A:G,7,FALSE)</f>
        <v>MOYA BEROIZA DAVID</v>
      </c>
      <c r="C1533" s="112" t="str">
        <f>'Informe Kelly'!E1527</f>
        <v>08.04.2011</v>
      </c>
      <c r="D1533" s="112" t="e">
        <f>VLOOKUP(A1533,Ingreso!K:P,6,FALSE)</f>
        <v>#N/A</v>
      </c>
      <c r="E1533" s="142" t="e">
        <f>(VLOOKUP(D1533,$D$2:$E$4,2,FALSE))-(IF('Informe Kelly'!H1527=$A$2,'Informe Kelly'!F1527,VLOOKUP(D1533,$D$2:$E$4,2,FALSE)))</f>
        <v>#N/A</v>
      </c>
      <c r="F1533" s="142" t="e">
        <f>IF('Informe Kelly'!H1527=$A$3,'Informe Kelly'!F1527,VLOOKUP(D1533,$D$2:$F$4,3,FALSE))-(VLOOKUP(D1533,$D$2:$F$4,3,FALSE))</f>
        <v>#N/A</v>
      </c>
      <c r="G1533" s="137" t="e">
        <f t="shared" si="27"/>
        <v>#N/A</v>
      </c>
    </row>
    <row r="1534" spans="1:7">
      <c r="A1534" s="112" t="str">
        <f>VLOOKUP('Informe Kelly'!A1528,Base!A:B,2,FALSE)</f>
        <v>13.552.988-5</v>
      </c>
      <c r="B1534" s="112" t="str">
        <f>VLOOKUP('Informe Kelly'!A1528,Base!A:G,7,FALSE)</f>
        <v>MOYA BEROIZA DAVID</v>
      </c>
      <c r="C1534" s="112" t="str">
        <f>'Informe Kelly'!E1528</f>
        <v>09.04.2011</v>
      </c>
      <c r="D1534" s="112" t="e">
        <f>VLOOKUP(A1534,Ingreso!K:P,6,FALSE)</f>
        <v>#N/A</v>
      </c>
      <c r="E1534" s="142" t="e">
        <f>(VLOOKUP(D1534,$D$2:$E$4,2,FALSE))-(IF('Informe Kelly'!H1528=$A$2,'Informe Kelly'!F1528,VLOOKUP(D1534,$D$2:$E$4,2,FALSE)))</f>
        <v>#N/A</v>
      </c>
      <c r="F1534" s="142" t="e">
        <f>IF('Informe Kelly'!H1528=$A$3,'Informe Kelly'!F1528,VLOOKUP(D1534,$D$2:$F$4,3,FALSE))-(VLOOKUP(D1534,$D$2:$F$4,3,FALSE))</f>
        <v>#N/A</v>
      </c>
      <c r="G1534" s="137" t="e">
        <f t="shared" si="27"/>
        <v>#N/A</v>
      </c>
    </row>
    <row r="1535" spans="1:7">
      <c r="A1535" s="112" t="str">
        <f>VLOOKUP('Informe Kelly'!A1529,Base!A:B,2,FALSE)</f>
        <v>13.552.988-5</v>
      </c>
      <c r="B1535" s="112" t="str">
        <f>VLOOKUP('Informe Kelly'!A1529,Base!A:G,7,FALSE)</f>
        <v>MOYA BEROIZA DAVID</v>
      </c>
      <c r="C1535" s="112" t="str">
        <f>'Informe Kelly'!E1529</f>
        <v>09.04.2011</v>
      </c>
      <c r="D1535" s="112" t="e">
        <f>VLOOKUP(A1535,Ingreso!K:P,6,FALSE)</f>
        <v>#N/A</v>
      </c>
      <c r="E1535" s="142" t="e">
        <f>(VLOOKUP(D1535,$D$2:$E$4,2,FALSE))-(IF('Informe Kelly'!H1529=$A$2,'Informe Kelly'!F1529,VLOOKUP(D1535,$D$2:$E$4,2,FALSE)))</f>
        <v>#N/A</v>
      </c>
      <c r="F1535" s="142" t="e">
        <f>IF('Informe Kelly'!H1529=$A$3,'Informe Kelly'!F1529,VLOOKUP(D1535,$D$2:$F$4,3,FALSE))-(VLOOKUP(D1535,$D$2:$F$4,3,FALSE))</f>
        <v>#N/A</v>
      </c>
      <c r="G1535" s="137" t="e">
        <f t="shared" si="27"/>
        <v>#N/A</v>
      </c>
    </row>
    <row r="1536" spans="1:7">
      <c r="A1536" s="112" t="str">
        <f>VLOOKUP('Informe Kelly'!A1530,Base!A:B,2,FALSE)</f>
        <v>13.553.033-6</v>
      </c>
      <c r="B1536" s="112" t="str">
        <f>VLOOKUP('Informe Kelly'!A1530,Base!A:G,7,FALSE)</f>
        <v>RETAMALES SEPULVEDA CLAUDIO</v>
      </c>
      <c r="C1536" s="112" t="str">
        <f>'Informe Kelly'!E1530</f>
        <v>04.04.2011</v>
      </c>
      <c r="D1536" s="112" t="e">
        <f>VLOOKUP(A1536,Ingreso!K:P,6,FALSE)</f>
        <v>#N/A</v>
      </c>
      <c r="E1536" s="142" t="e">
        <f>(VLOOKUP(D1536,$D$2:$E$4,2,FALSE))-(IF('Informe Kelly'!H1530=$A$2,'Informe Kelly'!F1530,VLOOKUP(D1536,$D$2:$E$4,2,FALSE)))</f>
        <v>#N/A</v>
      </c>
      <c r="F1536" s="142" t="e">
        <f>IF('Informe Kelly'!H1530=$A$3,'Informe Kelly'!F1530,VLOOKUP(D1536,$D$2:$F$4,3,FALSE))-(VLOOKUP(D1536,$D$2:$F$4,3,FALSE))</f>
        <v>#N/A</v>
      </c>
      <c r="G1536" s="137" t="e">
        <f t="shared" si="27"/>
        <v>#N/A</v>
      </c>
    </row>
    <row r="1537" spans="1:7">
      <c r="A1537" s="112" t="str">
        <f>VLOOKUP('Informe Kelly'!A1531,Base!A:B,2,FALSE)</f>
        <v>13.553.033-6</v>
      </c>
      <c r="B1537" s="112" t="str">
        <f>VLOOKUP('Informe Kelly'!A1531,Base!A:G,7,FALSE)</f>
        <v>RETAMALES SEPULVEDA CLAUDIO</v>
      </c>
      <c r="C1537" s="112" t="str">
        <f>'Informe Kelly'!E1531</f>
        <v>04.04.2011</v>
      </c>
      <c r="D1537" s="112" t="e">
        <f>VLOOKUP(A1537,Ingreso!K:P,6,FALSE)</f>
        <v>#N/A</v>
      </c>
      <c r="E1537" s="142" t="e">
        <f>(VLOOKUP(D1537,$D$2:$E$4,2,FALSE))-(IF('Informe Kelly'!H1531=$A$2,'Informe Kelly'!F1531,VLOOKUP(D1537,$D$2:$E$4,2,FALSE)))</f>
        <v>#N/A</v>
      </c>
      <c r="F1537" s="142" t="e">
        <f>IF('Informe Kelly'!H1531=$A$3,'Informe Kelly'!F1531,VLOOKUP(D1537,$D$2:$F$4,3,FALSE))-(VLOOKUP(D1537,$D$2:$F$4,3,FALSE))</f>
        <v>#N/A</v>
      </c>
      <c r="G1537" s="137" t="e">
        <f t="shared" si="27"/>
        <v>#N/A</v>
      </c>
    </row>
    <row r="1538" spans="1:7">
      <c r="A1538" s="112" t="str">
        <f>VLOOKUP('Informe Kelly'!A1532,Base!A:B,2,FALSE)</f>
        <v>13.553.033-6</v>
      </c>
      <c r="B1538" s="112" t="str">
        <f>VLOOKUP('Informe Kelly'!A1532,Base!A:G,7,FALSE)</f>
        <v>RETAMALES SEPULVEDA CLAUDIO</v>
      </c>
      <c r="C1538" s="112" t="str">
        <f>'Informe Kelly'!E1532</f>
        <v>05.04.2011</v>
      </c>
      <c r="D1538" s="112" t="e">
        <f>VLOOKUP(A1538,Ingreso!K:P,6,FALSE)</f>
        <v>#N/A</v>
      </c>
      <c r="E1538" s="142" t="e">
        <f>(VLOOKUP(D1538,$D$2:$E$4,2,FALSE))-(IF('Informe Kelly'!H1532=$A$2,'Informe Kelly'!F1532,VLOOKUP(D1538,$D$2:$E$4,2,FALSE)))</f>
        <v>#N/A</v>
      </c>
      <c r="F1538" s="142" t="e">
        <f>IF('Informe Kelly'!H1532=$A$3,'Informe Kelly'!F1532,VLOOKUP(D1538,$D$2:$F$4,3,FALSE))-(VLOOKUP(D1538,$D$2:$F$4,3,FALSE))</f>
        <v>#N/A</v>
      </c>
      <c r="G1538" s="137" t="e">
        <f t="shared" si="27"/>
        <v>#N/A</v>
      </c>
    </row>
    <row r="1539" spans="1:7">
      <c r="A1539" s="112" t="str">
        <f>VLOOKUP('Informe Kelly'!A1533,Base!A:B,2,FALSE)</f>
        <v>13.553.033-6</v>
      </c>
      <c r="B1539" s="112" t="str">
        <f>VLOOKUP('Informe Kelly'!A1533,Base!A:G,7,FALSE)</f>
        <v>RETAMALES SEPULVEDA CLAUDIO</v>
      </c>
      <c r="C1539" s="112" t="str">
        <f>'Informe Kelly'!E1533</f>
        <v>05.04.2011</v>
      </c>
      <c r="D1539" s="112" t="e">
        <f>VLOOKUP(A1539,Ingreso!K:P,6,FALSE)</f>
        <v>#N/A</v>
      </c>
      <c r="E1539" s="142" t="e">
        <f>(VLOOKUP(D1539,$D$2:$E$4,2,FALSE))-(IF('Informe Kelly'!H1533=$A$2,'Informe Kelly'!F1533,VLOOKUP(D1539,$D$2:$E$4,2,FALSE)))</f>
        <v>#N/A</v>
      </c>
      <c r="F1539" s="142" t="e">
        <f>IF('Informe Kelly'!H1533=$A$3,'Informe Kelly'!F1533,VLOOKUP(D1539,$D$2:$F$4,3,FALSE))-(VLOOKUP(D1539,$D$2:$F$4,3,FALSE))</f>
        <v>#N/A</v>
      </c>
      <c r="G1539" s="137" t="e">
        <f t="shared" si="27"/>
        <v>#N/A</v>
      </c>
    </row>
    <row r="1540" spans="1:7">
      <c r="A1540" s="112" t="str">
        <f>VLOOKUP('Informe Kelly'!A1534,Base!A:B,2,FALSE)</f>
        <v>13.553.033-6</v>
      </c>
      <c r="B1540" s="112" t="str">
        <f>VLOOKUP('Informe Kelly'!A1534,Base!A:G,7,FALSE)</f>
        <v>RETAMALES SEPULVEDA CLAUDIO</v>
      </c>
      <c r="C1540" s="112" t="str">
        <f>'Informe Kelly'!E1534</f>
        <v>06.04.2011</v>
      </c>
      <c r="D1540" s="112" t="e">
        <f>VLOOKUP(A1540,Ingreso!K:P,6,FALSE)</f>
        <v>#N/A</v>
      </c>
      <c r="E1540" s="142" t="e">
        <f>(VLOOKUP(D1540,$D$2:$E$4,2,FALSE))-(IF('Informe Kelly'!H1534=$A$2,'Informe Kelly'!F1534,VLOOKUP(D1540,$D$2:$E$4,2,FALSE)))</f>
        <v>#N/A</v>
      </c>
      <c r="F1540" s="142" t="e">
        <f>IF('Informe Kelly'!H1534=$A$3,'Informe Kelly'!F1534,VLOOKUP(D1540,$D$2:$F$4,3,FALSE))-(VLOOKUP(D1540,$D$2:$F$4,3,FALSE))</f>
        <v>#N/A</v>
      </c>
      <c r="G1540" s="137" t="e">
        <f t="shared" si="27"/>
        <v>#N/A</v>
      </c>
    </row>
    <row r="1541" spans="1:7">
      <c r="A1541" s="112" t="str">
        <f>VLOOKUP('Informe Kelly'!A1535,Base!A:B,2,FALSE)</f>
        <v>13.553.033-6</v>
      </c>
      <c r="B1541" s="112" t="str">
        <f>VLOOKUP('Informe Kelly'!A1535,Base!A:G,7,FALSE)</f>
        <v>RETAMALES SEPULVEDA CLAUDIO</v>
      </c>
      <c r="C1541" s="112" t="str">
        <f>'Informe Kelly'!E1535</f>
        <v>06.04.2011</v>
      </c>
      <c r="D1541" s="112" t="e">
        <f>VLOOKUP(A1541,Ingreso!K:P,6,FALSE)</f>
        <v>#N/A</v>
      </c>
      <c r="E1541" s="142" t="e">
        <f>(VLOOKUP(D1541,$D$2:$E$4,2,FALSE))-(IF('Informe Kelly'!H1535=$A$2,'Informe Kelly'!F1535,VLOOKUP(D1541,$D$2:$E$4,2,FALSE)))</f>
        <v>#N/A</v>
      </c>
      <c r="F1541" s="142" t="e">
        <f>IF('Informe Kelly'!H1535=$A$3,'Informe Kelly'!F1535,VLOOKUP(D1541,$D$2:$F$4,3,FALSE))-(VLOOKUP(D1541,$D$2:$F$4,3,FALSE))</f>
        <v>#N/A</v>
      </c>
      <c r="G1541" s="137" t="e">
        <f t="shared" si="27"/>
        <v>#N/A</v>
      </c>
    </row>
    <row r="1542" spans="1:7">
      <c r="A1542" s="112" t="str">
        <f>VLOOKUP('Informe Kelly'!A1536,Base!A:B,2,FALSE)</f>
        <v>13.553.033-6</v>
      </c>
      <c r="B1542" s="112" t="str">
        <f>VLOOKUP('Informe Kelly'!A1536,Base!A:G,7,FALSE)</f>
        <v>RETAMALES SEPULVEDA CLAUDIO</v>
      </c>
      <c r="C1542" s="112" t="str">
        <f>'Informe Kelly'!E1536</f>
        <v>07.04.2011</v>
      </c>
      <c r="D1542" s="112" t="e">
        <f>VLOOKUP(A1542,Ingreso!K:P,6,FALSE)</f>
        <v>#N/A</v>
      </c>
      <c r="E1542" s="142" t="e">
        <f>(VLOOKUP(D1542,$D$2:$E$4,2,FALSE))-(IF('Informe Kelly'!H1536=$A$2,'Informe Kelly'!F1536,VLOOKUP(D1542,$D$2:$E$4,2,FALSE)))</f>
        <v>#N/A</v>
      </c>
      <c r="F1542" s="142" t="e">
        <f>IF('Informe Kelly'!H1536=$A$3,'Informe Kelly'!F1536,VLOOKUP(D1542,$D$2:$F$4,3,FALSE))-(VLOOKUP(D1542,$D$2:$F$4,3,FALSE))</f>
        <v>#N/A</v>
      </c>
      <c r="G1542" s="137" t="e">
        <f t="shared" si="27"/>
        <v>#N/A</v>
      </c>
    </row>
    <row r="1543" spans="1:7">
      <c r="A1543" s="112" t="str">
        <f>VLOOKUP('Informe Kelly'!A1537,Base!A:B,2,FALSE)</f>
        <v>13.553.033-6</v>
      </c>
      <c r="B1543" s="112" t="str">
        <f>VLOOKUP('Informe Kelly'!A1537,Base!A:G,7,FALSE)</f>
        <v>RETAMALES SEPULVEDA CLAUDIO</v>
      </c>
      <c r="C1543" s="112" t="str">
        <f>'Informe Kelly'!E1537</f>
        <v>07.04.2011</v>
      </c>
      <c r="D1543" s="112" t="e">
        <f>VLOOKUP(A1543,Ingreso!K:P,6,FALSE)</f>
        <v>#N/A</v>
      </c>
      <c r="E1543" s="142" t="e">
        <f>(VLOOKUP(D1543,$D$2:$E$4,2,FALSE))-(IF('Informe Kelly'!H1537=$A$2,'Informe Kelly'!F1537,VLOOKUP(D1543,$D$2:$E$4,2,FALSE)))</f>
        <v>#N/A</v>
      </c>
      <c r="F1543" s="142" t="e">
        <f>IF('Informe Kelly'!H1537=$A$3,'Informe Kelly'!F1537,VLOOKUP(D1543,$D$2:$F$4,3,FALSE))-(VLOOKUP(D1543,$D$2:$F$4,3,FALSE))</f>
        <v>#N/A</v>
      </c>
      <c r="G1543" s="137" t="e">
        <f t="shared" si="27"/>
        <v>#N/A</v>
      </c>
    </row>
    <row r="1544" spans="1:7">
      <c r="A1544" s="112" t="str">
        <f>VLOOKUP('Informe Kelly'!A1538,Base!A:B,2,FALSE)</f>
        <v>13.553.033-6</v>
      </c>
      <c r="B1544" s="112" t="str">
        <f>VLOOKUP('Informe Kelly'!A1538,Base!A:G,7,FALSE)</f>
        <v>RETAMALES SEPULVEDA CLAUDIO</v>
      </c>
      <c r="C1544" s="112" t="str">
        <f>'Informe Kelly'!E1538</f>
        <v>08.04.2011</v>
      </c>
      <c r="D1544" s="112" t="e">
        <f>VLOOKUP(A1544,Ingreso!K:P,6,FALSE)</f>
        <v>#N/A</v>
      </c>
      <c r="E1544" s="142" t="e">
        <f>(VLOOKUP(D1544,$D$2:$E$4,2,FALSE))-(IF('Informe Kelly'!H1538=$A$2,'Informe Kelly'!F1538,VLOOKUP(D1544,$D$2:$E$4,2,FALSE)))</f>
        <v>#N/A</v>
      </c>
      <c r="F1544" s="142" t="e">
        <f>IF('Informe Kelly'!H1538=$A$3,'Informe Kelly'!F1538,VLOOKUP(D1544,$D$2:$F$4,3,FALSE))-(VLOOKUP(D1544,$D$2:$F$4,3,FALSE))</f>
        <v>#N/A</v>
      </c>
      <c r="G1544" s="137" t="e">
        <f t="shared" si="27"/>
        <v>#N/A</v>
      </c>
    </row>
    <row r="1545" spans="1:7">
      <c r="A1545" s="112" t="str">
        <f>VLOOKUP('Informe Kelly'!A1539,Base!A:B,2,FALSE)</f>
        <v>13.553.033-6</v>
      </c>
      <c r="B1545" s="112" t="str">
        <f>VLOOKUP('Informe Kelly'!A1539,Base!A:G,7,FALSE)</f>
        <v>RETAMALES SEPULVEDA CLAUDIO</v>
      </c>
      <c r="C1545" s="112" t="str">
        <f>'Informe Kelly'!E1539</f>
        <v>08.04.2011</v>
      </c>
      <c r="D1545" s="112" t="e">
        <f>VLOOKUP(A1545,Ingreso!K:P,6,FALSE)</f>
        <v>#N/A</v>
      </c>
      <c r="E1545" s="142" t="e">
        <f>(VLOOKUP(D1545,$D$2:$E$4,2,FALSE))-(IF('Informe Kelly'!H1539=$A$2,'Informe Kelly'!F1539,VLOOKUP(D1545,$D$2:$E$4,2,FALSE)))</f>
        <v>#N/A</v>
      </c>
      <c r="F1545" s="142" t="e">
        <f>IF('Informe Kelly'!H1539=$A$3,'Informe Kelly'!F1539,VLOOKUP(D1545,$D$2:$F$4,3,FALSE))-(VLOOKUP(D1545,$D$2:$F$4,3,FALSE))</f>
        <v>#N/A</v>
      </c>
      <c r="G1545" s="137" t="e">
        <f t="shared" ref="G1545:G1608" si="28">IF(E1545="",IF(F1545&lt;0.0409722222222222,0,E1545),IF(E1545&lt;0.0409722222222222,0,E1545))</f>
        <v>#N/A</v>
      </c>
    </row>
    <row r="1546" spans="1:7">
      <c r="A1546" s="112" t="str">
        <f>VLOOKUP('Informe Kelly'!A1540,Base!A:B,2,FALSE)</f>
        <v>13.553.033-6</v>
      </c>
      <c r="B1546" s="112" t="str">
        <f>VLOOKUP('Informe Kelly'!A1540,Base!A:G,7,FALSE)</f>
        <v>RETAMALES SEPULVEDA CLAUDIO</v>
      </c>
      <c r="C1546" s="112" t="str">
        <f>'Informe Kelly'!E1540</f>
        <v>09.04.2011</v>
      </c>
      <c r="D1546" s="112" t="e">
        <f>VLOOKUP(A1546,Ingreso!K:P,6,FALSE)</f>
        <v>#N/A</v>
      </c>
      <c r="E1546" s="142" t="e">
        <f>(VLOOKUP(D1546,$D$2:$E$4,2,FALSE))-(IF('Informe Kelly'!H1540=$A$2,'Informe Kelly'!F1540,VLOOKUP(D1546,$D$2:$E$4,2,FALSE)))</f>
        <v>#N/A</v>
      </c>
      <c r="F1546" s="142" t="e">
        <f>IF('Informe Kelly'!H1540=$A$3,'Informe Kelly'!F1540,VLOOKUP(D1546,$D$2:$F$4,3,FALSE))-(VLOOKUP(D1546,$D$2:$F$4,3,FALSE))</f>
        <v>#N/A</v>
      </c>
      <c r="G1546" s="137" t="e">
        <f t="shared" si="28"/>
        <v>#N/A</v>
      </c>
    </row>
    <row r="1547" spans="1:7">
      <c r="A1547" s="112" t="str">
        <f>VLOOKUP('Informe Kelly'!A1541,Base!A:B,2,FALSE)</f>
        <v>13.553.033-6</v>
      </c>
      <c r="B1547" s="112" t="str">
        <f>VLOOKUP('Informe Kelly'!A1541,Base!A:G,7,FALSE)</f>
        <v>RETAMALES SEPULVEDA CLAUDIO</v>
      </c>
      <c r="C1547" s="112" t="str">
        <f>'Informe Kelly'!E1541</f>
        <v>09.04.2011</v>
      </c>
      <c r="D1547" s="112" t="e">
        <f>VLOOKUP(A1547,Ingreso!K:P,6,FALSE)</f>
        <v>#N/A</v>
      </c>
      <c r="E1547" s="142" t="e">
        <f>(VLOOKUP(D1547,$D$2:$E$4,2,FALSE))-(IF('Informe Kelly'!H1541=$A$2,'Informe Kelly'!F1541,VLOOKUP(D1547,$D$2:$E$4,2,FALSE)))</f>
        <v>#N/A</v>
      </c>
      <c r="F1547" s="142" t="e">
        <f>IF('Informe Kelly'!H1541=$A$3,'Informe Kelly'!F1541,VLOOKUP(D1547,$D$2:$F$4,3,FALSE))-(VLOOKUP(D1547,$D$2:$F$4,3,FALSE))</f>
        <v>#N/A</v>
      </c>
      <c r="G1547" s="137" t="e">
        <f t="shared" si="28"/>
        <v>#N/A</v>
      </c>
    </row>
    <row r="1548" spans="1:7">
      <c r="A1548" s="112" t="str">
        <f>VLOOKUP('Informe Kelly'!A1542,Base!A:B,2,FALSE)</f>
        <v>13.557.248-9</v>
      </c>
      <c r="B1548" s="112" t="str">
        <f>VLOOKUP('Informe Kelly'!A1542,Base!A:G,7,FALSE)</f>
        <v>BERRIOS LOPEZ OSCAR MAURICIO</v>
      </c>
      <c r="C1548" s="112" t="str">
        <f>'Informe Kelly'!E1542</f>
        <v>04.04.2011</v>
      </c>
      <c r="D1548" s="112" t="e">
        <f>VLOOKUP(A1548,Ingreso!K:P,6,FALSE)</f>
        <v>#N/A</v>
      </c>
      <c r="E1548" s="142" t="e">
        <f>(VLOOKUP(D1548,$D$2:$E$4,2,FALSE))-(IF('Informe Kelly'!H1542=$A$2,'Informe Kelly'!F1542,VLOOKUP(D1548,$D$2:$E$4,2,FALSE)))</f>
        <v>#N/A</v>
      </c>
      <c r="F1548" s="142" t="e">
        <f>IF('Informe Kelly'!H1542=$A$3,'Informe Kelly'!F1542,VLOOKUP(D1548,$D$2:$F$4,3,FALSE))-(VLOOKUP(D1548,$D$2:$F$4,3,FALSE))</f>
        <v>#N/A</v>
      </c>
      <c r="G1548" s="137" t="e">
        <f t="shared" si="28"/>
        <v>#N/A</v>
      </c>
    </row>
    <row r="1549" spans="1:7">
      <c r="A1549" s="112" t="str">
        <f>VLOOKUP('Informe Kelly'!A1543,Base!A:B,2,FALSE)</f>
        <v>13.557.248-9</v>
      </c>
      <c r="B1549" s="112" t="str">
        <f>VLOOKUP('Informe Kelly'!A1543,Base!A:G,7,FALSE)</f>
        <v>BERRIOS LOPEZ OSCAR MAURICIO</v>
      </c>
      <c r="C1549" s="112" t="str">
        <f>'Informe Kelly'!E1543</f>
        <v>04.04.2011</v>
      </c>
      <c r="D1549" s="112" t="e">
        <f>VLOOKUP(A1549,Ingreso!K:P,6,FALSE)</f>
        <v>#N/A</v>
      </c>
      <c r="E1549" s="142" t="e">
        <f>(VLOOKUP(D1549,$D$2:$E$4,2,FALSE))-(IF('Informe Kelly'!H1543=$A$2,'Informe Kelly'!F1543,VLOOKUP(D1549,$D$2:$E$4,2,FALSE)))</f>
        <v>#N/A</v>
      </c>
      <c r="F1549" s="142" t="e">
        <f>IF('Informe Kelly'!H1543=$A$3,'Informe Kelly'!F1543,VLOOKUP(D1549,$D$2:$F$4,3,FALSE))-(VLOOKUP(D1549,$D$2:$F$4,3,FALSE))</f>
        <v>#N/A</v>
      </c>
      <c r="G1549" s="137" t="e">
        <f t="shared" si="28"/>
        <v>#N/A</v>
      </c>
    </row>
    <row r="1550" spans="1:7">
      <c r="A1550" s="112" t="str">
        <f>VLOOKUP('Informe Kelly'!A1544,Base!A:B,2,FALSE)</f>
        <v>13.557.248-9</v>
      </c>
      <c r="B1550" s="112" t="str">
        <f>VLOOKUP('Informe Kelly'!A1544,Base!A:G,7,FALSE)</f>
        <v>BERRIOS LOPEZ OSCAR MAURICIO</v>
      </c>
      <c r="C1550" s="112" t="str">
        <f>'Informe Kelly'!E1544</f>
        <v>05.04.2011</v>
      </c>
      <c r="D1550" s="112" t="e">
        <f>VLOOKUP(A1550,Ingreso!K:P,6,FALSE)</f>
        <v>#N/A</v>
      </c>
      <c r="E1550" s="142" t="e">
        <f>(VLOOKUP(D1550,$D$2:$E$4,2,FALSE))-(IF('Informe Kelly'!H1544=$A$2,'Informe Kelly'!F1544,VLOOKUP(D1550,$D$2:$E$4,2,FALSE)))</f>
        <v>#N/A</v>
      </c>
      <c r="F1550" s="142" t="e">
        <f>IF('Informe Kelly'!H1544=$A$3,'Informe Kelly'!F1544,VLOOKUP(D1550,$D$2:$F$4,3,FALSE))-(VLOOKUP(D1550,$D$2:$F$4,3,FALSE))</f>
        <v>#N/A</v>
      </c>
      <c r="G1550" s="137" t="e">
        <f t="shared" si="28"/>
        <v>#N/A</v>
      </c>
    </row>
    <row r="1551" spans="1:7">
      <c r="A1551" s="112" t="str">
        <f>VLOOKUP('Informe Kelly'!A1545,Base!A:B,2,FALSE)</f>
        <v>13.557.248-9</v>
      </c>
      <c r="B1551" s="112" t="str">
        <f>VLOOKUP('Informe Kelly'!A1545,Base!A:G,7,FALSE)</f>
        <v>BERRIOS LOPEZ OSCAR MAURICIO</v>
      </c>
      <c r="C1551" s="112" t="str">
        <f>'Informe Kelly'!E1545</f>
        <v>05.04.2011</v>
      </c>
      <c r="D1551" s="112" t="e">
        <f>VLOOKUP(A1551,Ingreso!K:P,6,FALSE)</f>
        <v>#N/A</v>
      </c>
      <c r="E1551" s="142" t="e">
        <f>(VLOOKUP(D1551,$D$2:$E$4,2,FALSE))-(IF('Informe Kelly'!H1545=$A$2,'Informe Kelly'!F1545,VLOOKUP(D1551,$D$2:$E$4,2,FALSE)))</f>
        <v>#N/A</v>
      </c>
      <c r="F1551" s="142" t="e">
        <f>IF('Informe Kelly'!H1545=$A$3,'Informe Kelly'!F1545,VLOOKUP(D1551,$D$2:$F$4,3,FALSE))-(VLOOKUP(D1551,$D$2:$F$4,3,FALSE))</f>
        <v>#N/A</v>
      </c>
      <c r="G1551" s="137" t="e">
        <f t="shared" si="28"/>
        <v>#N/A</v>
      </c>
    </row>
    <row r="1552" spans="1:7">
      <c r="A1552" s="112" t="str">
        <f>VLOOKUP('Informe Kelly'!A1546,Base!A:B,2,FALSE)</f>
        <v>13.557.248-9</v>
      </c>
      <c r="B1552" s="112" t="str">
        <f>VLOOKUP('Informe Kelly'!A1546,Base!A:G,7,FALSE)</f>
        <v>BERRIOS LOPEZ OSCAR MAURICIO</v>
      </c>
      <c r="C1552" s="112" t="str">
        <f>'Informe Kelly'!E1546</f>
        <v>06.04.2011</v>
      </c>
      <c r="D1552" s="112" t="e">
        <f>VLOOKUP(A1552,Ingreso!K:P,6,FALSE)</f>
        <v>#N/A</v>
      </c>
      <c r="E1552" s="142" t="e">
        <f>(VLOOKUP(D1552,$D$2:$E$4,2,FALSE))-(IF('Informe Kelly'!H1546=$A$2,'Informe Kelly'!F1546,VLOOKUP(D1552,$D$2:$E$4,2,FALSE)))</f>
        <v>#N/A</v>
      </c>
      <c r="F1552" s="142" t="e">
        <f>IF('Informe Kelly'!H1546=$A$3,'Informe Kelly'!F1546,VLOOKUP(D1552,$D$2:$F$4,3,FALSE))-(VLOOKUP(D1552,$D$2:$F$4,3,FALSE))</f>
        <v>#N/A</v>
      </c>
      <c r="G1552" s="137" t="e">
        <f t="shared" si="28"/>
        <v>#N/A</v>
      </c>
    </row>
    <row r="1553" spans="1:7">
      <c r="A1553" s="112" t="str">
        <f>VLOOKUP('Informe Kelly'!A1547,Base!A:B,2,FALSE)</f>
        <v>13.557.248-9</v>
      </c>
      <c r="B1553" s="112" t="str">
        <f>VLOOKUP('Informe Kelly'!A1547,Base!A:G,7,FALSE)</f>
        <v>BERRIOS LOPEZ OSCAR MAURICIO</v>
      </c>
      <c r="C1553" s="112" t="str">
        <f>'Informe Kelly'!E1547</f>
        <v>06.04.2011</v>
      </c>
      <c r="D1553" s="112" t="e">
        <f>VLOOKUP(A1553,Ingreso!K:P,6,FALSE)</f>
        <v>#N/A</v>
      </c>
      <c r="E1553" s="142" t="e">
        <f>(VLOOKUP(D1553,$D$2:$E$4,2,FALSE))-(IF('Informe Kelly'!H1547=$A$2,'Informe Kelly'!F1547,VLOOKUP(D1553,$D$2:$E$4,2,FALSE)))</f>
        <v>#N/A</v>
      </c>
      <c r="F1553" s="142" t="e">
        <f>IF('Informe Kelly'!H1547=$A$3,'Informe Kelly'!F1547,VLOOKUP(D1553,$D$2:$F$4,3,FALSE))-(VLOOKUP(D1553,$D$2:$F$4,3,FALSE))</f>
        <v>#N/A</v>
      </c>
      <c r="G1553" s="137" t="e">
        <f t="shared" si="28"/>
        <v>#N/A</v>
      </c>
    </row>
    <row r="1554" spans="1:7">
      <c r="A1554" s="112" t="str">
        <f>VLOOKUP('Informe Kelly'!A1548,Base!A:B,2,FALSE)</f>
        <v>13.557.248-9</v>
      </c>
      <c r="B1554" s="112" t="str">
        <f>VLOOKUP('Informe Kelly'!A1548,Base!A:G,7,FALSE)</f>
        <v>BERRIOS LOPEZ OSCAR MAURICIO</v>
      </c>
      <c r="C1554" s="112" t="str">
        <f>'Informe Kelly'!E1548</f>
        <v>07.04.2011</v>
      </c>
      <c r="D1554" s="112" t="e">
        <f>VLOOKUP(A1554,Ingreso!K:P,6,FALSE)</f>
        <v>#N/A</v>
      </c>
      <c r="E1554" s="142" t="e">
        <f>(VLOOKUP(D1554,$D$2:$E$4,2,FALSE))-(IF('Informe Kelly'!H1548=$A$2,'Informe Kelly'!F1548,VLOOKUP(D1554,$D$2:$E$4,2,FALSE)))</f>
        <v>#N/A</v>
      </c>
      <c r="F1554" s="142" t="e">
        <f>IF('Informe Kelly'!H1548=$A$3,'Informe Kelly'!F1548,VLOOKUP(D1554,$D$2:$F$4,3,FALSE))-(VLOOKUP(D1554,$D$2:$F$4,3,FALSE))</f>
        <v>#N/A</v>
      </c>
      <c r="G1554" s="137" t="e">
        <f t="shared" si="28"/>
        <v>#N/A</v>
      </c>
    </row>
    <row r="1555" spans="1:7">
      <c r="A1555" s="112" t="str">
        <f>VLOOKUP('Informe Kelly'!A1549,Base!A:B,2,FALSE)</f>
        <v>13.557.248-9</v>
      </c>
      <c r="B1555" s="112" t="str">
        <f>VLOOKUP('Informe Kelly'!A1549,Base!A:G,7,FALSE)</f>
        <v>BERRIOS LOPEZ OSCAR MAURICIO</v>
      </c>
      <c r="C1555" s="112" t="str">
        <f>'Informe Kelly'!E1549</f>
        <v>07.04.2011</v>
      </c>
      <c r="D1555" s="112" t="e">
        <f>VLOOKUP(A1555,Ingreso!K:P,6,FALSE)</f>
        <v>#N/A</v>
      </c>
      <c r="E1555" s="142" t="e">
        <f>(VLOOKUP(D1555,$D$2:$E$4,2,FALSE))-(IF('Informe Kelly'!H1549=$A$2,'Informe Kelly'!F1549,VLOOKUP(D1555,$D$2:$E$4,2,FALSE)))</f>
        <v>#N/A</v>
      </c>
      <c r="F1555" s="142" t="e">
        <f>IF('Informe Kelly'!H1549=$A$3,'Informe Kelly'!F1549,VLOOKUP(D1555,$D$2:$F$4,3,FALSE))-(VLOOKUP(D1555,$D$2:$F$4,3,FALSE))</f>
        <v>#N/A</v>
      </c>
      <c r="G1555" s="137" t="e">
        <f t="shared" si="28"/>
        <v>#N/A</v>
      </c>
    </row>
    <row r="1556" spans="1:7">
      <c r="A1556" s="112" t="str">
        <f>VLOOKUP('Informe Kelly'!A1550,Base!A:B,2,FALSE)</f>
        <v>13.557.248-9</v>
      </c>
      <c r="B1556" s="112" t="str">
        <f>VLOOKUP('Informe Kelly'!A1550,Base!A:G,7,FALSE)</f>
        <v>BERRIOS LOPEZ OSCAR MAURICIO</v>
      </c>
      <c r="C1556" s="112" t="str">
        <f>'Informe Kelly'!E1550</f>
        <v>08.04.2011</v>
      </c>
      <c r="D1556" s="112" t="e">
        <f>VLOOKUP(A1556,Ingreso!K:P,6,FALSE)</f>
        <v>#N/A</v>
      </c>
      <c r="E1556" s="142" t="e">
        <f>(VLOOKUP(D1556,$D$2:$E$4,2,FALSE))-(IF('Informe Kelly'!H1550=$A$2,'Informe Kelly'!F1550,VLOOKUP(D1556,$D$2:$E$4,2,FALSE)))</f>
        <v>#N/A</v>
      </c>
      <c r="F1556" s="142" t="e">
        <f>IF('Informe Kelly'!H1550=$A$3,'Informe Kelly'!F1550,VLOOKUP(D1556,$D$2:$F$4,3,FALSE))-(VLOOKUP(D1556,$D$2:$F$4,3,FALSE))</f>
        <v>#N/A</v>
      </c>
      <c r="G1556" s="137" t="e">
        <f t="shared" si="28"/>
        <v>#N/A</v>
      </c>
    </row>
    <row r="1557" spans="1:7">
      <c r="A1557" s="112" t="str">
        <f>VLOOKUP('Informe Kelly'!A1551,Base!A:B,2,FALSE)</f>
        <v>13.557.248-9</v>
      </c>
      <c r="B1557" s="112" t="str">
        <f>VLOOKUP('Informe Kelly'!A1551,Base!A:G,7,FALSE)</f>
        <v>BERRIOS LOPEZ OSCAR MAURICIO</v>
      </c>
      <c r="C1557" s="112" t="str">
        <f>'Informe Kelly'!E1551</f>
        <v>08.04.2011</v>
      </c>
      <c r="D1557" s="112" t="e">
        <f>VLOOKUP(A1557,Ingreso!K:P,6,FALSE)</f>
        <v>#N/A</v>
      </c>
      <c r="E1557" s="142" t="e">
        <f>(VLOOKUP(D1557,$D$2:$E$4,2,FALSE))-(IF('Informe Kelly'!H1551=$A$2,'Informe Kelly'!F1551,VLOOKUP(D1557,$D$2:$E$4,2,FALSE)))</f>
        <v>#N/A</v>
      </c>
      <c r="F1557" s="142" t="e">
        <f>IF('Informe Kelly'!H1551=$A$3,'Informe Kelly'!F1551,VLOOKUP(D1557,$D$2:$F$4,3,FALSE))-(VLOOKUP(D1557,$D$2:$F$4,3,FALSE))</f>
        <v>#N/A</v>
      </c>
      <c r="G1557" s="137" t="e">
        <f t="shared" si="28"/>
        <v>#N/A</v>
      </c>
    </row>
    <row r="1558" spans="1:7">
      <c r="A1558" s="112" t="str">
        <f>VLOOKUP('Informe Kelly'!A1552,Base!A:B,2,FALSE)</f>
        <v>13.638.571-2</v>
      </c>
      <c r="B1558" s="112" t="str">
        <f>VLOOKUP('Informe Kelly'!A1552,Base!A:G,7,FALSE)</f>
        <v>SALINAS MARIN EDUARDO</v>
      </c>
      <c r="C1558" s="112" t="str">
        <f>'Informe Kelly'!E1552</f>
        <v>04.04.2011</v>
      </c>
      <c r="D1558" s="112" t="e">
        <f>VLOOKUP(A1558,Ingreso!K:P,6,FALSE)</f>
        <v>#N/A</v>
      </c>
      <c r="E1558" s="142" t="e">
        <f>(VLOOKUP(D1558,$D$2:$E$4,2,FALSE))-(IF('Informe Kelly'!H1552=$A$2,'Informe Kelly'!F1552,VLOOKUP(D1558,$D$2:$E$4,2,FALSE)))</f>
        <v>#N/A</v>
      </c>
      <c r="F1558" s="142" t="e">
        <f>IF('Informe Kelly'!H1552=$A$3,'Informe Kelly'!F1552,VLOOKUP(D1558,$D$2:$F$4,3,FALSE))-(VLOOKUP(D1558,$D$2:$F$4,3,FALSE))</f>
        <v>#N/A</v>
      </c>
      <c r="G1558" s="137" t="e">
        <f t="shared" si="28"/>
        <v>#N/A</v>
      </c>
    </row>
    <row r="1559" spans="1:7">
      <c r="A1559" s="112" t="str">
        <f>VLOOKUP('Informe Kelly'!A1553,Base!A:B,2,FALSE)</f>
        <v>13.638.571-2</v>
      </c>
      <c r="B1559" s="112" t="str">
        <f>VLOOKUP('Informe Kelly'!A1553,Base!A:G,7,FALSE)</f>
        <v>SALINAS MARIN EDUARDO</v>
      </c>
      <c r="C1559" s="112" t="str">
        <f>'Informe Kelly'!E1553</f>
        <v>04.04.2011</v>
      </c>
      <c r="D1559" s="112" t="e">
        <f>VLOOKUP(A1559,Ingreso!K:P,6,FALSE)</f>
        <v>#N/A</v>
      </c>
      <c r="E1559" s="142" t="e">
        <f>(VLOOKUP(D1559,$D$2:$E$4,2,FALSE))-(IF('Informe Kelly'!H1553=$A$2,'Informe Kelly'!F1553,VLOOKUP(D1559,$D$2:$E$4,2,FALSE)))</f>
        <v>#N/A</v>
      </c>
      <c r="F1559" s="142" t="e">
        <f>IF('Informe Kelly'!H1553=$A$3,'Informe Kelly'!F1553,VLOOKUP(D1559,$D$2:$F$4,3,FALSE))-(VLOOKUP(D1559,$D$2:$F$4,3,FALSE))</f>
        <v>#N/A</v>
      </c>
      <c r="G1559" s="137" t="e">
        <f t="shared" si="28"/>
        <v>#N/A</v>
      </c>
    </row>
    <row r="1560" spans="1:7">
      <c r="A1560" s="112" t="str">
        <f>VLOOKUP('Informe Kelly'!A1554,Base!A:B,2,FALSE)</f>
        <v>13.638.571-2</v>
      </c>
      <c r="B1560" s="112" t="str">
        <f>VLOOKUP('Informe Kelly'!A1554,Base!A:G,7,FALSE)</f>
        <v>SALINAS MARIN EDUARDO</v>
      </c>
      <c r="C1560" s="112" t="str">
        <f>'Informe Kelly'!E1554</f>
        <v>05.04.2011</v>
      </c>
      <c r="D1560" s="112" t="e">
        <f>VLOOKUP(A1560,Ingreso!K:P,6,FALSE)</f>
        <v>#N/A</v>
      </c>
      <c r="E1560" s="142" t="e">
        <f>(VLOOKUP(D1560,$D$2:$E$4,2,FALSE))-(IF('Informe Kelly'!H1554=$A$2,'Informe Kelly'!F1554,VLOOKUP(D1560,$D$2:$E$4,2,FALSE)))</f>
        <v>#N/A</v>
      </c>
      <c r="F1560" s="142" t="e">
        <f>IF('Informe Kelly'!H1554=$A$3,'Informe Kelly'!F1554,VLOOKUP(D1560,$D$2:$F$4,3,FALSE))-(VLOOKUP(D1560,$D$2:$F$4,3,FALSE))</f>
        <v>#N/A</v>
      </c>
      <c r="G1560" s="137" t="e">
        <f t="shared" si="28"/>
        <v>#N/A</v>
      </c>
    </row>
    <row r="1561" spans="1:7">
      <c r="A1561" s="112" t="str">
        <f>VLOOKUP('Informe Kelly'!A1555,Base!A:B,2,FALSE)</f>
        <v>13.638.571-2</v>
      </c>
      <c r="B1561" s="112" t="str">
        <f>VLOOKUP('Informe Kelly'!A1555,Base!A:G,7,FALSE)</f>
        <v>SALINAS MARIN EDUARDO</v>
      </c>
      <c r="C1561" s="112" t="str">
        <f>'Informe Kelly'!E1555</f>
        <v>05.04.2011</v>
      </c>
      <c r="D1561" s="112" t="e">
        <f>VLOOKUP(A1561,Ingreso!K:P,6,FALSE)</f>
        <v>#N/A</v>
      </c>
      <c r="E1561" s="142" t="e">
        <f>(VLOOKUP(D1561,$D$2:$E$4,2,FALSE))-(IF('Informe Kelly'!H1555=$A$2,'Informe Kelly'!F1555,VLOOKUP(D1561,$D$2:$E$4,2,FALSE)))</f>
        <v>#N/A</v>
      </c>
      <c r="F1561" s="142" t="e">
        <f>IF('Informe Kelly'!H1555=$A$3,'Informe Kelly'!F1555,VLOOKUP(D1561,$D$2:$F$4,3,FALSE))-(VLOOKUP(D1561,$D$2:$F$4,3,FALSE))</f>
        <v>#N/A</v>
      </c>
      <c r="G1561" s="137" t="e">
        <f t="shared" si="28"/>
        <v>#N/A</v>
      </c>
    </row>
    <row r="1562" spans="1:7">
      <c r="A1562" s="112" t="str">
        <f>VLOOKUP('Informe Kelly'!A1556,Base!A:B,2,FALSE)</f>
        <v>13.638.571-2</v>
      </c>
      <c r="B1562" s="112" t="str">
        <f>VLOOKUP('Informe Kelly'!A1556,Base!A:G,7,FALSE)</f>
        <v>SALINAS MARIN EDUARDO</v>
      </c>
      <c r="C1562" s="112" t="str">
        <f>'Informe Kelly'!E1556</f>
        <v>07.04.2011</v>
      </c>
      <c r="D1562" s="112" t="e">
        <f>VLOOKUP(A1562,Ingreso!K:P,6,FALSE)</f>
        <v>#N/A</v>
      </c>
      <c r="E1562" s="142" t="e">
        <f>(VLOOKUP(D1562,$D$2:$E$4,2,FALSE))-(IF('Informe Kelly'!H1556=$A$2,'Informe Kelly'!F1556,VLOOKUP(D1562,$D$2:$E$4,2,FALSE)))</f>
        <v>#N/A</v>
      </c>
      <c r="F1562" s="142" t="e">
        <f>IF('Informe Kelly'!H1556=$A$3,'Informe Kelly'!F1556,VLOOKUP(D1562,$D$2:$F$4,3,FALSE))-(VLOOKUP(D1562,$D$2:$F$4,3,FALSE))</f>
        <v>#N/A</v>
      </c>
      <c r="G1562" s="137" t="e">
        <f t="shared" si="28"/>
        <v>#N/A</v>
      </c>
    </row>
    <row r="1563" spans="1:7">
      <c r="A1563" s="112" t="str">
        <f>VLOOKUP('Informe Kelly'!A1557,Base!A:B,2,FALSE)</f>
        <v>13.638.571-2</v>
      </c>
      <c r="B1563" s="112" t="str">
        <f>VLOOKUP('Informe Kelly'!A1557,Base!A:G,7,FALSE)</f>
        <v>SALINAS MARIN EDUARDO</v>
      </c>
      <c r="C1563" s="112" t="str">
        <f>'Informe Kelly'!E1557</f>
        <v>07.04.2011</v>
      </c>
      <c r="D1563" s="112" t="e">
        <f>VLOOKUP(A1563,Ingreso!K:P,6,FALSE)</f>
        <v>#N/A</v>
      </c>
      <c r="E1563" s="142" t="e">
        <f>(VLOOKUP(D1563,$D$2:$E$4,2,FALSE))-(IF('Informe Kelly'!H1557=$A$2,'Informe Kelly'!F1557,VLOOKUP(D1563,$D$2:$E$4,2,FALSE)))</f>
        <v>#N/A</v>
      </c>
      <c r="F1563" s="142" t="e">
        <f>IF('Informe Kelly'!H1557=$A$3,'Informe Kelly'!F1557,VLOOKUP(D1563,$D$2:$F$4,3,FALSE))-(VLOOKUP(D1563,$D$2:$F$4,3,FALSE))</f>
        <v>#N/A</v>
      </c>
      <c r="G1563" s="137" t="e">
        <f t="shared" si="28"/>
        <v>#N/A</v>
      </c>
    </row>
    <row r="1564" spans="1:7">
      <c r="A1564" s="112" t="str">
        <f>VLOOKUP('Informe Kelly'!A1558,Base!A:B,2,FALSE)</f>
        <v>13.638.571-2</v>
      </c>
      <c r="B1564" s="112" t="str">
        <f>VLOOKUP('Informe Kelly'!A1558,Base!A:G,7,FALSE)</f>
        <v>SALINAS MARIN EDUARDO</v>
      </c>
      <c r="C1564" s="112" t="str">
        <f>'Informe Kelly'!E1558</f>
        <v>08.04.2011</v>
      </c>
      <c r="D1564" s="112" t="e">
        <f>VLOOKUP(A1564,Ingreso!K:P,6,FALSE)</f>
        <v>#N/A</v>
      </c>
      <c r="E1564" s="142" t="e">
        <f>(VLOOKUP(D1564,$D$2:$E$4,2,FALSE))-(IF('Informe Kelly'!H1558=$A$2,'Informe Kelly'!F1558,VLOOKUP(D1564,$D$2:$E$4,2,FALSE)))</f>
        <v>#N/A</v>
      </c>
      <c r="F1564" s="142" t="e">
        <f>IF('Informe Kelly'!H1558=$A$3,'Informe Kelly'!F1558,VLOOKUP(D1564,$D$2:$F$4,3,FALSE))-(VLOOKUP(D1564,$D$2:$F$4,3,FALSE))</f>
        <v>#N/A</v>
      </c>
      <c r="G1564" s="137" t="e">
        <f t="shared" si="28"/>
        <v>#N/A</v>
      </c>
    </row>
    <row r="1565" spans="1:7">
      <c r="A1565" s="112" t="str">
        <f>VLOOKUP('Informe Kelly'!A1559,Base!A:B,2,FALSE)</f>
        <v>13.638.571-2</v>
      </c>
      <c r="B1565" s="112" t="str">
        <f>VLOOKUP('Informe Kelly'!A1559,Base!A:G,7,FALSE)</f>
        <v>SALINAS MARIN EDUARDO</v>
      </c>
      <c r="C1565" s="112" t="str">
        <f>'Informe Kelly'!E1559</f>
        <v>08.04.2011</v>
      </c>
      <c r="D1565" s="112" t="e">
        <f>VLOOKUP(A1565,Ingreso!K:P,6,FALSE)</f>
        <v>#N/A</v>
      </c>
      <c r="E1565" s="142" t="e">
        <f>(VLOOKUP(D1565,$D$2:$E$4,2,FALSE))-(IF('Informe Kelly'!H1559=$A$2,'Informe Kelly'!F1559,VLOOKUP(D1565,$D$2:$E$4,2,FALSE)))</f>
        <v>#N/A</v>
      </c>
      <c r="F1565" s="142" t="e">
        <f>IF('Informe Kelly'!H1559=$A$3,'Informe Kelly'!F1559,VLOOKUP(D1565,$D$2:$F$4,3,FALSE))-(VLOOKUP(D1565,$D$2:$F$4,3,FALSE))</f>
        <v>#N/A</v>
      </c>
      <c r="G1565" s="137" t="e">
        <f t="shared" si="28"/>
        <v>#N/A</v>
      </c>
    </row>
    <row r="1566" spans="1:7">
      <c r="A1566" s="112" t="str">
        <f>VLOOKUP('Informe Kelly'!A1560,Base!A:B,2,FALSE)</f>
        <v>13.638.571-2</v>
      </c>
      <c r="B1566" s="112" t="str">
        <f>VLOOKUP('Informe Kelly'!A1560,Base!A:G,7,FALSE)</f>
        <v>SALINAS MARIN EDUARDO</v>
      </c>
      <c r="C1566" s="112" t="str">
        <f>'Informe Kelly'!E1560</f>
        <v>09.04.2011</v>
      </c>
      <c r="D1566" s="112" t="e">
        <f>VLOOKUP(A1566,Ingreso!K:P,6,FALSE)</f>
        <v>#N/A</v>
      </c>
      <c r="E1566" s="142" t="e">
        <f>(VLOOKUP(D1566,$D$2:$E$4,2,FALSE))-(IF('Informe Kelly'!H1560=$A$2,'Informe Kelly'!F1560,VLOOKUP(D1566,$D$2:$E$4,2,FALSE)))</f>
        <v>#N/A</v>
      </c>
      <c r="F1566" s="142" t="e">
        <f>IF('Informe Kelly'!H1560=$A$3,'Informe Kelly'!F1560,VLOOKUP(D1566,$D$2:$F$4,3,FALSE))-(VLOOKUP(D1566,$D$2:$F$4,3,FALSE))</f>
        <v>#N/A</v>
      </c>
      <c r="G1566" s="137" t="e">
        <f t="shared" si="28"/>
        <v>#N/A</v>
      </c>
    </row>
    <row r="1567" spans="1:7">
      <c r="A1567" s="112" t="str">
        <f>VLOOKUP('Informe Kelly'!A1561,Base!A:B,2,FALSE)</f>
        <v>13.638.571-2</v>
      </c>
      <c r="B1567" s="112" t="str">
        <f>VLOOKUP('Informe Kelly'!A1561,Base!A:G,7,FALSE)</f>
        <v>SALINAS MARIN EDUARDO</v>
      </c>
      <c r="C1567" s="112" t="str">
        <f>'Informe Kelly'!E1561</f>
        <v>09.04.2011</v>
      </c>
      <c r="D1567" s="112" t="e">
        <f>VLOOKUP(A1567,Ingreso!K:P,6,FALSE)</f>
        <v>#N/A</v>
      </c>
      <c r="E1567" s="142" t="e">
        <f>(VLOOKUP(D1567,$D$2:$E$4,2,FALSE))-(IF('Informe Kelly'!H1561=$A$2,'Informe Kelly'!F1561,VLOOKUP(D1567,$D$2:$E$4,2,FALSE)))</f>
        <v>#N/A</v>
      </c>
      <c r="F1567" s="142" t="e">
        <f>IF('Informe Kelly'!H1561=$A$3,'Informe Kelly'!F1561,VLOOKUP(D1567,$D$2:$F$4,3,FALSE))-(VLOOKUP(D1567,$D$2:$F$4,3,FALSE))</f>
        <v>#N/A</v>
      </c>
      <c r="G1567" s="137" t="e">
        <f t="shared" si="28"/>
        <v>#N/A</v>
      </c>
    </row>
    <row r="1568" spans="1:7">
      <c r="A1568" s="112" t="str">
        <f>VLOOKUP('Informe Kelly'!A1562,Base!A:B,2,FALSE)</f>
        <v>13.681.026-K</v>
      </c>
      <c r="B1568" s="112" t="str">
        <f>VLOOKUP('Informe Kelly'!A1562,Base!A:G,7,FALSE)</f>
        <v>OYANEDEL COFRE JULIO HERNAN</v>
      </c>
      <c r="C1568" s="112" t="str">
        <f>'Informe Kelly'!E1562</f>
        <v>04.04.2011</v>
      </c>
      <c r="D1568" s="112" t="e">
        <f>VLOOKUP(A1568,Ingreso!K:P,6,FALSE)</f>
        <v>#N/A</v>
      </c>
      <c r="E1568" s="142" t="e">
        <f>(VLOOKUP(D1568,$D$2:$E$4,2,FALSE))-(IF('Informe Kelly'!H1562=$A$2,'Informe Kelly'!F1562,VLOOKUP(D1568,$D$2:$E$4,2,FALSE)))</f>
        <v>#N/A</v>
      </c>
      <c r="F1568" s="142" t="e">
        <f>IF('Informe Kelly'!H1562=$A$3,'Informe Kelly'!F1562,VLOOKUP(D1568,$D$2:$F$4,3,FALSE))-(VLOOKUP(D1568,$D$2:$F$4,3,FALSE))</f>
        <v>#N/A</v>
      </c>
      <c r="G1568" s="137" t="e">
        <f t="shared" si="28"/>
        <v>#N/A</v>
      </c>
    </row>
    <row r="1569" spans="1:7">
      <c r="A1569" s="112" t="str">
        <f>VLOOKUP('Informe Kelly'!A1563,Base!A:B,2,FALSE)</f>
        <v>13.681.026-K</v>
      </c>
      <c r="B1569" s="112" t="str">
        <f>VLOOKUP('Informe Kelly'!A1563,Base!A:G,7,FALSE)</f>
        <v>OYANEDEL COFRE JULIO HERNAN</v>
      </c>
      <c r="C1569" s="112" t="str">
        <f>'Informe Kelly'!E1563</f>
        <v>04.04.2011</v>
      </c>
      <c r="D1569" s="112" t="e">
        <f>VLOOKUP(A1569,Ingreso!K:P,6,FALSE)</f>
        <v>#N/A</v>
      </c>
      <c r="E1569" s="142" t="e">
        <f>(VLOOKUP(D1569,$D$2:$E$4,2,FALSE))-(IF('Informe Kelly'!H1563=$A$2,'Informe Kelly'!F1563,VLOOKUP(D1569,$D$2:$E$4,2,FALSE)))</f>
        <v>#N/A</v>
      </c>
      <c r="F1569" s="142" t="e">
        <f>IF('Informe Kelly'!H1563=$A$3,'Informe Kelly'!F1563,VLOOKUP(D1569,$D$2:$F$4,3,FALSE))-(VLOOKUP(D1569,$D$2:$F$4,3,FALSE))</f>
        <v>#N/A</v>
      </c>
      <c r="G1569" s="137" t="e">
        <f t="shared" si="28"/>
        <v>#N/A</v>
      </c>
    </row>
    <row r="1570" spans="1:7">
      <c r="A1570" s="112" t="str">
        <f>VLOOKUP('Informe Kelly'!A1564,Base!A:B,2,FALSE)</f>
        <v>13.681.026-K</v>
      </c>
      <c r="B1570" s="112" t="str">
        <f>VLOOKUP('Informe Kelly'!A1564,Base!A:G,7,FALSE)</f>
        <v>OYANEDEL COFRE JULIO HERNAN</v>
      </c>
      <c r="C1570" s="112" t="str">
        <f>'Informe Kelly'!E1564</f>
        <v>05.04.2011</v>
      </c>
      <c r="D1570" s="112" t="e">
        <f>VLOOKUP(A1570,Ingreso!K:P,6,FALSE)</f>
        <v>#N/A</v>
      </c>
      <c r="E1570" s="142" t="e">
        <f>(VLOOKUP(D1570,$D$2:$E$4,2,FALSE))-(IF('Informe Kelly'!H1564=$A$2,'Informe Kelly'!F1564,VLOOKUP(D1570,$D$2:$E$4,2,FALSE)))</f>
        <v>#N/A</v>
      </c>
      <c r="F1570" s="142" t="e">
        <f>IF('Informe Kelly'!H1564=$A$3,'Informe Kelly'!F1564,VLOOKUP(D1570,$D$2:$F$4,3,FALSE))-(VLOOKUP(D1570,$D$2:$F$4,3,FALSE))</f>
        <v>#N/A</v>
      </c>
      <c r="G1570" s="137" t="e">
        <f t="shared" si="28"/>
        <v>#N/A</v>
      </c>
    </row>
    <row r="1571" spans="1:7">
      <c r="A1571" s="112" t="str">
        <f>VLOOKUP('Informe Kelly'!A1565,Base!A:B,2,FALSE)</f>
        <v>13.681.026-K</v>
      </c>
      <c r="B1571" s="112" t="str">
        <f>VLOOKUP('Informe Kelly'!A1565,Base!A:G,7,FALSE)</f>
        <v>OYANEDEL COFRE JULIO HERNAN</v>
      </c>
      <c r="C1571" s="112" t="str">
        <f>'Informe Kelly'!E1565</f>
        <v>05.04.2011</v>
      </c>
      <c r="D1571" s="112" t="e">
        <f>VLOOKUP(A1571,Ingreso!K:P,6,FALSE)</f>
        <v>#N/A</v>
      </c>
      <c r="E1571" s="142" t="e">
        <f>(VLOOKUP(D1571,$D$2:$E$4,2,FALSE))-(IF('Informe Kelly'!H1565=$A$2,'Informe Kelly'!F1565,VLOOKUP(D1571,$D$2:$E$4,2,FALSE)))</f>
        <v>#N/A</v>
      </c>
      <c r="F1571" s="142" t="e">
        <f>IF('Informe Kelly'!H1565=$A$3,'Informe Kelly'!F1565,VLOOKUP(D1571,$D$2:$F$4,3,FALSE))-(VLOOKUP(D1571,$D$2:$F$4,3,FALSE))</f>
        <v>#N/A</v>
      </c>
      <c r="G1571" s="137" t="e">
        <f t="shared" si="28"/>
        <v>#N/A</v>
      </c>
    </row>
    <row r="1572" spans="1:7">
      <c r="A1572" s="112" t="str">
        <f>VLOOKUP('Informe Kelly'!A1566,Base!A:B,2,FALSE)</f>
        <v>13.681.026-K</v>
      </c>
      <c r="B1572" s="112" t="str">
        <f>VLOOKUP('Informe Kelly'!A1566,Base!A:G,7,FALSE)</f>
        <v>OYANEDEL COFRE JULIO HERNAN</v>
      </c>
      <c r="C1572" s="112" t="str">
        <f>'Informe Kelly'!E1566</f>
        <v>06.04.2011</v>
      </c>
      <c r="D1572" s="112" t="e">
        <f>VLOOKUP(A1572,Ingreso!K:P,6,FALSE)</f>
        <v>#N/A</v>
      </c>
      <c r="E1572" s="142" t="e">
        <f>(VLOOKUP(D1572,$D$2:$E$4,2,FALSE))-(IF('Informe Kelly'!H1566=$A$2,'Informe Kelly'!F1566,VLOOKUP(D1572,$D$2:$E$4,2,FALSE)))</f>
        <v>#N/A</v>
      </c>
      <c r="F1572" s="142" t="e">
        <f>IF('Informe Kelly'!H1566=$A$3,'Informe Kelly'!F1566,VLOOKUP(D1572,$D$2:$F$4,3,FALSE))-(VLOOKUP(D1572,$D$2:$F$4,3,FALSE))</f>
        <v>#N/A</v>
      </c>
      <c r="G1572" s="137" t="e">
        <f t="shared" si="28"/>
        <v>#N/A</v>
      </c>
    </row>
    <row r="1573" spans="1:7">
      <c r="A1573" s="112" t="str">
        <f>VLOOKUP('Informe Kelly'!A1567,Base!A:B,2,FALSE)</f>
        <v>13.681.026-K</v>
      </c>
      <c r="B1573" s="112" t="str">
        <f>VLOOKUP('Informe Kelly'!A1567,Base!A:G,7,FALSE)</f>
        <v>OYANEDEL COFRE JULIO HERNAN</v>
      </c>
      <c r="C1573" s="112" t="str">
        <f>'Informe Kelly'!E1567</f>
        <v>06.04.2011</v>
      </c>
      <c r="D1573" s="112" t="e">
        <f>VLOOKUP(A1573,Ingreso!K:P,6,FALSE)</f>
        <v>#N/A</v>
      </c>
      <c r="E1573" s="142" t="e">
        <f>(VLOOKUP(D1573,$D$2:$E$4,2,FALSE))-(IF('Informe Kelly'!H1567=$A$2,'Informe Kelly'!F1567,VLOOKUP(D1573,$D$2:$E$4,2,FALSE)))</f>
        <v>#N/A</v>
      </c>
      <c r="F1573" s="142" t="e">
        <f>IF('Informe Kelly'!H1567=$A$3,'Informe Kelly'!F1567,VLOOKUP(D1573,$D$2:$F$4,3,FALSE))-(VLOOKUP(D1573,$D$2:$F$4,3,FALSE))</f>
        <v>#N/A</v>
      </c>
      <c r="G1573" s="137" t="e">
        <f t="shared" si="28"/>
        <v>#N/A</v>
      </c>
    </row>
    <row r="1574" spans="1:7">
      <c r="A1574" s="112" t="str">
        <f>VLOOKUP('Informe Kelly'!A1568,Base!A:B,2,FALSE)</f>
        <v>13.681.026-K</v>
      </c>
      <c r="B1574" s="112" t="str">
        <f>VLOOKUP('Informe Kelly'!A1568,Base!A:G,7,FALSE)</f>
        <v>OYANEDEL COFRE JULIO HERNAN</v>
      </c>
      <c r="C1574" s="112" t="str">
        <f>'Informe Kelly'!E1568</f>
        <v>07.04.2011</v>
      </c>
      <c r="D1574" s="112" t="e">
        <f>VLOOKUP(A1574,Ingreso!K:P,6,FALSE)</f>
        <v>#N/A</v>
      </c>
      <c r="E1574" s="142" t="e">
        <f>(VLOOKUP(D1574,$D$2:$E$4,2,FALSE))-(IF('Informe Kelly'!H1568=$A$2,'Informe Kelly'!F1568,VLOOKUP(D1574,$D$2:$E$4,2,FALSE)))</f>
        <v>#N/A</v>
      </c>
      <c r="F1574" s="142" t="e">
        <f>IF('Informe Kelly'!H1568=$A$3,'Informe Kelly'!F1568,VLOOKUP(D1574,$D$2:$F$4,3,FALSE))-(VLOOKUP(D1574,$D$2:$F$4,3,FALSE))</f>
        <v>#N/A</v>
      </c>
      <c r="G1574" s="137" t="e">
        <f t="shared" si="28"/>
        <v>#N/A</v>
      </c>
    </row>
    <row r="1575" spans="1:7">
      <c r="A1575" s="112" t="str">
        <f>VLOOKUP('Informe Kelly'!A1569,Base!A:B,2,FALSE)</f>
        <v>13.681.026-K</v>
      </c>
      <c r="B1575" s="112" t="str">
        <f>VLOOKUP('Informe Kelly'!A1569,Base!A:G,7,FALSE)</f>
        <v>OYANEDEL COFRE JULIO HERNAN</v>
      </c>
      <c r="C1575" s="112" t="str">
        <f>'Informe Kelly'!E1569</f>
        <v>07.04.2011</v>
      </c>
      <c r="D1575" s="112" t="e">
        <f>VLOOKUP(A1575,Ingreso!K:P,6,FALSE)</f>
        <v>#N/A</v>
      </c>
      <c r="E1575" s="142" t="e">
        <f>(VLOOKUP(D1575,$D$2:$E$4,2,FALSE))-(IF('Informe Kelly'!H1569=$A$2,'Informe Kelly'!F1569,VLOOKUP(D1575,$D$2:$E$4,2,FALSE)))</f>
        <v>#N/A</v>
      </c>
      <c r="F1575" s="142" t="e">
        <f>IF('Informe Kelly'!H1569=$A$3,'Informe Kelly'!F1569,VLOOKUP(D1575,$D$2:$F$4,3,FALSE))-(VLOOKUP(D1575,$D$2:$F$4,3,FALSE))</f>
        <v>#N/A</v>
      </c>
      <c r="G1575" s="137" t="e">
        <f t="shared" si="28"/>
        <v>#N/A</v>
      </c>
    </row>
    <row r="1576" spans="1:7">
      <c r="A1576" s="112" t="str">
        <f>VLOOKUP('Informe Kelly'!A1570,Base!A:B,2,FALSE)</f>
        <v>13.681.026-K</v>
      </c>
      <c r="B1576" s="112" t="str">
        <f>VLOOKUP('Informe Kelly'!A1570,Base!A:G,7,FALSE)</f>
        <v>OYANEDEL COFRE JULIO HERNAN</v>
      </c>
      <c r="C1576" s="112" t="str">
        <f>'Informe Kelly'!E1570</f>
        <v>08.04.2011</v>
      </c>
      <c r="D1576" s="112" t="e">
        <f>VLOOKUP(A1576,Ingreso!K:P,6,FALSE)</f>
        <v>#N/A</v>
      </c>
      <c r="E1576" s="142" t="e">
        <f>(VLOOKUP(D1576,$D$2:$E$4,2,FALSE))-(IF('Informe Kelly'!H1570=$A$2,'Informe Kelly'!F1570,VLOOKUP(D1576,$D$2:$E$4,2,FALSE)))</f>
        <v>#N/A</v>
      </c>
      <c r="F1576" s="142" t="e">
        <f>IF('Informe Kelly'!H1570=$A$3,'Informe Kelly'!F1570,VLOOKUP(D1576,$D$2:$F$4,3,FALSE))-(VLOOKUP(D1576,$D$2:$F$4,3,FALSE))</f>
        <v>#N/A</v>
      </c>
      <c r="G1576" s="137" t="e">
        <f t="shared" si="28"/>
        <v>#N/A</v>
      </c>
    </row>
    <row r="1577" spans="1:7">
      <c r="A1577" s="112" t="str">
        <f>VLOOKUP('Informe Kelly'!A1571,Base!A:B,2,FALSE)</f>
        <v>13.681.026-K</v>
      </c>
      <c r="B1577" s="112" t="str">
        <f>VLOOKUP('Informe Kelly'!A1571,Base!A:G,7,FALSE)</f>
        <v>OYANEDEL COFRE JULIO HERNAN</v>
      </c>
      <c r="C1577" s="112" t="str">
        <f>'Informe Kelly'!E1571</f>
        <v>08.04.2011</v>
      </c>
      <c r="D1577" s="112" t="e">
        <f>VLOOKUP(A1577,Ingreso!K:P,6,FALSE)</f>
        <v>#N/A</v>
      </c>
      <c r="E1577" s="142" t="e">
        <f>(VLOOKUP(D1577,$D$2:$E$4,2,FALSE))-(IF('Informe Kelly'!H1571=$A$2,'Informe Kelly'!F1571,VLOOKUP(D1577,$D$2:$E$4,2,FALSE)))</f>
        <v>#N/A</v>
      </c>
      <c r="F1577" s="142" t="e">
        <f>IF('Informe Kelly'!H1571=$A$3,'Informe Kelly'!F1571,VLOOKUP(D1577,$D$2:$F$4,3,FALSE))-(VLOOKUP(D1577,$D$2:$F$4,3,FALSE))</f>
        <v>#N/A</v>
      </c>
      <c r="G1577" s="137" t="e">
        <f t="shared" si="28"/>
        <v>#N/A</v>
      </c>
    </row>
    <row r="1578" spans="1:7">
      <c r="A1578" s="112" t="str">
        <f>VLOOKUP('Informe Kelly'!A1572,Base!A:B,2,FALSE)</f>
        <v>13.681.026-K</v>
      </c>
      <c r="B1578" s="112" t="str">
        <f>VLOOKUP('Informe Kelly'!A1572,Base!A:G,7,FALSE)</f>
        <v>OYANEDEL COFRE JULIO HERNAN</v>
      </c>
      <c r="C1578" s="112" t="str">
        <f>'Informe Kelly'!E1572</f>
        <v>09.04.2011</v>
      </c>
      <c r="D1578" s="112" t="e">
        <f>VLOOKUP(A1578,Ingreso!K:P,6,FALSE)</f>
        <v>#N/A</v>
      </c>
      <c r="E1578" s="142" t="e">
        <f>(VLOOKUP(D1578,$D$2:$E$4,2,FALSE))-(IF('Informe Kelly'!H1572=$A$2,'Informe Kelly'!F1572,VLOOKUP(D1578,$D$2:$E$4,2,FALSE)))</f>
        <v>#N/A</v>
      </c>
      <c r="F1578" s="142" t="e">
        <f>IF('Informe Kelly'!H1572=$A$3,'Informe Kelly'!F1572,VLOOKUP(D1578,$D$2:$F$4,3,FALSE))-(VLOOKUP(D1578,$D$2:$F$4,3,FALSE))</f>
        <v>#N/A</v>
      </c>
      <c r="G1578" s="137" t="e">
        <f t="shared" si="28"/>
        <v>#N/A</v>
      </c>
    </row>
    <row r="1579" spans="1:7">
      <c r="A1579" s="112" t="str">
        <f>VLOOKUP('Informe Kelly'!A1573,Base!A:B,2,FALSE)</f>
        <v>13.681.026-K</v>
      </c>
      <c r="B1579" s="112" t="str">
        <f>VLOOKUP('Informe Kelly'!A1573,Base!A:G,7,FALSE)</f>
        <v>OYANEDEL COFRE JULIO HERNAN</v>
      </c>
      <c r="C1579" s="112" t="str">
        <f>'Informe Kelly'!E1573</f>
        <v>09.04.2011</v>
      </c>
      <c r="D1579" s="112" t="e">
        <f>VLOOKUP(A1579,Ingreso!K:P,6,FALSE)</f>
        <v>#N/A</v>
      </c>
      <c r="E1579" s="142" t="e">
        <f>(VLOOKUP(D1579,$D$2:$E$4,2,FALSE))-(IF('Informe Kelly'!H1573=$A$2,'Informe Kelly'!F1573,VLOOKUP(D1579,$D$2:$E$4,2,FALSE)))</f>
        <v>#N/A</v>
      </c>
      <c r="F1579" s="142" t="e">
        <f>IF('Informe Kelly'!H1573=$A$3,'Informe Kelly'!F1573,VLOOKUP(D1579,$D$2:$F$4,3,FALSE))-(VLOOKUP(D1579,$D$2:$F$4,3,FALSE))</f>
        <v>#N/A</v>
      </c>
      <c r="G1579" s="137" t="e">
        <f t="shared" si="28"/>
        <v>#N/A</v>
      </c>
    </row>
    <row r="1580" spans="1:7">
      <c r="A1580" s="112" t="str">
        <f>VLOOKUP('Informe Kelly'!A1574,Base!A:B,2,FALSE)</f>
        <v>13.688.839-0</v>
      </c>
      <c r="B1580" s="112" t="str">
        <f>VLOOKUP('Informe Kelly'!A1574,Base!A:G,7,FALSE)</f>
        <v>NOLBERTO  VILLAFAÑA  IBAÑEZ</v>
      </c>
      <c r="C1580" s="112" t="str">
        <f>'Informe Kelly'!E1574</f>
        <v>04.04.2011</v>
      </c>
      <c r="D1580" s="112" t="e">
        <f>VLOOKUP(A1580,Ingreso!K:P,6,FALSE)</f>
        <v>#N/A</v>
      </c>
      <c r="E1580" s="142" t="e">
        <f>(VLOOKUP(D1580,$D$2:$E$4,2,FALSE))-(IF('Informe Kelly'!H1574=$A$2,'Informe Kelly'!F1574,VLOOKUP(D1580,$D$2:$E$4,2,FALSE)))</f>
        <v>#N/A</v>
      </c>
      <c r="F1580" s="142" t="e">
        <f>IF('Informe Kelly'!H1574=$A$3,'Informe Kelly'!F1574,VLOOKUP(D1580,$D$2:$F$4,3,FALSE))-(VLOOKUP(D1580,$D$2:$F$4,3,FALSE))</f>
        <v>#N/A</v>
      </c>
      <c r="G1580" s="137" t="e">
        <f t="shared" si="28"/>
        <v>#N/A</v>
      </c>
    </row>
    <row r="1581" spans="1:7">
      <c r="A1581" s="112" t="str">
        <f>VLOOKUP('Informe Kelly'!A1575,Base!A:B,2,FALSE)</f>
        <v>13.688.839-0</v>
      </c>
      <c r="B1581" s="112" t="str">
        <f>VLOOKUP('Informe Kelly'!A1575,Base!A:G,7,FALSE)</f>
        <v>NOLBERTO  VILLAFAÑA  IBAÑEZ</v>
      </c>
      <c r="C1581" s="112" t="str">
        <f>'Informe Kelly'!E1575</f>
        <v>04.04.2011</v>
      </c>
      <c r="D1581" s="112" t="e">
        <f>VLOOKUP(A1581,Ingreso!K:P,6,FALSE)</f>
        <v>#N/A</v>
      </c>
      <c r="E1581" s="142" t="e">
        <f>(VLOOKUP(D1581,$D$2:$E$4,2,FALSE))-(IF('Informe Kelly'!H1575=$A$2,'Informe Kelly'!F1575,VLOOKUP(D1581,$D$2:$E$4,2,FALSE)))</f>
        <v>#N/A</v>
      </c>
      <c r="F1581" s="142" t="e">
        <f>IF('Informe Kelly'!H1575=$A$3,'Informe Kelly'!F1575,VLOOKUP(D1581,$D$2:$F$4,3,FALSE))-(VLOOKUP(D1581,$D$2:$F$4,3,FALSE))</f>
        <v>#N/A</v>
      </c>
      <c r="G1581" s="137" t="e">
        <f t="shared" si="28"/>
        <v>#N/A</v>
      </c>
    </row>
    <row r="1582" spans="1:7">
      <c r="A1582" s="112" t="str">
        <f>VLOOKUP('Informe Kelly'!A1576,Base!A:B,2,FALSE)</f>
        <v>13.688.839-0</v>
      </c>
      <c r="B1582" s="112" t="str">
        <f>VLOOKUP('Informe Kelly'!A1576,Base!A:G,7,FALSE)</f>
        <v>NOLBERTO  VILLAFAÑA  IBAÑEZ</v>
      </c>
      <c r="C1582" s="112" t="str">
        <f>'Informe Kelly'!E1576</f>
        <v>05.04.2011</v>
      </c>
      <c r="D1582" s="112" t="e">
        <f>VLOOKUP(A1582,Ingreso!K:P,6,FALSE)</f>
        <v>#N/A</v>
      </c>
      <c r="E1582" s="142" t="e">
        <f>(VLOOKUP(D1582,$D$2:$E$4,2,FALSE))-(IF('Informe Kelly'!H1576=$A$2,'Informe Kelly'!F1576,VLOOKUP(D1582,$D$2:$E$4,2,FALSE)))</f>
        <v>#N/A</v>
      </c>
      <c r="F1582" s="142" t="e">
        <f>IF('Informe Kelly'!H1576=$A$3,'Informe Kelly'!F1576,VLOOKUP(D1582,$D$2:$F$4,3,FALSE))-(VLOOKUP(D1582,$D$2:$F$4,3,FALSE))</f>
        <v>#N/A</v>
      </c>
      <c r="G1582" s="137" t="e">
        <f t="shared" si="28"/>
        <v>#N/A</v>
      </c>
    </row>
    <row r="1583" spans="1:7">
      <c r="A1583" s="112" t="str">
        <f>VLOOKUP('Informe Kelly'!A1577,Base!A:B,2,FALSE)</f>
        <v>13.688.839-0</v>
      </c>
      <c r="B1583" s="112" t="str">
        <f>VLOOKUP('Informe Kelly'!A1577,Base!A:G,7,FALSE)</f>
        <v>NOLBERTO  VILLAFAÑA  IBAÑEZ</v>
      </c>
      <c r="C1583" s="112" t="str">
        <f>'Informe Kelly'!E1577</f>
        <v>05.04.2011</v>
      </c>
      <c r="D1583" s="112" t="e">
        <f>VLOOKUP(A1583,Ingreso!K:P,6,FALSE)</f>
        <v>#N/A</v>
      </c>
      <c r="E1583" s="142" t="e">
        <f>(VLOOKUP(D1583,$D$2:$E$4,2,FALSE))-(IF('Informe Kelly'!H1577=$A$2,'Informe Kelly'!F1577,VLOOKUP(D1583,$D$2:$E$4,2,FALSE)))</f>
        <v>#N/A</v>
      </c>
      <c r="F1583" s="142" t="e">
        <f>IF('Informe Kelly'!H1577=$A$3,'Informe Kelly'!F1577,VLOOKUP(D1583,$D$2:$F$4,3,FALSE))-(VLOOKUP(D1583,$D$2:$F$4,3,FALSE))</f>
        <v>#N/A</v>
      </c>
      <c r="G1583" s="137" t="e">
        <f t="shared" si="28"/>
        <v>#N/A</v>
      </c>
    </row>
    <row r="1584" spans="1:7">
      <c r="A1584" s="112" t="str">
        <f>VLOOKUP('Informe Kelly'!A1578,Base!A:B,2,FALSE)</f>
        <v>13.688.839-0</v>
      </c>
      <c r="B1584" s="112" t="str">
        <f>VLOOKUP('Informe Kelly'!A1578,Base!A:G,7,FALSE)</f>
        <v>NOLBERTO  VILLAFAÑA  IBAÑEZ</v>
      </c>
      <c r="C1584" s="112" t="str">
        <f>'Informe Kelly'!E1578</f>
        <v>06.04.2011</v>
      </c>
      <c r="D1584" s="112" t="e">
        <f>VLOOKUP(A1584,Ingreso!K:P,6,FALSE)</f>
        <v>#N/A</v>
      </c>
      <c r="E1584" s="142" t="e">
        <f>(VLOOKUP(D1584,$D$2:$E$4,2,FALSE))-(IF('Informe Kelly'!H1578=$A$2,'Informe Kelly'!F1578,VLOOKUP(D1584,$D$2:$E$4,2,FALSE)))</f>
        <v>#N/A</v>
      </c>
      <c r="F1584" s="142" t="e">
        <f>IF('Informe Kelly'!H1578=$A$3,'Informe Kelly'!F1578,VLOOKUP(D1584,$D$2:$F$4,3,FALSE))-(VLOOKUP(D1584,$D$2:$F$4,3,FALSE))</f>
        <v>#N/A</v>
      </c>
      <c r="G1584" s="137" t="e">
        <f t="shared" si="28"/>
        <v>#N/A</v>
      </c>
    </row>
    <row r="1585" spans="1:7">
      <c r="A1585" s="112" t="str">
        <f>VLOOKUP('Informe Kelly'!A1579,Base!A:B,2,FALSE)</f>
        <v>13.688.839-0</v>
      </c>
      <c r="B1585" s="112" t="str">
        <f>VLOOKUP('Informe Kelly'!A1579,Base!A:G,7,FALSE)</f>
        <v>NOLBERTO  VILLAFAÑA  IBAÑEZ</v>
      </c>
      <c r="C1585" s="112" t="str">
        <f>'Informe Kelly'!E1579</f>
        <v>06.04.2011</v>
      </c>
      <c r="D1585" s="112" t="e">
        <f>VLOOKUP(A1585,Ingreso!K:P,6,FALSE)</f>
        <v>#N/A</v>
      </c>
      <c r="E1585" s="142" t="e">
        <f>(VLOOKUP(D1585,$D$2:$E$4,2,FALSE))-(IF('Informe Kelly'!H1579=$A$2,'Informe Kelly'!F1579,VLOOKUP(D1585,$D$2:$E$4,2,FALSE)))</f>
        <v>#N/A</v>
      </c>
      <c r="F1585" s="142" t="e">
        <f>IF('Informe Kelly'!H1579=$A$3,'Informe Kelly'!F1579,VLOOKUP(D1585,$D$2:$F$4,3,FALSE))-(VLOOKUP(D1585,$D$2:$F$4,3,FALSE))</f>
        <v>#N/A</v>
      </c>
      <c r="G1585" s="137" t="e">
        <f t="shared" si="28"/>
        <v>#N/A</v>
      </c>
    </row>
    <row r="1586" spans="1:7">
      <c r="A1586" s="112" t="str">
        <f>VLOOKUP('Informe Kelly'!A1580,Base!A:B,2,FALSE)</f>
        <v>13.688.839-0</v>
      </c>
      <c r="B1586" s="112" t="str">
        <f>VLOOKUP('Informe Kelly'!A1580,Base!A:G,7,FALSE)</f>
        <v>NOLBERTO  VILLAFAÑA  IBAÑEZ</v>
      </c>
      <c r="C1586" s="112" t="str">
        <f>'Informe Kelly'!E1580</f>
        <v>07.04.2011</v>
      </c>
      <c r="D1586" s="112" t="e">
        <f>VLOOKUP(A1586,Ingreso!K:P,6,FALSE)</f>
        <v>#N/A</v>
      </c>
      <c r="E1586" s="142" t="e">
        <f>(VLOOKUP(D1586,$D$2:$E$4,2,FALSE))-(IF('Informe Kelly'!H1580=$A$2,'Informe Kelly'!F1580,VLOOKUP(D1586,$D$2:$E$4,2,FALSE)))</f>
        <v>#N/A</v>
      </c>
      <c r="F1586" s="142" t="e">
        <f>IF('Informe Kelly'!H1580=$A$3,'Informe Kelly'!F1580,VLOOKUP(D1586,$D$2:$F$4,3,FALSE))-(VLOOKUP(D1586,$D$2:$F$4,3,FALSE))</f>
        <v>#N/A</v>
      </c>
      <c r="G1586" s="137" t="e">
        <f t="shared" si="28"/>
        <v>#N/A</v>
      </c>
    </row>
    <row r="1587" spans="1:7">
      <c r="A1587" s="112" t="str">
        <f>VLOOKUP('Informe Kelly'!A1581,Base!A:B,2,FALSE)</f>
        <v>13.688.839-0</v>
      </c>
      <c r="B1587" s="112" t="str">
        <f>VLOOKUP('Informe Kelly'!A1581,Base!A:G,7,FALSE)</f>
        <v>NOLBERTO  VILLAFAÑA  IBAÑEZ</v>
      </c>
      <c r="C1587" s="112" t="str">
        <f>'Informe Kelly'!E1581</f>
        <v>07.04.2011</v>
      </c>
      <c r="D1587" s="112" t="e">
        <f>VLOOKUP(A1587,Ingreso!K:P,6,FALSE)</f>
        <v>#N/A</v>
      </c>
      <c r="E1587" s="142" t="e">
        <f>(VLOOKUP(D1587,$D$2:$E$4,2,FALSE))-(IF('Informe Kelly'!H1581=$A$2,'Informe Kelly'!F1581,VLOOKUP(D1587,$D$2:$E$4,2,FALSE)))</f>
        <v>#N/A</v>
      </c>
      <c r="F1587" s="142" t="e">
        <f>IF('Informe Kelly'!H1581=$A$3,'Informe Kelly'!F1581,VLOOKUP(D1587,$D$2:$F$4,3,FALSE))-(VLOOKUP(D1587,$D$2:$F$4,3,FALSE))</f>
        <v>#N/A</v>
      </c>
      <c r="G1587" s="137" t="e">
        <f t="shared" si="28"/>
        <v>#N/A</v>
      </c>
    </row>
    <row r="1588" spans="1:7">
      <c r="A1588" s="112" t="str">
        <f>VLOOKUP('Informe Kelly'!A1582,Base!A:B,2,FALSE)</f>
        <v>13.688.839-0</v>
      </c>
      <c r="B1588" s="112" t="str">
        <f>VLOOKUP('Informe Kelly'!A1582,Base!A:G,7,FALSE)</f>
        <v>NOLBERTO  VILLAFAÑA  IBAÑEZ</v>
      </c>
      <c r="C1588" s="112" t="str">
        <f>'Informe Kelly'!E1582</f>
        <v>08.04.2011</v>
      </c>
      <c r="D1588" s="112" t="e">
        <f>VLOOKUP(A1588,Ingreso!K:P,6,FALSE)</f>
        <v>#N/A</v>
      </c>
      <c r="E1588" s="142" t="e">
        <f>(VLOOKUP(D1588,$D$2:$E$4,2,FALSE))-(IF('Informe Kelly'!H1582=$A$2,'Informe Kelly'!F1582,VLOOKUP(D1588,$D$2:$E$4,2,FALSE)))</f>
        <v>#N/A</v>
      </c>
      <c r="F1588" s="142" t="e">
        <f>IF('Informe Kelly'!H1582=$A$3,'Informe Kelly'!F1582,VLOOKUP(D1588,$D$2:$F$4,3,FALSE))-(VLOOKUP(D1588,$D$2:$F$4,3,FALSE))</f>
        <v>#N/A</v>
      </c>
      <c r="G1588" s="137" t="e">
        <f t="shared" si="28"/>
        <v>#N/A</v>
      </c>
    </row>
    <row r="1589" spans="1:7">
      <c r="A1589" s="112" t="str">
        <f>VLOOKUP('Informe Kelly'!A1583,Base!A:B,2,FALSE)</f>
        <v>13.688.839-0</v>
      </c>
      <c r="B1589" s="112" t="str">
        <f>VLOOKUP('Informe Kelly'!A1583,Base!A:G,7,FALSE)</f>
        <v>NOLBERTO  VILLAFAÑA  IBAÑEZ</v>
      </c>
      <c r="C1589" s="112" t="str">
        <f>'Informe Kelly'!E1583</f>
        <v>08.04.2011</v>
      </c>
      <c r="D1589" s="112" t="e">
        <f>VLOOKUP(A1589,Ingreso!K:P,6,FALSE)</f>
        <v>#N/A</v>
      </c>
      <c r="E1589" s="142" t="e">
        <f>(VLOOKUP(D1589,$D$2:$E$4,2,FALSE))-(IF('Informe Kelly'!H1583=$A$2,'Informe Kelly'!F1583,VLOOKUP(D1589,$D$2:$E$4,2,FALSE)))</f>
        <v>#N/A</v>
      </c>
      <c r="F1589" s="142" t="e">
        <f>IF('Informe Kelly'!H1583=$A$3,'Informe Kelly'!F1583,VLOOKUP(D1589,$D$2:$F$4,3,FALSE))-(VLOOKUP(D1589,$D$2:$F$4,3,FALSE))</f>
        <v>#N/A</v>
      </c>
      <c r="G1589" s="137" t="e">
        <f t="shared" si="28"/>
        <v>#N/A</v>
      </c>
    </row>
    <row r="1590" spans="1:7">
      <c r="A1590" s="112" t="str">
        <f>VLOOKUP('Informe Kelly'!A1584,Base!A:B,2,FALSE)</f>
        <v>13.688.839-0</v>
      </c>
      <c r="B1590" s="112" t="str">
        <f>VLOOKUP('Informe Kelly'!A1584,Base!A:G,7,FALSE)</f>
        <v>NOLBERTO  VILLAFAÑA  IBAÑEZ</v>
      </c>
      <c r="C1590" s="112" t="str">
        <f>'Informe Kelly'!E1584</f>
        <v>09.04.2011</v>
      </c>
      <c r="D1590" s="112" t="e">
        <f>VLOOKUP(A1590,Ingreso!K:P,6,FALSE)</f>
        <v>#N/A</v>
      </c>
      <c r="E1590" s="142" t="e">
        <f>(VLOOKUP(D1590,$D$2:$E$4,2,FALSE))-(IF('Informe Kelly'!H1584=$A$2,'Informe Kelly'!F1584,VLOOKUP(D1590,$D$2:$E$4,2,FALSE)))</f>
        <v>#N/A</v>
      </c>
      <c r="F1590" s="142" t="e">
        <f>IF('Informe Kelly'!H1584=$A$3,'Informe Kelly'!F1584,VLOOKUP(D1590,$D$2:$F$4,3,FALSE))-(VLOOKUP(D1590,$D$2:$F$4,3,FALSE))</f>
        <v>#N/A</v>
      </c>
      <c r="G1590" s="137" t="e">
        <f t="shared" si="28"/>
        <v>#N/A</v>
      </c>
    </row>
    <row r="1591" spans="1:7">
      <c r="A1591" s="112" t="str">
        <f>VLOOKUP('Informe Kelly'!A1585,Base!A:B,2,FALSE)</f>
        <v>13.688.839-0</v>
      </c>
      <c r="B1591" s="112" t="str">
        <f>VLOOKUP('Informe Kelly'!A1585,Base!A:G,7,FALSE)</f>
        <v>NOLBERTO  VILLAFAÑA  IBAÑEZ</v>
      </c>
      <c r="C1591" s="112" t="str">
        <f>'Informe Kelly'!E1585</f>
        <v>09.04.2011</v>
      </c>
      <c r="D1591" s="112" t="e">
        <f>VLOOKUP(A1591,Ingreso!K:P,6,FALSE)</f>
        <v>#N/A</v>
      </c>
      <c r="E1591" s="142" t="e">
        <f>(VLOOKUP(D1591,$D$2:$E$4,2,FALSE))-(IF('Informe Kelly'!H1585=$A$2,'Informe Kelly'!F1585,VLOOKUP(D1591,$D$2:$E$4,2,FALSE)))</f>
        <v>#N/A</v>
      </c>
      <c r="F1591" s="142" t="e">
        <f>IF('Informe Kelly'!H1585=$A$3,'Informe Kelly'!F1585,VLOOKUP(D1591,$D$2:$F$4,3,FALSE))-(VLOOKUP(D1591,$D$2:$F$4,3,FALSE))</f>
        <v>#N/A</v>
      </c>
      <c r="G1591" s="137" t="e">
        <f t="shared" si="28"/>
        <v>#N/A</v>
      </c>
    </row>
    <row r="1592" spans="1:7">
      <c r="A1592" s="112" t="str">
        <f>VLOOKUP('Informe Kelly'!A1586,Base!A:B,2,FALSE)</f>
        <v>13.700.526-3</v>
      </c>
      <c r="B1592" s="112" t="str">
        <f>VLOOKUP('Informe Kelly'!A1586,Base!A:G,7,FALSE)</f>
        <v>MORALES  NUÑEZ, PATRICIO</v>
      </c>
      <c r="C1592" s="112" t="str">
        <f>'Informe Kelly'!E1586</f>
        <v>04.04.2011</v>
      </c>
      <c r="D1592" s="112" t="e">
        <f>VLOOKUP(A1592,Ingreso!K:P,6,FALSE)</f>
        <v>#N/A</v>
      </c>
      <c r="E1592" s="142" t="e">
        <f>(VLOOKUP(D1592,$D$2:$E$4,2,FALSE))-(IF('Informe Kelly'!H1586=$A$2,'Informe Kelly'!F1586,VLOOKUP(D1592,$D$2:$E$4,2,FALSE)))</f>
        <v>#N/A</v>
      </c>
      <c r="F1592" s="142" t="e">
        <f>IF('Informe Kelly'!H1586=$A$3,'Informe Kelly'!F1586,VLOOKUP(D1592,$D$2:$F$4,3,FALSE))-(VLOOKUP(D1592,$D$2:$F$4,3,FALSE))</f>
        <v>#N/A</v>
      </c>
      <c r="G1592" s="137" t="e">
        <f t="shared" si="28"/>
        <v>#N/A</v>
      </c>
    </row>
    <row r="1593" spans="1:7">
      <c r="A1593" s="112" t="str">
        <f>VLOOKUP('Informe Kelly'!A1587,Base!A:B,2,FALSE)</f>
        <v>13.700.526-3</v>
      </c>
      <c r="B1593" s="112" t="str">
        <f>VLOOKUP('Informe Kelly'!A1587,Base!A:G,7,FALSE)</f>
        <v>MORALES  NUÑEZ, PATRICIO</v>
      </c>
      <c r="C1593" s="112" t="str">
        <f>'Informe Kelly'!E1587</f>
        <v>05.04.2011</v>
      </c>
      <c r="D1593" s="112" t="e">
        <f>VLOOKUP(A1593,Ingreso!K:P,6,FALSE)</f>
        <v>#N/A</v>
      </c>
      <c r="E1593" s="142" t="e">
        <f>(VLOOKUP(D1593,$D$2:$E$4,2,FALSE))-(IF('Informe Kelly'!H1587=$A$2,'Informe Kelly'!F1587,VLOOKUP(D1593,$D$2:$E$4,2,FALSE)))</f>
        <v>#N/A</v>
      </c>
      <c r="F1593" s="142" t="e">
        <f>IF('Informe Kelly'!H1587=$A$3,'Informe Kelly'!F1587,VLOOKUP(D1593,$D$2:$F$4,3,FALSE))-(VLOOKUP(D1593,$D$2:$F$4,3,FALSE))</f>
        <v>#N/A</v>
      </c>
      <c r="G1593" s="137" t="e">
        <f t="shared" si="28"/>
        <v>#N/A</v>
      </c>
    </row>
    <row r="1594" spans="1:7">
      <c r="A1594" s="112" t="str">
        <f>VLOOKUP('Informe Kelly'!A1588,Base!A:B,2,FALSE)</f>
        <v>13.700.526-3</v>
      </c>
      <c r="B1594" s="112" t="str">
        <f>VLOOKUP('Informe Kelly'!A1588,Base!A:G,7,FALSE)</f>
        <v>MORALES  NUÑEZ, PATRICIO</v>
      </c>
      <c r="C1594" s="112" t="str">
        <f>'Informe Kelly'!E1588</f>
        <v>05.04.2011</v>
      </c>
      <c r="D1594" s="112" t="e">
        <f>VLOOKUP(A1594,Ingreso!K:P,6,FALSE)</f>
        <v>#N/A</v>
      </c>
      <c r="E1594" s="142" t="e">
        <f>(VLOOKUP(D1594,$D$2:$E$4,2,FALSE))-(IF('Informe Kelly'!H1588=$A$2,'Informe Kelly'!F1588,VLOOKUP(D1594,$D$2:$E$4,2,FALSE)))</f>
        <v>#N/A</v>
      </c>
      <c r="F1594" s="142" t="e">
        <f>IF('Informe Kelly'!H1588=$A$3,'Informe Kelly'!F1588,VLOOKUP(D1594,$D$2:$F$4,3,FALSE))-(VLOOKUP(D1594,$D$2:$F$4,3,FALSE))</f>
        <v>#N/A</v>
      </c>
      <c r="G1594" s="137" t="e">
        <f t="shared" si="28"/>
        <v>#N/A</v>
      </c>
    </row>
    <row r="1595" spans="1:7">
      <c r="A1595" s="112" t="str">
        <f>VLOOKUP('Informe Kelly'!A1589,Base!A:B,2,FALSE)</f>
        <v>13.700.526-3</v>
      </c>
      <c r="B1595" s="112" t="str">
        <f>VLOOKUP('Informe Kelly'!A1589,Base!A:G,7,FALSE)</f>
        <v>MORALES  NUÑEZ, PATRICIO</v>
      </c>
      <c r="C1595" s="112" t="str">
        <f>'Informe Kelly'!E1589</f>
        <v>06.04.2011</v>
      </c>
      <c r="D1595" s="112" t="e">
        <f>VLOOKUP(A1595,Ingreso!K:P,6,FALSE)</f>
        <v>#N/A</v>
      </c>
      <c r="E1595" s="142" t="e">
        <f>(VLOOKUP(D1595,$D$2:$E$4,2,FALSE))-(IF('Informe Kelly'!H1589=$A$2,'Informe Kelly'!F1589,VLOOKUP(D1595,$D$2:$E$4,2,FALSE)))</f>
        <v>#N/A</v>
      </c>
      <c r="F1595" s="142" t="e">
        <f>IF('Informe Kelly'!H1589=$A$3,'Informe Kelly'!F1589,VLOOKUP(D1595,$D$2:$F$4,3,FALSE))-(VLOOKUP(D1595,$D$2:$F$4,3,FALSE))</f>
        <v>#N/A</v>
      </c>
      <c r="G1595" s="137" t="e">
        <f t="shared" si="28"/>
        <v>#N/A</v>
      </c>
    </row>
    <row r="1596" spans="1:7">
      <c r="A1596" s="112" t="str">
        <f>VLOOKUP('Informe Kelly'!A1590,Base!A:B,2,FALSE)</f>
        <v>13.700.526-3</v>
      </c>
      <c r="B1596" s="112" t="str">
        <f>VLOOKUP('Informe Kelly'!A1590,Base!A:G,7,FALSE)</f>
        <v>MORALES  NUÑEZ, PATRICIO</v>
      </c>
      <c r="C1596" s="112" t="str">
        <f>'Informe Kelly'!E1590</f>
        <v>06.04.2011</v>
      </c>
      <c r="D1596" s="112" t="e">
        <f>VLOOKUP(A1596,Ingreso!K:P,6,FALSE)</f>
        <v>#N/A</v>
      </c>
      <c r="E1596" s="142" t="e">
        <f>(VLOOKUP(D1596,$D$2:$E$4,2,FALSE))-(IF('Informe Kelly'!H1590=$A$2,'Informe Kelly'!F1590,VLOOKUP(D1596,$D$2:$E$4,2,FALSE)))</f>
        <v>#N/A</v>
      </c>
      <c r="F1596" s="142" t="e">
        <f>IF('Informe Kelly'!H1590=$A$3,'Informe Kelly'!F1590,VLOOKUP(D1596,$D$2:$F$4,3,FALSE))-(VLOOKUP(D1596,$D$2:$F$4,3,FALSE))</f>
        <v>#N/A</v>
      </c>
      <c r="G1596" s="137" t="e">
        <f t="shared" si="28"/>
        <v>#N/A</v>
      </c>
    </row>
    <row r="1597" spans="1:7">
      <c r="A1597" s="112" t="str">
        <f>VLOOKUP('Informe Kelly'!A1591,Base!A:B,2,FALSE)</f>
        <v>13.700.526-3</v>
      </c>
      <c r="B1597" s="112" t="str">
        <f>VLOOKUP('Informe Kelly'!A1591,Base!A:G,7,FALSE)</f>
        <v>MORALES  NUÑEZ, PATRICIO</v>
      </c>
      <c r="C1597" s="112" t="str">
        <f>'Informe Kelly'!E1591</f>
        <v>07.04.2011</v>
      </c>
      <c r="D1597" s="112" t="e">
        <f>VLOOKUP(A1597,Ingreso!K:P,6,FALSE)</f>
        <v>#N/A</v>
      </c>
      <c r="E1597" s="142" t="e">
        <f>(VLOOKUP(D1597,$D$2:$E$4,2,FALSE))-(IF('Informe Kelly'!H1591=$A$2,'Informe Kelly'!F1591,VLOOKUP(D1597,$D$2:$E$4,2,FALSE)))</f>
        <v>#N/A</v>
      </c>
      <c r="F1597" s="142" t="e">
        <f>IF('Informe Kelly'!H1591=$A$3,'Informe Kelly'!F1591,VLOOKUP(D1597,$D$2:$F$4,3,FALSE))-(VLOOKUP(D1597,$D$2:$F$4,3,FALSE))</f>
        <v>#N/A</v>
      </c>
      <c r="G1597" s="137" t="e">
        <f t="shared" si="28"/>
        <v>#N/A</v>
      </c>
    </row>
    <row r="1598" spans="1:7">
      <c r="A1598" s="112" t="str">
        <f>VLOOKUP('Informe Kelly'!A1592,Base!A:B,2,FALSE)</f>
        <v>13.700.526-3</v>
      </c>
      <c r="B1598" s="112" t="str">
        <f>VLOOKUP('Informe Kelly'!A1592,Base!A:G,7,FALSE)</f>
        <v>MORALES  NUÑEZ, PATRICIO</v>
      </c>
      <c r="C1598" s="112" t="str">
        <f>'Informe Kelly'!E1592</f>
        <v>07.04.2011</v>
      </c>
      <c r="D1598" s="112" t="e">
        <f>VLOOKUP(A1598,Ingreso!K:P,6,FALSE)</f>
        <v>#N/A</v>
      </c>
      <c r="E1598" s="142" t="e">
        <f>(VLOOKUP(D1598,$D$2:$E$4,2,FALSE))-(IF('Informe Kelly'!H1592=$A$2,'Informe Kelly'!F1592,VLOOKUP(D1598,$D$2:$E$4,2,FALSE)))</f>
        <v>#N/A</v>
      </c>
      <c r="F1598" s="142" t="e">
        <f>IF('Informe Kelly'!H1592=$A$3,'Informe Kelly'!F1592,VLOOKUP(D1598,$D$2:$F$4,3,FALSE))-(VLOOKUP(D1598,$D$2:$F$4,3,FALSE))</f>
        <v>#N/A</v>
      </c>
      <c r="G1598" s="137" t="e">
        <f t="shared" si="28"/>
        <v>#N/A</v>
      </c>
    </row>
    <row r="1599" spans="1:7">
      <c r="A1599" s="112" t="str">
        <f>VLOOKUP('Informe Kelly'!A1593,Base!A:B,2,FALSE)</f>
        <v>13.700.526-3</v>
      </c>
      <c r="B1599" s="112" t="str">
        <f>VLOOKUP('Informe Kelly'!A1593,Base!A:G,7,FALSE)</f>
        <v>MORALES  NUÑEZ, PATRICIO</v>
      </c>
      <c r="C1599" s="112" t="str">
        <f>'Informe Kelly'!E1593</f>
        <v>08.04.2011</v>
      </c>
      <c r="D1599" s="112" t="e">
        <f>VLOOKUP(A1599,Ingreso!K:P,6,FALSE)</f>
        <v>#N/A</v>
      </c>
      <c r="E1599" s="142" t="e">
        <f>(VLOOKUP(D1599,$D$2:$E$4,2,FALSE))-(IF('Informe Kelly'!H1593=$A$2,'Informe Kelly'!F1593,VLOOKUP(D1599,$D$2:$E$4,2,FALSE)))</f>
        <v>#N/A</v>
      </c>
      <c r="F1599" s="142" t="e">
        <f>IF('Informe Kelly'!H1593=$A$3,'Informe Kelly'!F1593,VLOOKUP(D1599,$D$2:$F$4,3,FALSE))-(VLOOKUP(D1599,$D$2:$F$4,3,FALSE))</f>
        <v>#N/A</v>
      </c>
      <c r="G1599" s="137" t="e">
        <f t="shared" si="28"/>
        <v>#N/A</v>
      </c>
    </row>
    <row r="1600" spans="1:7">
      <c r="A1600" s="112" t="str">
        <f>VLOOKUP('Informe Kelly'!A1594,Base!A:B,2,FALSE)</f>
        <v>13.700.526-3</v>
      </c>
      <c r="B1600" s="112" t="str">
        <f>VLOOKUP('Informe Kelly'!A1594,Base!A:G,7,FALSE)</f>
        <v>MORALES  NUÑEZ, PATRICIO</v>
      </c>
      <c r="C1600" s="112" t="str">
        <f>'Informe Kelly'!E1594</f>
        <v>08.04.2011</v>
      </c>
      <c r="D1600" s="112" t="e">
        <f>VLOOKUP(A1600,Ingreso!K:P,6,FALSE)</f>
        <v>#N/A</v>
      </c>
      <c r="E1600" s="142" t="e">
        <f>(VLOOKUP(D1600,$D$2:$E$4,2,FALSE))-(IF('Informe Kelly'!H1594=$A$2,'Informe Kelly'!F1594,VLOOKUP(D1600,$D$2:$E$4,2,FALSE)))</f>
        <v>#N/A</v>
      </c>
      <c r="F1600" s="142" t="e">
        <f>IF('Informe Kelly'!H1594=$A$3,'Informe Kelly'!F1594,VLOOKUP(D1600,$D$2:$F$4,3,FALSE))-(VLOOKUP(D1600,$D$2:$F$4,3,FALSE))</f>
        <v>#N/A</v>
      </c>
      <c r="G1600" s="137" t="e">
        <f t="shared" si="28"/>
        <v>#N/A</v>
      </c>
    </row>
    <row r="1601" spans="1:7">
      <c r="A1601" s="112" t="str">
        <f>VLOOKUP('Informe Kelly'!A1595,Base!A:B,2,FALSE)</f>
        <v>13.700.526-3</v>
      </c>
      <c r="B1601" s="112" t="str">
        <f>VLOOKUP('Informe Kelly'!A1595,Base!A:G,7,FALSE)</f>
        <v>MORALES  NUÑEZ, PATRICIO</v>
      </c>
      <c r="C1601" s="112" t="str">
        <f>'Informe Kelly'!E1595</f>
        <v>09.04.2011</v>
      </c>
      <c r="D1601" s="112" t="e">
        <f>VLOOKUP(A1601,Ingreso!K:P,6,FALSE)</f>
        <v>#N/A</v>
      </c>
      <c r="E1601" s="142" t="e">
        <f>(VLOOKUP(D1601,$D$2:$E$4,2,FALSE))-(IF('Informe Kelly'!H1595=$A$2,'Informe Kelly'!F1595,VLOOKUP(D1601,$D$2:$E$4,2,FALSE)))</f>
        <v>#N/A</v>
      </c>
      <c r="F1601" s="142" t="e">
        <f>IF('Informe Kelly'!H1595=$A$3,'Informe Kelly'!F1595,VLOOKUP(D1601,$D$2:$F$4,3,FALSE))-(VLOOKUP(D1601,$D$2:$F$4,3,FALSE))</f>
        <v>#N/A</v>
      </c>
      <c r="G1601" s="137" t="e">
        <f t="shared" si="28"/>
        <v>#N/A</v>
      </c>
    </row>
    <row r="1602" spans="1:7">
      <c r="A1602" s="112" t="str">
        <f>VLOOKUP('Informe Kelly'!A1596,Base!A:B,2,FALSE)</f>
        <v>13.701.209-K</v>
      </c>
      <c r="B1602" s="112" t="str">
        <f>VLOOKUP('Informe Kelly'!A1596,Base!A:G,7,FALSE)</f>
        <v>SANCHEZ TORRES MARCELINO JHONATTAN</v>
      </c>
      <c r="C1602" s="112" t="str">
        <f>'Informe Kelly'!E1596</f>
        <v>04.04.2011</v>
      </c>
      <c r="D1602" s="112" t="e">
        <f>VLOOKUP(A1602,Ingreso!K:P,6,FALSE)</f>
        <v>#N/A</v>
      </c>
      <c r="E1602" s="142" t="e">
        <f>(VLOOKUP(D1602,$D$2:$E$4,2,FALSE))-(IF('Informe Kelly'!H1596=$A$2,'Informe Kelly'!F1596,VLOOKUP(D1602,$D$2:$E$4,2,FALSE)))</f>
        <v>#N/A</v>
      </c>
      <c r="F1602" s="142" t="e">
        <f>IF('Informe Kelly'!H1596=$A$3,'Informe Kelly'!F1596,VLOOKUP(D1602,$D$2:$F$4,3,FALSE))-(VLOOKUP(D1602,$D$2:$F$4,3,FALSE))</f>
        <v>#N/A</v>
      </c>
      <c r="G1602" s="137" t="e">
        <f t="shared" si="28"/>
        <v>#N/A</v>
      </c>
    </row>
    <row r="1603" spans="1:7">
      <c r="A1603" s="112" t="str">
        <f>VLOOKUP('Informe Kelly'!A1597,Base!A:B,2,FALSE)</f>
        <v>13.701.209-K</v>
      </c>
      <c r="B1603" s="112" t="str">
        <f>VLOOKUP('Informe Kelly'!A1597,Base!A:G,7,FALSE)</f>
        <v>SANCHEZ TORRES MARCELINO JHONATTAN</v>
      </c>
      <c r="C1603" s="112" t="str">
        <f>'Informe Kelly'!E1597</f>
        <v>04.04.2011</v>
      </c>
      <c r="D1603" s="112" t="e">
        <f>VLOOKUP(A1603,Ingreso!K:P,6,FALSE)</f>
        <v>#N/A</v>
      </c>
      <c r="E1603" s="142" t="e">
        <f>(VLOOKUP(D1603,$D$2:$E$4,2,FALSE))-(IF('Informe Kelly'!H1597=$A$2,'Informe Kelly'!F1597,VLOOKUP(D1603,$D$2:$E$4,2,FALSE)))</f>
        <v>#N/A</v>
      </c>
      <c r="F1603" s="142" t="e">
        <f>IF('Informe Kelly'!H1597=$A$3,'Informe Kelly'!F1597,VLOOKUP(D1603,$D$2:$F$4,3,FALSE))-(VLOOKUP(D1603,$D$2:$F$4,3,FALSE))</f>
        <v>#N/A</v>
      </c>
      <c r="G1603" s="137" t="e">
        <f t="shared" si="28"/>
        <v>#N/A</v>
      </c>
    </row>
    <row r="1604" spans="1:7">
      <c r="A1604" s="112" t="str">
        <f>VLOOKUP('Informe Kelly'!A1598,Base!A:B,2,FALSE)</f>
        <v>13.701.209-K</v>
      </c>
      <c r="B1604" s="112" t="str">
        <f>VLOOKUP('Informe Kelly'!A1598,Base!A:G,7,FALSE)</f>
        <v>SANCHEZ TORRES MARCELINO JHONATTAN</v>
      </c>
      <c r="C1604" s="112" t="str">
        <f>'Informe Kelly'!E1598</f>
        <v>05.04.2011</v>
      </c>
      <c r="D1604" s="112" t="e">
        <f>VLOOKUP(A1604,Ingreso!K:P,6,FALSE)</f>
        <v>#N/A</v>
      </c>
      <c r="E1604" s="142" t="e">
        <f>(VLOOKUP(D1604,$D$2:$E$4,2,FALSE))-(IF('Informe Kelly'!H1598=$A$2,'Informe Kelly'!F1598,VLOOKUP(D1604,$D$2:$E$4,2,FALSE)))</f>
        <v>#N/A</v>
      </c>
      <c r="F1604" s="142" t="e">
        <f>IF('Informe Kelly'!H1598=$A$3,'Informe Kelly'!F1598,VLOOKUP(D1604,$D$2:$F$4,3,FALSE))-(VLOOKUP(D1604,$D$2:$F$4,3,FALSE))</f>
        <v>#N/A</v>
      </c>
      <c r="G1604" s="137" t="e">
        <f t="shared" si="28"/>
        <v>#N/A</v>
      </c>
    </row>
    <row r="1605" spans="1:7">
      <c r="A1605" s="112" t="str">
        <f>VLOOKUP('Informe Kelly'!A1599,Base!A:B,2,FALSE)</f>
        <v>13.701.209-K</v>
      </c>
      <c r="B1605" s="112" t="str">
        <f>VLOOKUP('Informe Kelly'!A1599,Base!A:G,7,FALSE)</f>
        <v>SANCHEZ TORRES MARCELINO JHONATTAN</v>
      </c>
      <c r="C1605" s="112" t="str">
        <f>'Informe Kelly'!E1599</f>
        <v>05.04.2011</v>
      </c>
      <c r="D1605" s="112" t="e">
        <f>VLOOKUP(A1605,Ingreso!K:P,6,FALSE)</f>
        <v>#N/A</v>
      </c>
      <c r="E1605" s="142" t="e">
        <f>(VLOOKUP(D1605,$D$2:$E$4,2,FALSE))-(IF('Informe Kelly'!H1599=$A$2,'Informe Kelly'!F1599,VLOOKUP(D1605,$D$2:$E$4,2,FALSE)))</f>
        <v>#N/A</v>
      </c>
      <c r="F1605" s="142" t="e">
        <f>IF('Informe Kelly'!H1599=$A$3,'Informe Kelly'!F1599,VLOOKUP(D1605,$D$2:$F$4,3,FALSE))-(VLOOKUP(D1605,$D$2:$F$4,3,FALSE))</f>
        <v>#N/A</v>
      </c>
      <c r="G1605" s="137" t="e">
        <f t="shared" si="28"/>
        <v>#N/A</v>
      </c>
    </row>
    <row r="1606" spans="1:7">
      <c r="A1606" s="112" t="str">
        <f>VLOOKUP('Informe Kelly'!A1600,Base!A:B,2,FALSE)</f>
        <v>13.701.209-K</v>
      </c>
      <c r="B1606" s="112" t="str">
        <f>VLOOKUP('Informe Kelly'!A1600,Base!A:G,7,FALSE)</f>
        <v>SANCHEZ TORRES MARCELINO JHONATTAN</v>
      </c>
      <c r="C1606" s="112" t="str">
        <f>'Informe Kelly'!E1600</f>
        <v>06.04.2011</v>
      </c>
      <c r="D1606" s="112" t="e">
        <f>VLOOKUP(A1606,Ingreso!K:P,6,FALSE)</f>
        <v>#N/A</v>
      </c>
      <c r="E1606" s="142" t="e">
        <f>(VLOOKUP(D1606,$D$2:$E$4,2,FALSE))-(IF('Informe Kelly'!H1600=$A$2,'Informe Kelly'!F1600,VLOOKUP(D1606,$D$2:$E$4,2,FALSE)))</f>
        <v>#N/A</v>
      </c>
      <c r="F1606" s="142" t="e">
        <f>IF('Informe Kelly'!H1600=$A$3,'Informe Kelly'!F1600,VLOOKUP(D1606,$D$2:$F$4,3,FALSE))-(VLOOKUP(D1606,$D$2:$F$4,3,FALSE))</f>
        <v>#N/A</v>
      </c>
      <c r="G1606" s="137" t="e">
        <f t="shared" si="28"/>
        <v>#N/A</v>
      </c>
    </row>
    <row r="1607" spans="1:7">
      <c r="A1607" s="112" t="str">
        <f>VLOOKUP('Informe Kelly'!A1601,Base!A:B,2,FALSE)</f>
        <v>13.701.209-K</v>
      </c>
      <c r="B1607" s="112" t="str">
        <f>VLOOKUP('Informe Kelly'!A1601,Base!A:G,7,FALSE)</f>
        <v>SANCHEZ TORRES MARCELINO JHONATTAN</v>
      </c>
      <c r="C1607" s="112" t="str">
        <f>'Informe Kelly'!E1601</f>
        <v>06.04.2011</v>
      </c>
      <c r="D1607" s="112" t="e">
        <f>VLOOKUP(A1607,Ingreso!K:P,6,FALSE)</f>
        <v>#N/A</v>
      </c>
      <c r="E1607" s="142" t="e">
        <f>(VLOOKUP(D1607,$D$2:$E$4,2,FALSE))-(IF('Informe Kelly'!H1601=$A$2,'Informe Kelly'!F1601,VLOOKUP(D1607,$D$2:$E$4,2,FALSE)))</f>
        <v>#N/A</v>
      </c>
      <c r="F1607" s="142" t="e">
        <f>IF('Informe Kelly'!H1601=$A$3,'Informe Kelly'!F1601,VLOOKUP(D1607,$D$2:$F$4,3,FALSE))-(VLOOKUP(D1607,$D$2:$F$4,3,FALSE))</f>
        <v>#N/A</v>
      </c>
      <c r="G1607" s="137" t="e">
        <f t="shared" si="28"/>
        <v>#N/A</v>
      </c>
    </row>
    <row r="1608" spans="1:7">
      <c r="A1608" s="112" t="str">
        <f>VLOOKUP('Informe Kelly'!A1602,Base!A:B,2,FALSE)</f>
        <v>13.701.209-K</v>
      </c>
      <c r="B1608" s="112" t="str">
        <f>VLOOKUP('Informe Kelly'!A1602,Base!A:G,7,FALSE)</f>
        <v>SANCHEZ TORRES MARCELINO JHONATTAN</v>
      </c>
      <c r="C1608" s="112" t="str">
        <f>'Informe Kelly'!E1602</f>
        <v>07.04.2011</v>
      </c>
      <c r="D1608" s="112" t="e">
        <f>VLOOKUP(A1608,Ingreso!K:P,6,FALSE)</f>
        <v>#N/A</v>
      </c>
      <c r="E1608" s="142" t="e">
        <f>(VLOOKUP(D1608,$D$2:$E$4,2,FALSE))-(IF('Informe Kelly'!H1602=$A$2,'Informe Kelly'!F1602,VLOOKUP(D1608,$D$2:$E$4,2,FALSE)))</f>
        <v>#N/A</v>
      </c>
      <c r="F1608" s="142" t="e">
        <f>IF('Informe Kelly'!H1602=$A$3,'Informe Kelly'!F1602,VLOOKUP(D1608,$D$2:$F$4,3,FALSE))-(VLOOKUP(D1608,$D$2:$F$4,3,FALSE))</f>
        <v>#N/A</v>
      </c>
      <c r="G1608" s="137" t="e">
        <f t="shared" si="28"/>
        <v>#N/A</v>
      </c>
    </row>
    <row r="1609" spans="1:7">
      <c r="A1609" s="112" t="str">
        <f>VLOOKUP('Informe Kelly'!A1603,Base!A:B,2,FALSE)</f>
        <v>13.701.209-K</v>
      </c>
      <c r="B1609" s="112" t="str">
        <f>VLOOKUP('Informe Kelly'!A1603,Base!A:G,7,FALSE)</f>
        <v>SANCHEZ TORRES MARCELINO JHONATTAN</v>
      </c>
      <c r="C1609" s="112" t="str">
        <f>'Informe Kelly'!E1603</f>
        <v>07.04.2011</v>
      </c>
      <c r="D1609" s="112" t="e">
        <f>VLOOKUP(A1609,Ingreso!K:P,6,FALSE)</f>
        <v>#N/A</v>
      </c>
      <c r="E1609" s="142" t="e">
        <f>(VLOOKUP(D1609,$D$2:$E$4,2,FALSE))-(IF('Informe Kelly'!H1603=$A$2,'Informe Kelly'!F1603,VLOOKUP(D1609,$D$2:$E$4,2,FALSE)))</f>
        <v>#N/A</v>
      </c>
      <c r="F1609" s="142" t="e">
        <f>IF('Informe Kelly'!H1603=$A$3,'Informe Kelly'!F1603,VLOOKUP(D1609,$D$2:$F$4,3,FALSE))-(VLOOKUP(D1609,$D$2:$F$4,3,FALSE))</f>
        <v>#N/A</v>
      </c>
      <c r="G1609" s="137" t="e">
        <f t="shared" ref="G1609:G1672" si="29">IF(E1609="",IF(F1609&lt;0.0409722222222222,0,E1609),IF(E1609&lt;0.0409722222222222,0,E1609))</f>
        <v>#N/A</v>
      </c>
    </row>
    <row r="1610" spans="1:7">
      <c r="A1610" s="112" t="str">
        <f>VLOOKUP('Informe Kelly'!A1604,Base!A:B,2,FALSE)</f>
        <v>13.701.209-K</v>
      </c>
      <c r="B1610" s="112" t="str">
        <f>VLOOKUP('Informe Kelly'!A1604,Base!A:G,7,FALSE)</f>
        <v>SANCHEZ TORRES MARCELINO JHONATTAN</v>
      </c>
      <c r="C1610" s="112" t="str">
        <f>'Informe Kelly'!E1604</f>
        <v>08.04.2011</v>
      </c>
      <c r="D1610" s="112" t="e">
        <f>VLOOKUP(A1610,Ingreso!K:P,6,FALSE)</f>
        <v>#N/A</v>
      </c>
      <c r="E1610" s="142" t="e">
        <f>(VLOOKUP(D1610,$D$2:$E$4,2,FALSE))-(IF('Informe Kelly'!H1604=$A$2,'Informe Kelly'!F1604,VLOOKUP(D1610,$D$2:$E$4,2,FALSE)))</f>
        <v>#N/A</v>
      </c>
      <c r="F1610" s="142" t="e">
        <f>IF('Informe Kelly'!H1604=$A$3,'Informe Kelly'!F1604,VLOOKUP(D1610,$D$2:$F$4,3,FALSE))-(VLOOKUP(D1610,$D$2:$F$4,3,FALSE))</f>
        <v>#N/A</v>
      </c>
      <c r="G1610" s="137" t="e">
        <f t="shared" si="29"/>
        <v>#N/A</v>
      </c>
    </row>
    <row r="1611" spans="1:7">
      <c r="A1611" s="112" t="str">
        <f>VLOOKUP('Informe Kelly'!A1605,Base!A:B,2,FALSE)</f>
        <v>13.701.209-K</v>
      </c>
      <c r="B1611" s="112" t="str">
        <f>VLOOKUP('Informe Kelly'!A1605,Base!A:G,7,FALSE)</f>
        <v>SANCHEZ TORRES MARCELINO JHONATTAN</v>
      </c>
      <c r="C1611" s="112" t="str">
        <f>'Informe Kelly'!E1605</f>
        <v>08.04.2011</v>
      </c>
      <c r="D1611" s="112" t="e">
        <f>VLOOKUP(A1611,Ingreso!K:P,6,FALSE)</f>
        <v>#N/A</v>
      </c>
      <c r="E1611" s="142" t="e">
        <f>(VLOOKUP(D1611,$D$2:$E$4,2,FALSE))-(IF('Informe Kelly'!H1605=$A$2,'Informe Kelly'!F1605,VLOOKUP(D1611,$D$2:$E$4,2,FALSE)))</f>
        <v>#N/A</v>
      </c>
      <c r="F1611" s="142" t="e">
        <f>IF('Informe Kelly'!H1605=$A$3,'Informe Kelly'!F1605,VLOOKUP(D1611,$D$2:$F$4,3,FALSE))-(VLOOKUP(D1611,$D$2:$F$4,3,FALSE))</f>
        <v>#N/A</v>
      </c>
      <c r="G1611" s="137" t="e">
        <f t="shared" si="29"/>
        <v>#N/A</v>
      </c>
    </row>
    <row r="1612" spans="1:7">
      <c r="A1612" s="112" t="str">
        <f>VLOOKUP('Informe Kelly'!A1606,Base!A:B,2,FALSE)</f>
        <v>13.701.209-K</v>
      </c>
      <c r="B1612" s="112" t="str">
        <f>VLOOKUP('Informe Kelly'!A1606,Base!A:G,7,FALSE)</f>
        <v>SANCHEZ TORRES MARCELINO JHONATTAN</v>
      </c>
      <c r="C1612" s="112" t="str">
        <f>'Informe Kelly'!E1606</f>
        <v>09.04.2011</v>
      </c>
      <c r="D1612" s="112" t="e">
        <f>VLOOKUP(A1612,Ingreso!K:P,6,FALSE)</f>
        <v>#N/A</v>
      </c>
      <c r="E1612" s="142" t="e">
        <f>(VLOOKUP(D1612,$D$2:$E$4,2,FALSE))-(IF('Informe Kelly'!H1606=$A$2,'Informe Kelly'!F1606,VLOOKUP(D1612,$D$2:$E$4,2,FALSE)))</f>
        <v>#N/A</v>
      </c>
      <c r="F1612" s="142" t="e">
        <f>IF('Informe Kelly'!H1606=$A$3,'Informe Kelly'!F1606,VLOOKUP(D1612,$D$2:$F$4,3,FALSE))-(VLOOKUP(D1612,$D$2:$F$4,3,FALSE))</f>
        <v>#N/A</v>
      </c>
      <c r="G1612" s="137" t="e">
        <f t="shared" si="29"/>
        <v>#N/A</v>
      </c>
    </row>
    <row r="1613" spans="1:7">
      <c r="A1613" s="112" t="str">
        <f>VLOOKUP('Informe Kelly'!A1607,Base!A:B,2,FALSE)</f>
        <v>13.701.209-K</v>
      </c>
      <c r="B1613" s="112" t="str">
        <f>VLOOKUP('Informe Kelly'!A1607,Base!A:G,7,FALSE)</f>
        <v>SANCHEZ TORRES MARCELINO JHONATTAN</v>
      </c>
      <c r="C1613" s="112" t="str">
        <f>'Informe Kelly'!E1607</f>
        <v>09.04.2011</v>
      </c>
      <c r="D1613" s="112" t="e">
        <f>VLOOKUP(A1613,Ingreso!K:P,6,FALSE)</f>
        <v>#N/A</v>
      </c>
      <c r="E1613" s="142" t="e">
        <f>(VLOOKUP(D1613,$D$2:$E$4,2,FALSE))-(IF('Informe Kelly'!H1607=$A$2,'Informe Kelly'!F1607,VLOOKUP(D1613,$D$2:$E$4,2,FALSE)))</f>
        <v>#N/A</v>
      </c>
      <c r="F1613" s="142" t="e">
        <f>IF('Informe Kelly'!H1607=$A$3,'Informe Kelly'!F1607,VLOOKUP(D1613,$D$2:$F$4,3,FALSE))-(VLOOKUP(D1613,$D$2:$F$4,3,FALSE))</f>
        <v>#N/A</v>
      </c>
      <c r="G1613" s="137" t="e">
        <f t="shared" si="29"/>
        <v>#N/A</v>
      </c>
    </row>
    <row r="1614" spans="1:7">
      <c r="A1614" s="112" t="str">
        <f>VLOOKUP('Informe Kelly'!A1608,Base!A:B,2,FALSE)</f>
        <v>13.769.935-4</v>
      </c>
      <c r="B1614" s="112" t="str">
        <f>VLOOKUP('Informe Kelly'!A1608,Base!A:G,7,FALSE)</f>
        <v>LEDESMA ARRIAGADA GONZALO</v>
      </c>
      <c r="C1614" s="112" t="str">
        <f>'Informe Kelly'!E1608</f>
        <v>04.04.2011</v>
      </c>
      <c r="D1614" s="112" t="e">
        <f>VLOOKUP(A1614,Ingreso!K:P,6,FALSE)</f>
        <v>#N/A</v>
      </c>
      <c r="E1614" s="142" t="e">
        <f>(VLOOKUP(D1614,$D$2:$E$4,2,FALSE))-(IF('Informe Kelly'!H1608=$A$2,'Informe Kelly'!F1608,VLOOKUP(D1614,$D$2:$E$4,2,FALSE)))</f>
        <v>#N/A</v>
      </c>
      <c r="F1614" s="142" t="e">
        <f>IF('Informe Kelly'!H1608=$A$3,'Informe Kelly'!F1608,VLOOKUP(D1614,$D$2:$F$4,3,FALSE))-(VLOOKUP(D1614,$D$2:$F$4,3,FALSE))</f>
        <v>#N/A</v>
      </c>
      <c r="G1614" s="137" t="e">
        <f t="shared" si="29"/>
        <v>#N/A</v>
      </c>
    </row>
    <row r="1615" spans="1:7">
      <c r="A1615" s="112" t="str">
        <f>VLOOKUP('Informe Kelly'!A1609,Base!A:B,2,FALSE)</f>
        <v>13.769.935-4</v>
      </c>
      <c r="B1615" s="112" t="str">
        <f>VLOOKUP('Informe Kelly'!A1609,Base!A:G,7,FALSE)</f>
        <v>LEDESMA ARRIAGADA GONZALO</v>
      </c>
      <c r="C1615" s="112" t="str">
        <f>'Informe Kelly'!E1609</f>
        <v>04.04.2011</v>
      </c>
      <c r="D1615" s="112" t="e">
        <f>VLOOKUP(A1615,Ingreso!K:P,6,FALSE)</f>
        <v>#N/A</v>
      </c>
      <c r="E1615" s="142" t="e">
        <f>(VLOOKUP(D1615,$D$2:$E$4,2,FALSE))-(IF('Informe Kelly'!H1609=$A$2,'Informe Kelly'!F1609,VLOOKUP(D1615,$D$2:$E$4,2,FALSE)))</f>
        <v>#N/A</v>
      </c>
      <c r="F1615" s="142" t="e">
        <f>IF('Informe Kelly'!H1609=$A$3,'Informe Kelly'!F1609,VLOOKUP(D1615,$D$2:$F$4,3,FALSE))-(VLOOKUP(D1615,$D$2:$F$4,3,FALSE))</f>
        <v>#N/A</v>
      </c>
      <c r="G1615" s="137" t="e">
        <f t="shared" si="29"/>
        <v>#N/A</v>
      </c>
    </row>
    <row r="1616" spans="1:7">
      <c r="A1616" s="112" t="str">
        <f>VLOOKUP('Informe Kelly'!A1610,Base!A:B,2,FALSE)</f>
        <v>13.769.935-4</v>
      </c>
      <c r="B1616" s="112" t="str">
        <f>VLOOKUP('Informe Kelly'!A1610,Base!A:G,7,FALSE)</f>
        <v>LEDESMA ARRIAGADA GONZALO</v>
      </c>
      <c r="C1616" s="112" t="str">
        <f>'Informe Kelly'!E1610</f>
        <v>05.04.2011</v>
      </c>
      <c r="D1616" s="112" t="e">
        <f>VLOOKUP(A1616,Ingreso!K:P,6,FALSE)</f>
        <v>#N/A</v>
      </c>
      <c r="E1616" s="142" t="e">
        <f>(VLOOKUP(D1616,$D$2:$E$4,2,FALSE))-(IF('Informe Kelly'!H1610=$A$2,'Informe Kelly'!F1610,VLOOKUP(D1616,$D$2:$E$4,2,FALSE)))</f>
        <v>#N/A</v>
      </c>
      <c r="F1616" s="142" t="e">
        <f>IF('Informe Kelly'!H1610=$A$3,'Informe Kelly'!F1610,VLOOKUP(D1616,$D$2:$F$4,3,FALSE))-(VLOOKUP(D1616,$D$2:$F$4,3,FALSE))</f>
        <v>#N/A</v>
      </c>
      <c r="G1616" s="137" t="e">
        <f t="shared" si="29"/>
        <v>#N/A</v>
      </c>
    </row>
    <row r="1617" spans="1:7">
      <c r="A1617" s="112" t="str">
        <f>VLOOKUP('Informe Kelly'!A1611,Base!A:B,2,FALSE)</f>
        <v>13.769.935-4</v>
      </c>
      <c r="B1617" s="112" t="str">
        <f>VLOOKUP('Informe Kelly'!A1611,Base!A:G,7,FALSE)</f>
        <v>LEDESMA ARRIAGADA GONZALO</v>
      </c>
      <c r="C1617" s="112" t="str">
        <f>'Informe Kelly'!E1611</f>
        <v>05.04.2011</v>
      </c>
      <c r="D1617" s="112" t="e">
        <f>VLOOKUP(A1617,Ingreso!K:P,6,FALSE)</f>
        <v>#N/A</v>
      </c>
      <c r="E1617" s="142" t="e">
        <f>(VLOOKUP(D1617,$D$2:$E$4,2,FALSE))-(IF('Informe Kelly'!H1611=$A$2,'Informe Kelly'!F1611,VLOOKUP(D1617,$D$2:$E$4,2,FALSE)))</f>
        <v>#N/A</v>
      </c>
      <c r="F1617" s="142" t="e">
        <f>IF('Informe Kelly'!H1611=$A$3,'Informe Kelly'!F1611,VLOOKUP(D1617,$D$2:$F$4,3,FALSE))-(VLOOKUP(D1617,$D$2:$F$4,3,FALSE))</f>
        <v>#N/A</v>
      </c>
      <c r="G1617" s="137" t="e">
        <f t="shared" si="29"/>
        <v>#N/A</v>
      </c>
    </row>
    <row r="1618" spans="1:7">
      <c r="A1618" s="112" t="str">
        <f>VLOOKUP('Informe Kelly'!A1612,Base!A:B,2,FALSE)</f>
        <v>13.769.935-4</v>
      </c>
      <c r="B1618" s="112" t="str">
        <f>VLOOKUP('Informe Kelly'!A1612,Base!A:G,7,FALSE)</f>
        <v>LEDESMA ARRIAGADA GONZALO</v>
      </c>
      <c r="C1618" s="112" t="str">
        <f>'Informe Kelly'!E1612</f>
        <v>06.04.2011</v>
      </c>
      <c r="D1618" s="112" t="e">
        <f>VLOOKUP(A1618,Ingreso!K:P,6,FALSE)</f>
        <v>#N/A</v>
      </c>
      <c r="E1618" s="142" t="e">
        <f>(VLOOKUP(D1618,$D$2:$E$4,2,FALSE))-(IF('Informe Kelly'!H1612=$A$2,'Informe Kelly'!F1612,VLOOKUP(D1618,$D$2:$E$4,2,FALSE)))</f>
        <v>#N/A</v>
      </c>
      <c r="F1618" s="142" t="e">
        <f>IF('Informe Kelly'!H1612=$A$3,'Informe Kelly'!F1612,VLOOKUP(D1618,$D$2:$F$4,3,FALSE))-(VLOOKUP(D1618,$D$2:$F$4,3,FALSE))</f>
        <v>#N/A</v>
      </c>
      <c r="G1618" s="137" t="e">
        <f t="shared" si="29"/>
        <v>#N/A</v>
      </c>
    </row>
    <row r="1619" spans="1:7">
      <c r="A1619" s="112" t="str">
        <f>VLOOKUP('Informe Kelly'!A1613,Base!A:B,2,FALSE)</f>
        <v>13.769.935-4</v>
      </c>
      <c r="B1619" s="112" t="str">
        <f>VLOOKUP('Informe Kelly'!A1613,Base!A:G,7,FALSE)</f>
        <v>LEDESMA ARRIAGADA GONZALO</v>
      </c>
      <c r="C1619" s="112" t="str">
        <f>'Informe Kelly'!E1613</f>
        <v>06.04.2011</v>
      </c>
      <c r="D1619" s="112" t="e">
        <f>VLOOKUP(A1619,Ingreso!K:P,6,FALSE)</f>
        <v>#N/A</v>
      </c>
      <c r="E1619" s="142" t="e">
        <f>(VLOOKUP(D1619,$D$2:$E$4,2,FALSE))-(IF('Informe Kelly'!H1613=$A$2,'Informe Kelly'!F1613,VLOOKUP(D1619,$D$2:$E$4,2,FALSE)))</f>
        <v>#N/A</v>
      </c>
      <c r="F1619" s="142" t="e">
        <f>IF('Informe Kelly'!H1613=$A$3,'Informe Kelly'!F1613,VLOOKUP(D1619,$D$2:$F$4,3,FALSE))-(VLOOKUP(D1619,$D$2:$F$4,3,FALSE))</f>
        <v>#N/A</v>
      </c>
      <c r="G1619" s="137" t="e">
        <f t="shared" si="29"/>
        <v>#N/A</v>
      </c>
    </row>
    <row r="1620" spans="1:7">
      <c r="A1620" s="112" t="str">
        <f>VLOOKUP('Informe Kelly'!A1614,Base!A:B,2,FALSE)</f>
        <v>13.769.935-4</v>
      </c>
      <c r="B1620" s="112" t="str">
        <f>VLOOKUP('Informe Kelly'!A1614,Base!A:G,7,FALSE)</f>
        <v>LEDESMA ARRIAGADA GONZALO</v>
      </c>
      <c r="C1620" s="112" t="str">
        <f>'Informe Kelly'!E1614</f>
        <v>07.04.2011</v>
      </c>
      <c r="D1620" s="112" t="e">
        <f>VLOOKUP(A1620,Ingreso!K:P,6,FALSE)</f>
        <v>#N/A</v>
      </c>
      <c r="E1620" s="142" t="e">
        <f>(VLOOKUP(D1620,$D$2:$E$4,2,FALSE))-(IF('Informe Kelly'!H1614=$A$2,'Informe Kelly'!F1614,VLOOKUP(D1620,$D$2:$E$4,2,FALSE)))</f>
        <v>#N/A</v>
      </c>
      <c r="F1620" s="142" t="e">
        <f>IF('Informe Kelly'!H1614=$A$3,'Informe Kelly'!F1614,VLOOKUP(D1620,$D$2:$F$4,3,FALSE))-(VLOOKUP(D1620,$D$2:$F$4,3,FALSE))</f>
        <v>#N/A</v>
      </c>
      <c r="G1620" s="137" t="e">
        <f t="shared" si="29"/>
        <v>#N/A</v>
      </c>
    </row>
    <row r="1621" spans="1:7">
      <c r="A1621" s="112" t="str">
        <f>VLOOKUP('Informe Kelly'!A1615,Base!A:B,2,FALSE)</f>
        <v>13.769.935-4</v>
      </c>
      <c r="B1621" s="112" t="str">
        <f>VLOOKUP('Informe Kelly'!A1615,Base!A:G,7,FALSE)</f>
        <v>LEDESMA ARRIAGADA GONZALO</v>
      </c>
      <c r="C1621" s="112" t="str">
        <f>'Informe Kelly'!E1615</f>
        <v>07.04.2011</v>
      </c>
      <c r="D1621" s="112" t="e">
        <f>VLOOKUP(A1621,Ingreso!K:P,6,FALSE)</f>
        <v>#N/A</v>
      </c>
      <c r="E1621" s="142" t="e">
        <f>(VLOOKUP(D1621,$D$2:$E$4,2,FALSE))-(IF('Informe Kelly'!H1615=$A$2,'Informe Kelly'!F1615,VLOOKUP(D1621,$D$2:$E$4,2,FALSE)))</f>
        <v>#N/A</v>
      </c>
      <c r="F1621" s="142" t="e">
        <f>IF('Informe Kelly'!H1615=$A$3,'Informe Kelly'!F1615,VLOOKUP(D1621,$D$2:$F$4,3,FALSE))-(VLOOKUP(D1621,$D$2:$F$4,3,FALSE))</f>
        <v>#N/A</v>
      </c>
      <c r="G1621" s="137" t="e">
        <f t="shared" si="29"/>
        <v>#N/A</v>
      </c>
    </row>
    <row r="1622" spans="1:7">
      <c r="A1622" s="112" t="str">
        <f>VLOOKUP('Informe Kelly'!A1616,Base!A:B,2,FALSE)</f>
        <v>13.834.251-4</v>
      </c>
      <c r="B1622" s="112" t="str">
        <f>VLOOKUP('Informe Kelly'!A1616,Base!A:G,7,FALSE)</f>
        <v>MILLAN HERRERA MARIA ELIANA</v>
      </c>
      <c r="C1622" s="112" t="str">
        <f>'Informe Kelly'!E1616</f>
        <v>04.04.2011</v>
      </c>
      <c r="D1622" s="112" t="e">
        <f>VLOOKUP(A1622,Ingreso!K:P,6,FALSE)</f>
        <v>#N/A</v>
      </c>
      <c r="E1622" s="142" t="e">
        <f>(VLOOKUP(D1622,$D$2:$E$4,2,FALSE))-(IF('Informe Kelly'!H1616=$A$2,'Informe Kelly'!F1616,VLOOKUP(D1622,$D$2:$E$4,2,FALSE)))</f>
        <v>#N/A</v>
      </c>
      <c r="F1622" s="142" t="e">
        <f>IF('Informe Kelly'!H1616=$A$3,'Informe Kelly'!F1616,VLOOKUP(D1622,$D$2:$F$4,3,FALSE))-(VLOOKUP(D1622,$D$2:$F$4,3,FALSE))</f>
        <v>#N/A</v>
      </c>
      <c r="G1622" s="137" t="e">
        <f t="shared" si="29"/>
        <v>#N/A</v>
      </c>
    </row>
    <row r="1623" spans="1:7">
      <c r="A1623" s="112" t="str">
        <f>VLOOKUP('Informe Kelly'!A1617,Base!A:B,2,FALSE)</f>
        <v>13.834.251-4</v>
      </c>
      <c r="B1623" s="112" t="str">
        <f>VLOOKUP('Informe Kelly'!A1617,Base!A:G,7,FALSE)</f>
        <v>MILLAN HERRERA MARIA ELIANA</v>
      </c>
      <c r="C1623" s="112" t="str">
        <f>'Informe Kelly'!E1617</f>
        <v>04.04.2011</v>
      </c>
      <c r="D1623" s="112" t="e">
        <f>VLOOKUP(A1623,Ingreso!K:P,6,FALSE)</f>
        <v>#N/A</v>
      </c>
      <c r="E1623" s="142" t="e">
        <f>(VLOOKUP(D1623,$D$2:$E$4,2,FALSE))-(IF('Informe Kelly'!H1617=$A$2,'Informe Kelly'!F1617,VLOOKUP(D1623,$D$2:$E$4,2,FALSE)))</f>
        <v>#N/A</v>
      </c>
      <c r="F1623" s="142" t="e">
        <f>IF('Informe Kelly'!H1617=$A$3,'Informe Kelly'!F1617,VLOOKUP(D1623,$D$2:$F$4,3,FALSE))-(VLOOKUP(D1623,$D$2:$F$4,3,FALSE))</f>
        <v>#N/A</v>
      </c>
      <c r="G1623" s="137" t="e">
        <f t="shared" si="29"/>
        <v>#N/A</v>
      </c>
    </row>
    <row r="1624" spans="1:7">
      <c r="A1624" s="112" t="str">
        <f>VLOOKUP('Informe Kelly'!A1618,Base!A:B,2,FALSE)</f>
        <v>13.834.251-4</v>
      </c>
      <c r="B1624" s="112" t="str">
        <f>VLOOKUP('Informe Kelly'!A1618,Base!A:G,7,FALSE)</f>
        <v>MILLAN HERRERA MARIA ELIANA</v>
      </c>
      <c r="C1624" s="112" t="str">
        <f>'Informe Kelly'!E1618</f>
        <v>05.04.2011</v>
      </c>
      <c r="D1624" s="112" t="e">
        <f>VLOOKUP(A1624,Ingreso!K:P,6,FALSE)</f>
        <v>#N/A</v>
      </c>
      <c r="E1624" s="142" t="e">
        <f>(VLOOKUP(D1624,$D$2:$E$4,2,FALSE))-(IF('Informe Kelly'!H1618=$A$2,'Informe Kelly'!F1618,VLOOKUP(D1624,$D$2:$E$4,2,FALSE)))</f>
        <v>#N/A</v>
      </c>
      <c r="F1624" s="142" t="e">
        <f>IF('Informe Kelly'!H1618=$A$3,'Informe Kelly'!F1618,VLOOKUP(D1624,$D$2:$F$4,3,FALSE))-(VLOOKUP(D1624,$D$2:$F$4,3,FALSE))</f>
        <v>#N/A</v>
      </c>
      <c r="G1624" s="137" t="e">
        <f t="shared" si="29"/>
        <v>#N/A</v>
      </c>
    </row>
    <row r="1625" spans="1:7">
      <c r="A1625" s="112" t="str">
        <f>VLOOKUP('Informe Kelly'!A1619,Base!A:B,2,FALSE)</f>
        <v>13.834.251-4</v>
      </c>
      <c r="B1625" s="112" t="str">
        <f>VLOOKUP('Informe Kelly'!A1619,Base!A:G,7,FALSE)</f>
        <v>MILLAN HERRERA MARIA ELIANA</v>
      </c>
      <c r="C1625" s="112" t="str">
        <f>'Informe Kelly'!E1619</f>
        <v>05.04.2011</v>
      </c>
      <c r="D1625" s="112" t="e">
        <f>VLOOKUP(A1625,Ingreso!K:P,6,FALSE)</f>
        <v>#N/A</v>
      </c>
      <c r="E1625" s="142" t="e">
        <f>(VLOOKUP(D1625,$D$2:$E$4,2,FALSE))-(IF('Informe Kelly'!H1619=$A$2,'Informe Kelly'!F1619,VLOOKUP(D1625,$D$2:$E$4,2,FALSE)))</f>
        <v>#N/A</v>
      </c>
      <c r="F1625" s="142" t="e">
        <f>IF('Informe Kelly'!H1619=$A$3,'Informe Kelly'!F1619,VLOOKUP(D1625,$D$2:$F$4,3,FALSE))-(VLOOKUP(D1625,$D$2:$F$4,3,FALSE))</f>
        <v>#N/A</v>
      </c>
      <c r="G1625" s="137" t="e">
        <f t="shared" si="29"/>
        <v>#N/A</v>
      </c>
    </row>
    <row r="1626" spans="1:7">
      <c r="A1626" s="112" t="str">
        <f>VLOOKUP('Informe Kelly'!A1620,Base!A:B,2,FALSE)</f>
        <v>13.834.251-4</v>
      </c>
      <c r="B1626" s="112" t="str">
        <f>VLOOKUP('Informe Kelly'!A1620,Base!A:G,7,FALSE)</f>
        <v>MILLAN HERRERA MARIA ELIANA</v>
      </c>
      <c r="C1626" s="112" t="str">
        <f>'Informe Kelly'!E1620</f>
        <v>06.04.2011</v>
      </c>
      <c r="D1626" s="112" t="e">
        <f>VLOOKUP(A1626,Ingreso!K:P,6,FALSE)</f>
        <v>#N/A</v>
      </c>
      <c r="E1626" s="142" t="e">
        <f>(VLOOKUP(D1626,$D$2:$E$4,2,FALSE))-(IF('Informe Kelly'!H1620=$A$2,'Informe Kelly'!F1620,VLOOKUP(D1626,$D$2:$E$4,2,FALSE)))</f>
        <v>#N/A</v>
      </c>
      <c r="F1626" s="142" t="e">
        <f>IF('Informe Kelly'!H1620=$A$3,'Informe Kelly'!F1620,VLOOKUP(D1626,$D$2:$F$4,3,FALSE))-(VLOOKUP(D1626,$D$2:$F$4,3,FALSE))</f>
        <v>#N/A</v>
      </c>
      <c r="G1626" s="137" t="e">
        <f t="shared" si="29"/>
        <v>#N/A</v>
      </c>
    </row>
    <row r="1627" spans="1:7">
      <c r="A1627" s="112" t="str">
        <f>VLOOKUP('Informe Kelly'!A1621,Base!A:B,2,FALSE)</f>
        <v>13.834.251-4</v>
      </c>
      <c r="B1627" s="112" t="str">
        <f>VLOOKUP('Informe Kelly'!A1621,Base!A:G,7,FALSE)</f>
        <v>MILLAN HERRERA MARIA ELIANA</v>
      </c>
      <c r="C1627" s="112" t="str">
        <f>'Informe Kelly'!E1621</f>
        <v>06.04.2011</v>
      </c>
      <c r="D1627" s="112" t="e">
        <f>VLOOKUP(A1627,Ingreso!K:P,6,FALSE)</f>
        <v>#N/A</v>
      </c>
      <c r="E1627" s="142" t="e">
        <f>(VLOOKUP(D1627,$D$2:$E$4,2,FALSE))-(IF('Informe Kelly'!H1621=$A$2,'Informe Kelly'!F1621,VLOOKUP(D1627,$D$2:$E$4,2,FALSE)))</f>
        <v>#N/A</v>
      </c>
      <c r="F1627" s="142" t="e">
        <f>IF('Informe Kelly'!H1621=$A$3,'Informe Kelly'!F1621,VLOOKUP(D1627,$D$2:$F$4,3,FALSE))-(VLOOKUP(D1627,$D$2:$F$4,3,FALSE))</f>
        <v>#N/A</v>
      </c>
      <c r="G1627" s="137" t="e">
        <f t="shared" si="29"/>
        <v>#N/A</v>
      </c>
    </row>
    <row r="1628" spans="1:7">
      <c r="A1628" s="112" t="str">
        <f>VLOOKUP('Informe Kelly'!A1622,Base!A:B,2,FALSE)</f>
        <v>13.834.251-4</v>
      </c>
      <c r="B1628" s="112" t="str">
        <f>VLOOKUP('Informe Kelly'!A1622,Base!A:G,7,FALSE)</f>
        <v>MILLAN HERRERA MARIA ELIANA</v>
      </c>
      <c r="C1628" s="112" t="str">
        <f>'Informe Kelly'!E1622</f>
        <v>07.04.2011</v>
      </c>
      <c r="D1628" s="112" t="e">
        <f>VLOOKUP(A1628,Ingreso!K:P,6,FALSE)</f>
        <v>#N/A</v>
      </c>
      <c r="E1628" s="142" t="e">
        <f>(VLOOKUP(D1628,$D$2:$E$4,2,FALSE))-(IF('Informe Kelly'!H1622=$A$2,'Informe Kelly'!F1622,VLOOKUP(D1628,$D$2:$E$4,2,FALSE)))</f>
        <v>#N/A</v>
      </c>
      <c r="F1628" s="142" t="e">
        <f>IF('Informe Kelly'!H1622=$A$3,'Informe Kelly'!F1622,VLOOKUP(D1628,$D$2:$F$4,3,FALSE))-(VLOOKUP(D1628,$D$2:$F$4,3,FALSE))</f>
        <v>#N/A</v>
      </c>
      <c r="G1628" s="137" t="e">
        <f t="shared" si="29"/>
        <v>#N/A</v>
      </c>
    </row>
    <row r="1629" spans="1:7">
      <c r="A1629" s="112" t="str">
        <f>VLOOKUP('Informe Kelly'!A1623,Base!A:B,2,FALSE)</f>
        <v>13.834.251-4</v>
      </c>
      <c r="B1629" s="112" t="str">
        <f>VLOOKUP('Informe Kelly'!A1623,Base!A:G,7,FALSE)</f>
        <v>MILLAN HERRERA MARIA ELIANA</v>
      </c>
      <c r="C1629" s="112" t="str">
        <f>'Informe Kelly'!E1623</f>
        <v>07.04.2011</v>
      </c>
      <c r="D1629" s="112" t="e">
        <f>VLOOKUP(A1629,Ingreso!K:P,6,FALSE)</f>
        <v>#N/A</v>
      </c>
      <c r="E1629" s="142" t="e">
        <f>(VLOOKUP(D1629,$D$2:$E$4,2,FALSE))-(IF('Informe Kelly'!H1623=$A$2,'Informe Kelly'!F1623,VLOOKUP(D1629,$D$2:$E$4,2,FALSE)))</f>
        <v>#N/A</v>
      </c>
      <c r="F1629" s="142" t="e">
        <f>IF('Informe Kelly'!H1623=$A$3,'Informe Kelly'!F1623,VLOOKUP(D1629,$D$2:$F$4,3,FALSE))-(VLOOKUP(D1629,$D$2:$F$4,3,FALSE))</f>
        <v>#N/A</v>
      </c>
      <c r="G1629" s="137" t="e">
        <f t="shared" si="29"/>
        <v>#N/A</v>
      </c>
    </row>
    <row r="1630" spans="1:7">
      <c r="A1630" s="112" t="str">
        <f>VLOOKUP('Informe Kelly'!A1624,Base!A:B,2,FALSE)</f>
        <v>13.834.251-4</v>
      </c>
      <c r="B1630" s="112" t="str">
        <f>VLOOKUP('Informe Kelly'!A1624,Base!A:G,7,FALSE)</f>
        <v>MILLAN HERRERA MARIA ELIANA</v>
      </c>
      <c r="C1630" s="112" t="str">
        <f>'Informe Kelly'!E1624</f>
        <v>08.04.2011</v>
      </c>
      <c r="D1630" s="112" t="e">
        <f>VLOOKUP(A1630,Ingreso!K:P,6,FALSE)</f>
        <v>#N/A</v>
      </c>
      <c r="E1630" s="142" t="e">
        <f>(VLOOKUP(D1630,$D$2:$E$4,2,FALSE))-(IF('Informe Kelly'!H1624=$A$2,'Informe Kelly'!F1624,VLOOKUP(D1630,$D$2:$E$4,2,FALSE)))</f>
        <v>#N/A</v>
      </c>
      <c r="F1630" s="142" t="e">
        <f>IF('Informe Kelly'!H1624=$A$3,'Informe Kelly'!F1624,VLOOKUP(D1630,$D$2:$F$4,3,FALSE))-(VLOOKUP(D1630,$D$2:$F$4,3,FALSE))</f>
        <v>#N/A</v>
      </c>
      <c r="G1630" s="137" t="e">
        <f t="shared" si="29"/>
        <v>#N/A</v>
      </c>
    </row>
    <row r="1631" spans="1:7">
      <c r="A1631" s="112" t="str">
        <f>VLOOKUP('Informe Kelly'!A1625,Base!A:B,2,FALSE)</f>
        <v>13.834.251-4</v>
      </c>
      <c r="B1631" s="112" t="str">
        <f>VLOOKUP('Informe Kelly'!A1625,Base!A:G,7,FALSE)</f>
        <v>MILLAN HERRERA MARIA ELIANA</v>
      </c>
      <c r="C1631" s="112" t="str">
        <f>'Informe Kelly'!E1625</f>
        <v>08.04.2011</v>
      </c>
      <c r="D1631" s="112" t="e">
        <f>VLOOKUP(A1631,Ingreso!K:P,6,FALSE)</f>
        <v>#N/A</v>
      </c>
      <c r="E1631" s="142" t="e">
        <f>(VLOOKUP(D1631,$D$2:$E$4,2,FALSE))-(IF('Informe Kelly'!H1625=$A$2,'Informe Kelly'!F1625,VLOOKUP(D1631,$D$2:$E$4,2,FALSE)))</f>
        <v>#N/A</v>
      </c>
      <c r="F1631" s="142" t="e">
        <f>IF('Informe Kelly'!H1625=$A$3,'Informe Kelly'!F1625,VLOOKUP(D1631,$D$2:$F$4,3,FALSE))-(VLOOKUP(D1631,$D$2:$F$4,3,FALSE))</f>
        <v>#N/A</v>
      </c>
      <c r="G1631" s="137" t="e">
        <f t="shared" si="29"/>
        <v>#N/A</v>
      </c>
    </row>
    <row r="1632" spans="1:7">
      <c r="A1632" s="112" t="str">
        <f>VLOOKUP('Informe Kelly'!A1626,Base!A:B,2,FALSE)</f>
        <v>13.834.251-4</v>
      </c>
      <c r="B1632" s="112" t="str">
        <f>VLOOKUP('Informe Kelly'!A1626,Base!A:G,7,FALSE)</f>
        <v>MILLAN HERRERA MARIA ELIANA</v>
      </c>
      <c r="C1632" s="112" t="str">
        <f>'Informe Kelly'!E1626</f>
        <v>09.04.2011</v>
      </c>
      <c r="D1632" s="112" t="e">
        <f>VLOOKUP(A1632,Ingreso!K:P,6,FALSE)</f>
        <v>#N/A</v>
      </c>
      <c r="E1632" s="142" t="e">
        <f>(VLOOKUP(D1632,$D$2:$E$4,2,FALSE))-(IF('Informe Kelly'!H1626=$A$2,'Informe Kelly'!F1626,VLOOKUP(D1632,$D$2:$E$4,2,FALSE)))</f>
        <v>#N/A</v>
      </c>
      <c r="F1632" s="142" t="e">
        <f>IF('Informe Kelly'!H1626=$A$3,'Informe Kelly'!F1626,VLOOKUP(D1632,$D$2:$F$4,3,FALSE))-(VLOOKUP(D1632,$D$2:$F$4,3,FALSE))</f>
        <v>#N/A</v>
      </c>
      <c r="G1632" s="137" t="e">
        <f t="shared" si="29"/>
        <v>#N/A</v>
      </c>
    </row>
    <row r="1633" spans="1:7">
      <c r="A1633" s="112" t="str">
        <f>VLOOKUP('Informe Kelly'!A1627,Base!A:B,2,FALSE)</f>
        <v>13.834.251-4</v>
      </c>
      <c r="B1633" s="112" t="str">
        <f>VLOOKUP('Informe Kelly'!A1627,Base!A:G,7,FALSE)</f>
        <v>MILLAN HERRERA MARIA ELIANA</v>
      </c>
      <c r="C1633" s="112" t="str">
        <f>'Informe Kelly'!E1627</f>
        <v>09.04.2011</v>
      </c>
      <c r="D1633" s="112" t="e">
        <f>VLOOKUP(A1633,Ingreso!K:P,6,FALSE)</f>
        <v>#N/A</v>
      </c>
      <c r="E1633" s="142" t="e">
        <f>(VLOOKUP(D1633,$D$2:$E$4,2,FALSE))-(IF('Informe Kelly'!H1627=$A$2,'Informe Kelly'!F1627,VLOOKUP(D1633,$D$2:$E$4,2,FALSE)))</f>
        <v>#N/A</v>
      </c>
      <c r="F1633" s="142" t="e">
        <f>IF('Informe Kelly'!H1627=$A$3,'Informe Kelly'!F1627,VLOOKUP(D1633,$D$2:$F$4,3,FALSE))-(VLOOKUP(D1633,$D$2:$F$4,3,FALSE))</f>
        <v>#N/A</v>
      </c>
      <c r="G1633" s="137" t="e">
        <f t="shared" si="29"/>
        <v>#N/A</v>
      </c>
    </row>
    <row r="1634" spans="1:7">
      <c r="A1634" s="112" t="str">
        <f>VLOOKUP('Informe Kelly'!A1628,Base!A:B,2,FALSE)</f>
        <v>13.835.073-8</v>
      </c>
      <c r="B1634" s="112" t="str">
        <f>VLOOKUP('Informe Kelly'!A1628,Base!A:G,7,FALSE)</f>
        <v xml:space="preserve">NORESE GUAJARDO AMERICO </v>
      </c>
      <c r="C1634" s="112" t="str">
        <f>'Informe Kelly'!E1628</f>
        <v>04.04.2011</v>
      </c>
      <c r="D1634" s="112" t="e">
        <f>VLOOKUP(A1634,Ingreso!K:P,6,FALSE)</f>
        <v>#N/A</v>
      </c>
      <c r="E1634" s="142" t="e">
        <f>(VLOOKUP(D1634,$D$2:$E$4,2,FALSE))-(IF('Informe Kelly'!H1628=$A$2,'Informe Kelly'!F1628,VLOOKUP(D1634,$D$2:$E$4,2,FALSE)))</f>
        <v>#N/A</v>
      </c>
      <c r="F1634" s="142" t="e">
        <f>IF('Informe Kelly'!H1628=$A$3,'Informe Kelly'!F1628,VLOOKUP(D1634,$D$2:$F$4,3,FALSE))-(VLOOKUP(D1634,$D$2:$F$4,3,FALSE))</f>
        <v>#N/A</v>
      </c>
      <c r="G1634" s="137" t="e">
        <f t="shared" si="29"/>
        <v>#N/A</v>
      </c>
    </row>
    <row r="1635" spans="1:7">
      <c r="A1635" s="112" t="str">
        <f>VLOOKUP('Informe Kelly'!A1629,Base!A:B,2,FALSE)</f>
        <v>13.835.073-8</v>
      </c>
      <c r="B1635" s="112" t="str">
        <f>VLOOKUP('Informe Kelly'!A1629,Base!A:G,7,FALSE)</f>
        <v xml:space="preserve">NORESE GUAJARDO AMERICO </v>
      </c>
      <c r="C1635" s="112" t="str">
        <f>'Informe Kelly'!E1629</f>
        <v>04.04.2011</v>
      </c>
      <c r="D1635" s="112" t="e">
        <f>VLOOKUP(A1635,Ingreso!K:P,6,FALSE)</f>
        <v>#N/A</v>
      </c>
      <c r="E1635" s="142" t="e">
        <f>(VLOOKUP(D1635,$D$2:$E$4,2,FALSE))-(IF('Informe Kelly'!H1629=$A$2,'Informe Kelly'!F1629,VLOOKUP(D1635,$D$2:$E$4,2,FALSE)))</f>
        <v>#N/A</v>
      </c>
      <c r="F1635" s="142" t="e">
        <f>IF('Informe Kelly'!H1629=$A$3,'Informe Kelly'!F1629,VLOOKUP(D1635,$D$2:$F$4,3,FALSE))-(VLOOKUP(D1635,$D$2:$F$4,3,FALSE))</f>
        <v>#N/A</v>
      </c>
      <c r="G1635" s="137" t="e">
        <f t="shared" si="29"/>
        <v>#N/A</v>
      </c>
    </row>
    <row r="1636" spans="1:7">
      <c r="A1636" s="112" t="str">
        <f>VLOOKUP('Informe Kelly'!A1630,Base!A:B,2,FALSE)</f>
        <v>13.835.073-8</v>
      </c>
      <c r="B1636" s="112" t="str">
        <f>VLOOKUP('Informe Kelly'!A1630,Base!A:G,7,FALSE)</f>
        <v xml:space="preserve">NORESE GUAJARDO AMERICO </v>
      </c>
      <c r="C1636" s="112" t="str">
        <f>'Informe Kelly'!E1630</f>
        <v>05.04.2011</v>
      </c>
      <c r="D1636" s="112" t="e">
        <f>VLOOKUP(A1636,Ingreso!K:P,6,FALSE)</f>
        <v>#N/A</v>
      </c>
      <c r="E1636" s="142" t="e">
        <f>(VLOOKUP(D1636,$D$2:$E$4,2,FALSE))-(IF('Informe Kelly'!H1630=$A$2,'Informe Kelly'!F1630,VLOOKUP(D1636,$D$2:$E$4,2,FALSE)))</f>
        <v>#N/A</v>
      </c>
      <c r="F1636" s="142" t="e">
        <f>IF('Informe Kelly'!H1630=$A$3,'Informe Kelly'!F1630,VLOOKUP(D1636,$D$2:$F$4,3,FALSE))-(VLOOKUP(D1636,$D$2:$F$4,3,FALSE))</f>
        <v>#N/A</v>
      </c>
      <c r="G1636" s="137" t="e">
        <f t="shared" si="29"/>
        <v>#N/A</v>
      </c>
    </row>
    <row r="1637" spans="1:7">
      <c r="A1637" s="112" t="str">
        <f>VLOOKUP('Informe Kelly'!A1631,Base!A:B,2,FALSE)</f>
        <v>13.835.073-8</v>
      </c>
      <c r="B1637" s="112" t="str">
        <f>VLOOKUP('Informe Kelly'!A1631,Base!A:G,7,FALSE)</f>
        <v xml:space="preserve">NORESE GUAJARDO AMERICO </v>
      </c>
      <c r="C1637" s="112" t="str">
        <f>'Informe Kelly'!E1631</f>
        <v>05.04.2011</v>
      </c>
      <c r="D1637" s="112" t="e">
        <f>VLOOKUP(A1637,Ingreso!K:P,6,FALSE)</f>
        <v>#N/A</v>
      </c>
      <c r="E1637" s="142" t="e">
        <f>(VLOOKUP(D1637,$D$2:$E$4,2,FALSE))-(IF('Informe Kelly'!H1631=$A$2,'Informe Kelly'!F1631,VLOOKUP(D1637,$D$2:$E$4,2,FALSE)))</f>
        <v>#N/A</v>
      </c>
      <c r="F1637" s="142" t="e">
        <f>IF('Informe Kelly'!H1631=$A$3,'Informe Kelly'!F1631,VLOOKUP(D1637,$D$2:$F$4,3,FALSE))-(VLOOKUP(D1637,$D$2:$F$4,3,FALSE))</f>
        <v>#N/A</v>
      </c>
      <c r="G1637" s="137" t="e">
        <f t="shared" si="29"/>
        <v>#N/A</v>
      </c>
    </row>
    <row r="1638" spans="1:7">
      <c r="A1638" s="112" t="str">
        <f>VLOOKUP('Informe Kelly'!A1632,Base!A:B,2,FALSE)</f>
        <v>13.835.073-8</v>
      </c>
      <c r="B1638" s="112" t="str">
        <f>VLOOKUP('Informe Kelly'!A1632,Base!A:G,7,FALSE)</f>
        <v xml:space="preserve">NORESE GUAJARDO AMERICO </v>
      </c>
      <c r="C1638" s="112" t="str">
        <f>'Informe Kelly'!E1632</f>
        <v>06.04.2011</v>
      </c>
      <c r="D1638" s="112" t="e">
        <f>VLOOKUP(A1638,Ingreso!K:P,6,FALSE)</f>
        <v>#N/A</v>
      </c>
      <c r="E1638" s="142" t="e">
        <f>(VLOOKUP(D1638,$D$2:$E$4,2,FALSE))-(IF('Informe Kelly'!H1632=$A$2,'Informe Kelly'!F1632,VLOOKUP(D1638,$D$2:$E$4,2,FALSE)))</f>
        <v>#N/A</v>
      </c>
      <c r="F1638" s="142" t="e">
        <f>IF('Informe Kelly'!H1632=$A$3,'Informe Kelly'!F1632,VLOOKUP(D1638,$D$2:$F$4,3,FALSE))-(VLOOKUP(D1638,$D$2:$F$4,3,FALSE))</f>
        <v>#N/A</v>
      </c>
      <c r="G1638" s="137" t="e">
        <f t="shared" si="29"/>
        <v>#N/A</v>
      </c>
    </row>
    <row r="1639" spans="1:7">
      <c r="A1639" s="112" t="str">
        <f>VLOOKUP('Informe Kelly'!A1633,Base!A:B,2,FALSE)</f>
        <v>13.835.073-8</v>
      </c>
      <c r="B1639" s="112" t="str">
        <f>VLOOKUP('Informe Kelly'!A1633,Base!A:G,7,FALSE)</f>
        <v xml:space="preserve">NORESE GUAJARDO AMERICO </v>
      </c>
      <c r="C1639" s="112" t="str">
        <f>'Informe Kelly'!E1633</f>
        <v>06.04.2011</v>
      </c>
      <c r="D1639" s="112" t="e">
        <f>VLOOKUP(A1639,Ingreso!K:P,6,FALSE)</f>
        <v>#N/A</v>
      </c>
      <c r="E1639" s="142" t="e">
        <f>(VLOOKUP(D1639,$D$2:$E$4,2,FALSE))-(IF('Informe Kelly'!H1633=$A$2,'Informe Kelly'!F1633,VLOOKUP(D1639,$D$2:$E$4,2,FALSE)))</f>
        <v>#N/A</v>
      </c>
      <c r="F1639" s="142" t="e">
        <f>IF('Informe Kelly'!H1633=$A$3,'Informe Kelly'!F1633,VLOOKUP(D1639,$D$2:$F$4,3,FALSE))-(VLOOKUP(D1639,$D$2:$F$4,3,FALSE))</f>
        <v>#N/A</v>
      </c>
      <c r="G1639" s="137" t="e">
        <f t="shared" si="29"/>
        <v>#N/A</v>
      </c>
    </row>
    <row r="1640" spans="1:7">
      <c r="A1640" s="112" t="str">
        <f>VLOOKUP('Informe Kelly'!A1634,Base!A:B,2,FALSE)</f>
        <v>13.835.073-8</v>
      </c>
      <c r="B1640" s="112" t="str">
        <f>VLOOKUP('Informe Kelly'!A1634,Base!A:G,7,FALSE)</f>
        <v xml:space="preserve">NORESE GUAJARDO AMERICO </v>
      </c>
      <c r="C1640" s="112" t="str">
        <f>'Informe Kelly'!E1634</f>
        <v>07.04.2011</v>
      </c>
      <c r="D1640" s="112" t="e">
        <f>VLOOKUP(A1640,Ingreso!K:P,6,FALSE)</f>
        <v>#N/A</v>
      </c>
      <c r="E1640" s="142" t="e">
        <f>(VLOOKUP(D1640,$D$2:$E$4,2,FALSE))-(IF('Informe Kelly'!H1634=$A$2,'Informe Kelly'!F1634,VLOOKUP(D1640,$D$2:$E$4,2,FALSE)))</f>
        <v>#N/A</v>
      </c>
      <c r="F1640" s="142" t="e">
        <f>IF('Informe Kelly'!H1634=$A$3,'Informe Kelly'!F1634,VLOOKUP(D1640,$D$2:$F$4,3,FALSE))-(VLOOKUP(D1640,$D$2:$F$4,3,FALSE))</f>
        <v>#N/A</v>
      </c>
      <c r="G1640" s="137" t="e">
        <f t="shared" si="29"/>
        <v>#N/A</v>
      </c>
    </row>
    <row r="1641" spans="1:7">
      <c r="A1641" s="112" t="str">
        <f>VLOOKUP('Informe Kelly'!A1635,Base!A:B,2,FALSE)</f>
        <v>13.835.073-8</v>
      </c>
      <c r="B1641" s="112" t="str">
        <f>VLOOKUP('Informe Kelly'!A1635,Base!A:G,7,FALSE)</f>
        <v xml:space="preserve">NORESE GUAJARDO AMERICO </v>
      </c>
      <c r="C1641" s="112" t="str">
        <f>'Informe Kelly'!E1635</f>
        <v>07.04.2011</v>
      </c>
      <c r="D1641" s="112" t="e">
        <f>VLOOKUP(A1641,Ingreso!K:P,6,FALSE)</f>
        <v>#N/A</v>
      </c>
      <c r="E1641" s="142" t="e">
        <f>(VLOOKUP(D1641,$D$2:$E$4,2,FALSE))-(IF('Informe Kelly'!H1635=$A$2,'Informe Kelly'!F1635,VLOOKUP(D1641,$D$2:$E$4,2,FALSE)))</f>
        <v>#N/A</v>
      </c>
      <c r="F1641" s="142" t="e">
        <f>IF('Informe Kelly'!H1635=$A$3,'Informe Kelly'!F1635,VLOOKUP(D1641,$D$2:$F$4,3,FALSE))-(VLOOKUP(D1641,$D$2:$F$4,3,FALSE))</f>
        <v>#N/A</v>
      </c>
      <c r="G1641" s="137" t="e">
        <f t="shared" si="29"/>
        <v>#N/A</v>
      </c>
    </row>
    <row r="1642" spans="1:7">
      <c r="A1642" s="112" t="str">
        <f>VLOOKUP('Informe Kelly'!A1636,Base!A:B,2,FALSE)</f>
        <v>13.835.073-8</v>
      </c>
      <c r="B1642" s="112" t="str">
        <f>VLOOKUP('Informe Kelly'!A1636,Base!A:G,7,FALSE)</f>
        <v xml:space="preserve">NORESE GUAJARDO AMERICO </v>
      </c>
      <c r="C1642" s="112" t="str">
        <f>'Informe Kelly'!E1636</f>
        <v>08.04.2011</v>
      </c>
      <c r="D1642" s="112" t="e">
        <f>VLOOKUP(A1642,Ingreso!K:P,6,FALSE)</f>
        <v>#N/A</v>
      </c>
      <c r="E1642" s="142" t="e">
        <f>(VLOOKUP(D1642,$D$2:$E$4,2,FALSE))-(IF('Informe Kelly'!H1636=$A$2,'Informe Kelly'!F1636,VLOOKUP(D1642,$D$2:$E$4,2,FALSE)))</f>
        <v>#N/A</v>
      </c>
      <c r="F1642" s="142" t="e">
        <f>IF('Informe Kelly'!H1636=$A$3,'Informe Kelly'!F1636,VLOOKUP(D1642,$D$2:$F$4,3,FALSE))-(VLOOKUP(D1642,$D$2:$F$4,3,FALSE))</f>
        <v>#N/A</v>
      </c>
      <c r="G1642" s="137" t="e">
        <f t="shared" si="29"/>
        <v>#N/A</v>
      </c>
    </row>
    <row r="1643" spans="1:7">
      <c r="A1643" s="112" t="str">
        <f>VLOOKUP('Informe Kelly'!A1637,Base!A:B,2,FALSE)</f>
        <v>13.835.073-8</v>
      </c>
      <c r="B1643" s="112" t="str">
        <f>VLOOKUP('Informe Kelly'!A1637,Base!A:G,7,FALSE)</f>
        <v xml:space="preserve">NORESE GUAJARDO AMERICO </v>
      </c>
      <c r="C1643" s="112" t="str">
        <f>'Informe Kelly'!E1637</f>
        <v>08.04.2011</v>
      </c>
      <c r="D1643" s="112" t="e">
        <f>VLOOKUP(A1643,Ingreso!K:P,6,FALSE)</f>
        <v>#N/A</v>
      </c>
      <c r="E1643" s="142" t="e">
        <f>(VLOOKUP(D1643,$D$2:$E$4,2,FALSE))-(IF('Informe Kelly'!H1637=$A$2,'Informe Kelly'!F1637,VLOOKUP(D1643,$D$2:$E$4,2,FALSE)))</f>
        <v>#N/A</v>
      </c>
      <c r="F1643" s="142" t="e">
        <f>IF('Informe Kelly'!H1637=$A$3,'Informe Kelly'!F1637,VLOOKUP(D1643,$D$2:$F$4,3,FALSE))-(VLOOKUP(D1643,$D$2:$F$4,3,FALSE))</f>
        <v>#N/A</v>
      </c>
      <c r="G1643" s="137" t="e">
        <f t="shared" si="29"/>
        <v>#N/A</v>
      </c>
    </row>
    <row r="1644" spans="1:7">
      <c r="A1644" s="112" t="str">
        <f>VLOOKUP('Informe Kelly'!A1638,Base!A:B,2,FALSE)</f>
        <v>13.835.848-8</v>
      </c>
      <c r="B1644" s="112" t="str">
        <f>VLOOKUP('Informe Kelly'!A1638,Base!A:G,7,FALSE)</f>
        <v>MARIN MOSCOSO MARION RAQUEL</v>
      </c>
      <c r="C1644" s="112" t="str">
        <f>'Informe Kelly'!E1638</f>
        <v>04.04.2011</v>
      </c>
      <c r="D1644" s="112" t="e">
        <f>VLOOKUP(A1644,Ingreso!K:P,6,FALSE)</f>
        <v>#N/A</v>
      </c>
      <c r="E1644" s="142" t="e">
        <f>(VLOOKUP(D1644,$D$2:$E$4,2,FALSE))-(IF('Informe Kelly'!H1638=$A$2,'Informe Kelly'!F1638,VLOOKUP(D1644,$D$2:$E$4,2,FALSE)))</f>
        <v>#N/A</v>
      </c>
      <c r="F1644" s="142" t="e">
        <f>IF('Informe Kelly'!H1638=$A$3,'Informe Kelly'!F1638,VLOOKUP(D1644,$D$2:$F$4,3,FALSE))-(VLOOKUP(D1644,$D$2:$F$4,3,FALSE))</f>
        <v>#N/A</v>
      </c>
      <c r="G1644" s="137" t="e">
        <f t="shared" si="29"/>
        <v>#N/A</v>
      </c>
    </row>
    <row r="1645" spans="1:7">
      <c r="A1645" s="112" t="str">
        <f>VLOOKUP('Informe Kelly'!A1639,Base!A:B,2,FALSE)</f>
        <v>13.835.848-8</v>
      </c>
      <c r="B1645" s="112" t="str">
        <f>VLOOKUP('Informe Kelly'!A1639,Base!A:G,7,FALSE)</f>
        <v>MARIN MOSCOSO MARION RAQUEL</v>
      </c>
      <c r="C1645" s="112" t="str">
        <f>'Informe Kelly'!E1639</f>
        <v>05.04.2011</v>
      </c>
      <c r="D1645" s="112" t="e">
        <f>VLOOKUP(A1645,Ingreso!K:P,6,FALSE)</f>
        <v>#N/A</v>
      </c>
      <c r="E1645" s="142" t="e">
        <f>(VLOOKUP(D1645,$D$2:$E$4,2,FALSE))-(IF('Informe Kelly'!H1639=$A$2,'Informe Kelly'!F1639,VLOOKUP(D1645,$D$2:$E$4,2,FALSE)))</f>
        <v>#N/A</v>
      </c>
      <c r="F1645" s="142" t="e">
        <f>IF('Informe Kelly'!H1639=$A$3,'Informe Kelly'!F1639,VLOOKUP(D1645,$D$2:$F$4,3,FALSE))-(VLOOKUP(D1645,$D$2:$F$4,3,FALSE))</f>
        <v>#N/A</v>
      </c>
      <c r="G1645" s="137" t="e">
        <f t="shared" si="29"/>
        <v>#N/A</v>
      </c>
    </row>
    <row r="1646" spans="1:7">
      <c r="A1646" s="112" t="str">
        <f>VLOOKUP('Informe Kelly'!A1640,Base!A:B,2,FALSE)</f>
        <v>13.835.848-8</v>
      </c>
      <c r="B1646" s="112" t="str">
        <f>VLOOKUP('Informe Kelly'!A1640,Base!A:G,7,FALSE)</f>
        <v>MARIN MOSCOSO MARION RAQUEL</v>
      </c>
      <c r="C1646" s="112" t="str">
        <f>'Informe Kelly'!E1640</f>
        <v>05.04.2011</v>
      </c>
      <c r="D1646" s="112" t="e">
        <f>VLOOKUP(A1646,Ingreso!K:P,6,FALSE)</f>
        <v>#N/A</v>
      </c>
      <c r="E1646" s="142" t="e">
        <f>(VLOOKUP(D1646,$D$2:$E$4,2,FALSE))-(IF('Informe Kelly'!H1640=$A$2,'Informe Kelly'!F1640,VLOOKUP(D1646,$D$2:$E$4,2,FALSE)))</f>
        <v>#N/A</v>
      </c>
      <c r="F1646" s="142" t="e">
        <f>IF('Informe Kelly'!H1640=$A$3,'Informe Kelly'!F1640,VLOOKUP(D1646,$D$2:$F$4,3,FALSE))-(VLOOKUP(D1646,$D$2:$F$4,3,FALSE))</f>
        <v>#N/A</v>
      </c>
      <c r="G1646" s="137" t="e">
        <f t="shared" si="29"/>
        <v>#N/A</v>
      </c>
    </row>
    <row r="1647" spans="1:7">
      <c r="A1647" s="112" t="str">
        <f>VLOOKUP('Informe Kelly'!A1641,Base!A:B,2,FALSE)</f>
        <v>13.835.848-8</v>
      </c>
      <c r="B1647" s="112" t="str">
        <f>VLOOKUP('Informe Kelly'!A1641,Base!A:G,7,FALSE)</f>
        <v>MARIN MOSCOSO MARION RAQUEL</v>
      </c>
      <c r="C1647" s="112" t="str">
        <f>'Informe Kelly'!E1641</f>
        <v>06.04.2011</v>
      </c>
      <c r="D1647" s="112" t="e">
        <f>VLOOKUP(A1647,Ingreso!K:P,6,FALSE)</f>
        <v>#N/A</v>
      </c>
      <c r="E1647" s="142" t="e">
        <f>(VLOOKUP(D1647,$D$2:$E$4,2,FALSE))-(IF('Informe Kelly'!H1641=$A$2,'Informe Kelly'!F1641,VLOOKUP(D1647,$D$2:$E$4,2,FALSE)))</f>
        <v>#N/A</v>
      </c>
      <c r="F1647" s="142" t="e">
        <f>IF('Informe Kelly'!H1641=$A$3,'Informe Kelly'!F1641,VLOOKUP(D1647,$D$2:$F$4,3,FALSE))-(VLOOKUP(D1647,$D$2:$F$4,3,FALSE))</f>
        <v>#N/A</v>
      </c>
      <c r="G1647" s="137" t="e">
        <f t="shared" si="29"/>
        <v>#N/A</v>
      </c>
    </row>
    <row r="1648" spans="1:7">
      <c r="A1648" s="112" t="str">
        <f>VLOOKUP('Informe Kelly'!A1642,Base!A:B,2,FALSE)</f>
        <v>13.835.848-8</v>
      </c>
      <c r="B1648" s="112" t="str">
        <f>VLOOKUP('Informe Kelly'!A1642,Base!A:G,7,FALSE)</f>
        <v>MARIN MOSCOSO MARION RAQUEL</v>
      </c>
      <c r="C1648" s="112" t="str">
        <f>'Informe Kelly'!E1642</f>
        <v>06.04.2011</v>
      </c>
      <c r="D1648" s="112" t="e">
        <f>VLOOKUP(A1648,Ingreso!K:P,6,FALSE)</f>
        <v>#N/A</v>
      </c>
      <c r="E1648" s="142" t="e">
        <f>(VLOOKUP(D1648,$D$2:$E$4,2,FALSE))-(IF('Informe Kelly'!H1642=$A$2,'Informe Kelly'!F1642,VLOOKUP(D1648,$D$2:$E$4,2,FALSE)))</f>
        <v>#N/A</v>
      </c>
      <c r="F1648" s="142" t="e">
        <f>IF('Informe Kelly'!H1642=$A$3,'Informe Kelly'!F1642,VLOOKUP(D1648,$D$2:$F$4,3,FALSE))-(VLOOKUP(D1648,$D$2:$F$4,3,FALSE))</f>
        <v>#N/A</v>
      </c>
      <c r="G1648" s="137" t="e">
        <f t="shared" si="29"/>
        <v>#N/A</v>
      </c>
    </row>
    <row r="1649" spans="1:7">
      <c r="A1649" s="112" t="str">
        <f>VLOOKUP('Informe Kelly'!A1643,Base!A:B,2,FALSE)</f>
        <v>13.835.848-8</v>
      </c>
      <c r="B1649" s="112" t="str">
        <f>VLOOKUP('Informe Kelly'!A1643,Base!A:G,7,FALSE)</f>
        <v>MARIN MOSCOSO MARION RAQUEL</v>
      </c>
      <c r="C1649" s="112" t="str">
        <f>'Informe Kelly'!E1643</f>
        <v>07.04.2011</v>
      </c>
      <c r="D1649" s="112" t="e">
        <f>VLOOKUP(A1649,Ingreso!K:P,6,FALSE)</f>
        <v>#N/A</v>
      </c>
      <c r="E1649" s="142" t="e">
        <f>(VLOOKUP(D1649,$D$2:$E$4,2,FALSE))-(IF('Informe Kelly'!H1643=$A$2,'Informe Kelly'!F1643,VLOOKUP(D1649,$D$2:$E$4,2,FALSE)))</f>
        <v>#N/A</v>
      </c>
      <c r="F1649" s="142" t="e">
        <f>IF('Informe Kelly'!H1643=$A$3,'Informe Kelly'!F1643,VLOOKUP(D1649,$D$2:$F$4,3,FALSE))-(VLOOKUP(D1649,$D$2:$F$4,3,FALSE))</f>
        <v>#N/A</v>
      </c>
      <c r="G1649" s="137" t="e">
        <f t="shared" si="29"/>
        <v>#N/A</v>
      </c>
    </row>
    <row r="1650" spans="1:7">
      <c r="A1650" s="112" t="str">
        <f>VLOOKUP('Informe Kelly'!A1644,Base!A:B,2,FALSE)</f>
        <v>13.835.848-8</v>
      </c>
      <c r="B1650" s="112" t="str">
        <f>VLOOKUP('Informe Kelly'!A1644,Base!A:G,7,FALSE)</f>
        <v>MARIN MOSCOSO MARION RAQUEL</v>
      </c>
      <c r="C1650" s="112" t="str">
        <f>'Informe Kelly'!E1644</f>
        <v>07.04.2011</v>
      </c>
      <c r="D1650" s="112" t="e">
        <f>VLOOKUP(A1650,Ingreso!K:P,6,FALSE)</f>
        <v>#N/A</v>
      </c>
      <c r="E1650" s="142" t="e">
        <f>(VLOOKUP(D1650,$D$2:$E$4,2,FALSE))-(IF('Informe Kelly'!H1644=$A$2,'Informe Kelly'!F1644,VLOOKUP(D1650,$D$2:$E$4,2,FALSE)))</f>
        <v>#N/A</v>
      </c>
      <c r="F1650" s="142" t="e">
        <f>IF('Informe Kelly'!H1644=$A$3,'Informe Kelly'!F1644,VLOOKUP(D1650,$D$2:$F$4,3,FALSE))-(VLOOKUP(D1650,$D$2:$F$4,3,FALSE))</f>
        <v>#N/A</v>
      </c>
      <c r="G1650" s="137" t="e">
        <f t="shared" si="29"/>
        <v>#N/A</v>
      </c>
    </row>
    <row r="1651" spans="1:7">
      <c r="A1651" s="112" t="str">
        <f>VLOOKUP('Informe Kelly'!A1645,Base!A:B,2,FALSE)</f>
        <v>13.835.848-8</v>
      </c>
      <c r="B1651" s="112" t="str">
        <f>VLOOKUP('Informe Kelly'!A1645,Base!A:G,7,FALSE)</f>
        <v>MARIN MOSCOSO MARION RAQUEL</v>
      </c>
      <c r="C1651" s="112" t="str">
        <f>'Informe Kelly'!E1645</f>
        <v>08.04.2011</v>
      </c>
      <c r="D1651" s="112" t="e">
        <f>VLOOKUP(A1651,Ingreso!K:P,6,FALSE)</f>
        <v>#N/A</v>
      </c>
      <c r="E1651" s="142" t="e">
        <f>(VLOOKUP(D1651,$D$2:$E$4,2,FALSE))-(IF('Informe Kelly'!H1645=$A$2,'Informe Kelly'!F1645,VLOOKUP(D1651,$D$2:$E$4,2,FALSE)))</f>
        <v>#N/A</v>
      </c>
      <c r="F1651" s="142" t="e">
        <f>IF('Informe Kelly'!H1645=$A$3,'Informe Kelly'!F1645,VLOOKUP(D1651,$D$2:$F$4,3,FALSE))-(VLOOKUP(D1651,$D$2:$F$4,3,FALSE))</f>
        <v>#N/A</v>
      </c>
      <c r="G1651" s="137" t="e">
        <f t="shared" si="29"/>
        <v>#N/A</v>
      </c>
    </row>
    <row r="1652" spans="1:7">
      <c r="A1652" s="112" t="str">
        <f>VLOOKUP('Informe Kelly'!A1646,Base!A:B,2,FALSE)</f>
        <v>13.835.848-8</v>
      </c>
      <c r="B1652" s="112" t="str">
        <f>VLOOKUP('Informe Kelly'!A1646,Base!A:G,7,FALSE)</f>
        <v>MARIN MOSCOSO MARION RAQUEL</v>
      </c>
      <c r="C1652" s="112" t="str">
        <f>'Informe Kelly'!E1646</f>
        <v>08.04.2011</v>
      </c>
      <c r="D1652" s="112" t="e">
        <f>VLOOKUP(A1652,Ingreso!K:P,6,FALSE)</f>
        <v>#N/A</v>
      </c>
      <c r="E1652" s="142" t="e">
        <f>(VLOOKUP(D1652,$D$2:$E$4,2,FALSE))-(IF('Informe Kelly'!H1646=$A$2,'Informe Kelly'!F1646,VLOOKUP(D1652,$D$2:$E$4,2,FALSE)))</f>
        <v>#N/A</v>
      </c>
      <c r="F1652" s="142" t="e">
        <f>IF('Informe Kelly'!H1646=$A$3,'Informe Kelly'!F1646,VLOOKUP(D1652,$D$2:$F$4,3,FALSE))-(VLOOKUP(D1652,$D$2:$F$4,3,FALSE))</f>
        <v>#N/A</v>
      </c>
      <c r="G1652" s="137" t="e">
        <f t="shared" si="29"/>
        <v>#N/A</v>
      </c>
    </row>
    <row r="1653" spans="1:7">
      <c r="A1653" s="112" t="str">
        <f>VLOOKUP('Informe Kelly'!A1647,Base!A:B,2,FALSE)</f>
        <v>13.835.848-8</v>
      </c>
      <c r="B1653" s="112" t="str">
        <f>VLOOKUP('Informe Kelly'!A1647,Base!A:G,7,FALSE)</f>
        <v>MARIN MOSCOSO MARION RAQUEL</v>
      </c>
      <c r="C1653" s="112" t="str">
        <f>'Informe Kelly'!E1647</f>
        <v>09.04.2011</v>
      </c>
      <c r="D1653" s="112" t="e">
        <f>VLOOKUP(A1653,Ingreso!K:P,6,FALSE)</f>
        <v>#N/A</v>
      </c>
      <c r="E1653" s="142" t="e">
        <f>(VLOOKUP(D1653,$D$2:$E$4,2,FALSE))-(IF('Informe Kelly'!H1647=$A$2,'Informe Kelly'!F1647,VLOOKUP(D1653,$D$2:$E$4,2,FALSE)))</f>
        <v>#N/A</v>
      </c>
      <c r="F1653" s="142" t="e">
        <f>IF('Informe Kelly'!H1647=$A$3,'Informe Kelly'!F1647,VLOOKUP(D1653,$D$2:$F$4,3,FALSE))-(VLOOKUP(D1653,$D$2:$F$4,3,FALSE))</f>
        <v>#N/A</v>
      </c>
      <c r="G1653" s="137" t="e">
        <f t="shared" si="29"/>
        <v>#N/A</v>
      </c>
    </row>
    <row r="1654" spans="1:7">
      <c r="A1654" s="112" t="str">
        <f>VLOOKUP('Informe Kelly'!A1648,Base!A:B,2,FALSE)</f>
        <v>13.835.927-1</v>
      </c>
      <c r="B1654" s="112" t="str">
        <f>VLOOKUP('Informe Kelly'!A1648,Base!A:G,7,FALSE)</f>
        <v>ZAVALA ARAVENA FELIPE</v>
      </c>
      <c r="C1654" s="112" t="str">
        <f>'Informe Kelly'!E1648</f>
        <v>00.00.0000</v>
      </c>
      <c r="D1654" s="112" t="e">
        <f>VLOOKUP(A1654,Ingreso!K:P,6,FALSE)</f>
        <v>#N/A</v>
      </c>
      <c r="E1654" s="142" t="e">
        <f>(VLOOKUP(D1654,$D$2:$E$4,2,FALSE))-(IF('Informe Kelly'!H1648=$A$2,'Informe Kelly'!F1648,VLOOKUP(D1654,$D$2:$E$4,2,FALSE)))</f>
        <v>#N/A</v>
      </c>
      <c r="F1654" s="142" t="e">
        <f>IF('Informe Kelly'!H1648=$A$3,'Informe Kelly'!F1648,VLOOKUP(D1654,$D$2:$F$4,3,FALSE))-(VLOOKUP(D1654,$D$2:$F$4,3,FALSE))</f>
        <v>#N/A</v>
      </c>
      <c r="G1654" s="137" t="e">
        <f t="shared" si="29"/>
        <v>#N/A</v>
      </c>
    </row>
    <row r="1655" spans="1:7">
      <c r="A1655" s="112" t="str">
        <f>VLOOKUP('Informe Kelly'!A1649,Base!A:B,2,FALSE)</f>
        <v>13.836.182-9</v>
      </c>
      <c r="B1655" s="112" t="str">
        <f>VLOOKUP('Informe Kelly'!A1649,Base!A:G,7,FALSE)</f>
        <v>SEPULVEDA ANTILEO JOSE LUIS</v>
      </c>
      <c r="C1655" s="112" t="str">
        <f>'Informe Kelly'!E1649</f>
        <v>04.04.2011</v>
      </c>
      <c r="D1655" s="112" t="e">
        <f>VLOOKUP(A1655,Ingreso!K:P,6,FALSE)</f>
        <v>#N/A</v>
      </c>
      <c r="E1655" s="142" t="e">
        <f>(VLOOKUP(D1655,$D$2:$E$4,2,FALSE))-(IF('Informe Kelly'!H1649=$A$2,'Informe Kelly'!F1649,VLOOKUP(D1655,$D$2:$E$4,2,FALSE)))</f>
        <v>#N/A</v>
      </c>
      <c r="F1655" s="142" t="e">
        <f>IF('Informe Kelly'!H1649=$A$3,'Informe Kelly'!F1649,VLOOKUP(D1655,$D$2:$F$4,3,FALSE))-(VLOOKUP(D1655,$D$2:$F$4,3,FALSE))</f>
        <v>#N/A</v>
      </c>
      <c r="G1655" s="137" t="e">
        <f t="shared" si="29"/>
        <v>#N/A</v>
      </c>
    </row>
    <row r="1656" spans="1:7">
      <c r="A1656" s="112" t="str">
        <f>VLOOKUP('Informe Kelly'!A1650,Base!A:B,2,FALSE)</f>
        <v>13.836.182-9</v>
      </c>
      <c r="B1656" s="112" t="str">
        <f>VLOOKUP('Informe Kelly'!A1650,Base!A:G,7,FALSE)</f>
        <v>SEPULVEDA ANTILEO JOSE LUIS</v>
      </c>
      <c r="C1656" s="112" t="str">
        <f>'Informe Kelly'!E1650</f>
        <v>04.04.2011</v>
      </c>
      <c r="D1656" s="112" t="e">
        <f>VLOOKUP(A1656,Ingreso!K:P,6,FALSE)</f>
        <v>#N/A</v>
      </c>
      <c r="E1656" s="142" t="e">
        <f>(VLOOKUP(D1656,$D$2:$E$4,2,FALSE))-(IF('Informe Kelly'!H1650=$A$2,'Informe Kelly'!F1650,VLOOKUP(D1656,$D$2:$E$4,2,FALSE)))</f>
        <v>#N/A</v>
      </c>
      <c r="F1656" s="142" t="e">
        <f>IF('Informe Kelly'!H1650=$A$3,'Informe Kelly'!F1650,VLOOKUP(D1656,$D$2:$F$4,3,FALSE))-(VLOOKUP(D1656,$D$2:$F$4,3,FALSE))</f>
        <v>#N/A</v>
      </c>
      <c r="G1656" s="137" t="e">
        <f t="shared" si="29"/>
        <v>#N/A</v>
      </c>
    </row>
    <row r="1657" spans="1:7">
      <c r="A1657" s="112" t="str">
        <f>VLOOKUP('Informe Kelly'!A1651,Base!A:B,2,FALSE)</f>
        <v>13.836.182-9</v>
      </c>
      <c r="B1657" s="112" t="str">
        <f>VLOOKUP('Informe Kelly'!A1651,Base!A:G,7,FALSE)</f>
        <v>SEPULVEDA ANTILEO JOSE LUIS</v>
      </c>
      <c r="C1657" s="112" t="str">
        <f>'Informe Kelly'!E1651</f>
        <v>05.04.2011</v>
      </c>
      <c r="D1657" s="112" t="e">
        <f>VLOOKUP(A1657,Ingreso!K:P,6,FALSE)</f>
        <v>#N/A</v>
      </c>
      <c r="E1657" s="142" t="e">
        <f>(VLOOKUP(D1657,$D$2:$E$4,2,FALSE))-(IF('Informe Kelly'!H1651=$A$2,'Informe Kelly'!F1651,VLOOKUP(D1657,$D$2:$E$4,2,FALSE)))</f>
        <v>#N/A</v>
      </c>
      <c r="F1657" s="142" t="e">
        <f>IF('Informe Kelly'!H1651=$A$3,'Informe Kelly'!F1651,VLOOKUP(D1657,$D$2:$F$4,3,FALSE))-(VLOOKUP(D1657,$D$2:$F$4,3,FALSE))</f>
        <v>#N/A</v>
      </c>
      <c r="G1657" s="137" t="e">
        <f t="shared" si="29"/>
        <v>#N/A</v>
      </c>
    </row>
    <row r="1658" spans="1:7">
      <c r="A1658" s="112" t="str">
        <f>VLOOKUP('Informe Kelly'!A1652,Base!A:B,2,FALSE)</f>
        <v>13.836.182-9</v>
      </c>
      <c r="B1658" s="112" t="str">
        <f>VLOOKUP('Informe Kelly'!A1652,Base!A:G,7,FALSE)</f>
        <v>SEPULVEDA ANTILEO JOSE LUIS</v>
      </c>
      <c r="C1658" s="112" t="str">
        <f>'Informe Kelly'!E1652</f>
        <v>05.04.2011</v>
      </c>
      <c r="D1658" s="112" t="e">
        <f>VLOOKUP(A1658,Ingreso!K:P,6,FALSE)</f>
        <v>#N/A</v>
      </c>
      <c r="E1658" s="142" t="e">
        <f>(VLOOKUP(D1658,$D$2:$E$4,2,FALSE))-(IF('Informe Kelly'!H1652=$A$2,'Informe Kelly'!F1652,VLOOKUP(D1658,$D$2:$E$4,2,FALSE)))</f>
        <v>#N/A</v>
      </c>
      <c r="F1658" s="142" t="e">
        <f>IF('Informe Kelly'!H1652=$A$3,'Informe Kelly'!F1652,VLOOKUP(D1658,$D$2:$F$4,3,FALSE))-(VLOOKUP(D1658,$D$2:$F$4,3,FALSE))</f>
        <v>#N/A</v>
      </c>
      <c r="G1658" s="137" t="e">
        <f t="shared" si="29"/>
        <v>#N/A</v>
      </c>
    </row>
    <row r="1659" spans="1:7">
      <c r="A1659" s="112" t="str">
        <f>VLOOKUP('Informe Kelly'!A1653,Base!A:B,2,FALSE)</f>
        <v>13.836.182-9</v>
      </c>
      <c r="B1659" s="112" t="str">
        <f>VLOOKUP('Informe Kelly'!A1653,Base!A:G,7,FALSE)</f>
        <v>SEPULVEDA ANTILEO JOSE LUIS</v>
      </c>
      <c r="C1659" s="112" t="str">
        <f>'Informe Kelly'!E1653</f>
        <v>06.04.2011</v>
      </c>
      <c r="D1659" s="112" t="e">
        <f>VLOOKUP(A1659,Ingreso!K:P,6,FALSE)</f>
        <v>#N/A</v>
      </c>
      <c r="E1659" s="142" t="e">
        <f>(VLOOKUP(D1659,$D$2:$E$4,2,FALSE))-(IF('Informe Kelly'!H1653=$A$2,'Informe Kelly'!F1653,VLOOKUP(D1659,$D$2:$E$4,2,FALSE)))</f>
        <v>#N/A</v>
      </c>
      <c r="F1659" s="142" t="e">
        <f>IF('Informe Kelly'!H1653=$A$3,'Informe Kelly'!F1653,VLOOKUP(D1659,$D$2:$F$4,3,FALSE))-(VLOOKUP(D1659,$D$2:$F$4,3,FALSE))</f>
        <v>#N/A</v>
      </c>
      <c r="G1659" s="137" t="e">
        <f t="shared" si="29"/>
        <v>#N/A</v>
      </c>
    </row>
    <row r="1660" spans="1:7">
      <c r="A1660" s="112" t="str">
        <f>VLOOKUP('Informe Kelly'!A1654,Base!A:B,2,FALSE)</f>
        <v>13.836.182-9</v>
      </c>
      <c r="B1660" s="112" t="str">
        <f>VLOOKUP('Informe Kelly'!A1654,Base!A:G,7,FALSE)</f>
        <v>SEPULVEDA ANTILEO JOSE LUIS</v>
      </c>
      <c r="C1660" s="112" t="str">
        <f>'Informe Kelly'!E1654</f>
        <v>06.04.2011</v>
      </c>
      <c r="D1660" s="112" t="e">
        <f>VLOOKUP(A1660,Ingreso!K:P,6,FALSE)</f>
        <v>#N/A</v>
      </c>
      <c r="E1660" s="142" t="e">
        <f>(VLOOKUP(D1660,$D$2:$E$4,2,FALSE))-(IF('Informe Kelly'!H1654=$A$2,'Informe Kelly'!F1654,VLOOKUP(D1660,$D$2:$E$4,2,FALSE)))</f>
        <v>#N/A</v>
      </c>
      <c r="F1660" s="142" t="e">
        <f>IF('Informe Kelly'!H1654=$A$3,'Informe Kelly'!F1654,VLOOKUP(D1660,$D$2:$F$4,3,FALSE))-(VLOOKUP(D1660,$D$2:$F$4,3,FALSE))</f>
        <v>#N/A</v>
      </c>
      <c r="G1660" s="137" t="e">
        <f t="shared" si="29"/>
        <v>#N/A</v>
      </c>
    </row>
    <row r="1661" spans="1:7">
      <c r="A1661" s="112" t="str">
        <f>VLOOKUP('Informe Kelly'!A1655,Base!A:B,2,FALSE)</f>
        <v>13.836.182-9</v>
      </c>
      <c r="B1661" s="112" t="str">
        <f>VLOOKUP('Informe Kelly'!A1655,Base!A:G,7,FALSE)</f>
        <v>SEPULVEDA ANTILEO JOSE LUIS</v>
      </c>
      <c r="C1661" s="112" t="str">
        <f>'Informe Kelly'!E1655</f>
        <v>07.04.2011</v>
      </c>
      <c r="D1661" s="112" t="e">
        <f>VLOOKUP(A1661,Ingreso!K:P,6,FALSE)</f>
        <v>#N/A</v>
      </c>
      <c r="E1661" s="142" t="e">
        <f>(VLOOKUP(D1661,$D$2:$E$4,2,FALSE))-(IF('Informe Kelly'!H1655=$A$2,'Informe Kelly'!F1655,VLOOKUP(D1661,$D$2:$E$4,2,FALSE)))</f>
        <v>#N/A</v>
      </c>
      <c r="F1661" s="142" t="e">
        <f>IF('Informe Kelly'!H1655=$A$3,'Informe Kelly'!F1655,VLOOKUP(D1661,$D$2:$F$4,3,FALSE))-(VLOOKUP(D1661,$D$2:$F$4,3,FALSE))</f>
        <v>#N/A</v>
      </c>
      <c r="G1661" s="137" t="e">
        <f t="shared" si="29"/>
        <v>#N/A</v>
      </c>
    </row>
    <row r="1662" spans="1:7">
      <c r="A1662" s="112" t="str">
        <f>VLOOKUP('Informe Kelly'!A1656,Base!A:B,2,FALSE)</f>
        <v>13.836.182-9</v>
      </c>
      <c r="B1662" s="112" t="str">
        <f>VLOOKUP('Informe Kelly'!A1656,Base!A:G,7,FALSE)</f>
        <v>SEPULVEDA ANTILEO JOSE LUIS</v>
      </c>
      <c r="C1662" s="112" t="str">
        <f>'Informe Kelly'!E1656</f>
        <v>07.04.2011</v>
      </c>
      <c r="D1662" s="112" t="e">
        <f>VLOOKUP(A1662,Ingreso!K:P,6,FALSE)</f>
        <v>#N/A</v>
      </c>
      <c r="E1662" s="142" t="e">
        <f>(VLOOKUP(D1662,$D$2:$E$4,2,FALSE))-(IF('Informe Kelly'!H1656=$A$2,'Informe Kelly'!F1656,VLOOKUP(D1662,$D$2:$E$4,2,FALSE)))</f>
        <v>#N/A</v>
      </c>
      <c r="F1662" s="142" t="e">
        <f>IF('Informe Kelly'!H1656=$A$3,'Informe Kelly'!F1656,VLOOKUP(D1662,$D$2:$F$4,3,FALSE))-(VLOOKUP(D1662,$D$2:$F$4,3,FALSE))</f>
        <v>#N/A</v>
      </c>
      <c r="G1662" s="137" t="e">
        <f t="shared" si="29"/>
        <v>#N/A</v>
      </c>
    </row>
    <row r="1663" spans="1:7">
      <c r="A1663" s="112" t="str">
        <f>VLOOKUP('Informe Kelly'!A1657,Base!A:B,2,FALSE)</f>
        <v>13.836.182-9</v>
      </c>
      <c r="B1663" s="112" t="str">
        <f>VLOOKUP('Informe Kelly'!A1657,Base!A:G,7,FALSE)</f>
        <v>SEPULVEDA ANTILEO JOSE LUIS</v>
      </c>
      <c r="C1663" s="112" t="str">
        <f>'Informe Kelly'!E1657</f>
        <v>08.04.2011</v>
      </c>
      <c r="D1663" s="112" t="e">
        <f>VLOOKUP(A1663,Ingreso!K:P,6,FALSE)</f>
        <v>#N/A</v>
      </c>
      <c r="E1663" s="142" t="e">
        <f>(VLOOKUP(D1663,$D$2:$E$4,2,FALSE))-(IF('Informe Kelly'!H1657=$A$2,'Informe Kelly'!F1657,VLOOKUP(D1663,$D$2:$E$4,2,FALSE)))</f>
        <v>#N/A</v>
      </c>
      <c r="F1663" s="142" t="e">
        <f>IF('Informe Kelly'!H1657=$A$3,'Informe Kelly'!F1657,VLOOKUP(D1663,$D$2:$F$4,3,FALSE))-(VLOOKUP(D1663,$D$2:$F$4,3,FALSE))</f>
        <v>#N/A</v>
      </c>
      <c r="G1663" s="137" t="e">
        <f t="shared" si="29"/>
        <v>#N/A</v>
      </c>
    </row>
    <row r="1664" spans="1:7">
      <c r="A1664" s="112" t="str">
        <f>VLOOKUP('Informe Kelly'!A1658,Base!A:B,2,FALSE)</f>
        <v>13.836.182-9</v>
      </c>
      <c r="B1664" s="112" t="str">
        <f>VLOOKUP('Informe Kelly'!A1658,Base!A:G,7,FALSE)</f>
        <v>SEPULVEDA ANTILEO JOSE LUIS</v>
      </c>
      <c r="C1664" s="112" t="str">
        <f>'Informe Kelly'!E1658</f>
        <v>08.04.2011</v>
      </c>
      <c r="D1664" s="112" t="e">
        <f>VLOOKUP(A1664,Ingreso!K:P,6,FALSE)</f>
        <v>#N/A</v>
      </c>
      <c r="E1664" s="142" t="e">
        <f>(VLOOKUP(D1664,$D$2:$E$4,2,FALSE))-(IF('Informe Kelly'!H1658=$A$2,'Informe Kelly'!F1658,VLOOKUP(D1664,$D$2:$E$4,2,FALSE)))</f>
        <v>#N/A</v>
      </c>
      <c r="F1664" s="142" t="e">
        <f>IF('Informe Kelly'!H1658=$A$3,'Informe Kelly'!F1658,VLOOKUP(D1664,$D$2:$F$4,3,FALSE))-(VLOOKUP(D1664,$D$2:$F$4,3,FALSE))</f>
        <v>#N/A</v>
      </c>
      <c r="G1664" s="137" t="e">
        <f t="shared" si="29"/>
        <v>#N/A</v>
      </c>
    </row>
    <row r="1665" spans="1:7">
      <c r="A1665" s="112" t="str">
        <f>VLOOKUP('Informe Kelly'!A1659,Base!A:B,2,FALSE)</f>
        <v>13.836.182-9</v>
      </c>
      <c r="B1665" s="112" t="str">
        <f>VLOOKUP('Informe Kelly'!A1659,Base!A:G,7,FALSE)</f>
        <v>SEPULVEDA ANTILEO JOSE LUIS</v>
      </c>
      <c r="C1665" s="112" t="str">
        <f>'Informe Kelly'!E1659</f>
        <v>09.04.2011</v>
      </c>
      <c r="D1665" s="112" t="e">
        <f>VLOOKUP(A1665,Ingreso!K:P,6,FALSE)</f>
        <v>#N/A</v>
      </c>
      <c r="E1665" s="142" t="e">
        <f>(VLOOKUP(D1665,$D$2:$E$4,2,FALSE))-(IF('Informe Kelly'!H1659=$A$2,'Informe Kelly'!F1659,VLOOKUP(D1665,$D$2:$E$4,2,FALSE)))</f>
        <v>#N/A</v>
      </c>
      <c r="F1665" s="142" t="e">
        <f>IF('Informe Kelly'!H1659=$A$3,'Informe Kelly'!F1659,VLOOKUP(D1665,$D$2:$F$4,3,FALSE))-(VLOOKUP(D1665,$D$2:$F$4,3,FALSE))</f>
        <v>#N/A</v>
      </c>
      <c r="G1665" s="137" t="e">
        <f t="shared" si="29"/>
        <v>#N/A</v>
      </c>
    </row>
    <row r="1666" spans="1:7">
      <c r="A1666" s="112" t="str">
        <f>VLOOKUP('Informe Kelly'!A1660,Base!A:B,2,FALSE)</f>
        <v>13.836.182-9</v>
      </c>
      <c r="B1666" s="112" t="str">
        <f>VLOOKUP('Informe Kelly'!A1660,Base!A:G,7,FALSE)</f>
        <v>SEPULVEDA ANTILEO JOSE LUIS</v>
      </c>
      <c r="C1666" s="112" t="str">
        <f>'Informe Kelly'!E1660</f>
        <v>09.04.2011</v>
      </c>
      <c r="D1666" s="112" t="e">
        <f>VLOOKUP(A1666,Ingreso!K:P,6,FALSE)</f>
        <v>#N/A</v>
      </c>
      <c r="E1666" s="142" t="e">
        <f>(VLOOKUP(D1666,$D$2:$E$4,2,FALSE))-(IF('Informe Kelly'!H1660=$A$2,'Informe Kelly'!F1660,VLOOKUP(D1666,$D$2:$E$4,2,FALSE)))</f>
        <v>#N/A</v>
      </c>
      <c r="F1666" s="142" t="e">
        <f>IF('Informe Kelly'!H1660=$A$3,'Informe Kelly'!F1660,VLOOKUP(D1666,$D$2:$F$4,3,FALSE))-(VLOOKUP(D1666,$D$2:$F$4,3,FALSE))</f>
        <v>#N/A</v>
      </c>
      <c r="G1666" s="137" t="e">
        <f t="shared" si="29"/>
        <v>#N/A</v>
      </c>
    </row>
    <row r="1667" spans="1:7">
      <c r="A1667" s="112" t="str">
        <f>VLOOKUP('Informe Kelly'!A1661,Base!A:B,2,FALSE)</f>
        <v>13.838.747-K</v>
      </c>
      <c r="B1667" s="112" t="str">
        <f>VLOOKUP('Informe Kelly'!A1661,Base!A:G,7,FALSE)</f>
        <v>ALLENDES VARGAS MAURICIO</v>
      </c>
      <c r="C1667" s="112" t="str">
        <f>'Informe Kelly'!E1661</f>
        <v>04.04.2011</v>
      </c>
      <c r="D1667" s="112" t="e">
        <f>VLOOKUP(A1667,Ingreso!K:P,6,FALSE)</f>
        <v>#N/A</v>
      </c>
      <c r="E1667" s="142" t="e">
        <f>(VLOOKUP(D1667,$D$2:$E$4,2,FALSE))-(IF('Informe Kelly'!H1661=$A$2,'Informe Kelly'!F1661,VLOOKUP(D1667,$D$2:$E$4,2,FALSE)))</f>
        <v>#N/A</v>
      </c>
      <c r="F1667" s="142" t="e">
        <f>IF('Informe Kelly'!H1661=$A$3,'Informe Kelly'!F1661,VLOOKUP(D1667,$D$2:$F$4,3,FALSE))-(VLOOKUP(D1667,$D$2:$F$4,3,FALSE))</f>
        <v>#N/A</v>
      </c>
      <c r="G1667" s="137" t="e">
        <f t="shared" si="29"/>
        <v>#N/A</v>
      </c>
    </row>
    <row r="1668" spans="1:7">
      <c r="A1668" s="112" t="str">
        <f>VLOOKUP('Informe Kelly'!A1662,Base!A:B,2,FALSE)</f>
        <v>13.838.747-K</v>
      </c>
      <c r="B1668" s="112" t="str">
        <f>VLOOKUP('Informe Kelly'!A1662,Base!A:G,7,FALSE)</f>
        <v>ALLENDES VARGAS MAURICIO</v>
      </c>
      <c r="C1668" s="112" t="str">
        <f>'Informe Kelly'!E1662</f>
        <v>04.04.2011</v>
      </c>
      <c r="D1668" s="112" t="e">
        <f>VLOOKUP(A1668,Ingreso!K:P,6,FALSE)</f>
        <v>#N/A</v>
      </c>
      <c r="E1668" s="142" t="e">
        <f>(VLOOKUP(D1668,$D$2:$E$4,2,FALSE))-(IF('Informe Kelly'!H1662=$A$2,'Informe Kelly'!F1662,VLOOKUP(D1668,$D$2:$E$4,2,FALSE)))</f>
        <v>#N/A</v>
      </c>
      <c r="F1668" s="142" t="e">
        <f>IF('Informe Kelly'!H1662=$A$3,'Informe Kelly'!F1662,VLOOKUP(D1668,$D$2:$F$4,3,FALSE))-(VLOOKUP(D1668,$D$2:$F$4,3,FALSE))</f>
        <v>#N/A</v>
      </c>
      <c r="G1668" s="137" t="e">
        <f t="shared" si="29"/>
        <v>#N/A</v>
      </c>
    </row>
    <row r="1669" spans="1:7">
      <c r="A1669" s="112" t="str">
        <f>VLOOKUP('Informe Kelly'!A1663,Base!A:B,2,FALSE)</f>
        <v>13.838.747-K</v>
      </c>
      <c r="B1669" s="112" t="str">
        <f>VLOOKUP('Informe Kelly'!A1663,Base!A:G,7,FALSE)</f>
        <v>ALLENDES VARGAS MAURICIO</v>
      </c>
      <c r="C1669" s="112" t="str">
        <f>'Informe Kelly'!E1663</f>
        <v>05.04.2011</v>
      </c>
      <c r="D1669" s="112" t="e">
        <f>VLOOKUP(A1669,Ingreso!K:P,6,FALSE)</f>
        <v>#N/A</v>
      </c>
      <c r="E1669" s="142" t="e">
        <f>(VLOOKUP(D1669,$D$2:$E$4,2,FALSE))-(IF('Informe Kelly'!H1663=$A$2,'Informe Kelly'!F1663,VLOOKUP(D1669,$D$2:$E$4,2,FALSE)))</f>
        <v>#N/A</v>
      </c>
      <c r="F1669" s="142" t="e">
        <f>IF('Informe Kelly'!H1663=$A$3,'Informe Kelly'!F1663,VLOOKUP(D1669,$D$2:$F$4,3,FALSE))-(VLOOKUP(D1669,$D$2:$F$4,3,FALSE))</f>
        <v>#N/A</v>
      </c>
      <c r="G1669" s="137" t="e">
        <f t="shared" si="29"/>
        <v>#N/A</v>
      </c>
    </row>
    <row r="1670" spans="1:7">
      <c r="A1670" s="112" t="str">
        <f>VLOOKUP('Informe Kelly'!A1664,Base!A:B,2,FALSE)</f>
        <v>13.838.747-K</v>
      </c>
      <c r="B1670" s="112" t="str">
        <f>VLOOKUP('Informe Kelly'!A1664,Base!A:G,7,FALSE)</f>
        <v>ALLENDES VARGAS MAURICIO</v>
      </c>
      <c r="C1670" s="112" t="str">
        <f>'Informe Kelly'!E1664</f>
        <v>05.04.2011</v>
      </c>
      <c r="D1670" s="112" t="e">
        <f>VLOOKUP(A1670,Ingreso!K:P,6,FALSE)</f>
        <v>#N/A</v>
      </c>
      <c r="E1670" s="142" t="e">
        <f>(VLOOKUP(D1670,$D$2:$E$4,2,FALSE))-(IF('Informe Kelly'!H1664=$A$2,'Informe Kelly'!F1664,VLOOKUP(D1670,$D$2:$E$4,2,FALSE)))</f>
        <v>#N/A</v>
      </c>
      <c r="F1670" s="142" t="e">
        <f>IF('Informe Kelly'!H1664=$A$3,'Informe Kelly'!F1664,VLOOKUP(D1670,$D$2:$F$4,3,FALSE))-(VLOOKUP(D1670,$D$2:$F$4,3,FALSE))</f>
        <v>#N/A</v>
      </c>
      <c r="G1670" s="137" t="e">
        <f t="shared" si="29"/>
        <v>#N/A</v>
      </c>
    </row>
    <row r="1671" spans="1:7">
      <c r="A1671" s="112" t="str">
        <f>VLOOKUP('Informe Kelly'!A1665,Base!A:B,2,FALSE)</f>
        <v>13.838.747-K</v>
      </c>
      <c r="B1671" s="112" t="str">
        <f>VLOOKUP('Informe Kelly'!A1665,Base!A:G,7,FALSE)</f>
        <v>ALLENDES VARGAS MAURICIO</v>
      </c>
      <c r="C1671" s="112" t="str">
        <f>'Informe Kelly'!E1665</f>
        <v>06.04.2011</v>
      </c>
      <c r="D1671" s="112" t="e">
        <f>VLOOKUP(A1671,Ingreso!K:P,6,FALSE)</f>
        <v>#N/A</v>
      </c>
      <c r="E1671" s="142" t="e">
        <f>(VLOOKUP(D1671,$D$2:$E$4,2,FALSE))-(IF('Informe Kelly'!H1665=$A$2,'Informe Kelly'!F1665,VLOOKUP(D1671,$D$2:$E$4,2,FALSE)))</f>
        <v>#N/A</v>
      </c>
      <c r="F1671" s="142" t="e">
        <f>IF('Informe Kelly'!H1665=$A$3,'Informe Kelly'!F1665,VLOOKUP(D1671,$D$2:$F$4,3,FALSE))-(VLOOKUP(D1671,$D$2:$F$4,3,FALSE))</f>
        <v>#N/A</v>
      </c>
      <c r="G1671" s="137" t="e">
        <f t="shared" si="29"/>
        <v>#N/A</v>
      </c>
    </row>
    <row r="1672" spans="1:7">
      <c r="A1672" s="112" t="str">
        <f>VLOOKUP('Informe Kelly'!A1666,Base!A:B,2,FALSE)</f>
        <v>13.838.747-K</v>
      </c>
      <c r="B1672" s="112" t="str">
        <f>VLOOKUP('Informe Kelly'!A1666,Base!A:G,7,FALSE)</f>
        <v>ALLENDES VARGAS MAURICIO</v>
      </c>
      <c r="C1672" s="112" t="str">
        <f>'Informe Kelly'!E1666</f>
        <v>06.04.2011</v>
      </c>
      <c r="D1672" s="112" t="e">
        <f>VLOOKUP(A1672,Ingreso!K:P,6,FALSE)</f>
        <v>#N/A</v>
      </c>
      <c r="E1672" s="142" t="e">
        <f>(VLOOKUP(D1672,$D$2:$E$4,2,FALSE))-(IF('Informe Kelly'!H1666=$A$2,'Informe Kelly'!F1666,VLOOKUP(D1672,$D$2:$E$4,2,FALSE)))</f>
        <v>#N/A</v>
      </c>
      <c r="F1672" s="142" t="e">
        <f>IF('Informe Kelly'!H1666=$A$3,'Informe Kelly'!F1666,VLOOKUP(D1672,$D$2:$F$4,3,FALSE))-(VLOOKUP(D1672,$D$2:$F$4,3,FALSE))</f>
        <v>#N/A</v>
      </c>
      <c r="G1672" s="137" t="e">
        <f t="shared" si="29"/>
        <v>#N/A</v>
      </c>
    </row>
    <row r="1673" spans="1:7">
      <c r="A1673" s="112" t="str">
        <f>VLOOKUP('Informe Kelly'!A1667,Base!A:B,2,FALSE)</f>
        <v>13.838.747-K</v>
      </c>
      <c r="B1673" s="112" t="str">
        <f>VLOOKUP('Informe Kelly'!A1667,Base!A:G,7,FALSE)</f>
        <v>ALLENDES VARGAS MAURICIO</v>
      </c>
      <c r="C1673" s="112" t="str">
        <f>'Informe Kelly'!E1667</f>
        <v>07.04.2011</v>
      </c>
      <c r="D1673" s="112" t="e">
        <f>VLOOKUP(A1673,Ingreso!K:P,6,FALSE)</f>
        <v>#N/A</v>
      </c>
      <c r="E1673" s="142" t="e">
        <f>(VLOOKUP(D1673,$D$2:$E$4,2,FALSE))-(IF('Informe Kelly'!H1667=$A$2,'Informe Kelly'!F1667,VLOOKUP(D1673,$D$2:$E$4,2,FALSE)))</f>
        <v>#N/A</v>
      </c>
      <c r="F1673" s="142" t="e">
        <f>IF('Informe Kelly'!H1667=$A$3,'Informe Kelly'!F1667,VLOOKUP(D1673,$D$2:$F$4,3,FALSE))-(VLOOKUP(D1673,$D$2:$F$4,3,FALSE))</f>
        <v>#N/A</v>
      </c>
      <c r="G1673" s="137" t="e">
        <f t="shared" ref="G1673:G1736" si="30">IF(E1673="",IF(F1673&lt;0.0409722222222222,0,E1673),IF(E1673&lt;0.0409722222222222,0,E1673))</f>
        <v>#N/A</v>
      </c>
    </row>
    <row r="1674" spans="1:7">
      <c r="A1674" s="112" t="str">
        <f>VLOOKUP('Informe Kelly'!A1668,Base!A:B,2,FALSE)</f>
        <v>13.838.747-K</v>
      </c>
      <c r="B1674" s="112" t="str">
        <f>VLOOKUP('Informe Kelly'!A1668,Base!A:G,7,FALSE)</f>
        <v>ALLENDES VARGAS MAURICIO</v>
      </c>
      <c r="C1674" s="112" t="str">
        <f>'Informe Kelly'!E1668</f>
        <v>07.04.2011</v>
      </c>
      <c r="D1674" s="112" t="e">
        <f>VLOOKUP(A1674,Ingreso!K:P,6,FALSE)</f>
        <v>#N/A</v>
      </c>
      <c r="E1674" s="142" t="e">
        <f>(VLOOKUP(D1674,$D$2:$E$4,2,FALSE))-(IF('Informe Kelly'!H1668=$A$2,'Informe Kelly'!F1668,VLOOKUP(D1674,$D$2:$E$4,2,FALSE)))</f>
        <v>#N/A</v>
      </c>
      <c r="F1674" s="142" t="e">
        <f>IF('Informe Kelly'!H1668=$A$3,'Informe Kelly'!F1668,VLOOKUP(D1674,$D$2:$F$4,3,FALSE))-(VLOOKUP(D1674,$D$2:$F$4,3,FALSE))</f>
        <v>#N/A</v>
      </c>
      <c r="G1674" s="137" t="e">
        <f t="shared" si="30"/>
        <v>#N/A</v>
      </c>
    </row>
    <row r="1675" spans="1:7">
      <c r="A1675" s="112" t="str">
        <f>VLOOKUP('Informe Kelly'!A1669,Base!A:B,2,FALSE)</f>
        <v>13.838.747-K</v>
      </c>
      <c r="B1675" s="112" t="str">
        <f>VLOOKUP('Informe Kelly'!A1669,Base!A:G,7,FALSE)</f>
        <v>ALLENDES VARGAS MAURICIO</v>
      </c>
      <c r="C1675" s="112" t="str">
        <f>'Informe Kelly'!E1669</f>
        <v>08.04.2011</v>
      </c>
      <c r="D1675" s="112" t="e">
        <f>VLOOKUP(A1675,Ingreso!K:P,6,FALSE)</f>
        <v>#N/A</v>
      </c>
      <c r="E1675" s="142" t="e">
        <f>(VLOOKUP(D1675,$D$2:$E$4,2,FALSE))-(IF('Informe Kelly'!H1669=$A$2,'Informe Kelly'!F1669,VLOOKUP(D1675,$D$2:$E$4,2,FALSE)))</f>
        <v>#N/A</v>
      </c>
      <c r="F1675" s="142" t="e">
        <f>IF('Informe Kelly'!H1669=$A$3,'Informe Kelly'!F1669,VLOOKUP(D1675,$D$2:$F$4,3,FALSE))-(VLOOKUP(D1675,$D$2:$F$4,3,FALSE))</f>
        <v>#N/A</v>
      </c>
      <c r="G1675" s="137" t="e">
        <f t="shared" si="30"/>
        <v>#N/A</v>
      </c>
    </row>
    <row r="1676" spans="1:7">
      <c r="A1676" s="112" t="str">
        <f>VLOOKUP('Informe Kelly'!A1670,Base!A:B,2,FALSE)</f>
        <v>13.838.747-K</v>
      </c>
      <c r="B1676" s="112" t="str">
        <f>VLOOKUP('Informe Kelly'!A1670,Base!A:G,7,FALSE)</f>
        <v>ALLENDES VARGAS MAURICIO</v>
      </c>
      <c r="C1676" s="112" t="str">
        <f>'Informe Kelly'!E1670</f>
        <v>08.04.2011</v>
      </c>
      <c r="D1676" s="112" t="e">
        <f>VLOOKUP(A1676,Ingreso!K:P,6,FALSE)</f>
        <v>#N/A</v>
      </c>
      <c r="E1676" s="142" t="e">
        <f>(VLOOKUP(D1676,$D$2:$E$4,2,FALSE))-(IF('Informe Kelly'!H1670=$A$2,'Informe Kelly'!F1670,VLOOKUP(D1676,$D$2:$E$4,2,FALSE)))</f>
        <v>#N/A</v>
      </c>
      <c r="F1676" s="142" t="e">
        <f>IF('Informe Kelly'!H1670=$A$3,'Informe Kelly'!F1670,VLOOKUP(D1676,$D$2:$F$4,3,FALSE))-(VLOOKUP(D1676,$D$2:$F$4,3,FALSE))</f>
        <v>#N/A</v>
      </c>
      <c r="G1676" s="137" t="e">
        <f t="shared" si="30"/>
        <v>#N/A</v>
      </c>
    </row>
    <row r="1677" spans="1:7">
      <c r="A1677" s="112" t="str">
        <f>VLOOKUP('Informe Kelly'!A1671,Base!A:B,2,FALSE)</f>
        <v>13.838.747-K</v>
      </c>
      <c r="B1677" s="112" t="str">
        <f>VLOOKUP('Informe Kelly'!A1671,Base!A:G,7,FALSE)</f>
        <v>ALLENDES VARGAS MAURICIO</v>
      </c>
      <c r="C1677" s="112" t="str">
        <f>'Informe Kelly'!E1671</f>
        <v>09.04.2011</v>
      </c>
      <c r="D1677" s="112" t="e">
        <f>VLOOKUP(A1677,Ingreso!K:P,6,FALSE)</f>
        <v>#N/A</v>
      </c>
      <c r="E1677" s="142" t="e">
        <f>(VLOOKUP(D1677,$D$2:$E$4,2,FALSE))-(IF('Informe Kelly'!H1671=$A$2,'Informe Kelly'!F1671,VLOOKUP(D1677,$D$2:$E$4,2,FALSE)))</f>
        <v>#N/A</v>
      </c>
      <c r="F1677" s="142" t="e">
        <f>IF('Informe Kelly'!H1671=$A$3,'Informe Kelly'!F1671,VLOOKUP(D1677,$D$2:$F$4,3,FALSE))-(VLOOKUP(D1677,$D$2:$F$4,3,FALSE))</f>
        <v>#N/A</v>
      </c>
      <c r="G1677" s="137" t="e">
        <f t="shared" si="30"/>
        <v>#N/A</v>
      </c>
    </row>
    <row r="1678" spans="1:7">
      <c r="A1678" s="112" t="str">
        <f>VLOOKUP('Informe Kelly'!A1672,Base!A:B,2,FALSE)</f>
        <v>13.838.747-K</v>
      </c>
      <c r="B1678" s="112" t="str">
        <f>VLOOKUP('Informe Kelly'!A1672,Base!A:G,7,FALSE)</f>
        <v>ALLENDES VARGAS MAURICIO</v>
      </c>
      <c r="C1678" s="112" t="str">
        <f>'Informe Kelly'!E1672</f>
        <v>09.04.2011</v>
      </c>
      <c r="D1678" s="112" t="e">
        <f>VLOOKUP(A1678,Ingreso!K:P,6,FALSE)</f>
        <v>#N/A</v>
      </c>
      <c r="E1678" s="142" t="e">
        <f>(VLOOKUP(D1678,$D$2:$E$4,2,FALSE))-(IF('Informe Kelly'!H1672=$A$2,'Informe Kelly'!F1672,VLOOKUP(D1678,$D$2:$E$4,2,FALSE)))</f>
        <v>#N/A</v>
      </c>
      <c r="F1678" s="142" t="e">
        <f>IF('Informe Kelly'!H1672=$A$3,'Informe Kelly'!F1672,VLOOKUP(D1678,$D$2:$F$4,3,FALSE))-(VLOOKUP(D1678,$D$2:$F$4,3,FALSE))</f>
        <v>#N/A</v>
      </c>
      <c r="G1678" s="137" t="e">
        <f t="shared" si="30"/>
        <v>#N/A</v>
      </c>
    </row>
    <row r="1679" spans="1:7">
      <c r="A1679" s="112" t="str">
        <f>VLOOKUP('Informe Kelly'!A1673,Base!A:B,2,FALSE)</f>
        <v>13.839.512-K</v>
      </c>
      <c r="B1679" s="112" t="str">
        <f>VLOOKUP('Informe Kelly'!A1673,Base!A:G,7,FALSE)</f>
        <v>URETA  PAREDES, EMILIO</v>
      </c>
      <c r="C1679" s="112" t="str">
        <f>'Informe Kelly'!E1673</f>
        <v>05.04.2011</v>
      </c>
      <c r="D1679" s="112" t="e">
        <f>VLOOKUP(A1679,Ingreso!K:P,6,FALSE)</f>
        <v>#N/A</v>
      </c>
      <c r="E1679" s="142" t="e">
        <f>(VLOOKUP(D1679,$D$2:$E$4,2,FALSE))-(IF('Informe Kelly'!H1673=$A$2,'Informe Kelly'!F1673,VLOOKUP(D1679,$D$2:$E$4,2,FALSE)))</f>
        <v>#N/A</v>
      </c>
      <c r="F1679" s="142" t="e">
        <f>IF('Informe Kelly'!H1673=$A$3,'Informe Kelly'!F1673,VLOOKUP(D1679,$D$2:$F$4,3,FALSE))-(VLOOKUP(D1679,$D$2:$F$4,3,FALSE))</f>
        <v>#N/A</v>
      </c>
      <c r="G1679" s="137" t="e">
        <f t="shared" si="30"/>
        <v>#N/A</v>
      </c>
    </row>
    <row r="1680" spans="1:7">
      <c r="A1680" s="112" t="str">
        <f>VLOOKUP('Informe Kelly'!A1674,Base!A:B,2,FALSE)</f>
        <v>13.839.512-K</v>
      </c>
      <c r="B1680" s="112" t="str">
        <f>VLOOKUP('Informe Kelly'!A1674,Base!A:G,7,FALSE)</f>
        <v>URETA  PAREDES, EMILIO</v>
      </c>
      <c r="C1680" s="112" t="str">
        <f>'Informe Kelly'!E1674</f>
        <v>05.04.2011</v>
      </c>
      <c r="D1680" s="112" t="e">
        <f>VLOOKUP(A1680,Ingreso!K:P,6,FALSE)</f>
        <v>#N/A</v>
      </c>
      <c r="E1680" s="142" t="e">
        <f>(VLOOKUP(D1680,$D$2:$E$4,2,FALSE))-(IF('Informe Kelly'!H1674=$A$2,'Informe Kelly'!F1674,VLOOKUP(D1680,$D$2:$E$4,2,FALSE)))</f>
        <v>#N/A</v>
      </c>
      <c r="F1680" s="142" t="e">
        <f>IF('Informe Kelly'!H1674=$A$3,'Informe Kelly'!F1674,VLOOKUP(D1680,$D$2:$F$4,3,FALSE))-(VLOOKUP(D1680,$D$2:$F$4,3,FALSE))</f>
        <v>#N/A</v>
      </c>
      <c r="G1680" s="137" t="e">
        <f t="shared" si="30"/>
        <v>#N/A</v>
      </c>
    </row>
    <row r="1681" spans="1:7">
      <c r="A1681" s="112" t="str">
        <f>VLOOKUP('Informe Kelly'!A1675,Base!A:B,2,FALSE)</f>
        <v>13.839.512-K</v>
      </c>
      <c r="B1681" s="112" t="str">
        <f>VLOOKUP('Informe Kelly'!A1675,Base!A:G,7,FALSE)</f>
        <v>URETA  PAREDES, EMILIO</v>
      </c>
      <c r="C1681" s="112" t="str">
        <f>'Informe Kelly'!E1675</f>
        <v>06.04.2011</v>
      </c>
      <c r="D1681" s="112" t="e">
        <f>VLOOKUP(A1681,Ingreso!K:P,6,FALSE)</f>
        <v>#N/A</v>
      </c>
      <c r="E1681" s="142" t="e">
        <f>(VLOOKUP(D1681,$D$2:$E$4,2,FALSE))-(IF('Informe Kelly'!H1675=$A$2,'Informe Kelly'!F1675,VLOOKUP(D1681,$D$2:$E$4,2,FALSE)))</f>
        <v>#N/A</v>
      </c>
      <c r="F1681" s="142" t="e">
        <f>IF('Informe Kelly'!H1675=$A$3,'Informe Kelly'!F1675,VLOOKUP(D1681,$D$2:$F$4,3,FALSE))-(VLOOKUP(D1681,$D$2:$F$4,3,FALSE))</f>
        <v>#N/A</v>
      </c>
      <c r="G1681" s="137" t="e">
        <f t="shared" si="30"/>
        <v>#N/A</v>
      </c>
    </row>
    <row r="1682" spans="1:7">
      <c r="A1682" s="112" t="str">
        <f>VLOOKUP('Informe Kelly'!A1676,Base!A:B,2,FALSE)</f>
        <v>13.839.512-K</v>
      </c>
      <c r="B1682" s="112" t="str">
        <f>VLOOKUP('Informe Kelly'!A1676,Base!A:G,7,FALSE)</f>
        <v>URETA  PAREDES, EMILIO</v>
      </c>
      <c r="C1682" s="112" t="str">
        <f>'Informe Kelly'!E1676</f>
        <v>06.04.2011</v>
      </c>
      <c r="D1682" s="112" t="e">
        <f>VLOOKUP(A1682,Ingreso!K:P,6,FALSE)</f>
        <v>#N/A</v>
      </c>
      <c r="E1682" s="142" t="e">
        <f>(VLOOKUP(D1682,$D$2:$E$4,2,FALSE))-(IF('Informe Kelly'!H1676=$A$2,'Informe Kelly'!F1676,VLOOKUP(D1682,$D$2:$E$4,2,FALSE)))</f>
        <v>#N/A</v>
      </c>
      <c r="F1682" s="142" t="e">
        <f>IF('Informe Kelly'!H1676=$A$3,'Informe Kelly'!F1676,VLOOKUP(D1682,$D$2:$F$4,3,FALSE))-(VLOOKUP(D1682,$D$2:$F$4,3,FALSE))</f>
        <v>#N/A</v>
      </c>
      <c r="G1682" s="137" t="e">
        <f t="shared" si="30"/>
        <v>#N/A</v>
      </c>
    </row>
    <row r="1683" spans="1:7">
      <c r="A1683" s="112" t="str">
        <f>VLOOKUP('Informe Kelly'!A1677,Base!A:B,2,FALSE)</f>
        <v>13.839.512-K</v>
      </c>
      <c r="B1683" s="112" t="str">
        <f>VLOOKUP('Informe Kelly'!A1677,Base!A:G,7,FALSE)</f>
        <v>URETA  PAREDES, EMILIO</v>
      </c>
      <c r="C1683" s="112" t="str">
        <f>'Informe Kelly'!E1677</f>
        <v>08.04.2011</v>
      </c>
      <c r="D1683" s="112" t="e">
        <f>VLOOKUP(A1683,Ingreso!K:P,6,FALSE)</f>
        <v>#N/A</v>
      </c>
      <c r="E1683" s="142" t="e">
        <f>(VLOOKUP(D1683,$D$2:$E$4,2,FALSE))-(IF('Informe Kelly'!H1677=$A$2,'Informe Kelly'!F1677,VLOOKUP(D1683,$D$2:$E$4,2,FALSE)))</f>
        <v>#N/A</v>
      </c>
      <c r="F1683" s="142" t="e">
        <f>IF('Informe Kelly'!H1677=$A$3,'Informe Kelly'!F1677,VLOOKUP(D1683,$D$2:$F$4,3,FALSE))-(VLOOKUP(D1683,$D$2:$F$4,3,FALSE))</f>
        <v>#N/A</v>
      </c>
      <c r="G1683" s="137" t="e">
        <f t="shared" si="30"/>
        <v>#N/A</v>
      </c>
    </row>
    <row r="1684" spans="1:7">
      <c r="A1684" s="112" t="str">
        <f>VLOOKUP('Informe Kelly'!A1678,Base!A:B,2,FALSE)</f>
        <v>13.839.512-K</v>
      </c>
      <c r="B1684" s="112" t="str">
        <f>VLOOKUP('Informe Kelly'!A1678,Base!A:G,7,FALSE)</f>
        <v>URETA  PAREDES, EMILIO</v>
      </c>
      <c r="C1684" s="112" t="str">
        <f>'Informe Kelly'!E1678</f>
        <v>08.04.2011</v>
      </c>
      <c r="D1684" s="112" t="e">
        <f>VLOOKUP(A1684,Ingreso!K:P,6,FALSE)</f>
        <v>#N/A</v>
      </c>
      <c r="E1684" s="142" t="e">
        <f>(VLOOKUP(D1684,$D$2:$E$4,2,FALSE))-(IF('Informe Kelly'!H1678=$A$2,'Informe Kelly'!F1678,VLOOKUP(D1684,$D$2:$E$4,2,FALSE)))</f>
        <v>#N/A</v>
      </c>
      <c r="F1684" s="142" t="e">
        <f>IF('Informe Kelly'!H1678=$A$3,'Informe Kelly'!F1678,VLOOKUP(D1684,$D$2:$F$4,3,FALSE))-(VLOOKUP(D1684,$D$2:$F$4,3,FALSE))</f>
        <v>#N/A</v>
      </c>
      <c r="G1684" s="137" t="e">
        <f t="shared" si="30"/>
        <v>#N/A</v>
      </c>
    </row>
    <row r="1685" spans="1:7">
      <c r="A1685" s="112" t="str">
        <f>VLOOKUP('Informe Kelly'!A1679,Base!A:B,2,FALSE)</f>
        <v>13.839.512-K</v>
      </c>
      <c r="B1685" s="112" t="str">
        <f>VLOOKUP('Informe Kelly'!A1679,Base!A:G,7,FALSE)</f>
        <v>URETA  PAREDES, EMILIO</v>
      </c>
      <c r="C1685" s="112" t="str">
        <f>'Informe Kelly'!E1679</f>
        <v>09.04.2011</v>
      </c>
      <c r="D1685" s="112" t="e">
        <f>VLOOKUP(A1685,Ingreso!K:P,6,FALSE)</f>
        <v>#N/A</v>
      </c>
      <c r="E1685" s="142" t="e">
        <f>(VLOOKUP(D1685,$D$2:$E$4,2,FALSE))-(IF('Informe Kelly'!H1679=$A$2,'Informe Kelly'!F1679,VLOOKUP(D1685,$D$2:$E$4,2,FALSE)))</f>
        <v>#N/A</v>
      </c>
      <c r="F1685" s="142" t="e">
        <f>IF('Informe Kelly'!H1679=$A$3,'Informe Kelly'!F1679,VLOOKUP(D1685,$D$2:$F$4,3,FALSE))-(VLOOKUP(D1685,$D$2:$F$4,3,FALSE))</f>
        <v>#N/A</v>
      </c>
      <c r="G1685" s="137" t="e">
        <f t="shared" si="30"/>
        <v>#N/A</v>
      </c>
    </row>
    <row r="1686" spans="1:7">
      <c r="A1686" s="112" t="str">
        <f>VLOOKUP('Informe Kelly'!A1680,Base!A:B,2,FALSE)</f>
        <v>13.839.512-K</v>
      </c>
      <c r="B1686" s="112" t="str">
        <f>VLOOKUP('Informe Kelly'!A1680,Base!A:G,7,FALSE)</f>
        <v>URETA  PAREDES, EMILIO</v>
      </c>
      <c r="C1686" s="112" t="str">
        <f>'Informe Kelly'!E1680</f>
        <v>09.04.2011</v>
      </c>
      <c r="D1686" s="112" t="e">
        <f>VLOOKUP(A1686,Ingreso!K:P,6,FALSE)</f>
        <v>#N/A</v>
      </c>
      <c r="E1686" s="142" t="e">
        <f>(VLOOKUP(D1686,$D$2:$E$4,2,FALSE))-(IF('Informe Kelly'!H1680=$A$2,'Informe Kelly'!F1680,VLOOKUP(D1686,$D$2:$E$4,2,FALSE)))</f>
        <v>#N/A</v>
      </c>
      <c r="F1686" s="142" t="e">
        <f>IF('Informe Kelly'!H1680=$A$3,'Informe Kelly'!F1680,VLOOKUP(D1686,$D$2:$F$4,3,FALSE))-(VLOOKUP(D1686,$D$2:$F$4,3,FALSE))</f>
        <v>#N/A</v>
      </c>
      <c r="G1686" s="137" t="e">
        <f t="shared" si="30"/>
        <v>#N/A</v>
      </c>
    </row>
    <row r="1687" spans="1:7">
      <c r="A1687" s="112" t="str">
        <f>VLOOKUP('Informe Kelly'!A1681,Base!A:B,2,FALSE)</f>
        <v>13.897.327-1</v>
      </c>
      <c r="B1687" s="112" t="str">
        <f>VLOOKUP('Informe Kelly'!A1681,Base!A:G,7,FALSE)</f>
        <v>ITURRIAGA ORELLANA DANIEL NEFTALI</v>
      </c>
      <c r="C1687" s="112" t="str">
        <f>'Informe Kelly'!E1681</f>
        <v>04.04.2011</v>
      </c>
      <c r="D1687" s="112" t="e">
        <f>VLOOKUP(A1687,Ingreso!K:P,6,FALSE)</f>
        <v>#N/A</v>
      </c>
      <c r="E1687" s="142" t="e">
        <f>(VLOOKUP(D1687,$D$2:$E$4,2,FALSE))-(IF('Informe Kelly'!H1681=$A$2,'Informe Kelly'!F1681,VLOOKUP(D1687,$D$2:$E$4,2,FALSE)))</f>
        <v>#N/A</v>
      </c>
      <c r="F1687" s="142" t="e">
        <f>IF('Informe Kelly'!H1681=$A$3,'Informe Kelly'!F1681,VLOOKUP(D1687,$D$2:$F$4,3,FALSE))-(VLOOKUP(D1687,$D$2:$F$4,3,FALSE))</f>
        <v>#N/A</v>
      </c>
      <c r="G1687" s="137" t="e">
        <f t="shared" si="30"/>
        <v>#N/A</v>
      </c>
    </row>
    <row r="1688" spans="1:7">
      <c r="A1688" s="112" t="str">
        <f>VLOOKUP('Informe Kelly'!A1682,Base!A:B,2,FALSE)</f>
        <v>13.897.327-1</v>
      </c>
      <c r="B1688" s="112" t="str">
        <f>VLOOKUP('Informe Kelly'!A1682,Base!A:G,7,FALSE)</f>
        <v>ITURRIAGA ORELLANA DANIEL NEFTALI</v>
      </c>
      <c r="C1688" s="112" t="str">
        <f>'Informe Kelly'!E1682</f>
        <v>05.04.2011</v>
      </c>
      <c r="D1688" s="112" t="e">
        <f>VLOOKUP(A1688,Ingreso!K:P,6,FALSE)</f>
        <v>#N/A</v>
      </c>
      <c r="E1688" s="142" t="e">
        <f>(VLOOKUP(D1688,$D$2:$E$4,2,FALSE))-(IF('Informe Kelly'!H1682=$A$2,'Informe Kelly'!F1682,VLOOKUP(D1688,$D$2:$E$4,2,FALSE)))</f>
        <v>#N/A</v>
      </c>
      <c r="F1688" s="142" t="e">
        <f>IF('Informe Kelly'!H1682=$A$3,'Informe Kelly'!F1682,VLOOKUP(D1688,$D$2:$F$4,3,FALSE))-(VLOOKUP(D1688,$D$2:$F$4,3,FALSE))</f>
        <v>#N/A</v>
      </c>
      <c r="G1688" s="137" t="e">
        <f t="shared" si="30"/>
        <v>#N/A</v>
      </c>
    </row>
    <row r="1689" spans="1:7">
      <c r="A1689" s="112" t="str">
        <f>VLOOKUP('Informe Kelly'!A1683,Base!A:B,2,FALSE)</f>
        <v>13.897.327-1</v>
      </c>
      <c r="B1689" s="112" t="str">
        <f>VLOOKUP('Informe Kelly'!A1683,Base!A:G,7,FALSE)</f>
        <v>ITURRIAGA ORELLANA DANIEL NEFTALI</v>
      </c>
      <c r="C1689" s="112" t="str">
        <f>'Informe Kelly'!E1683</f>
        <v>05.04.2011</v>
      </c>
      <c r="D1689" s="112" t="e">
        <f>VLOOKUP(A1689,Ingreso!K:P,6,FALSE)</f>
        <v>#N/A</v>
      </c>
      <c r="E1689" s="142" t="e">
        <f>(VLOOKUP(D1689,$D$2:$E$4,2,FALSE))-(IF('Informe Kelly'!H1683=$A$2,'Informe Kelly'!F1683,VLOOKUP(D1689,$D$2:$E$4,2,FALSE)))</f>
        <v>#N/A</v>
      </c>
      <c r="F1689" s="142" t="e">
        <f>IF('Informe Kelly'!H1683=$A$3,'Informe Kelly'!F1683,VLOOKUP(D1689,$D$2:$F$4,3,FALSE))-(VLOOKUP(D1689,$D$2:$F$4,3,FALSE))</f>
        <v>#N/A</v>
      </c>
      <c r="G1689" s="137" t="e">
        <f t="shared" si="30"/>
        <v>#N/A</v>
      </c>
    </row>
    <row r="1690" spans="1:7">
      <c r="A1690" s="112" t="str">
        <f>VLOOKUP('Informe Kelly'!A1684,Base!A:B,2,FALSE)</f>
        <v>13.897.327-1</v>
      </c>
      <c r="B1690" s="112" t="str">
        <f>VLOOKUP('Informe Kelly'!A1684,Base!A:G,7,FALSE)</f>
        <v>ITURRIAGA ORELLANA DANIEL NEFTALI</v>
      </c>
      <c r="C1690" s="112" t="str">
        <f>'Informe Kelly'!E1684</f>
        <v>06.04.2011</v>
      </c>
      <c r="D1690" s="112" t="e">
        <f>VLOOKUP(A1690,Ingreso!K:P,6,FALSE)</f>
        <v>#N/A</v>
      </c>
      <c r="E1690" s="142" t="e">
        <f>(VLOOKUP(D1690,$D$2:$E$4,2,FALSE))-(IF('Informe Kelly'!H1684=$A$2,'Informe Kelly'!F1684,VLOOKUP(D1690,$D$2:$E$4,2,FALSE)))</f>
        <v>#N/A</v>
      </c>
      <c r="F1690" s="142" t="e">
        <f>IF('Informe Kelly'!H1684=$A$3,'Informe Kelly'!F1684,VLOOKUP(D1690,$D$2:$F$4,3,FALSE))-(VLOOKUP(D1690,$D$2:$F$4,3,FALSE))</f>
        <v>#N/A</v>
      </c>
      <c r="G1690" s="137" t="e">
        <f t="shared" si="30"/>
        <v>#N/A</v>
      </c>
    </row>
    <row r="1691" spans="1:7">
      <c r="A1691" s="112" t="str">
        <f>VLOOKUP('Informe Kelly'!A1685,Base!A:B,2,FALSE)</f>
        <v>13.897.327-1</v>
      </c>
      <c r="B1691" s="112" t="str">
        <f>VLOOKUP('Informe Kelly'!A1685,Base!A:G,7,FALSE)</f>
        <v>ITURRIAGA ORELLANA DANIEL NEFTALI</v>
      </c>
      <c r="C1691" s="112" t="str">
        <f>'Informe Kelly'!E1685</f>
        <v>06.04.2011</v>
      </c>
      <c r="D1691" s="112" t="e">
        <f>VLOOKUP(A1691,Ingreso!K:P,6,FALSE)</f>
        <v>#N/A</v>
      </c>
      <c r="E1691" s="142" t="e">
        <f>(VLOOKUP(D1691,$D$2:$E$4,2,FALSE))-(IF('Informe Kelly'!H1685=$A$2,'Informe Kelly'!F1685,VLOOKUP(D1691,$D$2:$E$4,2,FALSE)))</f>
        <v>#N/A</v>
      </c>
      <c r="F1691" s="142" t="e">
        <f>IF('Informe Kelly'!H1685=$A$3,'Informe Kelly'!F1685,VLOOKUP(D1691,$D$2:$F$4,3,FALSE))-(VLOOKUP(D1691,$D$2:$F$4,3,FALSE))</f>
        <v>#N/A</v>
      </c>
      <c r="G1691" s="137" t="e">
        <f t="shared" si="30"/>
        <v>#N/A</v>
      </c>
    </row>
    <row r="1692" spans="1:7">
      <c r="A1692" s="112" t="str">
        <f>VLOOKUP('Informe Kelly'!A1686,Base!A:B,2,FALSE)</f>
        <v>13.897.327-1</v>
      </c>
      <c r="B1692" s="112" t="str">
        <f>VLOOKUP('Informe Kelly'!A1686,Base!A:G,7,FALSE)</f>
        <v>ITURRIAGA ORELLANA DANIEL NEFTALI</v>
      </c>
      <c r="C1692" s="112" t="str">
        <f>'Informe Kelly'!E1686</f>
        <v>07.04.2011</v>
      </c>
      <c r="D1692" s="112" t="e">
        <f>VLOOKUP(A1692,Ingreso!K:P,6,FALSE)</f>
        <v>#N/A</v>
      </c>
      <c r="E1692" s="142" t="e">
        <f>(VLOOKUP(D1692,$D$2:$E$4,2,FALSE))-(IF('Informe Kelly'!H1686=$A$2,'Informe Kelly'!F1686,VLOOKUP(D1692,$D$2:$E$4,2,FALSE)))</f>
        <v>#N/A</v>
      </c>
      <c r="F1692" s="142" t="e">
        <f>IF('Informe Kelly'!H1686=$A$3,'Informe Kelly'!F1686,VLOOKUP(D1692,$D$2:$F$4,3,FALSE))-(VLOOKUP(D1692,$D$2:$F$4,3,FALSE))</f>
        <v>#N/A</v>
      </c>
      <c r="G1692" s="137" t="e">
        <f t="shared" si="30"/>
        <v>#N/A</v>
      </c>
    </row>
    <row r="1693" spans="1:7">
      <c r="A1693" s="112" t="str">
        <f>VLOOKUP('Informe Kelly'!A1687,Base!A:B,2,FALSE)</f>
        <v>13.897.327-1</v>
      </c>
      <c r="B1693" s="112" t="str">
        <f>VLOOKUP('Informe Kelly'!A1687,Base!A:G,7,FALSE)</f>
        <v>ITURRIAGA ORELLANA DANIEL NEFTALI</v>
      </c>
      <c r="C1693" s="112" t="str">
        <f>'Informe Kelly'!E1687</f>
        <v>07.04.2011</v>
      </c>
      <c r="D1693" s="112" t="e">
        <f>VLOOKUP(A1693,Ingreso!K:P,6,FALSE)</f>
        <v>#N/A</v>
      </c>
      <c r="E1693" s="142" t="e">
        <f>(VLOOKUP(D1693,$D$2:$E$4,2,FALSE))-(IF('Informe Kelly'!H1687=$A$2,'Informe Kelly'!F1687,VLOOKUP(D1693,$D$2:$E$4,2,FALSE)))</f>
        <v>#N/A</v>
      </c>
      <c r="F1693" s="142" t="e">
        <f>IF('Informe Kelly'!H1687=$A$3,'Informe Kelly'!F1687,VLOOKUP(D1693,$D$2:$F$4,3,FALSE))-(VLOOKUP(D1693,$D$2:$F$4,3,FALSE))</f>
        <v>#N/A</v>
      </c>
      <c r="G1693" s="137" t="e">
        <f t="shared" si="30"/>
        <v>#N/A</v>
      </c>
    </row>
    <row r="1694" spans="1:7">
      <c r="A1694" s="112" t="str">
        <f>VLOOKUP('Informe Kelly'!A1688,Base!A:B,2,FALSE)</f>
        <v>13.897.327-1</v>
      </c>
      <c r="B1694" s="112" t="str">
        <f>VLOOKUP('Informe Kelly'!A1688,Base!A:G,7,FALSE)</f>
        <v>ITURRIAGA ORELLANA DANIEL NEFTALI</v>
      </c>
      <c r="C1694" s="112" t="str">
        <f>'Informe Kelly'!E1688</f>
        <v>08.04.2011</v>
      </c>
      <c r="D1694" s="112" t="e">
        <f>VLOOKUP(A1694,Ingreso!K:P,6,FALSE)</f>
        <v>#N/A</v>
      </c>
      <c r="E1694" s="142" t="e">
        <f>(VLOOKUP(D1694,$D$2:$E$4,2,FALSE))-(IF('Informe Kelly'!H1688=$A$2,'Informe Kelly'!F1688,VLOOKUP(D1694,$D$2:$E$4,2,FALSE)))</f>
        <v>#N/A</v>
      </c>
      <c r="F1694" s="142" t="e">
        <f>IF('Informe Kelly'!H1688=$A$3,'Informe Kelly'!F1688,VLOOKUP(D1694,$D$2:$F$4,3,FALSE))-(VLOOKUP(D1694,$D$2:$F$4,3,FALSE))</f>
        <v>#N/A</v>
      </c>
      <c r="G1694" s="137" t="e">
        <f t="shared" si="30"/>
        <v>#N/A</v>
      </c>
    </row>
    <row r="1695" spans="1:7">
      <c r="A1695" s="112" t="str">
        <f>VLOOKUP('Informe Kelly'!A1689,Base!A:B,2,FALSE)</f>
        <v>13.897.327-1</v>
      </c>
      <c r="B1695" s="112" t="str">
        <f>VLOOKUP('Informe Kelly'!A1689,Base!A:G,7,FALSE)</f>
        <v>ITURRIAGA ORELLANA DANIEL NEFTALI</v>
      </c>
      <c r="C1695" s="112" t="str">
        <f>'Informe Kelly'!E1689</f>
        <v>08.04.2011</v>
      </c>
      <c r="D1695" s="112" t="e">
        <f>VLOOKUP(A1695,Ingreso!K:P,6,FALSE)</f>
        <v>#N/A</v>
      </c>
      <c r="E1695" s="142" t="e">
        <f>(VLOOKUP(D1695,$D$2:$E$4,2,FALSE))-(IF('Informe Kelly'!H1689=$A$2,'Informe Kelly'!F1689,VLOOKUP(D1695,$D$2:$E$4,2,FALSE)))</f>
        <v>#N/A</v>
      </c>
      <c r="F1695" s="142" t="e">
        <f>IF('Informe Kelly'!H1689=$A$3,'Informe Kelly'!F1689,VLOOKUP(D1695,$D$2:$F$4,3,FALSE))-(VLOOKUP(D1695,$D$2:$F$4,3,FALSE))</f>
        <v>#N/A</v>
      </c>
      <c r="G1695" s="137" t="e">
        <f t="shared" si="30"/>
        <v>#N/A</v>
      </c>
    </row>
    <row r="1696" spans="1:7">
      <c r="A1696" s="112" t="str">
        <f>VLOOKUP('Informe Kelly'!A1690,Base!A:B,2,FALSE)</f>
        <v>13.897.327-1</v>
      </c>
      <c r="B1696" s="112" t="str">
        <f>VLOOKUP('Informe Kelly'!A1690,Base!A:G,7,FALSE)</f>
        <v>ITURRIAGA ORELLANA DANIEL NEFTALI</v>
      </c>
      <c r="C1696" s="112" t="str">
        <f>'Informe Kelly'!E1690</f>
        <v>09.04.2011</v>
      </c>
      <c r="D1696" s="112" t="e">
        <f>VLOOKUP(A1696,Ingreso!K:P,6,FALSE)</f>
        <v>#N/A</v>
      </c>
      <c r="E1696" s="142" t="e">
        <f>(VLOOKUP(D1696,$D$2:$E$4,2,FALSE))-(IF('Informe Kelly'!H1690=$A$2,'Informe Kelly'!F1690,VLOOKUP(D1696,$D$2:$E$4,2,FALSE)))</f>
        <v>#N/A</v>
      </c>
      <c r="F1696" s="142" t="e">
        <f>IF('Informe Kelly'!H1690=$A$3,'Informe Kelly'!F1690,VLOOKUP(D1696,$D$2:$F$4,3,FALSE))-(VLOOKUP(D1696,$D$2:$F$4,3,FALSE))</f>
        <v>#N/A</v>
      </c>
      <c r="G1696" s="137" t="e">
        <f t="shared" si="30"/>
        <v>#N/A</v>
      </c>
    </row>
    <row r="1697" spans="1:7">
      <c r="A1697" s="112" t="str">
        <f>VLOOKUP('Informe Kelly'!A1691,Base!A:B,2,FALSE)</f>
        <v>13.899.407-4</v>
      </c>
      <c r="B1697" s="112" t="str">
        <f>VLOOKUP('Informe Kelly'!A1691,Base!A:G,7,FALSE)</f>
        <v>BUSTAMANTE GONZALEZ MAURICIO ANDRES</v>
      </c>
      <c r="C1697" s="112" t="str">
        <f>'Informe Kelly'!E1691</f>
        <v>04.04.2011</v>
      </c>
      <c r="D1697" s="112" t="e">
        <f>VLOOKUP(A1697,Ingreso!K:P,6,FALSE)</f>
        <v>#N/A</v>
      </c>
      <c r="E1697" s="142" t="e">
        <f>(VLOOKUP(D1697,$D$2:$E$4,2,FALSE))-(IF('Informe Kelly'!H1691=$A$2,'Informe Kelly'!F1691,VLOOKUP(D1697,$D$2:$E$4,2,FALSE)))</f>
        <v>#N/A</v>
      </c>
      <c r="F1697" s="142" t="e">
        <f>IF('Informe Kelly'!H1691=$A$3,'Informe Kelly'!F1691,VLOOKUP(D1697,$D$2:$F$4,3,FALSE))-(VLOOKUP(D1697,$D$2:$F$4,3,FALSE))</f>
        <v>#N/A</v>
      </c>
      <c r="G1697" s="137" t="e">
        <f t="shared" si="30"/>
        <v>#N/A</v>
      </c>
    </row>
    <row r="1698" spans="1:7">
      <c r="A1698" s="112" t="str">
        <f>VLOOKUP('Informe Kelly'!A1692,Base!A:B,2,FALSE)</f>
        <v>13.899.407-4</v>
      </c>
      <c r="B1698" s="112" t="str">
        <f>VLOOKUP('Informe Kelly'!A1692,Base!A:G,7,FALSE)</f>
        <v>BUSTAMANTE GONZALEZ MAURICIO ANDRES</v>
      </c>
      <c r="C1698" s="112" t="str">
        <f>'Informe Kelly'!E1692</f>
        <v>04.04.2011</v>
      </c>
      <c r="D1698" s="112" t="e">
        <f>VLOOKUP(A1698,Ingreso!K:P,6,FALSE)</f>
        <v>#N/A</v>
      </c>
      <c r="E1698" s="142" t="e">
        <f>(VLOOKUP(D1698,$D$2:$E$4,2,FALSE))-(IF('Informe Kelly'!H1692=$A$2,'Informe Kelly'!F1692,VLOOKUP(D1698,$D$2:$E$4,2,FALSE)))</f>
        <v>#N/A</v>
      </c>
      <c r="F1698" s="142" t="e">
        <f>IF('Informe Kelly'!H1692=$A$3,'Informe Kelly'!F1692,VLOOKUP(D1698,$D$2:$F$4,3,FALSE))-(VLOOKUP(D1698,$D$2:$F$4,3,FALSE))</f>
        <v>#N/A</v>
      </c>
      <c r="G1698" s="137" t="e">
        <f t="shared" si="30"/>
        <v>#N/A</v>
      </c>
    </row>
    <row r="1699" spans="1:7">
      <c r="A1699" s="112" t="str">
        <f>VLOOKUP('Informe Kelly'!A1693,Base!A:B,2,FALSE)</f>
        <v>13.899.407-4</v>
      </c>
      <c r="B1699" s="112" t="str">
        <f>VLOOKUP('Informe Kelly'!A1693,Base!A:G,7,FALSE)</f>
        <v>BUSTAMANTE GONZALEZ MAURICIO ANDRES</v>
      </c>
      <c r="C1699" s="112" t="str">
        <f>'Informe Kelly'!E1693</f>
        <v>05.04.2011</v>
      </c>
      <c r="D1699" s="112" t="e">
        <f>VLOOKUP(A1699,Ingreso!K:P,6,FALSE)</f>
        <v>#N/A</v>
      </c>
      <c r="E1699" s="142" t="e">
        <f>(VLOOKUP(D1699,$D$2:$E$4,2,FALSE))-(IF('Informe Kelly'!H1693=$A$2,'Informe Kelly'!F1693,VLOOKUP(D1699,$D$2:$E$4,2,FALSE)))</f>
        <v>#N/A</v>
      </c>
      <c r="F1699" s="142" t="e">
        <f>IF('Informe Kelly'!H1693=$A$3,'Informe Kelly'!F1693,VLOOKUP(D1699,$D$2:$F$4,3,FALSE))-(VLOOKUP(D1699,$D$2:$F$4,3,FALSE))</f>
        <v>#N/A</v>
      </c>
      <c r="G1699" s="137" t="e">
        <f t="shared" si="30"/>
        <v>#N/A</v>
      </c>
    </row>
    <row r="1700" spans="1:7">
      <c r="A1700" s="112" t="str">
        <f>VLOOKUP('Informe Kelly'!A1694,Base!A:B,2,FALSE)</f>
        <v>13.899.407-4</v>
      </c>
      <c r="B1700" s="112" t="str">
        <f>VLOOKUP('Informe Kelly'!A1694,Base!A:G,7,FALSE)</f>
        <v>BUSTAMANTE GONZALEZ MAURICIO ANDRES</v>
      </c>
      <c r="C1700" s="112" t="str">
        <f>'Informe Kelly'!E1694</f>
        <v>05.04.2011</v>
      </c>
      <c r="D1700" s="112" t="e">
        <f>VLOOKUP(A1700,Ingreso!K:P,6,FALSE)</f>
        <v>#N/A</v>
      </c>
      <c r="E1700" s="142" t="e">
        <f>(VLOOKUP(D1700,$D$2:$E$4,2,FALSE))-(IF('Informe Kelly'!H1694=$A$2,'Informe Kelly'!F1694,VLOOKUP(D1700,$D$2:$E$4,2,FALSE)))</f>
        <v>#N/A</v>
      </c>
      <c r="F1700" s="142" t="e">
        <f>IF('Informe Kelly'!H1694=$A$3,'Informe Kelly'!F1694,VLOOKUP(D1700,$D$2:$F$4,3,FALSE))-(VLOOKUP(D1700,$D$2:$F$4,3,FALSE))</f>
        <v>#N/A</v>
      </c>
      <c r="G1700" s="137" t="e">
        <f t="shared" si="30"/>
        <v>#N/A</v>
      </c>
    </row>
    <row r="1701" spans="1:7">
      <c r="A1701" s="112" t="str">
        <f>VLOOKUP('Informe Kelly'!A1695,Base!A:B,2,FALSE)</f>
        <v>13.899.407-4</v>
      </c>
      <c r="B1701" s="112" t="str">
        <f>VLOOKUP('Informe Kelly'!A1695,Base!A:G,7,FALSE)</f>
        <v>BUSTAMANTE GONZALEZ MAURICIO ANDRES</v>
      </c>
      <c r="C1701" s="112" t="str">
        <f>'Informe Kelly'!E1695</f>
        <v>06.04.2011</v>
      </c>
      <c r="D1701" s="112" t="e">
        <f>VLOOKUP(A1701,Ingreso!K:P,6,FALSE)</f>
        <v>#N/A</v>
      </c>
      <c r="E1701" s="142" t="e">
        <f>(VLOOKUP(D1701,$D$2:$E$4,2,FALSE))-(IF('Informe Kelly'!H1695=$A$2,'Informe Kelly'!F1695,VLOOKUP(D1701,$D$2:$E$4,2,FALSE)))</f>
        <v>#N/A</v>
      </c>
      <c r="F1701" s="142" t="e">
        <f>IF('Informe Kelly'!H1695=$A$3,'Informe Kelly'!F1695,VLOOKUP(D1701,$D$2:$F$4,3,FALSE))-(VLOOKUP(D1701,$D$2:$F$4,3,FALSE))</f>
        <v>#N/A</v>
      </c>
      <c r="G1701" s="137" t="e">
        <f t="shared" si="30"/>
        <v>#N/A</v>
      </c>
    </row>
    <row r="1702" spans="1:7">
      <c r="A1702" s="112" t="str">
        <f>VLOOKUP('Informe Kelly'!A1696,Base!A:B,2,FALSE)</f>
        <v>13.899.407-4</v>
      </c>
      <c r="B1702" s="112" t="str">
        <f>VLOOKUP('Informe Kelly'!A1696,Base!A:G,7,FALSE)</f>
        <v>BUSTAMANTE GONZALEZ MAURICIO ANDRES</v>
      </c>
      <c r="C1702" s="112" t="str">
        <f>'Informe Kelly'!E1696</f>
        <v>06.04.2011</v>
      </c>
      <c r="D1702" s="112" t="e">
        <f>VLOOKUP(A1702,Ingreso!K:P,6,FALSE)</f>
        <v>#N/A</v>
      </c>
      <c r="E1702" s="142" t="e">
        <f>(VLOOKUP(D1702,$D$2:$E$4,2,FALSE))-(IF('Informe Kelly'!H1696=$A$2,'Informe Kelly'!F1696,VLOOKUP(D1702,$D$2:$E$4,2,FALSE)))</f>
        <v>#N/A</v>
      </c>
      <c r="F1702" s="142" t="e">
        <f>IF('Informe Kelly'!H1696=$A$3,'Informe Kelly'!F1696,VLOOKUP(D1702,$D$2:$F$4,3,FALSE))-(VLOOKUP(D1702,$D$2:$F$4,3,FALSE))</f>
        <v>#N/A</v>
      </c>
      <c r="G1702" s="137" t="e">
        <f t="shared" si="30"/>
        <v>#N/A</v>
      </c>
    </row>
    <row r="1703" spans="1:7">
      <c r="A1703" s="112" t="str">
        <f>VLOOKUP('Informe Kelly'!A1697,Base!A:B,2,FALSE)</f>
        <v>13.899.407-4</v>
      </c>
      <c r="B1703" s="112" t="str">
        <f>VLOOKUP('Informe Kelly'!A1697,Base!A:G,7,FALSE)</f>
        <v>BUSTAMANTE GONZALEZ MAURICIO ANDRES</v>
      </c>
      <c r="C1703" s="112" t="str">
        <f>'Informe Kelly'!E1697</f>
        <v>07.04.2011</v>
      </c>
      <c r="D1703" s="112" t="e">
        <f>VLOOKUP(A1703,Ingreso!K:P,6,FALSE)</f>
        <v>#N/A</v>
      </c>
      <c r="E1703" s="142" t="e">
        <f>(VLOOKUP(D1703,$D$2:$E$4,2,FALSE))-(IF('Informe Kelly'!H1697=$A$2,'Informe Kelly'!F1697,VLOOKUP(D1703,$D$2:$E$4,2,FALSE)))</f>
        <v>#N/A</v>
      </c>
      <c r="F1703" s="142" t="e">
        <f>IF('Informe Kelly'!H1697=$A$3,'Informe Kelly'!F1697,VLOOKUP(D1703,$D$2:$F$4,3,FALSE))-(VLOOKUP(D1703,$D$2:$F$4,3,FALSE))</f>
        <v>#N/A</v>
      </c>
      <c r="G1703" s="137" t="e">
        <f t="shared" si="30"/>
        <v>#N/A</v>
      </c>
    </row>
    <row r="1704" spans="1:7">
      <c r="A1704" s="112" t="str">
        <f>VLOOKUP('Informe Kelly'!A1698,Base!A:B,2,FALSE)</f>
        <v>13.899.407-4</v>
      </c>
      <c r="B1704" s="112" t="str">
        <f>VLOOKUP('Informe Kelly'!A1698,Base!A:G,7,FALSE)</f>
        <v>BUSTAMANTE GONZALEZ MAURICIO ANDRES</v>
      </c>
      <c r="C1704" s="112" t="str">
        <f>'Informe Kelly'!E1698</f>
        <v>07.04.2011</v>
      </c>
      <c r="D1704" s="112" t="e">
        <f>VLOOKUP(A1704,Ingreso!K:P,6,FALSE)</f>
        <v>#N/A</v>
      </c>
      <c r="E1704" s="142" t="e">
        <f>(VLOOKUP(D1704,$D$2:$E$4,2,FALSE))-(IF('Informe Kelly'!H1698=$A$2,'Informe Kelly'!F1698,VLOOKUP(D1704,$D$2:$E$4,2,FALSE)))</f>
        <v>#N/A</v>
      </c>
      <c r="F1704" s="142" t="e">
        <f>IF('Informe Kelly'!H1698=$A$3,'Informe Kelly'!F1698,VLOOKUP(D1704,$D$2:$F$4,3,FALSE))-(VLOOKUP(D1704,$D$2:$F$4,3,FALSE))</f>
        <v>#N/A</v>
      </c>
      <c r="G1704" s="137" t="e">
        <f t="shared" si="30"/>
        <v>#N/A</v>
      </c>
    </row>
    <row r="1705" spans="1:7">
      <c r="A1705" s="112" t="str">
        <f>VLOOKUP('Informe Kelly'!A1699,Base!A:B,2,FALSE)</f>
        <v>13.899.407-4</v>
      </c>
      <c r="B1705" s="112" t="str">
        <f>VLOOKUP('Informe Kelly'!A1699,Base!A:G,7,FALSE)</f>
        <v>BUSTAMANTE GONZALEZ MAURICIO ANDRES</v>
      </c>
      <c r="C1705" s="112" t="str">
        <f>'Informe Kelly'!E1699</f>
        <v>08.04.2011</v>
      </c>
      <c r="D1705" s="112" t="e">
        <f>VLOOKUP(A1705,Ingreso!K:P,6,FALSE)</f>
        <v>#N/A</v>
      </c>
      <c r="E1705" s="142" t="e">
        <f>(VLOOKUP(D1705,$D$2:$E$4,2,FALSE))-(IF('Informe Kelly'!H1699=$A$2,'Informe Kelly'!F1699,VLOOKUP(D1705,$D$2:$E$4,2,FALSE)))</f>
        <v>#N/A</v>
      </c>
      <c r="F1705" s="142" t="e">
        <f>IF('Informe Kelly'!H1699=$A$3,'Informe Kelly'!F1699,VLOOKUP(D1705,$D$2:$F$4,3,FALSE))-(VLOOKUP(D1705,$D$2:$F$4,3,FALSE))</f>
        <v>#N/A</v>
      </c>
      <c r="G1705" s="137" t="e">
        <f t="shared" si="30"/>
        <v>#N/A</v>
      </c>
    </row>
    <row r="1706" spans="1:7">
      <c r="A1706" s="112" t="str">
        <f>VLOOKUP('Informe Kelly'!A1700,Base!A:B,2,FALSE)</f>
        <v>13.899.407-4</v>
      </c>
      <c r="B1706" s="112" t="str">
        <f>VLOOKUP('Informe Kelly'!A1700,Base!A:G,7,FALSE)</f>
        <v>BUSTAMANTE GONZALEZ MAURICIO ANDRES</v>
      </c>
      <c r="C1706" s="112" t="str">
        <f>'Informe Kelly'!E1700</f>
        <v>08.04.2011</v>
      </c>
      <c r="D1706" s="112" t="e">
        <f>VLOOKUP(A1706,Ingreso!K:P,6,FALSE)</f>
        <v>#N/A</v>
      </c>
      <c r="E1706" s="142" t="e">
        <f>(VLOOKUP(D1706,$D$2:$E$4,2,FALSE))-(IF('Informe Kelly'!H1700=$A$2,'Informe Kelly'!F1700,VLOOKUP(D1706,$D$2:$E$4,2,FALSE)))</f>
        <v>#N/A</v>
      </c>
      <c r="F1706" s="142" t="e">
        <f>IF('Informe Kelly'!H1700=$A$3,'Informe Kelly'!F1700,VLOOKUP(D1706,$D$2:$F$4,3,FALSE))-(VLOOKUP(D1706,$D$2:$F$4,3,FALSE))</f>
        <v>#N/A</v>
      </c>
      <c r="G1706" s="137" t="e">
        <f t="shared" si="30"/>
        <v>#N/A</v>
      </c>
    </row>
    <row r="1707" spans="1:7">
      <c r="A1707" s="112" t="str">
        <f>VLOOKUP('Informe Kelly'!A1701,Base!A:B,2,FALSE)</f>
        <v>13.899.407-4</v>
      </c>
      <c r="B1707" s="112" t="str">
        <f>VLOOKUP('Informe Kelly'!A1701,Base!A:G,7,FALSE)</f>
        <v>BUSTAMANTE GONZALEZ MAURICIO ANDRES</v>
      </c>
      <c r="C1707" s="112" t="str">
        <f>'Informe Kelly'!E1701</f>
        <v>09.04.2011</v>
      </c>
      <c r="D1707" s="112" t="e">
        <f>VLOOKUP(A1707,Ingreso!K:P,6,FALSE)</f>
        <v>#N/A</v>
      </c>
      <c r="E1707" s="142" t="e">
        <f>(VLOOKUP(D1707,$D$2:$E$4,2,FALSE))-(IF('Informe Kelly'!H1701=$A$2,'Informe Kelly'!F1701,VLOOKUP(D1707,$D$2:$E$4,2,FALSE)))</f>
        <v>#N/A</v>
      </c>
      <c r="F1707" s="142" t="e">
        <f>IF('Informe Kelly'!H1701=$A$3,'Informe Kelly'!F1701,VLOOKUP(D1707,$D$2:$F$4,3,FALSE))-(VLOOKUP(D1707,$D$2:$F$4,3,FALSE))</f>
        <v>#N/A</v>
      </c>
      <c r="G1707" s="137" t="e">
        <f t="shared" si="30"/>
        <v>#N/A</v>
      </c>
    </row>
    <row r="1708" spans="1:7">
      <c r="A1708" s="112" t="str">
        <f>VLOOKUP('Informe Kelly'!A1702,Base!A:B,2,FALSE)</f>
        <v>13.899.407-4</v>
      </c>
      <c r="B1708" s="112" t="str">
        <f>VLOOKUP('Informe Kelly'!A1702,Base!A:G,7,FALSE)</f>
        <v>BUSTAMANTE GONZALEZ MAURICIO ANDRES</v>
      </c>
      <c r="C1708" s="112" t="str">
        <f>'Informe Kelly'!E1702</f>
        <v>09.04.2011</v>
      </c>
      <c r="D1708" s="112" t="e">
        <f>VLOOKUP(A1708,Ingreso!K:P,6,FALSE)</f>
        <v>#N/A</v>
      </c>
      <c r="E1708" s="142" t="e">
        <f>(VLOOKUP(D1708,$D$2:$E$4,2,FALSE))-(IF('Informe Kelly'!H1702=$A$2,'Informe Kelly'!F1702,VLOOKUP(D1708,$D$2:$E$4,2,FALSE)))</f>
        <v>#N/A</v>
      </c>
      <c r="F1708" s="142" t="e">
        <f>IF('Informe Kelly'!H1702=$A$3,'Informe Kelly'!F1702,VLOOKUP(D1708,$D$2:$F$4,3,FALSE))-(VLOOKUP(D1708,$D$2:$F$4,3,FALSE))</f>
        <v>#N/A</v>
      </c>
      <c r="G1708" s="137" t="e">
        <f t="shared" si="30"/>
        <v>#N/A</v>
      </c>
    </row>
    <row r="1709" spans="1:7">
      <c r="A1709" s="112" t="str">
        <f>VLOOKUP('Informe Kelly'!A1703,Base!A:B,2,FALSE)</f>
        <v>14.005.554-9</v>
      </c>
      <c r="B1709" s="112" t="str">
        <f>VLOOKUP('Informe Kelly'!A1703,Base!A:G,7,FALSE)</f>
        <v>MATURANA  SANDOVAL, LUIS</v>
      </c>
      <c r="C1709" s="112" t="str">
        <f>'Informe Kelly'!E1703</f>
        <v>04.04.2011</v>
      </c>
      <c r="D1709" s="112" t="e">
        <f>VLOOKUP(A1709,Ingreso!K:P,6,FALSE)</f>
        <v>#N/A</v>
      </c>
      <c r="E1709" s="142" t="e">
        <f>(VLOOKUP(D1709,$D$2:$E$4,2,FALSE))-(IF('Informe Kelly'!H1703=$A$2,'Informe Kelly'!F1703,VLOOKUP(D1709,$D$2:$E$4,2,FALSE)))</f>
        <v>#N/A</v>
      </c>
      <c r="F1709" s="142" t="e">
        <f>IF('Informe Kelly'!H1703=$A$3,'Informe Kelly'!F1703,VLOOKUP(D1709,$D$2:$F$4,3,FALSE))-(VLOOKUP(D1709,$D$2:$F$4,3,FALSE))</f>
        <v>#N/A</v>
      </c>
      <c r="G1709" s="137" t="e">
        <f t="shared" si="30"/>
        <v>#N/A</v>
      </c>
    </row>
    <row r="1710" spans="1:7">
      <c r="A1710" s="112" t="str">
        <f>VLOOKUP('Informe Kelly'!A1704,Base!A:B,2,FALSE)</f>
        <v>14.005.554-9</v>
      </c>
      <c r="B1710" s="112" t="str">
        <f>VLOOKUP('Informe Kelly'!A1704,Base!A:G,7,FALSE)</f>
        <v>MATURANA  SANDOVAL, LUIS</v>
      </c>
      <c r="C1710" s="112" t="str">
        <f>'Informe Kelly'!E1704</f>
        <v>04.04.2011</v>
      </c>
      <c r="D1710" s="112" t="e">
        <f>VLOOKUP(A1710,Ingreso!K:P,6,FALSE)</f>
        <v>#N/A</v>
      </c>
      <c r="E1710" s="142" t="e">
        <f>(VLOOKUP(D1710,$D$2:$E$4,2,FALSE))-(IF('Informe Kelly'!H1704=$A$2,'Informe Kelly'!F1704,VLOOKUP(D1710,$D$2:$E$4,2,FALSE)))</f>
        <v>#N/A</v>
      </c>
      <c r="F1710" s="142" t="e">
        <f>IF('Informe Kelly'!H1704=$A$3,'Informe Kelly'!F1704,VLOOKUP(D1710,$D$2:$F$4,3,FALSE))-(VLOOKUP(D1710,$D$2:$F$4,3,FALSE))</f>
        <v>#N/A</v>
      </c>
      <c r="G1710" s="137" t="e">
        <f t="shared" si="30"/>
        <v>#N/A</v>
      </c>
    </row>
    <row r="1711" spans="1:7">
      <c r="A1711" s="112" t="str">
        <f>VLOOKUP('Informe Kelly'!A1705,Base!A:B,2,FALSE)</f>
        <v>14.005.554-9</v>
      </c>
      <c r="B1711" s="112" t="str">
        <f>VLOOKUP('Informe Kelly'!A1705,Base!A:G,7,FALSE)</f>
        <v>MATURANA  SANDOVAL, LUIS</v>
      </c>
      <c r="C1711" s="112" t="str">
        <f>'Informe Kelly'!E1705</f>
        <v>05.04.2011</v>
      </c>
      <c r="D1711" s="112" t="e">
        <f>VLOOKUP(A1711,Ingreso!K:P,6,FALSE)</f>
        <v>#N/A</v>
      </c>
      <c r="E1711" s="142" t="e">
        <f>(VLOOKUP(D1711,$D$2:$E$4,2,FALSE))-(IF('Informe Kelly'!H1705=$A$2,'Informe Kelly'!F1705,VLOOKUP(D1711,$D$2:$E$4,2,FALSE)))</f>
        <v>#N/A</v>
      </c>
      <c r="F1711" s="142" t="e">
        <f>IF('Informe Kelly'!H1705=$A$3,'Informe Kelly'!F1705,VLOOKUP(D1711,$D$2:$F$4,3,FALSE))-(VLOOKUP(D1711,$D$2:$F$4,3,FALSE))</f>
        <v>#N/A</v>
      </c>
      <c r="G1711" s="137" t="e">
        <f t="shared" si="30"/>
        <v>#N/A</v>
      </c>
    </row>
    <row r="1712" spans="1:7">
      <c r="A1712" s="112" t="str">
        <f>VLOOKUP('Informe Kelly'!A1706,Base!A:B,2,FALSE)</f>
        <v>14.005.554-9</v>
      </c>
      <c r="B1712" s="112" t="str">
        <f>VLOOKUP('Informe Kelly'!A1706,Base!A:G,7,FALSE)</f>
        <v>MATURANA  SANDOVAL, LUIS</v>
      </c>
      <c r="C1712" s="112" t="str">
        <f>'Informe Kelly'!E1706</f>
        <v>05.04.2011</v>
      </c>
      <c r="D1712" s="112" t="e">
        <f>VLOOKUP(A1712,Ingreso!K:P,6,FALSE)</f>
        <v>#N/A</v>
      </c>
      <c r="E1712" s="142" t="e">
        <f>(VLOOKUP(D1712,$D$2:$E$4,2,FALSE))-(IF('Informe Kelly'!H1706=$A$2,'Informe Kelly'!F1706,VLOOKUP(D1712,$D$2:$E$4,2,FALSE)))</f>
        <v>#N/A</v>
      </c>
      <c r="F1712" s="142" t="e">
        <f>IF('Informe Kelly'!H1706=$A$3,'Informe Kelly'!F1706,VLOOKUP(D1712,$D$2:$F$4,3,FALSE))-(VLOOKUP(D1712,$D$2:$F$4,3,FALSE))</f>
        <v>#N/A</v>
      </c>
      <c r="G1712" s="137" t="e">
        <f t="shared" si="30"/>
        <v>#N/A</v>
      </c>
    </row>
    <row r="1713" spans="1:7">
      <c r="A1713" s="112" t="str">
        <f>VLOOKUP('Informe Kelly'!A1707,Base!A:B,2,FALSE)</f>
        <v>14.005.554-9</v>
      </c>
      <c r="B1713" s="112" t="str">
        <f>VLOOKUP('Informe Kelly'!A1707,Base!A:G,7,FALSE)</f>
        <v>MATURANA  SANDOVAL, LUIS</v>
      </c>
      <c r="C1713" s="112" t="str">
        <f>'Informe Kelly'!E1707</f>
        <v>06.04.2011</v>
      </c>
      <c r="D1713" s="112" t="e">
        <f>VLOOKUP(A1713,Ingreso!K:P,6,FALSE)</f>
        <v>#N/A</v>
      </c>
      <c r="E1713" s="142" t="e">
        <f>(VLOOKUP(D1713,$D$2:$E$4,2,FALSE))-(IF('Informe Kelly'!H1707=$A$2,'Informe Kelly'!F1707,VLOOKUP(D1713,$D$2:$E$4,2,FALSE)))</f>
        <v>#N/A</v>
      </c>
      <c r="F1713" s="142" t="e">
        <f>IF('Informe Kelly'!H1707=$A$3,'Informe Kelly'!F1707,VLOOKUP(D1713,$D$2:$F$4,3,FALSE))-(VLOOKUP(D1713,$D$2:$F$4,3,FALSE))</f>
        <v>#N/A</v>
      </c>
      <c r="G1713" s="137" t="e">
        <f t="shared" si="30"/>
        <v>#N/A</v>
      </c>
    </row>
    <row r="1714" spans="1:7">
      <c r="A1714" s="112" t="str">
        <f>VLOOKUP('Informe Kelly'!A1708,Base!A:B,2,FALSE)</f>
        <v>14.005.554-9</v>
      </c>
      <c r="B1714" s="112" t="str">
        <f>VLOOKUP('Informe Kelly'!A1708,Base!A:G,7,FALSE)</f>
        <v>MATURANA  SANDOVAL, LUIS</v>
      </c>
      <c r="C1714" s="112" t="str">
        <f>'Informe Kelly'!E1708</f>
        <v>06.04.2011</v>
      </c>
      <c r="D1714" s="112" t="e">
        <f>VLOOKUP(A1714,Ingreso!K:P,6,FALSE)</f>
        <v>#N/A</v>
      </c>
      <c r="E1714" s="142" t="e">
        <f>(VLOOKUP(D1714,$D$2:$E$4,2,FALSE))-(IF('Informe Kelly'!H1708=$A$2,'Informe Kelly'!F1708,VLOOKUP(D1714,$D$2:$E$4,2,FALSE)))</f>
        <v>#N/A</v>
      </c>
      <c r="F1714" s="142" t="e">
        <f>IF('Informe Kelly'!H1708=$A$3,'Informe Kelly'!F1708,VLOOKUP(D1714,$D$2:$F$4,3,FALSE))-(VLOOKUP(D1714,$D$2:$F$4,3,FALSE))</f>
        <v>#N/A</v>
      </c>
      <c r="G1714" s="137" t="e">
        <f t="shared" si="30"/>
        <v>#N/A</v>
      </c>
    </row>
    <row r="1715" spans="1:7">
      <c r="A1715" s="112" t="str">
        <f>VLOOKUP('Informe Kelly'!A1709,Base!A:B,2,FALSE)</f>
        <v>14.005.554-9</v>
      </c>
      <c r="B1715" s="112" t="str">
        <f>VLOOKUP('Informe Kelly'!A1709,Base!A:G,7,FALSE)</f>
        <v>MATURANA  SANDOVAL, LUIS</v>
      </c>
      <c r="C1715" s="112" t="str">
        <f>'Informe Kelly'!E1709</f>
        <v>07.04.2011</v>
      </c>
      <c r="D1715" s="112" t="e">
        <f>VLOOKUP(A1715,Ingreso!K:P,6,FALSE)</f>
        <v>#N/A</v>
      </c>
      <c r="E1715" s="142" t="e">
        <f>(VLOOKUP(D1715,$D$2:$E$4,2,FALSE))-(IF('Informe Kelly'!H1709=$A$2,'Informe Kelly'!F1709,VLOOKUP(D1715,$D$2:$E$4,2,FALSE)))</f>
        <v>#N/A</v>
      </c>
      <c r="F1715" s="142" t="e">
        <f>IF('Informe Kelly'!H1709=$A$3,'Informe Kelly'!F1709,VLOOKUP(D1715,$D$2:$F$4,3,FALSE))-(VLOOKUP(D1715,$D$2:$F$4,3,FALSE))</f>
        <v>#N/A</v>
      </c>
      <c r="G1715" s="137" t="e">
        <f t="shared" si="30"/>
        <v>#N/A</v>
      </c>
    </row>
    <row r="1716" spans="1:7">
      <c r="A1716" s="112" t="str">
        <f>VLOOKUP('Informe Kelly'!A1710,Base!A:B,2,FALSE)</f>
        <v>14.005.554-9</v>
      </c>
      <c r="B1716" s="112" t="str">
        <f>VLOOKUP('Informe Kelly'!A1710,Base!A:G,7,FALSE)</f>
        <v>MATURANA  SANDOVAL, LUIS</v>
      </c>
      <c r="C1716" s="112" t="str">
        <f>'Informe Kelly'!E1710</f>
        <v>07.04.2011</v>
      </c>
      <c r="D1716" s="112" t="e">
        <f>VLOOKUP(A1716,Ingreso!K:P,6,FALSE)</f>
        <v>#N/A</v>
      </c>
      <c r="E1716" s="142" t="e">
        <f>(VLOOKUP(D1716,$D$2:$E$4,2,FALSE))-(IF('Informe Kelly'!H1710=$A$2,'Informe Kelly'!F1710,VLOOKUP(D1716,$D$2:$E$4,2,FALSE)))</f>
        <v>#N/A</v>
      </c>
      <c r="F1716" s="142" t="e">
        <f>IF('Informe Kelly'!H1710=$A$3,'Informe Kelly'!F1710,VLOOKUP(D1716,$D$2:$F$4,3,FALSE))-(VLOOKUP(D1716,$D$2:$F$4,3,FALSE))</f>
        <v>#N/A</v>
      </c>
      <c r="G1716" s="137" t="e">
        <f t="shared" si="30"/>
        <v>#N/A</v>
      </c>
    </row>
    <row r="1717" spans="1:7">
      <c r="A1717" s="112" t="str">
        <f>VLOOKUP('Informe Kelly'!A1711,Base!A:B,2,FALSE)</f>
        <v>14.005.554-9</v>
      </c>
      <c r="B1717" s="112" t="str">
        <f>VLOOKUP('Informe Kelly'!A1711,Base!A:G,7,FALSE)</f>
        <v>MATURANA  SANDOVAL, LUIS</v>
      </c>
      <c r="C1717" s="112" t="str">
        <f>'Informe Kelly'!E1711</f>
        <v>08.04.2011</v>
      </c>
      <c r="D1717" s="112" t="e">
        <f>VLOOKUP(A1717,Ingreso!K:P,6,FALSE)</f>
        <v>#N/A</v>
      </c>
      <c r="E1717" s="142" t="e">
        <f>(VLOOKUP(D1717,$D$2:$E$4,2,FALSE))-(IF('Informe Kelly'!H1711=$A$2,'Informe Kelly'!F1711,VLOOKUP(D1717,$D$2:$E$4,2,FALSE)))</f>
        <v>#N/A</v>
      </c>
      <c r="F1717" s="142" t="e">
        <f>IF('Informe Kelly'!H1711=$A$3,'Informe Kelly'!F1711,VLOOKUP(D1717,$D$2:$F$4,3,FALSE))-(VLOOKUP(D1717,$D$2:$F$4,3,FALSE))</f>
        <v>#N/A</v>
      </c>
      <c r="G1717" s="137" t="e">
        <f t="shared" si="30"/>
        <v>#N/A</v>
      </c>
    </row>
    <row r="1718" spans="1:7">
      <c r="A1718" s="112" t="str">
        <f>VLOOKUP('Informe Kelly'!A1712,Base!A:B,2,FALSE)</f>
        <v>14.005.554-9</v>
      </c>
      <c r="B1718" s="112" t="str">
        <f>VLOOKUP('Informe Kelly'!A1712,Base!A:G,7,FALSE)</f>
        <v>MATURANA  SANDOVAL, LUIS</v>
      </c>
      <c r="C1718" s="112" t="str">
        <f>'Informe Kelly'!E1712</f>
        <v>08.04.2011</v>
      </c>
      <c r="D1718" s="112" t="e">
        <f>VLOOKUP(A1718,Ingreso!K:P,6,FALSE)</f>
        <v>#N/A</v>
      </c>
      <c r="E1718" s="142" t="e">
        <f>(VLOOKUP(D1718,$D$2:$E$4,2,FALSE))-(IF('Informe Kelly'!H1712=$A$2,'Informe Kelly'!F1712,VLOOKUP(D1718,$D$2:$E$4,2,FALSE)))</f>
        <v>#N/A</v>
      </c>
      <c r="F1718" s="142" t="e">
        <f>IF('Informe Kelly'!H1712=$A$3,'Informe Kelly'!F1712,VLOOKUP(D1718,$D$2:$F$4,3,FALSE))-(VLOOKUP(D1718,$D$2:$F$4,3,FALSE))</f>
        <v>#N/A</v>
      </c>
      <c r="G1718" s="137" t="e">
        <f t="shared" si="30"/>
        <v>#N/A</v>
      </c>
    </row>
    <row r="1719" spans="1:7">
      <c r="A1719" s="112" t="str">
        <f>VLOOKUP('Informe Kelly'!A1713,Base!A:B,2,FALSE)</f>
        <v>14.005.554-9</v>
      </c>
      <c r="B1719" s="112" t="str">
        <f>VLOOKUP('Informe Kelly'!A1713,Base!A:G,7,FALSE)</f>
        <v>MATURANA  SANDOVAL, LUIS</v>
      </c>
      <c r="C1719" s="112" t="str">
        <f>'Informe Kelly'!E1713</f>
        <v>09.04.2011</v>
      </c>
      <c r="D1719" s="112" t="e">
        <f>VLOOKUP(A1719,Ingreso!K:P,6,FALSE)</f>
        <v>#N/A</v>
      </c>
      <c r="E1719" s="142" t="e">
        <f>(VLOOKUP(D1719,$D$2:$E$4,2,FALSE))-(IF('Informe Kelly'!H1713=$A$2,'Informe Kelly'!F1713,VLOOKUP(D1719,$D$2:$E$4,2,FALSE)))</f>
        <v>#N/A</v>
      </c>
      <c r="F1719" s="142" t="e">
        <f>IF('Informe Kelly'!H1713=$A$3,'Informe Kelly'!F1713,VLOOKUP(D1719,$D$2:$F$4,3,FALSE))-(VLOOKUP(D1719,$D$2:$F$4,3,FALSE))</f>
        <v>#N/A</v>
      </c>
      <c r="G1719" s="137" t="e">
        <f t="shared" si="30"/>
        <v>#N/A</v>
      </c>
    </row>
    <row r="1720" spans="1:7">
      <c r="A1720" s="112" t="str">
        <f>VLOOKUP('Informe Kelly'!A1714,Base!A:B,2,FALSE)</f>
        <v>14.005.554-9</v>
      </c>
      <c r="B1720" s="112" t="str">
        <f>VLOOKUP('Informe Kelly'!A1714,Base!A:G,7,FALSE)</f>
        <v>MATURANA  SANDOVAL, LUIS</v>
      </c>
      <c r="C1720" s="112" t="str">
        <f>'Informe Kelly'!E1714</f>
        <v>09.04.2011</v>
      </c>
      <c r="D1720" s="112" t="e">
        <f>VLOOKUP(A1720,Ingreso!K:P,6,FALSE)</f>
        <v>#N/A</v>
      </c>
      <c r="E1720" s="142" t="e">
        <f>(VLOOKUP(D1720,$D$2:$E$4,2,FALSE))-(IF('Informe Kelly'!H1714=$A$2,'Informe Kelly'!F1714,VLOOKUP(D1720,$D$2:$E$4,2,FALSE)))</f>
        <v>#N/A</v>
      </c>
      <c r="F1720" s="142" t="e">
        <f>IF('Informe Kelly'!H1714=$A$3,'Informe Kelly'!F1714,VLOOKUP(D1720,$D$2:$F$4,3,FALSE))-(VLOOKUP(D1720,$D$2:$F$4,3,FALSE))</f>
        <v>#N/A</v>
      </c>
      <c r="G1720" s="137" t="e">
        <f t="shared" si="30"/>
        <v>#N/A</v>
      </c>
    </row>
    <row r="1721" spans="1:7">
      <c r="A1721" s="112" t="str">
        <f>VLOOKUP('Informe Kelly'!A1715,Base!A:B,2,FALSE)</f>
        <v>14.005.587-5</v>
      </c>
      <c r="B1721" s="112" t="str">
        <f>VLOOKUP('Informe Kelly'!A1715,Base!A:G,7,FALSE)</f>
        <v>RODRIGUEZ TORO GERARDO ALBERTO</v>
      </c>
      <c r="C1721" s="112" t="str">
        <f>'Informe Kelly'!E1715</f>
        <v>04.04.2011</v>
      </c>
      <c r="D1721" s="112" t="e">
        <f>VLOOKUP(A1721,Ingreso!K:P,6,FALSE)</f>
        <v>#N/A</v>
      </c>
      <c r="E1721" s="142" t="e">
        <f>(VLOOKUP(D1721,$D$2:$E$4,2,FALSE))-(IF('Informe Kelly'!H1715=$A$2,'Informe Kelly'!F1715,VLOOKUP(D1721,$D$2:$E$4,2,FALSE)))</f>
        <v>#N/A</v>
      </c>
      <c r="F1721" s="142" t="e">
        <f>IF('Informe Kelly'!H1715=$A$3,'Informe Kelly'!F1715,VLOOKUP(D1721,$D$2:$F$4,3,FALSE))-(VLOOKUP(D1721,$D$2:$F$4,3,FALSE))</f>
        <v>#N/A</v>
      </c>
      <c r="G1721" s="137" t="e">
        <f t="shared" si="30"/>
        <v>#N/A</v>
      </c>
    </row>
    <row r="1722" spans="1:7">
      <c r="A1722" s="112" t="str">
        <f>VLOOKUP('Informe Kelly'!A1716,Base!A:B,2,FALSE)</f>
        <v>14.005.587-5</v>
      </c>
      <c r="B1722" s="112" t="str">
        <f>VLOOKUP('Informe Kelly'!A1716,Base!A:G,7,FALSE)</f>
        <v>RODRIGUEZ TORO GERARDO ALBERTO</v>
      </c>
      <c r="C1722" s="112" t="str">
        <f>'Informe Kelly'!E1716</f>
        <v>04.04.2011</v>
      </c>
      <c r="D1722" s="112" t="e">
        <f>VLOOKUP(A1722,Ingreso!K:P,6,FALSE)</f>
        <v>#N/A</v>
      </c>
      <c r="E1722" s="142" t="e">
        <f>(VLOOKUP(D1722,$D$2:$E$4,2,FALSE))-(IF('Informe Kelly'!H1716=$A$2,'Informe Kelly'!F1716,VLOOKUP(D1722,$D$2:$E$4,2,FALSE)))</f>
        <v>#N/A</v>
      </c>
      <c r="F1722" s="142" t="e">
        <f>IF('Informe Kelly'!H1716=$A$3,'Informe Kelly'!F1716,VLOOKUP(D1722,$D$2:$F$4,3,FALSE))-(VLOOKUP(D1722,$D$2:$F$4,3,FALSE))</f>
        <v>#N/A</v>
      </c>
      <c r="G1722" s="137" t="e">
        <f t="shared" si="30"/>
        <v>#N/A</v>
      </c>
    </row>
    <row r="1723" spans="1:7">
      <c r="A1723" s="112" t="str">
        <f>VLOOKUP('Informe Kelly'!A1717,Base!A:B,2,FALSE)</f>
        <v>14.005.587-5</v>
      </c>
      <c r="B1723" s="112" t="str">
        <f>VLOOKUP('Informe Kelly'!A1717,Base!A:G,7,FALSE)</f>
        <v>RODRIGUEZ TORO GERARDO ALBERTO</v>
      </c>
      <c r="C1723" s="112" t="str">
        <f>'Informe Kelly'!E1717</f>
        <v>05.04.2011</v>
      </c>
      <c r="D1723" s="112" t="e">
        <f>VLOOKUP(A1723,Ingreso!K:P,6,FALSE)</f>
        <v>#N/A</v>
      </c>
      <c r="E1723" s="142" t="e">
        <f>(VLOOKUP(D1723,$D$2:$E$4,2,FALSE))-(IF('Informe Kelly'!H1717=$A$2,'Informe Kelly'!F1717,VLOOKUP(D1723,$D$2:$E$4,2,FALSE)))</f>
        <v>#N/A</v>
      </c>
      <c r="F1723" s="142" t="e">
        <f>IF('Informe Kelly'!H1717=$A$3,'Informe Kelly'!F1717,VLOOKUP(D1723,$D$2:$F$4,3,FALSE))-(VLOOKUP(D1723,$D$2:$F$4,3,FALSE))</f>
        <v>#N/A</v>
      </c>
      <c r="G1723" s="137" t="e">
        <f t="shared" si="30"/>
        <v>#N/A</v>
      </c>
    </row>
    <row r="1724" spans="1:7">
      <c r="A1724" s="112" t="str">
        <f>VLOOKUP('Informe Kelly'!A1718,Base!A:B,2,FALSE)</f>
        <v>14.005.587-5</v>
      </c>
      <c r="B1724" s="112" t="str">
        <f>VLOOKUP('Informe Kelly'!A1718,Base!A:G,7,FALSE)</f>
        <v>RODRIGUEZ TORO GERARDO ALBERTO</v>
      </c>
      <c r="C1724" s="112" t="str">
        <f>'Informe Kelly'!E1718</f>
        <v>05.04.2011</v>
      </c>
      <c r="D1724" s="112" t="e">
        <f>VLOOKUP(A1724,Ingreso!K:P,6,FALSE)</f>
        <v>#N/A</v>
      </c>
      <c r="E1724" s="142" t="e">
        <f>(VLOOKUP(D1724,$D$2:$E$4,2,FALSE))-(IF('Informe Kelly'!H1718=$A$2,'Informe Kelly'!F1718,VLOOKUP(D1724,$D$2:$E$4,2,FALSE)))</f>
        <v>#N/A</v>
      </c>
      <c r="F1724" s="142" t="e">
        <f>IF('Informe Kelly'!H1718=$A$3,'Informe Kelly'!F1718,VLOOKUP(D1724,$D$2:$F$4,3,FALSE))-(VLOOKUP(D1724,$D$2:$F$4,3,FALSE))</f>
        <v>#N/A</v>
      </c>
      <c r="G1724" s="137" t="e">
        <f t="shared" si="30"/>
        <v>#N/A</v>
      </c>
    </row>
    <row r="1725" spans="1:7">
      <c r="A1725" s="112" t="str">
        <f>VLOOKUP('Informe Kelly'!A1719,Base!A:B,2,FALSE)</f>
        <v>14.005.587-5</v>
      </c>
      <c r="B1725" s="112" t="str">
        <f>VLOOKUP('Informe Kelly'!A1719,Base!A:G,7,FALSE)</f>
        <v>RODRIGUEZ TORO GERARDO ALBERTO</v>
      </c>
      <c r="C1725" s="112" t="str">
        <f>'Informe Kelly'!E1719</f>
        <v>06.04.2011</v>
      </c>
      <c r="D1725" s="112" t="e">
        <f>VLOOKUP(A1725,Ingreso!K:P,6,FALSE)</f>
        <v>#N/A</v>
      </c>
      <c r="E1725" s="142" t="e">
        <f>(VLOOKUP(D1725,$D$2:$E$4,2,FALSE))-(IF('Informe Kelly'!H1719=$A$2,'Informe Kelly'!F1719,VLOOKUP(D1725,$D$2:$E$4,2,FALSE)))</f>
        <v>#N/A</v>
      </c>
      <c r="F1725" s="142" t="e">
        <f>IF('Informe Kelly'!H1719=$A$3,'Informe Kelly'!F1719,VLOOKUP(D1725,$D$2:$F$4,3,FALSE))-(VLOOKUP(D1725,$D$2:$F$4,3,FALSE))</f>
        <v>#N/A</v>
      </c>
      <c r="G1725" s="137" t="e">
        <f t="shared" si="30"/>
        <v>#N/A</v>
      </c>
    </row>
    <row r="1726" spans="1:7">
      <c r="A1726" s="112" t="str">
        <f>VLOOKUP('Informe Kelly'!A1720,Base!A:B,2,FALSE)</f>
        <v>14.005.587-5</v>
      </c>
      <c r="B1726" s="112" t="str">
        <f>VLOOKUP('Informe Kelly'!A1720,Base!A:G,7,FALSE)</f>
        <v>RODRIGUEZ TORO GERARDO ALBERTO</v>
      </c>
      <c r="C1726" s="112" t="str">
        <f>'Informe Kelly'!E1720</f>
        <v>06.04.2011</v>
      </c>
      <c r="D1726" s="112" t="e">
        <f>VLOOKUP(A1726,Ingreso!K:P,6,FALSE)</f>
        <v>#N/A</v>
      </c>
      <c r="E1726" s="142" t="e">
        <f>(VLOOKUP(D1726,$D$2:$E$4,2,FALSE))-(IF('Informe Kelly'!H1720=$A$2,'Informe Kelly'!F1720,VLOOKUP(D1726,$D$2:$E$4,2,FALSE)))</f>
        <v>#N/A</v>
      </c>
      <c r="F1726" s="142" t="e">
        <f>IF('Informe Kelly'!H1720=$A$3,'Informe Kelly'!F1720,VLOOKUP(D1726,$D$2:$F$4,3,FALSE))-(VLOOKUP(D1726,$D$2:$F$4,3,FALSE))</f>
        <v>#N/A</v>
      </c>
      <c r="G1726" s="137" t="e">
        <f t="shared" si="30"/>
        <v>#N/A</v>
      </c>
    </row>
    <row r="1727" spans="1:7">
      <c r="A1727" s="112" t="str">
        <f>VLOOKUP('Informe Kelly'!A1721,Base!A:B,2,FALSE)</f>
        <v>14.005.587-5</v>
      </c>
      <c r="B1727" s="112" t="str">
        <f>VLOOKUP('Informe Kelly'!A1721,Base!A:G,7,FALSE)</f>
        <v>RODRIGUEZ TORO GERARDO ALBERTO</v>
      </c>
      <c r="C1727" s="112" t="str">
        <f>'Informe Kelly'!E1721</f>
        <v>07.04.2011</v>
      </c>
      <c r="D1727" s="112" t="e">
        <f>VLOOKUP(A1727,Ingreso!K:P,6,FALSE)</f>
        <v>#N/A</v>
      </c>
      <c r="E1727" s="142" t="e">
        <f>(VLOOKUP(D1727,$D$2:$E$4,2,FALSE))-(IF('Informe Kelly'!H1721=$A$2,'Informe Kelly'!F1721,VLOOKUP(D1727,$D$2:$E$4,2,FALSE)))</f>
        <v>#N/A</v>
      </c>
      <c r="F1727" s="142" t="e">
        <f>IF('Informe Kelly'!H1721=$A$3,'Informe Kelly'!F1721,VLOOKUP(D1727,$D$2:$F$4,3,FALSE))-(VLOOKUP(D1727,$D$2:$F$4,3,FALSE))</f>
        <v>#N/A</v>
      </c>
      <c r="G1727" s="137" t="e">
        <f t="shared" si="30"/>
        <v>#N/A</v>
      </c>
    </row>
    <row r="1728" spans="1:7">
      <c r="A1728" s="112" t="str">
        <f>VLOOKUP('Informe Kelly'!A1722,Base!A:B,2,FALSE)</f>
        <v>14.005.587-5</v>
      </c>
      <c r="B1728" s="112" t="str">
        <f>VLOOKUP('Informe Kelly'!A1722,Base!A:G,7,FALSE)</f>
        <v>RODRIGUEZ TORO GERARDO ALBERTO</v>
      </c>
      <c r="C1728" s="112" t="str">
        <f>'Informe Kelly'!E1722</f>
        <v>07.04.2011</v>
      </c>
      <c r="D1728" s="112" t="e">
        <f>VLOOKUP(A1728,Ingreso!K:P,6,FALSE)</f>
        <v>#N/A</v>
      </c>
      <c r="E1728" s="142" t="e">
        <f>(VLOOKUP(D1728,$D$2:$E$4,2,FALSE))-(IF('Informe Kelly'!H1722=$A$2,'Informe Kelly'!F1722,VLOOKUP(D1728,$D$2:$E$4,2,FALSE)))</f>
        <v>#N/A</v>
      </c>
      <c r="F1728" s="142" t="e">
        <f>IF('Informe Kelly'!H1722=$A$3,'Informe Kelly'!F1722,VLOOKUP(D1728,$D$2:$F$4,3,FALSE))-(VLOOKUP(D1728,$D$2:$F$4,3,FALSE))</f>
        <v>#N/A</v>
      </c>
      <c r="G1728" s="137" t="e">
        <f t="shared" si="30"/>
        <v>#N/A</v>
      </c>
    </row>
    <row r="1729" spans="1:7">
      <c r="A1729" s="112" t="str">
        <f>VLOOKUP('Informe Kelly'!A1723,Base!A:B,2,FALSE)</f>
        <v>14.005.587-5</v>
      </c>
      <c r="B1729" s="112" t="str">
        <f>VLOOKUP('Informe Kelly'!A1723,Base!A:G,7,FALSE)</f>
        <v>RODRIGUEZ TORO GERARDO ALBERTO</v>
      </c>
      <c r="C1729" s="112" t="str">
        <f>'Informe Kelly'!E1723</f>
        <v>08.04.2011</v>
      </c>
      <c r="D1729" s="112" t="e">
        <f>VLOOKUP(A1729,Ingreso!K:P,6,FALSE)</f>
        <v>#N/A</v>
      </c>
      <c r="E1729" s="142" t="e">
        <f>(VLOOKUP(D1729,$D$2:$E$4,2,FALSE))-(IF('Informe Kelly'!H1723=$A$2,'Informe Kelly'!F1723,VLOOKUP(D1729,$D$2:$E$4,2,FALSE)))</f>
        <v>#N/A</v>
      </c>
      <c r="F1729" s="142" t="e">
        <f>IF('Informe Kelly'!H1723=$A$3,'Informe Kelly'!F1723,VLOOKUP(D1729,$D$2:$F$4,3,FALSE))-(VLOOKUP(D1729,$D$2:$F$4,3,FALSE))</f>
        <v>#N/A</v>
      </c>
      <c r="G1729" s="137" t="e">
        <f t="shared" si="30"/>
        <v>#N/A</v>
      </c>
    </row>
    <row r="1730" spans="1:7">
      <c r="A1730" s="112" t="str">
        <f>VLOOKUP('Informe Kelly'!A1724,Base!A:B,2,FALSE)</f>
        <v>14.005.587-5</v>
      </c>
      <c r="B1730" s="112" t="str">
        <f>VLOOKUP('Informe Kelly'!A1724,Base!A:G,7,FALSE)</f>
        <v>RODRIGUEZ TORO GERARDO ALBERTO</v>
      </c>
      <c r="C1730" s="112" t="str">
        <f>'Informe Kelly'!E1724</f>
        <v>08.04.2011</v>
      </c>
      <c r="D1730" s="112" t="e">
        <f>VLOOKUP(A1730,Ingreso!K:P,6,FALSE)</f>
        <v>#N/A</v>
      </c>
      <c r="E1730" s="142" t="e">
        <f>(VLOOKUP(D1730,$D$2:$E$4,2,FALSE))-(IF('Informe Kelly'!H1724=$A$2,'Informe Kelly'!F1724,VLOOKUP(D1730,$D$2:$E$4,2,FALSE)))</f>
        <v>#N/A</v>
      </c>
      <c r="F1730" s="142" t="e">
        <f>IF('Informe Kelly'!H1724=$A$3,'Informe Kelly'!F1724,VLOOKUP(D1730,$D$2:$F$4,3,FALSE))-(VLOOKUP(D1730,$D$2:$F$4,3,FALSE))</f>
        <v>#N/A</v>
      </c>
      <c r="G1730" s="137" t="e">
        <f t="shared" si="30"/>
        <v>#N/A</v>
      </c>
    </row>
    <row r="1731" spans="1:7">
      <c r="A1731" s="112" t="str">
        <f>VLOOKUP('Informe Kelly'!A1725,Base!A:B,2,FALSE)</f>
        <v>14.005.587-5</v>
      </c>
      <c r="B1731" s="112" t="str">
        <f>VLOOKUP('Informe Kelly'!A1725,Base!A:G,7,FALSE)</f>
        <v>RODRIGUEZ TORO GERARDO ALBERTO</v>
      </c>
      <c r="C1731" s="112" t="str">
        <f>'Informe Kelly'!E1725</f>
        <v>09.04.2011</v>
      </c>
      <c r="D1731" s="112" t="e">
        <f>VLOOKUP(A1731,Ingreso!K:P,6,FALSE)</f>
        <v>#N/A</v>
      </c>
      <c r="E1731" s="142" t="e">
        <f>(VLOOKUP(D1731,$D$2:$E$4,2,FALSE))-(IF('Informe Kelly'!H1725=$A$2,'Informe Kelly'!F1725,VLOOKUP(D1731,$D$2:$E$4,2,FALSE)))</f>
        <v>#N/A</v>
      </c>
      <c r="F1731" s="142" t="e">
        <f>IF('Informe Kelly'!H1725=$A$3,'Informe Kelly'!F1725,VLOOKUP(D1731,$D$2:$F$4,3,FALSE))-(VLOOKUP(D1731,$D$2:$F$4,3,FALSE))</f>
        <v>#N/A</v>
      </c>
      <c r="G1731" s="137" t="e">
        <f t="shared" si="30"/>
        <v>#N/A</v>
      </c>
    </row>
    <row r="1732" spans="1:7">
      <c r="A1732" s="112" t="str">
        <f>VLOOKUP('Informe Kelly'!A1726,Base!A:B,2,FALSE)</f>
        <v>14.005.587-5</v>
      </c>
      <c r="B1732" s="112" t="str">
        <f>VLOOKUP('Informe Kelly'!A1726,Base!A:G,7,FALSE)</f>
        <v>RODRIGUEZ TORO GERARDO ALBERTO</v>
      </c>
      <c r="C1732" s="112" t="str">
        <f>'Informe Kelly'!E1726</f>
        <v>09.04.2011</v>
      </c>
      <c r="D1732" s="112" t="e">
        <f>VLOOKUP(A1732,Ingreso!K:P,6,FALSE)</f>
        <v>#N/A</v>
      </c>
      <c r="E1732" s="142" t="e">
        <f>(VLOOKUP(D1732,$D$2:$E$4,2,FALSE))-(IF('Informe Kelly'!H1726=$A$2,'Informe Kelly'!F1726,VLOOKUP(D1732,$D$2:$E$4,2,FALSE)))</f>
        <v>#N/A</v>
      </c>
      <c r="F1732" s="142" t="e">
        <f>IF('Informe Kelly'!H1726=$A$3,'Informe Kelly'!F1726,VLOOKUP(D1732,$D$2:$F$4,3,FALSE))-(VLOOKUP(D1732,$D$2:$F$4,3,FALSE))</f>
        <v>#N/A</v>
      </c>
      <c r="G1732" s="137" t="e">
        <f t="shared" si="30"/>
        <v>#N/A</v>
      </c>
    </row>
    <row r="1733" spans="1:7">
      <c r="A1733" s="112" t="str">
        <f>VLOOKUP('Informe Kelly'!A1727,Base!A:B,2,FALSE)</f>
        <v>14.017.495-5</v>
      </c>
      <c r="B1733" s="112" t="str">
        <f>VLOOKUP('Informe Kelly'!A1727,Base!A:G,7,FALSE)</f>
        <v>OYARCE DIAZ CARLOS EUGENIO</v>
      </c>
      <c r="C1733" s="112" t="str">
        <f>'Informe Kelly'!E1727</f>
        <v>04.04.2011</v>
      </c>
      <c r="D1733" s="112" t="e">
        <f>VLOOKUP(A1733,Ingreso!K:P,6,FALSE)</f>
        <v>#N/A</v>
      </c>
      <c r="E1733" s="142" t="e">
        <f>(VLOOKUP(D1733,$D$2:$E$4,2,FALSE))-(IF('Informe Kelly'!H1727=$A$2,'Informe Kelly'!F1727,VLOOKUP(D1733,$D$2:$E$4,2,FALSE)))</f>
        <v>#N/A</v>
      </c>
      <c r="F1733" s="142" t="e">
        <f>IF('Informe Kelly'!H1727=$A$3,'Informe Kelly'!F1727,VLOOKUP(D1733,$D$2:$F$4,3,FALSE))-(VLOOKUP(D1733,$D$2:$F$4,3,FALSE))</f>
        <v>#N/A</v>
      </c>
      <c r="G1733" s="137" t="e">
        <f t="shared" si="30"/>
        <v>#N/A</v>
      </c>
    </row>
    <row r="1734" spans="1:7">
      <c r="A1734" s="112" t="str">
        <f>VLOOKUP('Informe Kelly'!A1728,Base!A:B,2,FALSE)</f>
        <v>14.017.495-5</v>
      </c>
      <c r="B1734" s="112" t="str">
        <f>VLOOKUP('Informe Kelly'!A1728,Base!A:G,7,FALSE)</f>
        <v>OYARCE DIAZ CARLOS EUGENIO</v>
      </c>
      <c r="C1734" s="112" t="str">
        <f>'Informe Kelly'!E1728</f>
        <v>04.04.2011</v>
      </c>
      <c r="D1734" s="112" t="e">
        <f>VLOOKUP(A1734,Ingreso!K:P,6,FALSE)</f>
        <v>#N/A</v>
      </c>
      <c r="E1734" s="142" t="e">
        <f>(VLOOKUP(D1734,$D$2:$E$4,2,FALSE))-(IF('Informe Kelly'!H1728=$A$2,'Informe Kelly'!F1728,VLOOKUP(D1734,$D$2:$E$4,2,FALSE)))</f>
        <v>#N/A</v>
      </c>
      <c r="F1734" s="142" t="e">
        <f>IF('Informe Kelly'!H1728=$A$3,'Informe Kelly'!F1728,VLOOKUP(D1734,$D$2:$F$4,3,FALSE))-(VLOOKUP(D1734,$D$2:$F$4,3,FALSE))</f>
        <v>#N/A</v>
      </c>
      <c r="G1734" s="137" t="e">
        <f t="shared" si="30"/>
        <v>#N/A</v>
      </c>
    </row>
    <row r="1735" spans="1:7">
      <c r="A1735" s="112" t="str">
        <f>VLOOKUP('Informe Kelly'!A1729,Base!A:B,2,FALSE)</f>
        <v>14.017.495-5</v>
      </c>
      <c r="B1735" s="112" t="str">
        <f>VLOOKUP('Informe Kelly'!A1729,Base!A:G,7,FALSE)</f>
        <v>OYARCE DIAZ CARLOS EUGENIO</v>
      </c>
      <c r="C1735" s="112" t="str">
        <f>'Informe Kelly'!E1729</f>
        <v>05.04.2011</v>
      </c>
      <c r="D1735" s="112" t="e">
        <f>VLOOKUP(A1735,Ingreso!K:P,6,FALSE)</f>
        <v>#N/A</v>
      </c>
      <c r="E1735" s="142" t="e">
        <f>(VLOOKUP(D1735,$D$2:$E$4,2,FALSE))-(IF('Informe Kelly'!H1729=$A$2,'Informe Kelly'!F1729,VLOOKUP(D1735,$D$2:$E$4,2,FALSE)))</f>
        <v>#N/A</v>
      </c>
      <c r="F1735" s="142" t="e">
        <f>IF('Informe Kelly'!H1729=$A$3,'Informe Kelly'!F1729,VLOOKUP(D1735,$D$2:$F$4,3,FALSE))-(VLOOKUP(D1735,$D$2:$F$4,3,FALSE))</f>
        <v>#N/A</v>
      </c>
      <c r="G1735" s="137" t="e">
        <f t="shared" si="30"/>
        <v>#N/A</v>
      </c>
    </row>
    <row r="1736" spans="1:7">
      <c r="A1736" s="112" t="str">
        <f>VLOOKUP('Informe Kelly'!A1730,Base!A:B,2,FALSE)</f>
        <v>14.017.495-5</v>
      </c>
      <c r="B1736" s="112" t="str">
        <f>VLOOKUP('Informe Kelly'!A1730,Base!A:G,7,FALSE)</f>
        <v>OYARCE DIAZ CARLOS EUGENIO</v>
      </c>
      <c r="C1736" s="112" t="str">
        <f>'Informe Kelly'!E1730</f>
        <v>05.04.2011</v>
      </c>
      <c r="D1736" s="112" t="e">
        <f>VLOOKUP(A1736,Ingreso!K:P,6,FALSE)</f>
        <v>#N/A</v>
      </c>
      <c r="E1736" s="142" t="e">
        <f>(VLOOKUP(D1736,$D$2:$E$4,2,FALSE))-(IF('Informe Kelly'!H1730=$A$2,'Informe Kelly'!F1730,VLOOKUP(D1736,$D$2:$E$4,2,FALSE)))</f>
        <v>#N/A</v>
      </c>
      <c r="F1736" s="142" t="e">
        <f>IF('Informe Kelly'!H1730=$A$3,'Informe Kelly'!F1730,VLOOKUP(D1736,$D$2:$F$4,3,FALSE))-(VLOOKUP(D1736,$D$2:$F$4,3,FALSE))</f>
        <v>#N/A</v>
      </c>
      <c r="G1736" s="137" t="e">
        <f t="shared" si="30"/>
        <v>#N/A</v>
      </c>
    </row>
    <row r="1737" spans="1:7">
      <c r="A1737" s="112" t="str">
        <f>VLOOKUP('Informe Kelly'!A1731,Base!A:B,2,FALSE)</f>
        <v>14.017.495-5</v>
      </c>
      <c r="B1737" s="112" t="str">
        <f>VLOOKUP('Informe Kelly'!A1731,Base!A:G,7,FALSE)</f>
        <v>OYARCE DIAZ CARLOS EUGENIO</v>
      </c>
      <c r="C1737" s="112" t="str">
        <f>'Informe Kelly'!E1731</f>
        <v>06.04.2011</v>
      </c>
      <c r="D1737" s="112" t="e">
        <f>VLOOKUP(A1737,Ingreso!K:P,6,FALSE)</f>
        <v>#N/A</v>
      </c>
      <c r="E1737" s="142" t="e">
        <f>(VLOOKUP(D1737,$D$2:$E$4,2,FALSE))-(IF('Informe Kelly'!H1731=$A$2,'Informe Kelly'!F1731,VLOOKUP(D1737,$D$2:$E$4,2,FALSE)))</f>
        <v>#N/A</v>
      </c>
      <c r="F1737" s="142" t="e">
        <f>IF('Informe Kelly'!H1731=$A$3,'Informe Kelly'!F1731,VLOOKUP(D1737,$D$2:$F$4,3,FALSE))-(VLOOKUP(D1737,$D$2:$F$4,3,FALSE))</f>
        <v>#N/A</v>
      </c>
      <c r="G1737" s="137" t="e">
        <f t="shared" ref="G1737:G1800" si="31">IF(E1737="",IF(F1737&lt;0.0409722222222222,0,E1737),IF(E1737&lt;0.0409722222222222,0,E1737))</f>
        <v>#N/A</v>
      </c>
    </row>
    <row r="1738" spans="1:7">
      <c r="A1738" s="112" t="str">
        <f>VLOOKUP('Informe Kelly'!A1732,Base!A:B,2,FALSE)</f>
        <v>14.017.495-5</v>
      </c>
      <c r="B1738" s="112" t="str">
        <f>VLOOKUP('Informe Kelly'!A1732,Base!A:G,7,FALSE)</f>
        <v>OYARCE DIAZ CARLOS EUGENIO</v>
      </c>
      <c r="C1738" s="112" t="str">
        <f>'Informe Kelly'!E1732</f>
        <v>06.04.2011</v>
      </c>
      <c r="D1738" s="112" t="e">
        <f>VLOOKUP(A1738,Ingreso!K:P,6,FALSE)</f>
        <v>#N/A</v>
      </c>
      <c r="E1738" s="142" t="e">
        <f>(VLOOKUP(D1738,$D$2:$E$4,2,FALSE))-(IF('Informe Kelly'!H1732=$A$2,'Informe Kelly'!F1732,VLOOKUP(D1738,$D$2:$E$4,2,FALSE)))</f>
        <v>#N/A</v>
      </c>
      <c r="F1738" s="142" t="e">
        <f>IF('Informe Kelly'!H1732=$A$3,'Informe Kelly'!F1732,VLOOKUP(D1738,$D$2:$F$4,3,FALSE))-(VLOOKUP(D1738,$D$2:$F$4,3,FALSE))</f>
        <v>#N/A</v>
      </c>
      <c r="G1738" s="137" t="e">
        <f t="shared" si="31"/>
        <v>#N/A</v>
      </c>
    </row>
    <row r="1739" spans="1:7">
      <c r="A1739" s="112" t="str">
        <f>VLOOKUP('Informe Kelly'!A1733,Base!A:B,2,FALSE)</f>
        <v>14.017.495-5</v>
      </c>
      <c r="B1739" s="112" t="str">
        <f>VLOOKUP('Informe Kelly'!A1733,Base!A:G,7,FALSE)</f>
        <v>OYARCE DIAZ CARLOS EUGENIO</v>
      </c>
      <c r="C1739" s="112" t="str">
        <f>'Informe Kelly'!E1733</f>
        <v>07.04.2011</v>
      </c>
      <c r="D1739" s="112" t="e">
        <f>VLOOKUP(A1739,Ingreso!K:P,6,FALSE)</f>
        <v>#N/A</v>
      </c>
      <c r="E1739" s="142" t="e">
        <f>(VLOOKUP(D1739,$D$2:$E$4,2,FALSE))-(IF('Informe Kelly'!H1733=$A$2,'Informe Kelly'!F1733,VLOOKUP(D1739,$D$2:$E$4,2,FALSE)))</f>
        <v>#N/A</v>
      </c>
      <c r="F1739" s="142" t="e">
        <f>IF('Informe Kelly'!H1733=$A$3,'Informe Kelly'!F1733,VLOOKUP(D1739,$D$2:$F$4,3,FALSE))-(VLOOKUP(D1739,$D$2:$F$4,3,FALSE))</f>
        <v>#N/A</v>
      </c>
      <c r="G1739" s="137" t="e">
        <f t="shared" si="31"/>
        <v>#N/A</v>
      </c>
    </row>
    <row r="1740" spans="1:7">
      <c r="A1740" s="112" t="str">
        <f>VLOOKUP('Informe Kelly'!A1734,Base!A:B,2,FALSE)</f>
        <v>14.017.495-5</v>
      </c>
      <c r="B1740" s="112" t="str">
        <f>VLOOKUP('Informe Kelly'!A1734,Base!A:G,7,FALSE)</f>
        <v>OYARCE DIAZ CARLOS EUGENIO</v>
      </c>
      <c r="C1740" s="112" t="str">
        <f>'Informe Kelly'!E1734</f>
        <v>07.04.2011</v>
      </c>
      <c r="D1740" s="112" t="e">
        <f>VLOOKUP(A1740,Ingreso!K:P,6,FALSE)</f>
        <v>#N/A</v>
      </c>
      <c r="E1740" s="142" t="e">
        <f>(VLOOKUP(D1740,$D$2:$E$4,2,FALSE))-(IF('Informe Kelly'!H1734=$A$2,'Informe Kelly'!F1734,VLOOKUP(D1740,$D$2:$E$4,2,FALSE)))</f>
        <v>#N/A</v>
      </c>
      <c r="F1740" s="142" t="e">
        <f>IF('Informe Kelly'!H1734=$A$3,'Informe Kelly'!F1734,VLOOKUP(D1740,$D$2:$F$4,3,FALSE))-(VLOOKUP(D1740,$D$2:$F$4,3,FALSE))</f>
        <v>#N/A</v>
      </c>
      <c r="G1740" s="137" t="e">
        <f t="shared" si="31"/>
        <v>#N/A</v>
      </c>
    </row>
    <row r="1741" spans="1:7">
      <c r="A1741" s="112" t="str">
        <f>VLOOKUP('Informe Kelly'!A1735,Base!A:B,2,FALSE)</f>
        <v>14.017.495-5</v>
      </c>
      <c r="B1741" s="112" t="str">
        <f>VLOOKUP('Informe Kelly'!A1735,Base!A:G,7,FALSE)</f>
        <v>OYARCE DIAZ CARLOS EUGENIO</v>
      </c>
      <c r="C1741" s="112" t="str">
        <f>'Informe Kelly'!E1735</f>
        <v>08.04.2011</v>
      </c>
      <c r="D1741" s="112" t="e">
        <f>VLOOKUP(A1741,Ingreso!K:P,6,FALSE)</f>
        <v>#N/A</v>
      </c>
      <c r="E1741" s="142" t="e">
        <f>(VLOOKUP(D1741,$D$2:$E$4,2,FALSE))-(IF('Informe Kelly'!H1735=$A$2,'Informe Kelly'!F1735,VLOOKUP(D1741,$D$2:$E$4,2,FALSE)))</f>
        <v>#N/A</v>
      </c>
      <c r="F1741" s="142" t="e">
        <f>IF('Informe Kelly'!H1735=$A$3,'Informe Kelly'!F1735,VLOOKUP(D1741,$D$2:$F$4,3,FALSE))-(VLOOKUP(D1741,$D$2:$F$4,3,FALSE))</f>
        <v>#N/A</v>
      </c>
      <c r="G1741" s="137" t="e">
        <f t="shared" si="31"/>
        <v>#N/A</v>
      </c>
    </row>
    <row r="1742" spans="1:7">
      <c r="A1742" s="112" t="str">
        <f>VLOOKUP('Informe Kelly'!A1736,Base!A:B,2,FALSE)</f>
        <v>14.017.495-5</v>
      </c>
      <c r="B1742" s="112" t="str">
        <f>VLOOKUP('Informe Kelly'!A1736,Base!A:G,7,FALSE)</f>
        <v>OYARCE DIAZ CARLOS EUGENIO</v>
      </c>
      <c r="C1742" s="112" t="str">
        <f>'Informe Kelly'!E1736</f>
        <v>08.04.2011</v>
      </c>
      <c r="D1742" s="112" t="e">
        <f>VLOOKUP(A1742,Ingreso!K:P,6,FALSE)</f>
        <v>#N/A</v>
      </c>
      <c r="E1742" s="142" t="e">
        <f>(VLOOKUP(D1742,$D$2:$E$4,2,FALSE))-(IF('Informe Kelly'!H1736=$A$2,'Informe Kelly'!F1736,VLOOKUP(D1742,$D$2:$E$4,2,FALSE)))</f>
        <v>#N/A</v>
      </c>
      <c r="F1742" s="142" t="e">
        <f>IF('Informe Kelly'!H1736=$A$3,'Informe Kelly'!F1736,VLOOKUP(D1742,$D$2:$F$4,3,FALSE))-(VLOOKUP(D1742,$D$2:$F$4,3,FALSE))</f>
        <v>#N/A</v>
      </c>
      <c r="G1742" s="137" t="e">
        <f t="shared" si="31"/>
        <v>#N/A</v>
      </c>
    </row>
    <row r="1743" spans="1:7">
      <c r="A1743" s="112" t="str">
        <f>VLOOKUP('Informe Kelly'!A1737,Base!A:B,2,FALSE)</f>
        <v>14.017.495-5</v>
      </c>
      <c r="B1743" s="112" t="str">
        <f>VLOOKUP('Informe Kelly'!A1737,Base!A:G,7,FALSE)</f>
        <v>OYARCE DIAZ CARLOS EUGENIO</v>
      </c>
      <c r="C1743" s="112" t="str">
        <f>'Informe Kelly'!E1737</f>
        <v>09.04.2011</v>
      </c>
      <c r="D1743" s="112" t="e">
        <f>VLOOKUP(A1743,Ingreso!K:P,6,FALSE)</f>
        <v>#N/A</v>
      </c>
      <c r="E1743" s="142" t="e">
        <f>(VLOOKUP(D1743,$D$2:$E$4,2,FALSE))-(IF('Informe Kelly'!H1737=$A$2,'Informe Kelly'!F1737,VLOOKUP(D1743,$D$2:$E$4,2,FALSE)))</f>
        <v>#N/A</v>
      </c>
      <c r="F1743" s="142" t="e">
        <f>IF('Informe Kelly'!H1737=$A$3,'Informe Kelly'!F1737,VLOOKUP(D1743,$D$2:$F$4,3,FALSE))-(VLOOKUP(D1743,$D$2:$F$4,3,FALSE))</f>
        <v>#N/A</v>
      </c>
      <c r="G1743" s="137" t="e">
        <f t="shared" si="31"/>
        <v>#N/A</v>
      </c>
    </row>
    <row r="1744" spans="1:7">
      <c r="A1744" s="112" t="str">
        <f>VLOOKUP('Informe Kelly'!A1738,Base!A:B,2,FALSE)</f>
        <v>14.017.495-5</v>
      </c>
      <c r="B1744" s="112" t="str">
        <f>VLOOKUP('Informe Kelly'!A1738,Base!A:G,7,FALSE)</f>
        <v>OYARCE DIAZ CARLOS EUGENIO</v>
      </c>
      <c r="C1744" s="112" t="str">
        <f>'Informe Kelly'!E1738</f>
        <v>09.04.2011</v>
      </c>
      <c r="D1744" s="112" t="e">
        <f>VLOOKUP(A1744,Ingreso!K:P,6,FALSE)</f>
        <v>#N/A</v>
      </c>
      <c r="E1744" s="142" t="e">
        <f>(VLOOKUP(D1744,$D$2:$E$4,2,FALSE))-(IF('Informe Kelly'!H1738=$A$2,'Informe Kelly'!F1738,VLOOKUP(D1744,$D$2:$E$4,2,FALSE)))</f>
        <v>#N/A</v>
      </c>
      <c r="F1744" s="142" t="e">
        <f>IF('Informe Kelly'!H1738=$A$3,'Informe Kelly'!F1738,VLOOKUP(D1744,$D$2:$F$4,3,FALSE))-(VLOOKUP(D1744,$D$2:$F$4,3,FALSE))</f>
        <v>#N/A</v>
      </c>
      <c r="G1744" s="137" t="e">
        <f t="shared" si="31"/>
        <v>#N/A</v>
      </c>
    </row>
    <row r="1745" spans="1:7">
      <c r="A1745" s="112" t="str">
        <f>VLOOKUP('Informe Kelly'!A1739,Base!A:B,2,FALSE)</f>
        <v>14.095.347-4</v>
      </c>
      <c r="B1745" s="112" t="str">
        <f>VLOOKUP('Informe Kelly'!A1739,Base!A:G,7,FALSE)</f>
        <v>CAÑOLES VERA ANDRES NICOLAS</v>
      </c>
      <c r="C1745" s="112" t="str">
        <f>'Informe Kelly'!E1739</f>
        <v>04.04.2011</v>
      </c>
      <c r="D1745" s="112" t="e">
        <f>VLOOKUP(A1745,Ingreso!K:P,6,FALSE)</f>
        <v>#N/A</v>
      </c>
      <c r="E1745" s="142" t="e">
        <f>(VLOOKUP(D1745,$D$2:$E$4,2,FALSE))-(IF('Informe Kelly'!H1739=$A$2,'Informe Kelly'!F1739,VLOOKUP(D1745,$D$2:$E$4,2,FALSE)))</f>
        <v>#N/A</v>
      </c>
      <c r="F1745" s="142" t="e">
        <f>IF('Informe Kelly'!H1739=$A$3,'Informe Kelly'!F1739,VLOOKUP(D1745,$D$2:$F$4,3,FALSE))-(VLOOKUP(D1745,$D$2:$F$4,3,FALSE))</f>
        <v>#N/A</v>
      </c>
      <c r="G1745" s="137" t="e">
        <f t="shared" si="31"/>
        <v>#N/A</v>
      </c>
    </row>
    <row r="1746" spans="1:7">
      <c r="A1746" s="112" t="str">
        <f>VLOOKUP('Informe Kelly'!A1740,Base!A:B,2,FALSE)</f>
        <v>14.095.347-4</v>
      </c>
      <c r="B1746" s="112" t="str">
        <f>VLOOKUP('Informe Kelly'!A1740,Base!A:G,7,FALSE)</f>
        <v>CAÑOLES VERA ANDRES NICOLAS</v>
      </c>
      <c r="C1746" s="112" t="str">
        <f>'Informe Kelly'!E1740</f>
        <v>04.04.2011</v>
      </c>
      <c r="D1746" s="112" t="e">
        <f>VLOOKUP(A1746,Ingreso!K:P,6,FALSE)</f>
        <v>#N/A</v>
      </c>
      <c r="E1746" s="142" t="e">
        <f>(VLOOKUP(D1746,$D$2:$E$4,2,FALSE))-(IF('Informe Kelly'!H1740=$A$2,'Informe Kelly'!F1740,VLOOKUP(D1746,$D$2:$E$4,2,FALSE)))</f>
        <v>#N/A</v>
      </c>
      <c r="F1746" s="142" t="e">
        <f>IF('Informe Kelly'!H1740=$A$3,'Informe Kelly'!F1740,VLOOKUP(D1746,$D$2:$F$4,3,FALSE))-(VLOOKUP(D1746,$D$2:$F$4,3,FALSE))</f>
        <v>#N/A</v>
      </c>
      <c r="G1746" s="137" t="e">
        <f t="shared" si="31"/>
        <v>#N/A</v>
      </c>
    </row>
    <row r="1747" spans="1:7">
      <c r="A1747" s="112" t="str">
        <f>VLOOKUP('Informe Kelly'!A1741,Base!A:B,2,FALSE)</f>
        <v>14.095.347-4</v>
      </c>
      <c r="B1747" s="112" t="str">
        <f>VLOOKUP('Informe Kelly'!A1741,Base!A:G,7,FALSE)</f>
        <v>CAÑOLES VERA ANDRES NICOLAS</v>
      </c>
      <c r="C1747" s="112" t="str">
        <f>'Informe Kelly'!E1741</f>
        <v>05.04.2011</v>
      </c>
      <c r="D1747" s="112" t="e">
        <f>VLOOKUP(A1747,Ingreso!K:P,6,FALSE)</f>
        <v>#N/A</v>
      </c>
      <c r="E1747" s="142" t="e">
        <f>(VLOOKUP(D1747,$D$2:$E$4,2,FALSE))-(IF('Informe Kelly'!H1741=$A$2,'Informe Kelly'!F1741,VLOOKUP(D1747,$D$2:$E$4,2,FALSE)))</f>
        <v>#N/A</v>
      </c>
      <c r="F1747" s="142" t="e">
        <f>IF('Informe Kelly'!H1741=$A$3,'Informe Kelly'!F1741,VLOOKUP(D1747,$D$2:$F$4,3,FALSE))-(VLOOKUP(D1747,$D$2:$F$4,3,FALSE))</f>
        <v>#N/A</v>
      </c>
      <c r="G1747" s="137" t="e">
        <f t="shared" si="31"/>
        <v>#N/A</v>
      </c>
    </row>
    <row r="1748" spans="1:7">
      <c r="A1748" s="112" t="str">
        <f>VLOOKUP('Informe Kelly'!A1742,Base!A:B,2,FALSE)</f>
        <v>14.095.347-4</v>
      </c>
      <c r="B1748" s="112" t="str">
        <f>VLOOKUP('Informe Kelly'!A1742,Base!A:G,7,FALSE)</f>
        <v>CAÑOLES VERA ANDRES NICOLAS</v>
      </c>
      <c r="C1748" s="112" t="str">
        <f>'Informe Kelly'!E1742</f>
        <v>05.04.2011</v>
      </c>
      <c r="D1748" s="112" t="e">
        <f>VLOOKUP(A1748,Ingreso!K:P,6,FALSE)</f>
        <v>#N/A</v>
      </c>
      <c r="E1748" s="142" t="e">
        <f>(VLOOKUP(D1748,$D$2:$E$4,2,FALSE))-(IF('Informe Kelly'!H1742=$A$2,'Informe Kelly'!F1742,VLOOKUP(D1748,$D$2:$E$4,2,FALSE)))</f>
        <v>#N/A</v>
      </c>
      <c r="F1748" s="142" t="e">
        <f>IF('Informe Kelly'!H1742=$A$3,'Informe Kelly'!F1742,VLOOKUP(D1748,$D$2:$F$4,3,FALSE))-(VLOOKUP(D1748,$D$2:$F$4,3,FALSE))</f>
        <v>#N/A</v>
      </c>
      <c r="G1748" s="137" t="e">
        <f t="shared" si="31"/>
        <v>#N/A</v>
      </c>
    </row>
    <row r="1749" spans="1:7">
      <c r="A1749" s="112" t="str">
        <f>VLOOKUP('Informe Kelly'!A1743,Base!A:B,2,FALSE)</f>
        <v>14.095.347-4</v>
      </c>
      <c r="B1749" s="112" t="str">
        <f>VLOOKUP('Informe Kelly'!A1743,Base!A:G,7,FALSE)</f>
        <v>CAÑOLES VERA ANDRES NICOLAS</v>
      </c>
      <c r="C1749" s="112" t="str">
        <f>'Informe Kelly'!E1743</f>
        <v>06.04.2011</v>
      </c>
      <c r="D1749" s="112" t="e">
        <f>VLOOKUP(A1749,Ingreso!K:P,6,FALSE)</f>
        <v>#N/A</v>
      </c>
      <c r="E1749" s="142" t="e">
        <f>(VLOOKUP(D1749,$D$2:$E$4,2,FALSE))-(IF('Informe Kelly'!H1743=$A$2,'Informe Kelly'!F1743,VLOOKUP(D1749,$D$2:$E$4,2,FALSE)))</f>
        <v>#N/A</v>
      </c>
      <c r="F1749" s="142" t="e">
        <f>IF('Informe Kelly'!H1743=$A$3,'Informe Kelly'!F1743,VLOOKUP(D1749,$D$2:$F$4,3,FALSE))-(VLOOKUP(D1749,$D$2:$F$4,3,FALSE))</f>
        <v>#N/A</v>
      </c>
      <c r="G1749" s="137" t="e">
        <f t="shared" si="31"/>
        <v>#N/A</v>
      </c>
    </row>
    <row r="1750" spans="1:7">
      <c r="A1750" s="112" t="str">
        <f>VLOOKUP('Informe Kelly'!A1744,Base!A:B,2,FALSE)</f>
        <v>14.095.347-4</v>
      </c>
      <c r="B1750" s="112" t="str">
        <f>VLOOKUP('Informe Kelly'!A1744,Base!A:G,7,FALSE)</f>
        <v>CAÑOLES VERA ANDRES NICOLAS</v>
      </c>
      <c r="C1750" s="112" t="str">
        <f>'Informe Kelly'!E1744</f>
        <v>06.04.2011</v>
      </c>
      <c r="D1750" s="112" t="e">
        <f>VLOOKUP(A1750,Ingreso!K:P,6,FALSE)</f>
        <v>#N/A</v>
      </c>
      <c r="E1750" s="142" t="e">
        <f>(VLOOKUP(D1750,$D$2:$E$4,2,FALSE))-(IF('Informe Kelly'!H1744=$A$2,'Informe Kelly'!F1744,VLOOKUP(D1750,$D$2:$E$4,2,FALSE)))</f>
        <v>#N/A</v>
      </c>
      <c r="F1750" s="142" t="e">
        <f>IF('Informe Kelly'!H1744=$A$3,'Informe Kelly'!F1744,VLOOKUP(D1750,$D$2:$F$4,3,FALSE))-(VLOOKUP(D1750,$D$2:$F$4,3,FALSE))</f>
        <v>#N/A</v>
      </c>
      <c r="G1750" s="137" t="e">
        <f t="shared" si="31"/>
        <v>#N/A</v>
      </c>
    </row>
    <row r="1751" spans="1:7">
      <c r="A1751" s="112" t="str">
        <f>VLOOKUP('Informe Kelly'!A1745,Base!A:B,2,FALSE)</f>
        <v>14.095.347-4</v>
      </c>
      <c r="B1751" s="112" t="str">
        <f>VLOOKUP('Informe Kelly'!A1745,Base!A:G,7,FALSE)</f>
        <v>CAÑOLES VERA ANDRES NICOLAS</v>
      </c>
      <c r="C1751" s="112" t="str">
        <f>'Informe Kelly'!E1745</f>
        <v>07.04.2011</v>
      </c>
      <c r="D1751" s="112" t="e">
        <f>VLOOKUP(A1751,Ingreso!K:P,6,FALSE)</f>
        <v>#N/A</v>
      </c>
      <c r="E1751" s="142" t="e">
        <f>(VLOOKUP(D1751,$D$2:$E$4,2,FALSE))-(IF('Informe Kelly'!H1745=$A$2,'Informe Kelly'!F1745,VLOOKUP(D1751,$D$2:$E$4,2,FALSE)))</f>
        <v>#N/A</v>
      </c>
      <c r="F1751" s="142" t="e">
        <f>IF('Informe Kelly'!H1745=$A$3,'Informe Kelly'!F1745,VLOOKUP(D1751,$D$2:$F$4,3,FALSE))-(VLOOKUP(D1751,$D$2:$F$4,3,FALSE))</f>
        <v>#N/A</v>
      </c>
      <c r="G1751" s="137" t="e">
        <f t="shared" si="31"/>
        <v>#N/A</v>
      </c>
    </row>
    <row r="1752" spans="1:7">
      <c r="A1752" s="112" t="str">
        <f>VLOOKUP('Informe Kelly'!A1746,Base!A:B,2,FALSE)</f>
        <v>14.095.347-4</v>
      </c>
      <c r="B1752" s="112" t="str">
        <f>VLOOKUP('Informe Kelly'!A1746,Base!A:G,7,FALSE)</f>
        <v>CAÑOLES VERA ANDRES NICOLAS</v>
      </c>
      <c r="C1752" s="112" t="str">
        <f>'Informe Kelly'!E1746</f>
        <v>07.04.2011</v>
      </c>
      <c r="D1752" s="112" t="e">
        <f>VLOOKUP(A1752,Ingreso!K:P,6,FALSE)</f>
        <v>#N/A</v>
      </c>
      <c r="E1752" s="142" t="e">
        <f>(VLOOKUP(D1752,$D$2:$E$4,2,FALSE))-(IF('Informe Kelly'!H1746=$A$2,'Informe Kelly'!F1746,VLOOKUP(D1752,$D$2:$E$4,2,FALSE)))</f>
        <v>#N/A</v>
      </c>
      <c r="F1752" s="142" t="e">
        <f>IF('Informe Kelly'!H1746=$A$3,'Informe Kelly'!F1746,VLOOKUP(D1752,$D$2:$F$4,3,FALSE))-(VLOOKUP(D1752,$D$2:$F$4,3,FALSE))</f>
        <v>#N/A</v>
      </c>
      <c r="G1752" s="137" t="e">
        <f t="shared" si="31"/>
        <v>#N/A</v>
      </c>
    </row>
    <row r="1753" spans="1:7">
      <c r="A1753" s="112" t="str">
        <f>VLOOKUP('Informe Kelly'!A1747,Base!A:B,2,FALSE)</f>
        <v>14.095.347-4</v>
      </c>
      <c r="B1753" s="112" t="str">
        <f>VLOOKUP('Informe Kelly'!A1747,Base!A:G,7,FALSE)</f>
        <v>CAÑOLES VERA ANDRES NICOLAS</v>
      </c>
      <c r="C1753" s="112" t="str">
        <f>'Informe Kelly'!E1747</f>
        <v>08.04.2011</v>
      </c>
      <c r="D1753" s="112" t="e">
        <f>VLOOKUP(A1753,Ingreso!K:P,6,FALSE)</f>
        <v>#N/A</v>
      </c>
      <c r="E1753" s="142" t="e">
        <f>(VLOOKUP(D1753,$D$2:$E$4,2,FALSE))-(IF('Informe Kelly'!H1747=$A$2,'Informe Kelly'!F1747,VLOOKUP(D1753,$D$2:$E$4,2,FALSE)))</f>
        <v>#N/A</v>
      </c>
      <c r="F1753" s="142" t="e">
        <f>IF('Informe Kelly'!H1747=$A$3,'Informe Kelly'!F1747,VLOOKUP(D1753,$D$2:$F$4,3,FALSE))-(VLOOKUP(D1753,$D$2:$F$4,3,FALSE))</f>
        <v>#N/A</v>
      </c>
      <c r="G1753" s="137" t="e">
        <f t="shared" si="31"/>
        <v>#N/A</v>
      </c>
    </row>
    <row r="1754" spans="1:7">
      <c r="A1754" s="112" t="str">
        <f>VLOOKUP('Informe Kelly'!A1748,Base!A:B,2,FALSE)</f>
        <v>14.095.347-4</v>
      </c>
      <c r="B1754" s="112" t="str">
        <f>VLOOKUP('Informe Kelly'!A1748,Base!A:G,7,FALSE)</f>
        <v>CAÑOLES VERA ANDRES NICOLAS</v>
      </c>
      <c r="C1754" s="112" t="str">
        <f>'Informe Kelly'!E1748</f>
        <v>08.04.2011</v>
      </c>
      <c r="D1754" s="112" t="e">
        <f>VLOOKUP(A1754,Ingreso!K:P,6,FALSE)</f>
        <v>#N/A</v>
      </c>
      <c r="E1754" s="142" t="e">
        <f>(VLOOKUP(D1754,$D$2:$E$4,2,FALSE))-(IF('Informe Kelly'!H1748=$A$2,'Informe Kelly'!F1748,VLOOKUP(D1754,$D$2:$E$4,2,FALSE)))</f>
        <v>#N/A</v>
      </c>
      <c r="F1754" s="142" t="e">
        <f>IF('Informe Kelly'!H1748=$A$3,'Informe Kelly'!F1748,VLOOKUP(D1754,$D$2:$F$4,3,FALSE))-(VLOOKUP(D1754,$D$2:$F$4,3,FALSE))</f>
        <v>#N/A</v>
      </c>
      <c r="G1754" s="137" t="e">
        <f t="shared" si="31"/>
        <v>#N/A</v>
      </c>
    </row>
    <row r="1755" spans="1:7">
      <c r="A1755" s="112" t="str">
        <f>VLOOKUP('Informe Kelly'!A1749,Base!A:B,2,FALSE)</f>
        <v>14.181.387-0</v>
      </c>
      <c r="B1755" s="112" t="str">
        <f>VLOOKUP('Informe Kelly'!A1749,Base!A:G,7,FALSE)</f>
        <v>DEL RIO TRONCOSO JORGE ANDRES</v>
      </c>
      <c r="C1755" s="112" t="str">
        <f>'Informe Kelly'!E1749</f>
        <v>04.04.2011</v>
      </c>
      <c r="D1755" s="112" t="e">
        <f>VLOOKUP(A1755,Ingreso!K:P,6,FALSE)</f>
        <v>#N/A</v>
      </c>
      <c r="E1755" s="142" t="e">
        <f>(VLOOKUP(D1755,$D$2:$E$4,2,FALSE))-(IF('Informe Kelly'!H1749=$A$2,'Informe Kelly'!F1749,VLOOKUP(D1755,$D$2:$E$4,2,FALSE)))</f>
        <v>#N/A</v>
      </c>
      <c r="F1755" s="142" t="e">
        <f>IF('Informe Kelly'!H1749=$A$3,'Informe Kelly'!F1749,VLOOKUP(D1755,$D$2:$F$4,3,FALSE))-(VLOOKUP(D1755,$D$2:$F$4,3,FALSE))</f>
        <v>#N/A</v>
      </c>
      <c r="G1755" s="137" t="e">
        <f t="shared" si="31"/>
        <v>#N/A</v>
      </c>
    </row>
    <row r="1756" spans="1:7">
      <c r="A1756" s="112" t="str">
        <f>VLOOKUP('Informe Kelly'!A1750,Base!A:B,2,FALSE)</f>
        <v>14.181.387-0</v>
      </c>
      <c r="B1756" s="112" t="str">
        <f>VLOOKUP('Informe Kelly'!A1750,Base!A:G,7,FALSE)</f>
        <v>DEL RIO TRONCOSO JORGE ANDRES</v>
      </c>
      <c r="C1756" s="112" t="str">
        <f>'Informe Kelly'!E1750</f>
        <v>04.04.2011</v>
      </c>
      <c r="D1756" s="112" t="e">
        <f>VLOOKUP(A1756,Ingreso!K:P,6,FALSE)</f>
        <v>#N/A</v>
      </c>
      <c r="E1756" s="142" t="e">
        <f>(VLOOKUP(D1756,$D$2:$E$4,2,FALSE))-(IF('Informe Kelly'!H1750=$A$2,'Informe Kelly'!F1750,VLOOKUP(D1756,$D$2:$E$4,2,FALSE)))</f>
        <v>#N/A</v>
      </c>
      <c r="F1756" s="142" t="e">
        <f>IF('Informe Kelly'!H1750=$A$3,'Informe Kelly'!F1750,VLOOKUP(D1756,$D$2:$F$4,3,FALSE))-(VLOOKUP(D1756,$D$2:$F$4,3,FALSE))</f>
        <v>#N/A</v>
      </c>
      <c r="G1756" s="137" t="e">
        <f t="shared" si="31"/>
        <v>#N/A</v>
      </c>
    </row>
    <row r="1757" spans="1:7">
      <c r="A1757" s="112" t="str">
        <f>VLOOKUP('Informe Kelly'!A1751,Base!A:B,2,FALSE)</f>
        <v>14.181.387-0</v>
      </c>
      <c r="B1757" s="112" t="str">
        <f>VLOOKUP('Informe Kelly'!A1751,Base!A:G,7,FALSE)</f>
        <v>DEL RIO TRONCOSO JORGE ANDRES</v>
      </c>
      <c r="C1757" s="112" t="str">
        <f>'Informe Kelly'!E1751</f>
        <v>05.04.2011</v>
      </c>
      <c r="D1757" s="112" t="e">
        <f>VLOOKUP(A1757,Ingreso!K:P,6,FALSE)</f>
        <v>#N/A</v>
      </c>
      <c r="E1757" s="142" t="e">
        <f>(VLOOKUP(D1757,$D$2:$E$4,2,FALSE))-(IF('Informe Kelly'!H1751=$A$2,'Informe Kelly'!F1751,VLOOKUP(D1757,$D$2:$E$4,2,FALSE)))</f>
        <v>#N/A</v>
      </c>
      <c r="F1757" s="142" t="e">
        <f>IF('Informe Kelly'!H1751=$A$3,'Informe Kelly'!F1751,VLOOKUP(D1757,$D$2:$F$4,3,FALSE))-(VLOOKUP(D1757,$D$2:$F$4,3,FALSE))</f>
        <v>#N/A</v>
      </c>
      <c r="G1757" s="137" t="e">
        <f t="shared" si="31"/>
        <v>#N/A</v>
      </c>
    </row>
    <row r="1758" spans="1:7">
      <c r="A1758" s="112" t="str">
        <f>VLOOKUP('Informe Kelly'!A1752,Base!A:B,2,FALSE)</f>
        <v>14.181.387-0</v>
      </c>
      <c r="B1758" s="112" t="str">
        <f>VLOOKUP('Informe Kelly'!A1752,Base!A:G,7,FALSE)</f>
        <v>DEL RIO TRONCOSO JORGE ANDRES</v>
      </c>
      <c r="C1758" s="112" t="str">
        <f>'Informe Kelly'!E1752</f>
        <v>05.04.2011</v>
      </c>
      <c r="D1758" s="112" t="e">
        <f>VLOOKUP(A1758,Ingreso!K:P,6,FALSE)</f>
        <v>#N/A</v>
      </c>
      <c r="E1758" s="142" t="e">
        <f>(VLOOKUP(D1758,$D$2:$E$4,2,FALSE))-(IF('Informe Kelly'!H1752=$A$2,'Informe Kelly'!F1752,VLOOKUP(D1758,$D$2:$E$4,2,FALSE)))</f>
        <v>#N/A</v>
      </c>
      <c r="F1758" s="142" t="e">
        <f>IF('Informe Kelly'!H1752=$A$3,'Informe Kelly'!F1752,VLOOKUP(D1758,$D$2:$F$4,3,FALSE))-(VLOOKUP(D1758,$D$2:$F$4,3,FALSE))</f>
        <v>#N/A</v>
      </c>
      <c r="G1758" s="137" t="e">
        <f t="shared" si="31"/>
        <v>#N/A</v>
      </c>
    </row>
    <row r="1759" spans="1:7">
      <c r="A1759" s="112" t="str">
        <f>VLOOKUP('Informe Kelly'!A1753,Base!A:B,2,FALSE)</f>
        <v>14.181.387-0</v>
      </c>
      <c r="B1759" s="112" t="str">
        <f>VLOOKUP('Informe Kelly'!A1753,Base!A:G,7,FALSE)</f>
        <v>DEL RIO TRONCOSO JORGE ANDRES</v>
      </c>
      <c r="C1759" s="112" t="str">
        <f>'Informe Kelly'!E1753</f>
        <v>06.04.2011</v>
      </c>
      <c r="D1759" s="112" t="e">
        <f>VLOOKUP(A1759,Ingreso!K:P,6,FALSE)</f>
        <v>#N/A</v>
      </c>
      <c r="E1759" s="142" t="e">
        <f>(VLOOKUP(D1759,$D$2:$E$4,2,FALSE))-(IF('Informe Kelly'!H1753=$A$2,'Informe Kelly'!F1753,VLOOKUP(D1759,$D$2:$E$4,2,FALSE)))</f>
        <v>#N/A</v>
      </c>
      <c r="F1759" s="142" t="e">
        <f>IF('Informe Kelly'!H1753=$A$3,'Informe Kelly'!F1753,VLOOKUP(D1759,$D$2:$F$4,3,FALSE))-(VLOOKUP(D1759,$D$2:$F$4,3,FALSE))</f>
        <v>#N/A</v>
      </c>
      <c r="G1759" s="137" t="e">
        <f t="shared" si="31"/>
        <v>#N/A</v>
      </c>
    </row>
    <row r="1760" spans="1:7">
      <c r="A1760" s="112" t="str">
        <f>VLOOKUP('Informe Kelly'!A1754,Base!A:B,2,FALSE)</f>
        <v>14.181.387-0</v>
      </c>
      <c r="B1760" s="112" t="str">
        <f>VLOOKUP('Informe Kelly'!A1754,Base!A:G,7,FALSE)</f>
        <v>DEL RIO TRONCOSO JORGE ANDRES</v>
      </c>
      <c r="C1760" s="112" t="str">
        <f>'Informe Kelly'!E1754</f>
        <v>06.04.2011</v>
      </c>
      <c r="D1760" s="112" t="e">
        <f>VLOOKUP(A1760,Ingreso!K:P,6,FALSE)</f>
        <v>#N/A</v>
      </c>
      <c r="E1760" s="142" t="e">
        <f>(VLOOKUP(D1760,$D$2:$E$4,2,FALSE))-(IF('Informe Kelly'!H1754=$A$2,'Informe Kelly'!F1754,VLOOKUP(D1760,$D$2:$E$4,2,FALSE)))</f>
        <v>#N/A</v>
      </c>
      <c r="F1760" s="142" t="e">
        <f>IF('Informe Kelly'!H1754=$A$3,'Informe Kelly'!F1754,VLOOKUP(D1760,$D$2:$F$4,3,FALSE))-(VLOOKUP(D1760,$D$2:$F$4,3,FALSE))</f>
        <v>#N/A</v>
      </c>
      <c r="G1760" s="137" t="e">
        <f t="shared" si="31"/>
        <v>#N/A</v>
      </c>
    </row>
    <row r="1761" spans="1:7">
      <c r="A1761" s="112" t="str">
        <f>VLOOKUP('Informe Kelly'!A1755,Base!A:B,2,FALSE)</f>
        <v>14.181.387-0</v>
      </c>
      <c r="B1761" s="112" t="str">
        <f>VLOOKUP('Informe Kelly'!A1755,Base!A:G,7,FALSE)</f>
        <v>DEL RIO TRONCOSO JORGE ANDRES</v>
      </c>
      <c r="C1761" s="112" t="str">
        <f>'Informe Kelly'!E1755</f>
        <v>07.04.2011</v>
      </c>
      <c r="D1761" s="112" t="e">
        <f>VLOOKUP(A1761,Ingreso!K:P,6,FALSE)</f>
        <v>#N/A</v>
      </c>
      <c r="E1761" s="142" t="e">
        <f>(VLOOKUP(D1761,$D$2:$E$4,2,FALSE))-(IF('Informe Kelly'!H1755=$A$2,'Informe Kelly'!F1755,VLOOKUP(D1761,$D$2:$E$4,2,FALSE)))</f>
        <v>#N/A</v>
      </c>
      <c r="F1761" s="142" t="e">
        <f>IF('Informe Kelly'!H1755=$A$3,'Informe Kelly'!F1755,VLOOKUP(D1761,$D$2:$F$4,3,FALSE))-(VLOOKUP(D1761,$D$2:$F$4,3,FALSE))</f>
        <v>#N/A</v>
      </c>
      <c r="G1761" s="137" t="e">
        <f t="shared" si="31"/>
        <v>#N/A</v>
      </c>
    </row>
    <row r="1762" spans="1:7">
      <c r="A1762" s="112" t="str">
        <f>VLOOKUP('Informe Kelly'!A1756,Base!A:B,2,FALSE)</f>
        <v>14.181.387-0</v>
      </c>
      <c r="B1762" s="112" t="str">
        <f>VLOOKUP('Informe Kelly'!A1756,Base!A:G,7,FALSE)</f>
        <v>DEL RIO TRONCOSO JORGE ANDRES</v>
      </c>
      <c r="C1762" s="112" t="str">
        <f>'Informe Kelly'!E1756</f>
        <v>07.04.2011</v>
      </c>
      <c r="D1762" s="112" t="e">
        <f>VLOOKUP(A1762,Ingreso!K:P,6,FALSE)</f>
        <v>#N/A</v>
      </c>
      <c r="E1762" s="142" t="e">
        <f>(VLOOKUP(D1762,$D$2:$E$4,2,FALSE))-(IF('Informe Kelly'!H1756=$A$2,'Informe Kelly'!F1756,VLOOKUP(D1762,$D$2:$E$4,2,FALSE)))</f>
        <v>#N/A</v>
      </c>
      <c r="F1762" s="142" t="e">
        <f>IF('Informe Kelly'!H1756=$A$3,'Informe Kelly'!F1756,VLOOKUP(D1762,$D$2:$F$4,3,FALSE))-(VLOOKUP(D1762,$D$2:$F$4,3,FALSE))</f>
        <v>#N/A</v>
      </c>
      <c r="G1762" s="137" t="e">
        <f t="shared" si="31"/>
        <v>#N/A</v>
      </c>
    </row>
    <row r="1763" spans="1:7">
      <c r="A1763" s="112" t="str">
        <f>VLOOKUP('Informe Kelly'!A1757,Base!A:B,2,FALSE)</f>
        <v>14.181.387-0</v>
      </c>
      <c r="B1763" s="112" t="str">
        <f>VLOOKUP('Informe Kelly'!A1757,Base!A:G,7,FALSE)</f>
        <v>DEL RIO TRONCOSO JORGE ANDRES</v>
      </c>
      <c r="C1763" s="112" t="str">
        <f>'Informe Kelly'!E1757</f>
        <v>08.04.2011</v>
      </c>
      <c r="D1763" s="112" t="e">
        <f>VLOOKUP(A1763,Ingreso!K:P,6,FALSE)</f>
        <v>#N/A</v>
      </c>
      <c r="E1763" s="142" t="e">
        <f>(VLOOKUP(D1763,$D$2:$E$4,2,FALSE))-(IF('Informe Kelly'!H1757=$A$2,'Informe Kelly'!F1757,VLOOKUP(D1763,$D$2:$E$4,2,FALSE)))</f>
        <v>#N/A</v>
      </c>
      <c r="F1763" s="142" t="e">
        <f>IF('Informe Kelly'!H1757=$A$3,'Informe Kelly'!F1757,VLOOKUP(D1763,$D$2:$F$4,3,FALSE))-(VLOOKUP(D1763,$D$2:$F$4,3,FALSE))</f>
        <v>#N/A</v>
      </c>
      <c r="G1763" s="137" t="e">
        <f t="shared" si="31"/>
        <v>#N/A</v>
      </c>
    </row>
    <row r="1764" spans="1:7">
      <c r="A1764" s="112" t="str">
        <f>VLOOKUP('Informe Kelly'!A1758,Base!A:B,2,FALSE)</f>
        <v>14.181.387-0</v>
      </c>
      <c r="B1764" s="112" t="str">
        <f>VLOOKUP('Informe Kelly'!A1758,Base!A:G,7,FALSE)</f>
        <v>DEL RIO TRONCOSO JORGE ANDRES</v>
      </c>
      <c r="C1764" s="112" t="str">
        <f>'Informe Kelly'!E1758</f>
        <v>08.04.2011</v>
      </c>
      <c r="D1764" s="112" t="e">
        <f>VLOOKUP(A1764,Ingreso!K:P,6,FALSE)</f>
        <v>#N/A</v>
      </c>
      <c r="E1764" s="142" t="e">
        <f>(VLOOKUP(D1764,$D$2:$E$4,2,FALSE))-(IF('Informe Kelly'!H1758=$A$2,'Informe Kelly'!F1758,VLOOKUP(D1764,$D$2:$E$4,2,FALSE)))</f>
        <v>#N/A</v>
      </c>
      <c r="F1764" s="142" t="e">
        <f>IF('Informe Kelly'!H1758=$A$3,'Informe Kelly'!F1758,VLOOKUP(D1764,$D$2:$F$4,3,FALSE))-(VLOOKUP(D1764,$D$2:$F$4,3,FALSE))</f>
        <v>#N/A</v>
      </c>
      <c r="G1764" s="137" t="e">
        <f t="shared" si="31"/>
        <v>#N/A</v>
      </c>
    </row>
    <row r="1765" spans="1:7">
      <c r="A1765" s="112" t="str">
        <f>VLOOKUP('Informe Kelly'!A1759,Base!A:B,2,FALSE)</f>
        <v>14.181.387-0</v>
      </c>
      <c r="B1765" s="112" t="str">
        <f>VLOOKUP('Informe Kelly'!A1759,Base!A:G,7,FALSE)</f>
        <v>DEL RIO TRONCOSO JORGE ANDRES</v>
      </c>
      <c r="C1765" s="112" t="str">
        <f>'Informe Kelly'!E1759</f>
        <v>09.04.2011</v>
      </c>
      <c r="D1765" s="112" t="e">
        <f>VLOOKUP(A1765,Ingreso!K:P,6,FALSE)</f>
        <v>#N/A</v>
      </c>
      <c r="E1765" s="142" t="e">
        <f>(VLOOKUP(D1765,$D$2:$E$4,2,FALSE))-(IF('Informe Kelly'!H1759=$A$2,'Informe Kelly'!F1759,VLOOKUP(D1765,$D$2:$E$4,2,FALSE)))</f>
        <v>#N/A</v>
      </c>
      <c r="F1765" s="142" t="e">
        <f>IF('Informe Kelly'!H1759=$A$3,'Informe Kelly'!F1759,VLOOKUP(D1765,$D$2:$F$4,3,FALSE))-(VLOOKUP(D1765,$D$2:$F$4,3,FALSE))</f>
        <v>#N/A</v>
      </c>
      <c r="G1765" s="137" t="e">
        <f t="shared" si="31"/>
        <v>#N/A</v>
      </c>
    </row>
    <row r="1766" spans="1:7">
      <c r="A1766" s="112" t="str">
        <f>VLOOKUP('Informe Kelly'!A1760,Base!A:B,2,FALSE)</f>
        <v>14.181.387-0</v>
      </c>
      <c r="B1766" s="112" t="str">
        <f>VLOOKUP('Informe Kelly'!A1760,Base!A:G,7,FALSE)</f>
        <v>DEL RIO TRONCOSO JORGE ANDRES</v>
      </c>
      <c r="C1766" s="112" t="str">
        <f>'Informe Kelly'!E1760</f>
        <v>09.04.2011</v>
      </c>
      <c r="D1766" s="112" t="e">
        <f>VLOOKUP(A1766,Ingreso!K:P,6,FALSE)</f>
        <v>#N/A</v>
      </c>
      <c r="E1766" s="142" t="e">
        <f>(VLOOKUP(D1766,$D$2:$E$4,2,FALSE))-(IF('Informe Kelly'!H1760=$A$2,'Informe Kelly'!F1760,VLOOKUP(D1766,$D$2:$E$4,2,FALSE)))</f>
        <v>#N/A</v>
      </c>
      <c r="F1766" s="142" t="e">
        <f>IF('Informe Kelly'!H1760=$A$3,'Informe Kelly'!F1760,VLOOKUP(D1766,$D$2:$F$4,3,FALSE))-(VLOOKUP(D1766,$D$2:$F$4,3,FALSE))</f>
        <v>#N/A</v>
      </c>
      <c r="G1766" s="137" t="e">
        <f t="shared" si="31"/>
        <v>#N/A</v>
      </c>
    </row>
    <row r="1767" spans="1:7">
      <c r="A1767" s="112" t="str">
        <f>VLOOKUP('Informe Kelly'!A1761,Base!A:B,2,FALSE)</f>
        <v>14.182.371-K</v>
      </c>
      <c r="B1767" s="112" t="str">
        <f>VLOOKUP('Informe Kelly'!A1761,Base!A:G,7,FALSE)</f>
        <v>OSCAR EDUARDO  VERA  PALAVECINO</v>
      </c>
      <c r="C1767" s="112" t="str">
        <f>'Informe Kelly'!E1761</f>
        <v>04.04.2011</v>
      </c>
      <c r="D1767" s="112" t="e">
        <f>VLOOKUP(A1767,Ingreso!K:P,6,FALSE)</f>
        <v>#N/A</v>
      </c>
      <c r="E1767" s="142" t="e">
        <f>(VLOOKUP(D1767,$D$2:$E$4,2,FALSE))-(IF('Informe Kelly'!H1761=$A$2,'Informe Kelly'!F1761,VLOOKUP(D1767,$D$2:$E$4,2,FALSE)))</f>
        <v>#N/A</v>
      </c>
      <c r="F1767" s="142" t="e">
        <f>IF('Informe Kelly'!H1761=$A$3,'Informe Kelly'!F1761,VLOOKUP(D1767,$D$2:$F$4,3,FALSE))-(VLOOKUP(D1767,$D$2:$F$4,3,FALSE))</f>
        <v>#N/A</v>
      </c>
      <c r="G1767" s="137" t="e">
        <f t="shared" si="31"/>
        <v>#N/A</v>
      </c>
    </row>
    <row r="1768" spans="1:7">
      <c r="A1768" s="112" t="str">
        <f>VLOOKUP('Informe Kelly'!A1762,Base!A:B,2,FALSE)</f>
        <v>14.182.371-K</v>
      </c>
      <c r="B1768" s="112" t="str">
        <f>VLOOKUP('Informe Kelly'!A1762,Base!A:G,7,FALSE)</f>
        <v>OSCAR EDUARDO  VERA  PALAVECINO</v>
      </c>
      <c r="C1768" s="112" t="str">
        <f>'Informe Kelly'!E1762</f>
        <v>05.04.2011</v>
      </c>
      <c r="D1768" s="112" t="e">
        <f>VLOOKUP(A1768,Ingreso!K:P,6,FALSE)</f>
        <v>#N/A</v>
      </c>
      <c r="E1768" s="142" t="e">
        <f>(VLOOKUP(D1768,$D$2:$E$4,2,FALSE))-(IF('Informe Kelly'!H1762=$A$2,'Informe Kelly'!F1762,VLOOKUP(D1768,$D$2:$E$4,2,FALSE)))</f>
        <v>#N/A</v>
      </c>
      <c r="F1768" s="142" t="e">
        <f>IF('Informe Kelly'!H1762=$A$3,'Informe Kelly'!F1762,VLOOKUP(D1768,$D$2:$F$4,3,FALSE))-(VLOOKUP(D1768,$D$2:$F$4,3,FALSE))</f>
        <v>#N/A</v>
      </c>
      <c r="G1768" s="137" t="e">
        <f t="shared" si="31"/>
        <v>#N/A</v>
      </c>
    </row>
    <row r="1769" spans="1:7">
      <c r="A1769" s="112" t="str">
        <f>VLOOKUP('Informe Kelly'!A1763,Base!A:B,2,FALSE)</f>
        <v>14.182.371-K</v>
      </c>
      <c r="B1769" s="112" t="str">
        <f>VLOOKUP('Informe Kelly'!A1763,Base!A:G,7,FALSE)</f>
        <v>OSCAR EDUARDO  VERA  PALAVECINO</v>
      </c>
      <c r="C1769" s="112" t="str">
        <f>'Informe Kelly'!E1763</f>
        <v>05.04.2011</v>
      </c>
      <c r="D1769" s="112" t="e">
        <f>VLOOKUP(A1769,Ingreso!K:P,6,FALSE)</f>
        <v>#N/A</v>
      </c>
      <c r="E1769" s="142" t="e">
        <f>(VLOOKUP(D1769,$D$2:$E$4,2,FALSE))-(IF('Informe Kelly'!H1763=$A$2,'Informe Kelly'!F1763,VLOOKUP(D1769,$D$2:$E$4,2,FALSE)))</f>
        <v>#N/A</v>
      </c>
      <c r="F1769" s="142" t="e">
        <f>IF('Informe Kelly'!H1763=$A$3,'Informe Kelly'!F1763,VLOOKUP(D1769,$D$2:$F$4,3,FALSE))-(VLOOKUP(D1769,$D$2:$F$4,3,FALSE))</f>
        <v>#N/A</v>
      </c>
      <c r="G1769" s="137" t="e">
        <f t="shared" si="31"/>
        <v>#N/A</v>
      </c>
    </row>
    <row r="1770" spans="1:7">
      <c r="A1770" s="112" t="str">
        <f>VLOOKUP('Informe Kelly'!A1764,Base!A:B,2,FALSE)</f>
        <v>14.182.371-K</v>
      </c>
      <c r="B1770" s="112" t="str">
        <f>VLOOKUP('Informe Kelly'!A1764,Base!A:G,7,FALSE)</f>
        <v>OSCAR EDUARDO  VERA  PALAVECINO</v>
      </c>
      <c r="C1770" s="112" t="str">
        <f>'Informe Kelly'!E1764</f>
        <v>06.04.2011</v>
      </c>
      <c r="D1770" s="112" t="e">
        <f>VLOOKUP(A1770,Ingreso!K:P,6,FALSE)</f>
        <v>#N/A</v>
      </c>
      <c r="E1770" s="142" t="e">
        <f>(VLOOKUP(D1770,$D$2:$E$4,2,FALSE))-(IF('Informe Kelly'!H1764=$A$2,'Informe Kelly'!F1764,VLOOKUP(D1770,$D$2:$E$4,2,FALSE)))</f>
        <v>#N/A</v>
      </c>
      <c r="F1770" s="142" t="e">
        <f>IF('Informe Kelly'!H1764=$A$3,'Informe Kelly'!F1764,VLOOKUP(D1770,$D$2:$F$4,3,FALSE))-(VLOOKUP(D1770,$D$2:$F$4,3,FALSE))</f>
        <v>#N/A</v>
      </c>
      <c r="G1770" s="137" t="e">
        <f t="shared" si="31"/>
        <v>#N/A</v>
      </c>
    </row>
    <row r="1771" spans="1:7">
      <c r="A1771" s="112" t="str">
        <f>VLOOKUP('Informe Kelly'!A1765,Base!A:B,2,FALSE)</f>
        <v>14.182.371-K</v>
      </c>
      <c r="B1771" s="112" t="str">
        <f>VLOOKUP('Informe Kelly'!A1765,Base!A:G,7,FALSE)</f>
        <v>OSCAR EDUARDO  VERA  PALAVECINO</v>
      </c>
      <c r="C1771" s="112" t="str">
        <f>'Informe Kelly'!E1765</f>
        <v>06.04.2011</v>
      </c>
      <c r="D1771" s="112" t="e">
        <f>VLOOKUP(A1771,Ingreso!K:P,6,FALSE)</f>
        <v>#N/A</v>
      </c>
      <c r="E1771" s="142" t="e">
        <f>(VLOOKUP(D1771,$D$2:$E$4,2,FALSE))-(IF('Informe Kelly'!H1765=$A$2,'Informe Kelly'!F1765,VLOOKUP(D1771,$D$2:$E$4,2,FALSE)))</f>
        <v>#N/A</v>
      </c>
      <c r="F1771" s="142" t="e">
        <f>IF('Informe Kelly'!H1765=$A$3,'Informe Kelly'!F1765,VLOOKUP(D1771,$D$2:$F$4,3,FALSE))-(VLOOKUP(D1771,$D$2:$F$4,3,FALSE))</f>
        <v>#N/A</v>
      </c>
      <c r="G1771" s="137" t="e">
        <f t="shared" si="31"/>
        <v>#N/A</v>
      </c>
    </row>
    <row r="1772" spans="1:7">
      <c r="A1772" s="112" t="str">
        <f>VLOOKUP('Informe Kelly'!A1766,Base!A:B,2,FALSE)</f>
        <v>14.182.371-K</v>
      </c>
      <c r="B1772" s="112" t="str">
        <f>VLOOKUP('Informe Kelly'!A1766,Base!A:G,7,FALSE)</f>
        <v>OSCAR EDUARDO  VERA  PALAVECINO</v>
      </c>
      <c r="C1772" s="112" t="str">
        <f>'Informe Kelly'!E1766</f>
        <v>07.04.2011</v>
      </c>
      <c r="D1772" s="112" t="e">
        <f>VLOOKUP(A1772,Ingreso!K:P,6,FALSE)</f>
        <v>#N/A</v>
      </c>
      <c r="E1772" s="142" t="e">
        <f>(VLOOKUP(D1772,$D$2:$E$4,2,FALSE))-(IF('Informe Kelly'!H1766=$A$2,'Informe Kelly'!F1766,VLOOKUP(D1772,$D$2:$E$4,2,FALSE)))</f>
        <v>#N/A</v>
      </c>
      <c r="F1772" s="142" t="e">
        <f>IF('Informe Kelly'!H1766=$A$3,'Informe Kelly'!F1766,VLOOKUP(D1772,$D$2:$F$4,3,FALSE))-(VLOOKUP(D1772,$D$2:$F$4,3,FALSE))</f>
        <v>#N/A</v>
      </c>
      <c r="G1772" s="137" t="e">
        <f t="shared" si="31"/>
        <v>#N/A</v>
      </c>
    </row>
    <row r="1773" spans="1:7">
      <c r="A1773" s="112" t="str">
        <f>VLOOKUP('Informe Kelly'!A1767,Base!A:B,2,FALSE)</f>
        <v>14.182.371-K</v>
      </c>
      <c r="B1773" s="112" t="str">
        <f>VLOOKUP('Informe Kelly'!A1767,Base!A:G,7,FALSE)</f>
        <v>OSCAR EDUARDO  VERA  PALAVECINO</v>
      </c>
      <c r="C1773" s="112" t="str">
        <f>'Informe Kelly'!E1767</f>
        <v>07.04.2011</v>
      </c>
      <c r="D1773" s="112" t="e">
        <f>VLOOKUP(A1773,Ingreso!K:P,6,FALSE)</f>
        <v>#N/A</v>
      </c>
      <c r="E1773" s="142" t="e">
        <f>(VLOOKUP(D1773,$D$2:$E$4,2,FALSE))-(IF('Informe Kelly'!H1767=$A$2,'Informe Kelly'!F1767,VLOOKUP(D1773,$D$2:$E$4,2,FALSE)))</f>
        <v>#N/A</v>
      </c>
      <c r="F1773" s="142" t="e">
        <f>IF('Informe Kelly'!H1767=$A$3,'Informe Kelly'!F1767,VLOOKUP(D1773,$D$2:$F$4,3,FALSE))-(VLOOKUP(D1773,$D$2:$F$4,3,FALSE))</f>
        <v>#N/A</v>
      </c>
      <c r="G1773" s="137" t="e">
        <f t="shared" si="31"/>
        <v>#N/A</v>
      </c>
    </row>
    <row r="1774" spans="1:7">
      <c r="A1774" s="112" t="str">
        <f>VLOOKUP('Informe Kelly'!A1768,Base!A:B,2,FALSE)</f>
        <v>14.182.371-K</v>
      </c>
      <c r="B1774" s="112" t="str">
        <f>VLOOKUP('Informe Kelly'!A1768,Base!A:G,7,FALSE)</f>
        <v>OSCAR EDUARDO  VERA  PALAVECINO</v>
      </c>
      <c r="C1774" s="112" t="str">
        <f>'Informe Kelly'!E1768</f>
        <v>08.04.2011</v>
      </c>
      <c r="D1774" s="112" t="e">
        <f>VLOOKUP(A1774,Ingreso!K:P,6,FALSE)</f>
        <v>#N/A</v>
      </c>
      <c r="E1774" s="142" t="e">
        <f>(VLOOKUP(D1774,$D$2:$E$4,2,FALSE))-(IF('Informe Kelly'!H1768=$A$2,'Informe Kelly'!F1768,VLOOKUP(D1774,$D$2:$E$4,2,FALSE)))</f>
        <v>#N/A</v>
      </c>
      <c r="F1774" s="142" t="e">
        <f>IF('Informe Kelly'!H1768=$A$3,'Informe Kelly'!F1768,VLOOKUP(D1774,$D$2:$F$4,3,FALSE))-(VLOOKUP(D1774,$D$2:$F$4,3,FALSE))</f>
        <v>#N/A</v>
      </c>
      <c r="G1774" s="137" t="e">
        <f t="shared" si="31"/>
        <v>#N/A</v>
      </c>
    </row>
    <row r="1775" spans="1:7">
      <c r="A1775" s="112" t="str">
        <f>VLOOKUP('Informe Kelly'!A1769,Base!A:B,2,FALSE)</f>
        <v>14.182.371-K</v>
      </c>
      <c r="B1775" s="112" t="str">
        <f>VLOOKUP('Informe Kelly'!A1769,Base!A:G,7,FALSE)</f>
        <v>OSCAR EDUARDO  VERA  PALAVECINO</v>
      </c>
      <c r="C1775" s="112" t="str">
        <f>'Informe Kelly'!E1769</f>
        <v>08.04.2011</v>
      </c>
      <c r="D1775" s="112" t="e">
        <f>VLOOKUP(A1775,Ingreso!K:P,6,FALSE)</f>
        <v>#N/A</v>
      </c>
      <c r="E1775" s="142" t="e">
        <f>(VLOOKUP(D1775,$D$2:$E$4,2,FALSE))-(IF('Informe Kelly'!H1769=$A$2,'Informe Kelly'!F1769,VLOOKUP(D1775,$D$2:$E$4,2,FALSE)))</f>
        <v>#N/A</v>
      </c>
      <c r="F1775" s="142" t="e">
        <f>IF('Informe Kelly'!H1769=$A$3,'Informe Kelly'!F1769,VLOOKUP(D1775,$D$2:$F$4,3,FALSE))-(VLOOKUP(D1775,$D$2:$F$4,3,FALSE))</f>
        <v>#N/A</v>
      </c>
      <c r="G1775" s="137" t="e">
        <f t="shared" si="31"/>
        <v>#N/A</v>
      </c>
    </row>
    <row r="1776" spans="1:7">
      <c r="A1776" s="112" t="str">
        <f>VLOOKUP('Informe Kelly'!A1770,Base!A:B,2,FALSE)</f>
        <v>14.182.371-K</v>
      </c>
      <c r="B1776" s="112" t="str">
        <f>VLOOKUP('Informe Kelly'!A1770,Base!A:G,7,FALSE)</f>
        <v>OSCAR EDUARDO  VERA  PALAVECINO</v>
      </c>
      <c r="C1776" s="112" t="str">
        <f>'Informe Kelly'!E1770</f>
        <v>09.04.2011</v>
      </c>
      <c r="D1776" s="112" t="e">
        <f>VLOOKUP(A1776,Ingreso!K:P,6,FALSE)</f>
        <v>#N/A</v>
      </c>
      <c r="E1776" s="142" t="e">
        <f>(VLOOKUP(D1776,$D$2:$E$4,2,FALSE))-(IF('Informe Kelly'!H1770=$A$2,'Informe Kelly'!F1770,VLOOKUP(D1776,$D$2:$E$4,2,FALSE)))</f>
        <v>#N/A</v>
      </c>
      <c r="F1776" s="142" t="e">
        <f>IF('Informe Kelly'!H1770=$A$3,'Informe Kelly'!F1770,VLOOKUP(D1776,$D$2:$F$4,3,FALSE))-(VLOOKUP(D1776,$D$2:$F$4,3,FALSE))</f>
        <v>#N/A</v>
      </c>
      <c r="G1776" s="137" t="e">
        <f t="shared" si="31"/>
        <v>#N/A</v>
      </c>
    </row>
    <row r="1777" spans="1:7">
      <c r="A1777" s="112" t="str">
        <f>VLOOKUP('Informe Kelly'!A1771,Base!A:B,2,FALSE)</f>
        <v>14.185.109-8</v>
      </c>
      <c r="B1777" s="112" t="str">
        <f>VLOOKUP('Informe Kelly'!A1771,Base!A:G,7,FALSE)</f>
        <v>REYES FUENZALIDA GUILLERMO ANTONIO</v>
      </c>
      <c r="C1777" s="112" t="str">
        <f>'Informe Kelly'!E1771</f>
        <v>04.04.2011</v>
      </c>
      <c r="D1777" s="112" t="e">
        <f>VLOOKUP(A1777,Ingreso!K:P,6,FALSE)</f>
        <v>#N/A</v>
      </c>
      <c r="E1777" s="142" t="e">
        <f>(VLOOKUP(D1777,$D$2:$E$4,2,FALSE))-(IF('Informe Kelly'!H1771=$A$2,'Informe Kelly'!F1771,VLOOKUP(D1777,$D$2:$E$4,2,FALSE)))</f>
        <v>#N/A</v>
      </c>
      <c r="F1777" s="142" t="e">
        <f>IF('Informe Kelly'!H1771=$A$3,'Informe Kelly'!F1771,VLOOKUP(D1777,$D$2:$F$4,3,FALSE))-(VLOOKUP(D1777,$D$2:$F$4,3,FALSE))</f>
        <v>#N/A</v>
      </c>
      <c r="G1777" s="137" t="e">
        <f t="shared" si="31"/>
        <v>#N/A</v>
      </c>
    </row>
    <row r="1778" spans="1:7">
      <c r="A1778" s="112" t="str">
        <f>VLOOKUP('Informe Kelly'!A1772,Base!A:B,2,FALSE)</f>
        <v>14.185.109-8</v>
      </c>
      <c r="B1778" s="112" t="str">
        <f>VLOOKUP('Informe Kelly'!A1772,Base!A:G,7,FALSE)</f>
        <v>REYES FUENZALIDA GUILLERMO ANTONIO</v>
      </c>
      <c r="C1778" s="112" t="str">
        <f>'Informe Kelly'!E1772</f>
        <v>05.04.2011</v>
      </c>
      <c r="D1778" s="112" t="e">
        <f>VLOOKUP(A1778,Ingreso!K:P,6,FALSE)</f>
        <v>#N/A</v>
      </c>
      <c r="E1778" s="142" t="e">
        <f>(VLOOKUP(D1778,$D$2:$E$4,2,FALSE))-(IF('Informe Kelly'!H1772=$A$2,'Informe Kelly'!F1772,VLOOKUP(D1778,$D$2:$E$4,2,FALSE)))</f>
        <v>#N/A</v>
      </c>
      <c r="F1778" s="142" t="e">
        <f>IF('Informe Kelly'!H1772=$A$3,'Informe Kelly'!F1772,VLOOKUP(D1778,$D$2:$F$4,3,FALSE))-(VLOOKUP(D1778,$D$2:$F$4,3,FALSE))</f>
        <v>#N/A</v>
      </c>
      <c r="G1778" s="137" t="e">
        <f t="shared" si="31"/>
        <v>#N/A</v>
      </c>
    </row>
    <row r="1779" spans="1:7">
      <c r="A1779" s="112" t="str">
        <f>VLOOKUP('Informe Kelly'!A1773,Base!A:B,2,FALSE)</f>
        <v>14.185.109-8</v>
      </c>
      <c r="B1779" s="112" t="str">
        <f>VLOOKUP('Informe Kelly'!A1773,Base!A:G,7,FALSE)</f>
        <v>REYES FUENZALIDA GUILLERMO ANTONIO</v>
      </c>
      <c r="C1779" s="112" t="str">
        <f>'Informe Kelly'!E1773</f>
        <v>05.04.2011</v>
      </c>
      <c r="D1779" s="112" t="e">
        <f>VLOOKUP(A1779,Ingreso!K:P,6,FALSE)</f>
        <v>#N/A</v>
      </c>
      <c r="E1779" s="142" t="e">
        <f>(VLOOKUP(D1779,$D$2:$E$4,2,FALSE))-(IF('Informe Kelly'!H1773=$A$2,'Informe Kelly'!F1773,VLOOKUP(D1779,$D$2:$E$4,2,FALSE)))</f>
        <v>#N/A</v>
      </c>
      <c r="F1779" s="142" t="e">
        <f>IF('Informe Kelly'!H1773=$A$3,'Informe Kelly'!F1773,VLOOKUP(D1779,$D$2:$F$4,3,FALSE))-(VLOOKUP(D1779,$D$2:$F$4,3,FALSE))</f>
        <v>#N/A</v>
      </c>
      <c r="G1779" s="137" t="e">
        <f t="shared" si="31"/>
        <v>#N/A</v>
      </c>
    </row>
    <row r="1780" spans="1:7">
      <c r="A1780" s="112" t="str">
        <f>VLOOKUP('Informe Kelly'!A1774,Base!A:B,2,FALSE)</f>
        <v>14.185.109-8</v>
      </c>
      <c r="B1780" s="112" t="str">
        <f>VLOOKUP('Informe Kelly'!A1774,Base!A:G,7,FALSE)</f>
        <v>REYES FUENZALIDA GUILLERMO ANTONIO</v>
      </c>
      <c r="C1780" s="112" t="str">
        <f>'Informe Kelly'!E1774</f>
        <v>06.04.2011</v>
      </c>
      <c r="D1780" s="112" t="e">
        <f>VLOOKUP(A1780,Ingreso!K:P,6,FALSE)</f>
        <v>#N/A</v>
      </c>
      <c r="E1780" s="142" t="e">
        <f>(VLOOKUP(D1780,$D$2:$E$4,2,FALSE))-(IF('Informe Kelly'!H1774=$A$2,'Informe Kelly'!F1774,VLOOKUP(D1780,$D$2:$E$4,2,FALSE)))</f>
        <v>#N/A</v>
      </c>
      <c r="F1780" s="142" t="e">
        <f>IF('Informe Kelly'!H1774=$A$3,'Informe Kelly'!F1774,VLOOKUP(D1780,$D$2:$F$4,3,FALSE))-(VLOOKUP(D1780,$D$2:$F$4,3,FALSE))</f>
        <v>#N/A</v>
      </c>
      <c r="G1780" s="137" t="e">
        <f t="shared" si="31"/>
        <v>#N/A</v>
      </c>
    </row>
    <row r="1781" spans="1:7">
      <c r="A1781" s="112" t="str">
        <f>VLOOKUP('Informe Kelly'!A1775,Base!A:B,2,FALSE)</f>
        <v>14.185.109-8</v>
      </c>
      <c r="B1781" s="112" t="str">
        <f>VLOOKUP('Informe Kelly'!A1775,Base!A:G,7,FALSE)</f>
        <v>REYES FUENZALIDA GUILLERMO ANTONIO</v>
      </c>
      <c r="C1781" s="112" t="str">
        <f>'Informe Kelly'!E1775</f>
        <v>06.04.2011</v>
      </c>
      <c r="D1781" s="112" t="e">
        <f>VLOOKUP(A1781,Ingreso!K:P,6,FALSE)</f>
        <v>#N/A</v>
      </c>
      <c r="E1781" s="142" t="e">
        <f>(VLOOKUP(D1781,$D$2:$E$4,2,FALSE))-(IF('Informe Kelly'!H1775=$A$2,'Informe Kelly'!F1775,VLOOKUP(D1781,$D$2:$E$4,2,FALSE)))</f>
        <v>#N/A</v>
      </c>
      <c r="F1781" s="142" t="e">
        <f>IF('Informe Kelly'!H1775=$A$3,'Informe Kelly'!F1775,VLOOKUP(D1781,$D$2:$F$4,3,FALSE))-(VLOOKUP(D1781,$D$2:$F$4,3,FALSE))</f>
        <v>#N/A</v>
      </c>
      <c r="G1781" s="137" t="e">
        <f t="shared" si="31"/>
        <v>#N/A</v>
      </c>
    </row>
    <row r="1782" spans="1:7">
      <c r="A1782" s="112" t="str">
        <f>VLOOKUP('Informe Kelly'!A1776,Base!A:B,2,FALSE)</f>
        <v>14.185.109-8</v>
      </c>
      <c r="B1782" s="112" t="str">
        <f>VLOOKUP('Informe Kelly'!A1776,Base!A:G,7,FALSE)</f>
        <v>REYES FUENZALIDA GUILLERMO ANTONIO</v>
      </c>
      <c r="C1782" s="112" t="str">
        <f>'Informe Kelly'!E1776</f>
        <v>07.04.2011</v>
      </c>
      <c r="D1782" s="112" t="e">
        <f>VLOOKUP(A1782,Ingreso!K:P,6,FALSE)</f>
        <v>#N/A</v>
      </c>
      <c r="E1782" s="142" t="e">
        <f>(VLOOKUP(D1782,$D$2:$E$4,2,FALSE))-(IF('Informe Kelly'!H1776=$A$2,'Informe Kelly'!F1776,VLOOKUP(D1782,$D$2:$E$4,2,FALSE)))</f>
        <v>#N/A</v>
      </c>
      <c r="F1782" s="142" t="e">
        <f>IF('Informe Kelly'!H1776=$A$3,'Informe Kelly'!F1776,VLOOKUP(D1782,$D$2:$F$4,3,FALSE))-(VLOOKUP(D1782,$D$2:$F$4,3,FALSE))</f>
        <v>#N/A</v>
      </c>
      <c r="G1782" s="137" t="e">
        <f t="shared" si="31"/>
        <v>#N/A</v>
      </c>
    </row>
    <row r="1783" spans="1:7">
      <c r="A1783" s="112" t="str">
        <f>VLOOKUP('Informe Kelly'!A1777,Base!A:B,2,FALSE)</f>
        <v>14.185.109-8</v>
      </c>
      <c r="B1783" s="112" t="str">
        <f>VLOOKUP('Informe Kelly'!A1777,Base!A:G,7,FALSE)</f>
        <v>REYES FUENZALIDA GUILLERMO ANTONIO</v>
      </c>
      <c r="C1783" s="112" t="str">
        <f>'Informe Kelly'!E1777</f>
        <v>07.04.2011</v>
      </c>
      <c r="D1783" s="112" t="e">
        <f>VLOOKUP(A1783,Ingreso!K:P,6,FALSE)</f>
        <v>#N/A</v>
      </c>
      <c r="E1783" s="142" t="e">
        <f>(VLOOKUP(D1783,$D$2:$E$4,2,FALSE))-(IF('Informe Kelly'!H1777=$A$2,'Informe Kelly'!F1777,VLOOKUP(D1783,$D$2:$E$4,2,FALSE)))</f>
        <v>#N/A</v>
      </c>
      <c r="F1783" s="142" t="e">
        <f>IF('Informe Kelly'!H1777=$A$3,'Informe Kelly'!F1777,VLOOKUP(D1783,$D$2:$F$4,3,FALSE))-(VLOOKUP(D1783,$D$2:$F$4,3,FALSE))</f>
        <v>#N/A</v>
      </c>
      <c r="G1783" s="137" t="e">
        <f t="shared" si="31"/>
        <v>#N/A</v>
      </c>
    </row>
    <row r="1784" spans="1:7">
      <c r="A1784" s="112" t="str">
        <f>VLOOKUP('Informe Kelly'!A1778,Base!A:B,2,FALSE)</f>
        <v>14.185.109-8</v>
      </c>
      <c r="B1784" s="112" t="str">
        <f>VLOOKUP('Informe Kelly'!A1778,Base!A:G,7,FALSE)</f>
        <v>REYES FUENZALIDA GUILLERMO ANTONIO</v>
      </c>
      <c r="C1784" s="112" t="str">
        <f>'Informe Kelly'!E1778</f>
        <v>08.04.2011</v>
      </c>
      <c r="D1784" s="112" t="e">
        <f>VLOOKUP(A1784,Ingreso!K:P,6,FALSE)</f>
        <v>#N/A</v>
      </c>
      <c r="E1784" s="142" t="e">
        <f>(VLOOKUP(D1784,$D$2:$E$4,2,FALSE))-(IF('Informe Kelly'!H1778=$A$2,'Informe Kelly'!F1778,VLOOKUP(D1784,$D$2:$E$4,2,FALSE)))</f>
        <v>#N/A</v>
      </c>
      <c r="F1784" s="142" t="e">
        <f>IF('Informe Kelly'!H1778=$A$3,'Informe Kelly'!F1778,VLOOKUP(D1784,$D$2:$F$4,3,FALSE))-(VLOOKUP(D1784,$D$2:$F$4,3,FALSE))</f>
        <v>#N/A</v>
      </c>
      <c r="G1784" s="137" t="e">
        <f t="shared" si="31"/>
        <v>#N/A</v>
      </c>
    </row>
    <row r="1785" spans="1:7">
      <c r="A1785" s="112" t="str">
        <f>VLOOKUP('Informe Kelly'!A1779,Base!A:B,2,FALSE)</f>
        <v>14.185.109-8</v>
      </c>
      <c r="B1785" s="112" t="str">
        <f>VLOOKUP('Informe Kelly'!A1779,Base!A:G,7,FALSE)</f>
        <v>REYES FUENZALIDA GUILLERMO ANTONIO</v>
      </c>
      <c r="C1785" s="112" t="str">
        <f>'Informe Kelly'!E1779</f>
        <v>08.04.2011</v>
      </c>
      <c r="D1785" s="112" t="e">
        <f>VLOOKUP(A1785,Ingreso!K:P,6,FALSE)</f>
        <v>#N/A</v>
      </c>
      <c r="E1785" s="142" t="e">
        <f>(VLOOKUP(D1785,$D$2:$E$4,2,FALSE))-(IF('Informe Kelly'!H1779=$A$2,'Informe Kelly'!F1779,VLOOKUP(D1785,$D$2:$E$4,2,FALSE)))</f>
        <v>#N/A</v>
      </c>
      <c r="F1785" s="142" t="e">
        <f>IF('Informe Kelly'!H1779=$A$3,'Informe Kelly'!F1779,VLOOKUP(D1785,$D$2:$F$4,3,FALSE))-(VLOOKUP(D1785,$D$2:$F$4,3,FALSE))</f>
        <v>#N/A</v>
      </c>
      <c r="G1785" s="137" t="e">
        <f t="shared" si="31"/>
        <v>#N/A</v>
      </c>
    </row>
    <row r="1786" spans="1:7">
      <c r="A1786" s="112" t="str">
        <f>VLOOKUP('Informe Kelly'!A1780,Base!A:B,2,FALSE)</f>
        <v>14.185.109-8</v>
      </c>
      <c r="B1786" s="112" t="str">
        <f>VLOOKUP('Informe Kelly'!A1780,Base!A:G,7,FALSE)</f>
        <v>REYES FUENZALIDA GUILLERMO ANTONIO</v>
      </c>
      <c r="C1786" s="112" t="str">
        <f>'Informe Kelly'!E1780</f>
        <v>09.04.2011</v>
      </c>
      <c r="D1786" s="112" t="e">
        <f>VLOOKUP(A1786,Ingreso!K:P,6,FALSE)</f>
        <v>#N/A</v>
      </c>
      <c r="E1786" s="142" t="e">
        <f>(VLOOKUP(D1786,$D$2:$E$4,2,FALSE))-(IF('Informe Kelly'!H1780=$A$2,'Informe Kelly'!F1780,VLOOKUP(D1786,$D$2:$E$4,2,FALSE)))</f>
        <v>#N/A</v>
      </c>
      <c r="F1786" s="142" t="e">
        <f>IF('Informe Kelly'!H1780=$A$3,'Informe Kelly'!F1780,VLOOKUP(D1786,$D$2:$F$4,3,FALSE))-(VLOOKUP(D1786,$D$2:$F$4,3,FALSE))</f>
        <v>#N/A</v>
      </c>
      <c r="G1786" s="137" t="e">
        <f t="shared" si="31"/>
        <v>#N/A</v>
      </c>
    </row>
    <row r="1787" spans="1:7">
      <c r="A1787" s="112" t="str">
        <f>VLOOKUP('Informe Kelly'!A1781,Base!A:B,2,FALSE)</f>
        <v>14.193.049-4</v>
      </c>
      <c r="B1787" s="112" t="str">
        <f>VLOOKUP('Informe Kelly'!A1781,Base!A:G,7,FALSE)</f>
        <v>TAPIA IBARRA CESAR ANTONIO</v>
      </c>
      <c r="C1787" s="112" t="str">
        <f>'Informe Kelly'!E1781</f>
        <v>04.04.2011</v>
      </c>
      <c r="D1787" s="112" t="e">
        <f>VLOOKUP(A1787,Ingreso!K:P,6,FALSE)</f>
        <v>#N/A</v>
      </c>
      <c r="E1787" s="142" t="e">
        <f>(VLOOKUP(D1787,$D$2:$E$4,2,FALSE))-(IF('Informe Kelly'!H1781=$A$2,'Informe Kelly'!F1781,VLOOKUP(D1787,$D$2:$E$4,2,FALSE)))</f>
        <v>#N/A</v>
      </c>
      <c r="F1787" s="142" t="e">
        <f>IF('Informe Kelly'!H1781=$A$3,'Informe Kelly'!F1781,VLOOKUP(D1787,$D$2:$F$4,3,FALSE))-(VLOOKUP(D1787,$D$2:$F$4,3,FALSE))</f>
        <v>#N/A</v>
      </c>
      <c r="G1787" s="137" t="e">
        <f t="shared" si="31"/>
        <v>#N/A</v>
      </c>
    </row>
    <row r="1788" spans="1:7">
      <c r="A1788" s="112" t="str">
        <f>VLOOKUP('Informe Kelly'!A1782,Base!A:B,2,FALSE)</f>
        <v>14.193.049-4</v>
      </c>
      <c r="B1788" s="112" t="str">
        <f>VLOOKUP('Informe Kelly'!A1782,Base!A:G,7,FALSE)</f>
        <v>TAPIA IBARRA CESAR ANTONIO</v>
      </c>
      <c r="C1788" s="112" t="str">
        <f>'Informe Kelly'!E1782</f>
        <v>04.04.2011</v>
      </c>
      <c r="D1788" s="112" t="e">
        <f>VLOOKUP(A1788,Ingreso!K:P,6,FALSE)</f>
        <v>#N/A</v>
      </c>
      <c r="E1788" s="142" t="e">
        <f>(VLOOKUP(D1788,$D$2:$E$4,2,FALSE))-(IF('Informe Kelly'!H1782=$A$2,'Informe Kelly'!F1782,VLOOKUP(D1788,$D$2:$E$4,2,FALSE)))</f>
        <v>#N/A</v>
      </c>
      <c r="F1788" s="142" t="e">
        <f>IF('Informe Kelly'!H1782=$A$3,'Informe Kelly'!F1782,VLOOKUP(D1788,$D$2:$F$4,3,FALSE))-(VLOOKUP(D1788,$D$2:$F$4,3,FALSE))</f>
        <v>#N/A</v>
      </c>
      <c r="G1788" s="137" t="e">
        <f t="shared" si="31"/>
        <v>#N/A</v>
      </c>
    </row>
    <row r="1789" spans="1:7">
      <c r="A1789" s="112" t="str">
        <f>VLOOKUP('Informe Kelly'!A1783,Base!A:B,2,FALSE)</f>
        <v>14.193.049-4</v>
      </c>
      <c r="B1789" s="112" t="str">
        <f>VLOOKUP('Informe Kelly'!A1783,Base!A:G,7,FALSE)</f>
        <v>TAPIA IBARRA CESAR ANTONIO</v>
      </c>
      <c r="C1789" s="112" t="str">
        <f>'Informe Kelly'!E1783</f>
        <v>05.04.2011</v>
      </c>
      <c r="D1789" s="112" t="e">
        <f>VLOOKUP(A1789,Ingreso!K:P,6,FALSE)</f>
        <v>#N/A</v>
      </c>
      <c r="E1789" s="142" t="e">
        <f>(VLOOKUP(D1789,$D$2:$E$4,2,FALSE))-(IF('Informe Kelly'!H1783=$A$2,'Informe Kelly'!F1783,VLOOKUP(D1789,$D$2:$E$4,2,FALSE)))</f>
        <v>#N/A</v>
      </c>
      <c r="F1789" s="142" t="e">
        <f>IF('Informe Kelly'!H1783=$A$3,'Informe Kelly'!F1783,VLOOKUP(D1789,$D$2:$F$4,3,FALSE))-(VLOOKUP(D1789,$D$2:$F$4,3,FALSE))</f>
        <v>#N/A</v>
      </c>
      <c r="G1789" s="137" t="e">
        <f t="shared" si="31"/>
        <v>#N/A</v>
      </c>
    </row>
    <row r="1790" spans="1:7">
      <c r="A1790" s="112" t="str">
        <f>VLOOKUP('Informe Kelly'!A1784,Base!A:B,2,FALSE)</f>
        <v>14.193.049-4</v>
      </c>
      <c r="B1790" s="112" t="str">
        <f>VLOOKUP('Informe Kelly'!A1784,Base!A:G,7,FALSE)</f>
        <v>TAPIA IBARRA CESAR ANTONIO</v>
      </c>
      <c r="C1790" s="112" t="str">
        <f>'Informe Kelly'!E1784</f>
        <v>05.04.2011</v>
      </c>
      <c r="D1790" s="112" t="e">
        <f>VLOOKUP(A1790,Ingreso!K:P,6,FALSE)</f>
        <v>#N/A</v>
      </c>
      <c r="E1790" s="142" t="e">
        <f>(VLOOKUP(D1790,$D$2:$E$4,2,FALSE))-(IF('Informe Kelly'!H1784=$A$2,'Informe Kelly'!F1784,VLOOKUP(D1790,$D$2:$E$4,2,FALSE)))</f>
        <v>#N/A</v>
      </c>
      <c r="F1790" s="142" t="e">
        <f>IF('Informe Kelly'!H1784=$A$3,'Informe Kelly'!F1784,VLOOKUP(D1790,$D$2:$F$4,3,FALSE))-(VLOOKUP(D1790,$D$2:$F$4,3,FALSE))</f>
        <v>#N/A</v>
      </c>
      <c r="G1790" s="137" t="e">
        <f t="shared" si="31"/>
        <v>#N/A</v>
      </c>
    </row>
    <row r="1791" spans="1:7">
      <c r="A1791" s="112" t="str">
        <f>VLOOKUP('Informe Kelly'!A1785,Base!A:B,2,FALSE)</f>
        <v>14.193.049-4</v>
      </c>
      <c r="B1791" s="112" t="str">
        <f>VLOOKUP('Informe Kelly'!A1785,Base!A:G,7,FALSE)</f>
        <v>TAPIA IBARRA CESAR ANTONIO</v>
      </c>
      <c r="C1791" s="112" t="str">
        <f>'Informe Kelly'!E1785</f>
        <v>06.04.2011</v>
      </c>
      <c r="D1791" s="112" t="e">
        <f>VLOOKUP(A1791,Ingreso!K:P,6,FALSE)</f>
        <v>#N/A</v>
      </c>
      <c r="E1791" s="142" t="e">
        <f>(VLOOKUP(D1791,$D$2:$E$4,2,FALSE))-(IF('Informe Kelly'!H1785=$A$2,'Informe Kelly'!F1785,VLOOKUP(D1791,$D$2:$E$4,2,FALSE)))</f>
        <v>#N/A</v>
      </c>
      <c r="F1791" s="142" t="e">
        <f>IF('Informe Kelly'!H1785=$A$3,'Informe Kelly'!F1785,VLOOKUP(D1791,$D$2:$F$4,3,FALSE))-(VLOOKUP(D1791,$D$2:$F$4,3,FALSE))</f>
        <v>#N/A</v>
      </c>
      <c r="G1791" s="137" t="e">
        <f t="shared" si="31"/>
        <v>#N/A</v>
      </c>
    </row>
    <row r="1792" spans="1:7">
      <c r="A1792" s="112" t="str">
        <f>VLOOKUP('Informe Kelly'!A1786,Base!A:B,2,FALSE)</f>
        <v>14.193.049-4</v>
      </c>
      <c r="B1792" s="112" t="str">
        <f>VLOOKUP('Informe Kelly'!A1786,Base!A:G,7,FALSE)</f>
        <v>TAPIA IBARRA CESAR ANTONIO</v>
      </c>
      <c r="C1792" s="112" t="str">
        <f>'Informe Kelly'!E1786</f>
        <v>06.04.2011</v>
      </c>
      <c r="D1792" s="112" t="e">
        <f>VLOOKUP(A1792,Ingreso!K:P,6,FALSE)</f>
        <v>#N/A</v>
      </c>
      <c r="E1792" s="142" t="e">
        <f>(VLOOKUP(D1792,$D$2:$E$4,2,FALSE))-(IF('Informe Kelly'!H1786=$A$2,'Informe Kelly'!F1786,VLOOKUP(D1792,$D$2:$E$4,2,FALSE)))</f>
        <v>#N/A</v>
      </c>
      <c r="F1792" s="142" t="e">
        <f>IF('Informe Kelly'!H1786=$A$3,'Informe Kelly'!F1786,VLOOKUP(D1792,$D$2:$F$4,3,FALSE))-(VLOOKUP(D1792,$D$2:$F$4,3,FALSE))</f>
        <v>#N/A</v>
      </c>
      <c r="G1792" s="137" t="e">
        <f t="shared" si="31"/>
        <v>#N/A</v>
      </c>
    </row>
    <row r="1793" spans="1:7">
      <c r="A1793" s="112" t="str">
        <f>VLOOKUP('Informe Kelly'!A1787,Base!A:B,2,FALSE)</f>
        <v>14.193.049-4</v>
      </c>
      <c r="B1793" s="112" t="str">
        <f>VLOOKUP('Informe Kelly'!A1787,Base!A:G,7,FALSE)</f>
        <v>TAPIA IBARRA CESAR ANTONIO</v>
      </c>
      <c r="C1793" s="112" t="str">
        <f>'Informe Kelly'!E1787</f>
        <v>07.04.2011</v>
      </c>
      <c r="D1793" s="112" t="e">
        <f>VLOOKUP(A1793,Ingreso!K:P,6,FALSE)</f>
        <v>#N/A</v>
      </c>
      <c r="E1793" s="142" t="e">
        <f>(VLOOKUP(D1793,$D$2:$E$4,2,FALSE))-(IF('Informe Kelly'!H1787=$A$2,'Informe Kelly'!F1787,VLOOKUP(D1793,$D$2:$E$4,2,FALSE)))</f>
        <v>#N/A</v>
      </c>
      <c r="F1793" s="142" t="e">
        <f>IF('Informe Kelly'!H1787=$A$3,'Informe Kelly'!F1787,VLOOKUP(D1793,$D$2:$F$4,3,FALSE))-(VLOOKUP(D1793,$D$2:$F$4,3,FALSE))</f>
        <v>#N/A</v>
      </c>
      <c r="G1793" s="137" t="e">
        <f t="shared" si="31"/>
        <v>#N/A</v>
      </c>
    </row>
    <row r="1794" spans="1:7">
      <c r="A1794" s="112" t="str">
        <f>VLOOKUP('Informe Kelly'!A1788,Base!A:B,2,FALSE)</f>
        <v>14.193.049-4</v>
      </c>
      <c r="B1794" s="112" t="str">
        <f>VLOOKUP('Informe Kelly'!A1788,Base!A:G,7,FALSE)</f>
        <v>TAPIA IBARRA CESAR ANTONIO</v>
      </c>
      <c r="C1794" s="112" t="str">
        <f>'Informe Kelly'!E1788</f>
        <v>07.04.2011</v>
      </c>
      <c r="D1794" s="112" t="e">
        <f>VLOOKUP(A1794,Ingreso!K:P,6,FALSE)</f>
        <v>#N/A</v>
      </c>
      <c r="E1794" s="142" t="e">
        <f>(VLOOKUP(D1794,$D$2:$E$4,2,FALSE))-(IF('Informe Kelly'!H1788=$A$2,'Informe Kelly'!F1788,VLOOKUP(D1794,$D$2:$E$4,2,FALSE)))</f>
        <v>#N/A</v>
      </c>
      <c r="F1794" s="142" t="e">
        <f>IF('Informe Kelly'!H1788=$A$3,'Informe Kelly'!F1788,VLOOKUP(D1794,$D$2:$F$4,3,FALSE))-(VLOOKUP(D1794,$D$2:$F$4,3,FALSE))</f>
        <v>#N/A</v>
      </c>
      <c r="G1794" s="137" t="e">
        <f t="shared" si="31"/>
        <v>#N/A</v>
      </c>
    </row>
    <row r="1795" spans="1:7">
      <c r="A1795" s="112" t="str">
        <f>VLOOKUP('Informe Kelly'!A1789,Base!A:B,2,FALSE)</f>
        <v>14.193.049-4</v>
      </c>
      <c r="B1795" s="112" t="str">
        <f>VLOOKUP('Informe Kelly'!A1789,Base!A:G,7,FALSE)</f>
        <v>TAPIA IBARRA CESAR ANTONIO</v>
      </c>
      <c r="C1795" s="112" t="str">
        <f>'Informe Kelly'!E1789</f>
        <v>08.04.2011</v>
      </c>
      <c r="D1795" s="112" t="e">
        <f>VLOOKUP(A1795,Ingreso!K:P,6,FALSE)</f>
        <v>#N/A</v>
      </c>
      <c r="E1795" s="142" t="e">
        <f>(VLOOKUP(D1795,$D$2:$E$4,2,FALSE))-(IF('Informe Kelly'!H1789=$A$2,'Informe Kelly'!F1789,VLOOKUP(D1795,$D$2:$E$4,2,FALSE)))</f>
        <v>#N/A</v>
      </c>
      <c r="F1795" s="142" t="e">
        <f>IF('Informe Kelly'!H1789=$A$3,'Informe Kelly'!F1789,VLOOKUP(D1795,$D$2:$F$4,3,FALSE))-(VLOOKUP(D1795,$D$2:$F$4,3,FALSE))</f>
        <v>#N/A</v>
      </c>
      <c r="G1795" s="137" t="e">
        <f t="shared" si="31"/>
        <v>#N/A</v>
      </c>
    </row>
    <row r="1796" spans="1:7">
      <c r="A1796" s="112" t="str">
        <f>VLOOKUP('Informe Kelly'!A1790,Base!A:B,2,FALSE)</f>
        <v>14.193.049-4</v>
      </c>
      <c r="B1796" s="112" t="str">
        <f>VLOOKUP('Informe Kelly'!A1790,Base!A:G,7,FALSE)</f>
        <v>TAPIA IBARRA CESAR ANTONIO</v>
      </c>
      <c r="C1796" s="112" t="str">
        <f>'Informe Kelly'!E1790</f>
        <v>08.04.2011</v>
      </c>
      <c r="D1796" s="112" t="e">
        <f>VLOOKUP(A1796,Ingreso!K:P,6,FALSE)</f>
        <v>#N/A</v>
      </c>
      <c r="E1796" s="142" t="e">
        <f>(VLOOKUP(D1796,$D$2:$E$4,2,FALSE))-(IF('Informe Kelly'!H1790=$A$2,'Informe Kelly'!F1790,VLOOKUP(D1796,$D$2:$E$4,2,FALSE)))</f>
        <v>#N/A</v>
      </c>
      <c r="F1796" s="142" t="e">
        <f>IF('Informe Kelly'!H1790=$A$3,'Informe Kelly'!F1790,VLOOKUP(D1796,$D$2:$F$4,3,FALSE))-(VLOOKUP(D1796,$D$2:$F$4,3,FALSE))</f>
        <v>#N/A</v>
      </c>
      <c r="G1796" s="137" t="e">
        <f t="shared" si="31"/>
        <v>#N/A</v>
      </c>
    </row>
    <row r="1797" spans="1:7">
      <c r="A1797" s="112" t="str">
        <f>VLOOKUP('Informe Kelly'!A1791,Base!A:B,2,FALSE)</f>
        <v>14.193.049-4</v>
      </c>
      <c r="B1797" s="112" t="str">
        <f>VLOOKUP('Informe Kelly'!A1791,Base!A:G,7,FALSE)</f>
        <v>TAPIA IBARRA CESAR ANTONIO</v>
      </c>
      <c r="C1797" s="112" t="str">
        <f>'Informe Kelly'!E1791</f>
        <v>09.04.2011</v>
      </c>
      <c r="D1797" s="112" t="e">
        <f>VLOOKUP(A1797,Ingreso!K:P,6,FALSE)</f>
        <v>#N/A</v>
      </c>
      <c r="E1797" s="142" t="e">
        <f>(VLOOKUP(D1797,$D$2:$E$4,2,FALSE))-(IF('Informe Kelly'!H1791=$A$2,'Informe Kelly'!F1791,VLOOKUP(D1797,$D$2:$E$4,2,FALSE)))</f>
        <v>#N/A</v>
      </c>
      <c r="F1797" s="142" t="e">
        <f>IF('Informe Kelly'!H1791=$A$3,'Informe Kelly'!F1791,VLOOKUP(D1797,$D$2:$F$4,3,FALSE))-(VLOOKUP(D1797,$D$2:$F$4,3,FALSE))</f>
        <v>#N/A</v>
      </c>
      <c r="G1797" s="137" t="e">
        <f t="shared" si="31"/>
        <v>#N/A</v>
      </c>
    </row>
    <row r="1798" spans="1:7">
      <c r="A1798" s="112" t="str">
        <f>VLOOKUP('Informe Kelly'!A1792,Base!A:B,2,FALSE)</f>
        <v>14.193.049-4</v>
      </c>
      <c r="B1798" s="112" t="str">
        <f>VLOOKUP('Informe Kelly'!A1792,Base!A:G,7,FALSE)</f>
        <v>TAPIA IBARRA CESAR ANTONIO</v>
      </c>
      <c r="C1798" s="112" t="str">
        <f>'Informe Kelly'!E1792</f>
        <v>09.04.2011</v>
      </c>
      <c r="D1798" s="112" t="e">
        <f>VLOOKUP(A1798,Ingreso!K:P,6,FALSE)</f>
        <v>#N/A</v>
      </c>
      <c r="E1798" s="142" t="e">
        <f>(VLOOKUP(D1798,$D$2:$E$4,2,FALSE))-(IF('Informe Kelly'!H1792=$A$2,'Informe Kelly'!F1792,VLOOKUP(D1798,$D$2:$E$4,2,FALSE)))</f>
        <v>#N/A</v>
      </c>
      <c r="F1798" s="142" t="e">
        <f>IF('Informe Kelly'!H1792=$A$3,'Informe Kelly'!F1792,VLOOKUP(D1798,$D$2:$F$4,3,FALSE))-(VLOOKUP(D1798,$D$2:$F$4,3,FALSE))</f>
        <v>#N/A</v>
      </c>
      <c r="G1798" s="137" t="e">
        <f t="shared" si="31"/>
        <v>#N/A</v>
      </c>
    </row>
    <row r="1799" spans="1:7">
      <c r="A1799" s="112" t="str">
        <f>VLOOKUP('Informe Kelly'!A1793,Base!A:B,2,FALSE)</f>
        <v>14.193.049-4</v>
      </c>
      <c r="B1799" s="112" t="str">
        <f>VLOOKUP('Informe Kelly'!A1793,Base!A:G,7,FALSE)</f>
        <v>TAPIA IBARRA CESAR ANTONIO</v>
      </c>
      <c r="C1799" s="112" t="str">
        <f>'Informe Kelly'!E1793</f>
        <v>09.04.2011</v>
      </c>
      <c r="D1799" s="112" t="e">
        <f>VLOOKUP(A1799,Ingreso!K:P,6,FALSE)</f>
        <v>#N/A</v>
      </c>
      <c r="E1799" s="142" t="e">
        <f>(VLOOKUP(D1799,$D$2:$E$4,2,FALSE))-(IF('Informe Kelly'!H1793=$A$2,'Informe Kelly'!F1793,VLOOKUP(D1799,$D$2:$E$4,2,FALSE)))</f>
        <v>#N/A</v>
      </c>
      <c r="F1799" s="142" t="e">
        <f>IF('Informe Kelly'!H1793=$A$3,'Informe Kelly'!F1793,VLOOKUP(D1799,$D$2:$F$4,3,FALSE))-(VLOOKUP(D1799,$D$2:$F$4,3,FALSE))</f>
        <v>#N/A</v>
      </c>
      <c r="G1799" s="137" t="e">
        <f t="shared" si="31"/>
        <v>#N/A</v>
      </c>
    </row>
    <row r="1800" spans="1:7">
      <c r="A1800" s="112" t="str">
        <f>VLOOKUP('Informe Kelly'!A1794,Base!A:B,2,FALSE)</f>
        <v>14.277.186-1</v>
      </c>
      <c r="B1800" s="112" t="str">
        <f>VLOOKUP('Informe Kelly'!A1794,Base!A:G,7,FALSE)</f>
        <v>SANHUEZA SOTO ALEJANDRO</v>
      </c>
      <c r="C1800" s="112" t="str">
        <f>'Informe Kelly'!E1794</f>
        <v>04.04.2011</v>
      </c>
      <c r="D1800" s="112" t="e">
        <f>VLOOKUP(A1800,Ingreso!K:P,6,FALSE)</f>
        <v>#N/A</v>
      </c>
      <c r="E1800" s="142" t="e">
        <f>(VLOOKUP(D1800,$D$2:$E$4,2,FALSE))-(IF('Informe Kelly'!H1794=$A$2,'Informe Kelly'!F1794,VLOOKUP(D1800,$D$2:$E$4,2,FALSE)))</f>
        <v>#N/A</v>
      </c>
      <c r="F1800" s="142" t="e">
        <f>IF('Informe Kelly'!H1794=$A$3,'Informe Kelly'!F1794,VLOOKUP(D1800,$D$2:$F$4,3,FALSE))-(VLOOKUP(D1800,$D$2:$F$4,3,FALSE))</f>
        <v>#N/A</v>
      </c>
      <c r="G1800" s="137" t="e">
        <f t="shared" si="31"/>
        <v>#N/A</v>
      </c>
    </row>
    <row r="1801" spans="1:7">
      <c r="A1801" s="112" t="str">
        <f>VLOOKUP('Informe Kelly'!A1795,Base!A:B,2,FALSE)</f>
        <v>14.277.186-1</v>
      </c>
      <c r="B1801" s="112" t="str">
        <f>VLOOKUP('Informe Kelly'!A1795,Base!A:G,7,FALSE)</f>
        <v>SANHUEZA SOTO ALEJANDRO</v>
      </c>
      <c r="C1801" s="112" t="str">
        <f>'Informe Kelly'!E1795</f>
        <v>05.04.2011</v>
      </c>
      <c r="D1801" s="112" t="e">
        <f>VLOOKUP(A1801,Ingreso!K:P,6,FALSE)</f>
        <v>#N/A</v>
      </c>
      <c r="E1801" s="142" t="e">
        <f>(VLOOKUP(D1801,$D$2:$E$4,2,FALSE))-(IF('Informe Kelly'!H1795=$A$2,'Informe Kelly'!F1795,VLOOKUP(D1801,$D$2:$E$4,2,FALSE)))</f>
        <v>#N/A</v>
      </c>
      <c r="F1801" s="142" t="e">
        <f>IF('Informe Kelly'!H1795=$A$3,'Informe Kelly'!F1795,VLOOKUP(D1801,$D$2:$F$4,3,FALSE))-(VLOOKUP(D1801,$D$2:$F$4,3,FALSE))</f>
        <v>#N/A</v>
      </c>
      <c r="G1801" s="137" t="e">
        <f t="shared" ref="G1801:G1864" si="32">IF(E1801="",IF(F1801&lt;0.0409722222222222,0,E1801),IF(E1801&lt;0.0409722222222222,0,E1801))</f>
        <v>#N/A</v>
      </c>
    </row>
    <row r="1802" spans="1:7">
      <c r="A1802" s="112" t="str">
        <f>VLOOKUP('Informe Kelly'!A1796,Base!A:B,2,FALSE)</f>
        <v>14.277.186-1</v>
      </c>
      <c r="B1802" s="112" t="str">
        <f>VLOOKUP('Informe Kelly'!A1796,Base!A:G,7,FALSE)</f>
        <v>SANHUEZA SOTO ALEJANDRO</v>
      </c>
      <c r="C1802" s="112" t="str">
        <f>'Informe Kelly'!E1796</f>
        <v>05.04.2011</v>
      </c>
      <c r="D1802" s="112" t="e">
        <f>VLOOKUP(A1802,Ingreso!K:P,6,FALSE)</f>
        <v>#N/A</v>
      </c>
      <c r="E1802" s="142" t="e">
        <f>(VLOOKUP(D1802,$D$2:$E$4,2,FALSE))-(IF('Informe Kelly'!H1796=$A$2,'Informe Kelly'!F1796,VLOOKUP(D1802,$D$2:$E$4,2,FALSE)))</f>
        <v>#N/A</v>
      </c>
      <c r="F1802" s="142" t="e">
        <f>IF('Informe Kelly'!H1796=$A$3,'Informe Kelly'!F1796,VLOOKUP(D1802,$D$2:$F$4,3,FALSE))-(VLOOKUP(D1802,$D$2:$F$4,3,FALSE))</f>
        <v>#N/A</v>
      </c>
      <c r="G1802" s="137" t="e">
        <f t="shared" si="32"/>
        <v>#N/A</v>
      </c>
    </row>
    <row r="1803" spans="1:7">
      <c r="A1803" s="112" t="str">
        <f>VLOOKUP('Informe Kelly'!A1797,Base!A:B,2,FALSE)</f>
        <v>14.277.186-1</v>
      </c>
      <c r="B1803" s="112" t="str">
        <f>VLOOKUP('Informe Kelly'!A1797,Base!A:G,7,FALSE)</f>
        <v>SANHUEZA SOTO ALEJANDRO</v>
      </c>
      <c r="C1803" s="112" t="str">
        <f>'Informe Kelly'!E1797</f>
        <v>06.04.2011</v>
      </c>
      <c r="D1803" s="112" t="e">
        <f>VLOOKUP(A1803,Ingreso!K:P,6,FALSE)</f>
        <v>#N/A</v>
      </c>
      <c r="E1803" s="142" t="e">
        <f>(VLOOKUP(D1803,$D$2:$E$4,2,FALSE))-(IF('Informe Kelly'!H1797=$A$2,'Informe Kelly'!F1797,VLOOKUP(D1803,$D$2:$E$4,2,FALSE)))</f>
        <v>#N/A</v>
      </c>
      <c r="F1803" s="142" t="e">
        <f>IF('Informe Kelly'!H1797=$A$3,'Informe Kelly'!F1797,VLOOKUP(D1803,$D$2:$F$4,3,FALSE))-(VLOOKUP(D1803,$D$2:$F$4,3,FALSE))</f>
        <v>#N/A</v>
      </c>
      <c r="G1803" s="137" t="e">
        <f t="shared" si="32"/>
        <v>#N/A</v>
      </c>
    </row>
    <row r="1804" spans="1:7">
      <c r="A1804" s="112" t="str">
        <f>VLOOKUP('Informe Kelly'!A1798,Base!A:B,2,FALSE)</f>
        <v>14.277.186-1</v>
      </c>
      <c r="B1804" s="112" t="str">
        <f>VLOOKUP('Informe Kelly'!A1798,Base!A:G,7,FALSE)</f>
        <v>SANHUEZA SOTO ALEJANDRO</v>
      </c>
      <c r="C1804" s="112" t="str">
        <f>'Informe Kelly'!E1798</f>
        <v>06.04.2011</v>
      </c>
      <c r="D1804" s="112" t="e">
        <f>VLOOKUP(A1804,Ingreso!K:P,6,FALSE)</f>
        <v>#N/A</v>
      </c>
      <c r="E1804" s="142" t="e">
        <f>(VLOOKUP(D1804,$D$2:$E$4,2,FALSE))-(IF('Informe Kelly'!H1798=$A$2,'Informe Kelly'!F1798,VLOOKUP(D1804,$D$2:$E$4,2,FALSE)))</f>
        <v>#N/A</v>
      </c>
      <c r="F1804" s="142" t="e">
        <f>IF('Informe Kelly'!H1798=$A$3,'Informe Kelly'!F1798,VLOOKUP(D1804,$D$2:$F$4,3,FALSE))-(VLOOKUP(D1804,$D$2:$F$4,3,FALSE))</f>
        <v>#N/A</v>
      </c>
      <c r="G1804" s="137" t="e">
        <f t="shared" si="32"/>
        <v>#N/A</v>
      </c>
    </row>
    <row r="1805" spans="1:7">
      <c r="A1805" s="112" t="str">
        <f>VLOOKUP('Informe Kelly'!A1799,Base!A:B,2,FALSE)</f>
        <v>14.277.186-1</v>
      </c>
      <c r="B1805" s="112" t="str">
        <f>VLOOKUP('Informe Kelly'!A1799,Base!A:G,7,FALSE)</f>
        <v>SANHUEZA SOTO ALEJANDRO</v>
      </c>
      <c r="C1805" s="112" t="str">
        <f>'Informe Kelly'!E1799</f>
        <v>07.04.2011</v>
      </c>
      <c r="D1805" s="112" t="e">
        <f>VLOOKUP(A1805,Ingreso!K:P,6,FALSE)</f>
        <v>#N/A</v>
      </c>
      <c r="E1805" s="142" t="e">
        <f>(VLOOKUP(D1805,$D$2:$E$4,2,FALSE))-(IF('Informe Kelly'!H1799=$A$2,'Informe Kelly'!F1799,VLOOKUP(D1805,$D$2:$E$4,2,FALSE)))</f>
        <v>#N/A</v>
      </c>
      <c r="F1805" s="142" t="e">
        <f>IF('Informe Kelly'!H1799=$A$3,'Informe Kelly'!F1799,VLOOKUP(D1805,$D$2:$F$4,3,FALSE))-(VLOOKUP(D1805,$D$2:$F$4,3,FALSE))</f>
        <v>#N/A</v>
      </c>
      <c r="G1805" s="137" t="e">
        <f t="shared" si="32"/>
        <v>#N/A</v>
      </c>
    </row>
    <row r="1806" spans="1:7">
      <c r="A1806" s="112" t="str">
        <f>VLOOKUP('Informe Kelly'!A1800,Base!A:B,2,FALSE)</f>
        <v>14.277.186-1</v>
      </c>
      <c r="B1806" s="112" t="str">
        <f>VLOOKUP('Informe Kelly'!A1800,Base!A:G,7,FALSE)</f>
        <v>SANHUEZA SOTO ALEJANDRO</v>
      </c>
      <c r="C1806" s="112" t="str">
        <f>'Informe Kelly'!E1800</f>
        <v>07.04.2011</v>
      </c>
      <c r="D1806" s="112" t="e">
        <f>VLOOKUP(A1806,Ingreso!K:P,6,FALSE)</f>
        <v>#N/A</v>
      </c>
      <c r="E1806" s="142" t="e">
        <f>(VLOOKUP(D1806,$D$2:$E$4,2,FALSE))-(IF('Informe Kelly'!H1800=$A$2,'Informe Kelly'!F1800,VLOOKUP(D1806,$D$2:$E$4,2,FALSE)))</f>
        <v>#N/A</v>
      </c>
      <c r="F1806" s="142" t="e">
        <f>IF('Informe Kelly'!H1800=$A$3,'Informe Kelly'!F1800,VLOOKUP(D1806,$D$2:$F$4,3,FALSE))-(VLOOKUP(D1806,$D$2:$F$4,3,FALSE))</f>
        <v>#N/A</v>
      </c>
      <c r="G1806" s="137" t="e">
        <f t="shared" si="32"/>
        <v>#N/A</v>
      </c>
    </row>
    <row r="1807" spans="1:7">
      <c r="A1807" s="112" t="str">
        <f>VLOOKUP('Informe Kelly'!A1801,Base!A:B,2,FALSE)</f>
        <v>14.277.186-1</v>
      </c>
      <c r="B1807" s="112" t="str">
        <f>VLOOKUP('Informe Kelly'!A1801,Base!A:G,7,FALSE)</f>
        <v>SANHUEZA SOTO ALEJANDRO</v>
      </c>
      <c r="C1807" s="112" t="str">
        <f>'Informe Kelly'!E1801</f>
        <v>08.04.2011</v>
      </c>
      <c r="D1807" s="112" t="e">
        <f>VLOOKUP(A1807,Ingreso!K:P,6,FALSE)</f>
        <v>#N/A</v>
      </c>
      <c r="E1807" s="142" t="e">
        <f>(VLOOKUP(D1807,$D$2:$E$4,2,FALSE))-(IF('Informe Kelly'!H1801=$A$2,'Informe Kelly'!F1801,VLOOKUP(D1807,$D$2:$E$4,2,FALSE)))</f>
        <v>#N/A</v>
      </c>
      <c r="F1807" s="142" t="e">
        <f>IF('Informe Kelly'!H1801=$A$3,'Informe Kelly'!F1801,VLOOKUP(D1807,$D$2:$F$4,3,FALSE))-(VLOOKUP(D1807,$D$2:$F$4,3,FALSE))</f>
        <v>#N/A</v>
      </c>
      <c r="G1807" s="137" t="e">
        <f t="shared" si="32"/>
        <v>#N/A</v>
      </c>
    </row>
    <row r="1808" spans="1:7">
      <c r="A1808" s="112" t="str">
        <f>VLOOKUP('Informe Kelly'!A1802,Base!A:B,2,FALSE)</f>
        <v>14.277.186-1</v>
      </c>
      <c r="B1808" s="112" t="str">
        <f>VLOOKUP('Informe Kelly'!A1802,Base!A:G,7,FALSE)</f>
        <v>SANHUEZA SOTO ALEJANDRO</v>
      </c>
      <c r="C1808" s="112" t="str">
        <f>'Informe Kelly'!E1802</f>
        <v>08.04.2011</v>
      </c>
      <c r="D1808" s="112" t="e">
        <f>VLOOKUP(A1808,Ingreso!K:P,6,FALSE)</f>
        <v>#N/A</v>
      </c>
      <c r="E1808" s="142" t="e">
        <f>(VLOOKUP(D1808,$D$2:$E$4,2,FALSE))-(IF('Informe Kelly'!H1802=$A$2,'Informe Kelly'!F1802,VLOOKUP(D1808,$D$2:$E$4,2,FALSE)))</f>
        <v>#N/A</v>
      </c>
      <c r="F1808" s="142" t="e">
        <f>IF('Informe Kelly'!H1802=$A$3,'Informe Kelly'!F1802,VLOOKUP(D1808,$D$2:$F$4,3,FALSE))-(VLOOKUP(D1808,$D$2:$F$4,3,FALSE))</f>
        <v>#N/A</v>
      </c>
      <c r="G1808" s="137" t="e">
        <f t="shared" si="32"/>
        <v>#N/A</v>
      </c>
    </row>
    <row r="1809" spans="1:7">
      <c r="A1809" s="112" t="str">
        <f>VLOOKUP('Informe Kelly'!A1803,Base!A:B,2,FALSE)</f>
        <v>14.277.186-1</v>
      </c>
      <c r="B1809" s="112" t="str">
        <f>VLOOKUP('Informe Kelly'!A1803,Base!A:G,7,FALSE)</f>
        <v>SANHUEZA SOTO ALEJANDRO</v>
      </c>
      <c r="C1809" s="112" t="str">
        <f>'Informe Kelly'!E1803</f>
        <v>08.04.2011</v>
      </c>
      <c r="D1809" s="112" t="e">
        <f>VLOOKUP(A1809,Ingreso!K:P,6,FALSE)</f>
        <v>#N/A</v>
      </c>
      <c r="E1809" s="142" t="e">
        <f>(VLOOKUP(D1809,$D$2:$E$4,2,FALSE))-(IF('Informe Kelly'!H1803=$A$2,'Informe Kelly'!F1803,VLOOKUP(D1809,$D$2:$E$4,2,FALSE)))</f>
        <v>#N/A</v>
      </c>
      <c r="F1809" s="142" t="e">
        <f>IF('Informe Kelly'!H1803=$A$3,'Informe Kelly'!F1803,VLOOKUP(D1809,$D$2:$F$4,3,FALSE))-(VLOOKUP(D1809,$D$2:$F$4,3,FALSE))</f>
        <v>#N/A</v>
      </c>
      <c r="G1809" s="137" t="e">
        <f t="shared" si="32"/>
        <v>#N/A</v>
      </c>
    </row>
    <row r="1810" spans="1:7">
      <c r="A1810" s="112" t="str">
        <f>VLOOKUP('Informe Kelly'!A1804,Base!A:B,2,FALSE)</f>
        <v>14.277.186-1</v>
      </c>
      <c r="B1810" s="112" t="str">
        <f>VLOOKUP('Informe Kelly'!A1804,Base!A:G,7,FALSE)</f>
        <v>SANHUEZA SOTO ALEJANDRO</v>
      </c>
      <c r="C1810" s="112" t="str">
        <f>'Informe Kelly'!E1804</f>
        <v>09.04.2011</v>
      </c>
      <c r="D1810" s="112" t="e">
        <f>VLOOKUP(A1810,Ingreso!K:P,6,FALSE)</f>
        <v>#N/A</v>
      </c>
      <c r="E1810" s="142" t="e">
        <f>(VLOOKUP(D1810,$D$2:$E$4,2,FALSE))-(IF('Informe Kelly'!H1804=$A$2,'Informe Kelly'!F1804,VLOOKUP(D1810,$D$2:$E$4,2,FALSE)))</f>
        <v>#N/A</v>
      </c>
      <c r="F1810" s="142" t="e">
        <f>IF('Informe Kelly'!H1804=$A$3,'Informe Kelly'!F1804,VLOOKUP(D1810,$D$2:$F$4,3,FALSE))-(VLOOKUP(D1810,$D$2:$F$4,3,FALSE))</f>
        <v>#N/A</v>
      </c>
      <c r="G1810" s="137" t="e">
        <f t="shared" si="32"/>
        <v>#N/A</v>
      </c>
    </row>
    <row r="1811" spans="1:7">
      <c r="A1811" s="112" t="str">
        <f>VLOOKUP('Informe Kelly'!A1805,Base!A:B,2,FALSE)</f>
        <v>14.307.619-9</v>
      </c>
      <c r="B1811" s="112" t="str">
        <f>VLOOKUP('Informe Kelly'!A1805,Base!A:G,7,FALSE)</f>
        <v>BERRIOS  LOPEZ,LUIS ROBERTO</v>
      </c>
      <c r="C1811" s="112" t="str">
        <f>'Informe Kelly'!E1805</f>
        <v>04.04.2011</v>
      </c>
      <c r="D1811" s="112" t="e">
        <f>VLOOKUP(A1811,Ingreso!K:P,6,FALSE)</f>
        <v>#N/A</v>
      </c>
      <c r="E1811" s="142" t="e">
        <f>(VLOOKUP(D1811,$D$2:$E$4,2,FALSE))-(IF('Informe Kelly'!H1805=$A$2,'Informe Kelly'!F1805,VLOOKUP(D1811,$D$2:$E$4,2,FALSE)))</f>
        <v>#N/A</v>
      </c>
      <c r="F1811" s="142" t="e">
        <f>IF('Informe Kelly'!H1805=$A$3,'Informe Kelly'!F1805,VLOOKUP(D1811,$D$2:$F$4,3,FALSE))-(VLOOKUP(D1811,$D$2:$F$4,3,FALSE))</f>
        <v>#N/A</v>
      </c>
      <c r="G1811" s="137" t="e">
        <f t="shared" si="32"/>
        <v>#N/A</v>
      </c>
    </row>
    <row r="1812" spans="1:7">
      <c r="A1812" s="112" t="str">
        <f>VLOOKUP('Informe Kelly'!A1806,Base!A:B,2,FALSE)</f>
        <v>14.307.619-9</v>
      </c>
      <c r="B1812" s="112" t="str">
        <f>VLOOKUP('Informe Kelly'!A1806,Base!A:G,7,FALSE)</f>
        <v>BERRIOS  LOPEZ,LUIS ROBERTO</v>
      </c>
      <c r="C1812" s="112" t="str">
        <f>'Informe Kelly'!E1806</f>
        <v>04.04.2011</v>
      </c>
      <c r="D1812" s="112" t="e">
        <f>VLOOKUP(A1812,Ingreso!K:P,6,FALSE)</f>
        <v>#N/A</v>
      </c>
      <c r="E1812" s="142" t="e">
        <f>(VLOOKUP(D1812,$D$2:$E$4,2,FALSE))-(IF('Informe Kelly'!H1806=$A$2,'Informe Kelly'!F1806,VLOOKUP(D1812,$D$2:$E$4,2,FALSE)))</f>
        <v>#N/A</v>
      </c>
      <c r="F1812" s="142" t="e">
        <f>IF('Informe Kelly'!H1806=$A$3,'Informe Kelly'!F1806,VLOOKUP(D1812,$D$2:$F$4,3,FALSE))-(VLOOKUP(D1812,$D$2:$F$4,3,FALSE))</f>
        <v>#N/A</v>
      </c>
      <c r="G1812" s="137" t="e">
        <f t="shared" si="32"/>
        <v>#N/A</v>
      </c>
    </row>
    <row r="1813" spans="1:7">
      <c r="A1813" s="112" t="str">
        <f>VLOOKUP('Informe Kelly'!A1807,Base!A:B,2,FALSE)</f>
        <v>14.307.619-9</v>
      </c>
      <c r="B1813" s="112" t="str">
        <f>VLOOKUP('Informe Kelly'!A1807,Base!A:G,7,FALSE)</f>
        <v>BERRIOS  LOPEZ,LUIS ROBERTO</v>
      </c>
      <c r="C1813" s="112" t="str">
        <f>'Informe Kelly'!E1807</f>
        <v>05.04.2011</v>
      </c>
      <c r="D1813" s="112" t="e">
        <f>VLOOKUP(A1813,Ingreso!K:P,6,FALSE)</f>
        <v>#N/A</v>
      </c>
      <c r="E1813" s="142" t="e">
        <f>(VLOOKUP(D1813,$D$2:$E$4,2,FALSE))-(IF('Informe Kelly'!H1807=$A$2,'Informe Kelly'!F1807,VLOOKUP(D1813,$D$2:$E$4,2,FALSE)))</f>
        <v>#N/A</v>
      </c>
      <c r="F1813" s="142" t="e">
        <f>IF('Informe Kelly'!H1807=$A$3,'Informe Kelly'!F1807,VLOOKUP(D1813,$D$2:$F$4,3,FALSE))-(VLOOKUP(D1813,$D$2:$F$4,3,FALSE))</f>
        <v>#N/A</v>
      </c>
      <c r="G1813" s="137" t="e">
        <f t="shared" si="32"/>
        <v>#N/A</v>
      </c>
    </row>
    <row r="1814" spans="1:7">
      <c r="A1814" s="112" t="str">
        <f>VLOOKUP('Informe Kelly'!A1808,Base!A:B,2,FALSE)</f>
        <v>14.307.619-9</v>
      </c>
      <c r="B1814" s="112" t="str">
        <f>VLOOKUP('Informe Kelly'!A1808,Base!A:G,7,FALSE)</f>
        <v>BERRIOS  LOPEZ,LUIS ROBERTO</v>
      </c>
      <c r="C1814" s="112" t="str">
        <f>'Informe Kelly'!E1808</f>
        <v>05.04.2011</v>
      </c>
      <c r="D1814" s="112" t="e">
        <f>VLOOKUP(A1814,Ingreso!K:P,6,FALSE)</f>
        <v>#N/A</v>
      </c>
      <c r="E1814" s="142" t="e">
        <f>(VLOOKUP(D1814,$D$2:$E$4,2,FALSE))-(IF('Informe Kelly'!H1808=$A$2,'Informe Kelly'!F1808,VLOOKUP(D1814,$D$2:$E$4,2,FALSE)))</f>
        <v>#N/A</v>
      </c>
      <c r="F1814" s="142" t="e">
        <f>IF('Informe Kelly'!H1808=$A$3,'Informe Kelly'!F1808,VLOOKUP(D1814,$D$2:$F$4,3,FALSE))-(VLOOKUP(D1814,$D$2:$F$4,3,FALSE))</f>
        <v>#N/A</v>
      </c>
      <c r="G1814" s="137" t="e">
        <f t="shared" si="32"/>
        <v>#N/A</v>
      </c>
    </row>
    <row r="1815" spans="1:7">
      <c r="A1815" s="112" t="str">
        <f>VLOOKUP('Informe Kelly'!A1809,Base!A:B,2,FALSE)</f>
        <v>14.307.619-9</v>
      </c>
      <c r="B1815" s="112" t="str">
        <f>VLOOKUP('Informe Kelly'!A1809,Base!A:G,7,FALSE)</f>
        <v>BERRIOS  LOPEZ,LUIS ROBERTO</v>
      </c>
      <c r="C1815" s="112" t="str">
        <f>'Informe Kelly'!E1809</f>
        <v>06.04.2011</v>
      </c>
      <c r="D1815" s="112" t="e">
        <f>VLOOKUP(A1815,Ingreso!K:P,6,FALSE)</f>
        <v>#N/A</v>
      </c>
      <c r="E1815" s="142" t="e">
        <f>(VLOOKUP(D1815,$D$2:$E$4,2,FALSE))-(IF('Informe Kelly'!H1809=$A$2,'Informe Kelly'!F1809,VLOOKUP(D1815,$D$2:$E$4,2,FALSE)))</f>
        <v>#N/A</v>
      </c>
      <c r="F1815" s="142" t="e">
        <f>IF('Informe Kelly'!H1809=$A$3,'Informe Kelly'!F1809,VLOOKUP(D1815,$D$2:$F$4,3,FALSE))-(VLOOKUP(D1815,$D$2:$F$4,3,FALSE))</f>
        <v>#N/A</v>
      </c>
      <c r="G1815" s="137" t="e">
        <f t="shared" si="32"/>
        <v>#N/A</v>
      </c>
    </row>
    <row r="1816" spans="1:7">
      <c r="A1816" s="112" t="str">
        <f>VLOOKUP('Informe Kelly'!A1810,Base!A:B,2,FALSE)</f>
        <v>14.307.619-9</v>
      </c>
      <c r="B1816" s="112" t="str">
        <f>VLOOKUP('Informe Kelly'!A1810,Base!A:G,7,FALSE)</f>
        <v>BERRIOS  LOPEZ,LUIS ROBERTO</v>
      </c>
      <c r="C1816" s="112" t="str">
        <f>'Informe Kelly'!E1810</f>
        <v>06.04.2011</v>
      </c>
      <c r="D1816" s="112" t="e">
        <f>VLOOKUP(A1816,Ingreso!K:P,6,FALSE)</f>
        <v>#N/A</v>
      </c>
      <c r="E1816" s="142" t="e">
        <f>(VLOOKUP(D1816,$D$2:$E$4,2,FALSE))-(IF('Informe Kelly'!H1810=$A$2,'Informe Kelly'!F1810,VLOOKUP(D1816,$D$2:$E$4,2,FALSE)))</f>
        <v>#N/A</v>
      </c>
      <c r="F1816" s="142" t="e">
        <f>IF('Informe Kelly'!H1810=$A$3,'Informe Kelly'!F1810,VLOOKUP(D1816,$D$2:$F$4,3,FALSE))-(VLOOKUP(D1816,$D$2:$F$4,3,FALSE))</f>
        <v>#N/A</v>
      </c>
      <c r="G1816" s="137" t="e">
        <f t="shared" si="32"/>
        <v>#N/A</v>
      </c>
    </row>
    <row r="1817" spans="1:7">
      <c r="A1817" s="112" t="str">
        <f>VLOOKUP('Informe Kelly'!A1811,Base!A:B,2,FALSE)</f>
        <v>14.307.619-9</v>
      </c>
      <c r="B1817" s="112" t="str">
        <f>VLOOKUP('Informe Kelly'!A1811,Base!A:G,7,FALSE)</f>
        <v>BERRIOS  LOPEZ,LUIS ROBERTO</v>
      </c>
      <c r="C1817" s="112" t="str">
        <f>'Informe Kelly'!E1811</f>
        <v>07.04.2011</v>
      </c>
      <c r="D1817" s="112" t="e">
        <f>VLOOKUP(A1817,Ingreso!K:P,6,FALSE)</f>
        <v>#N/A</v>
      </c>
      <c r="E1817" s="142" t="e">
        <f>(VLOOKUP(D1817,$D$2:$E$4,2,FALSE))-(IF('Informe Kelly'!H1811=$A$2,'Informe Kelly'!F1811,VLOOKUP(D1817,$D$2:$E$4,2,FALSE)))</f>
        <v>#N/A</v>
      </c>
      <c r="F1817" s="142" t="e">
        <f>IF('Informe Kelly'!H1811=$A$3,'Informe Kelly'!F1811,VLOOKUP(D1817,$D$2:$F$4,3,FALSE))-(VLOOKUP(D1817,$D$2:$F$4,3,FALSE))</f>
        <v>#N/A</v>
      </c>
      <c r="G1817" s="137" t="e">
        <f t="shared" si="32"/>
        <v>#N/A</v>
      </c>
    </row>
    <row r="1818" spans="1:7">
      <c r="A1818" s="112" t="str">
        <f>VLOOKUP('Informe Kelly'!A1812,Base!A:B,2,FALSE)</f>
        <v>14.307.619-9</v>
      </c>
      <c r="B1818" s="112" t="str">
        <f>VLOOKUP('Informe Kelly'!A1812,Base!A:G,7,FALSE)</f>
        <v>BERRIOS  LOPEZ,LUIS ROBERTO</v>
      </c>
      <c r="C1818" s="112" t="str">
        <f>'Informe Kelly'!E1812</f>
        <v>07.04.2011</v>
      </c>
      <c r="D1818" s="112" t="e">
        <f>VLOOKUP(A1818,Ingreso!K:P,6,FALSE)</f>
        <v>#N/A</v>
      </c>
      <c r="E1818" s="142" t="e">
        <f>(VLOOKUP(D1818,$D$2:$E$4,2,FALSE))-(IF('Informe Kelly'!H1812=$A$2,'Informe Kelly'!F1812,VLOOKUP(D1818,$D$2:$E$4,2,FALSE)))</f>
        <v>#N/A</v>
      </c>
      <c r="F1818" s="142" t="e">
        <f>IF('Informe Kelly'!H1812=$A$3,'Informe Kelly'!F1812,VLOOKUP(D1818,$D$2:$F$4,3,FALSE))-(VLOOKUP(D1818,$D$2:$F$4,3,FALSE))</f>
        <v>#N/A</v>
      </c>
      <c r="G1818" s="137" t="e">
        <f t="shared" si="32"/>
        <v>#N/A</v>
      </c>
    </row>
    <row r="1819" spans="1:7">
      <c r="A1819" s="112" t="str">
        <f>VLOOKUP('Informe Kelly'!A1813,Base!A:B,2,FALSE)</f>
        <v>14.307.619-9</v>
      </c>
      <c r="B1819" s="112" t="str">
        <f>VLOOKUP('Informe Kelly'!A1813,Base!A:G,7,FALSE)</f>
        <v>BERRIOS  LOPEZ,LUIS ROBERTO</v>
      </c>
      <c r="C1819" s="112" t="str">
        <f>'Informe Kelly'!E1813</f>
        <v>08.04.2011</v>
      </c>
      <c r="D1819" s="112" t="e">
        <f>VLOOKUP(A1819,Ingreso!K:P,6,FALSE)</f>
        <v>#N/A</v>
      </c>
      <c r="E1819" s="142" t="e">
        <f>(VLOOKUP(D1819,$D$2:$E$4,2,FALSE))-(IF('Informe Kelly'!H1813=$A$2,'Informe Kelly'!F1813,VLOOKUP(D1819,$D$2:$E$4,2,FALSE)))</f>
        <v>#N/A</v>
      </c>
      <c r="F1819" s="142" t="e">
        <f>IF('Informe Kelly'!H1813=$A$3,'Informe Kelly'!F1813,VLOOKUP(D1819,$D$2:$F$4,3,FALSE))-(VLOOKUP(D1819,$D$2:$F$4,3,FALSE))</f>
        <v>#N/A</v>
      </c>
      <c r="G1819" s="137" t="e">
        <f t="shared" si="32"/>
        <v>#N/A</v>
      </c>
    </row>
    <row r="1820" spans="1:7">
      <c r="A1820" s="112" t="str">
        <f>VLOOKUP('Informe Kelly'!A1814,Base!A:B,2,FALSE)</f>
        <v>14.307.619-9</v>
      </c>
      <c r="B1820" s="112" t="str">
        <f>VLOOKUP('Informe Kelly'!A1814,Base!A:G,7,FALSE)</f>
        <v>BERRIOS  LOPEZ,LUIS ROBERTO</v>
      </c>
      <c r="C1820" s="112" t="str">
        <f>'Informe Kelly'!E1814</f>
        <v>08.04.2011</v>
      </c>
      <c r="D1820" s="112" t="e">
        <f>VLOOKUP(A1820,Ingreso!K:P,6,FALSE)</f>
        <v>#N/A</v>
      </c>
      <c r="E1820" s="142" t="e">
        <f>(VLOOKUP(D1820,$D$2:$E$4,2,FALSE))-(IF('Informe Kelly'!H1814=$A$2,'Informe Kelly'!F1814,VLOOKUP(D1820,$D$2:$E$4,2,FALSE)))</f>
        <v>#N/A</v>
      </c>
      <c r="F1820" s="142" t="e">
        <f>IF('Informe Kelly'!H1814=$A$3,'Informe Kelly'!F1814,VLOOKUP(D1820,$D$2:$F$4,3,FALSE))-(VLOOKUP(D1820,$D$2:$F$4,3,FALSE))</f>
        <v>#N/A</v>
      </c>
      <c r="G1820" s="137" t="e">
        <f t="shared" si="32"/>
        <v>#N/A</v>
      </c>
    </row>
    <row r="1821" spans="1:7">
      <c r="A1821" s="112" t="str">
        <f>VLOOKUP('Informe Kelly'!A1815,Base!A:B,2,FALSE)</f>
        <v>14.307.619-9</v>
      </c>
      <c r="B1821" s="112" t="str">
        <f>VLOOKUP('Informe Kelly'!A1815,Base!A:G,7,FALSE)</f>
        <v>BERRIOS  LOPEZ,LUIS ROBERTO</v>
      </c>
      <c r="C1821" s="112" t="str">
        <f>'Informe Kelly'!E1815</f>
        <v>09.04.2011</v>
      </c>
      <c r="D1821" s="112" t="e">
        <f>VLOOKUP(A1821,Ingreso!K:P,6,FALSE)</f>
        <v>#N/A</v>
      </c>
      <c r="E1821" s="142" t="e">
        <f>(VLOOKUP(D1821,$D$2:$E$4,2,FALSE))-(IF('Informe Kelly'!H1815=$A$2,'Informe Kelly'!F1815,VLOOKUP(D1821,$D$2:$E$4,2,FALSE)))</f>
        <v>#N/A</v>
      </c>
      <c r="F1821" s="142" t="e">
        <f>IF('Informe Kelly'!H1815=$A$3,'Informe Kelly'!F1815,VLOOKUP(D1821,$D$2:$F$4,3,FALSE))-(VLOOKUP(D1821,$D$2:$F$4,3,FALSE))</f>
        <v>#N/A</v>
      </c>
      <c r="G1821" s="137" t="e">
        <f t="shared" si="32"/>
        <v>#N/A</v>
      </c>
    </row>
    <row r="1822" spans="1:7">
      <c r="A1822" s="112" t="str">
        <f>VLOOKUP('Informe Kelly'!A1816,Base!A:B,2,FALSE)</f>
        <v>14.307.619-9</v>
      </c>
      <c r="B1822" s="112" t="str">
        <f>VLOOKUP('Informe Kelly'!A1816,Base!A:G,7,FALSE)</f>
        <v>BERRIOS  LOPEZ,LUIS ROBERTO</v>
      </c>
      <c r="C1822" s="112" t="str">
        <f>'Informe Kelly'!E1816</f>
        <v>09.04.2011</v>
      </c>
      <c r="D1822" s="112" t="e">
        <f>VLOOKUP(A1822,Ingreso!K:P,6,FALSE)</f>
        <v>#N/A</v>
      </c>
      <c r="E1822" s="142" t="e">
        <f>(VLOOKUP(D1822,$D$2:$E$4,2,FALSE))-(IF('Informe Kelly'!H1816=$A$2,'Informe Kelly'!F1816,VLOOKUP(D1822,$D$2:$E$4,2,FALSE)))</f>
        <v>#N/A</v>
      </c>
      <c r="F1822" s="142" t="e">
        <f>IF('Informe Kelly'!H1816=$A$3,'Informe Kelly'!F1816,VLOOKUP(D1822,$D$2:$F$4,3,FALSE))-(VLOOKUP(D1822,$D$2:$F$4,3,FALSE))</f>
        <v>#N/A</v>
      </c>
      <c r="G1822" s="137" t="e">
        <f t="shared" si="32"/>
        <v>#N/A</v>
      </c>
    </row>
    <row r="1823" spans="1:7">
      <c r="A1823" s="112" t="str">
        <f>VLOOKUP('Informe Kelly'!A1817,Base!A:B,2,FALSE)</f>
        <v>14.336.328-7</v>
      </c>
      <c r="B1823" s="112" t="str">
        <f>VLOOKUP('Informe Kelly'!A1817,Base!A:G,7,FALSE)</f>
        <v>DURAN  HENRIQUEZ,HECTOR MANUEL</v>
      </c>
      <c r="C1823" s="112" t="str">
        <f>'Informe Kelly'!E1817</f>
        <v>04.04.2011</v>
      </c>
      <c r="D1823" s="112" t="e">
        <f>VLOOKUP(A1823,Ingreso!K:P,6,FALSE)</f>
        <v>#N/A</v>
      </c>
      <c r="E1823" s="142" t="e">
        <f>(VLOOKUP(D1823,$D$2:$E$4,2,FALSE))-(IF('Informe Kelly'!H1817=$A$2,'Informe Kelly'!F1817,VLOOKUP(D1823,$D$2:$E$4,2,FALSE)))</f>
        <v>#N/A</v>
      </c>
      <c r="F1823" s="142" t="e">
        <f>IF('Informe Kelly'!H1817=$A$3,'Informe Kelly'!F1817,VLOOKUP(D1823,$D$2:$F$4,3,FALSE))-(VLOOKUP(D1823,$D$2:$F$4,3,FALSE))</f>
        <v>#N/A</v>
      </c>
      <c r="G1823" s="137" t="e">
        <f t="shared" si="32"/>
        <v>#N/A</v>
      </c>
    </row>
    <row r="1824" spans="1:7">
      <c r="A1824" s="112" t="str">
        <f>VLOOKUP('Informe Kelly'!A1818,Base!A:B,2,FALSE)</f>
        <v>14.336.328-7</v>
      </c>
      <c r="B1824" s="112" t="str">
        <f>VLOOKUP('Informe Kelly'!A1818,Base!A:G,7,FALSE)</f>
        <v>DURAN  HENRIQUEZ,HECTOR MANUEL</v>
      </c>
      <c r="C1824" s="112" t="str">
        <f>'Informe Kelly'!E1818</f>
        <v>04.04.2011</v>
      </c>
      <c r="D1824" s="112" t="e">
        <f>VLOOKUP(A1824,Ingreso!K:P,6,FALSE)</f>
        <v>#N/A</v>
      </c>
      <c r="E1824" s="142" t="e">
        <f>(VLOOKUP(D1824,$D$2:$E$4,2,FALSE))-(IF('Informe Kelly'!H1818=$A$2,'Informe Kelly'!F1818,VLOOKUP(D1824,$D$2:$E$4,2,FALSE)))</f>
        <v>#N/A</v>
      </c>
      <c r="F1824" s="142" t="e">
        <f>IF('Informe Kelly'!H1818=$A$3,'Informe Kelly'!F1818,VLOOKUP(D1824,$D$2:$F$4,3,FALSE))-(VLOOKUP(D1824,$D$2:$F$4,3,FALSE))</f>
        <v>#N/A</v>
      </c>
      <c r="G1824" s="137" t="e">
        <f t="shared" si="32"/>
        <v>#N/A</v>
      </c>
    </row>
    <row r="1825" spans="1:7">
      <c r="A1825" s="112" t="str">
        <f>VLOOKUP('Informe Kelly'!A1819,Base!A:B,2,FALSE)</f>
        <v>14.336.328-7</v>
      </c>
      <c r="B1825" s="112" t="str">
        <f>VLOOKUP('Informe Kelly'!A1819,Base!A:G,7,FALSE)</f>
        <v>DURAN  HENRIQUEZ,HECTOR MANUEL</v>
      </c>
      <c r="C1825" s="112" t="str">
        <f>'Informe Kelly'!E1819</f>
        <v>05.04.2011</v>
      </c>
      <c r="D1825" s="112" t="e">
        <f>VLOOKUP(A1825,Ingreso!K:P,6,FALSE)</f>
        <v>#N/A</v>
      </c>
      <c r="E1825" s="142" t="e">
        <f>(VLOOKUP(D1825,$D$2:$E$4,2,FALSE))-(IF('Informe Kelly'!H1819=$A$2,'Informe Kelly'!F1819,VLOOKUP(D1825,$D$2:$E$4,2,FALSE)))</f>
        <v>#N/A</v>
      </c>
      <c r="F1825" s="142" t="e">
        <f>IF('Informe Kelly'!H1819=$A$3,'Informe Kelly'!F1819,VLOOKUP(D1825,$D$2:$F$4,3,FALSE))-(VLOOKUP(D1825,$D$2:$F$4,3,FALSE))</f>
        <v>#N/A</v>
      </c>
      <c r="G1825" s="137" t="e">
        <f t="shared" si="32"/>
        <v>#N/A</v>
      </c>
    </row>
    <row r="1826" spans="1:7">
      <c r="A1826" s="112" t="str">
        <f>VLOOKUP('Informe Kelly'!A1820,Base!A:B,2,FALSE)</f>
        <v>14.336.328-7</v>
      </c>
      <c r="B1826" s="112" t="str">
        <f>VLOOKUP('Informe Kelly'!A1820,Base!A:G,7,FALSE)</f>
        <v>DURAN  HENRIQUEZ,HECTOR MANUEL</v>
      </c>
      <c r="C1826" s="112" t="str">
        <f>'Informe Kelly'!E1820</f>
        <v>05.04.2011</v>
      </c>
      <c r="D1826" s="112" t="e">
        <f>VLOOKUP(A1826,Ingreso!K:P,6,FALSE)</f>
        <v>#N/A</v>
      </c>
      <c r="E1826" s="142" t="e">
        <f>(VLOOKUP(D1826,$D$2:$E$4,2,FALSE))-(IF('Informe Kelly'!H1820=$A$2,'Informe Kelly'!F1820,VLOOKUP(D1826,$D$2:$E$4,2,FALSE)))</f>
        <v>#N/A</v>
      </c>
      <c r="F1826" s="142" t="e">
        <f>IF('Informe Kelly'!H1820=$A$3,'Informe Kelly'!F1820,VLOOKUP(D1826,$D$2:$F$4,3,FALSE))-(VLOOKUP(D1826,$D$2:$F$4,3,FALSE))</f>
        <v>#N/A</v>
      </c>
      <c r="G1826" s="137" t="e">
        <f t="shared" si="32"/>
        <v>#N/A</v>
      </c>
    </row>
    <row r="1827" spans="1:7">
      <c r="A1827" s="112" t="str">
        <f>VLOOKUP('Informe Kelly'!A1821,Base!A:B,2,FALSE)</f>
        <v>14.336.328-7</v>
      </c>
      <c r="B1827" s="112" t="str">
        <f>VLOOKUP('Informe Kelly'!A1821,Base!A:G,7,FALSE)</f>
        <v>DURAN  HENRIQUEZ,HECTOR MANUEL</v>
      </c>
      <c r="C1827" s="112" t="str">
        <f>'Informe Kelly'!E1821</f>
        <v>06.04.2011</v>
      </c>
      <c r="D1827" s="112" t="e">
        <f>VLOOKUP(A1827,Ingreso!K:P,6,FALSE)</f>
        <v>#N/A</v>
      </c>
      <c r="E1827" s="142" t="e">
        <f>(VLOOKUP(D1827,$D$2:$E$4,2,FALSE))-(IF('Informe Kelly'!H1821=$A$2,'Informe Kelly'!F1821,VLOOKUP(D1827,$D$2:$E$4,2,FALSE)))</f>
        <v>#N/A</v>
      </c>
      <c r="F1827" s="142" t="e">
        <f>IF('Informe Kelly'!H1821=$A$3,'Informe Kelly'!F1821,VLOOKUP(D1827,$D$2:$F$4,3,FALSE))-(VLOOKUP(D1827,$D$2:$F$4,3,FALSE))</f>
        <v>#N/A</v>
      </c>
      <c r="G1827" s="137" t="e">
        <f t="shared" si="32"/>
        <v>#N/A</v>
      </c>
    </row>
    <row r="1828" spans="1:7">
      <c r="A1828" s="112" t="str">
        <f>VLOOKUP('Informe Kelly'!A1822,Base!A:B,2,FALSE)</f>
        <v>14.336.328-7</v>
      </c>
      <c r="B1828" s="112" t="str">
        <f>VLOOKUP('Informe Kelly'!A1822,Base!A:G,7,FALSE)</f>
        <v>DURAN  HENRIQUEZ,HECTOR MANUEL</v>
      </c>
      <c r="C1828" s="112" t="str">
        <f>'Informe Kelly'!E1822</f>
        <v>06.04.2011</v>
      </c>
      <c r="D1828" s="112" t="e">
        <f>VLOOKUP(A1828,Ingreso!K:P,6,FALSE)</f>
        <v>#N/A</v>
      </c>
      <c r="E1828" s="142" t="e">
        <f>(VLOOKUP(D1828,$D$2:$E$4,2,FALSE))-(IF('Informe Kelly'!H1822=$A$2,'Informe Kelly'!F1822,VLOOKUP(D1828,$D$2:$E$4,2,FALSE)))</f>
        <v>#N/A</v>
      </c>
      <c r="F1828" s="142" t="e">
        <f>IF('Informe Kelly'!H1822=$A$3,'Informe Kelly'!F1822,VLOOKUP(D1828,$D$2:$F$4,3,FALSE))-(VLOOKUP(D1828,$D$2:$F$4,3,FALSE))</f>
        <v>#N/A</v>
      </c>
      <c r="G1828" s="137" t="e">
        <f t="shared" si="32"/>
        <v>#N/A</v>
      </c>
    </row>
    <row r="1829" spans="1:7">
      <c r="A1829" s="112" t="str">
        <f>VLOOKUP('Informe Kelly'!A1823,Base!A:B,2,FALSE)</f>
        <v>14.336.328-7</v>
      </c>
      <c r="B1829" s="112" t="str">
        <f>VLOOKUP('Informe Kelly'!A1823,Base!A:G,7,FALSE)</f>
        <v>DURAN  HENRIQUEZ,HECTOR MANUEL</v>
      </c>
      <c r="C1829" s="112" t="str">
        <f>'Informe Kelly'!E1823</f>
        <v>07.04.2011</v>
      </c>
      <c r="D1829" s="112" t="e">
        <f>VLOOKUP(A1829,Ingreso!K:P,6,FALSE)</f>
        <v>#N/A</v>
      </c>
      <c r="E1829" s="142" t="e">
        <f>(VLOOKUP(D1829,$D$2:$E$4,2,FALSE))-(IF('Informe Kelly'!H1823=$A$2,'Informe Kelly'!F1823,VLOOKUP(D1829,$D$2:$E$4,2,FALSE)))</f>
        <v>#N/A</v>
      </c>
      <c r="F1829" s="142" t="e">
        <f>IF('Informe Kelly'!H1823=$A$3,'Informe Kelly'!F1823,VLOOKUP(D1829,$D$2:$F$4,3,FALSE))-(VLOOKUP(D1829,$D$2:$F$4,3,FALSE))</f>
        <v>#N/A</v>
      </c>
      <c r="G1829" s="137" t="e">
        <f t="shared" si="32"/>
        <v>#N/A</v>
      </c>
    </row>
    <row r="1830" spans="1:7">
      <c r="A1830" s="112" t="str">
        <f>VLOOKUP('Informe Kelly'!A1824,Base!A:B,2,FALSE)</f>
        <v>14.336.328-7</v>
      </c>
      <c r="B1830" s="112" t="str">
        <f>VLOOKUP('Informe Kelly'!A1824,Base!A:G,7,FALSE)</f>
        <v>DURAN  HENRIQUEZ,HECTOR MANUEL</v>
      </c>
      <c r="C1830" s="112" t="str">
        <f>'Informe Kelly'!E1824</f>
        <v>07.04.2011</v>
      </c>
      <c r="D1830" s="112" t="e">
        <f>VLOOKUP(A1830,Ingreso!K:P,6,FALSE)</f>
        <v>#N/A</v>
      </c>
      <c r="E1830" s="142" t="e">
        <f>(VLOOKUP(D1830,$D$2:$E$4,2,FALSE))-(IF('Informe Kelly'!H1824=$A$2,'Informe Kelly'!F1824,VLOOKUP(D1830,$D$2:$E$4,2,FALSE)))</f>
        <v>#N/A</v>
      </c>
      <c r="F1830" s="142" t="e">
        <f>IF('Informe Kelly'!H1824=$A$3,'Informe Kelly'!F1824,VLOOKUP(D1830,$D$2:$F$4,3,FALSE))-(VLOOKUP(D1830,$D$2:$F$4,3,FALSE))</f>
        <v>#N/A</v>
      </c>
      <c r="G1830" s="137" t="e">
        <f t="shared" si="32"/>
        <v>#N/A</v>
      </c>
    </row>
    <row r="1831" spans="1:7">
      <c r="A1831" s="112" t="str">
        <f>VLOOKUP('Informe Kelly'!A1825,Base!A:B,2,FALSE)</f>
        <v>14.336.328-7</v>
      </c>
      <c r="B1831" s="112" t="str">
        <f>VLOOKUP('Informe Kelly'!A1825,Base!A:G,7,FALSE)</f>
        <v>DURAN  HENRIQUEZ,HECTOR MANUEL</v>
      </c>
      <c r="C1831" s="112" t="str">
        <f>'Informe Kelly'!E1825</f>
        <v>08.04.2011</v>
      </c>
      <c r="D1831" s="112" t="e">
        <f>VLOOKUP(A1831,Ingreso!K:P,6,FALSE)</f>
        <v>#N/A</v>
      </c>
      <c r="E1831" s="142" t="e">
        <f>(VLOOKUP(D1831,$D$2:$E$4,2,FALSE))-(IF('Informe Kelly'!H1825=$A$2,'Informe Kelly'!F1825,VLOOKUP(D1831,$D$2:$E$4,2,FALSE)))</f>
        <v>#N/A</v>
      </c>
      <c r="F1831" s="142" t="e">
        <f>IF('Informe Kelly'!H1825=$A$3,'Informe Kelly'!F1825,VLOOKUP(D1831,$D$2:$F$4,3,FALSE))-(VLOOKUP(D1831,$D$2:$F$4,3,FALSE))</f>
        <v>#N/A</v>
      </c>
      <c r="G1831" s="137" t="e">
        <f t="shared" si="32"/>
        <v>#N/A</v>
      </c>
    </row>
    <row r="1832" spans="1:7">
      <c r="A1832" s="112" t="str">
        <f>VLOOKUP('Informe Kelly'!A1826,Base!A:B,2,FALSE)</f>
        <v>14.336.328-7</v>
      </c>
      <c r="B1832" s="112" t="str">
        <f>VLOOKUP('Informe Kelly'!A1826,Base!A:G,7,FALSE)</f>
        <v>DURAN  HENRIQUEZ,HECTOR MANUEL</v>
      </c>
      <c r="C1832" s="112" t="str">
        <f>'Informe Kelly'!E1826</f>
        <v>08.04.2011</v>
      </c>
      <c r="D1832" s="112" t="e">
        <f>VLOOKUP(A1832,Ingreso!K:P,6,FALSE)</f>
        <v>#N/A</v>
      </c>
      <c r="E1832" s="142" t="e">
        <f>(VLOOKUP(D1832,$D$2:$E$4,2,FALSE))-(IF('Informe Kelly'!H1826=$A$2,'Informe Kelly'!F1826,VLOOKUP(D1832,$D$2:$E$4,2,FALSE)))</f>
        <v>#N/A</v>
      </c>
      <c r="F1832" s="142" t="e">
        <f>IF('Informe Kelly'!H1826=$A$3,'Informe Kelly'!F1826,VLOOKUP(D1832,$D$2:$F$4,3,FALSE))-(VLOOKUP(D1832,$D$2:$F$4,3,FALSE))</f>
        <v>#N/A</v>
      </c>
      <c r="G1832" s="137" t="e">
        <f t="shared" si="32"/>
        <v>#N/A</v>
      </c>
    </row>
    <row r="1833" spans="1:7">
      <c r="A1833" s="112" t="str">
        <f>VLOOKUP('Informe Kelly'!A1827,Base!A:B,2,FALSE)</f>
        <v>14.336.328-7</v>
      </c>
      <c r="B1833" s="112" t="str">
        <f>VLOOKUP('Informe Kelly'!A1827,Base!A:G,7,FALSE)</f>
        <v>DURAN  HENRIQUEZ,HECTOR MANUEL</v>
      </c>
      <c r="C1833" s="112" t="str">
        <f>'Informe Kelly'!E1827</f>
        <v>09.04.2011</v>
      </c>
      <c r="D1833" s="112" t="e">
        <f>VLOOKUP(A1833,Ingreso!K:P,6,FALSE)</f>
        <v>#N/A</v>
      </c>
      <c r="E1833" s="142" t="e">
        <f>(VLOOKUP(D1833,$D$2:$E$4,2,FALSE))-(IF('Informe Kelly'!H1827=$A$2,'Informe Kelly'!F1827,VLOOKUP(D1833,$D$2:$E$4,2,FALSE)))</f>
        <v>#N/A</v>
      </c>
      <c r="F1833" s="142" t="e">
        <f>IF('Informe Kelly'!H1827=$A$3,'Informe Kelly'!F1827,VLOOKUP(D1833,$D$2:$F$4,3,FALSE))-(VLOOKUP(D1833,$D$2:$F$4,3,FALSE))</f>
        <v>#N/A</v>
      </c>
      <c r="G1833" s="137" t="e">
        <f t="shared" si="32"/>
        <v>#N/A</v>
      </c>
    </row>
    <row r="1834" spans="1:7">
      <c r="A1834" s="112" t="str">
        <f>VLOOKUP('Informe Kelly'!A1828,Base!A:B,2,FALSE)</f>
        <v>14.336.328-7</v>
      </c>
      <c r="B1834" s="112" t="str">
        <f>VLOOKUP('Informe Kelly'!A1828,Base!A:G,7,FALSE)</f>
        <v>DURAN  HENRIQUEZ,HECTOR MANUEL</v>
      </c>
      <c r="C1834" s="112" t="str">
        <f>'Informe Kelly'!E1828</f>
        <v>09.04.2011</v>
      </c>
      <c r="D1834" s="112" t="e">
        <f>VLOOKUP(A1834,Ingreso!K:P,6,FALSE)</f>
        <v>#N/A</v>
      </c>
      <c r="E1834" s="142" t="e">
        <f>(VLOOKUP(D1834,$D$2:$E$4,2,FALSE))-(IF('Informe Kelly'!H1828=$A$2,'Informe Kelly'!F1828,VLOOKUP(D1834,$D$2:$E$4,2,FALSE)))</f>
        <v>#N/A</v>
      </c>
      <c r="F1834" s="142" t="e">
        <f>IF('Informe Kelly'!H1828=$A$3,'Informe Kelly'!F1828,VLOOKUP(D1834,$D$2:$F$4,3,FALSE))-(VLOOKUP(D1834,$D$2:$F$4,3,FALSE))</f>
        <v>#N/A</v>
      </c>
      <c r="G1834" s="137" t="e">
        <f t="shared" si="32"/>
        <v>#N/A</v>
      </c>
    </row>
    <row r="1835" spans="1:7">
      <c r="A1835" s="112" t="str">
        <f>VLOOKUP('Informe Kelly'!A1829,Base!A:B,2,FALSE)</f>
        <v>14.336.364-3</v>
      </c>
      <c r="B1835" s="112" t="str">
        <f>VLOOKUP('Informe Kelly'!A1829,Base!A:G,7,FALSE)</f>
        <v>HERRERA PALMA ARIEL</v>
      </c>
      <c r="C1835" s="112" t="str">
        <f>'Informe Kelly'!E1829</f>
        <v>04.04.2011</v>
      </c>
      <c r="D1835" s="112" t="e">
        <f>VLOOKUP(A1835,Ingreso!K:P,6,FALSE)</f>
        <v>#N/A</v>
      </c>
      <c r="E1835" s="142" t="e">
        <f>(VLOOKUP(D1835,$D$2:$E$4,2,FALSE))-(IF('Informe Kelly'!H1829=$A$2,'Informe Kelly'!F1829,VLOOKUP(D1835,$D$2:$E$4,2,FALSE)))</f>
        <v>#N/A</v>
      </c>
      <c r="F1835" s="142" t="e">
        <f>IF('Informe Kelly'!H1829=$A$3,'Informe Kelly'!F1829,VLOOKUP(D1835,$D$2:$F$4,3,FALSE))-(VLOOKUP(D1835,$D$2:$F$4,3,FALSE))</f>
        <v>#N/A</v>
      </c>
      <c r="G1835" s="137" t="e">
        <f t="shared" si="32"/>
        <v>#N/A</v>
      </c>
    </row>
    <row r="1836" spans="1:7">
      <c r="A1836" s="112" t="str">
        <f>VLOOKUP('Informe Kelly'!A1830,Base!A:B,2,FALSE)</f>
        <v>14.336.364-3</v>
      </c>
      <c r="B1836" s="112" t="str">
        <f>VLOOKUP('Informe Kelly'!A1830,Base!A:G,7,FALSE)</f>
        <v>HERRERA PALMA ARIEL</v>
      </c>
      <c r="C1836" s="112" t="str">
        <f>'Informe Kelly'!E1830</f>
        <v>05.04.2011</v>
      </c>
      <c r="D1836" s="112" t="e">
        <f>VLOOKUP(A1836,Ingreso!K:P,6,FALSE)</f>
        <v>#N/A</v>
      </c>
      <c r="E1836" s="142" t="e">
        <f>(VLOOKUP(D1836,$D$2:$E$4,2,FALSE))-(IF('Informe Kelly'!H1830=$A$2,'Informe Kelly'!F1830,VLOOKUP(D1836,$D$2:$E$4,2,FALSE)))</f>
        <v>#N/A</v>
      </c>
      <c r="F1836" s="142" t="e">
        <f>IF('Informe Kelly'!H1830=$A$3,'Informe Kelly'!F1830,VLOOKUP(D1836,$D$2:$F$4,3,FALSE))-(VLOOKUP(D1836,$D$2:$F$4,3,FALSE))</f>
        <v>#N/A</v>
      </c>
      <c r="G1836" s="137" t="e">
        <f t="shared" si="32"/>
        <v>#N/A</v>
      </c>
    </row>
    <row r="1837" spans="1:7">
      <c r="A1837" s="112" t="str">
        <f>VLOOKUP('Informe Kelly'!A1831,Base!A:B,2,FALSE)</f>
        <v>14.336.364-3</v>
      </c>
      <c r="B1837" s="112" t="str">
        <f>VLOOKUP('Informe Kelly'!A1831,Base!A:G,7,FALSE)</f>
        <v>HERRERA PALMA ARIEL</v>
      </c>
      <c r="C1837" s="112" t="str">
        <f>'Informe Kelly'!E1831</f>
        <v>05.04.2011</v>
      </c>
      <c r="D1837" s="112" t="e">
        <f>VLOOKUP(A1837,Ingreso!K:P,6,FALSE)</f>
        <v>#N/A</v>
      </c>
      <c r="E1837" s="142" t="e">
        <f>(VLOOKUP(D1837,$D$2:$E$4,2,FALSE))-(IF('Informe Kelly'!H1831=$A$2,'Informe Kelly'!F1831,VLOOKUP(D1837,$D$2:$E$4,2,FALSE)))</f>
        <v>#N/A</v>
      </c>
      <c r="F1837" s="142" t="e">
        <f>IF('Informe Kelly'!H1831=$A$3,'Informe Kelly'!F1831,VLOOKUP(D1837,$D$2:$F$4,3,FALSE))-(VLOOKUP(D1837,$D$2:$F$4,3,FALSE))</f>
        <v>#N/A</v>
      </c>
      <c r="G1837" s="137" t="e">
        <f t="shared" si="32"/>
        <v>#N/A</v>
      </c>
    </row>
    <row r="1838" spans="1:7">
      <c r="A1838" s="112" t="str">
        <f>VLOOKUP('Informe Kelly'!A1832,Base!A:B,2,FALSE)</f>
        <v>14.336.364-3</v>
      </c>
      <c r="B1838" s="112" t="str">
        <f>VLOOKUP('Informe Kelly'!A1832,Base!A:G,7,FALSE)</f>
        <v>HERRERA PALMA ARIEL</v>
      </c>
      <c r="C1838" s="112" t="str">
        <f>'Informe Kelly'!E1832</f>
        <v>06.04.2011</v>
      </c>
      <c r="D1838" s="112" t="e">
        <f>VLOOKUP(A1838,Ingreso!K:P,6,FALSE)</f>
        <v>#N/A</v>
      </c>
      <c r="E1838" s="142" t="e">
        <f>(VLOOKUP(D1838,$D$2:$E$4,2,FALSE))-(IF('Informe Kelly'!H1832=$A$2,'Informe Kelly'!F1832,VLOOKUP(D1838,$D$2:$E$4,2,FALSE)))</f>
        <v>#N/A</v>
      </c>
      <c r="F1838" s="142" t="e">
        <f>IF('Informe Kelly'!H1832=$A$3,'Informe Kelly'!F1832,VLOOKUP(D1838,$D$2:$F$4,3,FALSE))-(VLOOKUP(D1838,$D$2:$F$4,3,FALSE))</f>
        <v>#N/A</v>
      </c>
      <c r="G1838" s="137" t="e">
        <f t="shared" si="32"/>
        <v>#N/A</v>
      </c>
    </row>
    <row r="1839" spans="1:7">
      <c r="A1839" s="112" t="str">
        <f>VLOOKUP('Informe Kelly'!A1833,Base!A:B,2,FALSE)</f>
        <v>14.336.364-3</v>
      </c>
      <c r="B1839" s="112" t="str">
        <f>VLOOKUP('Informe Kelly'!A1833,Base!A:G,7,FALSE)</f>
        <v>HERRERA PALMA ARIEL</v>
      </c>
      <c r="C1839" s="112" t="str">
        <f>'Informe Kelly'!E1833</f>
        <v>06.04.2011</v>
      </c>
      <c r="D1839" s="112" t="e">
        <f>VLOOKUP(A1839,Ingreso!K:P,6,FALSE)</f>
        <v>#N/A</v>
      </c>
      <c r="E1839" s="142" t="e">
        <f>(VLOOKUP(D1839,$D$2:$E$4,2,FALSE))-(IF('Informe Kelly'!H1833=$A$2,'Informe Kelly'!F1833,VLOOKUP(D1839,$D$2:$E$4,2,FALSE)))</f>
        <v>#N/A</v>
      </c>
      <c r="F1839" s="142" t="e">
        <f>IF('Informe Kelly'!H1833=$A$3,'Informe Kelly'!F1833,VLOOKUP(D1839,$D$2:$F$4,3,FALSE))-(VLOOKUP(D1839,$D$2:$F$4,3,FALSE))</f>
        <v>#N/A</v>
      </c>
      <c r="G1839" s="137" t="e">
        <f t="shared" si="32"/>
        <v>#N/A</v>
      </c>
    </row>
    <row r="1840" spans="1:7">
      <c r="A1840" s="112" t="str">
        <f>VLOOKUP('Informe Kelly'!A1834,Base!A:B,2,FALSE)</f>
        <v>14.336.364-3</v>
      </c>
      <c r="B1840" s="112" t="str">
        <f>VLOOKUP('Informe Kelly'!A1834,Base!A:G,7,FALSE)</f>
        <v>HERRERA PALMA ARIEL</v>
      </c>
      <c r="C1840" s="112" t="str">
        <f>'Informe Kelly'!E1834</f>
        <v>07.04.2011</v>
      </c>
      <c r="D1840" s="112" t="e">
        <f>VLOOKUP(A1840,Ingreso!K:P,6,FALSE)</f>
        <v>#N/A</v>
      </c>
      <c r="E1840" s="142" t="e">
        <f>(VLOOKUP(D1840,$D$2:$E$4,2,FALSE))-(IF('Informe Kelly'!H1834=$A$2,'Informe Kelly'!F1834,VLOOKUP(D1840,$D$2:$E$4,2,FALSE)))</f>
        <v>#N/A</v>
      </c>
      <c r="F1840" s="142" t="e">
        <f>IF('Informe Kelly'!H1834=$A$3,'Informe Kelly'!F1834,VLOOKUP(D1840,$D$2:$F$4,3,FALSE))-(VLOOKUP(D1840,$D$2:$F$4,3,FALSE))</f>
        <v>#N/A</v>
      </c>
      <c r="G1840" s="137" t="e">
        <f t="shared" si="32"/>
        <v>#N/A</v>
      </c>
    </row>
    <row r="1841" spans="1:7">
      <c r="A1841" s="112" t="str">
        <f>VLOOKUP('Informe Kelly'!A1835,Base!A:B,2,FALSE)</f>
        <v>14.336.364-3</v>
      </c>
      <c r="B1841" s="112" t="str">
        <f>VLOOKUP('Informe Kelly'!A1835,Base!A:G,7,FALSE)</f>
        <v>HERRERA PALMA ARIEL</v>
      </c>
      <c r="C1841" s="112" t="str">
        <f>'Informe Kelly'!E1835</f>
        <v>07.04.2011</v>
      </c>
      <c r="D1841" s="112" t="e">
        <f>VLOOKUP(A1841,Ingreso!K:P,6,FALSE)</f>
        <v>#N/A</v>
      </c>
      <c r="E1841" s="142" t="e">
        <f>(VLOOKUP(D1841,$D$2:$E$4,2,FALSE))-(IF('Informe Kelly'!H1835=$A$2,'Informe Kelly'!F1835,VLOOKUP(D1841,$D$2:$E$4,2,FALSE)))</f>
        <v>#N/A</v>
      </c>
      <c r="F1841" s="142" t="e">
        <f>IF('Informe Kelly'!H1835=$A$3,'Informe Kelly'!F1835,VLOOKUP(D1841,$D$2:$F$4,3,FALSE))-(VLOOKUP(D1841,$D$2:$F$4,3,FALSE))</f>
        <v>#N/A</v>
      </c>
      <c r="G1841" s="137" t="e">
        <f t="shared" si="32"/>
        <v>#N/A</v>
      </c>
    </row>
    <row r="1842" spans="1:7">
      <c r="A1842" s="112" t="str">
        <f>VLOOKUP('Informe Kelly'!A1836,Base!A:B,2,FALSE)</f>
        <v>14.336.364-3</v>
      </c>
      <c r="B1842" s="112" t="str">
        <f>VLOOKUP('Informe Kelly'!A1836,Base!A:G,7,FALSE)</f>
        <v>HERRERA PALMA ARIEL</v>
      </c>
      <c r="C1842" s="112" t="str">
        <f>'Informe Kelly'!E1836</f>
        <v>08.04.2011</v>
      </c>
      <c r="D1842" s="112" t="e">
        <f>VLOOKUP(A1842,Ingreso!K:P,6,FALSE)</f>
        <v>#N/A</v>
      </c>
      <c r="E1842" s="142" t="e">
        <f>(VLOOKUP(D1842,$D$2:$E$4,2,FALSE))-(IF('Informe Kelly'!H1836=$A$2,'Informe Kelly'!F1836,VLOOKUP(D1842,$D$2:$E$4,2,FALSE)))</f>
        <v>#N/A</v>
      </c>
      <c r="F1842" s="142" t="e">
        <f>IF('Informe Kelly'!H1836=$A$3,'Informe Kelly'!F1836,VLOOKUP(D1842,$D$2:$F$4,3,FALSE))-(VLOOKUP(D1842,$D$2:$F$4,3,FALSE))</f>
        <v>#N/A</v>
      </c>
      <c r="G1842" s="137" t="e">
        <f t="shared" si="32"/>
        <v>#N/A</v>
      </c>
    </row>
    <row r="1843" spans="1:7">
      <c r="A1843" s="112" t="str">
        <f>VLOOKUP('Informe Kelly'!A1837,Base!A:B,2,FALSE)</f>
        <v>14.336.364-3</v>
      </c>
      <c r="B1843" s="112" t="str">
        <f>VLOOKUP('Informe Kelly'!A1837,Base!A:G,7,FALSE)</f>
        <v>HERRERA PALMA ARIEL</v>
      </c>
      <c r="C1843" s="112" t="str">
        <f>'Informe Kelly'!E1837</f>
        <v>08.04.2011</v>
      </c>
      <c r="D1843" s="112" t="e">
        <f>VLOOKUP(A1843,Ingreso!K:P,6,FALSE)</f>
        <v>#N/A</v>
      </c>
      <c r="E1843" s="142" t="e">
        <f>(VLOOKUP(D1843,$D$2:$E$4,2,FALSE))-(IF('Informe Kelly'!H1837=$A$2,'Informe Kelly'!F1837,VLOOKUP(D1843,$D$2:$E$4,2,FALSE)))</f>
        <v>#N/A</v>
      </c>
      <c r="F1843" s="142" t="e">
        <f>IF('Informe Kelly'!H1837=$A$3,'Informe Kelly'!F1837,VLOOKUP(D1843,$D$2:$F$4,3,FALSE))-(VLOOKUP(D1843,$D$2:$F$4,3,FALSE))</f>
        <v>#N/A</v>
      </c>
      <c r="G1843" s="137" t="e">
        <f t="shared" si="32"/>
        <v>#N/A</v>
      </c>
    </row>
    <row r="1844" spans="1:7">
      <c r="A1844" s="112" t="str">
        <f>VLOOKUP('Informe Kelly'!A1838,Base!A:B,2,FALSE)</f>
        <v>14.336.364-3</v>
      </c>
      <c r="B1844" s="112" t="str">
        <f>VLOOKUP('Informe Kelly'!A1838,Base!A:G,7,FALSE)</f>
        <v>HERRERA PALMA ARIEL</v>
      </c>
      <c r="C1844" s="112" t="str">
        <f>'Informe Kelly'!E1838</f>
        <v>10.04.2011</v>
      </c>
      <c r="D1844" s="112" t="e">
        <f>VLOOKUP(A1844,Ingreso!K:P,6,FALSE)</f>
        <v>#N/A</v>
      </c>
      <c r="E1844" s="142" t="e">
        <f>(VLOOKUP(D1844,$D$2:$E$4,2,FALSE))-(IF('Informe Kelly'!H1838=$A$2,'Informe Kelly'!F1838,VLOOKUP(D1844,$D$2:$E$4,2,FALSE)))</f>
        <v>#N/A</v>
      </c>
      <c r="F1844" s="142" t="e">
        <f>IF('Informe Kelly'!H1838=$A$3,'Informe Kelly'!F1838,VLOOKUP(D1844,$D$2:$F$4,3,FALSE))-(VLOOKUP(D1844,$D$2:$F$4,3,FALSE))</f>
        <v>#N/A</v>
      </c>
      <c r="G1844" s="137" t="e">
        <f t="shared" si="32"/>
        <v>#N/A</v>
      </c>
    </row>
    <row r="1845" spans="1:7">
      <c r="A1845" s="112" t="str">
        <f>VLOOKUP('Informe Kelly'!A1839,Base!A:B,2,FALSE)</f>
        <v>14.383.969-9</v>
      </c>
      <c r="B1845" s="112" t="str">
        <f>VLOOKUP('Informe Kelly'!A1839,Base!A:G,7,FALSE)</f>
        <v>RUBIO GUZMAN AMERICO ANDRES</v>
      </c>
      <c r="C1845" s="112" t="str">
        <f>'Informe Kelly'!E1839</f>
        <v>04.04.2011</v>
      </c>
      <c r="D1845" s="112" t="e">
        <f>VLOOKUP(A1845,Ingreso!K:P,6,FALSE)</f>
        <v>#N/A</v>
      </c>
      <c r="E1845" s="142" t="e">
        <f>(VLOOKUP(D1845,$D$2:$E$4,2,FALSE))-(IF('Informe Kelly'!H1839=$A$2,'Informe Kelly'!F1839,VLOOKUP(D1845,$D$2:$E$4,2,FALSE)))</f>
        <v>#N/A</v>
      </c>
      <c r="F1845" s="142" t="e">
        <f>IF('Informe Kelly'!H1839=$A$3,'Informe Kelly'!F1839,VLOOKUP(D1845,$D$2:$F$4,3,FALSE))-(VLOOKUP(D1845,$D$2:$F$4,3,FALSE))</f>
        <v>#N/A</v>
      </c>
      <c r="G1845" s="137" t="e">
        <f t="shared" si="32"/>
        <v>#N/A</v>
      </c>
    </row>
    <row r="1846" spans="1:7">
      <c r="A1846" s="112" t="str">
        <f>VLOOKUP('Informe Kelly'!A1840,Base!A:B,2,FALSE)</f>
        <v>14.383.969-9</v>
      </c>
      <c r="B1846" s="112" t="str">
        <f>VLOOKUP('Informe Kelly'!A1840,Base!A:G,7,FALSE)</f>
        <v>RUBIO GUZMAN AMERICO ANDRES</v>
      </c>
      <c r="C1846" s="112" t="str">
        <f>'Informe Kelly'!E1840</f>
        <v>05.04.2011</v>
      </c>
      <c r="D1846" s="112" t="e">
        <f>VLOOKUP(A1846,Ingreso!K:P,6,FALSE)</f>
        <v>#N/A</v>
      </c>
      <c r="E1846" s="142" t="e">
        <f>(VLOOKUP(D1846,$D$2:$E$4,2,FALSE))-(IF('Informe Kelly'!H1840=$A$2,'Informe Kelly'!F1840,VLOOKUP(D1846,$D$2:$E$4,2,FALSE)))</f>
        <v>#N/A</v>
      </c>
      <c r="F1846" s="142" t="e">
        <f>IF('Informe Kelly'!H1840=$A$3,'Informe Kelly'!F1840,VLOOKUP(D1846,$D$2:$F$4,3,FALSE))-(VLOOKUP(D1846,$D$2:$F$4,3,FALSE))</f>
        <v>#N/A</v>
      </c>
      <c r="G1846" s="137" t="e">
        <f t="shared" si="32"/>
        <v>#N/A</v>
      </c>
    </row>
    <row r="1847" spans="1:7">
      <c r="A1847" s="112" t="str">
        <f>VLOOKUP('Informe Kelly'!A1841,Base!A:B,2,FALSE)</f>
        <v>14.383.969-9</v>
      </c>
      <c r="B1847" s="112" t="str">
        <f>VLOOKUP('Informe Kelly'!A1841,Base!A:G,7,FALSE)</f>
        <v>RUBIO GUZMAN AMERICO ANDRES</v>
      </c>
      <c r="C1847" s="112" t="str">
        <f>'Informe Kelly'!E1841</f>
        <v>05.04.2011</v>
      </c>
      <c r="D1847" s="112" t="e">
        <f>VLOOKUP(A1847,Ingreso!K:P,6,FALSE)</f>
        <v>#N/A</v>
      </c>
      <c r="E1847" s="142" t="e">
        <f>(VLOOKUP(D1847,$D$2:$E$4,2,FALSE))-(IF('Informe Kelly'!H1841=$A$2,'Informe Kelly'!F1841,VLOOKUP(D1847,$D$2:$E$4,2,FALSE)))</f>
        <v>#N/A</v>
      </c>
      <c r="F1847" s="142" t="e">
        <f>IF('Informe Kelly'!H1841=$A$3,'Informe Kelly'!F1841,VLOOKUP(D1847,$D$2:$F$4,3,FALSE))-(VLOOKUP(D1847,$D$2:$F$4,3,FALSE))</f>
        <v>#N/A</v>
      </c>
      <c r="G1847" s="137" t="e">
        <f t="shared" si="32"/>
        <v>#N/A</v>
      </c>
    </row>
    <row r="1848" spans="1:7">
      <c r="A1848" s="112" t="str">
        <f>VLOOKUP('Informe Kelly'!A1842,Base!A:B,2,FALSE)</f>
        <v>14.383.969-9</v>
      </c>
      <c r="B1848" s="112" t="str">
        <f>VLOOKUP('Informe Kelly'!A1842,Base!A:G,7,FALSE)</f>
        <v>RUBIO GUZMAN AMERICO ANDRES</v>
      </c>
      <c r="C1848" s="112" t="str">
        <f>'Informe Kelly'!E1842</f>
        <v>06.04.2011</v>
      </c>
      <c r="D1848" s="112" t="e">
        <f>VLOOKUP(A1848,Ingreso!K:P,6,FALSE)</f>
        <v>#N/A</v>
      </c>
      <c r="E1848" s="142" t="e">
        <f>(VLOOKUP(D1848,$D$2:$E$4,2,FALSE))-(IF('Informe Kelly'!H1842=$A$2,'Informe Kelly'!F1842,VLOOKUP(D1848,$D$2:$E$4,2,FALSE)))</f>
        <v>#N/A</v>
      </c>
      <c r="F1848" s="142" t="e">
        <f>IF('Informe Kelly'!H1842=$A$3,'Informe Kelly'!F1842,VLOOKUP(D1848,$D$2:$F$4,3,FALSE))-(VLOOKUP(D1848,$D$2:$F$4,3,FALSE))</f>
        <v>#N/A</v>
      </c>
      <c r="G1848" s="137" t="e">
        <f t="shared" si="32"/>
        <v>#N/A</v>
      </c>
    </row>
    <row r="1849" spans="1:7">
      <c r="A1849" s="112" t="str">
        <f>VLOOKUP('Informe Kelly'!A1843,Base!A:B,2,FALSE)</f>
        <v>14.383.969-9</v>
      </c>
      <c r="B1849" s="112" t="str">
        <f>VLOOKUP('Informe Kelly'!A1843,Base!A:G,7,FALSE)</f>
        <v>RUBIO GUZMAN AMERICO ANDRES</v>
      </c>
      <c r="C1849" s="112" t="str">
        <f>'Informe Kelly'!E1843</f>
        <v>06.04.2011</v>
      </c>
      <c r="D1849" s="112" t="e">
        <f>VLOOKUP(A1849,Ingreso!K:P,6,FALSE)</f>
        <v>#N/A</v>
      </c>
      <c r="E1849" s="142" t="e">
        <f>(VLOOKUP(D1849,$D$2:$E$4,2,FALSE))-(IF('Informe Kelly'!H1843=$A$2,'Informe Kelly'!F1843,VLOOKUP(D1849,$D$2:$E$4,2,FALSE)))</f>
        <v>#N/A</v>
      </c>
      <c r="F1849" s="142" t="e">
        <f>IF('Informe Kelly'!H1843=$A$3,'Informe Kelly'!F1843,VLOOKUP(D1849,$D$2:$F$4,3,FALSE))-(VLOOKUP(D1849,$D$2:$F$4,3,FALSE))</f>
        <v>#N/A</v>
      </c>
      <c r="G1849" s="137" t="e">
        <f t="shared" si="32"/>
        <v>#N/A</v>
      </c>
    </row>
    <row r="1850" spans="1:7">
      <c r="A1850" s="112" t="str">
        <f>VLOOKUP('Informe Kelly'!A1844,Base!A:B,2,FALSE)</f>
        <v>14.383.969-9</v>
      </c>
      <c r="B1850" s="112" t="str">
        <f>VLOOKUP('Informe Kelly'!A1844,Base!A:G,7,FALSE)</f>
        <v>RUBIO GUZMAN AMERICO ANDRES</v>
      </c>
      <c r="C1850" s="112" t="str">
        <f>'Informe Kelly'!E1844</f>
        <v>07.04.2011</v>
      </c>
      <c r="D1850" s="112" t="e">
        <f>VLOOKUP(A1850,Ingreso!K:P,6,FALSE)</f>
        <v>#N/A</v>
      </c>
      <c r="E1850" s="142" t="e">
        <f>(VLOOKUP(D1850,$D$2:$E$4,2,FALSE))-(IF('Informe Kelly'!H1844=$A$2,'Informe Kelly'!F1844,VLOOKUP(D1850,$D$2:$E$4,2,FALSE)))</f>
        <v>#N/A</v>
      </c>
      <c r="F1850" s="142" t="e">
        <f>IF('Informe Kelly'!H1844=$A$3,'Informe Kelly'!F1844,VLOOKUP(D1850,$D$2:$F$4,3,FALSE))-(VLOOKUP(D1850,$D$2:$F$4,3,FALSE))</f>
        <v>#N/A</v>
      </c>
      <c r="G1850" s="137" t="e">
        <f t="shared" si="32"/>
        <v>#N/A</v>
      </c>
    </row>
    <row r="1851" spans="1:7">
      <c r="A1851" s="112" t="str">
        <f>VLOOKUP('Informe Kelly'!A1845,Base!A:B,2,FALSE)</f>
        <v>14.383.969-9</v>
      </c>
      <c r="B1851" s="112" t="str">
        <f>VLOOKUP('Informe Kelly'!A1845,Base!A:G,7,FALSE)</f>
        <v>RUBIO GUZMAN AMERICO ANDRES</v>
      </c>
      <c r="C1851" s="112" t="str">
        <f>'Informe Kelly'!E1845</f>
        <v>07.04.2011</v>
      </c>
      <c r="D1851" s="112" t="e">
        <f>VLOOKUP(A1851,Ingreso!K:P,6,FALSE)</f>
        <v>#N/A</v>
      </c>
      <c r="E1851" s="142" t="e">
        <f>(VLOOKUP(D1851,$D$2:$E$4,2,FALSE))-(IF('Informe Kelly'!H1845=$A$2,'Informe Kelly'!F1845,VLOOKUP(D1851,$D$2:$E$4,2,FALSE)))</f>
        <v>#N/A</v>
      </c>
      <c r="F1851" s="142" t="e">
        <f>IF('Informe Kelly'!H1845=$A$3,'Informe Kelly'!F1845,VLOOKUP(D1851,$D$2:$F$4,3,FALSE))-(VLOOKUP(D1851,$D$2:$F$4,3,FALSE))</f>
        <v>#N/A</v>
      </c>
      <c r="G1851" s="137" t="e">
        <f t="shared" si="32"/>
        <v>#N/A</v>
      </c>
    </row>
    <row r="1852" spans="1:7">
      <c r="A1852" s="112" t="str">
        <f>VLOOKUP('Informe Kelly'!A1846,Base!A:B,2,FALSE)</f>
        <v>14.383.969-9</v>
      </c>
      <c r="B1852" s="112" t="str">
        <f>VLOOKUP('Informe Kelly'!A1846,Base!A:G,7,FALSE)</f>
        <v>RUBIO GUZMAN AMERICO ANDRES</v>
      </c>
      <c r="C1852" s="112" t="str">
        <f>'Informe Kelly'!E1846</f>
        <v>08.04.2011</v>
      </c>
      <c r="D1852" s="112" t="e">
        <f>VLOOKUP(A1852,Ingreso!K:P,6,FALSE)</f>
        <v>#N/A</v>
      </c>
      <c r="E1852" s="142" t="e">
        <f>(VLOOKUP(D1852,$D$2:$E$4,2,FALSE))-(IF('Informe Kelly'!H1846=$A$2,'Informe Kelly'!F1846,VLOOKUP(D1852,$D$2:$E$4,2,FALSE)))</f>
        <v>#N/A</v>
      </c>
      <c r="F1852" s="142" t="e">
        <f>IF('Informe Kelly'!H1846=$A$3,'Informe Kelly'!F1846,VLOOKUP(D1852,$D$2:$F$4,3,FALSE))-(VLOOKUP(D1852,$D$2:$F$4,3,FALSE))</f>
        <v>#N/A</v>
      </c>
      <c r="G1852" s="137" t="e">
        <f t="shared" si="32"/>
        <v>#N/A</v>
      </c>
    </row>
    <row r="1853" spans="1:7">
      <c r="A1853" s="112" t="str">
        <f>VLOOKUP('Informe Kelly'!A1847,Base!A:B,2,FALSE)</f>
        <v>14.383.969-9</v>
      </c>
      <c r="B1853" s="112" t="str">
        <f>VLOOKUP('Informe Kelly'!A1847,Base!A:G,7,FALSE)</f>
        <v>RUBIO GUZMAN AMERICO ANDRES</v>
      </c>
      <c r="C1853" s="112" t="str">
        <f>'Informe Kelly'!E1847</f>
        <v>08.04.2011</v>
      </c>
      <c r="D1853" s="112" t="e">
        <f>VLOOKUP(A1853,Ingreso!K:P,6,FALSE)</f>
        <v>#N/A</v>
      </c>
      <c r="E1853" s="142" t="e">
        <f>(VLOOKUP(D1853,$D$2:$E$4,2,FALSE))-(IF('Informe Kelly'!H1847=$A$2,'Informe Kelly'!F1847,VLOOKUP(D1853,$D$2:$E$4,2,FALSE)))</f>
        <v>#N/A</v>
      </c>
      <c r="F1853" s="142" t="e">
        <f>IF('Informe Kelly'!H1847=$A$3,'Informe Kelly'!F1847,VLOOKUP(D1853,$D$2:$F$4,3,FALSE))-(VLOOKUP(D1853,$D$2:$F$4,3,FALSE))</f>
        <v>#N/A</v>
      </c>
      <c r="G1853" s="137" t="e">
        <f t="shared" si="32"/>
        <v>#N/A</v>
      </c>
    </row>
    <row r="1854" spans="1:7">
      <c r="A1854" s="112" t="str">
        <f>VLOOKUP('Informe Kelly'!A1848,Base!A:B,2,FALSE)</f>
        <v>14.383.969-9</v>
      </c>
      <c r="B1854" s="112" t="str">
        <f>VLOOKUP('Informe Kelly'!A1848,Base!A:G,7,FALSE)</f>
        <v>RUBIO GUZMAN AMERICO ANDRES</v>
      </c>
      <c r="C1854" s="112" t="str">
        <f>'Informe Kelly'!E1848</f>
        <v>09.04.2011</v>
      </c>
      <c r="D1854" s="112" t="e">
        <f>VLOOKUP(A1854,Ingreso!K:P,6,FALSE)</f>
        <v>#N/A</v>
      </c>
      <c r="E1854" s="142" t="e">
        <f>(VLOOKUP(D1854,$D$2:$E$4,2,FALSE))-(IF('Informe Kelly'!H1848=$A$2,'Informe Kelly'!F1848,VLOOKUP(D1854,$D$2:$E$4,2,FALSE)))</f>
        <v>#N/A</v>
      </c>
      <c r="F1854" s="142" t="e">
        <f>IF('Informe Kelly'!H1848=$A$3,'Informe Kelly'!F1848,VLOOKUP(D1854,$D$2:$F$4,3,FALSE))-(VLOOKUP(D1854,$D$2:$F$4,3,FALSE))</f>
        <v>#N/A</v>
      </c>
      <c r="G1854" s="137" t="e">
        <f t="shared" si="32"/>
        <v>#N/A</v>
      </c>
    </row>
    <row r="1855" spans="1:7">
      <c r="A1855" s="112" t="str">
        <f>VLOOKUP('Informe Kelly'!A1849,Base!A:B,2,FALSE)</f>
        <v>15.102.640-0</v>
      </c>
      <c r="B1855" s="112" t="str">
        <f>VLOOKUP('Informe Kelly'!A1849,Base!A:G,7,FALSE)</f>
        <v>MARDONES ROJAS LUIS ARTURO</v>
      </c>
      <c r="C1855" s="112" t="str">
        <f>'Informe Kelly'!E1849</f>
        <v>04.04.2011</v>
      </c>
      <c r="D1855" s="112" t="e">
        <f>VLOOKUP(A1855,Ingreso!K:P,6,FALSE)</f>
        <v>#N/A</v>
      </c>
      <c r="E1855" s="142" t="e">
        <f>(VLOOKUP(D1855,$D$2:$E$4,2,FALSE))-(IF('Informe Kelly'!H1849=$A$2,'Informe Kelly'!F1849,VLOOKUP(D1855,$D$2:$E$4,2,FALSE)))</f>
        <v>#N/A</v>
      </c>
      <c r="F1855" s="142" t="e">
        <f>IF('Informe Kelly'!H1849=$A$3,'Informe Kelly'!F1849,VLOOKUP(D1855,$D$2:$F$4,3,FALSE))-(VLOOKUP(D1855,$D$2:$F$4,3,FALSE))</f>
        <v>#N/A</v>
      </c>
      <c r="G1855" s="137" t="e">
        <f t="shared" si="32"/>
        <v>#N/A</v>
      </c>
    </row>
    <row r="1856" spans="1:7">
      <c r="A1856" s="112" t="str">
        <f>VLOOKUP('Informe Kelly'!A1850,Base!A:B,2,FALSE)</f>
        <v>15.102.640-0</v>
      </c>
      <c r="B1856" s="112" t="str">
        <f>VLOOKUP('Informe Kelly'!A1850,Base!A:G,7,FALSE)</f>
        <v>MARDONES ROJAS LUIS ARTURO</v>
      </c>
      <c r="C1856" s="112" t="str">
        <f>'Informe Kelly'!E1850</f>
        <v>04.04.2011</v>
      </c>
      <c r="D1856" s="112" t="e">
        <f>VLOOKUP(A1856,Ingreso!K:P,6,FALSE)</f>
        <v>#N/A</v>
      </c>
      <c r="E1856" s="142" t="e">
        <f>(VLOOKUP(D1856,$D$2:$E$4,2,FALSE))-(IF('Informe Kelly'!H1850=$A$2,'Informe Kelly'!F1850,VLOOKUP(D1856,$D$2:$E$4,2,FALSE)))</f>
        <v>#N/A</v>
      </c>
      <c r="F1856" s="142" t="e">
        <f>IF('Informe Kelly'!H1850=$A$3,'Informe Kelly'!F1850,VLOOKUP(D1856,$D$2:$F$4,3,FALSE))-(VLOOKUP(D1856,$D$2:$F$4,3,FALSE))</f>
        <v>#N/A</v>
      </c>
      <c r="G1856" s="137" t="e">
        <f t="shared" si="32"/>
        <v>#N/A</v>
      </c>
    </row>
    <row r="1857" spans="1:7">
      <c r="A1857" s="112" t="str">
        <f>VLOOKUP('Informe Kelly'!A1851,Base!A:B,2,FALSE)</f>
        <v>15.102.640-0</v>
      </c>
      <c r="B1857" s="112" t="str">
        <f>VLOOKUP('Informe Kelly'!A1851,Base!A:G,7,FALSE)</f>
        <v>MARDONES ROJAS LUIS ARTURO</v>
      </c>
      <c r="C1857" s="112" t="str">
        <f>'Informe Kelly'!E1851</f>
        <v>05.04.2011</v>
      </c>
      <c r="D1857" s="112" t="e">
        <f>VLOOKUP(A1857,Ingreso!K:P,6,FALSE)</f>
        <v>#N/A</v>
      </c>
      <c r="E1857" s="142" t="e">
        <f>(VLOOKUP(D1857,$D$2:$E$4,2,FALSE))-(IF('Informe Kelly'!H1851=$A$2,'Informe Kelly'!F1851,VLOOKUP(D1857,$D$2:$E$4,2,FALSE)))</f>
        <v>#N/A</v>
      </c>
      <c r="F1857" s="142" t="e">
        <f>IF('Informe Kelly'!H1851=$A$3,'Informe Kelly'!F1851,VLOOKUP(D1857,$D$2:$F$4,3,FALSE))-(VLOOKUP(D1857,$D$2:$F$4,3,FALSE))</f>
        <v>#N/A</v>
      </c>
      <c r="G1857" s="137" t="e">
        <f t="shared" si="32"/>
        <v>#N/A</v>
      </c>
    </row>
    <row r="1858" spans="1:7">
      <c r="A1858" s="112" t="str">
        <f>VLOOKUP('Informe Kelly'!A1852,Base!A:B,2,FALSE)</f>
        <v>15.102.640-0</v>
      </c>
      <c r="B1858" s="112" t="str">
        <f>VLOOKUP('Informe Kelly'!A1852,Base!A:G,7,FALSE)</f>
        <v>MARDONES ROJAS LUIS ARTURO</v>
      </c>
      <c r="C1858" s="112" t="str">
        <f>'Informe Kelly'!E1852</f>
        <v>05.04.2011</v>
      </c>
      <c r="D1858" s="112" t="e">
        <f>VLOOKUP(A1858,Ingreso!K:P,6,FALSE)</f>
        <v>#N/A</v>
      </c>
      <c r="E1858" s="142" t="e">
        <f>(VLOOKUP(D1858,$D$2:$E$4,2,FALSE))-(IF('Informe Kelly'!H1852=$A$2,'Informe Kelly'!F1852,VLOOKUP(D1858,$D$2:$E$4,2,FALSE)))</f>
        <v>#N/A</v>
      </c>
      <c r="F1858" s="142" t="e">
        <f>IF('Informe Kelly'!H1852=$A$3,'Informe Kelly'!F1852,VLOOKUP(D1858,$D$2:$F$4,3,FALSE))-(VLOOKUP(D1858,$D$2:$F$4,3,FALSE))</f>
        <v>#N/A</v>
      </c>
      <c r="G1858" s="137" t="e">
        <f t="shared" si="32"/>
        <v>#N/A</v>
      </c>
    </row>
    <row r="1859" spans="1:7">
      <c r="A1859" s="112" t="str">
        <f>VLOOKUP('Informe Kelly'!A1853,Base!A:B,2,FALSE)</f>
        <v>15.102.640-0</v>
      </c>
      <c r="B1859" s="112" t="str">
        <f>VLOOKUP('Informe Kelly'!A1853,Base!A:G,7,FALSE)</f>
        <v>MARDONES ROJAS LUIS ARTURO</v>
      </c>
      <c r="C1859" s="112" t="str">
        <f>'Informe Kelly'!E1853</f>
        <v>06.04.2011</v>
      </c>
      <c r="D1859" s="112" t="e">
        <f>VLOOKUP(A1859,Ingreso!K:P,6,FALSE)</f>
        <v>#N/A</v>
      </c>
      <c r="E1859" s="142" t="e">
        <f>(VLOOKUP(D1859,$D$2:$E$4,2,FALSE))-(IF('Informe Kelly'!H1853=$A$2,'Informe Kelly'!F1853,VLOOKUP(D1859,$D$2:$E$4,2,FALSE)))</f>
        <v>#N/A</v>
      </c>
      <c r="F1859" s="142" t="e">
        <f>IF('Informe Kelly'!H1853=$A$3,'Informe Kelly'!F1853,VLOOKUP(D1859,$D$2:$F$4,3,FALSE))-(VLOOKUP(D1859,$D$2:$F$4,3,FALSE))</f>
        <v>#N/A</v>
      </c>
      <c r="G1859" s="137" t="e">
        <f t="shared" si="32"/>
        <v>#N/A</v>
      </c>
    </row>
    <row r="1860" spans="1:7">
      <c r="A1860" s="112" t="str">
        <f>VLOOKUP('Informe Kelly'!A1854,Base!A:B,2,FALSE)</f>
        <v>15.102.640-0</v>
      </c>
      <c r="B1860" s="112" t="str">
        <f>VLOOKUP('Informe Kelly'!A1854,Base!A:G,7,FALSE)</f>
        <v>MARDONES ROJAS LUIS ARTURO</v>
      </c>
      <c r="C1860" s="112" t="str">
        <f>'Informe Kelly'!E1854</f>
        <v>06.04.2011</v>
      </c>
      <c r="D1860" s="112" t="e">
        <f>VLOOKUP(A1860,Ingreso!K:P,6,FALSE)</f>
        <v>#N/A</v>
      </c>
      <c r="E1860" s="142" t="e">
        <f>(VLOOKUP(D1860,$D$2:$E$4,2,FALSE))-(IF('Informe Kelly'!H1854=$A$2,'Informe Kelly'!F1854,VLOOKUP(D1860,$D$2:$E$4,2,FALSE)))</f>
        <v>#N/A</v>
      </c>
      <c r="F1860" s="142" t="e">
        <f>IF('Informe Kelly'!H1854=$A$3,'Informe Kelly'!F1854,VLOOKUP(D1860,$D$2:$F$4,3,FALSE))-(VLOOKUP(D1860,$D$2:$F$4,3,FALSE))</f>
        <v>#N/A</v>
      </c>
      <c r="G1860" s="137" t="e">
        <f t="shared" si="32"/>
        <v>#N/A</v>
      </c>
    </row>
    <row r="1861" spans="1:7">
      <c r="A1861" s="112" t="str">
        <f>VLOOKUP('Informe Kelly'!A1855,Base!A:B,2,FALSE)</f>
        <v>15.102.640-0</v>
      </c>
      <c r="B1861" s="112" t="str">
        <f>VLOOKUP('Informe Kelly'!A1855,Base!A:G,7,FALSE)</f>
        <v>MARDONES ROJAS LUIS ARTURO</v>
      </c>
      <c r="C1861" s="112" t="str">
        <f>'Informe Kelly'!E1855</f>
        <v>07.04.2011</v>
      </c>
      <c r="D1861" s="112" t="e">
        <f>VLOOKUP(A1861,Ingreso!K:P,6,FALSE)</f>
        <v>#N/A</v>
      </c>
      <c r="E1861" s="142" t="e">
        <f>(VLOOKUP(D1861,$D$2:$E$4,2,FALSE))-(IF('Informe Kelly'!H1855=$A$2,'Informe Kelly'!F1855,VLOOKUP(D1861,$D$2:$E$4,2,FALSE)))</f>
        <v>#N/A</v>
      </c>
      <c r="F1861" s="142" t="e">
        <f>IF('Informe Kelly'!H1855=$A$3,'Informe Kelly'!F1855,VLOOKUP(D1861,$D$2:$F$4,3,FALSE))-(VLOOKUP(D1861,$D$2:$F$4,3,FALSE))</f>
        <v>#N/A</v>
      </c>
      <c r="G1861" s="137" t="e">
        <f t="shared" si="32"/>
        <v>#N/A</v>
      </c>
    </row>
    <row r="1862" spans="1:7">
      <c r="A1862" s="112" t="str">
        <f>VLOOKUP('Informe Kelly'!A1856,Base!A:B,2,FALSE)</f>
        <v>15.102.640-0</v>
      </c>
      <c r="B1862" s="112" t="str">
        <f>VLOOKUP('Informe Kelly'!A1856,Base!A:G,7,FALSE)</f>
        <v>MARDONES ROJAS LUIS ARTURO</v>
      </c>
      <c r="C1862" s="112" t="str">
        <f>'Informe Kelly'!E1856</f>
        <v>07.04.2011</v>
      </c>
      <c r="D1862" s="112" t="e">
        <f>VLOOKUP(A1862,Ingreso!K:P,6,FALSE)</f>
        <v>#N/A</v>
      </c>
      <c r="E1862" s="142" t="e">
        <f>(VLOOKUP(D1862,$D$2:$E$4,2,FALSE))-(IF('Informe Kelly'!H1856=$A$2,'Informe Kelly'!F1856,VLOOKUP(D1862,$D$2:$E$4,2,FALSE)))</f>
        <v>#N/A</v>
      </c>
      <c r="F1862" s="142" t="e">
        <f>IF('Informe Kelly'!H1856=$A$3,'Informe Kelly'!F1856,VLOOKUP(D1862,$D$2:$F$4,3,FALSE))-(VLOOKUP(D1862,$D$2:$F$4,3,FALSE))</f>
        <v>#N/A</v>
      </c>
      <c r="G1862" s="137" t="e">
        <f t="shared" si="32"/>
        <v>#N/A</v>
      </c>
    </row>
    <row r="1863" spans="1:7">
      <c r="A1863" s="112" t="str">
        <f>VLOOKUP('Informe Kelly'!A1857,Base!A:B,2,FALSE)</f>
        <v>15.102.640-0</v>
      </c>
      <c r="B1863" s="112" t="str">
        <f>VLOOKUP('Informe Kelly'!A1857,Base!A:G,7,FALSE)</f>
        <v>MARDONES ROJAS LUIS ARTURO</v>
      </c>
      <c r="C1863" s="112" t="str">
        <f>'Informe Kelly'!E1857</f>
        <v>08.04.2011</v>
      </c>
      <c r="D1863" s="112" t="e">
        <f>VLOOKUP(A1863,Ingreso!K:P,6,FALSE)</f>
        <v>#N/A</v>
      </c>
      <c r="E1863" s="142" t="e">
        <f>(VLOOKUP(D1863,$D$2:$E$4,2,FALSE))-(IF('Informe Kelly'!H1857=$A$2,'Informe Kelly'!F1857,VLOOKUP(D1863,$D$2:$E$4,2,FALSE)))</f>
        <v>#N/A</v>
      </c>
      <c r="F1863" s="142" t="e">
        <f>IF('Informe Kelly'!H1857=$A$3,'Informe Kelly'!F1857,VLOOKUP(D1863,$D$2:$F$4,3,FALSE))-(VLOOKUP(D1863,$D$2:$F$4,3,FALSE))</f>
        <v>#N/A</v>
      </c>
      <c r="G1863" s="137" t="e">
        <f t="shared" si="32"/>
        <v>#N/A</v>
      </c>
    </row>
    <row r="1864" spans="1:7">
      <c r="A1864" s="112" t="str">
        <f>VLOOKUP('Informe Kelly'!A1858,Base!A:B,2,FALSE)</f>
        <v>15.102.640-0</v>
      </c>
      <c r="B1864" s="112" t="str">
        <f>VLOOKUP('Informe Kelly'!A1858,Base!A:G,7,FALSE)</f>
        <v>MARDONES ROJAS LUIS ARTURO</v>
      </c>
      <c r="C1864" s="112" t="str">
        <f>'Informe Kelly'!E1858</f>
        <v>08.04.2011</v>
      </c>
      <c r="D1864" s="112" t="e">
        <f>VLOOKUP(A1864,Ingreso!K:P,6,FALSE)</f>
        <v>#N/A</v>
      </c>
      <c r="E1864" s="142" t="e">
        <f>(VLOOKUP(D1864,$D$2:$E$4,2,FALSE))-(IF('Informe Kelly'!H1858=$A$2,'Informe Kelly'!F1858,VLOOKUP(D1864,$D$2:$E$4,2,FALSE)))</f>
        <v>#N/A</v>
      </c>
      <c r="F1864" s="142" t="e">
        <f>IF('Informe Kelly'!H1858=$A$3,'Informe Kelly'!F1858,VLOOKUP(D1864,$D$2:$F$4,3,FALSE))-(VLOOKUP(D1864,$D$2:$F$4,3,FALSE))</f>
        <v>#N/A</v>
      </c>
      <c r="G1864" s="137" t="e">
        <f t="shared" si="32"/>
        <v>#N/A</v>
      </c>
    </row>
    <row r="1865" spans="1:7">
      <c r="A1865" s="112" t="str">
        <f>VLOOKUP('Informe Kelly'!A1859,Base!A:B,2,FALSE)</f>
        <v>15.102.640-0</v>
      </c>
      <c r="B1865" s="112" t="str">
        <f>VLOOKUP('Informe Kelly'!A1859,Base!A:G,7,FALSE)</f>
        <v>MARDONES ROJAS LUIS ARTURO</v>
      </c>
      <c r="C1865" s="112" t="str">
        <f>'Informe Kelly'!E1859</f>
        <v>09.04.2011</v>
      </c>
      <c r="D1865" s="112" t="e">
        <f>VLOOKUP(A1865,Ingreso!K:P,6,FALSE)</f>
        <v>#N/A</v>
      </c>
      <c r="E1865" s="142" t="e">
        <f>(VLOOKUP(D1865,$D$2:$E$4,2,FALSE))-(IF('Informe Kelly'!H1859=$A$2,'Informe Kelly'!F1859,VLOOKUP(D1865,$D$2:$E$4,2,FALSE)))</f>
        <v>#N/A</v>
      </c>
      <c r="F1865" s="142" t="e">
        <f>IF('Informe Kelly'!H1859=$A$3,'Informe Kelly'!F1859,VLOOKUP(D1865,$D$2:$F$4,3,FALSE))-(VLOOKUP(D1865,$D$2:$F$4,3,FALSE))</f>
        <v>#N/A</v>
      </c>
      <c r="G1865" s="137" t="e">
        <f t="shared" ref="G1865:G1928" si="33">IF(E1865="",IF(F1865&lt;0.0409722222222222,0,E1865),IF(E1865&lt;0.0409722222222222,0,E1865))</f>
        <v>#N/A</v>
      </c>
    </row>
    <row r="1866" spans="1:7">
      <c r="A1866" s="112" t="str">
        <f>VLOOKUP('Informe Kelly'!A1860,Base!A:B,2,FALSE)</f>
        <v>15.102.640-0</v>
      </c>
      <c r="B1866" s="112" t="str">
        <f>VLOOKUP('Informe Kelly'!A1860,Base!A:G,7,FALSE)</f>
        <v>MARDONES ROJAS LUIS ARTURO</v>
      </c>
      <c r="C1866" s="112" t="str">
        <f>'Informe Kelly'!E1860</f>
        <v>09.04.2011</v>
      </c>
      <c r="D1866" s="112" t="e">
        <f>VLOOKUP(A1866,Ingreso!K:P,6,FALSE)</f>
        <v>#N/A</v>
      </c>
      <c r="E1866" s="142" t="e">
        <f>(VLOOKUP(D1866,$D$2:$E$4,2,FALSE))-(IF('Informe Kelly'!H1860=$A$2,'Informe Kelly'!F1860,VLOOKUP(D1866,$D$2:$E$4,2,FALSE)))</f>
        <v>#N/A</v>
      </c>
      <c r="F1866" s="142" t="e">
        <f>IF('Informe Kelly'!H1860=$A$3,'Informe Kelly'!F1860,VLOOKUP(D1866,$D$2:$F$4,3,FALSE))-(VLOOKUP(D1866,$D$2:$F$4,3,FALSE))</f>
        <v>#N/A</v>
      </c>
      <c r="G1866" s="137" t="e">
        <f t="shared" si="33"/>
        <v>#N/A</v>
      </c>
    </row>
    <row r="1867" spans="1:7">
      <c r="A1867" s="112" t="str">
        <f>VLOOKUP('Informe Kelly'!A1861,Base!A:B,2,FALSE)</f>
        <v>15.327.501-7</v>
      </c>
      <c r="B1867" s="112" t="str">
        <f>VLOOKUP('Informe Kelly'!A1861,Base!A:G,7,FALSE)</f>
        <v>VASQUEZ MONTECINO LEONARDO</v>
      </c>
      <c r="C1867" s="112" t="str">
        <f>'Informe Kelly'!E1861</f>
        <v>04.04.2011</v>
      </c>
      <c r="D1867" s="112" t="e">
        <f>VLOOKUP(A1867,Ingreso!K:P,6,FALSE)</f>
        <v>#N/A</v>
      </c>
      <c r="E1867" s="142" t="e">
        <f>(VLOOKUP(D1867,$D$2:$E$4,2,FALSE))-(IF('Informe Kelly'!H1861=$A$2,'Informe Kelly'!F1861,VLOOKUP(D1867,$D$2:$E$4,2,FALSE)))</f>
        <v>#N/A</v>
      </c>
      <c r="F1867" s="142" t="e">
        <f>IF('Informe Kelly'!H1861=$A$3,'Informe Kelly'!F1861,VLOOKUP(D1867,$D$2:$F$4,3,FALSE))-(VLOOKUP(D1867,$D$2:$F$4,3,FALSE))</f>
        <v>#N/A</v>
      </c>
      <c r="G1867" s="137" t="e">
        <f t="shared" si="33"/>
        <v>#N/A</v>
      </c>
    </row>
    <row r="1868" spans="1:7">
      <c r="A1868" s="112" t="str">
        <f>VLOOKUP('Informe Kelly'!A1862,Base!A:B,2,FALSE)</f>
        <v>15.327.501-7</v>
      </c>
      <c r="B1868" s="112" t="str">
        <f>VLOOKUP('Informe Kelly'!A1862,Base!A:G,7,FALSE)</f>
        <v>VASQUEZ MONTECINO LEONARDO</v>
      </c>
      <c r="C1868" s="112" t="str">
        <f>'Informe Kelly'!E1862</f>
        <v>04.04.2011</v>
      </c>
      <c r="D1868" s="112" t="e">
        <f>VLOOKUP(A1868,Ingreso!K:P,6,FALSE)</f>
        <v>#N/A</v>
      </c>
      <c r="E1868" s="142" t="e">
        <f>(VLOOKUP(D1868,$D$2:$E$4,2,FALSE))-(IF('Informe Kelly'!H1862=$A$2,'Informe Kelly'!F1862,VLOOKUP(D1868,$D$2:$E$4,2,FALSE)))</f>
        <v>#N/A</v>
      </c>
      <c r="F1868" s="142" t="e">
        <f>IF('Informe Kelly'!H1862=$A$3,'Informe Kelly'!F1862,VLOOKUP(D1868,$D$2:$F$4,3,FALSE))-(VLOOKUP(D1868,$D$2:$F$4,3,FALSE))</f>
        <v>#N/A</v>
      </c>
      <c r="G1868" s="137" t="e">
        <f t="shared" si="33"/>
        <v>#N/A</v>
      </c>
    </row>
    <row r="1869" spans="1:7">
      <c r="A1869" s="112" t="str">
        <f>VLOOKUP('Informe Kelly'!A1863,Base!A:B,2,FALSE)</f>
        <v>15.327.501-7</v>
      </c>
      <c r="B1869" s="112" t="str">
        <f>VLOOKUP('Informe Kelly'!A1863,Base!A:G,7,FALSE)</f>
        <v>VASQUEZ MONTECINO LEONARDO</v>
      </c>
      <c r="C1869" s="112" t="str">
        <f>'Informe Kelly'!E1863</f>
        <v>05.04.2011</v>
      </c>
      <c r="D1869" s="112" t="e">
        <f>VLOOKUP(A1869,Ingreso!K:P,6,FALSE)</f>
        <v>#N/A</v>
      </c>
      <c r="E1869" s="142" t="e">
        <f>(VLOOKUP(D1869,$D$2:$E$4,2,FALSE))-(IF('Informe Kelly'!H1863=$A$2,'Informe Kelly'!F1863,VLOOKUP(D1869,$D$2:$E$4,2,FALSE)))</f>
        <v>#N/A</v>
      </c>
      <c r="F1869" s="142" t="e">
        <f>IF('Informe Kelly'!H1863=$A$3,'Informe Kelly'!F1863,VLOOKUP(D1869,$D$2:$F$4,3,FALSE))-(VLOOKUP(D1869,$D$2:$F$4,3,FALSE))</f>
        <v>#N/A</v>
      </c>
      <c r="G1869" s="137" t="e">
        <f t="shared" si="33"/>
        <v>#N/A</v>
      </c>
    </row>
    <row r="1870" spans="1:7">
      <c r="A1870" s="112" t="str">
        <f>VLOOKUP('Informe Kelly'!A1864,Base!A:B,2,FALSE)</f>
        <v>15.327.501-7</v>
      </c>
      <c r="B1870" s="112" t="str">
        <f>VLOOKUP('Informe Kelly'!A1864,Base!A:G,7,FALSE)</f>
        <v>VASQUEZ MONTECINO LEONARDO</v>
      </c>
      <c r="C1870" s="112" t="str">
        <f>'Informe Kelly'!E1864</f>
        <v>05.04.2011</v>
      </c>
      <c r="D1870" s="112" t="e">
        <f>VLOOKUP(A1870,Ingreso!K:P,6,FALSE)</f>
        <v>#N/A</v>
      </c>
      <c r="E1870" s="142" t="e">
        <f>(VLOOKUP(D1870,$D$2:$E$4,2,FALSE))-(IF('Informe Kelly'!H1864=$A$2,'Informe Kelly'!F1864,VLOOKUP(D1870,$D$2:$E$4,2,FALSE)))</f>
        <v>#N/A</v>
      </c>
      <c r="F1870" s="142" t="e">
        <f>IF('Informe Kelly'!H1864=$A$3,'Informe Kelly'!F1864,VLOOKUP(D1870,$D$2:$F$4,3,FALSE))-(VLOOKUP(D1870,$D$2:$F$4,3,FALSE))</f>
        <v>#N/A</v>
      </c>
      <c r="G1870" s="137" t="e">
        <f t="shared" si="33"/>
        <v>#N/A</v>
      </c>
    </row>
    <row r="1871" spans="1:7">
      <c r="A1871" s="112" t="str">
        <f>VLOOKUP('Informe Kelly'!A1865,Base!A:B,2,FALSE)</f>
        <v>15.327.501-7</v>
      </c>
      <c r="B1871" s="112" t="str">
        <f>VLOOKUP('Informe Kelly'!A1865,Base!A:G,7,FALSE)</f>
        <v>VASQUEZ MONTECINO LEONARDO</v>
      </c>
      <c r="C1871" s="112" t="str">
        <f>'Informe Kelly'!E1865</f>
        <v>06.04.2011</v>
      </c>
      <c r="D1871" s="112" t="e">
        <f>VLOOKUP(A1871,Ingreso!K:P,6,FALSE)</f>
        <v>#N/A</v>
      </c>
      <c r="E1871" s="142" t="e">
        <f>(VLOOKUP(D1871,$D$2:$E$4,2,FALSE))-(IF('Informe Kelly'!H1865=$A$2,'Informe Kelly'!F1865,VLOOKUP(D1871,$D$2:$E$4,2,FALSE)))</f>
        <v>#N/A</v>
      </c>
      <c r="F1871" s="142" t="e">
        <f>IF('Informe Kelly'!H1865=$A$3,'Informe Kelly'!F1865,VLOOKUP(D1871,$D$2:$F$4,3,FALSE))-(VLOOKUP(D1871,$D$2:$F$4,3,FALSE))</f>
        <v>#N/A</v>
      </c>
      <c r="G1871" s="137" t="e">
        <f t="shared" si="33"/>
        <v>#N/A</v>
      </c>
    </row>
    <row r="1872" spans="1:7">
      <c r="A1872" s="112" t="str">
        <f>VLOOKUP('Informe Kelly'!A1866,Base!A:B,2,FALSE)</f>
        <v>15.327.501-7</v>
      </c>
      <c r="B1872" s="112" t="str">
        <f>VLOOKUP('Informe Kelly'!A1866,Base!A:G,7,FALSE)</f>
        <v>VASQUEZ MONTECINO LEONARDO</v>
      </c>
      <c r="C1872" s="112" t="str">
        <f>'Informe Kelly'!E1866</f>
        <v>06.04.2011</v>
      </c>
      <c r="D1872" s="112" t="e">
        <f>VLOOKUP(A1872,Ingreso!K:P,6,FALSE)</f>
        <v>#N/A</v>
      </c>
      <c r="E1872" s="142" t="e">
        <f>(VLOOKUP(D1872,$D$2:$E$4,2,FALSE))-(IF('Informe Kelly'!H1866=$A$2,'Informe Kelly'!F1866,VLOOKUP(D1872,$D$2:$E$4,2,FALSE)))</f>
        <v>#N/A</v>
      </c>
      <c r="F1872" s="142" t="e">
        <f>IF('Informe Kelly'!H1866=$A$3,'Informe Kelly'!F1866,VLOOKUP(D1872,$D$2:$F$4,3,FALSE))-(VLOOKUP(D1872,$D$2:$F$4,3,FALSE))</f>
        <v>#N/A</v>
      </c>
      <c r="G1872" s="137" t="e">
        <f t="shared" si="33"/>
        <v>#N/A</v>
      </c>
    </row>
    <row r="1873" spans="1:7">
      <c r="A1873" s="112" t="str">
        <f>VLOOKUP('Informe Kelly'!A1867,Base!A:B,2,FALSE)</f>
        <v>15.327.501-7</v>
      </c>
      <c r="B1873" s="112" t="str">
        <f>VLOOKUP('Informe Kelly'!A1867,Base!A:G,7,FALSE)</f>
        <v>VASQUEZ MONTECINO LEONARDO</v>
      </c>
      <c r="C1873" s="112" t="str">
        <f>'Informe Kelly'!E1867</f>
        <v>07.04.2011</v>
      </c>
      <c r="D1873" s="112" t="e">
        <f>VLOOKUP(A1873,Ingreso!K:P,6,FALSE)</f>
        <v>#N/A</v>
      </c>
      <c r="E1873" s="142" t="e">
        <f>(VLOOKUP(D1873,$D$2:$E$4,2,FALSE))-(IF('Informe Kelly'!H1867=$A$2,'Informe Kelly'!F1867,VLOOKUP(D1873,$D$2:$E$4,2,FALSE)))</f>
        <v>#N/A</v>
      </c>
      <c r="F1873" s="142" t="e">
        <f>IF('Informe Kelly'!H1867=$A$3,'Informe Kelly'!F1867,VLOOKUP(D1873,$D$2:$F$4,3,FALSE))-(VLOOKUP(D1873,$D$2:$F$4,3,FALSE))</f>
        <v>#N/A</v>
      </c>
      <c r="G1873" s="137" t="e">
        <f t="shared" si="33"/>
        <v>#N/A</v>
      </c>
    </row>
    <row r="1874" spans="1:7">
      <c r="A1874" s="112" t="str">
        <f>VLOOKUP('Informe Kelly'!A1868,Base!A:B,2,FALSE)</f>
        <v>15.327.501-7</v>
      </c>
      <c r="B1874" s="112" t="str">
        <f>VLOOKUP('Informe Kelly'!A1868,Base!A:G,7,FALSE)</f>
        <v>VASQUEZ MONTECINO LEONARDO</v>
      </c>
      <c r="C1874" s="112" t="str">
        <f>'Informe Kelly'!E1868</f>
        <v>07.04.2011</v>
      </c>
      <c r="D1874" s="112" t="e">
        <f>VLOOKUP(A1874,Ingreso!K:P,6,FALSE)</f>
        <v>#N/A</v>
      </c>
      <c r="E1874" s="142" t="e">
        <f>(VLOOKUP(D1874,$D$2:$E$4,2,FALSE))-(IF('Informe Kelly'!H1868=$A$2,'Informe Kelly'!F1868,VLOOKUP(D1874,$D$2:$E$4,2,FALSE)))</f>
        <v>#N/A</v>
      </c>
      <c r="F1874" s="142" t="e">
        <f>IF('Informe Kelly'!H1868=$A$3,'Informe Kelly'!F1868,VLOOKUP(D1874,$D$2:$F$4,3,FALSE))-(VLOOKUP(D1874,$D$2:$F$4,3,FALSE))</f>
        <v>#N/A</v>
      </c>
      <c r="G1874" s="137" t="e">
        <f t="shared" si="33"/>
        <v>#N/A</v>
      </c>
    </row>
    <row r="1875" spans="1:7">
      <c r="A1875" s="112" t="str">
        <f>VLOOKUP('Informe Kelly'!A1869,Base!A:B,2,FALSE)</f>
        <v>15.327.501-7</v>
      </c>
      <c r="B1875" s="112" t="str">
        <f>VLOOKUP('Informe Kelly'!A1869,Base!A:G,7,FALSE)</f>
        <v>VASQUEZ MONTECINO LEONARDO</v>
      </c>
      <c r="C1875" s="112" t="str">
        <f>'Informe Kelly'!E1869</f>
        <v>08.04.2011</v>
      </c>
      <c r="D1875" s="112" t="e">
        <f>VLOOKUP(A1875,Ingreso!K:P,6,FALSE)</f>
        <v>#N/A</v>
      </c>
      <c r="E1875" s="142" t="e">
        <f>(VLOOKUP(D1875,$D$2:$E$4,2,FALSE))-(IF('Informe Kelly'!H1869=$A$2,'Informe Kelly'!F1869,VLOOKUP(D1875,$D$2:$E$4,2,FALSE)))</f>
        <v>#N/A</v>
      </c>
      <c r="F1875" s="142" t="e">
        <f>IF('Informe Kelly'!H1869=$A$3,'Informe Kelly'!F1869,VLOOKUP(D1875,$D$2:$F$4,3,FALSE))-(VLOOKUP(D1875,$D$2:$F$4,3,FALSE))</f>
        <v>#N/A</v>
      </c>
      <c r="G1875" s="137" t="e">
        <f t="shared" si="33"/>
        <v>#N/A</v>
      </c>
    </row>
    <row r="1876" spans="1:7">
      <c r="A1876" s="112" t="str">
        <f>VLOOKUP('Informe Kelly'!A1870,Base!A:B,2,FALSE)</f>
        <v>15.327.501-7</v>
      </c>
      <c r="B1876" s="112" t="str">
        <f>VLOOKUP('Informe Kelly'!A1870,Base!A:G,7,FALSE)</f>
        <v>VASQUEZ MONTECINO LEONARDO</v>
      </c>
      <c r="C1876" s="112" t="str">
        <f>'Informe Kelly'!E1870</f>
        <v>08.04.2011</v>
      </c>
      <c r="D1876" s="112" t="e">
        <f>VLOOKUP(A1876,Ingreso!K:P,6,FALSE)</f>
        <v>#N/A</v>
      </c>
      <c r="E1876" s="142" t="e">
        <f>(VLOOKUP(D1876,$D$2:$E$4,2,FALSE))-(IF('Informe Kelly'!H1870=$A$2,'Informe Kelly'!F1870,VLOOKUP(D1876,$D$2:$E$4,2,FALSE)))</f>
        <v>#N/A</v>
      </c>
      <c r="F1876" s="142" t="e">
        <f>IF('Informe Kelly'!H1870=$A$3,'Informe Kelly'!F1870,VLOOKUP(D1876,$D$2:$F$4,3,FALSE))-(VLOOKUP(D1876,$D$2:$F$4,3,FALSE))</f>
        <v>#N/A</v>
      </c>
      <c r="G1876" s="137" t="e">
        <f t="shared" si="33"/>
        <v>#N/A</v>
      </c>
    </row>
    <row r="1877" spans="1:7">
      <c r="A1877" s="112" t="str">
        <f>VLOOKUP('Informe Kelly'!A1871,Base!A:B,2,FALSE)</f>
        <v>15.327.501-7</v>
      </c>
      <c r="B1877" s="112" t="str">
        <f>VLOOKUP('Informe Kelly'!A1871,Base!A:G,7,FALSE)</f>
        <v>VASQUEZ MONTECINO LEONARDO</v>
      </c>
      <c r="C1877" s="112" t="str">
        <f>'Informe Kelly'!E1871</f>
        <v>09.04.2011</v>
      </c>
      <c r="D1877" s="112" t="e">
        <f>VLOOKUP(A1877,Ingreso!K:P,6,FALSE)</f>
        <v>#N/A</v>
      </c>
      <c r="E1877" s="142" t="e">
        <f>(VLOOKUP(D1877,$D$2:$E$4,2,FALSE))-(IF('Informe Kelly'!H1871=$A$2,'Informe Kelly'!F1871,VLOOKUP(D1877,$D$2:$E$4,2,FALSE)))</f>
        <v>#N/A</v>
      </c>
      <c r="F1877" s="142" t="e">
        <f>IF('Informe Kelly'!H1871=$A$3,'Informe Kelly'!F1871,VLOOKUP(D1877,$D$2:$F$4,3,FALSE))-(VLOOKUP(D1877,$D$2:$F$4,3,FALSE))</f>
        <v>#N/A</v>
      </c>
      <c r="G1877" s="137" t="e">
        <f t="shared" si="33"/>
        <v>#N/A</v>
      </c>
    </row>
    <row r="1878" spans="1:7">
      <c r="A1878" s="112" t="str">
        <f>VLOOKUP('Informe Kelly'!A1872,Base!A:B,2,FALSE)</f>
        <v>15.327.501-7</v>
      </c>
      <c r="B1878" s="112" t="str">
        <f>VLOOKUP('Informe Kelly'!A1872,Base!A:G,7,FALSE)</f>
        <v>VASQUEZ MONTECINO LEONARDO</v>
      </c>
      <c r="C1878" s="112" t="str">
        <f>'Informe Kelly'!E1872</f>
        <v>09.04.2011</v>
      </c>
      <c r="D1878" s="112" t="e">
        <f>VLOOKUP(A1878,Ingreso!K:P,6,FALSE)</f>
        <v>#N/A</v>
      </c>
      <c r="E1878" s="142" t="e">
        <f>(VLOOKUP(D1878,$D$2:$E$4,2,FALSE))-(IF('Informe Kelly'!H1872=$A$2,'Informe Kelly'!F1872,VLOOKUP(D1878,$D$2:$E$4,2,FALSE)))</f>
        <v>#N/A</v>
      </c>
      <c r="F1878" s="142" t="e">
        <f>IF('Informe Kelly'!H1872=$A$3,'Informe Kelly'!F1872,VLOOKUP(D1878,$D$2:$F$4,3,FALSE))-(VLOOKUP(D1878,$D$2:$F$4,3,FALSE))</f>
        <v>#N/A</v>
      </c>
      <c r="G1878" s="137" t="e">
        <f t="shared" si="33"/>
        <v>#N/A</v>
      </c>
    </row>
    <row r="1879" spans="1:7">
      <c r="A1879" s="112" t="str">
        <f>VLOOKUP('Informe Kelly'!A1873,Base!A:B,2,FALSE)</f>
        <v>15.391.242-4</v>
      </c>
      <c r="B1879" s="112" t="str">
        <f>VLOOKUP('Informe Kelly'!A1873,Base!A:G,7,FALSE)</f>
        <v>GUERRERO MALIO JUAN</v>
      </c>
      <c r="C1879" s="112" t="str">
        <f>'Informe Kelly'!E1873</f>
        <v>04.04.2011</v>
      </c>
      <c r="D1879" s="112" t="e">
        <f>VLOOKUP(A1879,Ingreso!K:P,6,FALSE)</f>
        <v>#N/A</v>
      </c>
      <c r="E1879" s="142" t="e">
        <f>(VLOOKUP(D1879,$D$2:$E$4,2,FALSE))-(IF('Informe Kelly'!H1873=$A$2,'Informe Kelly'!F1873,VLOOKUP(D1879,$D$2:$E$4,2,FALSE)))</f>
        <v>#N/A</v>
      </c>
      <c r="F1879" s="142" t="e">
        <f>IF('Informe Kelly'!H1873=$A$3,'Informe Kelly'!F1873,VLOOKUP(D1879,$D$2:$F$4,3,FALSE))-(VLOOKUP(D1879,$D$2:$F$4,3,FALSE))</f>
        <v>#N/A</v>
      </c>
      <c r="G1879" s="137" t="e">
        <f t="shared" si="33"/>
        <v>#N/A</v>
      </c>
    </row>
    <row r="1880" spans="1:7">
      <c r="A1880" s="112" t="str">
        <f>VLOOKUP('Informe Kelly'!A1874,Base!A:B,2,FALSE)</f>
        <v>15.391.242-4</v>
      </c>
      <c r="B1880" s="112" t="str">
        <f>VLOOKUP('Informe Kelly'!A1874,Base!A:G,7,FALSE)</f>
        <v>GUERRERO MALIO JUAN</v>
      </c>
      <c r="C1880" s="112" t="str">
        <f>'Informe Kelly'!E1874</f>
        <v>04.04.2011</v>
      </c>
      <c r="D1880" s="112" t="e">
        <f>VLOOKUP(A1880,Ingreso!K:P,6,FALSE)</f>
        <v>#N/A</v>
      </c>
      <c r="E1880" s="142" t="e">
        <f>(VLOOKUP(D1880,$D$2:$E$4,2,FALSE))-(IF('Informe Kelly'!H1874=$A$2,'Informe Kelly'!F1874,VLOOKUP(D1880,$D$2:$E$4,2,FALSE)))</f>
        <v>#N/A</v>
      </c>
      <c r="F1880" s="142" t="e">
        <f>IF('Informe Kelly'!H1874=$A$3,'Informe Kelly'!F1874,VLOOKUP(D1880,$D$2:$F$4,3,FALSE))-(VLOOKUP(D1880,$D$2:$F$4,3,FALSE))</f>
        <v>#N/A</v>
      </c>
      <c r="G1880" s="137" t="e">
        <f t="shared" si="33"/>
        <v>#N/A</v>
      </c>
    </row>
    <row r="1881" spans="1:7">
      <c r="A1881" s="112" t="str">
        <f>VLOOKUP('Informe Kelly'!A1875,Base!A:B,2,FALSE)</f>
        <v>15.391.242-4</v>
      </c>
      <c r="B1881" s="112" t="str">
        <f>VLOOKUP('Informe Kelly'!A1875,Base!A:G,7,FALSE)</f>
        <v>GUERRERO MALIO JUAN</v>
      </c>
      <c r="C1881" s="112" t="str">
        <f>'Informe Kelly'!E1875</f>
        <v>05.04.2011</v>
      </c>
      <c r="D1881" s="112" t="e">
        <f>VLOOKUP(A1881,Ingreso!K:P,6,FALSE)</f>
        <v>#N/A</v>
      </c>
      <c r="E1881" s="142" t="e">
        <f>(VLOOKUP(D1881,$D$2:$E$4,2,FALSE))-(IF('Informe Kelly'!H1875=$A$2,'Informe Kelly'!F1875,VLOOKUP(D1881,$D$2:$E$4,2,FALSE)))</f>
        <v>#N/A</v>
      </c>
      <c r="F1881" s="142" t="e">
        <f>IF('Informe Kelly'!H1875=$A$3,'Informe Kelly'!F1875,VLOOKUP(D1881,$D$2:$F$4,3,FALSE))-(VLOOKUP(D1881,$D$2:$F$4,3,FALSE))</f>
        <v>#N/A</v>
      </c>
      <c r="G1881" s="137" t="e">
        <f t="shared" si="33"/>
        <v>#N/A</v>
      </c>
    </row>
    <row r="1882" spans="1:7">
      <c r="A1882" s="112" t="str">
        <f>VLOOKUP('Informe Kelly'!A1876,Base!A:B,2,FALSE)</f>
        <v>15.391.242-4</v>
      </c>
      <c r="B1882" s="112" t="str">
        <f>VLOOKUP('Informe Kelly'!A1876,Base!A:G,7,FALSE)</f>
        <v>GUERRERO MALIO JUAN</v>
      </c>
      <c r="C1882" s="112" t="str">
        <f>'Informe Kelly'!E1876</f>
        <v>05.04.2011</v>
      </c>
      <c r="D1882" s="112" t="e">
        <f>VLOOKUP(A1882,Ingreso!K:P,6,FALSE)</f>
        <v>#N/A</v>
      </c>
      <c r="E1882" s="142" t="e">
        <f>(VLOOKUP(D1882,$D$2:$E$4,2,FALSE))-(IF('Informe Kelly'!H1876=$A$2,'Informe Kelly'!F1876,VLOOKUP(D1882,$D$2:$E$4,2,FALSE)))</f>
        <v>#N/A</v>
      </c>
      <c r="F1882" s="142" t="e">
        <f>IF('Informe Kelly'!H1876=$A$3,'Informe Kelly'!F1876,VLOOKUP(D1882,$D$2:$F$4,3,FALSE))-(VLOOKUP(D1882,$D$2:$F$4,3,FALSE))</f>
        <v>#N/A</v>
      </c>
      <c r="G1882" s="137" t="e">
        <f t="shared" si="33"/>
        <v>#N/A</v>
      </c>
    </row>
    <row r="1883" spans="1:7">
      <c r="A1883" s="112" t="str">
        <f>VLOOKUP('Informe Kelly'!A1877,Base!A:B,2,FALSE)</f>
        <v>15.391.242-4</v>
      </c>
      <c r="B1883" s="112" t="str">
        <f>VLOOKUP('Informe Kelly'!A1877,Base!A:G,7,FALSE)</f>
        <v>GUERRERO MALIO JUAN</v>
      </c>
      <c r="C1883" s="112" t="str">
        <f>'Informe Kelly'!E1877</f>
        <v>06.04.2011</v>
      </c>
      <c r="D1883" s="112" t="e">
        <f>VLOOKUP(A1883,Ingreso!K:P,6,FALSE)</f>
        <v>#N/A</v>
      </c>
      <c r="E1883" s="142" t="e">
        <f>(VLOOKUP(D1883,$D$2:$E$4,2,FALSE))-(IF('Informe Kelly'!H1877=$A$2,'Informe Kelly'!F1877,VLOOKUP(D1883,$D$2:$E$4,2,FALSE)))</f>
        <v>#N/A</v>
      </c>
      <c r="F1883" s="142" t="e">
        <f>IF('Informe Kelly'!H1877=$A$3,'Informe Kelly'!F1877,VLOOKUP(D1883,$D$2:$F$4,3,FALSE))-(VLOOKUP(D1883,$D$2:$F$4,3,FALSE))</f>
        <v>#N/A</v>
      </c>
      <c r="G1883" s="137" t="e">
        <f t="shared" si="33"/>
        <v>#N/A</v>
      </c>
    </row>
    <row r="1884" spans="1:7">
      <c r="A1884" s="112" t="str">
        <f>VLOOKUP('Informe Kelly'!A1878,Base!A:B,2,FALSE)</f>
        <v>15.391.242-4</v>
      </c>
      <c r="B1884" s="112" t="str">
        <f>VLOOKUP('Informe Kelly'!A1878,Base!A:G,7,FALSE)</f>
        <v>GUERRERO MALIO JUAN</v>
      </c>
      <c r="C1884" s="112" t="str">
        <f>'Informe Kelly'!E1878</f>
        <v>07.04.2011</v>
      </c>
      <c r="D1884" s="112" t="e">
        <f>VLOOKUP(A1884,Ingreso!K:P,6,FALSE)</f>
        <v>#N/A</v>
      </c>
      <c r="E1884" s="142" t="e">
        <f>(VLOOKUP(D1884,$D$2:$E$4,2,FALSE))-(IF('Informe Kelly'!H1878=$A$2,'Informe Kelly'!F1878,VLOOKUP(D1884,$D$2:$E$4,2,FALSE)))</f>
        <v>#N/A</v>
      </c>
      <c r="F1884" s="142" t="e">
        <f>IF('Informe Kelly'!H1878=$A$3,'Informe Kelly'!F1878,VLOOKUP(D1884,$D$2:$F$4,3,FALSE))-(VLOOKUP(D1884,$D$2:$F$4,3,FALSE))</f>
        <v>#N/A</v>
      </c>
      <c r="G1884" s="137" t="e">
        <f t="shared" si="33"/>
        <v>#N/A</v>
      </c>
    </row>
    <row r="1885" spans="1:7">
      <c r="A1885" s="112" t="str">
        <f>VLOOKUP('Informe Kelly'!A1879,Base!A:B,2,FALSE)</f>
        <v>15.391.242-4</v>
      </c>
      <c r="B1885" s="112" t="str">
        <f>VLOOKUP('Informe Kelly'!A1879,Base!A:G,7,FALSE)</f>
        <v>GUERRERO MALIO JUAN</v>
      </c>
      <c r="C1885" s="112" t="str">
        <f>'Informe Kelly'!E1879</f>
        <v>07.04.2011</v>
      </c>
      <c r="D1885" s="112" t="e">
        <f>VLOOKUP(A1885,Ingreso!K:P,6,FALSE)</f>
        <v>#N/A</v>
      </c>
      <c r="E1885" s="142" t="e">
        <f>(VLOOKUP(D1885,$D$2:$E$4,2,FALSE))-(IF('Informe Kelly'!H1879=$A$2,'Informe Kelly'!F1879,VLOOKUP(D1885,$D$2:$E$4,2,FALSE)))</f>
        <v>#N/A</v>
      </c>
      <c r="F1885" s="142" t="e">
        <f>IF('Informe Kelly'!H1879=$A$3,'Informe Kelly'!F1879,VLOOKUP(D1885,$D$2:$F$4,3,FALSE))-(VLOOKUP(D1885,$D$2:$F$4,3,FALSE))</f>
        <v>#N/A</v>
      </c>
      <c r="G1885" s="137" t="e">
        <f t="shared" si="33"/>
        <v>#N/A</v>
      </c>
    </row>
    <row r="1886" spans="1:7">
      <c r="A1886" s="112" t="str">
        <f>VLOOKUP('Informe Kelly'!A1880,Base!A:B,2,FALSE)</f>
        <v>15.391.242-4</v>
      </c>
      <c r="B1886" s="112" t="str">
        <f>VLOOKUP('Informe Kelly'!A1880,Base!A:G,7,FALSE)</f>
        <v>GUERRERO MALIO JUAN</v>
      </c>
      <c r="C1886" s="112" t="str">
        <f>'Informe Kelly'!E1880</f>
        <v>08.04.2011</v>
      </c>
      <c r="D1886" s="112" t="e">
        <f>VLOOKUP(A1886,Ingreso!K:P,6,FALSE)</f>
        <v>#N/A</v>
      </c>
      <c r="E1886" s="142" t="e">
        <f>(VLOOKUP(D1886,$D$2:$E$4,2,FALSE))-(IF('Informe Kelly'!H1880=$A$2,'Informe Kelly'!F1880,VLOOKUP(D1886,$D$2:$E$4,2,FALSE)))</f>
        <v>#N/A</v>
      </c>
      <c r="F1886" s="142" t="e">
        <f>IF('Informe Kelly'!H1880=$A$3,'Informe Kelly'!F1880,VLOOKUP(D1886,$D$2:$F$4,3,FALSE))-(VLOOKUP(D1886,$D$2:$F$4,3,FALSE))</f>
        <v>#N/A</v>
      </c>
      <c r="G1886" s="137" t="e">
        <f t="shared" si="33"/>
        <v>#N/A</v>
      </c>
    </row>
    <row r="1887" spans="1:7">
      <c r="A1887" s="112" t="str">
        <f>VLOOKUP('Informe Kelly'!A1881,Base!A:B,2,FALSE)</f>
        <v>15.391.242-4</v>
      </c>
      <c r="B1887" s="112" t="str">
        <f>VLOOKUP('Informe Kelly'!A1881,Base!A:G,7,FALSE)</f>
        <v>GUERRERO MALIO JUAN</v>
      </c>
      <c r="C1887" s="112" t="str">
        <f>'Informe Kelly'!E1881</f>
        <v>08.04.2011</v>
      </c>
      <c r="D1887" s="112" t="e">
        <f>VLOOKUP(A1887,Ingreso!K:P,6,FALSE)</f>
        <v>#N/A</v>
      </c>
      <c r="E1887" s="142" t="e">
        <f>(VLOOKUP(D1887,$D$2:$E$4,2,FALSE))-(IF('Informe Kelly'!H1881=$A$2,'Informe Kelly'!F1881,VLOOKUP(D1887,$D$2:$E$4,2,FALSE)))</f>
        <v>#N/A</v>
      </c>
      <c r="F1887" s="142" t="e">
        <f>IF('Informe Kelly'!H1881=$A$3,'Informe Kelly'!F1881,VLOOKUP(D1887,$D$2:$F$4,3,FALSE))-(VLOOKUP(D1887,$D$2:$F$4,3,FALSE))</f>
        <v>#N/A</v>
      </c>
      <c r="G1887" s="137" t="e">
        <f t="shared" si="33"/>
        <v>#N/A</v>
      </c>
    </row>
    <row r="1888" spans="1:7">
      <c r="A1888" s="112" t="str">
        <f>VLOOKUP('Informe Kelly'!A1882,Base!A:B,2,FALSE)</f>
        <v>15.391.242-4</v>
      </c>
      <c r="B1888" s="112" t="str">
        <f>VLOOKUP('Informe Kelly'!A1882,Base!A:G,7,FALSE)</f>
        <v>GUERRERO MALIO JUAN</v>
      </c>
      <c r="C1888" s="112" t="str">
        <f>'Informe Kelly'!E1882</f>
        <v>09.04.2011</v>
      </c>
      <c r="D1888" s="112" t="e">
        <f>VLOOKUP(A1888,Ingreso!K:P,6,FALSE)</f>
        <v>#N/A</v>
      </c>
      <c r="E1888" s="142" t="e">
        <f>(VLOOKUP(D1888,$D$2:$E$4,2,FALSE))-(IF('Informe Kelly'!H1882=$A$2,'Informe Kelly'!F1882,VLOOKUP(D1888,$D$2:$E$4,2,FALSE)))</f>
        <v>#N/A</v>
      </c>
      <c r="F1888" s="142" t="e">
        <f>IF('Informe Kelly'!H1882=$A$3,'Informe Kelly'!F1882,VLOOKUP(D1888,$D$2:$F$4,3,FALSE))-(VLOOKUP(D1888,$D$2:$F$4,3,FALSE))</f>
        <v>#N/A</v>
      </c>
      <c r="G1888" s="137" t="e">
        <f t="shared" si="33"/>
        <v>#N/A</v>
      </c>
    </row>
    <row r="1889" spans="1:7">
      <c r="A1889" s="112" t="str">
        <f>VLOOKUP('Informe Kelly'!A1883,Base!A:B,2,FALSE)</f>
        <v>15.391.242-4</v>
      </c>
      <c r="B1889" s="112" t="str">
        <f>VLOOKUP('Informe Kelly'!A1883,Base!A:G,7,FALSE)</f>
        <v>GUERRERO MALIO JUAN</v>
      </c>
      <c r="C1889" s="112" t="str">
        <f>'Informe Kelly'!E1883</f>
        <v>09.04.2011</v>
      </c>
      <c r="D1889" s="112" t="e">
        <f>VLOOKUP(A1889,Ingreso!K:P,6,FALSE)</f>
        <v>#N/A</v>
      </c>
      <c r="E1889" s="142" t="e">
        <f>(VLOOKUP(D1889,$D$2:$E$4,2,FALSE))-(IF('Informe Kelly'!H1883=$A$2,'Informe Kelly'!F1883,VLOOKUP(D1889,$D$2:$E$4,2,FALSE)))</f>
        <v>#N/A</v>
      </c>
      <c r="F1889" s="142" t="e">
        <f>IF('Informe Kelly'!H1883=$A$3,'Informe Kelly'!F1883,VLOOKUP(D1889,$D$2:$F$4,3,FALSE))-(VLOOKUP(D1889,$D$2:$F$4,3,FALSE))</f>
        <v>#N/A</v>
      </c>
      <c r="G1889" s="137" t="e">
        <f t="shared" si="33"/>
        <v>#N/A</v>
      </c>
    </row>
    <row r="1890" spans="1:7">
      <c r="A1890" s="112" t="str">
        <f>VLOOKUP('Informe Kelly'!A1884,Base!A:B,2,FALSE)</f>
        <v>15.436.097-2</v>
      </c>
      <c r="B1890" s="112" t="str">
        <f>VLOOKUP('Informe Kelly'!A1884,Base!A:G,7,FALSE)</f>
        <v>VALENZUELA  DIAZ, LUIS</v>
      </c>
      <c r="C1890" s="112" t="str">
        <f>'Informe Kelly'!E1884</f>
        <v>04.04.2011</v>
      </c>
      <c r="D1890" s="112" t="e">
        <f>VLOOKUP(A1890,Ingreso!K:P,6,FALSE)</f>
        <v>#N/A</v>
      </c>
      <c r="E1890" s="142" t="e">
        <f>(VLOOKUP(D1890,$D$2:$E$4,2,FALSE))-(IF('Informe Kelly'!H1884=$A$2,'Informe Kelly'!F1884,VLOOKUP(D1890,$D$2:$E$4,2,FALSE)))</f>
        <v>#N/A</v>
      </c>
      <c r="F1890" s="142" t="e">
        <f>IF('Informe Kelly'!H1884=$A$3,'Informe Kelly'!F1884,VLOOKUP(D1890,$D$2:$F$4,3,FALSE))-(VLOOKUP(D1890,$D$2:$F$4,3,FALSE))</f>
        <v>#N/A</v>
      </c>
      <c r="G1890" s="137" t="e">
        <f t="shared" si="33"/>
        <v>#N/A</v>
      </c>
    </row>
    <row r="1891" spans="1:7">
      <c r="A1891" s="112" t="str">
        <f>VLOOKUP('Informe Kelly'!A1885,Base!A:B,2,FALSE)</f>
        <v>15.436.097-2</v>
      </c>
      <c r="B1891" s="112" t="str">
        <f>VLOOKUP('Informe Kelly'!A1885,Base!A:G,7,FALSE)</f>
        <v>VALENZUELA  DIAZ, LUIS</v>
      </c>
      <c r="C1891" s="112" t="str">
        <f>'Informe Kelly'!E1885</f>
        <v>05.04.2011</v>
      </c>
      <c r="D1891" s="112" t="e">
        <f>VLOOKUP(A1891,Ingreso!K:P,6,FALSE)</f>
        <v>#N/A</v>
      </c>
      <c r="E1891" s="142" t="e">
        <f>(VLOOKUP(D1891,$D$2:$E$4,2,FALSE))-(IF('Informe Kelly'!H1885=$A$2,'Informe Kelly'!F1885,VLOOKUP(D1891,$D$2:$E$4,2,FALSE)))</f>
        <v>#N/A</v>
      </c>
      <c r="F1891" s="142" t="e">
        <f>IF('Informe Kelly'!H1885=$A$3,'Informe Kelly'!F1885,VLOOKUP(D1891,$D$2:$F$4,3,FALSE))-(VLOOKUP(D1891,$D$2:$F$4,3,FALSE))</f>
        <v>#N/A</v>
      </c>
      <c r="G1891" s="137" t="e">
        <f t="shared" si="33"/>
        <v>#N/A</v>
      </c>
    </row>
    <row r="1892" spans="1:7">
      <c r="A1892" s="112" t="str">
        <f>VLOOKUP('Informe Kelly'!A1886,Base!A:B,2,FALSE)</f>
        <v>15.437.429-9</v>
      </c>
      <c r="B1892" s="112" t="str">
        <f>VLOOKUP('Informe Kelly'!A1886,Base!A:G,7,FALSE)</f>
        <v>NADEAU JOFRE JULIO</v>
      </c>
      <c r="C1892" s="112" t="str">
        <f>'Informe Kelly'!E1886</f>
        <v>04.04.2011</v>
      </c>
      <c r="D1892" s="112" t="e">
        <f>VLOOKUP(A1892,Ingreso!K:P,6,FALSE)</f>
        <v>#N/A</v>
      </c>
      <c r="E1892" s="142" t="e">
        <f>(VLOOKUP(D1892,$D$2:$E$4,2,FALSE))-(IF('Informe Kelly'!H1886=$A$2,'Informe Kelly'!F1886,VLOOKUP(D1892,$D$2:$E$4,2,FALSE)))</f>
        <v>#N/A</v>
      </c>
      <c r="F1892" s="142" t="e">
        <f>IF('Informe Kelly'!H1886=$A$3,'Informe Kelly'!F1886,VLOOKUP(D1892,$D$2:$F$4,3,FALSE))-(VLOOKUP(D1892,$D$2:$F$4,3,FALSE))</f>
        <v>#N/A</v>
      </c>
      <c r="G1892" s="137" t="e">
        <f t="shared" si="33"/>
        <v>#N/A</v>
      </c>
    </row>
    <row r="1893" spans="1:7">
      <c r="A1893" s="112" t="str">
        <f>VLOOKUP('Informe Kelly'!A1887,Base!A:B,2,FALSE)</f>
        <v>15.437.429-9</v>
      </c>
      <c r="B1893" s="112" t="str">
        <f>VLOOKUP('Informe Kelly'!A1887,Base!A:G,7,FALSE)</f>
        <v>NADEAU JOFRE JULIO</v>
      </c>
      <c r="C1893" s="112" t="str">
        <f>'Informe Kelly'!E1887</f>
        <v>04.04.2011</v>
      </c>
      <c r="D1893" s="112" t="e">
        <f>VLOOKUP(A1893,Ingreso!K:P,6,FALSE)</f>
        <v>#N/A</v>
      </c>
      <c r="E1893" s="142" t="e">
        <f>(VLOOKUP(D1893,$D$2:$E$4,2,FALSE))-(IF('Informe Kelly'!H1887=$A$2,'Informe Kelly'!F1887,VLOOKUP(D1893,$D$2:$E$4,2,FALSE)))</f>
        <v>#N/A</v>
      </c>
      <c r="F1893" s="142" t="e">
        <f>IF('Informe Kelly'!H1887=$A$3,'Informe Kelly'!F1887,VLOOKUP(D1893,$D$2:$F$4,3,FALSE))-(VLOOKUP(D1893,$D$2:$F$4,3,FALSE))</f>
        <v>#N/A</v>
      </c>
      <c r="G1893" s="137" t="e">
        <f t="shared" si="33"/>
        <v>#N/A</v>
      </c>
    </row>
    <row r="1894" spans="1:7">
      <c r="A1894" s="112" t="str">
        <f>VLOOKUP('Informe Kelly'!A1888,Base!A:B,2,FALSE)</f>
        <v>15.437.429-9</v>
      </c>
      <c r="B1894" s="112" t="str">
        <f>VLOOKUP('Informe Kelly'!A1888,Base!A:G,7,FALSE)</f>
        <v>NADEAU JOFRE JULIO</v>
      </c>
      <c r="C1894" s="112" t="str">
        <f>'Informe Kelly'!E1888</f>
        <v>05.04.2011</v>
      </c>
      <c r="D1894" s="112" t="e">
        <f>VLOOKUP(A1894,Ingreso!K:P,6,FALSE)</f>
        <v>#N/A</v>
      </c>
      <c r="E1894" s="142" t="e">
        <f>(VLOOKUP(D1894,$D$2:$E$4,2,FALSE))-(IF('Informe Kelly'!H1888=$A$2,'Informe Kelly'!F1888,VLOOKUP(D1894,$D$2:$E$4,2,FALSE)))</f>
        <v>#N/A</v>
      </c>
      <c r="F1894" s="142" t="e">
        <f>IF('Informe Kelly'!H1888=$A$3,'Informe Kelly'!F1888,VLOOKUP(D1894,$D$2:$F$4,3,FALSE))-(VLOOKUP(D1894,$D$2:$F$4,3,FALSE))</f>
        <v>#N/A</v>
      </c>
      <c r="G1894" s="137" t="e">
        <f t="shared" si="33"/>
        <v>#N/A</v>
      </c>
    </row>
    <row r="1895" spans="1:7">
      <c r="A1895" s="112" t="str">
        <f>VLOOKUP('Informe Kelly'!A1889,Base!A:B,2,FALSE)</f>
        <v>15.437.429-9</v>
      </c>
      <c r="B1895" s="112" t="str">
        <f>VLOOKUP('Informe Kelly'!A1889,Base!A:G,7,FALSE)</f>
        <v>NADEAU JOFRE JULIO</v>
      </c>
      <c r="C1895" s="112" t="str">
        <f>'Informe Kelly'!E1889</f>
        <v>05.04.2011</v>
      </c>
      <c r="D1895" s="112" t="e">
        <f>VLOOKUP(A1895,Ingreso!K:P,6,FALSE)</f>
        <v>#N/A</v>
      </c>
      <c r="E1895" s="142" t="e">
        <f>(VLOOKUP(D1895,$D$2:$E$4,2,FALSE))-(IF('Informe Kelly'!H1889=$A$2,'Informe Kelly'!F1889,VLOOKUP(D1895,$D$2:$E$4,2,FALSE)))</f>
        <v>#N/A</v>
      </c>
      <c r="F1895" s="142" t="e">
        <f>IF('Informe Kelly'!H1889=$A$3,'Informe Kelly'!F1889,VLOOKUP(D1895,$D$2:$F$4,3,FALSE))-(VLOOKUP(D1895,$D$2:$F$4,3,FALSE))</f>
        <v>#N/A</v>
      </c>
      <c r="G1895" s="137" t="e">
        <f t="shared" si="33"/>
        <v>#N/A</v>
      </c>
    </row>
    <row r="1896" spans="1:7">
      <c r="A1896" s="112" t="str">
        <f>VLOOKUP('Informe Kelly'!A1890,Base!A:B,2,FALSE)</f>
        <v>15.437.429-9</v>
      </c>
      <c r="B1896" s="112" t="str">
        <f>VLOOKUP('Informe Kelly'!A1890,Base!A:G,7,FALSE)</f>
        <v>NADEAU JOFRE JULIO</v>
      </c>
      <c r="C1896" s="112" t="str">
        <f>'Informe Kelly'!E1890</f>
        <v>06.04.2011</v>
      </c>
      <c r="D1896" s="112" t="e">
        <f>VLOOKUP(A1896,Ingreso!K:P,6,FALSE)</f>
        <v>#N/A</v>
      </c>
      <c r="E1896" s="142" t="e">
        <f>(VLOOKUP(D1896,$D$2:$E$4,2,FALSE))-(IF('Informe Kelly'!H1890=$A$2,'Informe Kelly'!F1890,VLOOKUP(D1896,$D$2:$E$4,2,FALSE)))</f>
        <v>#N/A</v>
      </c>
      <c r="F1896" s="142" t="e">
        <f>IF('Informe Kelly'!H1890=$A$3,'Informe Kelly'!F1890,VLOOKUP(D1896,$D$2:$F$4,3,FALSE))-(VLOOKUP(D1896,$D$2:$F$4,3,FALSE))</f>
        <v>#N/A</v>
      </c>
      <c r="G1896" s="137" t="e">
        <f t="shared" si="33"/>
        <v>#N/A</v>
      </c>
    </row>
    <row r="1897" spans="1:7">
      <c r="A1897" s="112" t="str">
        <f>VLOOKUP('Informe Kelly'!A1891,Base!A:B,2,FALSE)</f>
        <v>15.437.429-9</v>
      </c>
      <c r="B1897" s="112" t="str">
        <f>VLOOKUP('Informe Kelly'!A1891,Base!A:G,7,FALSE)</f>
        <v>NADEAU JOFRE JULIO</v>
      </c>
      <c r="C1897" s="112" t="str">
        <f>'Informe Kelly'!E1891</f>
        <v>06.04.2011</v>
      </c>
      <c r="D1897" s="112" t="e">
        <f>VLOOKUP(A1897,Ingreso!K:P,6,FALSE)</f>
        <v>#N/A</v>
      </c>
      <c r="E1897" s="142" t="e">
        <f>(VLOOKUP(D1897,$D$2:$E$4,2,FALSE))-(IF('Informe Kelly'!H1891=$A$2,'Informe Kelly'!F1891,VLOOKUP(D1897,$D$2:$E$4,2,FALSE)))</f>
        <v>#N/A</v>
      </c>
      <c r="F1897" s="142" t="e">
        <f>IF('Informe Kelly'!H1891=$A$3,'Informe Kelly'!F1891,VLOOKUP(D1897,$D$2:$F$4,3,FALSE))-(VLOOKUP(D1897,$D$2:$F$4,3,FALSE))</f>
        <v>#N/A</v>
      </c>
      <c r="G1897" s="137" t="e">
        <f t="shared" si="33"/>
        <v>#N/A</v>
      </c>
    </row>
    <row r="1898" spans="1:7">
      <c r="A1898" s="112" t="str">
        <f>VLOOKUP('Informe Kelly'!A1892,Base!A:B,2,FALSE)</f>
        <v>15.437.429-9</v>
      </c>
      <c r="B1898" s="112" t="str">
        <f>VLOOKUP('Informe Kelly'!A1892,Base!A:G,7,FALSE)</f>
        <v>NADEAU JOFRE JULIO</v>
      </c>
      <c r="C1898" s="112" t="str">
        <f>'Informe Kelly'!E1892</f>
        <v>07.04.2011</v>
      </c>
      <c r="D1898" s="112" t="e">
        <f>VLOOKUP(A1898,Ingreso!K:P,6,FALSE)</f>
        <v>#N/A</v>
      </c>
      <c r="E1898" s="142" t="e">
        <f>(VLOOKUP(D1898,$D$2:$E$4,2,FALSE))-(IF('Informe Kelly'!H1892=$A$2,'Informe Kelly'!F1892,VLOOKUP(D1898,$D$2:$E$4,2,FALSE)))</f>
        <v>#N/A</v>
      </c>
      <c r="F1898" s="142" t="e">
        <f>IF('Informe Kelly'!H1892=$A$3,'Informe Kelly'!F1892,VLOOKUP(D1898,$D$2:$F$4,3,FALSE))-(VLOOKUP(D1898,$D$2:$F$4,3,FALSE))</f>
        <v>#N/A</v>
      </c>
      <c r="G1898" s="137" t="e">
        <f t="shared" si="33"/>
        <v>#N/A</v>
      </c>
    </row>
    <row r="1899" spans="1:7">
      <c r="A1899" s="112" t="str">
        <f>VLOOKUP('Informe Kelly'!A1893,Base!A:B,2,FALSE)</f>
        <v>15.437.429-9</v>
      </c>
      <c r="B1899" s="112" t="str">
        <f>VLOOKUP('Informe Kelly'!A1893,Base!A:G,7,FALSE)</f>
        <v>NADEAU JOFRE JULIO</v>
      </c>
      <c r="C1899" s="112" t="str">
        <f>'Informe Kelly'!E1893</f>
        <v>07.04.2011</v>
      </c>
      <c r="D1899" s="112" t="e">
        <f>VLOOKUP(A1899,Ingreso!K:P,6,FALSE)</f>
        <v>#N/A</v>
      </c>
      <c r="E1899" s="142" t="e">
        <f>(VLOOKUP(D1899,$D$2:$E$4,2,FALSE))-(IF('Informe Kelly'!H1893=$A$2,'Informe Kelly'!F1893,VLOOKUP(D1899,$D$2:$E$4,2,FALSE)))</f>
        <v>#N/A</v>
      </c>
      <c r="F1899" s="142" t="e">
        <f>IF('Informe Kelly'!H1893=$A$3,'Informe Kelly'!F1893,VLOOKUP(D1899,$D$2:$F$4,3,FALSE))-(VLOOKUP(D1899,$D$2:$F$4,3,FALSE))</f>
        <v>#N/A</v>
      </c>
      <c r="G1899" s="137" t="e">
        <f t="shared" si="33"/>
        <v>#N/A</v>
      </c>
    </row>
    <row r="1900" spans="1:7">
      <c r="A1900" s="112" t="str">
        <f>VLOOKUP('Informe Kelly'!A1894,Base!A:B,2,FALSE)</f>
        <v>15.437.429-9</v>
      </c>
      <c r="B1900" s="112" t="str">
        <f>VLOOKUP('Informe Kelly'!A1894,Base!A:G,7,FALSE)</f>
        <v>NADEAU JOFRE JULIO</v>
      </c>
      <c r="C1900" s="112" t="str">
        <f>'Informe Kelly'!E1894</f>
        <v>08.04.2011</v>
      </c>
      <c r="D1900" s="112" t="e">
        <f>VLOOKUP(A1900,Ingreso!K:P,6,FALSE)</f>
        <v>#N/A</v>
      </c>
      <c r="E1900" s="142" t="e">
        <f>(VLOOKUP(D1900,$D$2:$E$4,2,FALSE))-(IF('Informe Kelly'!H1894=$A$2,'Informe Kelly'!F1894,VLOOKUP(D1900,$D$2:$E$4,2,FALSE)))</f>
        <v>#N/A</v>
      </c>
      <c r="F1900" s="142" t="e">
        <f>IF('Informe Kelly'!H1894=$A$3,'Informe Kelly'!F1894,VLOOKUP(D1900,$D$2:$F$4,3,FALSE))-(VLOOKUP(D1900,$D$2:$F$4,3,FALSE))</f>
        <v>#N/A</v>
      </c>
      <c r="G1900" s="137" t="e">
        <f t="shared" si="33"/>
        <v>#N/A</v>
      </c>
    </row>
    <row r="1901" spans="1:7">
      <c r="A1901" s="112" t="str">
        <f>VLOOKUP('Informe Kelly'!A1895,Base!A:B,2,FALSE)</f>
        <v>15.437.429-9</v>
      </c>
      <c r="B1901" s="112" t="str">
        <f>VLOOKUP('Informe Kelly'!A1895,Base!A:G,7,FALSE)</f>
        <v>NADEAU JOFRE JULIO</v>
      </c>
      <c r="C1901" s="112" t="str">
        <f>'Informe Kelly'!E1895</f>
        <v>08.04.2011</v>
      </c>
      <c r="D1901" s="112" t="e">
        <f>VLOOKUP(A1901,Ingreso!K:P,6,FALSE)</f>
        <v>#N/A</v>
      </c>
      <c r="E1901" s="142" t="e">
        <f>(VLOOKUP(D1901,$D$2:$E$4,2,FALSE))-(IF('Informe Kelly'!H1895=$A$2,'Informe Kelly'!F1895,VLOOKUP(D1901,$D$2:$E$4,2,FALSE)))</f>
        <v>#N/A</v>
      </c>
      <c r="F1901" s="142" t="e">
        <f>IF('Informe Kelly'!H1895=$A$3,'Informe Kelly'!F1895,VLOOKUP(D1901,$D$2:$F$4,3,FALSE))-(VLOOKUP(D1901,$D$2:$F$4,3,FALSE))</f>
        <v>#N/A</v>
      </c>
      <c r="G1901" s="137" t="e">
        <f t="shared" si="33"/>
        <v>#N/A</v>
      </c>
    </row>
    <row r="1902" spans="1:7">
      <c r="A1902" s="112" t="str">
        <f>VLOOKUP('Informe Kelly'!A1896,Base!A:B,2,FALSE)</f>
        <v>15.437.429-9</v>
      </c>
      <c r="B1902" s="112" t="str">
        <f>VLOOKUP('Informe Kelly'!A1896,Base!A:G,7,FALSE)</f>
        <v>NADEAU JOFRE JULIO</v>
      </c>
      <c r="C1902" s="112" t="str">
        <f>'Informe Kelly'!E1896</f>
        <v>10.04.2011</v>
      </c>
      <c r="D1902" s="112" t="e">
        <f>VLOOKUP(A1902,Ingreso!K:P,6,FALSE)</f>
        <v>#N/A</v>
      </c>
      <c r="E1902" s="142" t="e">
        <f>(VLOOKUP(D1902,$D$2:$E$4,2,FALSE))-(IF('Informe Kelly'!H1896=$A$2,'Informe Kelly'!F1896,VLOOKUP(D1902,$D$2:$E$4,2,FALSE)))</f>
        <v>#N/A</v>
      </c>
      <c r="F1902" s="142" t="e">
        <f>IF('Informe Kelly'!H1896=$A$3,'Informe Kelly'!F1896,VLOOKUP(D1902,$D$2:$F$4,3,FALSE))-(VLOOKUP(D1902,$D$2:$F$4,3,FALSE))</f>
        <v>#N/A</v>
      </c>
      <c r="G1902" s="137" t="e">
        <f t="shared" si="33"/>
        <v>#N/A</v>
      </c>
    </row>
    <row r="1903" spans="1:7">
      <c r="A1903" s="112" t="str">
        <f>VLOOKUP('Informe Kelly'!A1897,Base!A:B,2,FALSE)</f>
        <v>15.437.429-9</v>
      </c>
      <c r="B1903" s="112" t="str">
        <f>VLOOKUP('Informe Kelly'!A1897,Base!A:G,7,FALSE)</f>
        <v>NADEAU JOFRE JULIO</v>
      </c>
      <c r="C1903" s="112" t="str">
        <f>'Informe Kelly'!E1897</f>
        <v>10.04.2011</v>
      </c>
      <c r="D1903" s="112" t="e">
        <f>VLOOKUP(A1903,Ingreso!K:P,6,FALSE)</f>
        <v>#N/A</v>
      </c>
      <c r="E1903" s="142" t="e">
        <f>(VLOOKUP(D1903,$D$2:$E$4,2,FALSE))-(IF('Informe Kelly'!H1897=$A$2,'Informe Kelly'!F1897,VLOOKUP(D1903,$D$2:$E$4,2,FALSE)))</f>
        <v>#N/A</v>
      </c>
      <c r="F1903" s="142" t="e">
        <f>IF('Informe Kelly'!H1897=$A$3,'Informe Kelly'!F1897,VLOOKUP(D1903,$D$2:$F$4,3,FALSE))-(VLOOKUP(D1903,$D$2:$F$4,3,FALSE))</f>
        <v>#N/A</v>
      </c>
      <c r="G1903" s="137" t="e">
        <f t="shared" si="33"/>
        <v>#N/A</v>
      </c>
    </row>
    <row r="1904" spans="1:7">
      <c r="A1904" s="112" t="str">
        <f>VLOOKUP('Informe Kelly'!A1898,Base!A:B,2,FALSE)</f>
        <v>15.439.409-5</v>
      </c>
      <c r="B1904" s="112" t="str">
        <f>VLOOKUP('Informe Kelly'!A1898,Base!A:G,7,FALSE)</f>
        <v>BRAVO SALAMANCA MARICEL ANDREA</v>
      </c>
      <c r="C1904" s="112" t="str">
        <f>'Informe Kelly'!E1898</f>
        <v>04.04.2011</v>
      </c>
      <c r="D1904" s="112" t="e">
        <f>VLOOKUP(A1904,Ingreso!K:P,6,FALSE)</f>
        <v>#N/A</v>
      </c>
      <c r="E1904" s="142" t="e">
        <f>(VLOOKUP(D1904,$D$2:$E$4,2,FALSE))-(IF('Informe Kelly'!H1898=$A$2,'Informe Kelly'!F1898,VLOOKUP(D1904,$D$2:$E$4,2,FALSE)))</f>
        <v>#N/A</v>
      </c>
      <c r="F1904" s="142" t="e">
        <f>IF('Informe Kelly'!H1898=$A$3,'Informe Kelly'!F1898,VLOOKUP(D1904,$D$2:$F$4,3,FALSE))-(VLOOKUP(D1904,$D$2:$F$4,3,FALSE))</f>
        <v>#N/A</v>
      </c>
      <c r="G1904" s="137" t="e">
        <f t="shared" si="33"/>
        <v>#N/A</v>
      </c>
    </row>
    <row r="1905" spans="1:7">
      <c r="A1905" s="112" t="str">
        <f>VLOOKUP('Informe Kelly'!A1899,Base!A:B,2,FALSE)</f>
        <v>15.439.409-5</v>
      </c>
      <c r="B1905" s="112" t="str">
        <f>VLOOKUP('Informe Kelly'!A1899,Base!A:G,7,FALSE)</f>
        <v>BRAVO SALAMANCA MARICEL ANDREA</v>
      </c>
      <c r="C1905" s="112" t="str">
        <f>'Informe Kelly'!E1899</f>
        <v>04.04.2011</v>
      </c>
      <c r="D1905" s="112" t="e">
        <f>VLOOKUP(A1905,Ingreso!K:P,6,FALSE)</f>
        <v>#N/A</v>
      </c>
      <c r="E1905" s="142" t="e">
        <f>(VLOOKUP(D1905,$D$2:$E$4,2,FALSE))-(IF('Informe Kelly'!H1899=$A$2,'Informe Kelly'!F1899,VLOOKUP(D1905,$D$2:$E$4,2,FALSE)))</f>
        <v>#N/A</v>
      </c>
      <c r="F1905" s="142" t="e">
        <f>IF('Informe Kelly'!H1899=$A$3,'Informe Kelly'!F1899,VLOOKUP(D1905,$D$2:$F$4,3,FALSE))-(VLOOKUP(D1905,$D$2:$F$4,3,FALSE))</f>
        <v>#N/A</v>
      </c>
      <c r="G1905" s="137" t="e">
        <f t="shared" si="33"/>
        <v>#N/A</v>
      </c>
    </row>
    <row r="1906" spans="1:7">
      <c r="A1906" s="112" t="str">
        <f>VLOOKUP('Informe Kelly'!A1900,Base!A:B,2,FALSE)</f>
        <v>15.439.409-5</v>
      </c>
      <c r="B1906" s="112" t="str">
        <f>VLOOKUP('Informe Kelly'!A1900,Base!A:G,7,FALSE)</f>
        <v>BRAVO SALAMANCA MARICEL ANDREA</v>
      </c>
      <c r="C1906" s="112" t="str">
        <f>'Informe Kelly'!E1900</f>
        <v>05.04.2011</v>
      </c>
      <c r="D1906" s="112" t="e">
        <f>VLOOKUP(A1906,Ingreso!K:P,6,FALSE)</f>
        <v>#N/A</v>
      </c>
      <c r="E1906" s="142" t="e">
        <f>(VLOOKUP(D1906,$D$2:$E$4,2,FALSE))-(IF('Informe Kelly'!H1900=$A$2,'Informe Kelly'!F1900,VLOOKUP(D1906,$D$2:$E$4,2,FALSE)))</f>
        <v>#N/A</v>
      </c>
      <c r="F1906" s="142" t="e">
        <f>IF('Informe Kelly'!H1900=$A$3,'Informe Kelly'!F1900,VLOOKUP(D1906,$D$2:$F$4,3,FALSE))-(VLOOKUP(D1906,$D$2:$F$4,3,FALSE))</f>
        <v>#N/A</v>
      </c>
      <c r="G1906" s="137" t="e">
        <f t="shared" si="33"/>
        <v>#N/A</v>
      </c>
    </row>
    <row r="1907" spans="1:7">
      <c r="A1907" s="112" t="str">
        <f>VLOOKUP('Informe Kelly'!A1901,Base!A:B,2,FALSE)</f>
        <v>15.439.409-5</v>
      </c>
      <c r="B1907" s="112" t="str">
        <f>VLOOKUP('Informe Kelly'!A1901,Base!A:G,7,FALSE)</f>
        <v>BRAVO SALAMANCA MARICEL ANDREA</v>
      </c>
      <c r="C1907" s="112" t="str">
        <f>'Informe Kelly'!E1901</f>
        <v>05.04.2011</v>
      </c>
      <c r="D1907" s="112" t="e">
        <f>VLOOKUP(A1907,Ingreso!K:P,6,FALSE)</f>
        <v>#N/A</v>
      </c>
      <c r="E1907" s="142" t="e">
        <f>(VLOOKUP(D1907,$D$2:$E$4,2,FALSE))-(IF('Informe Kelly'!H1901=$A$2,'Informe Kelly'!F1901,VLOOKUP(D1907,$D$2:$E$4,2,FALSE)))</f>
        <v>#N/A</v>
      </c>
      <c r="F1907" s="142" t="e">
        <f>IF('Informe Kelly'!H1901=$A$3,'Informe Kelly'!F1901,VLOOKUP(D1907,$D$2:$F$4,3,FALSE))-(VLOOKUP(D1907,$D$2:$F$4,3,FALSE))</f>
        <v>#N/A</v>
      </c>
      <c r="G1907" s="137" t="e">
        <f t="shared" si="33"/>
        <v>#N/A</v>
      </c>
    </row>
    <row r="1908" spans="1:7">
      <c r="A1908" s="112" t="str">
        <f>VLOOKUP('Informe Kelly'!A1902,Base!A:B,2,FALSE)</f>
        <v>15.439.409-5</v>
      </c>
      <c r="B1908" s="112" t="str">
        <f>VLOOKUP('Informe Kelly'!A1902,Base!A:G,7,FALSE)</f>
        <v>BRAVO SALAMANCA MARICEL ANDREA</v>
      </c>
      <c r="C1908" s="112" t="str">
        <f>'Informe Kelly'!E1902</f>
        <v>06.04.2011</v>
      </c>
      <c r="D1908" s="112" t="e">
        <f>VLOOKUP(A1908,Ingreso!K:P,6,FALSE)</f>
        <v>#N/A</v>
      </c>
      <c r="E1908" s="142" t="e">
        <f>(VLOOKUP(D1908,$D$2:$E$4,2,FALSE))-(IF('Informe Kelly'!H1902=$A$2,'Informe Kelly'!F1902,VLOOKUP(D1908,$D$2:$E$4,2,FALSE)))</f>
        <v>#N/A</v>
      </c>
      <c r="F1908" s="142" t="e">
        <f>IF('Informe Kelly'!H1902=$A$3,'Informe Kelly'!F1902,VLOOKUP(D1908,$D$2:$F$4,3,FALSE))-(VLOOKUP(D1908,$D$2:$F$4,3,FALSE))</f>
        <v>#N/A</v>
      </c>
      <c r="G1908" s="137" t="e">
        <f t="shared" si="33"/>
        <v>#N/A</v>
      </c>
    </row>
    <row r="1909" spans="1:7">
      <c r="A1909" s="112" t="str">
        <f>VLOOKUP('Informe Kelly'!A1903,Base!A:B,2,FALSE)</f>
        <v>15.439.409-5</v>
      </c>
      <c r="B1909" s="112" t="str">
        <f>VLOOKUP('Informe Kelly'!A1903,Base!A:G,7,FALSE)</f>
        <v>BRAVO SALAMANCA MARICEL ANDREA</v>
      </c>
      <c r="C1909" s="112" t="str">
        <f>'Informe Kelly'!E1903</f>
        <v>06.04.2011</v>
      </c>
      <c r="D1909" s="112" t="e">
        <f>VLOOKUP(A1909,Ingreso!K:P,6,FALSE)</f>
        <v>#N/A</v>
      </c>
      <c r="E1909" s="142" t="e">
        <f>(VLOOKUP(D1909,$D$2:$E$4,2,FALSE))-(IF('Informe Kelly'!H1903=$A$2,'Informe Kelly'!F1903,VLOOKUP(D1909,$D$2:$E$4,2,FALSE)))</f>
        <v>#N/A</v>
      </c>
      <c r="F1909" s="142" t="e">
        <f>IF('Informe Kelly'!H1903=$A$3,'Informe Kelly'!F1903,VLOOKUP(D1909,$D$2:$F$4,3,FALSE))-(VLOOKUP(D1909,$D$2:$F$4,3,FALSE))</f>
        <v>#N/A</v>
      </c>
      <c r="G1909" s="137" t="e">
        <f t="shared" si="33"/>
        <v>#N/A</v>
      </c>
    </row>
    <row r="1910" spans="1:7">
      <c r="A1910" s="112" t="str">
        <f>VLOOKUP('Informe Kelly'!A1904,Base!A:B,2,FALSE)</f>
        <v>15.439.409-5</v>
      </c>
      <c r="B1910" s="112" t="str">
        <f>VLOOKUP('Informe Kelly'!A1904,Base!A:G,7,FALSE)</f>
        <v>BRAVO SALAMANCA MARICEL ANDREA</v>
      </c>
      <c r="C1910" s="112" t="str">
        <f>'Informe Kelly'!E1904</f>
        <v>07.04.2011</v>
      </c>
      <c r="D1910" s="112" t="e">
        <f>VLOOKUP(A1910,Ingreso!K:P,6,FALSE)</f>
        <v>#N/A</v>
      </c>
      <c r="E1910" s="142" t="e">
        <f>(VLOOKUP(D1910,$D$2:$E$4,2,FALSE))-(IF('Informe Kelly'!H1904=$A$2,'Informe Kelly'!F1904,VLOOKUP(D1910,$D$2:$E$4,2,FALSE)))</f>
        <v>#N/A</v>
      </c>
      <c r="F1910" s="142" t="e">
        <f>IF('Informe Kelly'!H1904=$A$3,'Informe Kelly'!F1904,VLOOKUP(D1910,$D$2:$F$4,3,FALSE))-(VLOOKUP(D1910,$D$2:$F$4,3,FALSE))</f>
        <v>#N/A</v>
      </c>
      <c r="G1910" s="137" t="e">
        <f t="shared" si="33"/>
        <v>#N/A</v>
      </c>
    </row>
    <row r="1911" spans="1:7">
      <c r="A1911" s="112" t="str">
        <f>VLOOKUP('Informe Kelly'!A1905,Base!A:B,2,FALSE)</f>
        <v>15.439.409-5</v>
      </c>
      <c r="B1911" s="112" t="str">
        <f>VLOOKUP('Informe Kelly'!A1905,Base!A:G,7,FALSE)</f>
        <v>BRAVO SALAMANCA MARICEL ANDREA</v>
      </c>
      <c r="C1911" s="112" t="str">
        <f>'Informe Kelly'!E1905</f>
        <v>07.04.2011</v>
      </c>
      <c r="D1911" s="112" t="e">
        <f>VLOOKUP(A1911,Ingreso!K:P,6,FALSE)</f>
        <v>#N/A</v>
      </c>
      <c r="E1911" s="142" t="e">
        <f>(VLOOKUP(D1911,$D$2:$E$4,2,FALSE))-(IF('Informe Kelly'!H1905=$A$2,'Informe Kelly'!F1905,VLOOKUP(D1911,$D$2:$E$4,2,FALSE)))</f>
        <v>#N/A</v>
      </c>
      <c r="F1911" s="142" t="e">
        <f>IF('Informe Kelly'!H1905=$A$3,'Informe Kelly'!F1905,VLOOKUP(D1911,$D$2:$F$4,3,FALSE))-(VLOOKUP(D1911,$D$2:$F$4,3,FALSE))</f>
        <v>#N/A</v>
      </c>
      <c r="G1911" s="137" t="e">
        <f t="shared" si="33"/>
        <v>#N/A</v>
      </c>
    </row>
    <row r="1912" spans="1:7">
      <c r="A1912" s="112" t="str">
        <f>VLOOKUP('Informe Kelly'!A1906,Base!A:B,2,FALSE)</f>
        <v>15.439.409-5</v>
      </c>
      <c r="B1912" s="112" t="str">
        <f>VLOOKUP('Informe Kelly'!A1906,Base!A:G,7,FALSE)</f>
        <v>BRAVO SALAMANCA MARICEL ANDREA</v>
      </c>
      <c r="C1912" s="112" t="str">
        <f>'Informe Kelly'!E1906</f>
        <v>08.04.2011</v>
      </c>
      <c r="D1912" s="112" t="e">
        <f>VLOOKUP(A1912,Ingreso!K:P,6,FALSE)</f>
        <v>#N/A</v>
      </c>
      <c r="E1912" s="142" t="e">
        <f>(VLOOKUP(D1912,$D$2:$E$4,2,FALSE))-(IF('Informe Kelly'!H1906=$A$2,'Informe Kelly'!F1906,VLOOKUP(D1912,$D$2:$E$4,2,FALSE)))</f>
        <v>#N/A</v>
      </c>
      <c r="F1912" s="142" t="e">
        <f>IF('Informe Kelly'!H1906=$A$3,'Informe Kelly'!F1906,VLOOKUP(D1912,$D$2:$F$4,3,FALSE))-(VLOOKUP(D1912,$D$2:$F$4,3,FALSE))</f>
        <v>#N/A</v>
      </c>
      <c r="G1912" s="137" t="e">
        <f t="shared" si="33"/>
        <v>#N/A</v>
      </c>
    </row>
    <row r="1913" spans="1:7">
      <c r="A1913" s="112" t="str">
        <f>VLOOKUP('Informe Kelly'!A1907,Base!A:B,2,FALSE)</f>
        <v>15.439.409-5</v>
      </c>
      <c r="B1913" s="112" t="str">
        <f>VLOOKUP('Informe Kelly'!A1907,Base!A:G,7,FALSE)</f>
        <v>BRAVO SALAMANCA MARICEL ANDREA</v>
      </c>
      <c r="C1913" s="112" t="str">
        <f>'Informe Kelly'!E1907</f>
        <v>08.04.2011</v>
      </c>
      <c r="D1913" s="112" t="e">
        <f>VLOOKUP(A1913,Ingreso!K:P,6,FALSE)</f>
        <v>#N/A</v>
      </c>
      <c r="E1913" s="142" t="e">
        <f>(VLOOKUP(D1913,$D$2:$E$4,2,FALSE))-(IF('Informe Kelly'!H1907=$A$2,'Informe Kelly'!F1907,VLOOKUP(D1913,$D$2:$E$4,2,FALSE)))</f>
        <v>#N/A</v>
      </c>
      <c r="F1913" s="142" t="e">
        <f>IF('Informe Kelly'!H1907=$A$3,'Informe Kelly'!F1907,VLOOKUP(D1913,$D$2:$F$4,3,FALSE))-(VLOOKUP(D1913,$D$2:$F$4,3,FALSE))</f>
        <v>#N/A</v>
      </c>
      <c r="G1913" s="137" t="e">
        <f t="shared" si="33"/>
        <v>#N/A</v>
      </c>
    </row>
    <row r="1914" spans="1:7">
      <c r="A1914" s="112" t="str">
        <f>VLOOKUP('Informe Kelly'!A1908,Base!A:B,2,FALSE)</f>
        <v>15.441.831-8</v>
      </c>
      <c r="B1914" s="112" t="str">
        <f>VLOOKUP('Informe Kelly'!A1908,Base!A:G,7,FALSE)</f>
        <v>VALDERRAMA CAÑAS ROBERTO MARIO</v>
      </c>
      <c r="C1914" s="112" t="str">
        <f>'Informe Kelly'!E1908</f>
        <v>04.04.2011</v>
      </c>
      <c r="D1914" s="112" t="e">
        <f>VLOOKUP(A1914,Ingreso!K:P,6,FALSE)</f>
        <v>#N/A</v>
      </c>
      <c r="E1914" s="142" t="e">
        <f>(VLOOKUP(D1914,$D$2:$E$4,2,FALSE))-(IF('Informe Kelly'!H1908=$A$2,'Informe Kelly'!F1908,VLOOKUP(D1914,$D$2:$E$4,2,FALSE)))</f>
        <v>#N/A</v>
      </c>
      <c r="F1914" s="142" t="e">
        <f>IF('Informe Kelly'!H1908=$A$3,'Informe Kelly'!F1908,VLOOKUP(D1914,$D$2:$F$4,3,FALSE))-(VLOOKUP(D1914,$D$2:$F$4,3,FALSE))</f>
        <v>#N/A</v>
      </c>
      <c r="G1914" s="137" t="e">
        <f t="shared" si="33"/>
        <v>#N/A</v>
      </c>
    </row>
    <row r="1915" spans="1:7">
      <c r="A1915" s="112" t="str">
        <f>VLOOKUP('Informe Kelly'!A1909,Base!A:B,2,FALSE)</f>
        <v>15.441.831-8</v>
      </c>
      <c r="B1915" s="112" t="str">
        <f>VLOOKUP('Informe Kelly'!A1909,Base!A:G,7,FALSE)</f>
        <v>VALDERRAMA CAÑAS ROBERTO MARIO</v>
      </c>
      <c r="C1915" s="112" t="str">
        <f>'Informe Kelly'!E1909</f>
        <v>04.04.2011</v>
      </c>
      <c r="D1915" s="112" t="e">
        <f>VLOOKUP(A1915,Ingreso!K:P,6,FALSE)</f>
        <v>#N/A</v>
      </c>
      <c r="E1915" s="142" t="e">
        <f>(VLOOKUP(D1915,$D$2:$E$4,2,FALSE))-(IF('Informe Kelly'!H1909=$A$2,'Informe Kelly'!F1909,VLOOKUP(D1915,$D$2:$E$4,2,FALSE)))</f>
        <v>#N/A</v>
      </c>
      <c r="F1915" s="142" t="e">
        <f>IF('Informe Kelly'!H1909=$A$3,'Informe Kelly'!F1909,VLOOKUP(D1915,$D$2:$F$4,3,FALSE))-(VLOOKUP(D1915,$D$2:$F$4,3,FALSE))</f>
        <v>#N/A</v>
      </c>
      <c r="G1915" s="137" t="e">
        <f t="shared" si="33"/>
        <v>#N/A</v>
      </c>
    </row>
    <row r="1916" spans="1:7">
      <c r="A1916" s="112" t="str">
        <f>VLOOKUP('Informe Kelly'!A1910,Base!A:B,2,FALSE)</f>
        <v>15.441.831-8</v>
      </c>
      <c r="B1916" s="112" t="str">
        <f>VLOOKUP('Informe Kelly'!A1910,Base!A:G,7,FALSE)</f>
        <v>VALDERRAMA CAÑAS ROBERTO MARIO</v>
      </c>
      <c r="C1916" s="112" t="str">
        <f>'Informe Kelly'!E1910</f>
        <v>05.04.2011</v>
      </c>
      <c r="D1916" s="112" t="e">
        <f>VLOOKUP(A1916,Ingreso!K:P,6,FALSE)</f>
        <v>#N/A</v>
      </c>
      <c r="E1916" s="142" t="e">
        <f>(VLOOKUP(D1916,$D$2:$E$4,2,FALSE))-(IF('Informe Kelly'!H1910=$A$2,'Informe Kelly'!F1910,VLOOKUP(D1916,$D$2:$E$4,2,FALSE)))</f>
        <v>#N/A</v>
      </c>
      <c r="F1916" s="142" t="e">
        <f>IF('Informe Kelly'!H1910=$A$3,'Informe Kelly'!F1910,VLOOKUP(D1916,$D$2:$F$4,3,FALSE))-(VLOOKUP(D1916,$D$2:$F$4,3,FALSE))</f>
        <v>#N/A</v>
      </c>
      <c r="G1916" s="137" t="e">
        <f t="shared" si="33"/>
        <v>#N/A</v>
      </c>
    </row>
    <row r="1917" spans="1:7">
      <c r="A1917" s="112" t="str">
        <f>VLOOKUP('Informe Kelly'!A1911,Base!A:B,2,FALSE)</f>
        <v>15.441.831-8</v>
      </c>
      <c r="B1917" s="112" t="str">
        <f>VLOOKUP('Informe Kelly'!A1911,Base!A:G,7,FALSE)</f>
        <v>VALDERRAMA CAÑAS ROBERTO MARIO</v>
      </c>
      <c r="C1917" s="112" t="str">
        <f>'Informe Kelly'!E1911</f>
        <v>05.04.2011</v>
      </c>
      <c r="D1917" s="112" t="e">
        <f>VLOOKUP(A1917,Ingreso!K:P,6,FALSE)</f>
        <v>#N/A</v>
      </c>
      <c r="E1917" s="142" t="e">
        <f>(VLOOKUP(D1917,$D$2:$E$4,2,FALSE))-(IF('Informe Kelly'!H1911=$A$2,'Informe Kelly'!F1911,VLOOKUP(D1917,$D$2:$E$4,2,FALSE)))</f>
        <v>#N/A</v>
      </c>
      <c r="F1917" s="142" t="e">
        <f>IF('Informe Kelly'!H1911=$A$3,'Informe Kelly'!F1911,VLOOKUP(D1917,$D$2:$F$4,3,FALSE))-(VLOOKUP(D1917,$D$2:$F$4,3,FALSE))</f>
        <v>#N/A</v>
      </c>
      <c r="G1917" s="137" t="e">
        <f t="shared" si="33"/>
        <v>#N/A</v>
      </c>
    </row>
    <row r="1918" spans="1:7">
      <c r="A1918" s="112" t="str">
        <f>VLOOKUP('Informe Kelly'!A1912,Base!A:B,2,FALSE)</f>
        <v>15.441.831-8</v>
      </c>
      <c r="B1918" s="112" t="str">
        <f>VLOOKUP('Informe Kelly'!A1912,Base!A:G,7,FALSE)</f>
        <v>VALDERRAMA CAÑAS ROBERTO MARIO</v>
      </c>
      <c r="C1918" s="112" t="str">
        <f>'Informe Kelly'!E1912</f>
        <v>06.04.2011</v>
      </c>
      <c r="D1918" s="112" t="e">
        <f>VLOOKUP(A1918,Ingreso!K:P,6,FALSE)</f>
        <v>#N/A</v>
      </c>
      <c r="E1918" s="142" t="e">
        <f>(VLOOKUP(D1918,$D$2:$E$4,2,FALSE))-(IF('Informe Kelly'!H1912=$A$2,'Informe Kelly'!F1912,VLOOKUP(D1918,$D$2:$E$4,2,FALSE)))</f>
        <v>#N/A</v>
      </c>
      <c r="F1918" s="142" t="e">
        <f>IF('Informe Kelly'!H1912=$A$3,'Informe Kelly'!F1912,VLOOKUP(D1918,$D$2:$F$4,3,FALSE))-(VLOOKUP(D1918,$D$2:$F$4,3,FALSE))</f>
        <v>#N/A</v>
      </c>
      <c r="G1918" s="137" t="e">
        <f t="shared" si="33"/>
        <v>#N/A</v>
      </c>
    </row>
    <row r="1919" spans="1:7">
      <c r="A1919" s="112" t="str">
        <f>VLOOKUP('Informe Kelly'!A1913,Base!A:B,2,FALSE)</f>
        <v>15.441.831-8</v>
      </c>
      <c r="B1919" s="112" t="str">
        <f>VLOOKUP('Informe Kelly'!A1913,Base!A:G,7,FALSE)</f>
        <v>VALDERRAMA CAÑAS ROBERTO MARIO</v>
      </c>
      <c r="C1919" s="112" t="str">
        <f>'Informe Kelly'!E1913</f>
        <v>06.04.2011</v>
      </c>
      <c r="D1919" s="112" t="e">
        <f>VLOOKUP(A1919,Ingreso!K:P,6,FALSE)</f>
        <v>#N/A</v>
      </c>
      <c r="E1919" s="142" t="e">
        <f>(VLOOKUP(D1919,$D$2:$E$4,2,FALSE))-(IF('Informe Kelly'!H1913=$A$2,'Informe Kelly'!F1913,VLOOKUP(D1919,$D$2:$E$4,2,FALSE)))</f>
        <v>#N/A</v>
      </c>
      <c r="F1919" s="142" t="e">
        <f>IF('Informe Kelly'!H1913=$A$3,'Informe Kelly'!F1913,VLOOKUP(D1919,$D$2:$F$4,3,FALSE))-(VLOOKUP(D1919,$D$2:$F$4,3,FALSE))</f>
        <v>#N/A</v>
      </c>
      <c r="G1919" s="137" t="e">
        <f t="shared" si="33"/>
        <v>#N/A</v>
      </c>
    </row>
    <row r="1920" spans="1:7">
      <c r="A1920" s="112" t="str">
        <f>VLOOKUP('Informe Kelly'!A1914,Base!A:B,2,FALSE)</f>
        <v>15.441.831-8</v>
      </c>
      <c r="B1920" s="112" t="str">
        <f>VLOOKUP('Informe Kelly'!A1914,Base!A:G,7,FALSE)</f>
        <v>VALDERRAMA CAÑAS ROBERTO MARIO</v>
      </c>
      <c r="C1920" s="112" t="str">
        <f>'Informe Kelly'!E1914</f>
        <v>07.04.2011</v>
      </c>
      <c r="D1920" s="112" t="e">
        <f>VLOOKUP(A1920,Ingreso!K:P,6,FALSE)</f>
        <v>#N/A</v>
      </c>
      <c r="E1920" s="142" t="e">
        <f>(VLOOKUP(D1920,$D$2:$E$4,2,FALSE))-(IF('Informe Kelly'!H1914=$A$2,'Informe Kelly'!F1914,VLOOKUP(D1920,$D$2:$E$4,2,FALSE)))</f>
        <v>#N/A</v>
      </c>
      <c r="F1920" s="142" t="e">
        <f>IF('Informe Kelly'!H1914=$A$3,'Informe Kelly'!F1914,VLOOKUP(D1920,$D$2:$F$4,3,FALSE))-(VLOOKUP(D1920,$D$2:$F$4,3,FALSE))</f>
        <v>#N/A</v>
      </c>
      <c r="G1920" s="137" t="e">
        <f t="shared" si="33"/>
        <v>#N/A</v>
      </c>
    </row>
    <row r="1921" spans="1:7">
      <c r="A1921" s="112" t="str">
        <f>VLOOKUP('Informe Kelly'!A1915,Base!A:B,2,FALSE)</f>
        <v>15.441.831-8</v>
      </c>
      <c r="B1921" s="112" t="str">
        <f>VLOOKUP('Informe Kelly'!A1915,Base!A:G,7,FALSE)</f>
        <v>VALDERRAMA CAÑAS ROBERTO MARIO</v>
      </c>
      <c r="C1921" s="112" t="str">
        <f>'Informe Kelly'!E1915</f>
        <v>07.04.2011</v>
      </c>
      <c r="D1921" s="112" t="e">
        <f>VLOOKUP(A1921,Ingreso!K:P,6,FALSE)</f>
        <v>#N/A</v>
      </c>
      <c r="E1921" s="142" t="e">
        <f>(VLOOKUP(D1921,$D$2:$E$4,2,FALSE))-(IF('Informe Kelly'!H1915=$A$2,'Informe Kelly'!F1915,VLOOKUP(D1921,$D$2:$E$4,2,FALSE)))</f>
        <v>#N/A</v>
      </c>
      <c r="F1921" s="142" t="e">
        <f>IF('Informe Kelly'!H1915=$A$3,'Informe Kelly'!F1915,VLOOKUP(D1921,$D$2:$F$4,3,FALSE))-(VLOOKUP(D1921,$D$2:$F$4,3,FALSE))</f>
        <v>#N/A</v>
      </c>
      <c r="G1921" s="137" t="e">
        <f t="shared" si="33"/>
        <v>#N/A</v>
      </c>
    </row>
    <row r="1922" spans="1:7">
      <c r="A1922" s="112" t="str">
        <f>VLOOKUP('Informe Kelly'!A1916,Base!A:B,2,FALSE)</f>
        <v>15.441.831-8</v>
      </c>
      <c r="B1922" s="112" t="str">
        <f>VLOOKUP('Informe Kelly'!A1916,Base!A:G,7,FALSE)</f>
        <v>VALDERRAMA CAÑAS ROBERTO MARIO</v>
      </c>
      <c r="C1922" s="112" t="str">
        <f>'Informe Kelly'!E1916</f>
        <v>08.04.2011</v>
      </c>
      <c r="D1922" s="112" t="e">
        <f>VLOOKUP(A1922,Ingreso!K:P,6,FALSE)</f>
        <v>#N/A</v>
      </c>
      <c r="E1922" s="142" t="e">
        <f>(VLOOKUP(D1922,$D$2:$E$4,2,FALSE))-(IF('Informe Kelly'!H1916=$A$2,'Informe Kelly'!F1916,VLOOKUP(D1922,$D$2:$E$4,2,FALSE)))</f>
        <v>#N/A</v>
      </c>
      <c r="F1922" s="142" t="e">
        <f>IF('Informe Kelly'!H1916=$A$3,'Informe Kelly'!F1916,VLOOKUP(D1922,$D$2:$F$4,3,FALSE))-(VLOOKUP(D1922,$D$2:$F$4,3,FALSE))</f>
        <v>#N/A</v>
      </c>
      <c r="G1922" s="137" t="e">
        <f t="shared" si="33"/>
        <v>#N/A</v>
      </c>
    </row>
    <row r="1923" spans="1:7">
      <c r="A1923" s="112" t="str">
        <f>VLOOKUP('Informe Kelly'!A1917,Base!A:B,2,FALSE)</f>
        <v>15.441.831-8</v>
      </c>
      <c r="B1923" s="112" t="str">
        <f>VLOOKUP('Informe Kelly'!A1917,Base!A:G,7,FALSE)</f>
        <v>VALDERRAMA CAÑAS ROBERTO MARIO</v>
      </c>
      <c r="C1923" s="112" t="str">
        <f>'Informe Kelly'!E1917</f>
        <v>08.04.2011</v>
      </c>
      <c r="D1923" s="112" t="e">
        <f>VLOOKUP(A1923,Ingreso!K:P,6,FALSE)</f>
        <v>#N/A</v>
      </c>
      <c r="E1923" s="142" t="e">
        <f>(VLOOKUP(D1923,$D$2:$E$4,2,FALSE))-(IF('Informe Kelly'!H1917=$A$2,'Informe Kelly'!F1917,VLOOKUP(D1923,$D$2:$E$4,2,FALSE)))</f>
        <v>#N/A</v>
      </c>
      <c r="F1923" s="142" t="e">
        <f>IF('Informe Kelly'!H1917=$A$3,'Informe Kelly'!F1917,VLOOKUP(D1923,$D$2:$F$4,3,FALSE))-(VLOOKUP(D1923,$D$2:$F$4,3,FALSE))</f>
        <v>#N/A</v>
      </c>
      <c r="G1923" s="137" t="e">
        <f t="shared" si="33"/>
        <v>#N/A</v>
      </c>
    </row>
    <row r="1924" spans="1:7">
      <c r="A1924" s="112" t="str">
        <f>VLOOKUP('Informe Kelly'!A1918,Base!A:B,2,FALSE)</f>
        <v>15.441.831-8</v>
      </c>
      <c r="B1924" s="112" t="str">
        <f>VLOOKUP('Informe Kelly'!A1918,Base!A:G,7,FALSE)</f>
        <v>VALDERRAMA CAÑAS ROBERTO MARIO</v>
      </c>
      <c r="C1924" s="112" t="str">
        <f>'Informe Kelly'!E1918</f>
        <v>09.04.2011</v>
      </c>
      <c r="D1924" s="112" t="e">
        <f>VLOOKUP(A1924,Ingreso!K:P,6,FALSE)</f>
        <v>#N/A</v>
      </c>
      <c r="E1924" s="142" t="e">
        <f>(VLOOKUP(D1924,$D$2:$E$4,2,FALSE))-(IF('Informe Kelly'!H1918=$A$2,'Informe Kelly'!F1918,VLOOKUP(D1924,$D$2:$E$4,2,FALSE)))</f>
        <v>#N/A</v>
      </c>
      <c r="F1924" s="142" t="e">
        <f>IF('Informe Kelly'!H1918=$A$3,'Informe Kelly'!F1918,VLOOKUP(D1924,$D$2:$F$4,3,FALSE))-(VLOOKUP(D1924,$D$2:$F$4,3,FALSE))</f>
        <v>#N/A</v>
      </c>
      <c r="G1924" s="137" t="e">
        <f t="shared" si="33"/>
        <v>#N/A</v>
      </c>
    </row>
    <row r="1925" spans="1:7">
      <c r="A1925" s="112" t="str">
        <f>VLOOKUP('Informe Kelly'!A1919,Base!A:B,2,FALSE)</f>
        <v>15.441.831-8</v>
      </c>
      <c r="B1925" s="112" t="str">
        <f>VLOOKUP('Informe Kelly'!A1919,Base!A:G,7,FALSE)</f>
        <v>VALDERRAMA CAÑAS ROBERTO MARIO</v>
      </c>
      <c r="C1925" s="112" t="str">
        <f>'Informe Kelly'!E1919</f>
        <v>09.04.2011</v>
      </c>
      <c r="D1925" s="112" t="e">
        <f>VLOOKUP(A1925,Ingreso!K:P,6,FALSE)</f>
        <v>#N/A</v>
      </c>
      <c r="E1925" s="142" t="e">
        <f>(VLOOKUP(D1925,$D$2:$E$4,2,FALSE))-(IF('Informe Kelly'!H1919=$A$2,'Informe Kelly'!F1919,VLOOKUP(D1925,$D$2:$E$4,2,FALSE)))</f>
        <v>#N/A</v>
      </c>
      <c r="F1925" s="142" t="e">
        <f>IF('Informe Kelly'!H1919=$A$3,'Informe Kelly'!F1919,VLOOKUP(D1925,$D$2:$F$4,3,FALSE))-(VLOOKUP(D1925,$D$2:$F$4,3,FALSE))</f>
        <v>#N/A</v>
      </c>
      <c r="G1925" s="137" t="e">
        <f t="shared" si="33"/>
        <v>#N/A</v>
      </c>
    </row>
    <row r="1926" spans="1:7">
      <c r="A1926" s="112" t="str">
        <f>VLOOKUP('Informe Kelly'!A1920,Base!A:B,2,FALSE)</f>
        <v>15444116-6</v>
      </c>
      <c r="B1926" s="112" t="str">
        <f>VLOOKUP('Informe Kelly'!A1920,Base!A:G,7,FALSE)</f>
        <v>MAULEN MANUEL</v>
      </c>
      <c r="C1926" s="112" t="str">
        <f>'Informe Kelly'!E1920</f>
        <v>04.04.2011</v>
      </c>
      <c r="D1926" s="112" t="e">
        <f>VLOOKUP(A1926,Ingreso!K:P,6,FALSE)</f>
        <v>#N/A</v>
      </c>
      <c r="E1926" s="142" t="e">
        <f>(VLOOKUP(D1926,$D$2:$E$4,2,FALSE))-(IF('Informe Kelly'!H1920=$A$2,'Informe Kelly'!F1920,VLOOKUP(D1926,$D$2:$E$4,2,FALSE)))</f>
        <v>#N/A</v>
      </c>
      <c r="F1926" s="142" t="e">
        <f>IF('Informe Kelly'!H1920=$A$3,'Informe Kelly'!F1920,VLOOKUP(D1926,$D$2:$F$4,3,FALSE))-(VLOOKUP(D1926,$D$2:$F$4,3,FALSE))</f>
        <v>#N/A</v>
      </c>
      <c r="G1926" s="137" t="e">
        <f t="shared" si="33"/>
        <v>#N/A</v>
      </c>
    </row>
    <row r="1927" spans="1:7">
      <c r="A1927" s="112" t="str">
        <f>VLOOKUP('Informe Kelly'!A1921,Base!A:B,2,FALSE)</f>
        <v>15444116-6</v>
      </c>
      <c r="B1927" s="112" t="str">
        <f>VLOOKUP('Informe Kelly'!A1921,Base!A:G,7,FALSE)</f>
        <v>MAULEN MANUEL</v>
      </c>
      <c r="C1927" s="112" t="str">
        <f>'Informe Kelly'!E1921</f>
        <v>04.04.2011</v>
      </c>
      <c r="D1927" s="112" t="e">
        <f>VLOOKUP(A1927,Ingreso!K:P,6,FALSE)</f>
        <v>#N/A</v>
      </c>
      <c r="E1927" s="142" t="e">
        <f>(VLOOKUP(D1927,$D$2:$E$4,2,FALSE))-(IF('Informe Kelly'!H1921=$A$2,'Informe Kelly'!F1921,VLOOKUP(D1927,$D$2:$E$4,2,FALSE)))</f>
        <v>#N/A</v>
      </c>
      <c r="F1927" s="142" t="e">
        <f>IF('Informe Kelly'!H1921=$A$3,'Informe Kelly'!F1921,VLOOKUP(D1927,$D$2:$F$4,3,FALSE))-(VLOOKUP(D1927,$D$2:$F$4,3,FALSE))</f>
        <v>#N/A</v>
      </c>
      <c r="G1927" s="137" t="e">
        <f t="shared" si="33"/>
        <v>#N/A</v>
      </c>
    </row>
    <row r="1928" spans="1:7">
      <c r="A1928" s="112" t="str">
        <f>VLOOKUP('Informe Kelly'!A1922,Base!A:B,2,FALSE)</f>
        <v>15444116-6</v>
      </c>
      <c r="B1928" s="112" t="str">
        <f>VLOOKUP('Informe Kelly'!A1922,Base!A:G,7,FALSE)</f>
        <v>MAULEN MANUEL</v>
      </c>
      <c r="C1928" s="112" t="str">
        <f>'Informe Kelly'!E1922</f>
        <v>05.04.2011</v>
      </c>
      <c r="D1928" s="112" t="e">
        <f>VLOOKUP(A1928,Ingreso!K:P,6,FALSE)</f>
        <v>#N/A</v>
      </c>
      <c r="E1928" s="142" t="e">
        <f>(VLOOKUP(D1928,$D$2:$E$4,2,FALSE))-(IF('Informe Kelly'!H1922=$A$2,'Informe Kelly'!F1922,VLOOKUP(D1928,$D$2:$E$4,2,FALSE)))</f>
        <v>#N/A</v>
      </c>
      <c r="F1928" s="142" t="e">
        <f>IF('Informe Kelly'!H1922=$A$3,'Informe Kelly'!F1922,VLOOKUP(D1928,$D$2:$F$4,3,FALSE))-(VLOOKUP(D1928,$D$2:$F$4,3,FALSE))</f>
        <v>#N/A</v>
      </c>
      <c r="G1928" s="137" t="e">
        <f t="shared" si="33"/>
        <v>#N/A</v>
      </c>
    </row>
    <row r="1929" spans="1:7">
      <c r="A1929" s="112" t="str">
        <f>VLOOKUP('Informe Kelly'!A1923,Base!A:B,2,FALSE)</f>
        <v>15444116-6</v>
      </c>
      <c r="B1929" s="112" t="str">
        <f>VLOOKUP('Informe Kelly'!A1923,Base!A:G,7,FALSE)</f>
        <v>MAULEN MANUEL</v>
      </c>
      <c r="C1929" s="112" t="str">
        <f>'Informe Kelly'!E1923</f>
        <v>05.04.2011</v>
      </c>
      <c r="D1929" s="112" t="e">
        <f>VLOOKUP(A1929,Ingreso!K:P,6,FALSE)</f>
        <v>#N/A</v>
      </c>
      <c r="E1929" s="142" t="e">
        <f>(VLOOKUP(D1929,$D$2:$E$4,2,FALSE))-(IF('Informe Kelly'!H1923=$A$2,'Informe Kelly'!F1923,VLOOKUP(D1929,$D$2:$E$4,2,FALSE)))</f>
        <v>#N/A</v>
      </c>
      <c r="F1929" s="142" t="e">
        <f>IF('Informe Kelly'!H1923=$A$3,'Informe Kelly'!F1923,VLOOKUP(D1929,$D$2:$F$4,3,FALSE))-(VLOOKUP(D1929,$D$2:$F$4,3,FALSE))</f>
        <v>#N/A</v>
      </c>
      <c r="G1929" s="137" t="e">
        <f t="shared" ref="G1929:G1992" si="34">IF(E1929="",IF(F1929&lt;0.0409722222222222,0,E1929),IF(E1929&lt;0.0409722222222222,0,E1929))</f>
        <v>#N/A</v>
      </c>
    </row>
    <row r="1930" spans="1:7">
      <c r="A1930" s="112" t="str">
        <f>VLOOKUP('Informe Kelly'!A1924,Base!A:B,2,FALSE)</f>
        <v>15444116-6</v>
      </c>
      <c r="B1930" s="112" t="str">
        <f>VLOOKUP('Informe Kelly'!A1924,Base!A:G,7,FALSE)</f>
        <v>MAULEN MANUEL</v>
      </c>
      <c r="C1930" s="112" t="str">
        <f>'Informe Kelly'!E1924</f>
        <v>06.04.2011</v>
      </c>
      <c r="D1930" s="112" t="e">
        <f>VLOOKUP(A1930,Ingreso!K:P,6,FALSE)</f>
        <v>#N/A</v>
      </c>
      <c r="E1930" s="142" t="e">
        <f>(VLOOKUP(D1930,$D$2:$E$4,2,FALSE))-(IF('Informe Kelly'!H1924=$A$2,'Informe Kelly'!F1924,VLOOKUP(D1930,$D$2:$E$4,2,FALSE)))</f>
        <v>#N/A</v>
      </c>
      <c r="F1930" s="142" t="e">
        <f>IF('Informe Kelly'!H1924=$A$3,'Informe Kelly'!F1924,VLOOKUP(D1930,$D$2:$F$4,3,FALSE))-(VLOOKUP(D1930,$D$2:$F$4,3,FALSE))</f>
        <v>#N/A</v>
      </c>
      <c r="G1930" s="137" t="e">
        <f t="shared" si="34"/>
        <v>#N/A</v>
      </c>
    </row>
    <row r="1931" spans="1:7">
      <c r="A1931" s="112" t="str">
        <f>VLOOKUP('Informe Kelly'!A1925,Base!A:B,2,FALSE)</f>
        <v>15444116-6</v>
      </c>
      <c r="B1931" s="112" t="str">
        <f>VLOOKUP('Informe Kelly'!A1925,Base!A:G,7,FALSE)</f>
        <v>MAULEN MANUEL</v>
      </c>
      <c r="C1931" s="112" t="str">
        <f>'Informe Kelly'!E1925</f>
        <v>06.04.2011</v>
      </c>
      <c r="D1931" s="112" t="e">
        <f>VLOOKUP(A1931,Ingreso!K:P,6,FALSE)</f>
        <v>#N/A</v>
      </c>
      <c r="E1931" s="142" t="e">
        <f>(VLOOKUP(D1931,$D$2:$E$4,2,FALSE))-(IF('Informe Kelly'!H1925=$A$2,'Informe Kelly'!F1925,VLOOKUP(D1931,$D$2:$E$4,2,FALSE)))</f>
        <v>#N/A</v>
      </c>
      <c r="F1931" s="142" t="e">
        <f>IF('Informe Kelly'!H1925=$A$3,'Informe Kelly'!F1925,VLOOKUP(D1931,$D$2:$F$4,3,FALSE))-(VLOOKUP(D1931,$D$2:$F$4,3,FALSE))</f>
        <v>#N/A</v>
      </c>
      <c r="G1931" s="137" t="e">
        <f t="shared" si="34"/>
        <v>#N/A</v>
      </c>
    </row>
    <row r="1932" spans="1:7">
      <c r="A1932" s="112" t="str">
        <f>VLOOKUP('Informe Kelly'!A1926,Base!A:B,2,FALSE)</f>
        <v>15444116-6</v>
      </c>
      <c r="B1932" s="112" t="str">
        <f>VLOOKUP('Informe Kelly'!A1926,Base!A:G,7,FALSE)</f>
        <v>MAULEN MANUEL</v>
      </c>
      <c r="C1932" s="112" t="str">
        <f>'Informe Kelly'!E1926</f>
        <v>07.04.2011</v>
      </c>
      <c r="D1932" s="112" t="e">
        <f>VLOOKUP(A1932,Ingreso!K:P,6,FALSE)</f>
        <v>#N/A</v>
      </c>
      <c r="E1932" s="142" t="e">
        <f>(VLOOKUP(D1932,$D$2:$E$4,2,FALSE))-(IF('Informe Kelly'!H1926=$A$2,'Informe Kelly'!F1926,VLOOKUP(D1932,$D$2:$E$4,2,FALSE)))</f>
        <v>#N/A</v>
      </c>
      <c r="F1932" s="142" t="e">
        <f>IF('Informe Kelly'!H1926=$A$3,'Informe Kelly'!F1926,VLOOKUP(D1932,$D$2:$F$4,3,FALSE))-(VLOOKUP(D1932,$D$2:$F$4,3,FALSE))</f>
        <v>#N/A</v>
      </c>
      <c r="G1932" s="137" t="e">
        <f t="shared" si="34"/>
        <v>#N/A</v>
      </c>
    </row>
    <row r="1933" spans="1:7">
      <c r="A1933" s="112" t="str">
        <f>VLOOKUP('Informe Kelly'!A1927,Base!A:B,2,FALSE)</f>
        <v>15444116-6</v>
      </c>
      <c r="B1933" s="112" t="str">
        <f>VLOOKUP('Informe Kelly'!A1927,Base!A:G,7,FALSE)</f>
        <v>MAULEN MANUEL</v>
      </c>
      <c r="C1933" s="112" t="str">
        <f>'Informe Kelly'!E1927</f>
        <v>07.04.2011</v>
      </c>
      <c r="D1933" s="112" t="e">
        <f>VLOOKUP(A1933,Ingreso!K:P,6,FALSE)</f>
        <v>#N/A</v>
      </c>
      <c r="E1933" s="142" t="e">
        <f>(VLOOKUP(D1933,$D$2:$E$4,2,FALSE))-(IF('Informe Kelly'!H1927=$A$2,'Informe Kelly'!F1927,VLOOKUP(D1933,$D$2:$E$4,2,FALSE)))</f>
        <v>#N/A</v>
      </c>
      <c r="F1933" s="142" t="e">
        <f>IF('Informe Kelly'!H1927=$A$3,'Informe Kelly'!F1927,VLOOKUP(D1933,$D$2:$F$4,3,FALSE))-(VLOOKUP(D1933,$D$2:$F$4,3,FALSE))</f>
        <v>#N/A</v>
      </c>
      <c r="G1933" s="137" t="e">
        <f t="shared" si="34"/>
        <v>#N/A</v>
      </c>
    </row>
    <row r="1934" spans="1:7">
      <c r="A1934" s="112" t="str">
        <f>VLOOKUP('Informe Kelly'!A1928,Base!A:B,2,FALSE)</f>
        <v>15444116-6</v>
      </c>
      <c r="B1934" s="112" t="str">
        <f>VLOOKUP('Informe Kelly'!A1928,Base!A:G,7,FALSE)</f>
        <v>MAULEN MANUEL</v>
      </c>
      <c r="C1934" s="112" t="str">
        <f>'Informe Kelly'!E1928</f>
        <v>08.04.2011</v>
      </c>
      <c r="D1934" s="112" t="e">
        <f>VLOOKUP(A1934,Ingreso!K:P,6,FALSE)</f>
        <v>#N/A</v>
      </c>
      <c r="E1934" s="142" t="e">
        <f>(VLOOKUP(D1934,$D$2:$E$4,2,FALSE))-(IF('Informe Kelly'!H1928=$A$2,'Informe Kelly'!F1928,VLOOKUP(D1934,$D$2:$E$4,2,FALSE)))</f>
        <v>#N/A</v>
      </c>
      <c r="F1934" s="142" t="e">
        <f>IF('Informe Kelly'!H1928=$A$3,'Informe Kelly'!F1928,VLOOKUP(D1934,$D$2:$F$4,3,FALSE))-(VLOOKUP(D1934,$D$2:$F$4,3,FALSE))</f>
        <v>#N/A</v>
      </c>
      <c r="G1934" s="137" t="e">
        <f t="shared" si="34"/>
        <v>#N/A</v>
      </c>
    </row>
    <row r="1935" spans="1:7">
      <c r="A1935" s="112" t="str">
        <f>VLOOKUP('Informe Kelly'!A1929,Base!A:B,2,FALSE)</f>
        <v>15444116-6</v>
      </c>
      <c r="B1935" s="112" t="str">
        <f>VLOOKUP('Informe Kelly'!A1929,Base!A:G,7,FALSE)</f>
        <v>MAULEN MANUEL</v>
      </c>
      <c r="C1935" s="112" t="str">
        <f>'Informe Kelly'!E1929</f>
        <v>08.04.2011</v>
      </c>
      <c r="D1935" s="112" t="e">
        <f>VLOOKUP(A1935,Ingreso!K:P,6,FALSE)</f>
        <v>#N/A</v>
      </c>
      <c r="E1935" s="142" t="e">
        <f>(VLOOKUP(D1935,$D$2:$E$4,2,FALSE))-(IF('Informe Kelly'!H1929=$A$2,'Informe Kelly'!F1929,VLOOKUP(D1935,$D$2:$E$4,2,FALSE)))</f>
        <v>#N/A</v>
      </c>
      <c r="F1935" s="142" t="e">
        <f>IF('Informe Kelly'!H1929=$A$3,'Informe Kelly'!F1929,VLOOKUP(D1935,$D$2:$F$4,3,FALSE))-(VLOOKUP(D1935,$D$2:$F$4,3,FALSE))</f>
        <v>#N/A</v>
      </c>
      <c r="G1935" s="137" t="e">
        <f t="shared" si="34"/>
        <v>#N/A</v>
      </c>
    </row>
    <row r="1936" spans="1:7">
      <c r="A1936" s="112" t="str">
        <f>VLOOKUP('Informe Kelly'!A1930,Base!A:B,2,FALSE)</f>
        <v>15444116-6</v>
      </c>
      <c r="B1936" s="112" t="str">
        <f>VLOOKUP('Informe Kelly'!A1930,Base!A:G,7,FALSE)</f>
        <v>MAULEN MANUEL</v>
      </c>
      <c r="C1936" s="112" t="str">
        <f>'Informe Kelly'!E1930</f>
        <v>09.04.2011</v>
      </c>
      <c r="D1936" s="112" t="e">
        <f>VLOOKUP(A1936,Ingreso!K:P,6,FALSE)</f>
        <v>#N/A</v>
      </c>
      <c r="E1936" s="142" t="e">
        <f>(VLOOKUP(D1936,$D$2:$E$4,2,FALSE))-(IF('Informe Kelly'!H1930=$A$2,'Informe Kelly'!F1930,VLOOKUP(D1936,$D$2:$E$4,2,FALSE)))</f>
        <v>#N/A</v>
      </c>
      <c r="F1936" s="142" t="e">
        <f>IF('Informe Kelly'!H1930=$A$3,'Informe Kelly'!F1930,VLOOKUP(D1936,$D$2:$F$4,3,FALSE))-(VLOOKUP(D1936,$D$2:$F$4,3,FALSE))</f>
        <v>#N/A</v>
      </c>
      <c r="G1936" s="137" t="e">
        <f t="shared" si="34"/>
        <v>#N/A</v>
      </c>
    </row>
    <row r="1937" spans="1:7">
      <c r="A1937" s="112" t="str">
        <f>VLOOKUP('Informe Kelly'!A1931,Base!A:B,2,FALSE)</f>
        <v>15444116-6</v>
      </c>
      <c r="B1937" s="112" t="str">
        <f>VLOOKUP('Informe Kelly'!A1931,Base!A:G,7,FALSE)</f>
        <v>MAULEN MANUEL</v>
      </c>
      <c r="C1937" s="112" t="str">
        <f>'Informe Kelly'!E1931</f>
        <v>09.04.2011</v>
      </c>
      <c r="D1937" s="112" t="e">
        <f>VLOOKUP(A1937,Ingreso!K:P,6,FALSE)</f>
        <v>#N/A</v>
      </c>
      <c r="E1937" s="142" t="e">
        <f>(VLOOKUP(D1937,$D$2:$E$4,2,FALSE))-(IF('Informe Kelly'!H1931=$A$2,'Informe Kelly'!F1931,VLOOKUP(D1937,$D$2:$E$4,2,FALSE)))</f>
        <v>#N/A</v>
      </c>
      <c r="F1937" s="142" t="e">
        <f>IF('Informe Kelly'!H1931=$A$3,'Informe Kelly'!F1931,VLOOKUP(D1937,$D$2:$F$4,3,FALSE))-(VLOOKUP(D1937,$D$2:$F$4,3,FALSE))</f>
        <v>#N/A</v>
      </c>
      <c r="G1937" s="137" t="e">
        <f t="shared" si="34"/>
        <v>#N/A</v>
      </c>
    </row>
    <row r="1938" spans="1:7">
      <c r="A1938" s="112" t="str">
        <f>VLOOKUP('Informe Kelly'!A1932,Base!A:B,2,FALSE)</f>
        <v>15.444.698-2</v>
      </c>
      <c r="B1938" s="112" t="str">
        <f>VLOOKUP('Informe Kelly'!A1932,Base!A:G,7,FALSE)</f>
        <v>RETAMAL ACUÑA MAURICIO ALEJANDRO</v>
      </c>
      <c r="C1938" s="112" t="str">
        <f>'Informe Kelly'!E1932</f>
        <v>04.04.2011</v>
      </c>
      <c r="D1938" s="112" t="e">
        <f>VLOOKUP(A1938,Ingreso!K:P,6,FALSE)</f>
        <v>#N/A</v>
      </c>
      <c r="E1938" s="142" t="e">
        <f>(VLOOKUP(D1938,$D$2:$E$4,2,FALSE))-(IF('Informe Kelly'!H1932=$A$2,'Informe Kelly'!F1932,VLOOKUP(D1938,$D$2:$E$4,2,FALSE)))</f>
        <v>#N/A</v>
      </c>
      <c r="F1938" s="142" t="e">
        <f>IF('Informe Kelly'!H1932=$A$3,'Informe Kelly'!F1932,VLOOKUP(D1938,$D$2:$F$4,3,FALSE))-(VLOOKUP(D1938,$D$2:$F$4,3,FALSE))</f>
        <v>#N/A</v>
      </c>
      <c r="G1938" s="137" t="e">
        <f t="shared" si="34"/>
        <v>#N/A</v>
      </c>
    </row>
    <row r="1939" spans="1:7">
      <c r="A1939" s="112" t="str">
        <f>VLOOKUP('Informe Kelly'!A1933,Base!A:B,2,FALSE)</f>
        <v>15.444.698-2</v>
      </c>
      <c r="B1939" s="112" t="str">
        <f>VLOOKUP('Informe Kelly'!A1933,Base!A:G,7,FALSE)</f>
        <v>RETAMAL ACUÑA MAURICIO ALEJANDRO</v>
      </c>
      <c r="C1939" s="112" t="str">
        <f>'Informe Kelly'!E1933</f>
        <v>04.04.2011</v>
      </c>
      <c r="D1939" s="112" t="e">
        <f>VLOOKUP(A1939,Ingreso!K:P,6,FALSE)</f>
        <v>#N/A</v>
      </c>
      <c r="E1939" s="142" t="e">
        <f>(VLOOKUP(D1939,$D$2:$E$4,2,FALSE))-(IF('Informe Kelly'!H1933=$A$2,'Informe Kelly'!F1933,VLOOKUP(D1939,$D$2:$E$4,2,FALSE)))</f>
        <v>#N/A</v>
      </c>
      <c r="F1939" s="142" t="e">
        <f>IF('Informe Kelly'!H1933=$A$3,'Informe Kelly'!F1933,VLOOKUP(D1939,$D$2:$F$4,3,FALSE))-(VLOOKUP(D1939,$D$2:$F$4,3,FALSE))</f>
        <v>#N/A</v>
      </c>
      <c r="G1939" s="137" t="e">
        <f t="shared" si="34"/>
        <v>#N/A</v>
      </c>
    </row>
    <row r="1940" spans="1:7">
      <c r="A1940" s="112" t="str">
        <f>VLOOKUP('Informe Kelly'!A1934,Base!A:B,2,FALSE)</f>
        <v>15.444.698-2</v>
      </c>
      <c r="B1940" s="112" t="str">
        <f>VLOOKUP('Informe Kelly'!A1934,Base!A:G,7,FALSE)</f>
        <v>RETAMAL ACUÑA MAURICIO ALEJANDRO</v>
      </c>
      <c r="C1940" s="112" t="str">
        <f>'Informe Kelly'!E1934</f>
        <v>04.04.2011</v>
      </c>
      <c r="D1940" s="112" t="e">
        <f>VLOOKUP(A1940,Ingreso!K:P,6,FALSE)</f>
        <v>#N/A</v>
      </c>
      <c r="E1940" s="142" t="e">
        <f>(VLOOKUP(D1940,$D$2:$E$4,2,FALSE))-(IF('Informe Kelly'!H1934=$A$2,'Informe Kelly'!F1934,VLOOKUP(D1940,$D$2:$E$4,2,FALSE)))</f>
        <v>#N/A</v>
      </c>
      <c r="F1940" s="142" t="e">
        <f>IF('Informe Kelly'!H1934=$A$3,'Informe Kelly'!F1934,VLOOKUP(D1940,$D$2:$F$4,3,FALSE))-(VLOOKUP(D1940,$D$2:$F$4,3,FALSE))</f>
        <v>#N/A</v>
      </c>
      <c r="G1940" s="137" t="e">
        <f t="shared" si="34"/>
        <v>#N/A</v>
      </c>
    </row>
    <row r="1941" spans="1:7">
      <c r="A1941" s="112" t="str">
        <f>VLOOKUP('Informe Kelly'!A1935,Base!A:B,2,FALSE)</f>
        <v>15.444.698-2</v>
      </c>
      <c r="B1941" s="112" t="str">
        <f>VLOOKUP('Informe Kelly'!A1935,Base!A:G,7,FALSE)</f>
        <v>RETAMAL ACUÑA MAURICIO ALEJANDRO</v>
      </c>
      <c r="C1941" s="112" t="str">
        <f>'Informe Kelly'!E1935</f>
        <v>05.04.2011</v>
      </c>
      <c r="D1941" s="112" t="e">
        <f>VLOOKUP(A1941,Ingreso!K:P,6,FALSE)</f>
        <v>#N/A</v>
      </c>
      <c r="E1941" s="142" t="e">
        <f>(VLOOKUP(D1941,$D$2:$E$4,2,FALSE))-(IF('Informe Kelly'!H1935=$A$2,'Informe Kelly'!F1935,VLOOKUP(D1941,$D$2:$E$4,2,FALSE)))</f>
        <v>#N/A</v>
      </c>
      <c r="F1941" s="142" t="e">
        <f>IF('Informe Kelly'!H1935=$A$3,'Informe Kelly'!F1935,VLOOKUP(D1941,$D$2:$F$4,3,FALSE))-(VLOOKUP(D1941,$D$2:$F$4,3,FALSE))</f>
        <v>#N/A</v>
      </c>
      <c r="G1941" s="137" t="e">
        <f t="shared" si="34"/>
        <v>#N/A</v>
      </c>
    </row>
    <row r="1942" spans="1:7">
      <c r="A1942" s="112" t="str">
        <f>VLOOKUP('Informe Kelly'!A1936,Base!A:B,2,FALSE)</f>
        <v>15.444.698-2</v>
      </c>
      <c r="B1942" s="112" t="str">
        <f>VLOOKUP('Informe Kelly'!A1936,Base!A:G,7,FALSE)</f>
        <v>RETAMAL ACUÑA MAURICIO ALEJANDRO</v>
      </c>
      <c r="C1942" s="112" t="str">
        <f>'Informe Kelly'!E1936</f>
        <v>05.04.2011</v>
      </c>
      <c r="D1942" s="112" t="e">
        <f>VLOOKUP(A1942,Ingreso!K:P,6,FALSE)</f>
        <v>#N/A</v>
      </c>
      <c r="E1942" s="142" t="e">
        <f>(VLOOKUP(D1942,$D$2:$E$4,2,FALSE))-(IF('Informe Kelly'!H1936=$A$2,'Informe Kelly'!F1936,VLOOKUP(D1942,$D$2:$E$4,2,FALSE)))</f>
        <v>#N/A</v>
      </c>
      <c r="F1942" s="142" t="e">
        <f>IF('Informe Kelly'!H1936=$A$3,'Informe Kelly'!F1936,VLOOKUP(D1942,$D$2:$F$4,3,FALSE))-(VLOOKUP(D1942,$D$2:$F$4,3,FALSE))</f>
        <v>#N/A</v>
      </c>
      <c r="G1942" s="137" t="e">
        <f t="shared" si="34"/>
        <v>#N/A</v>
      </c>
    </row>
    <row r="1943" spans="1:7">
      <c r="A1943" s="112" t="str">
        <f>VLOOKUP('Informe Kelly'!A1937,Base!A:B,2,FALSE)</f>
        <v>15.444.698-2</v>
      </c>
      <c r="B1943" s="112" t="str">
        <f>VLOOKUP('Informe Kelly'!A1937,Base!A:G,7,FALSE)</f>
        <v>RETAMAL ACUÑA MAURICIO ALEJANDRO</v>
      </c>
      <c r="C1943" s="112" t="str">
        <f>'Informe Kelly'!E1937</f>
        <v>06.04.2011</v>
      </c>
      <c r="D1943" s="112" t="e">
        <f>VLOOKUP(A1943,Ingreso!K:P,6,FALSE)</f>
        <v>#N/A</v>
      </c>
      <c r="E1943" s="142" t="e">
        <f>(VLOOKUP(D1943,$D$2:$E$4,2,FALSE))-(IF('Informe Kelly'!H1937=$A$2,'Informe Kelly'!F1937,VLOOKUP(D1943,$D$2:$E$4,2,FALSE)))</f>
        <v>#N/A</v>
      </c>
      <c r="F1943" s="142" t="e">
        <f>IF('Informe Kelly'!H1937=$A$3,'Informe Kelly'!F1937,VLOOKUP(D1943,$D$2:$F$4,3,FALSE))-(VLOOKUP(D1943,$D$2:$F$4,3,FALSE))</f>
        <v>#N/A</v>
      </c>
      <c r="G1943" s="137" t="e">
        <f t="shared" si="34"/>
        <v>#N/A</v>
      </c>
    </row>
    <row r="1944" spans="1:7">
      <c r="A1944" s="112" t="str">
        <f>VLOOKUP('Informe Kelly'!A1938,Base!A:B,2,FALSE)</f>
        <v>15.444.698-2</v>
      </c>
      <c r="B1944" s="112" t="str">
        <f>VLOOKUP('Informe Kelly'!A1938,Base!A:G,7,FALSE)</f>
        <v>RETAMAL ACUÑA MAURICIO ALEJANDRO</v>
      </c>
      <c r="C1944" s="112" t="str">
        <f>'Informe Kelly'!E1938</f>
        <v>06.04.2011</v>
      </c>
      <c r="D1944" s="112" t="e">
        <f>VLOOKUP(A1944,Ingreso!K:P,6,FALSE)</f>
        <v>#N/A</v>
      </c>
      <c r="E1944" s="142" t="e">
        <f>(VLOOKUP(D1944,$D$2:$E$4,2,FALSE))-(IF('Informe Kelly'!H1938=$A$2,'Informe Kelly'!F1938,VLOOKUP(D1944,$D$2:$E$4,2,FALSE)))</f>
        <v>#N/A</v>
      </c>
      <c r="F1944" s="142" t="e">
        <f>IF('Informe Kelly'!H1938=$A$3,'Informe Kelly'!F1938,VLOOKUP(D1944,$D$2:$F$4,3,FALSE))-(VLOOKUP(D1944,$D$2:$F$4,3,FALSE))</f>
        <v>#N/A</v>
      </c>
      <c r="G1944" s="137" t="e">
        <f t="shared" si="34"/>
        <v>#N/A</v>
      </c>
    </row>
    <row r="1945" spans="1:7">
      <c r="A1945" s="112" t="str">
        <f>VLOOKUP('Informe Kelly'!A1939,Base!A:B,2,FALSE)</f>
        <v>15.444.698-2</v>
      </c>
      <c r="B1945" s="112" t="str">
        <f>VLOOKUP('Informe Kelly'!A1939,Base!A:G,7,FALSE)</f>
        <v>RETAMAL ACUÑA MAURICIO ALEJANDRO</v>
      </c>
      <c r="C1945" s="112" t="str">
        <f>'Informe Kelly'!E1939</f>
        <v>07.04.2011</v>
      </c>
      <c r="D1945" s="112" t="e">
        <f>VLOOKUP(A1945,Ingreso!K:P,6,FALSE)</f>
        <v>#N/A</v>
      </c>
      <c r="E1945" s="142" t="e">
        <f>(VLOOKUP(D1945,$D$2:$E$4,2,FALSE))-(IF('Informe Kelly'!H1939=$A$2,'Informe Kelly'!F1939,VLOOKUP(D1945,$D$2:$E$4,2,FALSE)))</f>
        <v>#N/A</v>
      </c>
      <c r="F1945" s="142" t="e">
        <f>IF('Informe Kelly'!H1939=$A$3,'Informe Kelly'!F1939,VLOOKUP(D1945,$D$2:$F$4,3,FALSE))-(VLOOKUP(D1945,$D$2:$F$4,3,FALSE))</f>
        <v>#N/A</v>
      </c>
      <c r="G1945" s="137" t="e">
        <f t="shared" si="34"/>
        <v>#N/A</v>
      </c>
    </row>
    <row r="1946" spans="1:7">
      <c r="A1946" s="112" t="str">
        <f>VLOOKUP('Informe Kelly'!A1940,Base!A:B,2,FALSE)</f>
        <v>15.444.698-2</v>
      </c>
      <c r="B1946" s="112" t="str">
        <f>VLOOKUP('Informe Kelly'!A1940,Base!A:G,7,FALSE)</f>
        <v>RETAMAL ACUÑA MAURICIO ALEJANDRO</v>
      </c>
      <c r="C1946" s="112" t="str">
        <f>'Informe Kelly'!E1940</f>
        <v>07.04.2011</v>
      </c>
      <c r="D1946" s="112" t="e">
        <f>VLOOKUP(A1946,Ingreso!K:P,6,FALSE)</f>
        <v>#N/A</v>
      </c>
      <c r="E1946" s="142" t="e">
        <f>(VLOOKUP(D1946,$D$2:$E$4,2,FALSE))-(IF('Informe Kelly'!H1940=$A$2,'Informe Kelly'!F1940,VLOOKUP(D1946,$D$2:$E$4,2,FALSE)))</f>
        <v>#N/A</v>
      </c>
      <c r="F1946" s="142" t="e">
        <f>IF('Informe Kelly'!H1940=$A$3,'Informe Kelly'!F1940,VLOOKUP(D1946,$D$2:$F$4,3,FALSE))-(VLOOKUP(D1946,$D$2:$F$4,3,FALSE))</f>
        <v>#N/A</v>
      </c>
      <c r="G1946" s="137" t="e">
        <f t="shared" si="34"/>
        <v>#N/A</v>
      </c>
    </row>
    <row r="1947" spans="1:7">
      <c r="A1947" s="112" t="str">
        <f>VLOOKUP('Informe Kelly'!A1941,Base!A:B,2,FALSE)</f>
        <v>15.444.698-2</v>
      </c>
      <c r="B1947" s="112" t="str">
        <f>VLOOKUP('Informe Kelly'!A1941,Base!A:G,7,FALSE)</f>
        <v>RETAMAL ACUÑA MAURICIO ALEJANDRO</v>
      </c>
      <c r="C1947" s="112" t="str">
        <f>'Informe Kelly'!E1941</f>
        <v>08.04.2011</v>
      </c>
      <c r="D1947" s="112" t="e">
        <f>VLOOKUP(A1947,Ingreso!K:P,6,FALSE)</f>
        <v>#N/A</v>
      </c>
      <c r="E1947" s="142" t="e">
        <f>(VLOOKUP(D1947,$D$2:$E$4,2,FALSE))-(IF('Informe Kelly'!H1941=$A$2,'Informe Kelly'!F1941,VLOOKUP(D1947,$D$2:$E$4,2,FALSE)))</f>
        <v>#N/A</v>
      </c>
      <c r="F1947" s="142" t="e">
        <f>IF('Informe Kelly'!H1941=$A$3,'Informe Kelly'!F1941,VLOOKUP(D1947,$D$2:$F$4,3,FALSE))-(VLOOKUP(D1947,$D$2:$F$4,3,FALSE))</f>
        <v>#N/A</v>
      </c>
      <c r="G1947" s="137" t="e">
        <f t="shared" si="34"/>
        <v>#N/A</v>
      </c>
    </row>
    <row r="1948" spans="1:7">
      <c r="A1948" s="112" t="str">
        <f>VLOOKUP('Informe Kelly'!A1942,Base!A:B,2,FALSE)</f>
        <v>15.444.698-2</v>
      </c>
      <c r="B1948" s="112" t="str">
        <f>VLOOKUP('Informe Kelly'!A1942,Base!A:G,7,FALSE)</f>
        <v>RETAMAL ACUÑA MAURICIO ALEJANDRO</v>
      </c>
      <c r="C1948" s="112" t="str">
        <f>'Informe Kelly'!E1942</f>
        <v>08.04.2011</v>
      </c>
      <c r="D1948" s="112" t="e">
        <f>VLOOKUP(A1948,Ingreso!K:P,6,FALSE)</f>
        <v>#N/A</v>
      </c>
      <c r="E1948" s="142" t="e">
        <f>(VLOOKUP(D1948,$D$2:$E$4,2,FALSE))-(IF('Informe Kelly'!H1942=$A$2,'Informe Kelly'!F1942,VLOOKUP(D1948,$D$2:$E$4,2,FALSE)))</f>
        <v>#N/A</v>
      </c>
      <c r="F1948" s="142" t="e">
        <f>IF('Informe Kelly'!H1942=$A$3,'Informe Kelly'!F1942,VLOOKUP(D1948,$D$2:$F$4,3,FALSE))-(VLOOKUP(D1948,$D$2:$F$4,3,FALSE))</f>
        <v>#N/A</v>
      </c>
      <c r="G1948" s="137" t="e">
        <f t="shared" si="34"/>
        <v>#N/A</v>
      </c>
    </row>
    <row r="1949" spans="1:7">
      <c r="A1949" s="112" t="str">
        <f>VLOOKUP('Informe Kelly'!A1943,Base!A:B,2,FALSE)</f>
        <v>15.444.698-2</v>
      </c>
      <c r="B1949" s="112" t="str">
        <f>VLOOKUP('Informe Kelly'!A1943,Base!A:G,7,FALSE)</f>
        <v>RETAMAL ACUÑA MAURICIO ALEJANDRO</v>
      </c>
      <c r="C1949" s="112" t="str">
        <f>'Informe Kelly'!E1943</f>
        <v>09.04.2011</v>
      </c>
      <c r="D1949" s="112" t="e">
        <f>VLOOKUP(A1949,Ingreso!K:P,6,FALSE)</f>
        <v>#N/A</v>
      </c>
      <c r="E1949" s="142" t="e">
        <f>(VLOOKUP(D1949,$D$2:$E$4,2,FALSE))-(IF('Informe Kelly'!H1943=$A$2,'Informe Kelly'!F1943,VLOOKUP(D1949,$D$2:$E$4,2,FALSE)))</f>
        <v>#N/A</v>
      </c>
      <c r="F1949" s="142" t="e">
        <f>IF('Informe Kelly'!H1943=$A$3,'Informe Kelly'!F1943,VLOOKUP(D1949,$D$2:$F$4,3,FALSE))-(VLOOKUP(D1949,$D$2:$F$4,3,FALSE))</f>
        <v>#N/A</v>
      </c>
      <c r="G1949" s="137" t="e">
        <f t="shared" si="34"/>
        <v>#N/A</v>
      </c>
    </row>
    <row r="1950" spans="1:7">
      <c r="A1950" s="112" t="str">
        <f>VLOOKUP('Informe Kelly'!A1944,Base!A:B,2,FALSE)</f>
        <v>15.444.951-5</v>
      </c>
      <c r="B1950" s="112" t="str">
        <f>VLOOKUP('Informe Kelly'!A1944,Base!A:G,7,FALSE)</f>
        <v>PLAZA ARAYA MIGUEL ANTONIO</v>
      </c>
      <c r="C1950" s="112" t="str">
        <f>'Informe Kelly'!E1944</f>
        <v>04.04.2011</v>
      </c>
      <c r="D1950" s="112" t="e">
        <f>VLOOKUP(A1950,Ingreso!K:P,6,FALSE)</f>
        <v>#N/A</v>
      </c>
      <c r="E1950" s="142" t="e">
        <f>(VLOOKUP(D1950,$D$2:$E$4,2,FALSE))-(IF('Informe Kelly'!H1944=$A$2,'Informe Kelly'!F1944,VLOOKUP(D1950,$D$2:$E$4,2,FALSE)))</f>
        <v>#N/A</v>
      </c>
      <c r="F1950" s="142" t="e">
        <f>IF('Informe Kelly'!H1944=$A$3,'Informe Kelly'!F1944,VLOOKUP(D1950,$D$2:$F$4,3,FALSE))-(VLOOKUP(D1950,$D$2:$F$4,3,FALSE))</f>
        <v>#N/A</v>
      </c>
      <c r="G1950" s="137" t="e">
        <f t="shared" si="34"/>
        <v>#N/A</v>
      </c>
    </row>
    <row r="1951" spans="1:7">
      <c r="A1951" s="112" t="str">
        <f>VLOOKUP('Informe Kelly'!A1945,Base!A:B,2,FALSE)</f>
        <v>15.444.951-5</v>
      </c>
      <c r="B1951" s="112" t="str">
        <f>VLOOKUP('Informe Kelly'!A1945,Base!A:G,7,FALSE)</f>
        <v>PLAZA ARAYA MIGUEL ANTONIO</v>
      </c>
      <c r="C1951" s="112" t="str">
        <f>'Informe Kelly'!E1945</f>
        <v>04.04.2011</v>
      </c>
      <c r="D1951" s="112" t="e">
        <f>VLOOKUP(A1951,Ingreso!K:P,6,FALSE)</f>
        <v>#N/A</v>
      </c>
      <c r="E1951" s="142" t="e">
        <f>(VLOOKUP(D1951,$D$2:$E$4,2,FALSE))-(IF('Informe Kelly'!H1945=$A$2,'Informe Kelly'!F1945,VLOOKUP(D1951,$D$2:$E$4,2,FALSE)))</f>
        <v>#N/A</v>
      </c>
      <c r="F1951" s="142" t="e">
        <f>IF('Informe Kelly'!H1945=$A$3,'Informe Kelly'!F1945,VLOOKUP(D1951,$D$2:$F$4,3,FALSE))-(VLOOKUP(D1951,$D$2:$F$4,3,FALSE))</f>
        <v>#N/A</v>
      </c>
      <c r="G1951" s="137" t="e">
        <f t="shared" si="34"/>
        <v>#N/A</v>
      </c>
    </row>
    <row r="1952" spans="1:7">
      <c r="A1952" s="112" t="str">
        <f>VLOOKUP('Informe Kelly'!A1946,Base!A:B,2,FALSE)</f>
        <v>15.444.951-5</v>
      </c>
      <c r="B1952" s="112" t="str">
        <f>VLOOKUP('Informe Kelly'!A1946,Base!A:G,7,FALSE)</f>
        <v>PLAZA ARAYA MIGUEL ANTONIO</v>
      </c>
      <c r="C1952" s="112" t="str">
        <f>'Informe Kelly'!E1946</f>
        <v>05.04.2011</v>
      </c>
      <c r="D1952" s="112" t="e">
        <f>VLOOKUP(A1952,Ingreso!K:P,6,FALSE)</f>
        <v>#N/A</v>
      </c>
      <c r="E1952" s="142" t="e">
        <f>(VLOOKUP(D1952,$D$2:$E$4,2,FALSE))-(IF('Informe Kelly'!H1946=$A$2,'Informe Kelly'!F1946,VLOOKUP(D1952,$D$2:$E$4,2,FALSE)))</f>
        <v>#N/A</v>
      </c>
      <c r="F1952" s="142" t="e">
        <f>IF('Informe Kelly'!H1946=$A$3,'Informe Kelly'!F1946,VLOOKUP(D1952,$D$2:$F$4,3,FALSE))-(VLOOKUP(D1952,$D$2:$F$4,3,FALSE))</f>
        <v>#N/A</v>
      </c>
      <c r="G1952" s="137" t="e">
        <f t="shared" si="34"/>
        <v>#N/A</v>
      </c>
    </row>
    <row r="1953" spans="1:7">
      <c r="A1953" s="112" t="str">
        <f>VLOOKUP('Informe Kelly'!A1947,Base!A:B,2,FALSE)</f>
        <v>15.444.951-5</v>
      </c>
      <c r="B1953" s="112" t="str">
        <f>VLOOKUP('Informe Kelly'!A1947,Base!A:G,7,FALSE)</f>
        <v>PLAZA ARAYA MIGUEL ANTONIO</v>
      </c>
      <c r="C1953" s="112" t="str">
        <f>'Informe Kelly'!E1947</f>
        <v>05.04.2011</v>
      </c>
      <c r="D1953" s="112" t="e">
        <f>VLOOKUP(A1953,Ingreso!K:P,6,FALSE)</f>
        <v>#N/A</v>
      </c>
      <c r="E1953" s="142" t="e">
        <f>(VLOOKUP(D1953,$D$2:$E$4,2,FALSE))-(IF('Informe Kelly'!H1947=$A$2,'Informe Kelly'!F1947,VLOOKUP(D1953,$D$2:$E$4,2,FALSE)))</f>
        <v>#N/A</v>
      </c>
      <c r="F1953" s="142" t="e">
        <f>IF('Informe Kelly'!H1947=$A$3,'Informe Kelly'!F1947,VLOOKUP(D1953,$D$2:$F$4,3,FALSE))-(VLOOKUP(D1953,$D$2:$F$4,3,FALSE))</f>
        <v>#N/A</v>
      </c>
      <c r="G1953" s="137" t="e">
        <f t="shared" si="34"/>
        <v>#N/A</v>
      </c>
    </row>
    <row r="1954" spans="1:7">
      <c r="A1954" s="112" t="str">
        <f>VLOOKUP('Informe Kelly'!A1948,Base!A:B,2,FALSE)</f>
        <v>15.444.951-5</v>
      </c>
      <c r="B1954" s="112" t="str">
        <f>VLOOKUP('Informe Kelly'!A1948,Base!A:G,7,FALSE)</f>
        <v>PLAZA ARAYA MIGUEL ANTONIO</v>
      </c>
      <c r="C1954" s="112" t="str">
        <f>'Informe Kelly'!E1948</f>
        <v>06.04.2011</v>
      </c>
      <c r="D1954" s="112" t="e">
        <f>VLOOKUP(A1954,Ingreso!K:P,6,FALSE)</f>
        <v>#N/A</v>
      </c>
      <c r="E1954" s="142" t="e">
        <f>(VLOOKUP(D1954,$D$2:$E$4,2,FALSE))-(IF('Informe Kelly'!H1948=$A$2,'Informe Kelly'!F1948,VLOOKUP(D1954,$D$2:$E$4,2,FALSE)))</f>
        <v>#N/A</v>
      </c>
      <c r="F1954" s="142" t="e">
        <f>IF('Informe Kelly'!H1948=$A$3,'Informe Kelly'!F1948,VLOOKUP(D1954,$D$2:$F$4,3,FALSE))-(VLOOKUP(D1954,$D$2:$F$4,3,FALSE))</f>
        <v>#N/A</v>
      </c>
      <c r="G1954" s="137" t="e">
        <f t="shared" si="34"/>
        <v>#N/A</v>
      </c>
    </row>
    <row r="1955" spans="1:7">
      <c r="A1955" s="112" t="str">
        <f>VLOOKUP('Informe Kelly'!A1949,Base!A:B,2,FALSE)</f>
        <v>15.444.951-5</v>
      </c>
      <c r="B1955" s="112" t="str">
        <f>VLOOKUP('Informe Kelly'!A1949,Base!A:G,7,FALSE)</f>
        <v>PLAZA ARAYA MIGUEL ANTONIO</v>
      </c>
      <c r="C1955" s="112" t="str">
        <f>'Informe Kelly'!E1949</f>
        <v>06.04.2011</v>
      </c>
      <c r="D1955" s="112" t="e">
        <f>VLOOKUP(A1955,Ingreso!K:P,6,FALSE)</f>
        <v>#N/A</v>
      </c>
      <c r="E1955" s="142" t="e">
        <f>(VLOOKUP(D1955,$D$2:$E$4,2,FALSE))-(IF('Informe Kelly'!H1949=$A$2,'Informe Kelly'!F1949,VLOOKUP(D1955,$D$2:$E$4,2,FALSE)))</f>
        <v>#N/A</v>
      </c>
      <c r="F1955" s="142" t="e">
        <f>IF('Informe Kelly'!H1949=$A$3,'Informe Kelly'!F1949,VLOOKUP(D1955,$D$2:$F$4,3,FALSE))-(VLOOKUP(D1955,$D$2:$F$4,3,FALSE))</f>
        <v>#N/A</v>
      </c>
      <c r="G1955" s="137" t="e">
        <f t="shared" si="34"/>
        <v>#N/A</v>
      </c>
    </row>
    <row r="1956" spans="1:7">
      <c r="A1956" s="112" t="str">
        <f>VLOOKUP('Informe Kelly'!A1950,Base!A:B,2,FALSE)</f>
        <v>15.444.951-5</v>
      </c>
      <c r="B1956" s="112" t="str">
        <f>VLOOKUP('Informe Kelly'!A1950,Base!A:G,7,FALSE)</f>
        <v>PLAZA ARAYA MIGUEL ANTONIO</v>
      </c>
      <c r="C1956" s="112" t="str">
        <f>'Informe Kelly'!E1950</f>
        <v>07.04.2011</v>
      </c>
      <c r="D1956" s="112" t="e">
        <f>VLOOKUP(A1956,Ingreso!K:P,6,FALSE)</f>
        <v>#N/A</v>
      </c>
      <c r="E1956" s="142" t="e">
        <f>(VLOOKUP(D1956,$D$2:$E$4,2,FALSE))-(IF('Informe Kelly'!H1950=$A$2,'Informe Kelly'!F1950,VLOOKUP(D1956,$D$2:$E$4,2,FALSE)))</f>
        <v>#N/A</v>
      </c>
      <c r="F1956" s="142" t="e">
        <f>IF('Informe Kelly'!H1950=$A$3,'Informe Kelly'!F1950,VLOOKUP(D1956,$D$2:$F$4,3,FALSE))-(VLOOKUP(D1956,$D$2:$F$4,3,FALSE))</f>
        <v>#N/A</v>
      </c>
      <c r="G1956" s="137" t="e">
        <f t="shared" si="34"/>
        <v>#N/A</v>
      </c>
    </row>
    <row r="1957" spans="1:7">
      <c r="A1957" s="112" t="str">
        <f>VLOOKUP('Informe Kelly'!A1951,Base!A:B,2,FALSE)</f>
        <v>15.444.951-5</v>
      </c>
      <c r="B1957" s="112" t="str">
        <f>VLOOKUP('Informe Kelly'!A1951,Base!A:G,7,FALSE)</f>
        <v>PLAZA ARAYA MIGUEL ANTONIO</v>
      </c>
      <c r="C1957" s="112" t="str">
        <f>'Informe Kelly'!E1951</f>
        <v>07.04.2011</v>
      </c>
      <c r="D1957" s="112" t="e">
        <f>VLOOKUP(A1957,Ingreso!K:P,6,FALSE)</f>
        <v>#N/A</v>
      </c>
      <c r="E1957" s="142" t="e">
        <f>(VLOOKUP(D1957,$D$2:$E$4,2,FALSE))-(IF('Informe Kelly'!H1951=$A$2,'Informe Kelly'!F1951,VLOOKUP(D1957,$D$2:$E$4,2,FALSE)))</f>
        <v>#N/A</v>
      </c>
      <c r="F1957" s="142" t="e">
        <f>IF('Informe Kelly'!H1951=$A$3,'Informe Kelly'!F1951,VLOOKUP(D1957,$D$2:$F$4,3,FALSE))-(VLOOKUP(D1957,$D$2:$F$4,3,FALSE))</f>
        <v>#N/A</v>
      </c>
      <c r="G1957" s="137" t="e">
        <f t="shared" si="34"/>
        <v>#N/A</v>
      </c>
    </row>
    <row r="1958" spans="1:7">
      <c r="A1958" s="112" t="str">
        <f>VLOOKUP('Informe Kelly'!A1952,Base!A:B,2,FALSE)</f>
        <v>15.444.951-5</v>
      </c>
      <c r="B1958" s="112" t="str">
        <f>VLOOKUP('Informe Kelly'!A1952,Base!A:G,7,FALSE)</f>
        <v>PLAZA ARAYA MIGUEL ANTONIO</v>
      </c>
      <c r="C1958" s="112" t="str">
        <f>'Informe Kelly'!E1952</f>
        <v>08.04.2011</v>
      </c>
      <c r="D1958" s="112" t="e">
        <f>VLOOKUP(A1958,Ingreso!K:P,6,FALSE)</f>
        <v>#N/A</v>
      </c>
      <c r="E1958" s="142" t="e">
        <f>(VLOOKUP(D1958,$D$2:$E$4,2,FALSE))-(IF('Informe Kelly'!H1952=$A$2,'Informe Kelly'!F1952,VLOOKUP(D1958,$D$2:$E$4,2,FALSE)))</f>
        <v>#N/A</v>
      </c>
      <c r="F1958" s="142" t="e">
        <f>IF('Informe Kelly'!H1952=$A$3,'Informe Kelly'!F1952,VLOOKUP(D1958,$D$2:$F$4,3,FALSE))-(VLOOKUP(D1958,$D$2:$F$4,3,FALSE))</f>
        <v>#N/A</v>
      </c>
      <c r="G1958" s="137" t="e">
        <f t="shared" si="34"/>
        <v>#N/A</v>
      </c>
    </row>
    <row r="1959" spans="1:7">
      <c r="A1959" s="112" t="str">
        <f>VLOOKUP('Informe Kelly'!A1953,Base!A:B,2,FALSE)</f>
        <v>15.444.951-5</v>
      </c>
      <c r="B1959" s="112" t="str">
        <f>VLOOKUP('Informe Kelly'!A1953,Base!A:G,7,FALSE)</f>
        <v>PLAZA ARAYA MIGUEL ANTONIO</v>
      </c>
      <c r="C1959" s="112" t="str">
        <f>'Informe Kelly'!E1953</f>
        <v>08.04.2011</v>
      </c>
      <c r="D1959" s="112" t="e">
        <f>VLOOKUP(A1959,Ingreso!K:P,6,FALSE)</f>
        <v>#N/A</v>
      </c>
      <c r="E1959" s="142" t="e">
        <f>(VLOOKUP(D1959,$D$2:$E$4,2,FALSE))-(IF('Informe Kelly'!H1953=$A$2,'Informe Kelly'!F1953,VLOOKUP(D1959,$D$2:$E$4,2,FALSE)))</f>
        <v>#N/A</v>
      </c>
      <c r="F1959" s="142" t="e">
        <f>IF('Informe Kelly'!H1953=$A$3,'Informe Kelly'!F1953,VLOOKUP(D1959,$D$2:$F$4,3,FALSE))-(VLOOKUP(D1959,$D$2:$F$4,3,FALSE))</f>
        <v>#N/A</v>
      </c>
      <c r="G1959" s="137" t="e">
        <f t="shared" si="34"/>
        <v>#N/A</v>
      </c>
    </row>
    <row r="1960" spans="1:7">
      <c r="A1960" s="112" t="str">
        <f>VLOOKUP('Informe Kelly'!A1954,Base!A:B,2,FALSE)</f>
        <v>15.444.951-5</v>
      </c>
      <c r="B1960" s="112" t="str">
        <f>VLOOKUP('Informe Kelly'!A1954,Base!A:G,7,FALSE)</f>
        <v>PLAZA ARAYA MIGUEL ANTONIO</v>
      </c>
      <c r="C1960" s="112" t="str">
        <f>'Informe Kelly'!E1954</f>
        <v>09.04.2011</v>
      </c>
      <c r="D1960" s="112" t="e">
        <f>VLOOKUP(A1960,Ingreso!K:P,6,FALSE)</f>
        <v>#N/A</v>
      </c>
      <c r="E1960" s="142" t="e">
        <f>(VLOOKUP(D1960,$D$2:$E$4,2,FALSE))-(IF('Informe Kelly'!H1954=$A$2,'Informe Kelly'!F1954,VLOOKUP(D1960,$D$2:$E$4,2,FALSE)))</f>
        <v>#N/A</v>
      </c>
      <c r="F1960" s="142" t="e">
        <f>IF('Informe Kelly'!H1954=$A$3,'Informe Kelly'!F1954,VLOOKUP(D1960,$D$2:$F$4,3,FALSE))-(VLOOKUP(D1960,$D$2:$F$4,3,FALSE))</f>
        <v>#N/A</v>
      </c>
      <c r="G1960" s="137" t="e">
        <f t="shared" si="34"/>
        <v>#N/A</v>
      </c>
    </row>
    <row r="1961" spans="1:7">
      <c r="A1961" s="112" t="str">
        <f>VLOOKUP('Informe Kelly'!A1955,Base!A:B,2,FALSE)</f>
        <v>15.444.951-5</v>
      </c>
      <c r="B1961" s="112" t="str">
        <f>VLOOKUP('Informe Kelly'!A1955,Base!A:G,7,FALSE)</f>
        <v>PLAZA ARAYA MIGUEL ANTONIO</v>
      </c>
      <c r="C1961" s="112" t="str">
        <f>'Informe Kelly'!E1955</f>
        <v>09.04.2011</v>
      </c>
      <c r="D1961" s="112" t="e">
        <f>VLOOKUP(A1961,Ingreso!K:P,6,FALSE)</f>
        <v>#N/A</v>
      </c>
      <c r="E1961" s="142" t="e">
        <f>(VLOOKUP(D1961,$D$2:$E$4,2,FALSE))-(IF('Informe Kelly'!H1955=$A$2,'Informe Kelly'!F1955,VLOOKUP(D1961,$D$2:$E$4,2,FALSE)))</f>
        <v>#N/A</v>
      </c>
      <c r="F1961" s="142" t="e">
        <f>IF('Informe Kelly'!H1955=$A$3,'Informe Kelly'!F1955,VLOOKUP(D1961,$D$2:$F$4,3,FALSE))-(VLOOKUP(D1961,$D$2:$F$4,3,FALSE))</f>
        <v>#N/A</v>
      </c>
      <c r="G1961" s="137" t="e">
        <f t="shared" si="34"/>
        <v>#N/A</v>
      </c>
    </row>
    <row r="1962" spans="1:7">
      <c r="A1962" s="112" t="str">
        <f>VLOOKUP('Informe Kelly'!A1956,Base!A:B,2,FALSE)</f>
        <v>15.445.100-5</v>
      </c>
      <c r="B1962" s="112" t="str">
        <f>VLOOKUP('Informe Kelly'!A1956,Base!A:G,7,FALSE)</f>
        <v>MACAYA MOSCOSO FELIPE ANDRES</v>
      </c>
      <c r="C1962" s="112" t="str">
        <f>'Informe Kelly'!E1956</f>
        <v>04.04.2011</v>
      </c>
      <c r="D1962" s="112" t="e">
        <f>VLOOKUP(A1962,Ingreso!K:P,6,FALSE)</f>
        <v>#N/A</v>
      </c>
      <c r="E1962" s="142" t="e">
        <f>(VLOOKUP(D1962,$D$2:$E$4,2,FALSE))-(IF('Informe Kelly'!H1956=$A$2,'Informe Kelly'!F1956,VLOOKUP(D1962,$D$2:$E$4,2,FALSE)))</f>
        <v>#N/A</v>
      </c>
      <c r="F1962" s="142" t="e">
        <f>IF('Informe Kelly'!H1956=$A$3,'Informe Kelly'!F1956,VLOOKUP(D1962,$D$2:$F$4,3,FALSE))-(VLOOKUP(D1962,$D$2:$F$4,3,FALSE))</f>
        <v>#N/A</v>
      </c>
      <c r="G1962" s="137" t="e">
        <f t="shared" si="34"/>
        <v>#N/A</v>
      </c>
    </row>
    <row r="1963" spans="1:7">
      <c r="A1963" s="112" t="str">
        <f>VLOOKUP('Informe Kelly'!A1957,Base!A:B,2,FALSE)</f>
        <v>15.445.100-5</v>
      </c>
      <c r="B1963" s="112" t="str">
        <f>VLOOKUP('Informe Kelly'!A1957,Base!A:G,7,FALSE)</f>
        <v>MACAYA MOSCOSO FELIPE ANDRES</v>
      </c>
      <c r="C1963" s="112" t="str">
        <f>'Informe Kelly'!E1957</f>
        <v>05.04.2011</v>
      </c>
      <c r="D1963" s="112" t="e">
        <f>VLOOKUP(A1963,Ingreso!K:P,6,FALSE)</f>
        <v>#N/A</v>
      </c>
      <c r="E1963" s="142" t="e">
        <f>(VLOOKUP(D1963,$D$2:$E$4,2,FALSE))-(IF('Informe Kelly'!H1957=$A$2,'Informe Kelly'!F1957,VLOOKUP(D1963,$D$2:$E$4,2,FALSE)))</f>
        <v>#N/A</v>
      </c>
      <c r="F1963" s="142" t="e">
        <f>IF('Informe Kelly'!H1957=$A$3,'Informe Kelly'!F1957,VLOOKUP(D1963,$D$2:$F$4,3,FALSE))-(VLOOKUP(D1963,$D$2:$F$4,3,FALSE))</f>
        <v>#N/A</v>
      </c>
      <c r="G1963" s="137" t="e">
        <f t="shared" si="34"/>
        <v>#N/A</v>
      </c>
    </row>
    <row r="1964" spans="1:7">
      <c r="A1964" s="112" t="str">
        <f>VLOOKUP('Informe Kelly'!A1958,Base!A:B,2,FALSE)</f>
        <v>15.445.100-5</v>
      </c>
      <c r="B1964" s="112" t="str">
        <f>VLOOKUP('Informe Kelly'!A1958,Base!A:G,7,FALSE)</f>
        <v>MACAYA MOSCOSO FELIPE ANDRES</v>
      </c>
      <c r="C1964" s="112" t="str">
        <f>'Informe Kelly'!E1958</f>
        <v>05.04.2011</v>
      </c>
      <c r="D1964" s="112" t="e">
        <f>VLOOKUP(A1964,Ingreso!K:P,6,FALSE)</f>
        <v>#N/A</v>
      </c>
      <c r="E1964" s="142" t="e">
        <f>(VLOOKUP(D1964,$D$2:$E$4,2,FALSE))-(IF('Informe Kelly'!H1958=$A$2,'Informe Kelly'!F1958,VLOOKUP(D1964,$D$2:$E$4,2,FALSE)))</f>
        <v>#N/A</v>
      </c>
      <c r="F1964" s="142" t="e">
        <f>IF('Informe Kelly'!H1958=$A$3,'Informe Kelly'!F1958,VLOOKUP(D1964,$D$2:$F$4,3,FALSE))-(VLOOKUP(D1964,$D$2:$F$4,3,FALSE))</f>
        <v>#N/A</v>
      </c>
      <c r="G1964" s="137" t="e">
        <f t="shared" si="34"/>
        <v>#N/A</v>
      </c>
    </row>
    <row r="1965" spans="1:7">
      <c r="A1965" s="112" t="str">
        <f>VLOOKUP('Informe Kelly'!A1959,Base!A:B,2,FALSE)</f>
        <v>15.445.100-5</v>
      </c>
      <c r="B1965" s="112" t="str">
        <f>VLOOKUP('Informe Kelly'!A1959,Base!A:G,7,FALSE)</f>
        <v>MACAYA MOSCOSO FELIPE ANDRES</v>
      </c>
      <c r="C1965" s="112" t="str">
        <f>'Informe Kelly'!E1959</f>
        <v>06.04.2011</v>
      </c>
      <c r="D1965" s="112" t="e">
        <f>VLOOKUP(A1965,Ingreso!K:P,6,FALSE)</f>
        <v>#N/A</v>
      </c>
      <c r="E1965" s="142" t="e">
        <f>(VLOOKUP(D1965,$D$2:$E$4,2,FALSE))-(IF('Informe Kelly'!H1959=$A$2,'Informe Kelly'!F1959,VLOOKUP(D1965,$D$2:$E$4,2,FALSE)))</f>
        <v>#N/A</v>
      </c>
      <c r="F1965" s="142" t="e">
        <f>IF('Informe Kelly'!H1959=$A$3,'Informe Kelly'!F1959,VLOOKUP(D1965,$D$2:$F$4,3,FALSE))-(VLOOKUP(D1965,$D$2:$F$4,3,FALSE))</f>
        <v>#N/A</v>
      </c>
      <c r="G1965" s="137" t="e">
        <f t="shared" si="34"/>
        <v>#N/A</v>
      </c>
    </row>
    <row r="1966" spans="1:7">
      <c r="A1966" s="112" t="str">
        <f>VLOOKUP('Informe Kelly'!A1960,Base!A:B,2,FALSE)</f>
        <v>15.445.100-5</v>
      </c>
      <c r="B1966" s="112" t="str">
        <f>VLOOKUP('Informe Kelly'!A1960,Base!A:G,7,FALSE)</f>
        <v>MACAYA MOSCOSO FELIPE ANDRES</v>
      </c>
      <c r="C1966" s="112" t="str">
        <f>'Informe Kelly'!E1960</f>
        <v>06.04.2011</v>
      </c>
      <c r="D1966" s="112" t="e">
        <f>VLOOKUP(A1966,Ingreso!K:P,6,FALSE)</f>
        <v>#N/A</v>
      </c>
      <c r="E1966" s="142" t="e">
        <f>(VLOOKUP(D1966,$D$2:$E$4,2,FALSE))-(IF('Informe Kelly'!H1960=$A$2,'Informe Kelly'!F1960,VLOOKUP(D1966,$D$2:$E$4,2,FALSE)))</f>
        <v>#N/A</v>
      </c>
      <c r="F1966" s="142" t="e">
        <f>IF('Informe Kelly'!H1960=$A$3,'Informe Kelly'!F1960,VLOOKUP(D1966,$D$2:$F$4,3,FALSE))-(VLOOKUP(D1966,$D$2:$F$4,3,FALSE))</f>
        <v>#N/A</v>
      </c>
      <c r="G1966" s="137" t="e">
        <f t="shared" si="34"/>
        <v>#N/A</v>
      </c>
    </row>
    <row r="1967" spans="1:7">
      <c r="A1967" s="112" t="str">
        <f>VLOOKUP('Informe Kelly'!A1961,Base!A:B,2,FALSE)</f>
        <v>15.445.100-5</v>
      </c>
      <c r="B1967" s="112" t="str">
        <f>VLOOKUP('Informe Kelly'!A1961,Base!A:G,7,FALSE)</f>
        <v>MACAYA MOSCOSO FELIPE ANDRES</v>
      </c>
      <c r="C1967" s="112" t="str">
        <f>'Informe Kelly'!E1961</f>
        <v>07.04.2011</v>
      </c>
      <c r="D1967" s="112" t="e">
        <f>VLOOKUP(A1967,Ingreso!K:P,6,FALSE)</f>
        <v>#N/A</v>
      </c>
      <c r="E1967" s="142" t="e">
        <f>(VLOOKUP(D1967,$D$2:$E$4,2,FALSE))-(IF('Informe Kelly'!H1961=$A$2,'Informe Kelly'!F1961,VLOOKUP(D1967,$D$2:$E$4,2,FALSE)))</f>
        <v>#N/A</v>
      </c>
      <c r="F1967" s="142" t="e">
        <f>IF('Informe Kelly'!H1961=$A$3,'Informe Kelly'!F1961,VLOOKUP(D1967,$D$2:$F$4,3,FALSE))-(VLOOKUP(D1967,$D$2:$F$4,3,FALSE))</f>
        <v>#N/A</v>
      </c>
      <c r="G1967" s="137" t="e">
        <f t="shared" si="34"/>
        <v>#N/A</v>
      </c>
    </row>
    <row r="1968" spans="1:7">
      <c r="A1968" s="112" t="str">
        <f>VLOOKUP('Informe Kelly'!A1962,Base!A:B,2,FALSE)</f>
        <v>15.445.100-5</v>
      </c>
      <c r="B1968" s="112" t="str">
        <f>VLOOKUP('Informe Kelly'!A1962,Base!A:G,7,FALSE)</f>
        <v>MACAYA MOSCOSO FELIPE ANDRES</v>
      </c>
      <c r="C1968" s="112" t="str">
        <f>'Informe Kelly'!E1962</f>
        <v>07.04.2011</v>
      </c>
      <c r="D1968" s="112" t="e">
        <f>VLOOKUP(A1968,Ingreso!K:P,6,FALSE)</f>
        <v>#N/A</v>
      </c>
      <c r="E1968" s="142" t="e">
        <f>(VLOOKUP(D1968,$D$2:$E$4,2,FALSE))-(IF('Informe Kelly'!H1962=$A$2,'Informe Kelly'!F1962,VLOOKUP(D1968,$D$2:$E$4,2,FALSE)))</f>
        <v>#N/A</v>
      </c>
      <c r="F1968" s="142" t="e">
        <f>IF('Informe Kelly'!H1962=$A$3,'Informe Kelly'!F1962,VLOOKUP(D1968,$D$2:$F$4,3,FALSE))-(VLOOKUP(D1968,$D$2:$F$4,3,FALSE))</f>
        <v>#N/A</v>
      </c>
      <c r="G1968" s="137" t="e">
        <f t="shared" si="34"/>
        <v>#N/A</v>
      </c>
    </row>
    <row r="1969" spans="1:7">
      <c r="A1969" s="112" t="str">
        <f>VLOOKUP('Informe Kelly'!A1963,Base!A:B,2,FALSE)</f>
        <v>15.445.100-5</v>
      </c>
      <c r="B1969" s="112" t="str">
        <f>VLOOKUP('Informe Kelly'!A1963,Base!A:G,7,FALSE)</f>
        <v>MACAYA MOSCOSO FELIPE ANDRES</v>
      </c>
      <c r="C1969" s="112" t="str">
        <f>'Informe Kelly'!E1963</f>
        <v>08.04.2011</v>
      </c>
      <c r="D1969" s="112" t="e">
        <f>VLOOKUP(A1969,Ingreso!K:P,6,FALSE)</f>
        <v>#N/A</v>
      </c>
      <c r="E1969" s="142" t="e">
        <f>(VLOOKUP(D1969,$D$2:$E$4,2,FALSE))-(IF('Informe Kelly'!H1963=$A$2,'Informe Kelly'!F1963,VLOOKUP(D1969,$D$2:$E$4,2,FALSE)))</f>
        <v>#N/A</v>
      </c>
      <c r="F1969" s="142" t="e">
        <f>IF('Informe Kelly'!H1963=$A$3,'Informe Kelly'!F1963,VLOOKUP(D1969,$D$2:$F$4,3,FALSE))-(VLOOKUP(D1969,$D$2:$F$4,3,FALSE))</f>
        <v>#N/A</v>
      </c>
      <c r="G1969" s="137" t="e">
        <f t="shared" si="34"/>
        <v>#N/A</v>
      </c>
    </row>
    <row r="1970" spans="1:7">
      <c r="A1970" s="112" t="str">
        <f>VLOOKUP('Informe Kelly'!A1964,Base!A:B,2,FALSE)</f>
        <v>15.445.100-5</v>
      </c>
      <c r="B1970" s="112" t="str">
        <f>VLOOKUP('Informe Kelly'!A1964,Base!A:G,7,FALSE)</f>
        <v>MACAYA MOSCOSO FELIPE ANDRES</v>
      </c>
      <c r="C1970" s="112" t="str">
        <f>'Informe Kelly'!E1964</f>
        <v>08.04.2011</v>
      </c>
      <c r="D1970" s="112" t="e">
        <f>VLOOKUP(A1970,Ingreso!K:P,6,FALSE)</f>
        <v>#N/A</v>
      </c>
      <c r="E1970" s="142" t="e">
        <f>(VLOOKUP(D1970,$D$2:$E$4,2,FALSE))-(IF('Informe Kelly'!H1964=$A$2,'Informe Kelly'!F1964,VLOOKUP(D1970,$D$2:$E$4,2,FALSE)))</f>
        <v>#N/A</v>
      </c>
      <c r="F1970" s="142" t="e">
        <f>IF('Informe Kelly'!H1964=$A$3,'Informe Kelly'!F1964,VLOOKUP(D1970,$D$2:$F$4,3,FALSE))-(VLOOKUP(D1970,$D$2:$F$4,3,FALSE))</f>
        <v>#N/A</v>
      </c>
      <c r="G1970" s="137" t="e">
        <f t="shared" si="34"/>
        <v>#N/A</v>
      </c>
    </row>
    <row r="1971" spans="1:7">
      <c r="A1971" s="112" t="str">
        <f>VLOOKUP('Informe Kelly'!A1965,Base!A:B,2,FALSE)</f>
        <v>15.445.100-5</v>
      </c>
      <c r="B1971" s="112" t="str">
        <f>VLOOKUP('Informe Kelly'!A1965,Base!A:G,7,FALSE)</f>
        <v>MACAYA MOSCOSO FELIPE ANDRES</v>
      </c>
      <c r="C1971" s="112" t="str">
        <f>'Informe Kelly'!E1965</f>
        <v>09.04.2011</v>
      </c>
      <c r="D1971" s="112" t="e">
        <f>VLOOKUP(A1971,Ingreso!K:P,6,FALSE)</f>
        <v>#N/A</v>
      </c>
      <c r="E1971" s="142" t="e">
        <f>(VLOOKUP(D1971,$D$2:$E$4,2,FALSE))-(IF('Informe Kelly'!H1965=$A$2,'Informe Kelly'!F1965,VLOOKUP(D1971,$D$2:$E$4,2,FALSE)))</f>
        <v>#N/A</v>
      </c>
      <c r="F1971" s="142" t="e">
        <f>IF('Informe Kelly'!H1965=$A$3,'Informe Kelly'!F1965,VLOOKUP(D1971,$D$2:$F$4,3,FALSE))-(VLOOKUP(D1971,$D$2:$F$4,3,FALSE))</f>
        <v>#N/A</v>
      </c>
      <c r="G1971" s="137" t="e">
        <f t="shared" si="34"/>
        <v>#N/A</v>
      </c>
    </row>
    <row r="1972" spans="1:7">
      <c r="A1972" s="112" t="str">
        <f>VLOOKUP('Informe Kelly'!A1966,Base!A:B,2,FALSE)</f>
        <v>15.449.281-K</v>
      </c>
      <c r="B1972" s="112" t="str">
        <f>VLOOKUP('Informe Kelly'!A1966,Base!A:G,7,FALSE)</f>
        <v>DURAN MIRANDA ROBERTO FABIAN</v>
      </c>
      <c r="C1972" s="112" t="str">
        <f>'Informe Kelly'!E1966</f>
        <v>04.04.2011</v>
      </c>
      <c r="D1972" s="112" t="e">
        <f>VLOOKUP(A1972,Ingreso!K:P,6,FALSE)</f>
        <v>#N/A</v>
      </c>
      <c r="E1972" s="142" t="e">
        <f>(VLOOKUP(D1972,$D$2:$E$4,2,FALSE))-(IF('Informe Kelly'!H1966=$A$2,'Informe Kelly'!F1966,VLOOKUP(D1972,$D$2:$E$4,2,FALSE)))</f>
        <v>#N/A</v>
      </c>
      <c r="F1972" s="142" t="e">
        <f>IF('Informe Kelly'!H1966=$A$3,'Informe Kelly'!F1966,VLOOKUP(D1972,$D$2:$F$4,3,FALSE))-(VLOOKUP(D1972,$D$2:$F$4,3,FALSE))</f>
        <v>#N/A</v>
      </c>
      <c r="G1972" s="137" t="e">
        <f t="shared" si="34"/>
        <v>#N/A</v>
      </c>
    </row>
    <row r="1973" spans="1:7">
      <c r="A1973" s="112" t="str">
        <f>VLOOKUP('Informe Kelly'!A1967,Base!A:B,2,FALSE)</f>
        <v>15.449.281-K</v>
      </c>
      <c r="B1973" s="112" t="str">
        <f>VLOOKUP('Informe Kelly'!A1967,Base!A:G,7,FALSE)</f>
        <v>DURAN MIRANDA ROBERTO FABIAN</v>
      </c>
      <c r="C1973" s="112" t="str">
        <f>'Informe Kelly'!E1967</f>
        <v>04.04.2011</v>
      </c>
      <c r="D1973" s="112" t="e">
        <f>VLOOKUP(A1973,Ingreso!K:P,6,FALSE)</f>
        <v>#N/A</v>
      </c>
      <c r="E1973" s="142" t="e">
        <f>(VLOOKUP(D1973,$D$2:$E$4,2,FALSE))-(IF('Informe Kelly'!H1967=$A$2,'Informe Kelly'!F1967,VLOOKUP(D1973,$D$2:$E$4,2,FALSE)))</f>
        <v>#N/A</v>
      </c>
      <c r="F1973" s="142" t="e">
        <f>IF('Informe Kelly'!H1967=$A$3,'Informe Kelly'!F1967,VLOOKUP(D1973,$D$2:$F$4,3,FALSE))-(VLOOKUP(D1973,$D$2:$F$4,3,FALSE))</f>
        <v>#N/A</v>
      </c>
      <c r="G1973" s="137" t="e">
        <f t="shared" si="34"/>
        <v>#N/A</v>
      </c>
    </row>
    <row r="1974" spans="1:7">
      <c r="A1974" s="112" t="str">
        <f>VLOOKUP('Informe Kelly'!A1968,Base!A:B,2,FALSE)</f>
        <v>15.449.281-K</v>
      </c>
      <c r="B1974" s="112" t="str">
        <f>VLOOKUP('Informe Kelly'!A1968,Base!A:G,7,FALSE)</f>
        <v>DURAN MIRANDA ROBERTO FABIAN</v>
      </c>
      <c r="C1974" s="112" t="str">
        <f>'Informe Kelly'!E1968</f>
        <v>05.04.2011</v>
      </c>
      <c r="D1974" s="112" t="e">
        <f>VLOOKUP(A1974,Ingreso!K:P,6,FALSE)</f>
        <v>#N/A</v>
      </c>
      <c r="E1974" s="142" t="e">
        <f>(VLOOKUP(D1974,$D$2:$E$4,2,FALSE))-(IF('Informe Kelly'!H1968=$A$2,'Informe Kelly'!F1968,VLOOKUP(D1974,$D$2:$E$4,2,FALSE)))</f>
        <v>#N/A</v>
      </c>
      <c r="F1974" s="142" t="e">
        <f>IF('Informe Kelly'!H1968=$A$3,'Informe Kelly'!F1968,VLOOKUP(D1974,$D$2:$F$4,3,FALSE))-(VLOOKUP(D1974,$D$2:$F$4,3,FALSE))</f>
        <v>#N/A</v>
      </c>
      <c r="G1974" s="137" t="e">
        <f t="shared" si="34"/>
        <v>#N/A</v>
      </c>
    </row>
    <row r="1975" spans="1:7">
      <c r="A1975" s="112" t="str">
        <f>VLOOKUP('Informe Kelly'!A1969,Base!A:B,2,FALSE)</f>
        <v>15.449.281-K</v>
      </c>
      <c r="B1975" s="112" t="str">
        <f>VLOOKUP('Informe Kelly'!A1969,Base!A:G,7,FALSE)</f>
        <v>DURAN MIRANDA ROBERTO FABIAN</v>
      </c>
      <c r="C1975" s="112" t="str">
        <f>'Informe Kelly'!E1969</f>
        <v>05.04.2011</v>
      </c>
      <c r="D1975" s="112" t="e">
        <f>VLOOKUP(A1975,Ingreso!K:P,6,FALSE)</f>
        <v>#N/A</v>
      </c>
      <c r="E1975" s="142" t="e">
        <f>(VLOOKUP(D1975,$D$2:$E$4,2,FALSE))-(IF('Informe Kelly'!H1969=$A$2,'Informe Kelly'!F1969,VLOOKUP(D1975,$D$2:$E$4,2,FALSE)))</f>
        <v>#N/A</v>
      </c>
      <c r="F1975" s="142" t="e">
        <f>IF('Informe Kelly'!H1969=$A$3,'Informe Kelly'!F1969,VLOOKUP(D1975,$D$2:$F$4,3,FALSE))-(VLOOKUP(D1975,$D$2:$F$4,3,FALSE))</f>
        <v>#N/A</v>
      </c>
      <c r="G1975" s="137" t="e">
        <f t="shared" si="34"/>
        <v>#N/A</v>
      </c>
    </row>
    <row r="1976" spans="1:7">
      <c r="A1976" s="112" t="str">
        <f>VLOOKUP('Informe Kelly'!A1970,Base!A:B,2,FALSE)</f>
        <v>15.449.281-K</v>
      </c>
      <c r="B1976" s="112" t="str">
        <f>VLOOKUP('Informe Kelly'!A1970,Base!A:G,7,FALSE)</f>
        <v>DURAN MIRANDA ROBERTO FABIAN</v>
      </c>
      <c r="C1976" s="112" t="str">
        <f>'Informe Kelly'!E1970</f>
        <v>06.04.2011</v>
      </c>
      <c r="D1976" s="112" t="e">
        <f>VLOOKUP(A1976,Ingreso!K:P,6,FALSE)</f>
        <v>#N/A</v>
      </c>
      <c r="E1976" s="142" t="e">
        <f>(VLOOKUP(D1976,$D$2:$E$4,2,FALSE))-(IF('Informe Kelly'!H1970=$A$2,'Informe Kelly'!F1970,VLOOKUP(D1976,$D$2:$E$4,2,FALSE)))</f>
        <v>#N/A</v>
      </c>
      <c r="F1976" s="142" t="e">
        <f>IF('Informe Kelly'!H1970=$A$3,'Informe Kelly'!F1970,VLOOKUP(D1976,$D$2:$F$4,3,FALSE))-(VLOOKUP(D1976,$D$2:$F$4,3,FALSE))</f>
        <v>#N/A</v>
      </c>
      <c r="G1976" s="137" t="e">
        <f t="shared" si="34"/>
        <v>#N/A</v>
      </c>
    </row>
    <row r="1977" spans="1:7">
      <c r="A1977" s="112" t="str">
        <f>VLOOKUP('Informe Kelly'!A1971,Base!A:B,2,FALSE)</f>
        <v>15.449.281-K</v>
      </c>
      <c r="B1977" s="112" t="str">
        <f>VLOOKUP('Informe Kelly'!A1971,Base!A:G,7,FALSE)</f>
        <v>DURAN MIRANDA ROBERTO FABIAN</v>
      </c>
      <c r="C1977" s="112" t="str">
        <f>'Informe Kelly'!E1971</f>
        <v>06.04.2011</v>
      </c>
      <c r="D1977" s="112" t="e">
        <f>VLOOKUP(A1977,Ingreso!K:P,6,FALSE)</f>
        <v>#N/A</v>
      </c>
      <c r="E1977" s="142" t="e">
        <f>(VLOOKUP(D1977,$D$2:$E$4,2,FALSE))-(IF('Informe Kelly'!H1971=$A$2,'Informe Kelly'!F1971,VLOOKUP(D1977,$D$2:$E$4,2,FALSE)))</f>
        <v>#N/A</v>
      </c>
      <c r="F1977" s="142" t="e">
        <f>IF('Informe Kelly'!H1971=$A$3,'Informe Kelly'!F1971,VLOOKUP(D1977,$D$2:$F$4,3,FALSE))-(VLOOKUP(D1977,$D$2:$F$4,3,FALSE))</f>
        <v>#N/A</v>
      </c>
      <c r="G1977" s="137" t="e">
        <f t="shared" si="34"/>
        <v>#N/A</v>
      </c>
    </row>
    <row r="1978" spans="1:7">
      <c r="A1978" s="112" t="str">
        <f>VLOOKUP('Informe Kelly'!A1972,Base!A:B,2,FALSE)</f>
        <v>15.449.281-K</v>
      </c>
      <c r="B1978" s="112" t="str">
        <f>VLOOKUP('Informe Kelly'!A1972,Base!A:G,7,FALSE)</f>
        <v>DURAN MIRANDA ROBERTO FABIAN</v>
      </c>
      <c r="C1978" s="112" t="str">
        <f>'Informe Kelly'!E1972</f>
        <v>07.04.2011</v>
      </c>
      <c r="D1978" s="112" t="e">
        <f>VLOOKUP(A1978,Ingreso!K:P,6,FALSE)</f>
        <v>#N/A</v>
      </c>
      <c r="E1978" s="142" t="e">
        <f>(VLOOKUP(D1978,$D$2:$E$4,2,FALSE))-(IF('Informe Kelly'!H1972=$A$2,'Informe Kelly'!F1972,VLOOKUP(D1978,$D$2:$E$4,2,FALSE)))</f>
        <v>#N/A</v>
      </c>
      <c r="F1978" s="142" t="e">
        <f>IF('Informe Kelly'!H1972=$A$3,'Informe Kelly'!F1972,VLOOKUP(D1978,$D$2:$F$4,3,FALSE))-(VLOOKUP(D1978,$D$2:$F$4,3,FALSE))</f>
        <v>#N/A</v>
      </c>
      <c r="G1978" s="137" t="e">
        <f t="shared" si="34"/>
        <v>#N/A</v>
      </c>
    </row>
    <row r="1979" spans="1:7">
      <c r="A1979" s="112" t="str">
        <f>VLOOKUP('Informe Kelly'!A1973,Base!A:B,2,FALSE)</f>
        <v>15.449.281-K</v>
      </c>
      <c r="B1979" s="112" t="str">
        <f>VLOOKUP('Informe Kelly'!A1973,Base!A:G,7,FALSE)</f>
        <v>DURAN MIRANDA ROBERTO FABIAN</v>
      </c>
      <c r="C1979" s="112" t="str">
        <f>'Informe Kelly'!E1973</f>
        <v>07.04.2011</v>
      </c>
      <c r="D1979" s="112" t="e">
        <f>VLOOKUP(A1979,Ingreso!K:P,6,FALSE)</f>
        <v>#N/A</v>
      </c>
      <c r="E1979" s="142" t="e">
        <f>(VLOOKUP(D1979,$D$2:$E$4,2,FALSE))-(IF('Informe Kelly'!H1973=$A$2,'Informe Kelly'!F1973,VLOOKUP(D1979,$D$2:$E$4,2,FALSE)))</f>
        <v>#N/A</v>
      </c>
      <c r="F1979" s="142" t="e">
        <f>IF('Informe Kelly'!H1973=$A$3,'Informe Kelly'!F1973,VLOOKUP(D1979,$D$2:$F$4,3,FALSE))-(VLOOKUP(D1979,$D$2:$F$4,3,FALSE))</f>
        <v>#N/A</v>
      </c>
      <c r="G1979" s="137" t="e">
        <f t="shared" si="34"/>
        <v>#N/A</v>
      </c>
    </row>
    <row r="1980" spans="1:7">
      <c r="A1980" s="112" t="str">
        <f>VLOOKUP('Informe Kelly'!A1974,Base!A:B,2,FALSE)</f>
        <v>15.449.281-K</v>
      </c>
      <c r="B1980" s="112" t="str">
        <f>VLOOKUP('Informe Kelly'!A1974,Base!A:G,7,FALSE)</f>
        <v>DURAN MIRANDA ROBERTO FABIAN</v>
      </c>
      <c r="C1980" s="112" t="str">
        <f>'Informe Kelly'!E1974</f>
        <v>08.04.2011</v>
      </c>
      <c r="D1980" s="112" t="e">
        <f>VLOOKUP(A1980,Ingreso!K:P,6,FALSE)</f>
        <v>#N/A</v>
      </c>
      <c r="E1980" s="142" t="e">
        <f>(VLOOKUP(D1980,$D$2:$E$4,2,FALSE))-(IF('Informe Kelly'!H1974=$A$2,'Informe Kelly'!F1974,VLOOKUP(D1980,$D$2:$E$4,2,FALSE)))</f>
        <v>#N/A</v>
      </c>
      <c r="F1980" s="142" t="e">
        <f>IF('Informe Kelly'!H1974=$A$3,'Informe Kelly'!F1974,VLOOKUP(D1980,$D$2:$F$4,3,FALSE))-(VLOOKUP(D1980,$D$2:$F$4,3,FALSE))</f>
        <v>#N/A</v>
      </c>
      <c r="G1980" s="137" t="e">
        <f t="shared" si="34"/>
        <v>#N/A</v>
      </c>
    </row>
    <row r="1981" spans="1:7">
      <c r="A1981" s="112" t="str">
        <f>VLOOKUP('Informe Kelly'!A1975,Base!A:B,2,FALSE)</f>
        <v>15.449.281-K</v>
      </c>
      <c r="B1981" s="112" t="str">
        <f>VLOOKUP('Informe Kelly'!A1975,Base!A:G,7,FALSE)</f>
        <v>DURAN MIRANDA ROBERTO FABIAN</v>
      </c>
      <c r="C1981" s="112" t="str">
        <f>'Informe Kelly'!E1975</f>
        <v>08.04.2011</v>
      </c>
      <c r="D1981" s="112" t="e">
        <f>VLOOKUP(A1981,Ingreso!K:P,6,FALSE)</f>
        <v>#N/A</v>
      </c>
      <c r="E1981" s="142" t="e">
        <f>(VLOOKUP(D1981,$D$2:$E$4,2,FALSE))-(IF('Informe Kelly'!H1975=$A$2,'Informe Kelly'!F1975,VLOOKUP(D1981,$D$2:$E$4,2,FALSE)))</f>
        <v>#N/A</v>
      </c>
      <c r="F1981" s="142" t="e">
        <f>IF('Informe Kelly'!H1975=$A$3,'Informe Kelly'!F1975,VLOOKUP(D1981,$D$2:$F$4,3,FALSE))-(VLOOKUP(D1981,$D$2:$F$4,3,FALSE))</f>
        <v>#N/A</v>
      </c>
      <c r="G1981" s="137" t="e">
        <f t="shared" si="34"/>
        <v>#N/A</v>
      </c>
    </row>
    <row r="1982" spans="1:7">
      <c r="A1982" s="112" t="str">
        <f>VLOOKUP('Informe Kelly'!A1976,Base!A:B,2,FALSE)</f>
        <v>15.449.281-K</v>
      </c>
      <c r="B1982" s="112" t="str">
        <f>VLOOKUP('Informe Kelly'!A1976,Base!A:G,7,FALSE)</f>
        <v>DURAN MIRANDA ROBERTO FABIAN</v>
      </c>
      <c r="C1982" s="112" t="str">
        <f>'Informe Kelly'!E1976</f>
        <v>09.04.2011</v>
      </c>
      <c r="D1982" s="112" t="e">
        <f>VLOOKUP(A1982,Ingreso!K:P,6,FALSE)</f>
        <v>#N/A</v>
      </c>
      <c r="E1982" s="142" t="e">
        <f>(VLOOKUP(D1982,$D$2:$E$4,2,FALSE))-(IF('Informe Kelly'!H1976=$A$2,'Informe Kelly'!F1976,VLOOKUP(D1982,$D$2:$E$4,2,FALSE)))</f>
        <v>#N/A</v>
      </c>
      <c r="F1982" s="142" t="e">
        <f>IF('Informe Kelly'!H1976=$A$3,'Informe Kelly'!F1976,VLOOKUP(D1982,$D$2:$F$4,3,FALSE))-(VLOOKUP(D1982,$D$2:$F$4,3,FALSE))</f>
        <v>#N/A</v>
      </c>
      <c r="G1982" s="137" t="e">
        <f t="shared" si="34"/>
        <v>#N/A</v>
      </c>
    </row>
    <row r="1983" spans="1:7">
      <c r="A1983" s="112" t="str">
        <f>VLOOKUP('Informe Kelly'!A1977,Base!A:B,2,FALSE)</f>
        <v>15.449.281-K</v>
      </c>
      <c r="B1983" s="112" t="str">
        <f>VLOOKUP('Informe Kelly'!A1977,Base!A:G,7,FALSE)</f>
        <v>DURAN MIRANDA ROBERTO FABIAN</v>
      </c>
      <c r="C1983" s="112" t="str">
        <f>'Informe Kelly'!E1977</f>
        <v>09.04.2011</v>
      </c>
      <c r="D1983" s="112" t="e">
        <f>VLOOKUP(A1983,Ingreso!K:P,6,FALSE)</f>
        <v>#N/A</v>
      </c>
      <c r="E1983" s="142" t="e">
        <f>(VLOOKUP(D1983,$D$2:$E$4,2,FALSE))-(IF('Informe Kelly'!H1977=$A$2,'Informe Kelly'!F1977,VLOOKUP(D1983,$D$2:$E$4,2,FALSE)))</f>
        <v>#N/A</v>
      </c>
      <c r="F1983" s="142" t="e">
        <f>IF('Informe Kelly'!H1977=$A$3,'Informe Kelly'!F1977,VLOOKUP(D1983,$D$2:$F$4,3,FALSE))-(VLOOKUP(D1983,$D$2:$F$4,3,FALSE))</f>
        <v>#N/A</v>
      </c>
      <c r="G1983" s="137" t="e">
        <f t="shared" si="34"/>
        <v>#N/A</v>
      </c>
    </row>
    <row r="1984" spans="1:7">
      <c r="A1984" s="112" t="str">
        <f>VLOOKUP('Informe Kelly'!A1978,Base!A:B,2,FALSE)</f>
        <v>15.533.689-7</v>
      </c>
      <c r="B1984" s="112" t="str">
        <f>VLOOKUP('Informe Kelly'!A1978,Base!A:G,7,FALSE)</f>
        <v>DURAN  BRAVO, ROBERTO</v>
      </c>
      <c r="C1984" s="112" t="str">
        <f>'Informe Kelly'!E1978</f>
        <v>04.04.2011</v>
      </c>
      <c r="D1984" s="112" t="e">
        <f>VLOOKUP(A1984,Ingreso!K:P,6,FALSE)</f>
        <v>#N/A</v>
      </c>
      <c r="E1984" s="142" t="e">
        <f>(VLOOKUP(D1984,$D$2:$E$4,2,FALSE))-(IF('Informe Kelly'!H1978=$A$2,'Informe Kelly'!F1978,VLOOKUP(D1984,$D$2:$E$4,2,FALSE)))</f>
        <v>#N/A</v>
      </c>
      <c r="F1984" s="142" t="e">
        <f>IF('Informe Kelly'!H1978=$A$3,'Informe Kelly'!F1978,VLOOKUP(D1984,$D$2:$F$4,3,FALSE))-(VLOOKUP(D1984,$D$2:$F$4,3,FALSE))</f>
        <v>#N/A</v>
      </c>
      <c r="G1984" s="137" t="e">
        <f t="shared" si="34"/>
        <v>#N/A</v>
      </c>
    </row>
    <row r="1985" spans="1:7">
      <c r="A1985" s="112" t="str">
        <f>VLOOKUP('Informe Kelly'!A1979,Base!A:B,2,FALSE)</f>
        <v>15.533.689-7</v>
      </c>
      <c r="B1985" s="112" t="str">
        <f>VLOOKUP('Informe Kelly'!A1979,Base!A:G,7,FALSE)</f>
        <v>DURAN  BRAVO, ROBERTO</v>
      </c>
      <c r="C1985" s="112" t="str">
        <f>'Informe Kelly'!E1979</f>
        <v>04.04.2011</v>
      </c>
      <c r="D1985" s="112" t="e">
        <f>VLOOKUP(A1985,Ingreso!K:P,6,FALSE)</f>
        <v>#N/A</v>
      </c>
      <c r="E1985" s="142" t="e">
        <f>(VLOOKUP(D1985,$D$2:$E$4,2,FALSE))-(IF('Informe Kelly'!H1979=$A$2,'Informe Kelly'!F1979,VLOOKUP(D1985,$D$2:$E$4,2,FALSE)))</f>
        <v>#N/A</v>
      </c>
      <c r="F1985" s="142" t="e">
        <f>IF('Informe Kelly'!H1979=$A$3,'Informe Kelly'!F1979,VLOOKUP(D1985,$D$2:$F$4,3,FALSE))-(VLOOKUP(D1985,$D$2:$F$4,3,FALSE))</f>
        <v>#N/A</v>
      </c>
      <c r="G1985" s="137" t="e">
        <f t="shared" si="34"/>
        <v>#N/A</v>
      </c>
    </row>
    <row r="1986" spans="1:7">
      <c r="A1986" s="112" t="str">
        <f>VLOOKUP('Informe Kelly'!A1980,Base!A:B,2,FALSE)</f>
        <v>15.533.689-7</v>
      </c>
      <c r="B1986" s="112" t="str">
        <f>VLOOKUP('Informe Kelly'!A1980,Base!A:G,7,FALSE)</f>
        <v>DURAN  BRAVO, ROBERTO</v>
      </c>
      <c r="C1986" s="112" t="str">
        <f>'Informe Kelly'!E1980</f>
        <v>05.04.2011</v>
      </c>
      <c r="D1986" s="112" t="e">
        <f>VLOOKUP(A1986,Ingreso!K:P,6,FALSE)</f>
        <v>#N/A</v>
      </c>
      <c r="E1986" s="142" t="e">
        <f>(VLOOKUP(D1986,$D$2:$E$4,2,FALSE))-(IF('Informe Kelly'!H1980=$A$2,'Informe Kelly'!F1980,VLOOKUP(D1986,$D$2:$E$4,2,FALSE)))</f>
        <v>#N/A</v>
      </c>
      <c r="F1986" s="142" t="e">
        <f>IF('Informe Kelly'!H1980=$A$3,'Informe Kelly'!F1980,VLOOKUP(D1986,$D$2:$F$4,3,FALSE))-(VLOOKUP(D1986,$D$2:$F$4,3,FALSE))</f>
        <v>#N/A</v>
      </c>
      <c r="G1986" s="137" t="e">
        <f t="shared" si="34"/>
        <v>#N/A</v>
      </c>
    </row>
    <row r="1987" spans="1:7">
      <c r="A1987" s="112" t="str">
        <f>VLOOKUP('Informe Kelly'!A1981,Base!A:B,2,FALSE)</f>
        <v>15.533.689-7</v>
      </c>
      <c r="B1987" s="112" t="str">
        <f>VLOOKUP('Informe Kelly'!A1981,Base!A:G,7,FALSE)</f>
        <v>DURAN  BRAVO, ROBERTO</v>
      </c>
      <c r="C1987" s="112" t="str">
        <f>'Informe Kelly'!E1981</f>
        <v>05.04.2011</v>
      </c>
      <c r="D1987" s="112" t="e">
        <f>VLOOKUP(A1987,Ingreso!K:P,6,FALSE)</f>
        <v>#N/A</v>
      </c>
      <c r="E1987" s="142" t="e">
        <f>(VLOOKUP(D1987,$D$2:$E$4,2,FALSE))-(IF('Informe Kelly'!H1981=$A$2,'Informe Kelly'!F1981,VLOOKUP(D1987,$D$2:$E$4,2,FALSE)))</f>
        <v>#N/A</v>
      </c>
      <c r="F1987" s="142" t="e">
        <f>IF('Informe Kelly'!H1981=$A$3,'Informe Kelly'!F1981,VLOOKUP(D1987,$D$2:$F$4,3,FALSE))-(VLOOKUP(D1987,$D$2:$F$4,3,FALSE))</f>
        <v>#N/A</v>
      </c>
      <c r="G1987" s="137" t="e">
        <f t="shared" si="34"/>
        <v>#N/A</v>
      </c>
    </row>
    <row r="1988" spans="1:7">
      <c r="A1988" s="112" t="str">
        <f>VLOOKUP('Informe Kelly'!A1982,Base!A:B,2,FALSE)</f>
        <v>15.533.689-7</v>
      </c>
      <c r="B1988" s="112" t="str">
        <f>VLOOKUP('Informe Kelly'!A1982,Base!A:G,7,FALSE)</f>
        <v>DURAN  BRAVO, ROBERTO</v>
      </c>
      <c r="C1988" s="112" t="str">
        <f>'Informe Kelly'!E1982</f>
        <v>05.04.2011</v>
      </c>
      <c r="D1988" s="112" t="e">
        <f>VLOOKUP(A1988,Ingreso!K:P,6,FALSE)</f>
        <v>#N/A</v>
      </c>
      <c r="E1988" s="142" t="e">
        <f>(VLOOKUP(D1988,$D$2:$E$4,2,FALSE))-(IF('Informe Kelly'!H1982=$A$2,'Informe Kelly'!F1982,VLOOKUP(D1988,$D$2:$E$4,2,FALSE)))</f>
        <v>#N/A</v>
      </c>
      <c r="F1988" s="142" t="e">
        <f>IF('Informe Kelly'!H1982=$A$3,'Informe Kelly'!F1982,VLOOKUP(D1988,$D$2:$F$4,3,FALSE))-(VLOOKUP(D1988,$D$2:$F$4,3,FALSE))</f>
        <v>#N/A</v>
      </c>
      <c r="G1988" s="137" t="e">
        <f t="shared" si="34"/>
        <v>#N/A</v>
      </c>
    </row>
    <row r="1989" spans="1:7">
      <c r="A1989" s="112" t="str">
        <f>VLOOKUP('Informe Kelly'!A1983,Base!A:B,2,FALSE)</f>
        <v>15.533.689-7</v>
      </c>
      <c r="B1989" s="112" t="str">
        <f>VLOOKUP('Informe Kelly'!A1983,Base!A:G,7,FALSE)</f>
        <v>DURAN  BRAVO, ROBERTO</v>
      </c>
      <c r="C1989" s="112" t="str">
        <f>'Informe Kelly'!E1983</f>
        <v>06.04.2011</v>
      </c>
      <c r="D1989" s="112" t="e">
        <f>VLOOKUP(A1989,Ingreso!K:P,6,FALSE)</f>
        <v>#N/A</v>
      </c>
      <c r="E1989" s="142" t="e">
        <f>(VLOOKUP(D1989,$D$2:$E$4,2,FALSE))-(IF('Informe Kelly'!H1983=$A$2,'Informe Kelly'!F1983,VLOOKUP(D1989,$D$2:$E$4,2,FALSE)))</f>
        <v>#N/A</v>
      </c>
      <c r="F1989" s="142" t="e">
        <f>IF('Informe Kelly'!H1983=$A$3,'Informe Kelly'!F1983,VLOOKUP(D1989,$D$2:$F$4,3,FALSE))-(VLOOKUP(D1989,$D$2:$F$4,3,FALSE))</f>
        <v>#N/A</v>
      </c>
      <c r="G1989" s="137" t="e">
        <f t="shared" si="34"/>
        <v>#N/A</v>
      </c>
    </row>
    <row r="1990" spans="1:7">
      <c r="A1990" s="112" t="str">
        <f>VLOOKUP('Informe Kelly'!A1984,Base!A:B,2,FALSE)</f>
        <v>15.533.689-7</v>
      </c>
      <c r="B1990" s="112" t="str">
        <f>VLOOKUP('Informe Kelly'!A1984,Base!A:G,7,FALSE)</f>
        <v>DURAN  BRAVO, ROBERTO</v>
      </c>
      <c r="C1990" s="112" t="str">
        <f>'Informe Kelly'!E1984</f>
        <v>06.04.2011</v>
      </c>
      <c r="D1990" s="112" t="e">
        <f>VLOOKUP(A1990,Ingreso!K:P,6,FALSE)</f>
        <v>#N/A</v>
      </c>
      <c r="E1990" s="142" t="e">
        <f>(VLOOKUP(D1990,$D$2:$E$4,2,FALSE))-(IF('Informe Kelly'!H1984=$A$2,'Informe Kelly'!F1984,VLOOKUP(D1990,$D$2:$E$4,2,FALSE)))</f>
        <v>#N/A</v>
      </c>
      <c r="F1990" s="142" t="e">
        <f>IF('Informe Kelly'!H1984=$A$3,'Informe Kelly'!F1984,VLOOKUP(D1990,$D$2:$F$4,3,FALSE))-(VLOOKUP(D1990,$D$2:$F$4,3,FALSE))</f>
        <v>#N/A</v>
      </c>
      <c r="G1990" s="137" t="e">
        <f t="shared" si="34"/>
        <v>#N/A</v>
      </c>
    </row>
    <row r="1991" spans="1:7">
      <c r="A1991" s="112" t="str">
        <f>VLOOKUP('Informe Kelly'!A1985,Base!A:B,2,FALSE)</f>
        <v>15.533.689-7</v>
      </c>
      <c r="B1991" s="112" t="str">
        <f>VLOOKUP('Informe Kelly'!A1985,Base!A:G,7,FALSE)</f>
        <v>DURAN  BRAVO, ROBERTO</v>
      </c>
      <c r="C1991" s="112" t="str">
        <f>'Informe Kelly'!E1985</f>
        <v>06.04.2011</v>
      </c>
      <c r="D1991" s="112" t="e">
        <f>VLOOKUP(A1991,Ingreso!K:P,6,FALSE)</f>
        <v>#N/A</v>
      </c>
      <c r="E1991" s="142" t="e">
        <f>(VLOOKUP(D1991,$D$2:$E$4,2,FALSE))-(IF('Informe Kelly'!H1985=$A$2,'Informe Kelly'!F1985,VLOOKUP(D1991,$D$2:$E$4,2,FALSE)))</f>
        <v>#N/A</v>
      </c>
      <c r="F1991" s="142" t="e">
        <f>IF('Informe Kelly'!H1985=$A$3,'Informe Kelly'!F1985,VLOOKUP(D1991,$D$2:$F$4,3,FALSE))-(VLOOKUP(D1991,$D$2:$F$4,3,FALSE))</f>
        <v>#N/A</v>
      </c>
      <c r="G1991" s="137" t="e">
        <f t="shared" si="34"/>
        <v>#N/A</v>
      </c>
    </row>
    <row r="1992" spans="1:7">
      <c r="A1992" s="112" t="str">
        <f>VLOOKUP('Informe Kelly'!A1986,Base!A:B,2,FALSE)</f>
        <v>15.533.689-7</v>
      </c>
      <c r="B1992" s="112" t="str">
        <f>VLOOKUP('Informe Kelly'!A1986,Base!A:G,7,FALSE)</f>
        <v>DURAN  BRAVO, ROBERTO</v>
      </c>
      <c r="C1992" s="112" t="str">
        <f>'Informe Kelly'!E1986</f>
        <v>07.04.2011</v>
      </c>
      <c r="D1992" s="112" t="e">
        <f>VLOOKUP(A1992,Ingreso!K:P,6,FALSE)</f>
        <v>#N/A</v>
      </c>
      <c r="E1992" s="142" t="e">
        <f>(VLOOKUP(D1992,$D$2:$E$4,2,FALSE))-(IF('Informe Kelly'!H1986=$A$2,'Informe Kelly'!F1986,VLOOKUP(D1992,$D$2:$E$4,2,FALSE)))</f>
        <v>#N/A</v>
      </c>
      <c r="F1992" s="142" t="e">
        <f>IF('Informe Kelly'!H1986=$A$3,'Informe Kelly'!F1986,VLOOKUP(D1992,$D$2:$F$4,3,FALSE))-(VLOOKUP(D1992,$D$2:$F$4,3,FALSE))</f>
        <v>#N/A</v>
      </c>
      <c r="G1992" s="137" t="e">
        <f t="shared" si="34"/>
        <v>#N/A</v>
      </c>
    </row>
    <row r="1993" spans="1:7">
      <c r="A1993" s="112" t="str">
        <f>VLOOKUP('Informe Kelly'!A1987,Base!A:B,2,FALSE)</f>
        <v>15.533.689-7</v>
      </c>
      <c r="B1993" s="112" t="str">
        <f>VLOOKUP('Informe Kelly'!A1987,Base!A:G,7,FALSE)</f>
        <v>DURAN  BRAVO, ROBERTO</v>
      </c>
      <c r="C1993" s="112" t="str">
        <f>'Informe Kelly'!E1987</f>
        <v>07.04.2011</v>
      </c>
      <c r="D1993" s="112" t="e">
        <f>VLOOKUP(A1993,Ingreso!K:P,6,FALSE)</f>
        <v>#N/A</v>
      </c>
      <c r="E1993" s="142" t="e">
        <f>(VLOOKUP(D1993,$D$2:$E$4,2,FALSE))-(IF('Informe Kelly'!H1987=$A$2,'Informe Kelly'!F1987,VLOOKUP(D1993,$D$2:$E$4,2,FALSE)))</f>
        <v>#N/A</v>
      </c>
      <c r="F1993" s="142" t="e">
        <f>IF('Informe Kelly'!H1987=$A$3,'Informe Kelly'!F1987,VLOOKUP(D1993,$D$2:$F$4,3,FALSE))-(VLOOKUP(D1993,$D$2:$F$4,3,FALSE))</f>
        <v>#N/A</v>
      </c>
      <c r="G1993" s="137" t="e">
        <f t="shared" ref="G1993:G2056" si="35">IF(E1993="",IF(F1993&lt;0.0409722222222222,0,E1993),IF(E1993&lt;0.0409722222222222,0,E1993))</f>
        <v>#N/A</v>
      </c>
    </row>
    <row r="1994" spans="1:7">
      <c r="A1994" s="112" t="str">
        <f>VLOOKUP('Informe Kelly'!A1988,Base!A:B,2,FALSE)</f>
        <v>15.533.689-7</v>
      </c>
      <c r="B1994" s="112" t="str">
        <f>VLOOKUP('Informe Kelly'!A1988,Base!A:G,7,FALSE)</f>
        <v>DURAN  BRAVO, ROBERTO</v>
      </c>
      <c r="C1994" s="112" t="str">
        <f>'Informe Kelly'!E1988</f>
        <v>08.04.2011</v>
      </c>
      <c r="D1994" s="112" t="e">
        <f>VLOOKUP(A1994,Ingreso!K:P,6,FALSE)</f>
        <v>#N/A</v>
      </c>
      <c r="E1994" s="142" t="e">
        <f>(VLOOKUP(D1994,$D$2:$E$4,2,FALSE))-(IF('Informe Kelly'!H1988=$A$2,'Informe Kelly'!F1988,VLOOKUP(D1994,$D$2:$E$4,2,FALSE)))</f>
        <v>#N/A</v>
      </c>
      <c r="F1994" s="142" t="e">
        <f>IF('Informe Kelly'!H1988=$A$3,'Informe Kelly'!F1988,VLOOKUP(D1994,$D$2:$F$4,3,FALSE))-(VLOOKUP(D1994,$D$2:$F$4,3,FALSE))</f>
        <v>#N/A</v>
      </c>
      <c r="G1994" s="137" t="e">
        <f t="shared" si="35"/>
        <v>#N/A</v>
      </c>
    </row>
    <row r="1995" spans="1:7">
      <c r="A1995" s="112" t="str">
        <f>VLOOKUP('Informe Kelly'!A1989,Base!A:B,2,FALSE)</f>
        <v>15.533.689-7</v>
      </c>
      <c r="B1995" s="112" t="str">
        <f>VLOOKUP('Informe Kelly'!A1989,Base!A:G,7,FALSE)</f>
        <v>DURAN  BRAVO, ROBERTO</v>
      </c>
      <c r="C1995" s="112" t="str">
        <f>'Informe Kelly'!E1989</f>
        <v>08.04.2011</v>
      </c>
      <c r="D1995" s="112" t="e">
        <f>VLOOKUP(A1995,Ingreso!K:P,6,FALSE)</f>
        <v>#N/A</v>
      </c>
      <c r="E1995" s="142" t="e">
        <f>(VLOOKUP(D1995,$D$2:$E$4,2,FALSE))-(IF('Informe Kelly'!H1989=$A$2,'Informe Kelly'!F1989,VLOOKUP(D1995,$D$2:$E$4,2,FALSE)))</f>
        <v>#N/A</v>
      </c>
      <c r="F1995" s="142" t="e">
        <f>IF('Informe Kelly'!H1989=$A$3,'Informe Kelly'!F1989,VLOOKUP(D1995,$D$2:$F$4,3,FALSE))-(VLOOKUP(D1995,$D$2:$F$4,3,FALSE))</f>
        <v>#N/A</v>
      </c>
      <c r="G1995" s="137" t="e">
        <f t="shared" si="35"/>
        <v>#N/A</v>
      </c>
    </row>
    <row r="1996" spans="1:7">
      <c r="A1996" s="112" t="str">
        <f>VLOOKUP('Informe Kelly'!A1990,Base!A:B,2,FALSE)</f>
        <v>15.702.200-8</v>
      </c>
      <c r="B1996" s="112" t="str">
        <f>VLOOKUP('Informe Kelly'!A1990,Base!A:G,7,FALSE)</f>
        <v>CERNA  VARGAS CESAR</v>
      </c>
      <c r="C1996" s="112" t="str">
        <f>'Informe Kelly'!E1990</f>
        <v>04.04.2011</v>
      </c>
      <c r="D1996" s="112" t="e">
        <f>VLOOKUP(A1996,Ingreso!K:P,6,FALSE)</f>
        <v>#N/A</v>
      </c>
      <c r="E1996" s="142" t="e">
        <f>(VLOOKUP(D1996,$D$2:$E$4,2,FALSE))-(IF('Informe Kelly'!H1990=$A$2,'Informe Kelly'!F1990,VLOOKUP(D1996,$D$2:$E$4,2,FALSE)))</f>
        <v>#N/A</v>
      </c>
      <c r="F1996" s="142" t="e">
        <f>IF('Informe Kelly'!H1990=$A$3,'Informe Kelly'!F1990,VLOOKUP(D1996,$D$2:$F$4,3,FALSE))-(VLOOKUP(D1996,$D$2:$F$4,3,FALSE))</f>
        <v>#N/A</v>
      </c>
      <c r="G1996" s="137" t="e">
        <f t="shared" si="35"/>
        <v>#N/A</v>
      </c>
    </row>
    <row r="1997" spans="1:7">
      <c r="A1997" s="112" t="str">
        <f>VLOOKUP('Informe Kelly'!A1991,Base!A:B,2,FALSE)</f>
        <v>15.702.200-8</v>
      </c>
      <c r="B1997" s="112" t="str">
        <f>VLOOKUP('Informe Kelly'!A1991,Base!A:G,7,FALSE)</f>
        <v>CERNA  VARGAS CESAR</v>
      </c>
      <c r="C1997" s="112" t="str">
        <f>'Informe Kelly'!E1991</f>
        <v>05.04.2011</v>
      </c>
      <c r="D1997" s="112" t="e">
        <f>VLOOKUP(A1997,Ingreso!K:P,6,FALSE)</f>
        <v>#N/A</v>
      </c>
      <c r="E1997" s="142" t="e">
        <f>(VLOOKUP(D1997,$D$2:$E$4,2,FALSE))-(IF('Informe Kelly'!H1991=$A$2,'Informe Kelly'!F1991,VLOOKUP(D1997,$D$2:$E$4,2,FALSE)))</f>
        <v>#N/A</v>
      </c>
      <c r="F1997" s="142" t="e">
        <f>IF('Informe Kelly'!H1991=$A$3,'Informe Kelly'!F1991,VLOOKUP(D1997,$D$2:$F$4,3,FALSE))-(VLOOKUP(D1997,$D$2:$F$4,3,FALSE))</f>
        <v>#N/A</v>
      </c>
      <c r="G1997" s="137" t="e">
        <f t="shared" si="35"/>
        <v>#N/A</v>
      </c>
    </row>
    <row r="1998" spans="1:7">
      <c r="A1998" s="112" t="str">
        <f>VLOOKUP('Informe Kelly'!A1992,Base!A:B,2,FALSE)</f>
        <v>15.702.200-8</v>
      </c>
      <c r="B1998" s="112" t="str">
        <f>VLOOKUP('Informe Kelly'!A1992,Base!A:G,7,FALSE)</f>
        <v>CERNA  VARGAS CESAR</v>
      </c>
      <c r="C1998" s="112" t="str">
        <f>'Informe Kelly'!E1992</f>
        <v>05.04.2011</v>
      </c>
      <c r="D1998" s="112" t="e">
        <f>VLOOKUP(A1998,Ingreso!K:P,6,FALSE)</f>
        <v>#N/A</v>
      </c>
      <c r="E1998" s="142" t="e">
        <f>(VLOOKUP(D1998,$D$2:$E$4,2,FALSE))-(IF('Informe Kelly'!H1992=$A$2,'Informe Kelly'!F1992,VLOOKUP(D1998,$D$2:$E$4,2,FALSE)))</f>
        <v>#N/A</v>
      </c>
      <c r="F1998" s="142" t="e">
        <f>IF('Informe Kelly'!H1992=$A$3,'Informe Kelly'!F1992,VLOOKUP(D1998,$D$2:$F$4,3,FALSE))-(VLOOKUP(D1998,$D$2:$F$4,3,FALSE))</f>
        <v>#N/A</v>
      </c>
      <c r="G1998" s="137" t="e">
        <f t="shared" si="35"/>
        <v>#N/A</v>
      </c>
    </row>
    <row r="1999" spans="1:7">
      <c r="A1999" s="112" t="str">
        <f>VLOOKUP('Informe Kelly'!A1993,Base!A:B,2,FALSE)</f>
        <v>15.702.200-8</v>
      </c>
      <c r="B1999" s="112" t="str">
        <f>VLOOKUP('Informe Kelly'!A1993,Base!A:G,7,FALSE)</f>
        <v>CERNA  VARGAS CESAR</v>
      </c>
      <c r="C1999" s="112" t="str">
        <f>'Informe Kelly'!E1993</f>
        <v>06.04.2011</v>
      </c>
      <c r="D1999" s="112" t="e">
        <f>VLOOKUP(A1999,Ingreso!K:P,6,FALSE)</f>
        <v>#N/A</v>
      </c>
      <c r="E1999" s="142" t="e">
        <f>(VLOOKUP(D1999,$D$2:$E$4,2,FALSE))-(IF('Informe Kelly'!H1993=$A$2,'Informe Kelly'!F1993,VLOOKUP(D1999,$D$2:$E$4,2,FALSE)))</f>
        <v>#N/A</v>
      </c>
      <c r="F1999" s="142" t="e">
        <f>IF('Informe Kelly'!H1993=$A$3,'Informe Kelly'!F1993,VLOOKUP(D1999,$D$2:$F$4,3,FALSE))-(VLOOKUP(D1999,$D$2:$F$4,3,FALSE))</f>
        <v>#N/A</v>
      </c>
      <c r="G1999" s="137" t="e">
        <f t="shared" si="35"/>
        <v>#N/A</v>
      </c>
    </row>
    <row r="2000" spans="1:7">
      <c r="A2000" s="112" t="str">
        <f>VLOOKUP('Informe Kelly'!A1994,Base!A:B,2,FALSE)</f>
        <v>15.702.200-8</v>
      </c>
      <c r="B2000" s="112" t="str">
        <f>VLOOKUP('Informe Kelly'!A1994,Base!A:G,7,FALSE)</f>
        <v>CERNA  VARGAS CESAR</v>
      </c>
      <c r="C2000" s="112" t="str">
        <f>'Informe Kelly'!E1994</f>
        <v>06.04.2011</v>
      </c>
      <c r="D2000" s="112" t="e">
        <f>VLOOKUP(A2000,Ingreso!K:P,6,FALSE)</f>
        <v>#N/A</v>
      </c>
      <c r="E2000" s="142" t="e">
        <f>(VLOOKUP(D2000,$D$2:$E$4,2,FALSE))-(IF('Informe Kelly'!H1994=$A$2,'Informe Kelly'!F1994,VLOOKUP(D2000,$D$2:$E$4,2,FALSE)))</f>
        <v>#N/A</v>
      </c>
      <c r="F2000" s="142" t="e">
        <f>IF('Informe Kelly'!H1994=$A$3,'Informe Kelly'!F1994,VLOOKUP(D2000,$D$2:$F$4,3,FALSE))-(VLOOKUP(D2000,$D$2:$F$4,3,FALSE))</f>
        <v>#N/A</v>
      </c>
      <c r="G2000" s="137" t="e">
        <f t="shared" si="35"/>
        <v>#N/A</v>
      </c>
    </row>
    <row r="2001" spans="1:7">
      <c r="A2001" s="112" t="str">
        <f>VLOOKUP('Informe Kelly'!A1995,Base!A:B,2,FALSE)</f>
        <v>15.702.200-8</v>
      </c>
      <c r="B2001" s="112" t="str">
        <f>VLOOKUP('Informe Kelly'!A1995,Base!A:G,7,FALSE)</f>
        <v>CERNA  VARGAS CESAR</v>
      </c>
      <c r="C2001" s="112" t="str">
        <f>'Informe Kelly'!E1995</f>
        <v>07.04.2011</v>
      </c>
      <c r="D2001" s="112" t="e">
        <f>VLOOKUP(A2001,Ingreso!K:P,6,FALSE)</f>
        <v>#N/A</v>
      </c>
      <c r="E2001" s="142" t="e">
        <f>(VLOOKUP(D2001,$D$2:$E$4,2,FALSE))-(IF('Informe Kelly'!H1995=$A$2,'Informe Kelly'!F1995,VLOOKUP(D2001,$D$2:$E$4,2,FALSE)))</f>
        <v>#N/A</v>
      </c>
      <c r="F2001" s="142" t="e">
        <f>IF('Informe Kelly'!H1995=$A$3,'Informe Kelly'!F1995,VLOOKUP(D2001,$D$2:$F$4,3,FALSE))-(VLOOKUP(D2001,$D$2:$F$4,3,FALSE))</f>
        <v>#N/A</v>
      </c>
      <c r="G2001" s="137" t="e">
        <f t="shared" si="35"/>
        <v>#N/A</v>
      </c>
    </row>
    <row r="2002" spans="1:7">
      <c r="A2002" s="112" t="str">
        <f>VLOOKUP('Informe Kelly'!A1996,Base!A:B,2,FALSE)</f>
        <v>15.702.200-8</v>
      </c>
      <c r="B2002" s="112" t="str">
        <f>VLOOKUP('Informe Kelly'!A1996,Base!A:G,7,FALSE)</f>
        <v>CERNA  VARGAS CESAR</v>
      </c>
      <c r="C2002" s="112" t="str">
        <f>'Informe Kelly'!E1996</f>
        <v>08.04.2011</v>
      </c>
      <c r="D2002" s="112" t="e">
        <f>VLOOKUP(A2002,Ingreso!K:P,6,FALSE)</f>
        <v>#N/A</v>
      </c>
      <c r="E2002" s="142" t="e">
        <f>(VLOOKUP(D2002,$D$2:$E$4,2,FALSE))-(IF('Informe Kelly'!H1996=$A$2,'Informe Kelly'!F1996,VLOOKUP(D2002,$D$2:$E$4,2,FALSE)))</f>
        <v>#N/A</v>
      </c>
      <c r="F2002" s="142" t="e">
        <f>IF('Informe Kelly'!H1996=$A$3,'Informe Kelly'!F1996,VLOOKUP(D2002,$D$2:$F$4,3,FALSE))-(VLOOKUP(D2002,$D$2:$F$4,3,FALSE))</f>
        <v>#N/A</v>
      </c>
      <c r="G2002" s="137" t="e">
        <f t="shared" si="35"/>
        <v>#N/A</v>
      </c>
    </row>
    <row r="2003" spans="1:7">
      <c r="A2003" s="112" t="str">
        <f>VLOOKUP('Informe Kelly'!A1997,Base!A:B,2,FALSE)</f>
        <v>15.702.200-8</v>
      </c>
      <c r="B2003" s="112" t="str">
        <f>VLOOKUP('Informe Kelly'!A1997,Base!A:G,7,FALSE)</f>
        <v>CERNA  VARGAS CESAR</v>
      </c>
      <c r="C2003" s="112" t="str">
        <f>'Informe Kelly'!E1997</f>
        <v>09.04.2011</v>
      </c>
      <c r="D2003" s="112" t="e">
        <f>VLOOKUP(A2003,Ingreso!K:P,6,FALSE)</f>
        <v>#N/A</v>
      </c>
      <c r="E2003" s="142" t="e">
        <f>(VLOOKUP(D2003,$D$2:$E$4,2,FALSE))-(IF('Informe Kelly'!H1997=$A$2,'Informe Kelly'!F1997,VLOOKUP(D2003,$D$2:$E$4,2,FALSE)))</f>
        <v>#N/A</v>
      </c>
      <c r="F2003" s="142" t="e">
        <f>IF('Informe Kelly'!H1997=$A$3,'Informe Kelly'!F1997,VLOOKUP(D2003,$D$2:$F$4,3,FALSE))-(VLOOKUP(D2003,$D$2:$F$4,3,FALSE))</f>
        <v>#N/A</v>
      </c>
      <c r="G2003" s="137" t="e">
        <f t="shared" si="35"/>
        <v>#N/A</v>
      </c>
    </row>
    <row r="2004" spans="1:7">
      <c r="A2004" s="112" t="str">
        <f>VLOOKUP('Informe Kelly'!A1998,Base!A:B,2,FALSE)</f>
        <v>15.786.314-2</v>
      </c>
      <c r="B2004" s="112" t="str">
        <f>VLOOKUP('Informe Kelly'!A1998,Base!A:G,7,FALSE)</f>
        <v>PALMA VERA JUAN PABLO</v>
      </c>
      <c r="C2004" s="112" t="str">
        <f>'Informe Kelly'!E1998</f>
        <v>04.04.2011</v>
      </c>
      <c r="D2004" s="112" t="e">
        <f>VLOOKUP(A2004,Ingreso!K:P,6,FALSE)</f>
        <v>#N/A</v>
      </c>
      <c r="E2004" s="142" t="e">
        <f>(VLOOKUP(D2004,$D$2:$E$4,2,FALSE))-(IF('Informe Kelly'!H1998=$A$2,'Informe Kelly'!F1998,VLOOKUP(D2004,$D$2:$E$4,2,FALSE)))</f>
        <v>#N/A</v>
      </c>
      <c r="F2004" s="142" t="e">
        <f>IF('Informe Kelly'!H1998=$A$3,'Informe Kelly'!F1998,VLOOKUP(D2004,$D$2:$F$4,3,FALSE))-(VLOOKUP(D2004,$D$2:$F$4,3,FALSE))</f>
        <v>#N/A</v>
      </c>
      <c r="G2004" s="137" t="e">
        <f t="shared" si="35"/>
        <v>#N/A</v>
      </c>
    </row>
    <row r="2005" spans="1:7">
      <c r="A2005" s="112" t="str">
        <f>VLOOKUP('Informe Kelly'!A1999,Base!A:B,2,FALSE)</f>
        <v>15.786.314-2</v>
      </c>
      <c r="B2005" s="112" t="str">
        <f>VLOOKUP('Informe Kelly'!A1999,Base!A:G,7,FALSE)</f>
        <v>PALMA VERA JUAN PABLO</v>
      </c>
      <c r="C2005" s="112" t="str">
        <f>'Informe Kelly'!E1999</f>
        <v>04.04.2011</v>
      </c>
      <c r="D2005" s="112" t="e">
        <f>VLOOKUP(A2005,Ingreso!K:P,6,FALSE)</f>
        <v>#N/A</v>
      </c>
      <c r="E2005" s="142" t="e">
        <f>(VLOOKUP(D2005,$D$2:$E$4,2,FALSE))-(IF('Informe Kelly'!H1999=$A$2,'Informe Kelly'!F1999,VLOOKUP(D2005,$D$2:$E$4,2,FALSE)))</f>
        <v>#N/A</v>
      </c>
      <c r="F2005" s="142" t="e">
        <f>IF('Informe Kelly'!H1999=$A$3,'Informe Kelly'!F1999,VLOOKUP(D2005,$D$2:$F$4,3,FALSE))-(VLOOKUP(D2005,$D$2:$F$4,3,FALSE))</f>
        <v>#N/A</v>
      </c>
      <c r="G2005" s="137" t="e">
        <f t="shared" si="35"/>
        <v>#N/A</v>
      </c>
    </row>
    <row r="2006" spans="1:7">
      <c r="A2006" s="112" t="str">
        <f>VLOOKUP('Informe Kelly'!A2000,Base!A:B,2,FALSE)</f>
        <v>15.786.314-2</v>
      </c>
      <c r="B2006" s="112" t="str">
        <f>VLOOKUP('Informe Kelly'!A2000,Base!A:G,7,FALSE)</f>
        <v>PALMA VERA JUAN PABLO</v>
      </c>
      <c r="C2006" s="112" t="str">
        <f>'Informe Kelly'!E2000</f>
        <v>05.04.2011</v>
      </c>
      <c r="D2006" s="112" t="e">
        <f>VLOOKUP(A2006,Ingreso!K:P,6,FALSE)</f>
        <v>#N/A</v>
      </c>
      <c r="E2006" s="142" t="e">
        <f>(VLOOKUP(D2006,$D$2:$E$4,2,FALSE))-(IF('Informe Kelly'!H2000=$A$2,'Informe Kelly'!F2000,VLOOKUP(D2006,$D$2:$E$4,2,FALSE)))</f>
        <v>#N/A</v>
      </c>
      <c r="F2006" s="142" t="e">
        <f>IF('Informe Kelly'!H2000=$A$3,'Informe Kelly'!F2000,VLOOKUP(D2006,$D$2:$F$4,3,FALSE))-(VLOOKUP(D2006,$D$2:$F$4,3,FALSE))</f>
        <v>#N/A</v>
      </c>
      <c r="G2006" s="137" t="e">
        <f t="shared" si="35"/>
        <v>#N/A</v>
      </c>
    </row>
    <row r="2007" spans="1:7">
      <c r="A2007" s="112" t="str">
        <f>VLOOKUP('Informe Kelly'!A2001,Base!A:B,2,FALSE)</f>
        <v>15.786.314-2</v>
      </c>
      <c r="B2007" s="112" t="str">
        <f>VLOOKUP('Informe Kelly'!A2001,Base!A:G,7,FALSE)</f>
        <v>PALMA VERA JUAN PABLO</v>
      </c>
      <c r="C2007" s="112" t="str">
        <f>'Informe Kelly'!E2001</f>
        <v>05.04.2011</v>
      </c>
      <c r="D2007" s="112" t="e">
        <f>VLOOKUP(A2007,Ingreso!K:P,6,FALSE)</f>
        <v>#N/A</v>
      </c>
      <c r="E2007" s="142" t="e">
        <f>(VLOOKUP(D2007,$D$2:$E$4,2,FALSE))-(IF('Informe Kelly'!H2001=$A$2,'Informe Kelly'!F2001,VLOOKUP(D2007,$D$2:$E$4,2,FALSE)))</f>
        <v>#N/A</v>
      </c>
      <c r="F2007" s="142" t="e">
        <f>IF('Informe Kelly'!H2001=$A$3,'Informe Kelly'!F2001,VLOOKUP(D2007,$D$2:$F$4,3,FALSE))-(VLOOKUP(D2007,$D$2:$F$4,3,FALSE))</f>
        <v>#N/A</v>
      </c>
      <c r="G2007" s="137" t="e">
        <f t="shared" si="35"/>
        <v>#N/A</v>
      </c>
    </row>
    <row r="2008" spans="1:7">
      <c r="A2008" s="112" t="str">
        <f>VLOOKUP('Informe Kelly'!A2002,Base!A:B,2,FALSE)</f>
        <v>15.786.314-2</v>
      </c>
      <c r="B2008" s="112" t="str">
        <f>VLOOKUP('Informe Kelly'!A2002,Base!A:G,7,FALSE)</f>
        <v>PALMA VERA JUAN PABLO</v>
      </c>
      <c r="C2008" s="112" t="str">
        <f>'Informe Kelly'!E2002</f>
        <v>06.04.2011</v>
      </c>
      <c r="D2008" s="112" t="e">
        <f>VLOOKUP(A2008,Ingreso!K:P,6,FALSE)</f>
        <v>#N/A</v>
      </c>
      <c r="E2008" s="142" t="e">
        <f>(VLOOKUP(D2008,$D$2:$E$4,2,FALSE))-(IF('Informe Kelly'!H2002=$A$2,'Informe Kelly'!F2002,VLOOKUP(D2008,$D$2:$E$4,2,FALSE)))</f>
        <v>#N/A</v>
      </c>
      <c r="F2008" s="142" t="e">
        <f>IF('Informe Kelly'!H2002=$A$3,'Informe Kelly'!F2002,VLOOKUP(D2008,$D$2:$F$4,3,FALSE))-(VLOOKUP(D2008,$D$2:$F$4,3,FALSE))</f>
        <v>#N/A</v>
      </c>
      <c r="G2008" s="137" t="e">
        <f t="shared" si="35"/>
        <v>#N/A</v>
      </c>
    </row>
    <row r="2009" spans="1:7">
      <c r="A2009" s="112" t="str">
        <f>VLOOKUP('Informe Kelly'!A2003,Base!A:B,2,FALSE)</f>
        <v>15.786.314-2</v>
      </c>
      <c r="B2009" s="112" t="str">
        <f>VLOOKUP('Informe Kelly'!A2003,Base!A:G,7,FALSE)</f>
        <v>PALMA VERA JUAN PABLO</v>
      </c>
      <c r="C2009" s="112" t="str">
        <f>'Informe Kelly'!E2003</f>
        <v>06.04.2011</v>
      </c>
      <c r="D2009" s="112" t="e">
        <f>VLOOKUP(A2009,Ingreso!K:P,6,FALSE)</f>
        <v>#N/A</v>
      </c>
      <c r="E2009" s="142" t="e">
        <f>(VLOOKUP(D2009,$D$2:$E$4,2,FALSE))-(IF('Informe Kelly'!H2003=$A$2,'Informe Kelly'!F2003,VLOOKUP(D2009,$D$2:$E$4,2,FALSE)))</f>
        <v>#N/A</v>
      </c>
      <c r="F2009" s="142" t="e">
        <f>IF('Informe Kelly'!H2003=$A$3,'Informe Kelly'!F2003,VLOOKUP(D2009,$D$2:$F$4,3,FALSE))-(VLOOKUP(D2009,$D$2:$F$4,3,FALSE))</f>
        <v>#N/A</v>
      </c>
      <c r="G2009" s="137" t="e">
        <f t="shared" si="35"/>
        <v>#N/A</v>
      </c>
    </row>
    <row r="2010" spans="1:7">
      <c r="A2010" s="112" t="str">
        <f>VLOOKUP('Informe Kelly'!A2004,Base!A:B,2,FALSE)</f>
        <v>15.786.314-2</v>
      </c>
      <c r="B2010" s="112" t="str">
        <f>VLOOKUP('Informe Kelly'!A2004,Base!A:G,7,FALSE)</f>
        <v>PALMA VERA JUAN PABLO</v>
      </c>
      <c r="C2010" s="112" t="str">
        <f>'Informe Kelly'!E2004</f>
        <v>07.04.2011</v>
      </c>
      <c r="D2010" s="112" t="e">
        <f>VLOOKUP(A2010,Ingreso!K:P,6,FALSE)</f>
        <v>#N/A</v>
      </c>
      <c r="E2010" s="142" t="e">
        <f>(VLOOKUP(D2010,$D$2:$E$4,2,FALSE))-(IF('Informe Kelly'!H2004=$A$2,'Informe Kelly'!F2004,VLOOKUP(D2010,$D$2:$E$4,2,FALSE)))</f>
        <v>#N/A</v>
      </c>
      <c r="F2010" s="142" t="e">
        <f>IF('Informe Kelly'!H2004=$A$3,'Informe Kelly'!F2004,VLOOKUP(D2010,$D$2:$F$4,3,FALSE))-(VLOOKUP(D2010,$D$2:$F$4,3,FALSE))</f>
        <v>#N/A</v>
      </c>
      <c r="G2010" s="137" t="e">
        <f t="shared" si="35"/>
        <v>#N/A</v>
      </c>
    </row>
    <row r="2011" spans="1:7">
      <c r="A2011" s="112" t="str">
        <f>VLOOKUP('Informe Kelly'!A2005,Base!A:B,2,FALSE)</f>
        <v>15.786.314-2</v>
      </c>
      <c r="B2011" s="112" t="str">
        <f>VLOOKUP('Informe Kelly'!A2005,Base!A:G,7,FALSE)</f>
        <v>PALMA VERA JUAN PABLO</v>
      </c>
      <c r="C2011" s="112" t="str">
        <f>'Informe Kelly'!E2005</f>
        <v>07.04.2011</v>
      </c>
      <c r="D2011" s="112" t="e">
        <f>VLOOKUP(A2011,Ingreso!K:P,6,FALSE)</f>
        <v>#N/A</v>
      </c>
      <c r="E2011" s="142" t="e">
        <f>(VLOOKUP(D2011,$D$2:$E$4,2,FALSE))-(IF('Informe Kelly'!H2005=$A$2,'Informe Kelly'!F2005,VLOOKUP(D2011,$D$2:$E$4,2,FALSE)))</f>
        <v>#N/A</v>
      </c>
      <c r="F2011" s="142" t="e">
        <f>IF('Informe Kelly'!H2005=$A$3,'Informe Kelly'!F2005,VLOOKUP(D2011,$D$2:$F$4,3,FALSE))-(VLOOKUP(D2011,$D$2:$F$4,3,FALSE))</f>
        <v>#N/A</v>
      </c>
      <c r="G2011" s="137" t="e">
        <f t="shared" si="35"/>
        <v>#N/A</v>
      </c>
    </row>
    <row r="2012" spans="1:7">
      <c r="A2012" s="112" t="str">
        <f>VLOOKUP('Informe Kelly'!A2006,Base!A:B,2,FALSE)</f>
        <v>15.786.314-2</v>
      </c>
      <c r="B2012" s="112" t="str">
        <f>VLOOKUP('Informe Kelly'!A2006,Base!A:G,7,FALSE)</f>
        <v>PALMA VERA JUAN PABLO</v>
      </c>
      <c r="C2012" s="112" t="str">
        <f>'Informe Kelly'!E2006</f>
        <v>08.04.2011</v>
      </c>
      <c r="D2012" s="112" t="e">
        <f>VLOOKUP(A2012,Ingreso!K:P,6,FALSE)</f>
        <v>#N/A</v>
      </c>
      <c r="E2012" s="142" t="e">
        <f>(VLOOKUP(D2012,$D$2:$E$4,2,FALSE))-(IF('Informe Kelly'!H2006=$A$2,'Informe Kelly'!F2006,VLOOKUP(D2012,$D$2:$E$4,2,FALSE)))</f>
        <v>#N/A</v>
      </c>
      <c r="F2012" s="142" t="e">
        <f>IF('Informe Kelly'!H2006=$A$3,'Informe Kelly'!F2006,VLOOKUP(D2012,$D$2:$F$4,3,FALSE))-(VLOOKUP(D2012,$D$2:$F$4,3,FALSE))</f>
        <v>#N/A</v>
      </c>
      <c r="G2012" s="137" t="e">
        <f t="shared" si="35"/>
        <v>#N/A</v>
      </c>
    </row>
    <row r="2013" spans="1:7">
      <c r="A2013" s="112" t="str">
        <f>VLOOKUP('Informe Kelly'!A2007,Base!A:B,2,FALSE)</f>
        <v>15.786.314-2</v>
      </c>
      <c r="B2013" s="112" t="str">
        <f>VLOOKUP('Informe Kelly'!A2007,Base!A:G,7,FALSE)</f>
        <v>PALMA VERA JUAN PABLO</v>
      </c>
      <c r="C2013" s="112" t="str">
        <f>'Informe Kelly'!E2007</f>
        <v>08.04.2011</v>
      </c>
      <c r="D2013" s="112" t="e">
        <f>VLOOKUP(A2013,Ingreso!K:P,6,FALSE)</f>
        <v>#N/A</v>
      </c>
      <c r="E2013" s="142" t="e">
        <f>(VLOOKUP(D2013,$D$2:$E$4,2,FALSE))-(IF('Informe Kelly'!H2007=$A$2,'Informe Kelly'!F2007,VLOOKUP(D2013,$D$2:$E$4,2,FALSE)))</f>
        <v>#N/A</v>
      </c>
      <c r="F2013" s="142" t="e">
        <f>IF('Informe Kelly'!H2007=$A$3,'Informe Kelly'!F2007,VLOOKUP(D2013,$D$2:$F$4,3,FALSE))-(VLOOKUP(D2013,$D$2:$F$4,3,FALSE))</f>
        <v>#N/A</v>
      </c>
      <c r="G2013" s="137" t="e">
        <f t="shared" si="35"/>
        <v>#N/A</v>
      </c>
    </row>
    <row r="2014" spans="1:7">
      <c r="A2014" s="112" t="str">
        <f>VLOOKUP('Informe Kelly'!A2008,Base!A:B,2,FALSE)</f>
        <v>15.786.314-2</v>
      </c>
      <c r="B2014" s="112" t="str">
        <f>VLOOKUP('Informe Kelly'!A2008,Base!A:G,7,FALSE)</f>
        <v>PALMA VERA JUAN PABLO</v>
      </c>
      <c r="C2014" s="112" t="str">
        <f>'Informe Kelly'!E2008</f>
        <v>09.04.2011</v>
      </c>
      <c r="D2014" s="112" t="e">
        <f>VLOOKUP(A2014,Ingreso!K:P,6,FALSE)</f>
        <v>#N/A</v>
      </c>
      <c r="E2014" s="142" t="e">
        <f>(VLOOKUP(D2014,$D$2:$E$4,2,FALSE))-(IF('Informe Kelly'!H2008=$A$2,'Informe Kelly'!F2008,VLOOKUP(D2014,$D$2:$E$4,2,FALSE)))</f>
        <v>#N/A</v>
      </c>
      <c r="F2014" s="142" t="e">
        <f>IF('Informe Kelly'!H2008=$A$3,'Informe Kelly'!F2008,VLOOKUP(D2014,$D$2:$F$4,3,FALSE))-(VLOOKUP(D2014,$D$2:$F$4,3,FALSE))</f>
        <v>#N/A</v>
      </c>
      <c r="G2014" s="137" t="e">
        <f t="shared" si="35"/>
        <v>#N/A</v>
      </c>
    </row>
    <row r="2015" spans="1:7">
      <c r="A2015" s="112" t="str">
        <f>VLOOKUP('Informe Kelly'!A2009,Base!A:B,2,FALSE)</f>
        <v>15.786.314-2</v>
      </c>
      <c r="B2015" s="112" t="str">
        <f>VLOOKUP('Informe Kelly'!A2009,Base!A:G,7,FALSE)</f>
        <v>PALMA VERA JUAN PABLO</v>
      </c>
      <c r="C2015" s="112" t="str">
        <f>'Informe Kelly'!E2009</f>
        <v>09.04.2011</v>
      </c>
      <c r="D2015" s="112" t="e">
        <f>VLOOKUP(A2015,Ingreso!K:P,6,FALSE)</f>
        <v>#N/A</v>
      </c>
      <c r="E2015" s="142" t="e">
        <f>(VLOOKUP(D2015,$D$2:$E$4,2,FALSE))-(IF('Informe Kelly'!H2009=$A$2,'Informe Kelly'!F2009,VLOOKUP(D2015,$D$2:$E$4,2,FALSE)))</f>
        <v>#N/A</v>
      </c>
      <c r="F2015" s="142" t="e">
        <f>IF('Informe Kelly'!H2009=$A$3,'Informe Kelly'!F2009,VLOOKUP(D2015,$D$2:$F$4,3,FALSE))-(VLOOKUP(D2015,$D$2:$F$4,3,FALSE))</f>
        <v>#N/A</v>
      </c>
      <c r="G2015" s="137" t="e">
        <f t="shared" si="35"/>
        <v>#N/A</v>
      </c>
    </row>
    <row r="2016" spans="1:7">
      <c r="A2016" s="112" t="e">
        <f>VLOOKUP('Informe Kelly'!A2010,Base!A:B,2,FALSE)</f>
        <v>#N/A</v>
      </c>
      <c r="B2016" s="112" t="e">
        <f>VLOOKUP('Informe Kelly'!A2010,Base!A:G,7,FALSE)</f>
        <v>#N/A</v>
      </c>
      <c r="C2016" s="112" t="str">
        <f>'Informe Kelly'!E2010</f>
        <v>00.00.0000</v>
      </c>
      <c r="D2016" s="112" t="e">
        <f>VLOOKUP(A2016,Ingreso!K:P,6,FALSE)</f>
        <v>#N/A</v>
      </c>
      <c r="E2016" s="142" t="e">
        <f>(VLOOKUP(D2016,$D$2:$E$4,2,FALSE))-(IF('Informe Kelly'!H2010=$A$2,'Informe Kelly'!F2010,VLOOKUP(D2016,$D$2:$E$4,2,FALSE)))</f>
        <v>#N/A</v>
      </c>
      <c r="F2016" s="142" t="e">
        <f>IF('Informe Kelly'!H2010=$A$3,'Informe Kelly'!F2010,VLOOKUP(D2016,$D$2:$F$4,3,FALSE))-(VLOOKUP(D2016,$D$2:$F$4,3,FALSE))</f>
        <v>#N/A</v>
      </c>
      <c r="G2016" s="137" t="e">
        <f t="shared" si="35"/>
        <v>#N/A</v>
      </c>
    </row>
    <row r="2017" spans="1:7">
      <c r="A2017" s="112" t="str">
        <f>VLOOKUP('Informe Kelly'!A2011,Base!A:B,2,FALSE)</f>
        <v>15.823.421-1</v>
      </c>
      <c r="B2017" s="112" t="str">
        <f>VLOOKUP('Informe Kelly'!A2011,Base!A:G,7,FALSE)</f>
        <v>ORIAS ORIAS ALEXIS</v>
      </c>
      <c r="C2017" s="112" t="str">
        <f>'Informe Kelly'!E2011</f>
        <v>04.04.2011</v>
      </c>
      <c r="D2017" s="112" t="e">
        <f>VLOOKUP(A2017,Ingreso!K:P,6,FALSE)</f>
        <v>#N/A</v>
      </c>
      <c r="E2017" s="142" t="e">
        <f>(VLOOKUP(D2017,$D$2:$E$4,2,FALSE))-(IF('Informe Kelly'!H2011=$A$2,'Informe Kelly'!F2011,VLOOKUP(D2017,$D$2:$E$4,2,FALSE)))</f>
        <v>#N/A</v>
      </c>
      <c r="F2017" s="142" t="e">
        <f>IF('Informe Kelly'!H2011=$A$3,'Informe Kelly'!F2011,VLOOKUP(D2017,$D$2:$F$4,3,FALSE))-(VLOOKUP(D2017,$D$2:$F$4,3,FALSE))</f>
        <v>#N/A</v>
      </c>
      <c r="G2017" s="137" t="e">
        <f t="shared" si="35"/>
        <v>#N/A</v>
      </c>
    </row>
    <row r="2018" spans="1:7">
      <c r="A2018" s="112" t="str">
        <f>VLOOKUP('Informe Kelly'!A2012,Base!A:B,2,FALSE)</f>
        <v>15.823.421-1</v>
      </c>
      <c r="B2018" s="112" t="str">
        <f>VLOOKUP('Informe Kelly'!A2012,Base!A:G,7,FALSE)</f>
        <v>ORIAS ORIAS ALEXIS</v>
      </c>
      <c r="C2018" s="112" t="str">
        <f>'Informe Kelly'!E2012</f>
        <v>05.04.2011</v>
      </c>
      <c r="D2018" s="112" t="e">
        <f>VLOOKUP(A2018,Ingreso!K:P,6,FALSE)</f>
        <v>#N/A</v>
      </c>
      <c r="E2018" s="142" t="e">
        <f>(VLOOKUP(D2018,$D$2:$E$4,2,FALSE))-(IF('Informe Kelly'!H2012=$A$2,'Informe Kelly'!F2012,VLOOKUP(D2018,$D$2:$E$4,2,FALSE)))</f>
        <v>#N/A</v>
      </c>
      <c r="F2018" s="142" t="e">
        <f>IF('Informe Kelly'!H2012=$A$3,'Informe Kelly'!F2012,VLOOKUP(D2018,$D$2:$F$4,3,FALSE))-(VLOOKUP(D2018,$D$2:$F$4,3,FALSE))</f>
        <v>#N/A</v>
      </c>
      <c r="G2018" s="137" t="e">
        <f t="shared" si="35"/>
        <v>#N/A</v>
      </c>
    </row>
    <row r="2019" spans="1:7">
      <c r="A2019" s="112" t="str">
        <f>VLOOKUP('Informe Kelly'!A2013,Base!A:B,2,FALSE)</f>
        <v>15.823.421-1</v>
      </c>
      <c r="B2019" s="112" t="str">
        <f>VLOOKUP('Informe Kelly'!A2013,Base!A:G,7,FALSE)</f>
        <v>ORIAS ORIAS ALEXIS</v>
      </c>
      <c r="C2019" s="112" t="str">
        <f>'Informe Kelly'!E2013</f>
        <v>05.04.2011</v>
      </c>
      <c r="D2019" s="112" t="e">
        <f>VLOOKUP(A2019,Ingreso!K:P,6,FALSE)</f>
        <v>#N/A</v>
      </c>
      <c r="E2019" s="142" t="e">
        <f>(VLOOKUP(D2019,$D$2:$E$4,2,FALSE))-(IF('Informe Kelly'!H2013=$A$2,'Informe Kelly'!F2013,VLOOKUP(D2019,$D$2:$E$4,2,FALSE)))</f>
        <v>#N/A</v>
      </c>
      <c r="F2019" s="142" t="e">
        <f>IF('Informe Kelly'!H2013=$A$3,'Informe Kelly'!F2013,VLOOKUP(D2019,$D$2:$F$4,3,FALSE))-(VLOOKUP(D2019,$D$2:$F$4,3,FALSE))</f>
        <v>#N/A</v>
      </c>
      <c r="G2019" s="137" t="e">
        <f t="shared" si="35"/>
        <v>#N/A</v>
      </c>
    </row>
    <row r="2020" spans="1:7">
      <c r="A2020" s="112" t="str">
        <f>VLOOKUP('Informe Kelly'!A2014,Base!A:B,2,FALSE)</f>
        <v>15.823.421-1</v>
      </c>
      <c r="B2020" s="112" t="str">
        <f>VLOOKUP('Informe Kelly'!A2014,Base!A:G,7,FALSE)</f>
        <v>ORIAS ORIAS ALEXIS</v>
      </c>
      <c r="C2020" s="112" t="str">
        <f>'Informe Kelly'!E2014</f>
        <v>06.04.2011</v>
      </c>
      <c r="D2020" s="112" t="e">
        <f>VLOOKUP(A2020,Ingreso!K:P,6,FALSE)</f>
        <v>#N/A</v>
      </c>
      <c r="E2020" s="142" t="e">
        <f>(VLOOKUP(D2020,$D$2:$E$4,2,FALSE))-(IF('Informe Kelly'!H2014=$A$2,'Informe Kelly'!F2014,VLOOKUP(D2020,$D$2:$E$4,2,FALSE)))</f>
        <v>#N/A</v>
      </c>
      <c r="F2020" s="142" t="e">
        <f>IF('Informe Kelly'!H2014=$A$3,'Informe Kelly'!F2014,VLOOKUP(D2020,$D$2:$F$4,3,FALSE))-(VLOOKUP(D2020,$D$2:$F$4,3,FALSE))</f>
        <v>#N/A</v>
      </c>
      <c r="G2020" s="137" t="e">
        <f t="shared" si="35"/>
        <v>#N/A</v>
      </c>
    </row>
    <row r="2021" spans="1:7">
      <c r="A2021" s="112" t="str">
        <f>VLOOKUP('Informe Kelly'!A2015,Base!A:B,2,FALSE)</f>
        <v>15.823.421-1</v>
      </c>
      <c r="B2021" s="112" t="str">
        <f>VLOOKUP('Informe Kelly'!A2015,Base!A:G,7,FALSE)</f>
        <v>ORIAS ORIAS ALEXIS</v>
      </c>
      <c r="C2021" s="112" t="str">
        <f>'Informe Kelly'!E2015</f>
        <v>07.04.2011</v>
      </c>
      <c r="D2021" s="112" t="e">
        <f>VLOOKUP(A2021,Ingreso!K:P,6,FALSE)</f>
        <v>#N/A</v>
      </c>
      <c r="E2021" s="142" t="e">
        <f>(VLOOKUP(D2021,$D$2:$E$4,2,FALSE))-(IF('Informe Kelly'!H2015=$A$2,'Informe Kelly'!F2015,VLOOKUP(D2021,$D$2:$E$4,2,FALSE)))</f>
        <v>#N/A</v>
      </c>
      <c r="F2021" s="142" t="e">
        <f>IF('Informe Kelly'!H2015=$A$3,'Informe Kelly'!F2015,VLOOKUP(D2021,$D$2:$F$4,3,FALSE))-(VLOOKUP(D2021,$D$2:$F$4,3,FALSE))</f>
        <v>#N/A</v>
      </c>
      <c r="G2021" s="137" t="e">
        <f t="shared" si="35"/>
        <v>#N/A</v>
      </c>
    </row>
    <row r="2022" spans="1:7">
      <c r="A2022" s="112" t="str">
        <f>VLOOKUP('Informe Kelly'!A2016,Base!A:B,2,FALSE)</f>
        <v>15.823.421-1</v>
      </c>
      <c r="B2022" s="112" t="str">
        <f>VLOOKUP('Informe Kelly'!A2016,Base!A:G,7,FALSE)</f>
        <v>ORIAS ORIAS ALEXIS</v>
      </c>
      <c r="C2022" s="112" t="str">
        <f>'Informe Kelly'!E2016</f>
        <v>08.04.2011</v>
      </c>
      <c r="D2022" s="112" t="e">
        <f>VLOOKUP(A2022,Ingreso!K:P,6,FALSE)</f>
        <v>#N/A</v>
      </c>
      <c r="E2022" s="142" t="e">
        <f>(VLOOKUP(D2022,$D$2:$E$4,2,FALSE))-(IF('Informe Kelly'!H2016=$A$2,'Informe Kelly'!F2016,VLOOKUP(D2022,$D$2:$E$4,2,FALSE)))</f>
        <v>#N/A</v>
      </c>
      <c r="F2022" s="142" t="e">
        <f>IF('Informe Kelly'!H2016=$A$3,'Informe Kelly'!F2016,VLOOKUP(D2022,$D$2:$F$4,3,FALSE))-(VLOOKUP(D2022,$D$2:$F$4,3,FALSE))</f>
        <v>#N/A</v>
      </c>
      <c r="G2022" s="137" t="e">
        <f t="shared" si="35"/>
        <v>#N/A</v>
      </c>
    </row>
    <row r="2023" spans="1:7">
      <c r="A2023" s="112" t="str">
        <f>VLOOKUP('Informe Kelly'!A2017,Base!A:B,2,FALSE)</f>
        <v>15.823.421-1</v>
      </c>
      <c r="B2023" s="112" t="str">
        <f>VLOOKUP('Informe Kelly'!A2017,Base!A:G,7,FALSE)</f>
        <v>ORIAS ORIAS ALEXIS</v>
      </c>
      <c r="C2023" s="112" t="str">
        <f>'Informe Kelly'!E2017</f>
        <v>08.04.2011</v>
      </c>
      <c r="D2023" s="112" t="e">
        <f>VLOOKUP(A2023,Ingreso!K:P,6,FALSE)</f>
        <v>#N/A</v>
      </c>
      <c r="E2023" s="142" t="e">
        <f>(VLOOKUP(D2023,$D$2:$E$4,2,FALSE))-(IF('Informe Kelly'!H2017=$A$2,'Informe Kelly'!F2017,VLOOKUP(D2023,$D$2:$E$4,2,FALSE)))</f>
        <v>#N/A</v>
      </c>
      <c r="F2023" s="142" t="e">
        <f>IF('Informe Kelly'!H2017=$A$3,'Informe Kelly'!F2017,VLOOKUP(D2023,$D$2:$F$4,3,FALSE))-(VLOOKUP(D2023,$D$2:$F$4,3,FALSE))</f>
        <v>#N/A</v>
      </c>
      <c r="G2023" s="137" t="e">
        <f t="shared" si="35"/>
        <v>#N/A</v>
      </c>
    </row>
    <row r="2024" spans="1:7">
      <c r="A2024" s="112" t="str">
        <f>VLOOKUP('Informe Kelly'!A2018,Base!A:B,2,FALSE)</f>
        <v>15.823.421-1</v>
      </c>
      <c r="B2024" s="112" t="str">
        <f>VLOOKUP('Informe Kelly'!A2018,Base!A:G,7,FALSE)</f>
        <v>ORIAS ORIAS ALEXIS</v>
      </c>
      <c r="C2024" s="112" t="str">
        <f>'Informe Kelly'!E2018</f>
        <v>09.04.2011</v>
      </c>
      <c r="D2024" s="112" t="e">
        <f>VLOOKUP(A2024,Ingreso!K:P,6,FALSE)</f>
        <v>#N/A</v>
      </c>
      <c r="E2024" s="142" t="e">
        <f>(VLOOKUP(D2024,$D$2:$E$4,2,FALSE))-(IF('Informe Kelly'!H2018=$A$2,'Informe Kelly'!F2018,VLOOKUP(D2024,$D$2:$E$4,2,FALSE)))</f>
        <v>#N/A</v>
      </c>
      <c r="F2024" s="142" t="e">
        <f>IF('Informe Kelly'!H2018=$A$3,'Informe Kelly'!F2018,VLOOKUP(D2024,$D$2:$F$4,3,FALSE))-(VLOOKUP(D2024,$D$2:$F$4,3,FALSE))</f>
        <v>#N/A</v>
      </c>
      <c r="G2024" s="137" t="e">
        <f t="shared" si="35"/>
        <v>#N/A</v>
      </c>
    </row>
    <row r="2025" spans="1:7">
      <c r="A2025" s="112" t="str">
        <f>VLOOKUP('Informe Kelly'!A2019,Base!A:B,2,FALSE)</f>
        <v>15.891.790-4</v>
      </c>
      <c r="B2025" s="112" t="str">
        <f>VLOOKUP('Informe Kelly'!A2019,Base!A:G,7,FALSE)</f>
        <v>SALINAS SALDIA LUIS ALBERTO</v>
      </c>
      <c r="C2025" s="112" t="str">
        <f>'Informe Kelly'!E2019</f>
        <v>04.04.2011</v>
      </c>
      <c r="D2025" s="112" t="e">
        <f>VLOOKUP(A2025,Ingreso!K:P,6,FALSE)</f>
        <v>#N/A</v>
      </c>
      <c r="E2025" s="142" t="e">
        <f>(VLOOKUP(D2025,$D$2:$E$4,2,FALSE))-(IF('Informe Kelly'!H2019=$A$2,'Informe Kelly'!F2019,VLOOKUP(D2025,$D$2:$E$4,2,FALSE)))</f>
        <v>#N/A</v>
      </c>
      <c r="F2025" s="142" t="e">
        <f>IF('Informe Kelly'!H2019=$A$3,'Informe Kelly'!F2019,VLOOKUP(D2025,$D$2:$F$4,3,FALSE))-(VLOOKUP(D2025,$D$2:$F$4,3,FALSE))</f>
        <v>#N/A</v>
      </c>
      <c r="G2025" s="137" t="e">
        <f t="shared" si="35"/>
        <v>#N/A</v>
      </c>
    </row>
    <row r="2026" spans="1:7">
      <c r="A2026" s="112" t="str">
        <f>VLOOKUP('Informe Kelly'!A2020,Base!A:B,2,FALSE)</f>
        <v>15.891.790-4</v>
      </c>
      <c r="B2026" s="112" t="str">
        <f>VLOOKUP('Informe Kelly'!A2020,Base!A:G,7,FALSE)</f>
        <v>SALINAS SALDIA LUIS ALBERTO</v>
      </c>
      <c r="C2026" s="112" t="str">
        <f>'Informe Kelly'!E2020</f>
        <v>04.04.2011</v>
      </c>
      <c r="D2026" s="112" t="e">
        <f>VLOOKUP(A2026,Ingreso!K:P,6,FALSE)</f>
        <v>#N/A</v>
      </c>
      <c r="E2026" s="142" t="e">
        <f>(VLOOKUP(D2026,$D$2:$E$4,2,FALSE))-(IF('Informe Kelly'!H2020=$A$2,'Informe Kelly'!F2020,VLOOKUP(D2026,$D$2:$E$4,2,FALSE)))</f>
        <v>#N/A</v>
      </c>
      <c r="F2026" s="142" t="e">
        <f>IF('Informe Kelly'!H2020=$A$3,'Informe Kelly'!F2020,VLOOKUP(D2026,$D$2:$F$4,3,FALSE))-(VLOOKUP(D2026,$D$2:$F$4,3,FALSE))</f>
        <v>#N/A</v>
      </c>
      <c r="G2026" s="137" t="e">
        <f t="shared" si="35"/>
        <v>#N/A</v>
      </c>
    </row>
    <row r="2027" spans="1:7">
      <c r="A2027" s="112" t="str">
        <f>VLOOKUP('Informe Kelly'!A2021,Base!A:B,2,FALSE)</f>
        <v>15.891.790-4</v>
      </c>
      <c r="B2027" s="112" t="str">
        <f>VLOOKUP('Informe Kelly'!A2021,Base!A:G,7,FALSE)</f>
        <v>SALINAS SALDIA LUIS ALBERTO</v>
      </c>
      <c r="C2027" s="112" t="str">
        <f>'Informe Kelly'!E2021</f>
        <v>05.04.2011</v>
      </c>
      <c r="D2027" s="112" t="e">
        <f>VLOOKUP(A2027,Ingreso!K:P,6,FALSE)</f>
        <v>#N/A</v>
      </c>
      <c r="E2027" s="142" t="e">
        <f>(VLOOKUP(D2027,$D$2:$E$4,2,FALSE))-(IF('Informe Kelly'!H2021=$A$2,'Informe Kelly'!F2021,VLOOKUP(D2027,$D$2:$E$4,2,FALSE)))</f>
        <v>#N/A</v>
      </c>
      <c r="F2027" s="142" t="e">
        <f>IF('Informe Kelly'!H2021=$A$3,'Informe Kelly'!F2021,VLOOKUP(D2027,$D$2:$F$4,3,FALSE))-(VLOOKUP(D2027,$D$2:$F$4,3,FALSE))</f>
        <v>#N/A</v>
      </c>
      <c r="G2027" s="137" t="e">
        <f t="shared" si="35"/>
        <v>#N/A</v>
      </c>
    </row>
    <row r="2028" spans="1:7">
      <c r="A2028" s="112" t="str">
        <f>VLOOKUP('Informe Kelly'!A2022,Base!A:B,2,FALSE)</f>
        <v>15.891.790-4</v>
      </c>
      <c r="B2028" s="112" t="str">
        <f>VLOOKUP('Informe Kelly'!A2022,Base!A:G,7,FALSE)</f>
        <v>SALINAS SALDIA LUIS ALBERTO</v>
      </c>
      <c r="C2028" s="112" t="str">
        <f>'Informe Kelly'!E2022</f>
        <v>05.04.2011</v>
      </c>
      <c r="D2028" s="112" t="e">
        <f>VLOOKUP(A2028,Ingreso!K:P,6,FALSE)</f>
        <v>#N/A</v>
      </c>
      <c r="E2028" s="142" t="e">
        <f>(VLOOKUP(D2028,$D$2:$E$4,2,FALSE))-(IF('Informe Kelly'!H2022=$A$2,'Informe Kelly'!F2022,VLOOKUP(D2028,$D$2:$E$4,2,FALSE)))</f>
        <v>#N/A</v>
      </c>
      <c r="F2028" s="142" t="e">
        <f>IF('Informe Kelly'!H2022=$A$3,'Informe Kelly'!F2022,VLOOKUP(D2028,$D$2:$F$4,3,FALSE))-(VLOOKUP(D2028,$D$2:$F$4,3,FALSE))</f>
        <v>#N/A</v>
      </c>
      <c r="G2028" s="137" t="e">
        <f t="shared" si="35"/>
        <v>#N/A</v>
      </c>
    </row>
    <row r="2029" spans="1:7">
      <c r="A2029" s="112" t="str">
        <f>VLOOKUP('Informe Kelly'!A2023,Base!A:B,2,FALSE)</f>
        <v>15.891.790-4</v>
      </c>
      <c r="B2029" s="112" t="str">
        <f>VLOOKUP('Informe Kelly'!A2023,Base!A:G,7,FALSE)</f>
        <v>SALINAS SALDIA LUIS ALBERTO</v>
      </c>
      <c r="C2029" s="112" t="str">
        <f>'Informe Kelly'!E2023</f>
        <v>06.04.2011</v>
      </c>
      <c r="D2029" s="112" t="e">
        <f>VLOOKUP(A2029,Ingreso!K:P,6,FALSE)</f>
        <v>#N/A</v>
      </c>
      <c r="E2029" s="142" t="e">
        <f>(VLOOKUP(D2029,$D$2:$E$4,2,FALSE))-(IF('Informe Kelly'!H2023=$A$2,'Informe Kelly'!F2023,VLOOKUP(D2029,$D$2:$E$4,2,FALSE)))</f>
        <v>#N/A</v>
      </c>
      <c r="F2029" s="142" t="e">
        <f>IF('Informe Kelly'!H2023=$A$3,'Informe Kelly'!F2023,VLOOKUP(D2029,$D$2:$F$4,3,FALSE))-(VLOOKUP(D2029,$D$2:$F$4,3,FALSE))</f>
        <v>#N/A</v>
      </c>
      <c r="G2029" s="137" t="e">
        <f t="shared" si="35"/>
        <v>#N/A</v>
      </c>
    </row>
    <row r="2030" spans="1:7">
      <c r="A2030" s="112" t="str">
        <f>VLOOKUP('Informe Kelly'!A2024,Base!A:B,2,FALSE)</f>
        <v>15.891.790-4</v>
      </c>
      <c r="B2030" s="112" t="str">
        <f>VLOOKUP('Informe Kelly'!A2024,Base!A:G,7,FALSE)</f>
        <v>SALINAS SALDIA LUIS ALBERTO</v>
      </c>
      <c r="C2030" s="112" t="str">
        <f>'Informe Kelly'!E2024</f>
        <v>06.04.2011</v>
      </c>
      <c r="D2030" s="112" t="e">
        <f>VLOOKUP(A2030,Ingreso!K:P,6,FALSE)</f>
        <v>#N/A</v>
      </c>
      <c r="E2030" s="142" t="e">
        <f>(VLOOKUP(D2030,$D$2:$E$4,2,FALSE))-(IF('Informe Kelly'!H2024=$A$2,'Informe Kelly'!F2024,VLOOKUP(D2030,$D$2:$E$4,2,FALSE)))</f>
        <v>#N/A</v>
      </c>
      <c r="F2030" s="142" t="e">
        <f>IF('Informe Kelly'!H2024=$A$3,'Informe Kelly'!F2024,VLOOKUP(D2030,$D$2:$F$4,3,FALSE))-(VLOOKUP(D2030,$D$2:$F$4,3,FALSE))</f>
        <v>#N/A</v>
      </c>
      <c r="G2030" s="137" t="e">
        <f t="shared" si="35"/>
        <v>#N/A</v>
      </c>
    </row>
    <row r="2031" spans="1:7">
      <c r="A2031" s="112" t="str">
        <f>VLOOKUP('Informe Kelly'!A2025,Base!A:B,2,FALSE)</f>
        <v>15.891.790-4</v>
      </c>
      <c r="B2031" s="112" t="str">
        <f>VLOOKUP('Informe Kelly'!A2025,Base!A:G,7,FALSE)</f>
        <v>SALINAS SALDIA LUIS ALBERTO</v>
      </c>
      <c r="C2031" s="112" t="str">
        <f>'Informe Kelly'!E2025</f>
        <v>07.04.2011</v>
      </c>
      <c r="D2031" s="112" t="e">
        <f>VLOOKUP(A2031,Ingreso!K:P,6,FALSE)</f>
        <v>#N/A</v>
      </c>
      <c r="E2031" s="142" t="e">
        <f>(VLOOKUP(D2031,$D$2:$E$4,2,FALSE))-(IF('Informe Kelly'!H2025=$A$2,'Informe Kelly'!F2025,VLOOKUP(D2031,$D$2:$E$4,2,FALSE)))</f>
        <v>#N/A</v>
      </c>
      <c r="F2031" s="142" t="e">
        <f>IF('Informe Kelly'!H2025=$A$3,'Informe Kelly'!F2025,VLOOKUP(D2031,$D$2:$F$4,3,FALSE))-(VLOOKUP(D2031,$D$2:$F$4,3,FALSE))</f>
        <v>#N/A</v>
      </c>
      <c r="G2031" s="137" t="e">
        <f t="shared" si="35"/>
        <v>#N/A</v>
      </c>
    </row>
    <row r="2032" spans="1:7">
      <c r="A2032" s="112" t="str">
        <f>VLOOKUP('Informe Kelly'!A2026,Base!A:B,2,FALSE)</f>
        <v>15.891.790-4</v>
      </c>
      <c r="B2032" s="112" t="str">
        <f>VLOOKUP('Informe Kelly'!A2026,Base!A:G,7,FALSE)</f>
        <v>SALINAS SALDIA LUIS ALBERTO</v>
      </c>
      <c r="C2032" s="112" t="str">
        <f>'Informe Kelly'!E2026</f>
        <v>07.04.2011</v>
      </c>
      <c r="D2032" s="112" t="e">
        <f>VLOOKUP(A2032,Ingreso!K:P,6,FALSE)</f>
        <v>#N/A</v>
      </c>
      <c r="E2032" s="142" t="e">
        <f>(VLOOKUP(D2032,$D$2:$E$4,2,FALSE))-(IF('Informe Kelly'!H2026=$A$2,'Informe Kelly'!F2026,VLOOKUP(D2032,$D$2:$E$4,2,FALSE)))</f>
        <v>#N/A</v>
      </c>
      <c r="F2032" s="142" t="e">
        <f>IF('Informe Kelly'!H2026=$A$3,'Informe Kelly'!F2026,VLOOKUP(D2032,$D$2:$F$4,3,FALSE))-(VLOOKUP(D2032,$D$2:$F$4,3,FALSE))</f>
        <v>#N/A</v>
      </c>
      <c r="G2032" s="137" t="e">
        <f t="shared" si="35"/>
        <v>#N/A</v>
      </c>
    </row>
    <row r="2033" spans="1:7">
      <c r="A2033" s="112" t="str">
        <f>VLOOKUP('Informe Kelly'!A2027,Base!A:B,2,FALSE)</f>
        <v>15.891.790-4</v>
      </c>
      <c r="B2033" s="112" t="str">
        <f>VLOOKUP('Informe Kelly'!A2027,Base!A:G,7,FALSE)</f>
        <v>SALINAS SALDIA LUIS ALBERTO</v>
      </c>
      <c r="C2033" s="112" t="str">
        <f>'Informe Kelly'!E2027</f>
        <v>08.04.2011</v>
      </c>
      <c r="D2033" s="112" t="e">
        <f>VLOOKUP(A2033,Ingreso!K:P,6,FALSE)</f>
        <v>#N/A</v>
      </c>
      <c r="E2033" s="142" t="e">
        <f>(VLOOKUP(D2033,$D$2:$E$4,2,FALSE))-(IF('Informe Kelly'!H2027=$A$2,'Informe Kelly'!F2027,VLOOKUP(D2033,$D$2:$E$4,2,FALSE)))</f>
        <v>#N/A</v>
      </c>
      <c r="F2033" s="142" t="e">
        <f>IF('Informe Kelly'!H2027=$A$3,'Informe Kelly'!F2027,VLOOKUP(D2033,$D$2:$F$4,3,FALSE))-(VLOOKUP(D2033,$D$2:$F$4,3,FALSE))</f>
        <v>#N/A</v>
      </c>
      <c r="G2033" s="137" t="e">
        <f t="shared" si="35"/>
        <v>#N/A</v>
      </c>
    </row>
    <row r="2034" spans="1:7">
      <c r="A2034" s="112" t="str">
        <f>VLOOKUP('Informe Kelly'!A2028,Base!A:B,2,FALSE)</f>
        <v>15.891.790-4</v>
      </c>
      <c r="B2034" s="112" t="str">
        <f>VLOOKUP('Informe Kelly'!A2028,Base!A:G,7,FALSE)</f>
        <v>SALINAS SALDIA LUIS ALBERTO</v>
      </c>
      <c r="C2034" s="112" t="str">
        <f>'Informe Kelly'!E2028</f>
        <v>08.04.2011</v>
      </c>
      <c r="D2034" s="112" t="e">
        <f>VLOOKUP(A2034,Ingreso!K:P,6,FALSE)</f>
        <v>#N/A</v>
      </c>
      <c r="E2034" s="142" t="e">
        <f>(VLOOKUP(D2034,$D$2:$E$4,2,FALSE))-(IF('Informe Kelly'!H2028=$A$2,'Informe Kelly'!F2028,VLOOKUP(D2034,$D$2:$E$4,2,FALSE)))</f>
        <v>#N/A</v>
      </c>
      <c r="F2034" s="142" t="e">
        <f>IF('Informe Kelly'!H2028=$A$3,'Informe Kelly'!F2028,VLOOKUP(D2034,$D$2:$F$4,3,FALSE))-(VLOOKUP(D2034,$D$2:$F$4,3,FALSE))</f>
        <v>#N/A</v>
      </c>
      <c r="G2034" s="137" t="e">
        <f t="shared" si="35"/>
        <v>#N/A</v>
      </c>
    </row>
    <row r="2035" spans="1:7">
      <c r="A2035" s="112" t="str">
        <f>VLOOKUP('Informe Kelly'!A2029,Base!A:B,2,FALSE)</f>
        <v>15.891.790-4</v>
      </c>
      <c r="B2035" s="112" t="str">
        <f>VLOOKUP('Informe Kelly'!A2029,Base!A:G,7,FALSE)</f>
        <v>SALINAS SALDIA LUIS ALBERTO</v>
      </c>
      <c r="C2035" s="112" t="str">
        <f>'Informe Kelly'!E2029</f>
        <v>09.04.2011</v>
      </c>
      <c r="D2035" s="112" t="e">
        <f>VLOOKUP(A2035,Ingreso!K:P,6,FALSE)</f>
        <v>#N/A</v>
      </c>
      <c r="E2035" s="142" t="e">
        <f>(VLOOKUP(D2035,$D$2:$E$4,2,FALSE))-(IF('Informe Kelly'!H2029=$A$2,'Informe Kelly'!F2029,VLOOKUP(D2035,$D$2:$E$4,2,FALSE)))</f>
        <v>#N/A</v>
      </c>
      <c r="F2035" s="142" t="e">
        <f>IF('Informe Kelly'!H2029=$A$3,'Informe Kelly'!F2029,VLOOKUP(D2035,$D$2:$F$4,3,FALSE))-(VLOOKUP(D2035,$D$2:$F$4,3,FALSE))</f>
        <v>#N/A</v>
      </c>
      <c r="G2035" s="137" t="e">
        <f t="shared" si="35"/>
        <v>#N/A</v>
      </c>
    </row>
    <row r="2036" spans="1:7">
      <c r="A2036" s="112" t="str">
        <f>VLOOKUP('Informe Kelly'!A2030,Base!A:B,2,FALSE)</f>
        <v>15.891.790-4</v>
      </c>
      <c r="B2036" s="112" t="str">
        <f>VLOOKUP('Informe Kelly'!A2030,Base!A:G,7,FALSE)</f>
        <v>SALINAS SALDIA LUIS ALBERTO</v>
      </c>
      <c r="C2036" s="112" t="str">
        <f>'Informe Kelly'!E2030</f>
        <v>09.04.2011</v>
      </c>
      <c r="D2036" s="112" t="e">
        <f>VLOOKUP(A2036,Ingreso!K:P,6,FALSE)</f>
        <v>#N/A</v>
      </c>
      <c r="E2036" s="142" t="e">
        <f>(VLOOKUP(D2036,$D$2:$E$4,2,FALSE))-(IF('Informe Kelly'!H2030=$A$2,'Informe Kelly'!F2030,VLOOKUP(D2036,$D$2:$E$4,2,FALSE)))</f>
        <v>#N/A</v>
      </c>
      <c r="F2036" s="142" t="e">
        <f>IF('Informe Kelly'!H2030=$A$3,'Informe Kelly'!F2030,VLOOKUP(D2036,$D$2:$F$4,3,FALSE))-(VLOOKUP(D2036,$D$2:$F$4,3,FALSE))</f>
        <v>#N/A</v>
      </c>
      <c r="G2036" s="137" t="e">
        <f t="shared" si="35"/>
        <v>#N/A</v>
      </c>
    </row>
    <row r="2037" spans="1:7">
      <c r="A2037" s="112" t="str">
        <f>VLOOKUP('Informe Kelly'!A2031,Base!A:B,2,FALSE)</f>
        <v>15.899.732-0</v>
      </c>
      <c r="B2037" s="112" t="str">
        <f>VLOOKUP('Informe Kelly'!A2031,Base!A:G,7,FALSE)</f>
        <v>JAQUE VARGAS ALEJANDRO ANDRES</v>
      </c>
      <c r="C2037" s="112" t="str">
        <f>'Informe Kelly'!E2031</f>
        <v>04.04.2011</v>
      </c>
      <c r="D2037" s="112" t="e">
        <f>VLOOKUP(A2037,Ingreso!K:P,6,FALSE)</f>
        <v>#N/A</v>
      </c>
      <c r="E2037" s="142" t="e">
        <f>(VLOOKUP(D2037,$D$2:$E$4,2,FALSE))-(IF('Informe Kelly'!H2031=$A$2,'Informe Kelly'!F2031,VLOOKUP(D2037,$D$2:$E$4,2,FALSE)))</f>
        <v>#N/A</v>
      </c>
      <c r="F2037" s="142" t="e">
        <f>IF('Informe Kelly'!H2031=$A$3,'Informe Kelly'!F2031,VLOOKUP(D2037,$D$2:$F$4,3,FALSE))-(VLOOKUP(D2037,$D$2:$F$4,3,FALSE))</f>
        <v>#N/A</v>
      </c>
      <c r="G2037" s="137" t="e">
        <f t="shared" si="35"/>
        <v>#N/A</v>
      </c>
    </row>
    <row r="2038" spans="1:7">
      <c r="A2038" s="112" t="str">
        <f>VLOOKUP('Informe Kelly'!A2032,Base!A:B,2,FALSE)</f>
        <v>15.899.732-0</v>
      </c>
      <c r="B2038" s="112" t="str">
        <f>VLOOKUP('Informe Kelly'!A2032,Base!A:G,7,FALSE)</f>
        <v>JAQUE VARGAS ALEJANDRO ANDRES</v>
      </c>
      <c r="C2038" s="112" t="str">
        <f>'Informe Kelly'!E2032</f>
        <v>05.04.2011</v>
      </c>
      <c r="D2038" s="112" t="e">
        <f>VLOOKUP(A2038,Ingreso!K:P,6,FALSE)</f>
        <v>#N/A</v>
      </c>
      <c r="E2038" s="142" t="e">
        <f>(VLOOKUP(D2038,$D$2:$E$4,2,FALSE))-(IF('Informe Kelly'!H2032=$A$2,'Informe Kelly'!F2032,VLOOKUP(D2038,$D$2:$E$4,2,FALSE)))</f>
        <v>#N/A</v>
      </c>
      <c r="F2038" s="142" t="e">
        <f>IF('Informe Kelly'!H2032=$A$3,'Informe Kelly'!F2032,VLOOKUP(D2038,$D$2:$F$4,3,FALSE))-(VLOOKUP(D2038,$D$2:$F$4,3,FALSE))</f>
        <v>#N/A</v>
      </c>
      <c r="G2038" s="137" t="e">
        <f t="shared" si="35"/>
        <v>#N/A</v>
      </c>
    </row>
    <row r="2039" spans="1:7">
      <c r="A2039" s="112" t="str">
        <f>VLOOKUP('Informe Kelly'!A2033,Base!A:B,2,FALSE)</f>
        <v>15.899.732-0</v>
      </c>
      <c r="B2039" s="112" t="str">
        <f>VLOOKUP('Informe Kelly'!A2033,Base!A:G,7,FALSE)</f>
        <v>JAQUE VARGAS ALEJANDRO ANDRES</v>
      </c>
      <c r="C2039" s="112" t="str">
        <f>'Informe Kelly'!E2033</f>
        <v>05.04.2011</v>
      </c>
      <c r="D2039" s="112" t="e">
        <f>VLOOKUP(A2039,Ingreso!K:P,6,FALSE)</f>
        <v>#N/A</v>
      </c>
      <c r="E2039" s="142" t="e">
        <f>(VLOOKUP(D2039,$D$2:$E$4,2,FALSE))-(IF('Informe Kelly'!H2033=$A$2,'Informe Kelly'!F2033,VLOOKUP(D2039,$D$2:$E$4,2,FALSE)))</f>
        <v>#N/A</v>
      </c>
      <c r="F2039" s="142" t="e">
        <f>IF('Informe Kelly'!H2033=$A$3,'Informe Kelly'!F2033,VLOOKUP(D2039,$D$2:$F$4,3,FALSE))-(VLOOKUP(D2039,$D$2:$F$4,3,FALSE))</f>
        <v>#N/A</v>
      </c>
      <c r="G2039" s="137" t="e">
        <f t="shared" si="35"/>
        <v>#N/A</v>
      </c>
    </row>
    <row r="2040" spans="1:7">
      <c r="A2040" s="112" t="str">
        <f>VLOOKUP('Informe Kelly'!A2034,Base!A:B,2,FALSE)</f>
        <v>15.899.732-0</v>
      </c>
      <c r="B2040" s="112" t="str">
        <f>VLOOKUP('Informe Kelly'!A2034,Base!A:G,7,FALSE)</f>
        <v>JAQUE VARGAS ALEJANDRO ANDRES</v>
      </c>
      <c r="C2040" s="112" t="str">
        <f>'Informe Kelly'!E2034</f>
        <v>06.04.2011</v>
      </c>
      <c r="D2040" s="112" t="e">
        <f>VLOOKUP(A2040,Ingreso!K:P,6,FALSE)</f>
        <v>#N/A</v>
      </c>
      <c r="E2040" s="142" t="e">
        <f>(VLOOKUP(D2040,$D$2:$E$4,2,FALSE))-(IF('Informe Kelly'!H2034=$A$2,'Informe Kelly'!F2034,VLOOKUP(D2040,$D$2:$E$4,2,FALSE)))</f>
        <v>#N/A</v>
      </c>
      <c r="F2040" s="142" t="e">
        <f>IF('Informe Kelly'!H2034=$A$3,'Informe Kelly'!F2034,VLOOKUP(D2040,$D$2:$F$4,3,FALSE))-(VLOOKUP(D2040,$D$2:$F$4,3,FALSE))</f>
        <v>#N/A</v>
      </c>
      <c r="G2040" s="137" t="e">
        <f t="shared" si="35"/>
        <v>#N/A</v>
      </c>
    </row>
    <row r="2041" spans="1:7">
      <c r="A2041" s="112" t="str">
        <f>VLOOKUP('Informe Kelly'!A2035,Base!A:B,2,FALSE)</f>
        <v>15.899.732-0</v>
      </c>
      <c r="B2041" s="112" t="str">
        <f>VLOOKUP('Informe Kelly'!A2035,Base!A:G,7,FALSE)</f>
        <v>JAQUE VARGAS ALEJANDRO ANDRES</v>
      </c>
      <c r="C2041" s="112" t="str">
        <f>'Informe Kelly'!E2035</f>
        <v>06.04.2011</v>
      </c>
      <c r="D2041" s="112" t="e">
        <f>VLOOKUP(A2041,Ingreso!K:P,6,FALSE)</f>
        <v>#N/A</v>
      </c>
      <c r="E2041" s="142" t="e">
        <f>(VLOOKUP(D2041,$D$2:$E$4,2,FALSE))-(IF('Informe Kelly'!H2035=$A$2,'Informe Kelly'!F2035,VLOOKUP(D2041,$D$2:$E$4,2,FALSE)))</f>
        <v>#N/A</v>
      </c>
      <c r="F2041" s="142" t="e">
        <f>IF('Informe Kelly'!H2035=$A$3,'Informe Kelly'!F2035,VLOOKUP(D2041,$D$2:$F$4,3,FALSE))-(VLOOKUP(D2041,$D$2:$F$4,3,FALSE))</f>
        <v>#N/A</v>
      </c>
      <c r="G2041" s="137" t="e">
        <f t="shared" si="35"/>
        <v>#N/A</v>
      </c>
    </row>
    <row r="2042" spans="1:7">
      <c r="A2042" s="112" t="str">
        <f>VLOOKUP('Informe Kelly'!A2036,Base!A:B,2,FALSE)</f>
        <v>15.899.732-0</v>
      </c>
      <c r="B2042" s="112" t="str">
        <f>VLOOKUP('Informe Kelly'!A2036,Base!A:G,7,FALSE)</f>
        <v>JAQUE VARGAS ALEJANDRO ANDRES</v>
      </c>
      <c r="C2042" s="112" t="str">
        <f>'Informe Kelly'!E2036</f>
        <v>07.04.2011</v>
      </c>
      <c r="D2042" s="112" t="e">
        <f>VLOOKUP(A2042,Ingreso!K:P,6,FALSE)</f>
        <v>#N/A</v>
      </c>
      <c r="E2042" s="142" t="e">
        <f>(VLOOKUP(D2042,$D$2:$E$4,2,FALSE))-(IF('Informe Kelly'!H2036=$A$2,'Informe Kelly'!F2036,VLOOKUP(D2042,$D$2:$E$4,2,FALSE)))</f>
        <v>#N/A</v>
      </c>
      <c r="F2042" s="142" t="e">
        <f>IF('Informe Kelly'!H2036=$A$3,'Informe Kelly'!F2036,VLOOKUP(D2042,$D$2:$F$4,3,FALSE))-(VLOOKUP(D2042,$D$2:$F$4,3,FALSE))</f>
        <v>#N/A</v>
      </c>
      <c r="G2042" s="137" t="e">
        <f t="shared" si="35"/>
        <v>#N/A</v>
      </c>
    </row>
    <row r="2043" spans="1:7">
      <c r="A2043" s="112" t="str">
        <f>VLOOKUP('Informe Kelly'!A2037,Base!A:B,2,FALSE)</f>
        <v>15.899.732-0</v>
      </c>
      <c r="B2043" s="112" t="str">
        <f>VLOOKUP('Informe Kelly'!A2037,Base!A:G,7,FALSE)</f>
        <v>JAQUE VARGAS ALEJANDRO ANDRES</v>
      </c>
      <c r="C2043" s="112" t="str">
        <f>'Informe Kelly'!E2037</f>
        <v>07.04.2011</v>
      </c>
      <c r="D2043" s="112" t="e">
        <f>VLOOKUP(A2043,Ingreso!K:P,6,FALSE)</f>
        <v>#N/A</v>
      </c>
      <c r="E2043" s="142" t="e">
        <f>(VLOOKUP(D2043,$D$2:$E$4,2,FALSE))-(IF('Informe Kelly'!H2037=$A$2,'Informe Kelly'!F2037,VLOOKUP(D2043,$D$2:$E$4,2,FALSE)))</f>
        <v>#N/A</v>
      </c>
      <c r="F2043" s="142" t="e">
        <f>IF('Informe Kelly'!H2037=$A$3,'Informe Kelly'!F2037,VLOOKUP(D2043,$D$2:$F$4,3,FALSE))-(VLOOKUP(D2043,$D$2:$F$4,3,FALSE))</f>
        <v>#N/A</v>
      </c>
      <c r="G2043" s="137" t="e">
        <f t="shared" si="35"/>
        <v>#N/A</v>
      </c>
    </row>
    <row r="2044" spans="1:7">
      <c r="A2044" s="112" t="str">
        <f>VLOOKUP('Informe Kelly'!A2038,Base!A:B,2,FALSE)</f>
        <v>15.899.732-0</v>
      </c>
      <c r="B2044" s="112" t="str">
        <f>VLOOKUP('Informe Kelly'!A2038,Base!A:G,7,FALSE)</f>
        <v>JAQUE VARGAS ALEJANDRO ANDRES</v>
      </c>
      <c r="C2044" s="112" t="str">
        <f>'Informe Kelly'!E2038</f>
        <v>08.04.2011</v>
      </c>
      <c r="D2044" s="112" t="e">
        <f>VLOOKUP(A2044,Ingreso!K:P,6,FALSE)</f>
        <v>#N/A</v>
      </c>
      <c r="E2044" s="142" t="e">
        <f>(VLOOKUP(D2044,$D$2:$E$4,2,FALSE))-(IF('Informe Kelly'!H2038=$A$2,'Informe Kelly'!F2038,VLOOKUP(D2044,$D$2:$E$4,2,FALSE)))</f>
        <v>#N/A</v>
      </c>
      <c r="F2044" s="142" t="e">
        <f>IF('Informe Kelly'!H2038=$A$3,'Informe Kelly'!F2038,VLOOKUP(D2044,$D$2:$F$4,3,FALSE))-(VLOOKUP(D2044,$D$2:$F$4,3,FALSE))</f>
        <v>#N/A</v>
      </c>
      <c r="G2044" s="137" t="e">
        <f t="shared" si="35"/>
        <v>#N/A</v>
      </c>
    </row>
    <row r="2045" spans="1:7">
      <c r="A2045" s="112" t="str">
        <f>VLOOKUP('Informe Kelly'!A2039,Base!A:B,2,FALSE)</f>
        <v>15.899.732-0</v>
      </c>
      <c r="B2045" s="112" t="str">
        <f>VLOOKUP('Informe Kelly'!A2039,Base!A:G,7,FALSE)</f>
        <v>JAQUE VARGAS ALEJANDRO ANDRES</v>
      </c>
      <c r="C2045" s="112" t="str">
        <f>'Informe Kelly'!E2039</f>
        <v>08.04.2011</v>
      </c>
      <c r="D2045" s="112" t="e">
        <f>VLOOKUP(A2045,Ingreso!K:P,6,FALSE)</f>
        <v>#N/A</v>
      </c>
      <c r="E2045" s="142" t="e">
        <f>(VLOOKUP(D2045,$D$2:$E$4,2,FALSE))-(IF('Informe Kelly'!H2039=$A$2,'Informe Kelly'!F2039,VLOOKUP(D2045,$D$2:$E$4,2,FALSE)))</f>
        <v>#N/A</v>
      </c>
      <c r="F2045" s="142" t="e">
        <f>IF('Informe Kelly'!H2039=$A$3,'Informe Kelly'!F2039,VLOOKUP(D2045,$D$2:$F$4,3,FALSE))-(VLOOKUP(D2045,$D$2:$F$4,3,FALSE))</f>
        <v>#N/A</v>
      </c>
      <c r="G2045" s="137" t="e">
        <f t="shared" si="35"/>
        <v>#N/A</v>
      </c>
    </row>
    <row r="2046" spans="1:7">
      <c r="A2046" s="112" t="str">
        <f>VLOOKUP('Informe Kelly'!A2040,Base!A:B,2,FALSE)</f>
        <v>15.899.732-0</v>
      </c>
      <c r="B2046" s="112" t="str">
        <f>VLOOKUP('Informe Kelly'!A2040,Base!A:G,7,FALSE)</f>
        <v>JAQUE VARGAS ALEJANDRO ANDRES</v>
      </c>
      <c r="C2046" s="112" t="str">
        <f>'Informe Kelly'!E2040</f>
        <v>09.04.2011</v>
      </c>
      <c r="D2046" s="112" t="e">
        <f>VLOOKUP(A2046,Ingreso!K:P,6,FALSE)</f>
        <v>#N/A</v>
      </c>
      <c r="E2046" s="142" t="e">
        <f>(VLOOKUP(D2046,$D$2:$E$4,2,FALSE))-(IF('Informe Kelly'!H2040=$A$2,'Informe Kelly'!F2040,VLOOKUP(D2046,$D$2:$E$4,2,FALSE)))</f>
        <v>#N/A</v>
      </c>
      <c r="F2046" s="142" t="e">
        <f>IF('Informe Kelly'!H2040=$A$3,'Informe Kelly'!F2040,VLOOKUP(D2046,$D$2:$F$4,3,FALSE))-(VLOOKUP(D2046,$D$2:$F$4,3,FALSE))</f>
        <v>#N/A</v>
      </c>
      <c r="G2046" s="137" t="e">
        <f t="shared" si="35"/>
        <v>#N/A</v>
      </c>
    </row>
    <row r="2047" spans="1:7">
      <c r="A2047" s="112" t="str">
        <f>VLOOKUP('Informe Kelly'!A2041,Base!A:B,2,FALSE)</f>
        <v>16.029.464-7</v>
      </c>
      <c r="B2047" s="112" t="str">
        <f>VLOOKUP('Informe Kelly'!A2041,Base!A:G,7,FALSE)</f>
        <v xml:space="preserve">REYES GALVEZ VICTOR </v>
      </c>
      <c r="C2047" s="112" t="str">
        <f>'Informe Kelly'!E2041</f>
        <v>04.04.2011</v>
      </c>
      <c r="D2047" s="112" t="e">
        <f>VLOOKUP(A2047,Ingreso!K:P,6,FALSE)</f>
        <v>#N/A</v>
      </c>
      <c r="E2047" s="142" t="e">
        <f>(VLOOKUP(D2047,$D$2:$E$4,2,FALSE))-(IF('Informe Kelly'!H2041=$A$2,'Informe Kelly'!F2041,VLOOKUP(D2047,$D$2:$E$4,2,FALSE)))</f>
        <v>#N/A</v>
      </c>
      <c r="F2047" s="142" t="e">
        <f>IF('Informe Kelly'!H2041=$A$3,'Informe Kelly'!F2041,VLOOKUP(D2047,$D$2:$F$4,3,FALSE))-(VLOOKUP(D2047,$D$2:$F$4,3,FALSE))</f>
        <v>#N/A</v>
      </c>
      <c r="G2047" s="137" t="e">
        <f t="shared" si="35"/>
        <v>#N/A</v>
      </c>
    </row>
    <row r="2048" spans="1:7">
      <c r="A2048" s="112" t="str">
        <f>VLOOKUP('Informe Kelly'!A2042,Base!A:B,2,FALSE)</f>
        <v>16.029.464-7</v>
      </c>
      <c r="B2048" s="112" t="str">
        <f>VLOOKUP('Informe Kelly'!A2042,Base!A:G,7,FALSE)</f>
        <v xml:space="preserve">REYES GALVEZ VICTOR </v>
      </c>
      <c r="C2048" s="112" t="str">
        <f>'Informe Kelly'!E2042</f>
        <v>04.04.2011</v>
      </c>
      <c r="D2048" s="112" t="e">
        <f>VLOOKUP(A2048,Ingreso!K:P,6,FALSE)</f>
        <v>#N/A</v>
      </c>
      <c r="E2048" s="142" t="e">
        <f>(VLOOKUP(D2048,$D$2:$E$4,2,FALSE))-(IF('Informe Kelly'!H2042=$A$2,'Informe Kelly'!F2042,VLOOKUP(D2048,$D$2:$E$4,2,FALSE)))</f>
        <v>#N/A</v>
      </c>
      <c r="F2048" s="142" t="e">
        <f>IF('Informe Kelly'!H2042=$A$3,'Informe Kelly'!F2042,VLOOKUP(D2048,$D$2:$F$4,3,FALSE))-(VLOOKUP(D2048,$D$2:$F$4,3,FALSE))</f>
        <v>#N/A</v>
      </c>
      <c r="G2048" s="137" t="e">
        <f t="shared" si="35"/>
        <v>#N/A</v>
      </c>
    </row>
    <row r="2049" spans="1:7">
      <c r="A2049" s="112" t="str">
        <f>VLOOKUP('Informe Kelly'!A2043,Base!A:B,2,FALSE)</f>
        <v>16.029.464-7</v>
      </c>
      <c r="B2049" s="112" t="str">
        <f>VLOOKUP('Informe Kelly'!A2043,Base!A:G,7,FALSE)</f>
        <v xml:space="preserve">REYES GALVEZ VICTOR </v>
      </c>
      <c r="C2049" s="112" t="str">
        <f>'Informe Kelly'!E2043</f>
        <v>05.04.2011</v>
      </c>
      <c r="D2049" s="112" t="e">
        <f>VLOOKUP(A2049,Ingreso!K:P,6,FALSE)</f>
        <v>#N/A</v>
      </c>
      <c r="E2049" s="142" t="e">
        <f>(VLOOKUP(D2049,$D$2:$E$4,2,FALSE))-(IF('Informe Kelly'!H2043=$A$2,'Informe Kelly'!F2043,VLOOKUP(D2049,$D$2:$E$4,2,FALSE)))</f>
        <v>#N/A</v>
      </c>
      <c r="F2049" s="142" t="e">
        <f>IF('Informe Kelly'!H2043=$A$3,'Informe Kelly'!F2043,VLOOKUP(D2049,$D$2:$F$4,3,FALSE))-(VLOOKUP(D2049,$D$2:$F$4,3,FALSE))</f>
        <v>#N/A</v>
      </c>
      <c r="G2049" s="137" t="e">
        <f t="shared" si="35"/>
        <v>#N/A</v>
      </c>
    </row>
    <row r="2050" spans="1:7">
      <c r="A2050" s="112" t="str">
        <f>VLOOKUP('Informe Kelly'!A2044,Base!A:B,2,FALSE)</f>
        <v>16.029.464-7</v>
      </c>
      <c r="B2050" s="112" t="str">
        <f>VLOOKUP('Informe Kelly'!A2044,Base!A:G,7,FALSE)</f>
        <v xml:space="preserve">REYES GALVEZ VICTOR </v>
      </c>
      <c r="C2050" s="112" t="str">
        <f>'Informe Kelly'!E2044</f>
        <v>05.04.2011</v>
      </c>
      <c r="D2050" s="112" t="e">
        <f>VLOOKUP(A2050,Ingreso!K:P,6,FALSE)</f>
        <v>#N/A</v>
      </c>
      <c r="E2050" s="142" t="e">
        <f>(VLOOKUP(D2050,$D$2:$E$4,2,FALSE))-(IF('Informe Kelly'!H2044=$A$2,'Informe Kelly'!F2044,VLOOKUP(D2050,$D$2:$E$4,2,FALSE)))</f>
        <v>#N/A</v>
      </c>
      <c r="F2050" s="142" t="e">
        <f>IF('Informe Kelly'!H2044=$A$3,'Informe Kelly'!F2044,VLOOKUP(D2050,$D$2:$F$4,3,FALSE))-(VLOOKUP(D2050,$D$2:$F$4,3,FALSE))</f>
        <v>#N/A</v>
      </c>
      <c r="G2050" s="137" t="e">
        <f t="shared" si="35"/>
        <v>#N/A</v>
      </c>
    </row>
    <row r="2051" spans="1:7">
      <c r="A2051" s="112" t="str">
        <f>VLOOKUP('Informe Kelly'!A2045,Base!A:B,2,FALSE)</f>
        <v>16.029.464-7</v>
      </c>
      <c r="B2051" s="112" t="str">
        <f>VLOOKUP('Informe Kelly'!A2045,Base!A:G,7,FALSE)</f>
        <v xml:space="preserve">REYES GALVEZ VICTOR </v>
      </c>
      <c r="C2051" s="112" t="str">
        <f>'Informe Kelly'!E2045</f>
        <v>06.04.2011</v>
      </c>
      <c r="D2051" s="112" t="e">
        <f>VLOOKUP(A2051,Ingreso!K:P,6,FALSE)</f>
        <v>#N/A</v>
      </c>
      <c r="E2051" s="142" t="e">
        <f>(VLOOKUP(D2051,$D$2:$E$4,2,FALSE))-(IF('Informe Kelly'!H2045=$A$2,'Informe Kelly'!F2045,VLOOKUP(D2051,$D$2:$E$4,2,FALSE)))</f>
        <v>#N/A</v>
      </c>
      <c r="F2051" s="142" t="e">
        <f>IF('Informe Kelly'!H2045=$A$3,'Informe Kelly'!F2045,VLOOKUP(D2051,$D$2:$F$4,3,FALSE))-(VLOOKUP(D2051,$D$2:$F$4,3,FALSE))</f>
        <v>#N/A</v>
      </c>
      <c r="G2051" s="137" t="e">
        <f t="shared" si="35"/>
        <v>#N/A</v>
      </c>
    </row>
    <row r="2052" spans="1:7">
      <c r="A2052" s="112" t="str">
        <f>VLOOKUP('Informe Kelly'!A2046,Base!A:B,2,FALSE)</f>
        <v>16.029.464-7</v>
      </c>
      <c r="B2052" s="112" t="str">
        <f>VLOOKUP('Informe Kelly'!A2046,Base!A:G,7,FALSE)</f>
        <v xml:space="preserve">REYES GALVEZ VICTOR </v>
      </c>
      <c r="C2052" s="112" t="str">
        <f>'Informe Kelly'!E2046</f>
        <v>06.04.2011</v>
      </c>
      <c r="D2052" s="112" t="e">
        <f>VLOOKUP(A2052,Ingreso!K:P,6,FALSE)</f>
        <v>#N/A</v>
      </c>
      <c r="E2052" s="142" t="e">
        <f>(VLOOKUP(D2052,$D$2:$E$4,2,FALSE))-(IF('Informe Kelly'!H2046=$A$2,'Informe Kelly'!F2046,VLOOKUP(D2052,$D$2:$E$4,2,FALSE)))</f>
        <v>#N/A</v>
      </c>
      <c r="F2052" s="142" t="e">
        <f>IF('Informe Kelly'!H2046=$A$3,'Informe Kelly'!F2046,VLOOKUP(D2052,$D$2:$F$4,3,FALSE))-(VLOOKUP(D2052,$D$2:$F$4,3,FALSE))</f>
        <v>#N/A</v>
      </c>
      <c r="G2052" s="137" t="e">
        <f t="shared" si="35"/>
        <v>#N/A</v>
      </c>
    </row>
    <row r="2053" spans="1:7">
      <c r="A2053" s="112" t="str">
        <f>VLOOKUP('Informe Kelly'!A2047,Base!A:B,2,FALSE)</f>
        <v>16.029.464-7</v>
      </c>
      <c r="B2053" s="112" t="str">
        <f>VLOOKUP('Informe Kelly'!A2047,Base!A:G,7,FALSE)</f>
        <v xml:space="preserve">REYES GALVEZ VICTOR </v>
      </c>
      <c r="C2053" s="112" t="str">
        <f>'Informe Kelly'!E2047</f>
        <v>07.04.2011</v>
      </c>
      <c r="D2053" s="112" t="e">
        <f>VLOOKUP(A2053,Ingreso!K:P,6,FALSE)</f>
        <v>#N/A</v>
      </c>
      <c r="E2053" s="142" t="e">
        <f>(VLOOKUP(D2053,$D$2:$E$4,2,FALSE))-(IF('Informe Kelly'!H2047=$A$2,'Informe Kelly'!F2047,VLOOKUP(D2053,$D$2:$E$4,2,FALSE)))</f>
        <v>#N/A</v>
      </c>
      <c r="F2053" s="142" t="e">
        <f>IF('Informe Kelly'!H2047=$A$3,'Informe Kelly'!F2047,VLOOKUP(D2053,$D$2:$F$4,3,FALSE))-(VLOOKUP(D2053,$D$2:$F$4,3,FALSE))</f>
        <v>#N/A</v>
      </c>
      <c r="G2053" s="137" t="e">
        <f t="shared" si="35"/>
        <v>#N/A</v>
      </c>
    </row>
    <row r="2054" spans="1:7">
      <c r="A2054" s="112" t="str">
        <f>VLOOKUP('Informe Kelly'!A2048,Base!A:B,2,FALSE)</f>
        <v>16.029.464-7</v>
      </c>
      <c r="B2054" s="112" t="str">
        <f>VLOOKUP('Informe Kelly'!A2048,Base!A:G,7,FALSE)</f>
        <v xml:space="preserve">REYES GALVEZ VICTOR </v>
      </c>
      <c r="C2054" s="112" t="str">
        <f>'Informe Kelly'!E2048</f>
        <v>07.04.2011</v>
      </c>
      <c r="D2054" s="112" t="e">
        <f>VLOOKUP(A2054,Ingreso!K:P,6,FALSE)</f>
        <v>#N/A</v>
      </c>
      <c r="E2054" s="142" t="e">
        <f>(VLOOKUP(D2054,$D$2:$E$4,2,FALSE))-(IF('Informe Kelly'!H2048=$A$2,'Informe Kelly'!F2048,VLOOKUP(D2054,$D$2:$E$4,2,FALSE)))</f>
        <v>#N/A</v>
      </c>
      <c r="F2054" s="142" t="e">
        <f>IF('Informe Kelly'!H2048=$A$3,'Informe Kelly'!F2048,VLOOKUP(D2054,$D$2:$F$4,3,FALSE))-(VLOOKUP(D2054,$D$2:$F$4,3,FALSE))</f>
        <v>#N/A</v>
      </c>
      <c r="G2054" s="137" t="e">
        <f t="shared" si="35"/>
        <v>#N/A</v>
      </c>
    </row>
    <row r="2055" spans="1:7">
      <c r="A2055" s="112" t="str">
        <f>VLOOKUP('Informe Kelly'!A2049,Base!A:B,2,FALSE)</f>
        <v>16.029.464-7</v>
      </c>
      <c r="B2055" s="112" t="str">
        <f>VLOOKUP('Informe Kelly'!A2049,Base!A:G,7,FALSE)</f>
        <v xml:space="preserve">REYES GALVEZ VICTOR </v>
      </c>
      <c r="C2055" s="112" t="str">
        <f>'Informe Kelly'!E2049</f>
        <v>08.04.2011</v>
      </c>
      <c r="D2055" s="112" t="e">
        <f>VLOOKUP(A2055,Ingreso!K:P,6,FALSE)</f>
        <v>#N/A</v>
      </c>
      <c r="E2055" s="142" t="e">
        <f>(VLOOKUP(D2055,$D$2:$E$4,2,FALSE))-(IF('Informe Kelly'!H2049=$A$2,'Informe Kelly'!F2049,VLOOKUP(D2055,$D$2:$E$4,2,FALSE)))</f>
        <v>#N/A</v>
      </c>
      <c r="F2055" s="142" t="e">
        <f>IF('Informe Kelly'!H2049=$A$3,'Informe Kelly'!F2049,VLOOKUP(D2055,$D$2:$F$4,3,FALSE))-(VLOOKUP(D2055,$D$2:$F$4,3,FALSE))</f>
        <v>#N/A</v>
      </c>
      <c r="G2055" s="137" t="e">
        <f t="shared" si="35"/>
        <v>#N/A</v>
      </c>
    </row>
    <row r="2056" spans="1:7">
      <c r="A2056" s="112" t="str">
        <f>VLOOKUP('Informe Kelly'!A2050,Base!A:B,2,FALSE)</f>
        <v>16.029.464-7</v>
      </c>
      <c r="B2056" s="112" t="str">
        <f>VLOOKUP('Informe Kelly'!A2050,Base!A:G,7,FALSE)</f>
        <v xml:space="preserve">REYES GALVEZ VICTOR </v>
      </c>
      <c r="C2056" s="112" t="str">
        <f>'Informe Kelly'!E2050</f>
        <v>08.04.2011</v>
      </c>
      <c r="D2056" s="112" t="e">
        <f>VLOOKUP(A2056,Ingreso!K:P,6,FALSE)</f>
        <v>#N/A</v>
      </c>
      <c r="E2056" s="142" t="e">
        <f>(VLOOKUP(D2056,$D$2:$E$4,2,FALSE))-(IF('Informe Kelly'!H2050=$A$2,'Informe Kelly'!F2050,VLOOKUP(D2056,$D$2:$E$4,2,FALSE)))</f>
        <v>#N/A</v>
      </c>
      <c r="F2056" s="142" t="e">
        <f>IF('Informe Kelly'!H2050=$A$3,'Informe Kelly'!F2050,VLOOKUP(D2056,$D$2:$F$4,3,FALSE))-(VLOOKUP(D2056,$D$2:$F$4,3,FALSE))</f>
        <v>#N/A</v>
      </c>
      <c r="G2056" s="137" t="e">
        <f t="shared" si="35"/>
        <v>#N/A</v>
      </c>
    </row>
    <row r="2057" spans="1:7">
      <c r="A2057" s="112" t="str">
        <f>VLOOKUP('Informe Kelly'!A2051,Base!A:B,2,FALSE)</f>
        <v>16.029.464-7</v>
      </c>
      <c r="B2057" s="112" t="str">
        <f>VLOOKUP('Informe Kelly'!A2051,Base!A:G,7,FALSE)</f>
        <v xml:space="preserve">REYES GALVEZ VICTOR </v>
      </c>
      <c r="C2057" s="112" t="str">
        <f>'Informe Kelly'!E2051</f>
        <v>09.04.2011</v>
      </c>
      <c r="D2057" s="112" t="e">
        <f>VLOOKUP(A2057,Ingreso!K:P,6,FALSE)</f>
        <v>#N/A</v>
      </c>
      <c r="E2057" s="142" t="e">
        <f>(VLOOKUP(D2057,$D$2:$E$4,2,FALSE))-(IF('Informe Kelly'!H2051=$A$2,'Informe Kelly'!F2051,VLOOKUP(D2057,$D$2:$E$4,2,FALSE)))</f>
        <v>#N/A</v>
      </c>
      <c r="F2057" s="142" t="e">
        <f>IF('Informe Kelly'!H2051=$A$3,'Informe Kelly'!F2051,VLOOKUP(D2057,$D$2:$F$4,3,FALSE))-(VLOOKUP(D2057,$D$2:$F$4,3,FALSE))</f>
        <v>#N/A</v>
      </c>
      <c r="G2057" s="137" t="e">
        <f t="shared" ref="G2057:G2120" si="36">IF(E2057="",IF(F2057&lt;0.0409722222222222,0,E2057),IF(E2057&lt;0.0409722222222222,0,E2057))</f>
        <v>#N/A</v>
      </c>
    </row>
    <row r="2058" spans="1:7">
      <c r="A2058" s="112" t="str">
        <f>VLOOKUP('Informe Kelly'!A2052,Base!A:B,2,FALSE)</f>
        <v>16.029.464-7</v>
      </c>
      <c r="B2058" s="112" t="str">
        <f>VLOOKUP('Informe Kelly'!A2052,Base!A:G,7,FALSE)</f>
        <v xml:space="preserve">REYES GALVEZ VICTOR </v>
      </c>
      <c r="C2058" s="112" t="str">
        <f>'Informe Kelly'!E2052</f>
        <v>09.04.2011</v>
      </c>
      <c r="D2058" s="112" t="e">
        <f>VLOOKUP(A2058,Ingreso!K:P,6,FALSE)</f>
        <v>#N/A</v>
      </c>
      <c r="E2058" s="142" t="e">
        <f>(VLOOKUP(D2058,$D$2:$E$4,2,FALSE))-(IF('Informe Kelly'!H2052=$A$2,'Informe Kelly'!F2052,VLOOKUP(D2058,$D$2:$E$4,2,FALSE)))</f>
        <v>#N/A</v>
      </c>
      <c r="F2058" s="142" t="e">
        <f>IF('Informe Kelly'!H2052=$A$3,'Informe Kelly'!F2052,VLOOKUP(D2058,$D$2:$F$4,3,FALSE))-(VLOOKUP(D2058,$D$2:$F$4,3,FALSE))</f>
        <v>#N/A</v>
      </c>
      <c r="G2058" s="137" t="e">
        <f t="shared" si="36"/>
        <v>#N/A</v>
      </c>
    </row>
    <row r="2059" spans="1:7">
      <c r="A2059" s="112" t="str">
        <f>VLOOKUP('Informe Kelly'!A2053,Base!A:B,2,FALSE)</f>
        <v>16.031.949-6</v>
      </c>
      <c r="B2059" s="112" t="str">
        <f>VLOOKUP('Informe Kelly'!A2053,Base!A:G,7,FALSE)</f>
        <v>ESPINOZA MORENO JONATHAN</v>
      </c>
      <c r="C2059" s="112" t="str">
        <f>'Informe Kelly'!E2053</f>
        <v>04.04.2011</v>
      </c>
      <c r="D2059" s="112" t="e">
        <f>VLOOKUP(A2059,Ingreso!K:P,6,FALSE)</f>
        <v>#N/A</v>
      </c>
      <c r="E2059" s="142" t="e">
        <f>(VLOOKUP(D2059,$D$2:$E$4,2,FALSE))-(IF('Informe Kelly'!H2053=$A$2,'Informe Kelly'!F2053,VLOOKUP(D2059,$D$2:$E$4,2,FALSE)))</f>
        <v>#N/A</v>
      </c>
      <c r="F2059" s="142" t="e">
        <f>IF('Informe Kelly'!H2053=$A$3,'Informe Kelly'!F2053,VLOOKUP(D2059,$D$2:$F$4,3,FALSE))-(VLOOKUP(D2059,$D$2:$F$4,3,FALSE))</f>
        <v>#N/A</v>
      </c>
      <c r="G2059" s="137" t="e">
        <f t="shared" si="36"/>
        <v>#N/A</v>
      </c>
    </row>
    <row r="2060" spans="1:7">
      <c r="A2060" s="112" t="str">
        <f>VLOOKUP('Informe Kelly'!A2054,Base!A:B,2,FALSE)</f>
        <v>16.031.949-6</v>
      </c>
      <c r="B2060" s="112" t="str">
        <f>VLOOKUP('Informe Kelly'!A2054,Base!A:G,7,FALSE)</f>
        <v>ESPINOZA MORENO JONATHAN</v>
      </c>
      <c r="C2060" s="112" t="str">
        <f>'Informe Kelly'!E2054</f>
        <v>04.04.2011</v>
      </c>
      <c r="D2060" s="112" t="e">
        <f>VLOOKUP(A2060,Ingreso!K:P,6,FALSE)</f>
        <v>#N/A</v>
      </c>
      <c r="E2060" s="142" t="e">
        <f>(VLOOKUP(D2060,$D$2:$E$4,2,FALSE))-(IF('Informe Kelly'!H2054=$A$2,'Informe Kelly'!F2054,VLOOKUP(D2060,$D$2:$E$4,2,FALSE)))</f>
        <v>#N/A</v>
      </c>
      <c r="F2060" s="142" t="e">
        <f>IF('Informe Kelly'!H2054=$A$3,'Informe Kelly'!F2054,VLOOKUP(D2060,$D$2:$F$4,3,FALSE))-(VLOOKUP(D2060,$D$2:$F$4,3,FALSE))</f>
        <v>#N/A</v>
      </c>
      <c r="G2060" s="137" t="e">
        <f t="shared" si="36"/>
        <v>#N/A</v>
      </c>
    </row>
    <row r="2061" spans="1:7">
      <c r="A2061" s="112" t="str">
        <f>VLOOKUP('Informe Kelly'!A2055,Base!A:B,2,FALSE)</f>
        <v>16.031.949-6</v>
      </c>
      <c r="B2061" s="112" t="str">
        <f>VLOOKUP('Informe Kelly'!A2055,Base!A:G,7,FALSE)</f>
        <v>ESPINOZA MORENO JONATHAN</v>
      </c>
      <c r="C2061" s="112" t="str">
        <f>'Informe Kelly'!E2055</f>
        <v>05.04.2011</v>
      </c>
      <c r="D2061" s="112" t="e">
        <f>VLOOKUP(A2061,Ingreso!K:P,6,FALSE)</f>
        <v>#N/A</v>
      </c>
      <c r="E2061" s="142" t="e">
        <f>(VLOOKUP(D2061,$D$2:$E$4,2,FALSE))-(IF('Informe Kelly'!H2055=$A$2,'Informe Kelly'!F2055,VLOOKUP(D2061,$D$2:$E$4,2,FALSE)))</f>
        <v>#N/A</v>
      </c>
      <c r="F2061" s="142" t="e">
        <f>IF('Informe Kelly'!H2055=$A$3,'Informe Kelly'!F2055,VLOOKUP(D2061,$D$2:$F$4,3,FALSE))-(VLOOKUP(D2061,$D$2:$F$4,3,FALSE))</f>
        <v>#N/A</v>
      </c>
      <c r="G2061" s="137" t="e">
        <f t="shared" si="36"/>
        <v>#N/A</v>
      </c>
    </row>
    <row r="2062" spans="1:7">
      <c r="A2062" s="112" t="str">
        <f>VLOOKUP('Informe Kelly'!A2056,Base!A:B,2,FALSE)</f>
        <v>16.031.949-6</v>
      </c>
      <c r="B2062" s="112" t="str">
        <f>VLOOKUP('Informe Kelly'!A2056,Base!A:G,7,FALSE)</f>
        <v>ESPINOZA MORENO JONATHAN</v>
      </c>
      <c r="C2062" s="112" t="str">
        <f>'Informe Kelly'!E2056</f>
        <v>05.04.2011</v>
      </c>
      <c r="D2062" s="112" t="e">
        <f>VLOOKUP(A2062,Ingreso!K:P,6,FALSE)</f>
        <v>#N/A</v>
      </c>
      <c r="E2062" s="142" t="e">
        <f>(VLOOKUP(D2062,$D$2:$E$4,2,FALSE))-(IF('Informe Kelly'!H2056=$A$2,'Informe Kelly'!F2056,VLOOKUP(D2062,$D$2:$E$4,2,FALSE)))</f>
        <v>#N/A</v>
      </c>
      <c r="F2062" s="142" t="e">
        <f>IF('Informe Kelly'!H2056=$A$3,'Informe Kelly'!F2056,VLOOKUP(D2062,$D$2:$F$4,3,FALSE))-(VLOOKUP(D2062,$D$2:$F$4,3,FALSE))</f>
        <v>#N/A</v>
      </c>
      <c r="G2062" s="137" t="e">
        <f t="shared" si="36"/>
        <v>#N/A</v>
      </c>
    </row>
    <row r="2063" spans="1:7">
      <c r="A2063" s="112" t="str">
        <f>VLOOKUP('Informe Kelly'!A2057,Base!A:B,2,FALSE)</f>
        <v>16.031.949-6</v>
      </c>
      <c r="B2063" s="112" t="str">
        <f>VLOOKUP('Informe Kelly'!A2057,Base!A:G,7,FALSE)</f>
        <v>ESPINOZA MORENO JONATHAN</v>
      </c>
      <c r="C2063" s="112" t="str">
        <f>'Informe Kelly'!E2057</f>
        <v>06.04.2011</v>
      </c>
      <c r="D2063" s="112" t="e">
        <f>VLOOKUP(A2063,Ingreso!K:P,6,FALSE)</f>
        <v>#N/A</v>
      </c>
      <c r="E2063" s="142" t="e">
        <f>(VLOOKUP(D2063,$D$2:$E$4,2,FALSE))-(IF('Informe Kelly'!H2057=$A$2,'Informe Kelly'!F2057,VLOOKUP(D2063,$D$2:$E$4,2,FALSE)))</f>
        <v>#N/A</v>
      </c>
      <c r="F2063" s="142" t="e">
        <f>IF('Informe Kelly'!H2057=$A$3,'Informe Kelly'!F2057,VLOOKUP(D2063,$D$2:$F$4,3,FALSE))-(VLOOKUP(D2063,$D$2:$F$4,3,FALSE))</f>
        <v>#N/A</v>
      </c>
      <c r="G2063" s="137" t="e">
        <f t="shared" si="36"/>
        <v>#N/A</v>
      </c>
    </row>
    <row r="2064" spans="1:7">
      <c r="A2064" s="112" t="str">
        <f>VLOOKUP('Informe Kelly'!A2058,Base!A:B,2,FALSE)</f>
        <v>16.031.949-6</v>
      </c>
      <c r="B2064" s="112" t="str">
        <f>VLOOKUP('Informe Kelly'!A2058,Base!A:G,7,FALSE)</f>
        <v>ESPINOZA MORENO JONATHAN</v>
      </c>
      <c r="C2064" s="112" t="str">
        <f>'Informe Kelly'!E2058</f>
        <v>06.04.2011</v>
      </c>
      <c r="D2064" s="112" t="e">
        <f>VLOOKUP(A2064,Ingreso!K:P,6,FALSE)</f>
        <v>#N/A</v>
      </c>
      <c r="E2064" s="142" t="e">
        <f>(VLOOKUP(D2064,$D$2:$E$4,2,FALSE))-(IF('Informe Kelly'!H2058=$A$2,'Informe Kelly'!F2058,VLOOKUP(D2064,$D$2:$E$4,2,FALSE)))</f>
        <v>#N/A</v>
      </c>
      <c r="F2064" s="142" t="e">
        <f>IF('Informe Kelly'!H2058=$A$3,'Informe Kelly'!F2058,VLOOKUP(D2064,$D$2:$F$4,3,FALSE))-(VLOOKUP(D2064,$D$2:$F$4,3,FALSE))</f>
        <v>#N/A</v>
      </c>
      <c r="G2064" s="137" t="e">
        <f t="shared" si="36"/>
        <v>#N/A</v>
      </c>
    </row>
    <row r="2065" spans="1:7">
      <c r="A2065" s="112" t="str">
        <f>VLOOKUP('Informe Kelly'!A2059,Base!A:B,2,FALSE)</f>
        <v>16.031.949-6</v>
      </c>
      <c r="B2065" s="112" t="str">
        <f>VLOOKUP('Informe Kelly'!A2059,Base!A:G,7,FALSE)</f>
        <v>ESPINOZA MORENO JONATHAN</v>
      </c>
      <c r="C2065" s="112" t="str">
        <f>'Informe Kelly'!E2059</f>
        <v>07.04.2011</v>
      </c>
      <c r="D2065" s="112" t="e">
        <f>VLOOKUP(A2065,Ingreso!K:P,6,FALSE)</f>
        <v>#N/A</v>
      </c>
      <c r="E2065" s="142" t="e">
        <f>(VLOOKUP(D2065,$D$2:$E$4,2,FALSE))-(IF('Informe Kelly'!H2059=$A$2,'Informe Kelly'!F2059,VLOOKUP(D2065,$D$2:$E$4,2,FALSE)))</f>
        <v>#N/A</v>
      </c>
      <c r="F2065" s="142" t="e">
        <f>IF('Informe Kelly'!H2059=$A$3,'Informe Kelly'!F2059,VLOOKUP(D2065,$D$2:$F$4,3,FALSE))-(VLOOKUP(D2065,$D$2:$F$4,3,FALSE))</f>
        <v>#N/A</v>
      </c>
      <c r="G2065" s="137" t="e">
        <f t="shared" si="36"/>
        <v>#N/A</v>
      </c>
    </row>
    <row r="2066" spans="1:7">
      <c r="A2066" s="112" t="str">
        <f>VLOOKUP('Informe Kelly'!A2060,Base!A:B,2,FALSE)</f>
        <v>16.031.949-6</v>
      </c>
      <c r="B2066" s="112" t="str">
        <f>VLOOKUP('Informe Kelly'!A2060,Base!A:G,7,FALSE)</f>
        <v>ESPINOZA MORENO JONATHAN</v>
      </c>
      <c r="C2066" s="112" t="str">
        <f>'Informe Kelly'!E2060</f>
        <v>07.04.2011</v>
      </c>
      <c r="D2066" s="112" t="e">
        <f>VLOOKUP(A2066,Ingreso!K:P,6,FALSE)</f>
        <v>#N/A</v>
      </c>
      <c r="E2066" s="142" t="e">
        <f>(VLOOKUP(D2066,$D$2:$E$4,2,FALSE))-(IF('Informe Kelly'!H2060=$A$2,'Informe Kelly'!F2060,VLOOKUP(D2066,$D$2:$E$4,2,FALSE)))</f>
        <v>#N/A</v>
      </c>
      <c r="F2066" s="142" t="e">
        <f>IF('Informe Kelly'!H2060=$A$3,'Informe Kelly'!F2060,VLOOKUP(D2066,$D$2:$F$4,3,FALSE))-(VLOOKUP(D2066,$D$2:$F$4,3,FALSE))</f>
        <v>#N/A</v>
      </c>
      <c r="G2066" s="137" t="e">
        <f t="shared" si="36"/>
        <v>#N/A</v>
      </c>
    </row>
    <row r="2067" spans="1:7">
      <c r="A2067" s="112" t="str">
        <f>VLOOKUP('Informe Kelly'!A2061,Base!A:B,2,FALSE)</f>
        <v>16.031.949-6</v>
      </c>
      <c r="B2067" s="112" t="str">
        <f>VLOOKUP('Informe Kelly'!A2061,Base!A:G,7,FALSE)</f>
        <v>ESPINOZA MORENO JONATHAN</v>
      </c>
      <c r="C2067" s="112" t="str">
        <f>'Informe Kelly'!E2061</f>
        <v>08.04.2011</v>
      </c>
      <c r="D2067" s="112" t="e">
        <f>VLOOKUP(A2067,Ingreso!K:P,6,FALSE)</f>
        <v>#N/A</v>
      </c>
      <c r="E2067" s="142" t="e">
        <f>(VLOOKUP(D2067,$D$2:$E$4,2,FALSE))-(IF('Informe Kelly'!H2061=$A$2,'Informe Kelly'!F2061,VLOOKUP(D2067,$D$2:$E$4,2,FALSE)))</f>
        <v>#N/A</v>
      </c>
      <c r="F2067" s="142" t="e">
        <f>IF('Informe Kelly'!H2061=$A$3,'Informe Kelly'!F2061,VLOOKUP(D2067,$D$2:$F$4,3,FALSE))-(VLOOKUP(D2067,$D$2:$F$4,3,FALSE))</f>
        <v>#N/A</v>
      </c>
      <c r="G2067" s="137" t="e">
        <f t="shared" si="36"/>
        <v>#N/A</v>
      </c>
    </row>
    <row r="2068" spans="1:7">
      <c r="A2068" s="112" t="str">
        <f>VLOOKUP('Informe Kelly'!A2062,Base!A:B,2,FALSE)</f>
        <v>16.031.949-6</v>
      </c>
      <c r="B2068" s="112" t="str">
        <f>VLOOKUP('Informe Kelly'!A2062,Base!A:G,7,FALSE)</f>
        <v>ESPINOZA MORENO JONATHAN</v>
      </c>
      <c r="C2068" s="112" t="str">
        <f>'Informe Kelly'!E2062</f>
        <v>08.04.2011</v>
      </c>
      <c r="D2068" s="112" t="e">
        <f>VLOOKUP(A2068,Ingreso!K:P,6,FALSE)</f>
        <v>#N/A</v>
      </c>
      <c r="E2068" s="142" t="e">
        <f>(VLOOKUP(D2068,$D$2:$E$4,2,FALSE))-(IF('Informe Kelly'!H2062=$A$2,'Informe Kelly'!F2062,VLOOKUP(D2068,$D$2:$E$4,2,FALSE)))</f>
        <v>#N/A</v>
      </c>
      <c r="F2068" s="142" t="e">
        <f>IF('Informe Kelly'!H2062=$A$3,'Informe Kelly'!F2062,VLOOKUP(D2068,$D$2:$F$4,3,FALSE))-(VLOOKUP(D2068,$D$2:$F$4,3,FALSE))</f>
        <v>#N/A</v>
      </c>
      <c r="G2068" s="137" t="e">
        <f t="shared" si="36"/>
        <v>#N/A</v>
      </c>
    </row>
    <row r="2069" spans="1:7">
      <c r="A2069" s="112" t="str">
        <f>VLOOKUP('Informe Kelly'!A2063,Base!A:B,2,FALSE)</f>
        <v>16.031.949-6</v>
      </c>
      <c r="B2069" s="112" t="str">
        <f>VLOOKUP('Informe Kelly'!A2063,Base!A:G,7,FALSE)</f>
        <v>ESPINOZA MORENO JONATHAN</v>
      </c>
      <c r="C2069" s="112" t="str">
        <f>'Informe Kelly'!E2063</f>
        <v>09.04.2011</v>
      </c>
      <c r="D2069" s="112" t="e">
        <f>VLOOKUP(A2069,Ingreso!K:P,6,FALSE)</f>
        <v>#N/A</v>
      </c>
      <c r="E2069" s="142" t="e">
        <f>(VLOOKUP(D2069,$D$2:$E$4,2,FALSE))-(IF('Informe Kelly'!H2063=$A$2,'Informe Kelly'!F2063,VLOOKUP(D2069,$D$2:$E$4,2,FALSE)))</f>
        <v>#N/A</v>
      </c>
      <c r="F2069" s="142" t="e">
        <f>IF('Informe Kelly'!H2063=$A$3,'Informe Kelly'!F2063,VLOOKUP(D2069,$D$2:$F$4,3,FALSE))-(VLOOKUP(D2069,$D$2:$F$4,3,FALSE))</f>
        <v>#N/A</v>
      </c>
      <c r="G2069" s="137" t="e">
        <f t="shared" si="36"/>
        <v>#N/A</v>
      </c>
    </row>
    <row r="2070" spans="1:7">
      <c r="A2070" s="112" t="str">
        <f>VLOOKUP('Informe Kelly'!A2064,Base!A:B,2,FALSE)</f>
        <v>16.031.949-6</v>
      </c>
      <c r="B2070" s="112" t="str">
        <f>VLOOKUP('Informe Kelly'!A2064,Base!A:G,7,FALSE)</f>
        <v>ESPINOZA MORENO JONATHAN</v>
      </c>
      <c r="C2070" s="112" t="str">
        <f>'Informe Kelly'!E2064</f>
        <v>09.04.2011</v>
      </c>
      <c r="D2070" s="112" t="e">
        <f>VLOOKUP(A2070,Ingreso!K:P,6,FALSE)</f>
        <v>#N/A</v>
      </c>
      <c r="E2070" s="142" t="e">
        <f>(VLOOKUP(D2070,$D$2:$E$4,2,FALSE))-(IF('Informe Kelly'!H2064=$A$2,'Informe Kelly'!F2064,VLOOKUP(D2070,$D$2:$E$4,2,FALSE)))</f>
        <v>#N/A</v>
      </c>
      <c r="F2070" s="142" t="e">
        <f>IF('Informe Kelly'!H2064=$A$3,'Informe Kelly'!F2064,VLOOKUP(D2070,$D$2:$F$4,3,FALSE))-(VLOOKUP(D2070,$D$2:$F$4,3,FALSE))</f>
        <v>#N/A</v>
      </c>
      <c r="G2070" s="137" t="e">
        <f t="shared" si="36"/>
        <v>#N/A</v>
      </c>
    </row>
    <row r="2071" spans="1:7">
      <c r="A2071" s="112" t="str">
        <f>VLOOKUP('Informe Kelly'!A2065,Base!A:B,2,FALSE)</f>
        <v>16.132.065-K</v>
      </c>
      <c r="B2071" s="112" t="str">
        <f>VLOOKUP('Informe Kelly'!A2065,Base!A:G,7,FALSE)</f>
        <v>GALLARDO LUCERO EMERSON</v>
      </c>
      <c r="C2071" s="112" t="str">
        <f>'Informe Kelly'!E2065</f>
        <v>04.04.2011</v>
      </c>
      <c r="D2071" s="112" t="e">
        <f>VLOOKUP(A2071,Ingreso!K:P,6,FALSE)</f>
        <v>#N/A</v>
      </c>
      <c r="E2071" s="142" t="e">
        <f>(VLOOKUP(D2071,$D$2:$E$4,2,FALSE))-(IF('Informe Kelly'!H2065=$A$2,'Informe Kelly'!F2065,VLOOKUP(D2071,$D$2:$E$4,2,FALSE)))</f>
        <v>#N/A</v>
      </c>
      <c r="F2071" s="142" t="e">
        <f>IF('Informe Kelly'!H2065=$A$3,'Informe Kelly'!F2065,VLOOKUP(D2071,$D$2:$F$4,3,FALSE))-(VLOOKUP(D2071,$D$2:$F$4,3,FALSE))</f>
        <v>#N/A</v>
      </c>
      <c r="G2071" s="137" t="e">
        <f t="shared" si="36"/>
        <v>#N/A</v>
      </c>
    </row>
    <row r="2072" spans="1:7">
      <c r="A2072" s="112" t="str">
        <f>VLOOKUP('Informe Kelly'!A2066,Base!A:B,2,FALSE)</f>
        <v>16.132.065-K</v>
      </c>
      <c r="B2072" s="112" t="str">
        <f>VLOOKUP('Informe Kelly'!A2066,Base!A:G,7,FALSE)</f>
        <v>GALLARDO LUCERO EMERSON</v>
      </c>
      <c r="C2072" s="112" t="str">
        <f>'Informe Kelly'!E2066</f>
        <v>04.04.2011</v>
      </c>
      <c r="D2072" s="112" t="e">
        <f>VLOOKUP(A2072,Ingreso!K:P,6,FALSE)</f>
        <v>#N/A</v>
      </c>
      <c r="E2072" s="142" t="e">
        <f>(VLOOKUP(D2072,$D$2:$E$4,2,FALSE))-(IF('Informe Kelly'!H2066=$A$2,'Informe Kelly'!F2066,VLOOKUP(D2072,$D$2:$E$4,2,FALSE)))</f>
        <v>#N/A</v>
      </c>
      <c r="F2072" s="142" t="e">
        <f>IF('Informe Kelly'!H2066=$A$3,'Informe Kelly'!F2066,VLOOKUP(D2072,$D$2:$F$4,3,FALSE))-(VLOOKUP(D2072,$D$2:$F$4,3,FALSE))</f>
        <v>#N/A</v>
      </c>
      <c r="G2072" s="137" t="e">
        <f t="shared" si="36"/>
        <v>#N/A</v>
      </c>
    </row>
    <row r="2073" spans="1:7">
      <c r="A2073" s="112" t="str">
        <f>VLOOKUP('Informe Kelly'!A2067,Base!A:B,2,FALSE)</f>
        <v>16.132.065-K</v>
      </c>
      <c r="B2073" s="112" t="str">
        <f>VLOOKUP('Informe Kelly'!A2067,Base!A:G,7,FALSE)</f>
        <v>GALLARDO LUCERO EMERSON</v>
      </c>
      <c r="C2073" s="112" t="str">
        <f>'Informe Kelly'!E2067</f>
        <v>05.04.2011</v>
      </c>
      <c r="D2073" s="112" t="e">
        <f>VLOOKUP(A2073,Ingreso!K:P,6,FALSE)</f>
        <v>#N/A</v>
      </c>
      <c r="E2073" s="142" t="e">
        <f>(VLOOKUP(D2073,$D$2:$E$4,2,FALSE))-(IF('Informe Kelly'!H2067=$A$2,'Informe Kelly'!F2067,VLOOKUP(D2073,$D$2:$E$4,2,FALSE)))</f>
        <v>#N/A</v>
      </c>
      <c r="F2073" s="142" t="e">
        <f>IF('Informe Kelly'!H2067=$A$3,'Informe Kelly'!F2067,VLOOKUP(D2073,$D$2:$F$4,3,FALSE))-(VLOOKUP(D2073,$D$2:$F$4,3,FALSE))</f>
        <v>#N/A</v>
      </c>
      <c r="G2073" s="137" t="e">
        <f t="shared" si="36"/>
        <v>#N/A</v>
      </c>
    </row>
    <row r="2074" spans="1:7">
      <c r="A2074" s="112" t="str">
        <f>VLOOKUP('Informe Kelly'!A2068,Base!A:B,2,FALSE)</f>
        <v>16.132.065-K</v>
      </c>
      <c r="B2074" s="112" t="str">
        <f>VLOOKUP('Informe Kelly'!A2068,Base!A:G,7,FALSE)</f>
        <v>GALLARDO LUCERO EMERSON</v>
      </c>
      <c r="C2074" s="112" t="str">
        <f>'Informe Kelly'!E2068</f>
        <v>05.04.2011</v>
      </c>
      <c r="D2074" s="112" t="e">
        <f>VLOOKUP(A2074,Ingreso!K:P,6,FALSE)</f>
        <v>#N/A</v>
      </c>
      <c r="E2074" s="142" t="e">
        <f>(VLOOKUP(D2074,$D$2:$E$4,2,FALSE))-(IF('Informe Kelly'!H2068=$A$2,'Informe Kelly'!F2068,VLOOKUP(D2074,$D$2:$E$4,2,FALSE)))</f>
        <v>#N/A</v>
      </c>
      <c r="F2074" s="142" t="e">
        <f>IF('Informe Kelly'!H2068=$A$3,'Informe Kelly'!F2068,VLOOKUP(D2074,$D$2:$F$4,3,FALSE))-(VLOOKUP(D2074,$D$2:$F$4,3,FALSE))</f>
        <v>#N/A</v>
      </c>
      <c r="G2074" s="137" t="e">
        <f t="shared" si="36"/>
        <v>#N/A</v>
      </c>
    </row>
    <row r="2075" spans="1:7">
      <c r="A2075" s="112" t="str">
        <f>VLOOKUP('Informe Kelly'!A2069,Base!A:B,2,FALSE)</f>
        <v>16.132.065-K</v>
      </c>
      <c r="B2075" s="112" t="str">
        <f>VLOOKUP('Informe Kelly'!A2069,Base!A:G,7,FALSE)</f>
        <v>GALLARDO LUCERO EMERSON</v>
      </c>
      <c r="C2075" s="112" t="str">
        <f>'Informe Kelly'!E2069</f>
        <v>06.04.2011</v>
      </c>
      <c r="D2075" s="112" t="e">
        <f>VLOOKUP(A2075,Ingreso!K:P,6,FALSE)</f>
        <v>#N/A</v>
      </c>
      <c r="E2075" s="142" t="e">
        <f>(VLOOKUP(D2075,$D$2:$E$4,2,FALSE))-(IF('Informe Kelly'!H2069=$A$2,'Informe Kelly'!F2069,VLOOKUP(D2075,$D$2:$E$4,2,FALSE)))</f>
        <v>#N/A</v>
      </c>
      <c r="F2075" s="142" t="e">
        <f>IF('Informe Kelly'!H2069=$A$3,'Informe Kelly'!F2069,VLOOKUP(D2075,$D$2:$F$4,3,FALSE))-(VLOOKUP(D2075,$D$2:$F$4,3,FALSE))</f>
        <v>#N/A</v>
      </c>
      <c r="G2075" s="137" t="e">
        <f t="shared" si="36"/>
        <v>#N/A</v>
      </c>
    </row>
    <row r="2076" spans="1:7">
      <c r="A2076" s="112" t="str">
        <f>VLOOKUP('Informe Kelly'!A2070,Base!A:B,2,FALSE)</f>
        <v>16.132.065-K</v>
      </c>
      <c r="B2076" s="112" t="str">
        <f>VLOOKUP('Informe Kelly'!A2070,Base!A:G,7,FALSE)</f>
        <v>GALLARDO LUCERO EMERSON</v>
      </c>
      <c r="C2076" s="112" t="str">
        <f>'Informe Kelly'!E2070</f>
        <v>06.04.2011</v>
      </c>
      <c r="D2076" s="112" t="e">
        <f>VLOOKUP(A2076,Ingreso!K:P,6,FALSE)</f>
        <v>#N/A</v>
      </c>
      <c r="E2076" s="142" t="e">
        <f>(VLOOKUP(D2076,$D$2:$E$4,2,FALSE))-(IF('Informe Kelly'!H2070=$A$2,'Informe Kelly'!F2070,VLOOKUP(D2076,$D$2:$E$4,2,FALSE)))</f>
        <v>#N/A</v>
      </c>
      <c r="F2076" s="142" t="e">
        <f>IF('Informe Kelly'!H2070=$A$3,'Informe Kelly'!F2070,VLOOKUP(D2076,$D$2:$F$4,3,FALSE))-(VLOOKUP(D2076,$D$2:$F$4,3,FALSE))</f>
        <v>#N/A</v>
      </c>
      <c r="G2076" s="137" t="e">
        <f t="shared" si="36"/>
        <v>#N/A</v>
      </c>
    </row>
    <row r="2077" spans="1:7">
      <c r="A2077" s="112" t="str">
        <f>VLOOKUP('Informe Kelly'!A2071,Base!A:B,2,FALSE)</f>
        <v>16.132.065-K</v>
      </c>
      <c r="B2077" s="112" t="str">
        <f>VLOOKUP('Informe Kelly'!A2071,Base!A:G,7,FALSE)</f>
        <v>GALLARDO LUCERO EMERSON</v>
      </c>
      <c r="C2077" s="112" t="str">
        <f>'Informe Kelly'!E2071</f>
        <v>07.04.2011</v>
      </c>
      <c r="D2077" s="112" t="e">
        <f>VLOOKUP(A2077,Ingreso!K:P,6,FALSE)</f>
        <v>#N/A</v>
      </c>
      <c r="E2077" s="142" t="e">
        <f>(VLOOKUP(D2077,$D$2:$E$4,2,FALSE))-(IF('Informe Kelly'!H2071=$A$2,'Informe Kelly'!F2071,VLOOKUP(D2077,$D$2:$E$4,2,FALSE)))</f>
        <v>#N/A</v>
      </c>
      <c r="F2077" s="142" t="e">
        <f>IF('Informe Kelly'!H2071=$A$3,'Informe Kelly'!F2071,VLOOKUP(D2077,$D$2:$F$4,3,FALSE))-(VLOOKUP(D2077,$D$2:$F$4,3,FALSE))</f>
        <v>#N/A</v>
      </c>
      <c r="G2077" s="137" t="e">
        <f t="shared" si="36"/>
        <v>#N/A</v>
      </c>
    </row>
    <row r="2078" spans="1:7">
      <c r="A2078" s="112" t="str">
        <f>VLOOKUP('Informe Kelly'!A2072,Base!A:B,2,FALSE)</f>
        <v>16.132.065-K</v>
      </c>
      <c r="B2078" s="112" t="str">
        <f>VLOOKUP('Informe Kelly'!A2072,Base!A:G,7,FALSE)</f>
        <v>GALLARDO LUCERO EMERSON</v>
      </c>
      <c r="C2078" s="112" t="str">
        <f>'Informe Kelly'!E2072</f>
        <v>07.04.2011</v>
      </c>
      <c r="D2078" s="112" t="e">
        <f>VLOOKUP(A2078,Ingreso!K:P,6,FALSE)</f>
        <v>#N/A</v>
      </c>
      <c r="E2078" s="142" t="e">
        <f>(VLOOKUP(D2078,$D$2:$E$4,2,FALSE))-(IF('Informe Kelly'!H2072=$A$2,'Informe Kelly'!F2072,VLOOKUP(D2078,$D$2:$E$4,2,FALSE)))</f>
        <v>#N/A</v>
      </c>
      <c r="F2078" s="142" t="e">
        <f>IF('Informe Kelly'!H2072=$A$3,'Informe Kelly'!F2072,VLOOKUP(D2078,$D$2:$F$4,3,FALSE))-(VLOOKUP(D2078,$D$2:$F$4,3,FALSE))</f>
        <v>#N/A</v>
      </c>
      <c r="G2078" s="137" t="e">
        <f t="shared" si="36"/>
        <v>#N/A</v>
      </c>
    </row>
    <row r="2079" spans="1:7">
      <c r="A2079" s="112" t="str">
        <f>VLOOKUP('Informe Kelly'!A2073,Base!A:B,2,FALSE)</f>
        <v>16.132.065-K</v>
      </c>
      <c r="B2079" s="112" t="str">
        <f>VLOOKUP('Informe Kelly'!A2073,Base!A:G,7,FALSE)</f>
        <v>GALLARDO LUCERO EMERSON</v>
      </c>
      <c r="C2079" s="112" t="str">
        <f>'Informe Kelly'!E2073</f>
        <v>08.04.2011</v>
      </c>
      <c r="D2079" s="112" t="e">
        <f>VLOOKUP(A2079,Ingreso!K:P,6,FALSE)</f>
        <v>#N/A</v>
      </c>
      <c r="E2079" s="142" t="e">
        <f>(VLOOKUP(D2079,$D$2:$E$4,2,FALSE))-(IF('Informe Kelly'!H2073=$A$2,'Informe Kelly'!F2073,VLOOKUP(D2079,$D$2:$E$4,2,FALSE)))</f>
        <v>#N/A</v>
      </c>
      <c r="F2079" s="142" t="e">
        <f>IF('Informe Kelly'!H2073=$A$3,'Informe Kelly'!F2073,VLOOKUP(D2079,$D$2:$F$4,3,FALSE))-(VLOOKUP(D2079,$D$2:$F$4,3,FALSE))</f>
        <v>#N/A</v>
      </c>
      <c r="G2079" s="137" t="e">
        <f t="shared" si="36"/>
        <v>#N/A</v>
      </c>
    </row>
    <row r="2080" spans="1:7">
      <c r="A2080" s="112" t="str">
        <f>VLOOKUP('Informe Kelly'!A2074,Base!A:B,2,FALSE)</f>
        <v>16.132.065-K</v>
      </c>
      <c r="B2080" s="112" t="str">
        <f>VLOOKUP('Informe Kelly'!A2074,Base!A:G,7,FALSE)</f>
        <v>GALLARDO LUCERO EMERSON</v>
      </c>
      <c r="C2080" s="112" t="str">
        <f>'Informe Kelly'!E2074</f>
        <v>08.04.2011</v>
      </c>
      <c r="D2080" s="112" t="e">
        <f>VLOOKUP(A2080,Ingreso!K:P,6,FALSE)</f>
        <v>#N/A</v>
      </c>
      <c r="E2080" s="142" t="e">
        <f>(VLOOKUP(D2080,$D$2:$E$4,2,FALSE))-(IF('Informe Kelly'!H2074=$A$2,'Informe Kelly'!F2074,VLOOKUP(D2080,$D$2:$E$4,2,FALSE)))</f>
        <v>#N/A</v>
      </c>
      <c r="F2080" s="142" t="e">
        <f>IF('Informe Kelly'!H2074=$A$3,'Informe Kelly'!F2074,VLOOKUP(D2080,$D$2:$F$4,3,FALSE))-(VLOOKUP(D2080,$D$2:$F$4,3,FALSE))</f>
        <v>#N/A</v>
      </c>
      <c r="G2080" s="137" t="e">
        <f t="shared" si="36"/>
        <v>#N/A</v>
      </c>
    </row>
    <row r="2081" spans="1:7">
      <c r="A2081" s="112" t="str">
        <f>VLOOKUP('Informe Kelly'!A2075,Base!A:B,2,FALSE)</f>
        <v>16.132.065-K</v>
      </c>
      <c r="B2081" s="112" t="str">
        <f>VLOOKUP('Informe Kelly'!A2075,Base!A:G,7,FALSE)</f>
        <v>GALLARDO LUCERO EMERSON</v>
      </c>
      <c r="C2081" s="112" t="str">
        <f>'Informe Kelly'!E2075</f>
        <v>09.04.2011</v>
      </c>
      <c r="D2081" s="112" t="e">
        <f>VLOOKUP(A2081,Ingreso!K:P,6,FALSE)</f>
        <v>#N/A</v>
      </c>
      <c r="E2081" s="142" t="e">
        <f>(VLOOKUP(D2081,$D$2:$E$4,2,FALSE))-(IF('Informe Kelly'!H2075=$A$2,'Informe Kelly'!F2075,VLOOKUP(D2081,$D$2:$E$4,2,FALSE)))</f>
        <v>#N/A</v>
      </c>
      <c r="F2081" s="142" t="e">
        <f>IF('Informe Kelly'!H2075=$A$3,'Informe Kelly'!F2075,VLOOKUP(D2081,$D$2:$F$4,3,FALSE))-(VLOOKUP(D2081,$D$2:$F$4,3,FALSE))</f>
        <v>#N/A</v>
      </c>
      <c r="G2081" s="137" t="e">
        <f t="shared" si="36"/>
        <v>#N/A</v>
      </c>
    </row>
    <row r="2082" spans="1:7">
      <c r="A2082" s="112" t="str">
        <f>VLOOKUP('Informe Kelly'!A2076,Base!A:B,2,FALSE)</f>
        <v>16.132.065-K</v>
      </c>
      <c r="B2082" s="112" t="str">
        <f>VLOOKUP('Informe Kelly'!A2076,Base!A:G,7,FALSE)</f>
        <v>GALLARDO LUCERO EMERSON</v>
      </c>
      <c r="C2082" s="112" t="str">
        <f>'Informe Kelly'!E2076</f>
        <v>09.04.2011</v>
      </c>
      <c r="D2082" s="112" t="e">
        <f>VLOOKUP(A2082,Ingreso!K:P,6,FALSE)</f>
        <v>#N/A</v>
      </c>
      <c r="E2082" s="142" t="e">
        <f>(VLOOKUP(D2082,$D$2:$E$4,2,FALSE))-(IF('Informe Kelly'!H2076=$A$2,'Informe Kelly'!F2076,VLOOKUP(D2082,$D$2:$E$4,2,FALSE)))</f>
        <v>#N/A</v>
      </c>
      <c r="F2082" s="142" t="e">
        <f>IF('Informe Kelly'!H2076=$A$3,'Informe Kelly'!F2076,VLOOKUP(D2082,$D$2:$F$4,3,FALSE))-(VLOOKUP(D2082,$D$2:$F$4,3,FALSE))</f>
        <v>#N/A</v>
      </c>
      <c r="G2082" s="137" t="e">
        <f t="shared" si="36"/>
        <v>#N/A</v>
      </c>
    </row>
    <row r="2083" spans="1:7">
      <c r="A2083" s="112" t="str">
        <f>VLOOKUP('Informe Kelly'!A2077,Base!A:B,2,FALSE)</f>
        <v>16149604-</v>
      </c>
      <c r="B2083" s="112" t="str">
        <f>VLOOKUP('Informe Kelly'!A2077,Base!A:G,7,FALSE)</f>
        <v xml:space="preserve">POBLETE SANDOVAL RODRIGO </v>
      </c>
      <c r="C2083" s="112" t="str">
        <f>'Informe Kelly'!E2077</f>
        <v>04.04.2011</v>
      </c>
      <c r="D2083" s="112" t="e">
        <f>VLOOKUP(A2083,Ingreso!K:P,6,FALSE)</f>
        <v>#N/A</v>
      </c>
      <c r="E2083" s="142" t="e">
        <f>(VLOOKUP(D2083,$D$2:$E$4,2,FALSE))-(IF('Informe Kelly'!H2077=$A$2,'Informe Kelly'!F2077,VLOOKUP(D2083,$D$2:$E$4,2,FALSE)))</f>
        <v>#N/A</v>
      </c>
      <c r="F2083" s="142" t="e">
        <f>IF('Informe Kelly'!H2077=$A$3,'Informe Kelly'!F2077,VLOOKUP(D2083,$D$2:$F$4,3,FALSE))-(VLOOKUP(D2083,$D$2:$F$4,3,FALSE))</f>
        <v>#N/A</v>
      </c>
      <c r="G2083" s="137" t="e">
        <f t="shared" si="36"/>
        <v>#N/A</v>
      </c>
    </row>
    <row r="2084" spans="1:7">
      <c r="A2084" s="112" t="str">
        <f>VLOOKUP('Informe Kelly'!A2078,Base!A:B,2,FALSE)</f>
        <v>16149604-</v>
      </c>
      <c r="B2084" s="112" t="str">
        <f>VLOOKUP('Informe Kelly'!A2078,Base!A:G,7,FALSE)</f>
        <v xml:space="preserve">POBLETE SANDOVAL RODRIGO </v>
      </c>
      <c r="C2084" s="112" t="str">
        <f>'Informe Kelly'!E2078</f>
        <v>04.04.2011</v>
      </c>
      <c r="D2084" s="112" t="e">
        <f>VLOOKUP(A2084,Ingreso!K:P,6,FALSE)</f>
        <v>#N/A</v>
      </c>
      <c r="E2084" s="142" t="e">
        <f>(VLOOKUP(D2084,$D$2:$E$4,2,FALSE))-(IF('Informe Kelly'!H2078=$A$2,'Informe Kelly'!F2078,VLOOKUP(D2084,$D$2:$E$4,2,FALSE)))</f>
        <v>#N/A</v>
      </c>
      <c r="F2084" s="142" t="e">
        <f>IF('Informe Kelly'!H2078=$A$3,'Informe Kelly'!F2078,VLOOKUP(D2084,$D$2:$F$4,3,FALSE))-(VLOOKUP(D2084,$D$2:$F$4,3,FALSE))</f>
        <v>#N/A</v>
      </c>
      <c r="G2084" s="137" t="e">
        <f t="shared" si="36"/>
        <v>#N/A</v>
      </c>
    </row>
    <row r="2085" spans="1:7">
      <c r="A2085" s="112" t="str">
        <f>VLOOKUP('Informe Kelly'!A2079,Base!A:B,2,FALSE)</f>
        <v>16149604-</v>
      </c>
      <c r="B2085" s="112" t="str">
        <f>VLOOKUP('Informe Kelly'!A2079,Base!A:G,7,FALSE)</f>
        <v xml:space="preserve">POBLETE SANDOVAL RODRIGO </v>
      </c>
      <c r="C2085" s="112" t="str">
        <f>'Informe Kelly'!E2079</f>
        <v>05.04.2011</v>
      </c>
      <c r="D2085" s="112" t="e">
        <f>VLOOKUP(A2085,Ingreso!K:P,6,FALSE)</f>
        <v>#N/A</v>
      </c>
      <c r="E2085" s="142" t="e">
        <f>(VLOOKUP(D2085,$D$2:$E$4,2,FALSE))-(IF('Informe Kelly'!H2079=$A$2,'Informe Kelly'!F2079,VLOOKUP(D2085,$D$2:$E$4,2,FALSE)))</f>
        <v>#N/A</v>
      </c>
      <c r="F2085" s="142" t="e">
        <f>IF('Informe Kelly'!H2079=$A$3,'Informe Kelly'!F2079,VLOOKUP(D2085,$D$2:$F$4,3,FALSE))-(VLOOKUP(D2085,$D$2:$F$4,3,FALSE))</f>
        <v>#N/A</v>
      </c>
      <c r="G2085" s="137" t="e">
        <f t="shared" si="36"/>
        <v>#N/A</v>
      </c>
    </row>
    <row r="2086" spans="1:7">
      <c r="A2086" s="112" t="str">
        <f>VLOOKUP('Informe Kelly'!A2080,Base!A:B,2,FALSE)</f>
        <v>16149604-</v>
      </c>
      <c r="B2086" s="112" t="str">
        <f>VLOOKUP('Informe Kelly'!A2080,Base!A:G,7,FALSE)</f>
        <v xml:space="preserve">POBLETE SANDOVAL RODRIGO </v>
      </c>
      <c r="C2086" s="112" t="str">
        <f>'Informe Kelly'!E2080</f>
        <v>05.04.2011</v>
      </c>
      <c r="D2086" s="112" t="e">
        <f>VLOOKUP(A2086,Ingreso!K:P,6,FALSE)</f>
        <v>#N/A</v>
      </c>
      <c r="E2086" s="142" t="e">
        <f>(VLOOKUP(D2086,$D$2:$E$4,2,FALSE))-(IF('Informe Kelly'!H2080=$A$2,'Informe Kelly'!F2080,VLOOKUP(D2086,$D$2:$E$4,2,FALSE)))</f>
        <v>#N/A</v>
      </c>
      <c r="F2086" s="142" t="e">
        <f>IF('Informe Kelly'!H2080=$A$3,'Informe Kelly'!F2080,VLOOKUP(D2086,$D$2:$F$4,3,FALSE))-(VLOOKUP(D2086,$D$2:$F$4,3,FALSE))</f>
        <v>#N/A</v>
      </c>
      <c r="G2086" s="137" t="e">
        <f t="shared" si="36"/>
        <v>#N/A</v>
      </c>
    </row>
    <row r="2087" spans="1:7">
      <c r="A2087" s="112" t="str">
        <f>VLOOKUP('Informe Kelly'!A2081,Base!A:B,2,FALSE)</f>
        <v>16149604-</v>
      </c>
      <c r="B2087" s="112" t="str">
        <f>VLOOKUP('Informe Kelly'!A2081,Base!A:G,7,FALSE)</f>
        <v xml:space="preserve">POBLETE SANDOVAL RODRIGO </v>
      </c>
      <c r="C2087" s="112" t="str">
        <f>'Informe Kelly'!E2081</f>
        <v>06.04.2011</v>
      </c>
      <c r="D2087" s="112" t="e">
        <f>VLOOKUP(A2087,Ingreso!K:P,6,FALSE)</f>
        <v>#N/A</v>
      </c>
      <c r="E2087" s="142" t="e">
        <f>(VLOOKUP(D2087,$D$2:$E$4,2,FALSE))-(IF('Informe Kelly'!H2081=$A$2,'Informe Kelly'!F2081,VLOOKUP(D2087,$D$2:$E$4,2,FALSE)))</f>
        <v>#N/A</v>
      </c>
      <c r="F2087" s="142" t="e">
        <f>IF('Informe Kelly'!H2081=$A$3,'Informe Kelly'!F2081,VLOOKUP(D2087,$D$2:$F$4,3,FALSE))-(VLOOKUP(D2087,$D$2:$F$4,3,FALSE))</f>
        <v>#N/A</v>
      </c>
      <c r="G2087" s="137" t="e">
        <f t="shared" si="36"/>
        <v>#N/A</v>
      </c>
    </row>
    <row r="2088" spans="1:7">
      <c r="A2088" s="112" t="str">
        <f>VLOOKUP('Informe Kelly'!A2082,Base!A:B,2,FALSE)</f>
        <v>16149604-</v>
      </c>
      <c r="B2088" s="112" t="str">
        <f>VLOOKUP('Informe Kelly'!A2082,Base!A:G,7,FALSE)</f>
        <v xml:space="preserve">POBLETE SANDOVAL RODRIGO </v>
      </c>
      <c r="C2088" s="112" t="str">
        <f>'Informe Kelly'!E2082</f>
        <v>06.04.2011</v>
      </c>
      <c r="D2088" s="112" t="e">
        <f>VLOOKUP(A2088,Ingreso!K:P,6,FALSE)</f>
        <v>#N/A</v>
      </c>
      <c r="E2088" s="142" t="e">
        <f>(VLOOKUP(D2088,$D$2:$E$4,2,FALSE))-(IF('Informe Kelly'!H2082=$A$2,'Informe Kelly'!F2082,VLOOKUP(D2088,$D$2:$E$4,2,FALSE)))</f>
        <v>#N/A</v>
      </c>
      <c r="F2088" s="142" t="e">
        <f>IF('Informe Kelly'!H2082=$A$3,'Informe Kelly'!F2082,VLOOKUP(D2088,$D$2:$F$4,3,FALSE))-(VLOOKUP(D2088,$D$2:$F$4,3,FALSE))</f>
        <v>#N/A</v>
      </c>
      <c r="G2088" s="137" t="e">
        <f t="shared" si="36"/>
        <v>#N/A</v>
      </c>
    </row>
    <row r="2089" spans="1:7">
      <c r="A2089" s="112" t="str">
        <f>VLOOKUP('Informe Kelly'!A2083,Base!A:B,2,FALSE)</f>
        <v>16149604-</v>
      </c>
      <c r="B2089" s="112" t="str">
        <f>VLOOKUP('Informe Kelly'!A2083,Base!A:G,7,FALSE)</f>
        <v xml:space="preserve">POBLETE SANDOVAL RODRIGO </v>
      </c>
      <c r="C2089" s="112" t="str">
        <f>'Informe Kelly'!E2083</f>
        <v>07.04.2011</v>
      </c>
      <c r="D2089" s="112" t="e">
        <f>VLOOKUP(A2089,Ingreso!K:P,6,FALSE)</f>
        <v>#N/A</v>
      </c>
      <c r="E2089" s="142" t="e">
        <f>(VLOOKUP(D2089,$D$2:$E$4,2,FALSE))-(IF('Informe Kelly'!H2083=$A$2,'Informe Kelly'!F2083,VLOOKUP(D2089,$D$2:$E$4,2,FALSE)))</f>
        <v>#N/A</v>
      </c>
      <c r="F2089" s="142" t="e">
        <f>IF('Informe Kelly'!H2083=$A$3,'Informe Kelly'!F2083,VLOOKUP(D2089,$D$2:$F$4,3,FALSE))-(VLOOKUP(D2089,$D$2:$F$4,3,FALSE))</f>
        <v>#N/A</v>
      </c>
      <c r="G2089" s="137" t="e">
        <f t="shared" si="36"/>
        <v>#N/A</v>
      </c>
    </row>
    <row r="2090" spans="1:7">
      <c r="A2090" s="112" t="str">
        <f>VLOOKUP('Informe Kelly'!A2084,Base!A:B,2,FALSE)</f>
        <v>16149604-</v>
      </c>
      <c r="B2090" s="112" t="str">
        <f>VLOOKUP('Informe Kelly'!A2084,Base!A:G,7,FALSE)</f>
        <v xml:space="preserve">POBLETE SANDOVAL RODRIGO </v>
      </c>
      <c r="C2090" s="112" t="str">
        <f>'Informe Kelly'!E2084</f>
        <v>07.04.2011</v>
      </c>
      <c r="D2090" s="112" t="e">
        <f>VLOOKUP(A2090,Ingreso!K:P,6,FALSE)</f>
        <v>#N/A</v>
      </c>
      <c r="E2090" s="142" t="e">
        <f>(VLOOKUP(D2090,$D$2:$E$4,2,FALSE))-(IF('Informe Kelly'!H2084=$A$2,'Informe Kelly'!F2084,VLOOKUP(D2090,$D$2:$E$4,2,FALSE)))</f>
        <v>#N/A</v>
      </c>
      <c r="F2090" s="142" t="e">
        <f>IF('Informe Kelly'!H2084=$A$3,'Informe Kelly'!F2084,VLOOKUP(D2090,$D$2:$F$4,3,FALSE))-(VLOOKUP(D2090,$D$2:$F$4,3,FALSE))</f>
        <v>#N/A</v>
      </c>
      <c r="G2090" s="137" t="e">
        <f t="shared" si="36"/>
        <v>#N/A</v>
      </c>
    </row>
    <row r="2091" spans="1:7">
      <c r="A2091" s="112" t="str">
        <f>VLOOKUP('Informe Kelly'!A2085,Base!A:B,2,FALSE)</f>
        <v>16149604-</v>
      </c>
      <c r="B2091" s="112" t="str">
        <f>VLOOKUP('Informe Kelly'!A2085,Base!A:G,7,FALSE)</f>
        <v xml:space="preserve">POBLETE SANDOVAL RODRIGO </v>
      </c>
      <c r="C2091" s="112" t="str">
        <f>'Informe Kelly'!E2085</f>
        <v>08.04.2011</v>
      </c>
      <c r="D2091" s="112" t="e">
        <f>VLOOKUP(A2091,Ingreso!K:P,6,FALSE)</f>
        <v>#N/A</v>
      </c>
      <c r="E2091" s="142" t="e">
        <f>(VLOOKUP(D2091,$D$2:$E$4,2,FALSE))-(IF('Informe Kelly'!H2085=$A$2,'Informe Kelly'!F2085,VLOOKUP(D2091,$D$2:$E$4,2,FALSE)))</f>
        <v>#N/A</v>
      </c>
      <c r="F2091" s="142" t="e">
        <f>IF('Informe Kelly'!H2085=$A$3,'Informe Kelly'!F2085,VLOOKUP(D2091,$D$2:$F$4,3,FALSE))-(VLOOKUP(D2091,$D$2:$F$4,3,FALSE))</f>
        <v>#N/A</v>
      </c>
      <c r="G2091" s="137" t="e">
        <f t="shared" si="36"/>
        <v>#N/A</v>
      </c>
    </row>
    <row r="2092" spans="1:7">
      <c r="A2092" s="112" t="str">
        <f>VLOOKUP('Informe Kelly'!A2086,Base!A:B,2,FALSE)</f>
        <v>16149604-</v>
      </c>
      <c r="B2092" s="112" t="str">
        <f>VLOOKUP('Informe Kelly'!A2086,Base!A:G,7,FALSE)</f>
        <v xml:space="preserve">POBLETE SANDOVAL RODRIGO </v>
      </c>
      <c r="C2092" s="112" t="str">
        <f>'Informe Kelly'!E2086</f>
        <v>08.04.2011</v>
      </c>
      <c r="D2092" s="112" t="e">
        <f>VLOOKUP(A2092,Ingreso!K:P,6,FALSE)</f>
        <v>#N/A</v>
      </c>
      <c r="E2092" s="142" t="e">
        <f>(VLOOKUP(D2092,$D$2:$E$4,2,FALSE))-(IF('Informe Kelly'!H2086=$A$2,'Informe Kelly'!F2086,VLOOKUP(D2092,$D$2:$E$4,2,FALSE)))</f>
        <v>#N/A</v>
      </c>
      <c r="F2092" s="142" t="e">
        <f>IF('Informe Kelly'!H2086=$A$3,'Informe Kelly'!F2086,VLOOKUP(D2092,$D$2:$F$4,3,FALSE))-(VLOOKUP(D2092,$D$2:$F$4,3,FALSE))</f>
        <v>#N/A</v>
      </c>
      <c r="G2092" s="137" t="e">
        <f t="shared" si="36"/>
        <v>#N/A</v>
      </c>
    </row>
    <row r="2093" spans="1:7">
      <c r="A2093" s="112" t="str">
        <f>VLOOKUP('Informe Kelly'!A2087,Base!A:B,2,FALSE)</f>
        <v>16149604-</v>
      </c>
      <c r="B2093" s="112" t="str">
        <f>VLOOKUP('Informe Kelly'!A2087,Base!A:G,7,FALSE)</f>
        <v xml:space="preserve">POBLETE SANDOVAL RODRIGO </v>
      </c>
      <c r="C2093" s="112" t="str">
        <f>'Informe Kelly'!E2087</f>
        <v>09.04.2011</v>
      </c>
      <c r="D2093" s="112" t="e">
        <f>VLOOKUP(A2093,Ingreso!K:P,6,FALSE)</f>
        <v>#N/A</v>
      </c>
      <c r="E2093" s="142" t="e">
        <f>(VLOOKUP(D2093,$D$2:$E$4,2,FALSE))-(IF('Informe Kelly'!H2087=$A$2,'Informe Kelly'!F2087,VLOOKUP(D2093,$D$2:$E$4,2,FALSE)))</f>
        <v>#N/A</v>
      </c>
      <c r="F2093" s="142" t="e">
        <f>IF('Informe Kelly'!H2087=$A$3,'Informe Kelly'!F2087,VLOOKUP(D2093,$D$2:$F$4,3,FALSE))-(VLOOKUP(D2093,$D$2:$F$4,3,FALSE))</f>
        <v>#N/A</v>
      </c>
      <c r="G2093" s="137" t="e">
        <f t="shared" si="36"/>
        <v>#N/A</v>
      </c>
    </row>
    <row r="2094" spans="1:7">
      <c r="A2094" s="112" t="str">
        <f>VLOOKUP('Informe Kelly'!A2088,Base!A:B,2,FALSE)</f>
        <v>16149604-</v>
      </c>
      <c r="B2094" s="112" t="str">
        <f>VLOOKUP('Informe Kelly'!A2088,Base!A:G,7,FALSE)</f>
        <v xml:space="preserve">POBLETE SANDOVAL RODRIGO </v>
      </c>
      <c r="C2094" s="112" t="str">
        <f>'Informe Kelly'!E2088</f>
        <v>09.04.2011</v>
      </c>
      <c r="D2094" s="112" t="e">
        <f>VLOOKUP(A2094,Ingreso!K:P,6,FALSE)</f>
        <v>#N/A</v>
      </c>
      <c r="E2094" s="142" t="e">
        <f>(VLOOKUP(D2094,$D$2:$E$4,2,FALSE))-(IF('Informe Kelly'!H2088=$A$2,'Informe Kelly'!F2088,VLOOKUP(D2094,$D$2:$E$4,2,FALSE)))</f>
        <v>#N/A</v>
      </c>
      <c r="F2094" s="142" t="e">
        <f>IF('Informe Kelly'!H2088=$A$3,'Informe Kelly'!F2088,VLOOKUP(D2094,$D$2:$F$4,3,FALSE))-(VLOOKUP(D2094,$D$2:$F$4,3,FALSE))</f>
        <v>#N/A</v>
      </c>
      <c r="G2094" s="137" t="e">
        <f t="shared" si="36"/>
        <v>#N/A</v>
      </c>
    </row>
    <row r="2095" spans="1:7">
      <c r="A2095" s="112" t="str">
        <f>VLOOKUP('Informe Kelly'!A2089,Base!A:B,2,FALSE)</f>
        <v>16.169.301-4</v>
      </c>
      <c r="B2095" s="112" t="str">
        <f>VLOOKUP('Informe Kelly'!A2089,Base!A:G,7,FALSE)</f>
        <v>ÑANCUCHEO MARIQUEO JOSE MAURICIO</v>
      </c>
      <c r="C2095" s="112" t="str">
        <f>'Informe Kelly'!E2089</f>
        <v>04.04.2011</v>
      </c>
      <c r="D2095" s="112" t="e">
        <f>VLOOKUP(A2095,Ingreso!K:P,6,FALSE)</f>
        <v>#N/A</v>
      </c>
      <c r="E2095" s="142" t="e">
        <f>(VLOOKUP(D2095,$D$2:$E$4,2,FALSE))-(IF('Informe Kelly'!H2089=$A$2,'Informe Kelly'!F2089,VLOOKUP(D2095,$D$2:$E$4,2,FALSE)))</f>
        <v>#N/A</v>
      </c>
      <c r="F2095" s="142" t="e">
        <f>IF('Informe Kelly'!H2089=$A$3,'Informe Kelly'!F2089,VLOOKUP(D2095,$D$2:$F$4,3,FALSE))-(VLOOKUP(D2095,$D$2:$F$4,3,FALSE))</f>
        <v>#N/A</v>
      </c>
      <c r="G2095" s="137" t="e">
        <f t="shared" si="36"/>
        <v>#N/A</v>
      </c>
    </row>
    <row r="2096" spans="1:7">
      <c r="A2096" s="112" t="str">
        <f>VLOOKUP('Informe Kelly'!A2090,Base!A:B,2,FALSE)</f>
        <v>16.169.301-4</v>
      </c>
      <c r="B2096" s="112" t="str">
        <f>VLOOKUP('Informe Kelly'!A2090,Base!A:G,7,FALSE)</f>
        <v>ÑANCUCHEO MARIQUEO JOSE MAURICIO</v>
      </c>
      <c r="C2096" s="112" t="str">
        <f>'Informe Kelly'!E2090</f>
        <v>04.04.2011</v>
      </c>
      <c r="D2096" s="112" t="e">
        <f>VLOOKUP(A2096,Ingreso!K:P,6,FALSE)</f>
        <v>#N/A</v>
      </c>
      <c r="E2096" s="142" t="e">
        <f>(VLOOKUP(D2096,$D$2:$E$4,2,FALSE))-(IF('Informe Kelly'!H2090=$A$2,'Informe Kelly'!F2090,VLOOKUP(D2096,$D$2:$E$4,2,FALSE)))</f>
        <v>#N/A</v>
      </c>
      <c r="F2096" s="142" t="e">
        <f>IF('Informe Kelly'!H2090=$A$3,'Informe Kelly'!F2090,VLOOKUP(D2096,$D$2:$F$4,3,FALSE))-(VLOOKUP(D2096,$D$2:$F$4,3,FALSE))</f>
        <v>#N/A</v>
      </c>
      <c r="G2096" s="137" t="e">
        <f t="shared" si="36"/>
        <v>#N/A</v>
      </c>
    </row>
    <row r="2097" spans="1:7">
      <c r="A2097" s="112" t="str">
        <f>VLOOKUP('Informe Kelly'!A2091,Base!A:B,2,FALSE)</f>
        <v>16.169.301-4</v>
      </c>
      <c r="B2097" s="112" t="str">
        <f>VLOOKUP('Informe Kelly'!A2091,Base!A:G,7,FALSE)</f>
        <v>ÑANCUCHEO MARIQUEO JOSE MAURICIO</v>
      </c>
      <c r="C2097" s="112" t="str">
        <f>'Informe Kelly'!E2091</f>
        <v>05.04.2011</v>
      </c>
      <c r="D2097" s="112" t="e">
        <f>VLOOKUP(A2097,Ingreso!K:P,6,FALSE)</f>
        <v>#N/A</v>
      </c>
      <c r="E2097" s="142" t="e">
        <f>(VLOOKUP(D2097,$D$2:$E$4,2,FALSE))-(IF('Informe Kelly'!H2091=$A$2,'Informe Kelly'!F2091,VLOOKUP(D2097,$D$2:$E$4,2,FALSE)))</f>
        <v>#N/A</v>
      </c>
      <c r="F2097" s="142" t="e">
        <f>IF('Informe Kelly'!H2091=$A$3,'Informe Kelly'!F2091,VLOOKUP(D2097,$D$2:$F$4,3,FALSE))-(VLOOKUP(D2097,$D$2:$F$4,3,FALSE))</f>
        <v>#N/A</v>
      </c>
      <c r="G2097" s="137" t="e">
        <f t="shared" si="36"/>
        <v>#N/A</v>
      </c>
    </row>
    <row r="2098" spans="1:7">
      <c r="A2098" s="112" t="str">
        <f>VLOOKUP('Informe Kelly'!A2092,Base!A:B,2,FALSE)</f>
        <v>16.169.301-4</v>
      </c>
      <c r="B2098" s="112" t="str">
        <f>VLOOKUP('Informe Kelly'!A2092,Base!A:G,7,FALSE)</f>
        <v>ÑANCUCHEO MARIQUEO JOSE MAURICIO</v>
      </c>
      <c r="C2098" s="112" t="str">
        <f>'Informe Kelly'!E2092</f>
        <v>05.04.2011</v>
      </c>
      <c r="D2098" s="112" t="e">
        <f>VLOOKUP(A2098,Ingreso!K:P,6,FALSE)</f>
        <v>#N/A</v>
      </c>
      <c r="E2098" s="142" t="e">
        <f>(VLOOKUP(D2098,$D$2:$E$4,2,FALSE))-(IF('Informe Kelly'!H2092=$A$2,'Informe Kelly'!F2092,VLOOKUP(D2098,$D$2:$E$4,2,FALSE)))</f>
        <v>#N/A</v>
      </c>
      <c r="F2098" s="142" t="e">
        <f>IF('Informe Kelly'!H2092=$A$3,'Informe Kelly'!F2092,VLOOKUP(D2098,$D$2:$F$4,3,FALSE))-(VLOOKUP(D2098,$D$2:$F$4,3,FALSE))</f>
        <v>#N/A</v>
      </c>
      <c r="G2098" s="137" t="e">
        <f t="shared" si="36"/>
        <v>#N/A</v>
      </c>
    </row>
    <row r="2099" spans="1:7">
      <c r="A2099" s="112" t="str">
        <f>VLOOKUP('Informe Kelly'!A2093,Base!A:B,2,FALSE)</f>
        <v>16.169.301-4</v>
      </c>
      <c r="B2099" s="112" t="str">
        <f>VLOOKUP('Informe Kelly'!A2093,Base!A:G,7,FALSE)</f>
        <v>ÑANCUCHEO MARIQUEO JOSE MAURICIO</v>
      </c>
      <c r="C2099" s="112" t="str">
        <f>'Informe Kelly'!E2093</f>
        <v>06.04.2011</v>
      </c>
      <c r="D2099" s="112" t="e">
        <f>VLOOKUP(A2099,Ingreso!K:P,6,FALSE)</f>
        <v>#N/A</v>
      </c>
      <c r="E2099" s="142" t="e">
        <f>(VLOOKUP(D2099,$D$2:$E$4,2,FALSE))-(IF('Informe Kelly'!H2093=$A$2,'Informe Kelly'!F2093,VLOOKUP(D2099,$D$2:$E$4,2,FALSE)))</f>
        <v>#N/A</v>
      </c>
      <c r="F2099" s="142" t="e">
        <f>IF('Informe Kelly'!H2093=$A$3,'Informe Kelly'!F2093,VLOOKUP(D2099,$D$2:$F$4,3,FALSE))-(VLOOKUP(D2099,$D$2:$F$4,3,FALSE))</f>
        <v>#N/A</v>
      </c>
      <c r="G2099" s="137" t="e">
        <f t="shared" si="36"/>
        <v>#N/A</v>
      </c>
    </row>
    <row r="2100" spans="1:7">
      <c r="A2100" s="112" t="str">
        <f>VLOOKUP('Informe Kelly'!A2094,Base!A:B,2,FALSE)</f>
        <v>16.169.301-4</v>
      </c>
      <c r="B2100" s="112" t="str">
        <f>VLOOKUP('Informe Kelly'!A2094,Base!A:G,7,FALSE)</f>
        <v>ÑANCUCHEO MARIQUEO JOSE MAURICIO</v>
      </c>
      <c r="C2100" s="112" t="str">
        <f>'Informe Kelly'!E2094</f>
        <v>06.04.2011</v>
      </c>
      <c r="D2100" s="112" t="e">
        <f>VLOOKUP(A2100,Ingreso!K:P,6,FALSE)</f>
        <v>#N/A</v>
      </c>
      <c r="E2100" s="142" t="e">
        <f>(VLOOKUP(D2100,$D$2:$E$4,2,FALSE))-(IF('Informe Kelly'!H2094=$A$2,'Informe Kelly'!F2094,VLOOKUP(D2100,$D$2:$E$4,2,FALSE)))</f>
        <v>#N/A</v>
      </c>
      <c r="F2100" s="142" t="e">
        <f>IF('Informe Kelly'!H2094=$A$3,'Informe Kelly'!F2094,VLOOKUP(D2100,$D$2:$F$4,3,FALSE))-(VLOOKUP(D2100,$D$2:$F$4,3,FALSE))</f>
        <v>#N/A</v>
      </c>
      <c r="G2100" s="137" t="e">
        <f t="shared" si="36"/>
        <v>#N/A</v>
      </c>
    </row>
    <row r="2101" spans="1:7">
      <c r="A2101" s="112" t="str">
        <f>VLOOKUP('Informe Kelly'!A2095,Base!A:B,2,FALSE)</f>
        <v>16.169.301-4</v>
      </c>
      <c r="B2101" s="112" t="str">
        <f>VLOOKUP('Informe Kelly'!A2095,Base!A:G,7,FALSE)</f>
        <v>ÑANCUCHEO MARIQUEO JOSE MAURICIO</v>
      </c>
      <c r="C2101" s="112" t="str">
        <f>'Informe Kelly'!E2095</f>
        <v>07.04.2011</v>
      </c>
      <c r="D2101" s="112" t="e">
        <f>VLOOKUP(A2101,Ingreso!K:P,6,FALSE)</f>
        <v>#N/A</v>
      </c>
      <c r="E2101" s="142" t="e">
        <f>(VLOOKUP(D2101,$D$2:$E$4,2,FALSE))-(IF('Informe Kelly'!H2095=$A$2,'Informe Kelly'!F2095,VLOOKUP(D2101,$D$2:$E$4,2,FALSE)))</f>
        <v>#N/A</v>
      </c>
      <c r="F2101" s="142" t="e">
        <f>IF('Informe Kelly'!H2095=$A$3,'Informe Kelly'!F2095,VLOOKUP(D2101,$D$2:$F$4,3,FALSE))-(VLOOKUP(D2101,$D$2:$F$4,3,FALSE))</f>
        <v>#N/A</v>
      </c>
      <c r="G2101" s="137" t="e">
        <f t="shared" si="36"/>
        <v>#N/A</v>
      </c>
    </row>
    <row r="2102" spans="1:7">
      <c r="A2102" s="112" t="str">
        <f>VLOOKUP('Informe Kelly'!A2096,Base!A:B,2,FALSE)</f>
        <v>16.169.301-4</v>
      </c>
      <c r="B2102" s="112" t="str">
        <f>VLOOKUP('Informe Kelly'!A2096,Base!A:G,7,FALSE)</f>
        <v>ÑANCUCHEO MARIQUEO JOSE MAURICIO</v>
      </c>
      <c r="C2102" s="112" t="str">
        <f>'Informe Kelly'!E2096</f>
        <v>07.04.2011</v>
      </c>
      <c r="D2102" s="112" t="e">
        <f>VLOOKUP(A2102,Ingreso!K:P,6,FALSE)</f>
        <v>#N/A</v>
      </c>
      <c r="E2102" s="142" t="e">
        <f>(VLOOKUP(D2102,$D$2:$E$4,2,FALSE))-(IF('Informe Kelly'!H2096=$A$2,'Informe Kelly'!F2096,VLOOKUP(D2102,$D$2:$E$4,2,FALSE)))</f>
        <v>#N/A</v>
      </c>
      <c r="F2102" s="142" t="e">
        <f>IF('Informe Kelly'!H2096=$A$3,'Informe Kelly'!F2096,VLOOKUP(D2102,$D$2:$F$4,3,FALSE))-(VLOOKUP(D2102,$D$2:$F$4,3,FALSE))</f>
        <v>#N/A</v>
      </c>
      <c r="G2102" s="137" t="e">
        <f t="shared" si="36"/>
        <v>#N/A</v>
      </c>
    </row>
    <row r="2103" spans="1:7">
      <c r="A2103" s="112" t="str">
        <f>VLOOKUP('Informe Kelly'!A2097,Base!A:B,2,FALSE)</f>
        <v>16.169.301-4</v>
      </c>
      <c r="B2103" s="112" t="str">
        <f>VLOOKUP('Informe Kelly'!A2097,Base!A:G,7,FALSE)</f>
        <v>ÑANCUCHEO MARIQUEO JOSE MAURICIO</v>
      </c>
      <c r="C2103" s="112" t="str">
        <f>'Informe Kelly'!E2097</f>
        <v>08.04.2011</v>
      </c>
      <c r="D2103" s="112" t="e">
        <f>VLOOKUP(A2103,Ingreso!K:P,6,FALSE)</f>
        <v>#N/A</v>
      </c>
      <c r="E2103" s="142" t="e">
        <f>(VLOOKUP(D2103,$D$2:$E$4,2,FALSE))-(IF('Informe Kelly'!H2097=$A$2,'Informe Kelly'!F2097,VLOOKUP(D2103,$D$2:$E$4,2,FALSE)))</f>
        <v>#N/A</v>
      </c>
      <c r="F2103" s="142" t="e">
        <f>IF('Informe Kelly'!H2097=$A$3,'Informe Kelly'!F2097,VLOOKUP(D2103,$D$2:$F$4,3,FALSE))-(VLOOKUP(D2103,$D$2:$F$4,3,FALSE))</f>
        <v>#N/A</v>
      </c>
      <c r="G2103" s="137" t="e">
        <f t="shared" si="36"/>
        <v>#N/A</v>
      </c>
    </row>
    <row r="2104" spans="1:7">
      <c r="A2104" s="112" t="str">
        <f>VLOOKUP('Informe Kelly'!A2098,Base!A:B,2,FALSE)</f>
        <v>16.169.301-4</v>
      </c>
      <c r="B2104" s="112" t="str">
        <f>VLOOKUP('Informe Kelly'!A2098,Base!A:G,7,FALSE)</f>
        <v>ÑANCUCHEO MARIQUEO JOSE MAURICIO</v>
      </c>
      <c r="C2104" s="112" t="str">
        <f>'Informe Kelly'!E2098</f>
        <v>08.04.2011</v>
      </c>
      <c r="D2104" s="112" t="e">
        <f>VLOOKUP(A2104,Ingreso!K:P,6,FALSE)</f>
        <v>#N/A</v>
      </c>
      <c r="E2104" s="142" t="e">
        <f>(VLOOKUP(D2104,$D$2:$E$4,2,FALSE))-(IF('Informe Kelly'!H2098=$A$2,'Informe Kelly'!F2098,VLOOKUP(D2104,$D$2:$E$4,2,FALSE)))</f>
        <v>#N/A</v>
      </c>
      <c r="F2104" s="142" t="e">
        <f>IF('Informe Kelly'!H2098=$A$3,'Informe Kelly'!F2098,VLOOKUP(D2104,$D$2:$F$4,3,FALSE))-(VLOOKUP(D2104,$D$2:$F$4,3,FALSE))</f>
        <v>#N/A</v>
      </c>
      <c r="G2104" s="137" t="e">
        <f t="shared" si="36"/>
        <v>#N/A</v>
      </c>
    </row>
    <row r="2105" spans="1:7">
      <c r="A2105" s="112" t="str">
        <f>VLOOKUP('Informe Kelly'!A2099,Base!A:B,2,FALSE)</f>
        <v>16.169.301-4</v>
      </c>
      <c r="B2105" s="112" t="str">
        <f>VLOOKUP('Informe Kelly'!A2099,Base!A:G,7,FALSE)</f>
        <v>ÑANCUCHEO MARIQUEO JOSE MAURICIO</v>
      </c>
      <c r="C2105" s="112" t="str">
        <f>'Informe Kelly'!E2099</f>
        <v>09.04.2011</v>
      </c>
      <c r="D2105" s="112" t="e">
        <f>VLOOKUP(A2105,Ingreso!K:P,6,FALSE)</f>
        <v>#N/A</v>
      </c>
      <c r="E2105" s="142" t="e">
        <f>(VLOOKUP(D2105,$D$2:$E$4,2,FALSE))-(IF('Informe Kelly'!H2099=$A$2,'Informe Kelly'!F2099,VLOOKUP(D2105,$D$2:$E$4,2,FALSE)))</f>
        <v>#N/A</v>
      </c>
      <c r="F2105" s="142" t="e">
        <f>IF('Informe Kelly'!H2099=$A$3,'Informe Kelly'!F2099,VLOOKUP(D2105,$D$2:$F$4,3,FALSE))-(VLOOKUP(D2105,$D$2:$F$4,3,FALSE))</f>
        <v>#N/A</v>
      </c>
      <c r="G2105" s="137" t="e">
        <f t="shared" si="36"/>
        <v>#N/A</v>
      </c>
    </row>
    <row r="2106" spans="1:7">
      <c r="A2106" s="112" t="str">
        <f>VLOOKUP('Informe Kelly'!A2100,Base!A:B,2,FALSE)</f>
        <v>16.169.301-4</v>
      </c>
      <c r="B2106" s="112" t="str">
        <f>VLOOKUP('Informe Kelly'!A2100,Base!A:G,7,FALSE)</f>
        <v>ÑANCUCHEO MARIQUEO JOSE MAURICIO</v>
      </c>
      <c r="C2106" s="112" t="str">
        <f>'Informe Kelly'!E2100</f>
        <v>09.04.2011</v>
      </c>
      <c r="D2106" s="112" t="e">
        <f>VLOOKUP(A2106,Ingreso!K:P,6,FALSE)</f>
        <v>#N/A</v>
      </c>
      <c r="E2106" s="142" t="e">
        <f>(VLOOKUP(D2106,$D$2:$E$4,2,FALSE))-(IF('Informe Kelly'!H2100=$A$2,'Informe Kelly'!F2100,VLOOKUP(D2106,$D$2:$E$4,2,FALSE)))</f>
        <v>#N/A</v>
      </c>
      <c r="F2106" s="142" t="e">
        <f>IF('Informe Kelly'!H2100=$A$3,'Informe Kelly'!F2100,VLOOKUP(D2106,$D$2:$F$4,3,FALSE))-(VLOOKUP(D2106,$D$2:$F$4,3,FALSE))</f>
        <v>#N/A</v>
      </c>
      <c r="G2106" s="137" t="e">
        <f t="shared" si="36"/>
        <v>#N/A</v>
      </c>
    </row>
    <row r="2107" spans="1:7">
      <c r="A2107" s="112" t="str">
        <f>VLOOKUP('Informe Kelly'!A2101,Base!A:B,2,FALSE)</f>
        <v>16.191.666-8</v>
      </c>
      <c r="B2107" s="112" t="str">
        <f>VLOOKUP('Informe Kelly'!A2101,Base!A:G,7,FALSE)</f>
        <v>ALARCON SILVA KAREN FABIOLA</v>
      </c>
      <c r="C2107" s="112" t="str">
        <f>'Informe Kelly'!E2101</f>
        <v>04.04.2011</v>
      </c>
      <c r="D2107" s="112" t="e">
        <f>VLOOKUP(A2107,Ingreso!K:P,6,FALSE)</f>
        <v>#N/A</v>
      </c>
      <c r="E2107" s="142" t="e">
        <f>(VLOOKUP(D2107,$D$2:$E$4,2,FALSE))-(IF('Informe Kelly'!H2101=$A$2,'Informe Kelly'!F2101,VLOOKUP(D2107,$D$2:$E$4,2,FALSE)))</f>
        <v>#N/A</v>
      </c>
      <c r="F2107" s="142" t="e">
        <f>IF('Informe Kelly'!H2101=$A$3,'Informe Kelly'!F2101,VLOOKUP(D2107,$D$2:$F$4,3,FALSE))-(VLOOKUP(D2107,$D$2:$F$4,3,FALSE))</f>
        <v>#N/A</v>
      </c>
      <c r="G2107" s="137" t="e">
        <f t="shared" si="36"/>
        <v>#N/A</v>
      </c>
    </row>
    <row r="2108" spans="1:7">
      <c r="A2108" s="112" t="str">
        <f>VLOOKUP('Informe Kelly'!A2102,Base!A:B,2,FALSE)</f>
        <v>16.191.666-8</v>
      </c>
      <c r="B2108" s="112" t="str">
        <f>VLOOKUP('Informe Kelly'!A2102,Base!A:G,7,FALSE)</f>
        <v>ALARCON SILVA KAREN FABIOLA</v>
      </c>
      <c r="C2108" s="112" t="str">
        <f>'Informe Kelly'!E2102</f>
        <v>04.04.2011</v>
      </c>
      <c r="D2108" s="112" t="e">
        <f>VLOOKUP(A2108,Ingreso!K:P,6,FALSE)</f>
        <v>#N/A</v>
      </c>
      <c r="E2108" s="142" t="e">
        <f>(VLOOKUP(D2108,$D$2:$E$4,2,FALSE))-(IF('Informe Kelly'!H2102=$A$2,'Informe Kelly'!F2102,VLOOKUP(D2108,$D$2:$E$4,2,FALSE)))</f>
        <v>#N/A</v>
      </c>
      <c r="F2108" s="142" t="e">
        <f>IF('Informe Kelly'!H2102=$A$3,'Informe Kelly'!F2102,VLOOKUP(D2108,$D$2:$F$4,3,FALSE))-(VLOOKUP(D2108,$D$2:$F$4,3,FALSE))</f>
        <v>#N/A</v>
      </c>
      <c r="G2108" s="137" t="e">
        <f t="shared" si="36"/>
        <v>#N/A</v>
      </c>
    </row>
    <row r="2109" spans="1:7">
      <c r="A2109" s="112" t="str">
        <f>VLOOKUP('Informe Kelly'!A2103,Base!A:B,2,FALSE)</f>
        <v>16.191.666-8</v>
      </c>
      <c r="B2109" s="112" t="str">
        <f>VLOOKUP('Informe Kelly'!A2103,Base!A:G,7,FALSE)</f>
        <v>ALARCON SILVA KAREN FABIOLA</v>
      </c>
      <c r="C2109" s="112" t="str">
        <f>'Informe Kelly'!E2103</f>
        <v>06.04.2011</v>
      </c>
      <c r="D2109" s="112" t="e">
        <f>VLOOKUP(A2109,Ingreso!K:P,6,FALSE)</f>
        <v>#N/A</v>
      </c>
      <c r="E2109" s="142" t="e">
        <f>(VLOOKUP(D2109,$D$2:$E$4,2,FALSE))-(IF('Informe Kelly'!H2103=$A$2,'Informe Kelly'!F2103,VLOOKUP(D2109,$D$2:$E$4,2,FALSE)))</f>
        <v>#N/A</v>
      </c>
      <c r="F2109" s="142" t="e">
        <f>IF('Informe Kelly'!H2103=$A$3,'Informe Kelly'!F2103,VLOOKUP(D2109,$D$2:$F$4,3,FALSE))-(VLOOKUP(D2109,$D$2:$F$4,3,FALSE))</f>
        <v>#N/A</v>
      </c>
      <c r="G2109" s="137" t="e">
        <f t="shared" si="36"/>
        <v>#N/A</v>
      </c>
    </row>
    <row r="2110" spans="1:7">
      <c r="A2110" s="112" t="str">
        <f>VLOOKUP('Informe Kelly'!A2104,Base!A:B,2,FALSE)</f>
        <v>16.191.666-8</v>
      </c>
      <c r="B2110" s="112" t="str">
        <f>VLOOKUP('Informe Kelly'!A2104,Base!A:G,7,FALSE)</f>
        <v>ALARCON SILVA KAREN FABIOLA</v>
      </c>
      <c r="C2110" s="112" t="str">
        <f>'Informe Kelly'!E2104</f>
        <v>06.04.2011</v>
      </c>
      <c r="D2110" s="112" t="e">
        <f>VLOOKUP(A2110,Ingreso!K:P,6,FALSE)</f>
        <v>#N/A</v>
      </c>
      <c r="E2110" s="142" t="e">
        <f>(VLOOKUP(D2110,$D$2:$E$4,2,FALSE))-(IF('Informe Kelly'!H2104=$A$2,'Informe Kelly'!F2104,VLOOKUP(D2110,$D$2:$E$4,2,FALSE)))</f>
        <v>#N/A</v>
      </c>
      <c r="F2110" s="142" t="e">
        <f>IF('Informe Kelly'!H2104=$A$3,'Informe Kelly'!F2104,VLOOKUP(D2110,$D$2:$F$4,3,FALSE))-(VLOOKUP(D2110,$D$2:$F$4,3,FALSE))</f>
        <v>#N/A</v>
      </c>
      <c r="G2110" s="137" t="e">
        <f t="shared" si="36"/>
        <v>#N/A</v>
      </c>
    </row>
    <row r="2111" spans="1:7">
      <c r="A2111" s="112" t="str">
        <f>VLOOKUP('Informe Kelly'!A2105,Base!A:B,2,FALSE)</f>
        <v>16.191.666-8</v>
      </c>
      <c r="B2111" s="112" t="str">
        <f>VLOOKUP('Informe Kelly'!A2105,Base!A:G,7,FALSE)</f>
        <v>ALARCON SILVA KAREN FABIOLA</v>
      </c>
      <c r="C2111" s="112" t="str">
        <f>'Informe Kelly'!E2105</f>
        <v>07.04.2011</v>
      </c>
      <c r="D2111" s="112" t="e">
        <f>VLOOKUP(A2111,Ingreso!K:P,6,FALSE)</f>
        <v>#N/A</v>
      </c>
      <c r="E2111" s="142" t="e">
        <f>(VLOOKUP(D2111,$D$2:$E$4,2,FALSE))-(IF('Informe Kelly'!H2105=$A$2,'Informe Kelly'!F2105,VLOOKUP(D2111,$D$2:$E$4,2,FALSE)))</f>
        <v>#N/A</v>
      </c>
      <c r="F2111" s="142" t="e">
        <f>IF('Informe Kelly'!H2105=$A$3,'Informe Kelly'!F2105,VLOOKUP(D2111,$D$2:$F$4,3,FALSE))-(VLOOKUP(D2111,$D$2:$F$4,3,FALSE))</f>
        <v>#N/A</v>
      </c>
      <c r="G2111" s="137" t="e">
        <f t="shared" si="36"/>
        <v>#N/A</v>
      </c>
    </row>
    <row r="2112" spans="1:7">
      <c r="A2112" s="112" t="str">
        <f>VLOOKUP('Informe Kelly'!A2106,Base!A:B,2,FALSE)</f>
        <v>16.191.666-8</v>
      </c>
      <c r="B2112" s="112" t="str">
        <f>VLOOKUP('Informe Kelly'!A2106,Base!A:G,7,FALSE)</f>
        <v>ALARCON SILVA KAREN FABIOLA</v>
      </c>
      <c r="C2112" s="112" t="str">
        <f>'Informe Kelly'!E2106</f>
        <v>08.04.2011</v>
      </c>
      <c r="D2112" s="112" t="e">
        <f>VLOOKUP(A2112,Ingreso!K:P,6,FALSE)</f>
        <v>#N/A</v>
      </c>
      <c r="E2112" s="142" t="e">
        <f>(VLOOKUP(D2112,$D$2:$E$4,2,FALSE))-(IF('Informe Kelly'!H2106=$A$2,'Informe Kelly'!F2106,VLOOKUP(D2112,$D$2:$E$4,2,FALSE)))</f>
        <v>#N/A</v>
      </c>
      <c r="F2112" s="142" t="e">
        <f>IF('Informe Kelly'!H2106=$A$3,'Informe Kelly'!F2106,VLOOKUP(D2112,$D$2:$F$4,3,FALSE))-(VLOOKUP(D2112,$D$2:$F$4,3,FALSE))</f>
        <v>#N/A</v>
      </c>
      <c r="G2112" s="137" t="e">
        <f t="shared" si="36"/>
        <v>#N/A</v>
      </c>
    </row>
    <row r="2113" spans="1:7">
      <c r="A2113" s="112" t="str">
        <f>VLOOKUP('Informe Kelly'!A2107,Base!A:B,2,FALSE)</f>
        <v>16.191.666-8</v>
      </c>
      <c r="B2113" s="112" t="str">
        <f>VLOOKUP('Informe Kelly'!A2107,Base!A:G,7,FALSE)</f>
        <v>ALARCON SILVA KAREN FABIOLA</v>
      </c>
      <c r="C2113" s="112" t="str">
        <f>'Informe Kelly'!E2107</f>
        <v>08.04.2011</v>
      </c>
      <c r="D2113" s="112" t="e">
        <f>VLOOKUP(A2113,Ingreso!K:P,6,FALSE)</f>
        <v>#N/A</v>
      </c>
      <c r="E2113" s="142" t="e">
        <f>(VLOOKUP(D2113,$D$2:$E$4,2,FALSE))-(IF('Informe Kelly'!H2107=$A$2,'Informe Kelly'!F2107,VLOOKUP(D2113,$D$2:$E$4,2,FALSE)))</f>
        <v>#N/A</v>
      </c>
      <c r="F2113" s="142" t="e">
        <f>IF('Informe Kelly'!H2107=$A$3,'Informe Kelly'!F2107,VLOOKUP(D2113,$D$2:$F$4,3,FALSE))-(VLOOKUP(D2113,$D$2:$F$4,3,FALSE))</f>
        <v>#N/A</v>
      </c>
      <c r="G2113" s="137" t="e">
        <f t="shared" si="36"/>
        <v>#N/A</v>
      </c>
    </row>
    <row r="2114" spans="1:7">
      <c r="A2114" s="112" t="str">
        <f>VLOOKUP('Informe Kelly'!A2108,Base!A:B,2,FALSE)</f>
        <v>16.266.817-K</v>
      </c>
      <c r="B2114" s="112" t="str">
        <f>VLOOKUP('Informe Kelly'!A2108,Base!A:G,7,FALSE)</f>
        <v>PEREZ PADILLA RODRIGO ALEJANDRO</v>
      </c>
      <c r="C2114" s="112" t="str">
        <f>'Informe Kelly'!E2108</f>
        <v>04.04.2011</v>
      </c>
      <c r="D2114" s="112" t="e">
        <f>VLOOKUP(A2114,Ingreso!K:P,6,FALSE)</f>
        <v>#N/A</v>
      </c>
      <c r="E2114" s="142" t="e">
        <f>(VLOOKUP(D2114,$D$2:$E$4,2,FALSE))-(IF('Informe Kelly'!H2108=$A$2,'Informe Kelly'!F2108,VLOOKUP(D2114,$D$2:$E$4,2,FALSE)))</f>
        <v>#N/A</v>
      </c>
      <c r="F2114" s="142" t="e">
        <f>IF('Informe Kelly'!H2108=$A$3,'Informe Kelly'!F2108,VLOOKUP(D2114,$D$2:$F$4,3,FALSE))-(VLOOKUP(D2114,$D$2:$F$4,3,FALSE))</f>
        <v>#N/A</v>
      </c>
      <c r="G2114" s="137" t="e">
        <f t="shared" si="36"/>
        <v>#N/A</v>
      </c>
    </row>
    <row r="2115" spans="1:7">
      <c r="A2115" s="112" t="str">
        <f>VLOOKUP('Informe Kelly'!A2109,Base!A:B,2,FALSE)</f>
        <v>16.266.817-K</v>
      </c>
      <c r="B2115" s="112" t="str">
        <f>VLOOKUP('Informe Kelly'!A2109,Base!A:G,7,FALSE)</f>
        <v>PEREZ PADILLA RODRIGO ALEJANDRO</v>
      </c>
      <c r="C2115" s="112" t="str">
        <f>'Informe Kelly'!E2109</f>
        <v>04.04.2011</v>
      </c>
      <c r="D2115" s="112" t="e">
        <f>VLOOKUP(A2115,Ingreso!K:P,6,FALSE)</f>
        <v>#N/A</v>
      </c>
      <c r="E2115" s="142" t="e">
        <f>(VLOOKUP(D2115,$D$2:$E$4,2,FALSE))-(IF('Informe Kelly'!H2109=$A$2,'Informe Kelly'!F2109,VLOOKUP(D2115,$D$2:$E$4,2,FALSE)))</f>
        <v>#N/A</v>
      </c>
      <c r="F2115" s="142" t="e">
        <f>IF('Informe Kelly'!H2109=$A$3,'Informe Kelly'!F2109,VLOOKUP(D2115,$D$2:$F$4,3,FALSE))-(VLOOKUP(D2115,$D$2:$F$4,3,FALSE))</f>
        <v>#N/A</v>
      </c>
      <c r="G2115" s="137" t="e">
        <f t="shared" si="36"/>
        <v>#N/A</v>
      </c>
    </row>
    <row r="2116" spans="1:7">
      <c r="A2116" s="112" t="str">
        <f>VLOOKUP('Informe Kelly'!A2110,Base!A:B,2,FALSE)</f>
        <v>16.266.817-K</v>
      </c>
      <c r="B2116" s="112" t="str">
        <f>VLOOKUP('Informe Kelly'!A2110,Base!A:G,7,FALSE)</f>
        <v>PEREZ PADILLA RODRIGO ALEJANDRO</v>
      </c>
      <c r="C2116" s="112" t="str">
        <f>'Informe Kelly'!E2110</f>
        <v>05.04.2011</v>
      </c>
      <c r="D2116" s="112" t="e">
        <f>VLOOKUP(A2116,Ingreso!K:P,6,FALSE)</f>
        <v>#N/A</v>
      </c>
      <c r="E2116" s="142" t="e">
        <f>(VLOOKUP(D2116,$D$2:$E$4,2,FALSE))-(IF('Informe Kelly'!H2110=$A$2,'Informe Kelly'!F2110,VLOOKUP(D2116,$D$2:$E$4,2,FALSE)))</f>
        <v>#N/A</v>
      </c>
      <c r="F2116" s="142" t="e">
        <f>IF('Informe Kelly'!H2110=$A$3,'Informe Kelly'!F2110,VLOOKUP(D2116,$D$2:$F$4,3,FALSE))-(VLOOKUP(D2116,$D$2:$F$4,3,FALSE))</f>
        <v>#N/A</v>
      </c>
      <c r="G2116" s="137" t="e">
        <f t="shared" si="36"/>
        <v>#N/A</v>
      </c>
    </row>
    <row r="2117" spans="1:7">
      <c r="A2117" s="112" t="str">
        <f>VLOOKUP('Informe Kelly'!A2111,Base!A:B,2,FALSE)</f>
        <v>16.266.817-K</v>
      </c>
      <c r="B2117" s="112" t="str">
        <f>VLOOKUP('Informe Kelly'!A2111,Base!A:G,7,FALSE)</f>
        <v>PEREZ PADILLA RODRIGO ALEJANDRO</v>
      </c>
      <c r="C2117" s="112" t="str">
        <f>'Informe Kelly'!E2111</f>
        <v>05.04.2011</v>
      </c>
      <c r="D2117" s="112" t="e">
        <f>VLOOKUP(A2117,Ingreso!K:P,6,FALSE)</f>
        <v>#N/A</v>
      </c>
      <c r="E2117" s="142" t="e">
        <f>(VLOOKUP(D2117,$D$2:$E$4,2,FALSE))-(IF('Informe Kelly'!H2111=$A$2,'Informe Kelly'!F2111,VLOOKUP(D2117,$D$2:$E$4,2,FALSE)))</f>
        <v>#N/A</v>
      </c>
      <c r="F2117" s="142" t="e">
        <f>IF('Informe Kelly'!H2111=$A$3,'Informe Kelly'!F2111,VLOOKUP(D2117,$D$2:$F$4,3,FALSE))-(VLOOKUP(D2117,$D$2:$F$4,3,FALSE))</f>
        <v>#N/A</v>
      </c>
      <c r="G2117" s="137" t="e">
        <f t="shared" si="36"/>
        <v>#N/A</v>
      </c>
    </row>
    <row r="2118" spans="1:7">
      <c r="A2118" s="112" t="str">
        <f>VLOOKUP('Informe Kelly'!A2112,Base!A:B,2,FALSE)</f>
        <v>16.266.817-K</v>
      </c>
      <c r="B2118" s="112" t="str">
        <f>VLOOKUP('Informe Kelly'!A2112,Base!A:G,7,FALSE)</f>
        <v>PEREZ PADILLA RODRIGO ALEJANDRO</v>
      </c>
      <c r="C2118" s="112" t="str">
        <f>'Informe Kelly'!E2112</f>
        <v>06.04.2011</v>
      </c>
      <c r="D2118" s="112" t="e">
        <f>VLOOKUP(A2118,Ingreso!K:P,6,FALSE)</f>
        <v>#N/A</v>
      </c>
      <c r="E2118" s="142" t="e">
        <f>(VLOOKUP(D2118,$D$2:$E$4,2,FALSE))-(IF('Informe Kelly'!H2112=$A$2,'Informe Kelly'!F2112,VLOOKUP(D2118,$D$2:$E$4,2,FALSE)))</f>
        <v>#N/A</v>
      </c>
      <c r="F2118" s="142" t="e">
        <f>IF('Informe Kelly'!H2112=$A$3,'Informe Kelly'!F2112,VLOOKUP(D2118,$D$2:$F$4,3,FALSE))-(VLOOKUP(D2118,$D$2:$F$4,3,FALSE))</f>
        <v>#N/A</v>
      </c>
      <c r="G2118" s="137" t="e">
        <f t="shared" si="36"/>
        <v>#N/A</v>
      </c>
    </row>
    <row r="2119" spans="1:7">
      <c r="A2119" s="112" t="str">
        <f>VLOOKUP('Informe Kelly'!A2113,Base!A:B,2,FALSE)</f>
        <v>16.266.817-K</v>
      </c>
      <c r="B2119" s="112" t="str">
        <f>VLOOKUP('Informe Kelly'!A2113,Base!A:G,7,FALSE)</f>
        <v>PEREZ PADILLA RODRIGO ALEJANDRO</v>
      </c>
      <c r="C2119" s="112" t="str">
        <f>'Informe Kelly'!E2113</f>
        <v>06.04.2011</v>
      </c>
      <c r="D2119" s="112" t="e">
        <f>VLOOKUP(A2119,Ingreso!K:P,6,FALSE)</f>
        <v>#N/A</v>
      </c>
      <c r="E2119" s="142" t="e">
        <f>(VLOOKUP(D2119,$D$2:$E$4,2,FALSE))-(IF('Informe Kelly'!H2113=$A$2,'Informe Kelly'!F2113,VLOOKUP(D2119,$D$2:$E$4,2,FALSE)))</f>
        <v>#N/A</v>
      </c>
      <c r="F2119" s="142" t="e">
        <f>IF('Informe Kelly'!H2113=$A$3,'Informe Kelly'!F2113,VLOOKUP(D2119,$D$2:$F$4,3,FALSE))-(VLOOKUP(D2119,$D$2:$F$4,3,FALSE))</f>
        <v>#N/A</v>
      </c>
      <c r="G2119" s="137" t="e">
        <f t="shared" si="36"/>
        <v>#N/A</v>
      </c>
    </row>
    <row r="2120" spans="1:7">
      <c r="A2120" s="112" t="str">
        <f>VLOOKUP('Informe Kelly'!A2114,Base!A:B,2,FALSE)</f>
        <v>16.266.817-K</v>
      </c>
      <c r="B2120" s="112" t="str">
        <f>VLOOKUP('Informe Kelly'!A2114,Base!A:G,7,FALSE)</f>
        <v>PEREZ PADILLA RODRIGO ALEJANDRO</v>
      </c>
      <c r="C2120" s="112" t="str">
        <f>'Informe Kelly'!E2114</f>
        <v>07.04.2011</v>
      </c>
      <c r="D2120" s="112" t="e">
        <f>VLOOKUP(A2120,Ingreso!K:P,6,FALSE)</f>
        <v>#N/A</v>
      </c>
      <c r="E2120" s="142" t="e">
        <f>(VLOOKUP(D2120,$D$2:$E$4,2,FALSE))-(IF('Informe Kelly'!H2114=$A$2,'Informe Kelly'!F2114,VLOOKUP(D2120,$D$2:$E$4,2,FALSE)))</f>
        <v>#N/A</v>
      </c>
      <c r="F2120" s="142" t="e">
        <f>IF('Informe Kelly'!H2114=$A$3,'Informe Kelly'!F2114,VLOOKUP(D2120,$D$2:$F$4,3,FALSE))-(VLOOKUP(D2120,$D$2:$F$4,3,FALSE))</f>
        <v>#N/A</v>
      </c>
      <c r="G2120" s="137" t="e">
        <f t="shared" si="36"/>
        <v>#N/A</v>
      </c>
    </row>
    <row r="2121" spans="1:7">
      <c r="A2121" s="112" t="str">
        <f>VLOOKUP('Informe Kelly'!A2115,Base!A:B,2,FALSE)</f>
        <v>16.266.817-K</v>
      </c>
      <c r="B2121" s="112" t="str">
        <f>VLOOKUP('Informe Kelly'!A2115,Base!A:G,7,FALSE)</f>
        <v>PEREZ PADILLA RODRIGO ALEJANDRO</v>
      </c>
      <c r="C2121" s="112" t="str">
        <f>'Informe Kelly'!E2115</f>
        <v>07.04.2011</v>
      </c>
      <c r="D2121" s="112" t="e">
        <f>VLOOKUP(A2121,Ingreso!K:P,6,FALSE)</f>
        <v>#N/A</v>
      </c>
      <c r="E2121" s="142" t="e">
        <f>(VLOOKUP(D2121,$D$2:$E$4,2,FALSE))-(IF('Informe Kelly'!H2115=$A$2,'Informe Kelly'!F2115,VLOOKUP(D2121,$D$2:$E$4,2,FALSE)))</f>
        <v>#N/A</v>
      </c>
      <c r="F2121" s="142" t="e">
        <f>IF('Informe Kelly'!H2115=$A$3,'Informe Kelly'!F2115,VLOOKUP(D2121,$D$2:$F$4,3,FALSE))-(VLOOKUP(D2121,$D$2:$F$4,3,FALSE))</f>
        <v>#N/A</v>
      </c>
      <c r="G2121" s="137" t="e">
        <f t="shared" ref="G2121:G2184" si="37">IF(E2121="",IF(F2121&lt;0.0409722222222222,0,E2121),IF(E2121&lt;0.0409722222222222,0,E2121))</f>
        <v>#N/A</v>
      </c>
    </row>
    <row r="2122" spans="1:7">
      <c r="A2122" s="112" t="str">
        <f>VLOOKUP('Informe Kelly'!A2116,Base!A:B,2,FALSE)</f>
        <v>16.266.817-K</v>
      </c>
      <c r="B2122" s="112" t="str">
        <f>VLOOKUP('Informe Kelly'!A2116,Base!A:G,7,FALSE)</f>
        <v>PEREZ PADILLA RODRIGO ALEJANDRO</v>
      </c>
      <c r="C2122" s="112" t="str">
        <f>'Informe Kelly'!E2116</f>
        <v>08.04.2011</v>
      </c>
      <c r="D2122" s="112" t="e">
        <f>VLOOKUP(A2122,Ingreso!K:P,6,FALSE)</f>
        <v>#N/A</v>
      </c>
      <c r="E2122" s="142" t="e">
        <f>(VLOOKUP(D2122,$D$2:$E$4,2,FALSE))-(IF('Informe Kelly'!H2116=$A$2,'Informe Kelly'!F2116,VLOOKUP(D2122,$D$2:$E$4,2,FALSE)))</f>
        <v>#N/A</v>
      </c>
      <c r="F2122" s="142" t="e">
        <f>IF('Informe Kelly'!H2116=$A$3,'Informe Kelly'!F2116,VLOOKUP(D2122,$D$2:$F$4,3,FALSE))-(VLOOKUP(D2122,$D$2:$F$4,3,FALSE))</f>
        <v>#N/A</v>
      </c>
      <c r="G2122" s="137" t="e">
        <f t="shared" si="37"/>
        <v>#N/A</v>
      </c>
    </row>
    <row r="2123" spans="1:7">
      <c r="A2123" s="112" t="str">
        <f>VLOOKUP('Informe Kelly'!A2117,Base!A:B,2,FALSE)</f>
        <v>16.266.817-K</v>
      </c>
      <c r="B2123" s="112" t="str">
        <f>VLOOKUP('Informe Kelly'!A2117,Base!A:G,7,FALSE)</f>
        <v>PEREZ PADILLA RODRIGO ALEJANDRO</v>
      </c>
      <c r="C2123" s="112" t="str">
        <f>'Informe Kelly'!E2117</f>
        <v>08.04.2011</v>
      </c>
      <c r="D2123" s="112" t="e">
        <f>VLOOKUP(A2123,Ingreso!K:P,6,FALSE)</f>
        <v>#N/A</v>
      </c>
      <c r="E2123" s="142" t="e">
        <f>(VLOOKUP(D2123,$D$2:$E$4,2,FALSE))-(IF('Informe Kelly'!H2117=$A$2,'Informe Kelly'!F2117,VLOOKUP(D2123,$D$2:$E$4,2,FALSE)))</f>
        <v>#N/A</v>
      </c>
      <c r="F2123" s="142" t="e">
        <f>IF('Informe Kelly'!H2117=$A$3,'Informe Kelly'!F2117,VLOOKUP(D2123,$D$2:$F$4,3,FALSE))-(VLOOKUP(D2123,$D$2:$F$4,3,FALSE))</f>
        <v>#N/A</v>
      </c>
      <c r="G2123" s="137" t="e">
        <f t="shared" si="37"/>
        <v>#N/A</v>
      </c>
    </row>
    <row r="2124" spans="1:7">
      <c r="A2124" s="112" t="str">
        <f>VLOOKUP('Informe Kelly'!A2118,Base!A:B,2,FALSE)</f>
        <v>16.266.817-K</v>
      </c>
      <c r="B2124" s="112" t="str">
        <f>VLOOKUP('Informe Kelly'!A2118,Base!A:G,7,FALSE)</f>
        <v>PEREZ PADILLA RODRIGO ALEJANDRO</v>
      </c>
      <c r="C2124" s="112" t="str">
        <f>'Informe Kelly'!E2118</f>
        <v>09.04.2011</v>
      </c>
      <c r="D2124" s="112" t="e">
        <f>VLOOKUP(A2124,Ingreso!K:P,6,FALSE)</f>
        <v>#N/A</v>
      </c>
      <c r="E2124" s="142" t="e">
        <f>(VLOOKUP(D2124,$D$2:$E$4,2,FALSE))-(IF('Informe Kelly'!H2118=$A$2,'Informe Kelly'!F2118,VLOOKUP(D2124,$D$2:$E$4,2,FALSE)))</f>
        <v>#N/A</v>
      </c>
      <c r="F2124" s="142" t="e">
        <f>IF('Informe Kelly'!H2118=$A$3,'Informe Kelly'!F2118,VLOOKUP(D2124,$D$2:$F$4,3,FALSE))-(VLOOKUP(D2124,$D$2:$F$4,3,FALSE))</f>
        <v>#N/A</v>
      </c>
      <c r="G2124" s="137" t="e">
        <f t="shared" si="37"/>
        <v>#N/A</v>
      </c>
    </row>
    <row r="2125" spans="1:7">
      <c r="A2125" s="112" t="str">
        <f>VLOOKUP('Informe Kelly'!A2119,Base!A:B,2,FALSE)</f>
        <v>16.266.817-K</v>
      </c>
      <c r="B2125" s="112" t="str">
        <f>VLOOKUP('Informe Kelly'!A2119,Base!A:G,7,FALSE)</f>
        <v>PEREZ PADILLA RODRIGO ALEJANDRO</v>
      </c>
      <c r="C2125" s="112" t="str">
        <f>'Informe Kelly'!E2119</f>
        <v>09.04.2011</v>
      </c>
      <c r="D2125" s="112" t="e">
        <f>VLOOKUP(A2125,Ingreso!K:P,6,FALSE)</f>
        <v>#N/A</v>
      </c>
      <c r="E2125" s="142" t="e">
        <f>(VLOOKUP(D2125,$D$2:$E$4,2,FALSE))-(IF('Informe Kelly'!H2119=$A$2,'Informe Kelly'!F2119,VLOOKUP(D2125,$D$2:$E$4,2,FALSE)))</f>
        <v>#N/A</v>
      </c>
      <c r="F2125" s="142" t="e">
        <f>IF('Informe Kelly'!H2119=$A$3,'Informe Kelly'!F2119,VLOOKUP(D2125,$D$2:$F$4,3,FALSE))-(VLOOKUP(D2125,$D$2:$F$4,3,FALSE))</f>
        <v>#N/A</v>
      </c>
      <c r="G2125" s="137" t="e">
        <f t="shared" si="37"/>
        <v>#N/A</v>
      </c>
    </row>
    <row r="2126" spans="1:7">
      <c r="A2126" s="112" t="str">
        <f>VLOOKUP('Informe Kelly'!A2120,Base!A:B,2,FALSE)</f>
        <v>16.266.873-0</v>
      </c>
      <c r="B2126" s="112" t="str">
        <f>VLOOKUP('Informe Kelly'!A2120,Base!A:G,7,FALSE)</f>
        <v>MONTANARES MONTANARES CARLOS</v>
      </c>
      <c r="C2126" s="112" t="str">
        <f>'Informe Kelly'!E2120</f>
        <v>04.04.2011</v>
      </c>
      <c r="D2126" s="112" t="e">
        <f>VLOOKUP(A2126,Ingreso!K:P,6,FALSE)</f>
        <v>#N/A</v>
      </c>
      <c r="E2126" s="142" t="e">
        <f>(VLOOKUP(D2126,$D$2:$E$4,2,FALSE))-(IF('Informe Kelly'!H2120=$A$2,'Informe Kelly'!F2120,VLOOKUP(D2126,$D$2:$E$4,2,FALSE)))</f>
        <v>#N/A</v>
      </c>
      <c r="F2126" s="142" t="e">
        <f>IF('Informe Kelly'!H2120=$A$3,'Informe Kelly'!F2120,VLOOKUP(D2126,$D$2:$F$4,3,FALSE))-(VLOOKUP(D2126,$D$2:$F$4,3,FALSE))</f>
        <v>#N/A</v>
      </c>
      <c r="G2126" s="137" t="e">
        <f t="shared" si="37"/>
        <v>#N/A</v>
      </c>
    </row>
    <row r="2127" spans="1:7">
      <c r="A2127" s="112" t="str">
        <f>VLOOKUP('Informe Kelly'!A2121,Base!A:B,2,FALSE)</f>
        <v>16.266.873-0</v>
      </c>
      <c r="B2127" s="112" t="str">
        <f>VLOOKUP('Informe Kelly'!A2121,Base!A:G,7,FALSE)</f>
        <v>MONTANARES MONTANARES CARLOS</v>
      </c>
      <c r="C2127" s="112" t="str">
        <f>'Informe Kelly'!E2121</f>
        <v>04.04.2011</v>
      </c>
      <c r="D2127" s="112" t="e">
        <f>VLOOKUP(A2127,Ingreso!K:P,6,FALSE)</f>
        <v>#N/A</v>
      </c>
      <c r="E2127" s="142" t="e">
        <f>(VLOOKUP(D2127,$D$2:$E$4,2,FALSE))-(IF('Informe Kelly'!H2121=$A$2,'Informe Kelly'!F2121,VLOOKUP(D2127,$D$2:$E$4,2,FALSE)))</f>
        <v>#N/A</v>
      </c>
      <c r="F2127" s="142" t="e">
        <f>IF('Informe Kelly'!H2121=$A$3,'Informe Kelly'!F2121,VLOOKUP(D2127,$D$2:$F$4,3,FALSE))-(VLOOKUP(D2127,$D$2:$F$4,3,FALSE))</f>
        <v>#N/A</v>
      </c>
      <c r="G2127" s="137" t="e">
        <f t="shared" si="37"/>
        <v>#N/A</v>
      </c>
    </row>
    <row r="2128" spans="1:7">
      <c r="A2128" s="112" t="str">
        <f>VLOOKUP('Informe Kelly'!A2122,Base!A:B,2,FALSE)</f>
        <v>16.266.873-0</v>
      </c>
      <c r="B2128" s="112" t="str">
        <f>VLOOKUP('Informe Kelly'!A2122,Base!A:G,7,FALSE)</f>
        <v>MONTANARES MONTANARES CARLOS</v>
      </c>
      <c r="C2128" s="112" t="str">
        <f>'Informe Kelly'!E2122</f>
        <v>05.04.2011</v>
      </c>
      <c r="D2128" s="112" t="e">
        <f>VLOOKUP(A2128,Ingreso!K:P,6,FALSE)</f>
        <v>#N/A</v>
      </c>
      <c r="E2128" s="142" t="e">
        <f>(VLOOKUP(D2128,$D$2:$E$4,2,FALSE))-(IF('Informe Kelly'!H2122=$A$2,'Informe Kelly'!F2122,VLOOKUP(D2128,$D$2:$E$4,2,FALSE)))</f>
        <v>#N/A</v>
      </c>
      <c r="F2128" s="142" t="e">
        <f>IF('Informe Kelly'!H2122=$A$3,'Informe Kelly'!F2122,VLOOKUP(D2128,$D$2:$F$4,3,FALSE))-(VLOOKUP(D2128,$D$2:$F$4,3,FALSE))</f>
        <v>#N/A</v>
      </c>
      <c r="G2128" s="137" t="e">
        <f t="shared" si="37"/>
        <v>#N/A</v>
      </c>
    </row>
    <row r="2129" spans="1:7">
      <c r="A2129" s="112" t="str">
        <f>VLOOKUP('Informe Kelly'!A2123,Base!A:B,2,FALSE)</f>
        <v>16.266.873-0</v>
      </c>
      <c r="B2129" s="112" t="str">
        <f>VLOOKUP('Informe Kelly'!A2123,Base!A:G,7,FALSE)</f>
        <v>MONTANARES MONTANARES CARLOS</v>
      </c>
      <c r="C2129" s="112" t="str">
        <f>'Informe Kelly'!E2123</f>
        <v>05.04.2011</v>
      </c>
      <c r="D2129" s="112" t="e">
        <f>VLOOKUP(A2129,Ingreso!K:P,6,FALSE)</f>
        <v>#N/A</v>
      </c>
      <c r="E2129" s="142" t="e">
        <f>(VLOOKUP(D2129,$D$2:$E$4,2,FALSE))-(IF('Informe Kelly'!H2123=$A$2,'Informe Kelly'!F2123,VLOOKUP(D2129,$D$2:$E$4,2,FALSE)))</f>
        <v>#N/A</v>
      </c>
      <c r="F2129" s="142" t="e">
        <f>IF('Informe Kelly'!H2123=$A$3,'Informe Kelly'!F2123,VLOOKUP(D2129,$D$2:$F$4,3,FALSE))-(VLOOKUP(D2129,$D$2:$F$4,3,FALSE))</f>
        <v>#N/A</v>
      </c>
      <c r="G2129" s="137" t="e">
        <f t="shared" si="37"/>
        <v>#N/A</v>
      </c>
    </row>
    <row r="2130" spans="1:7">
      <c r="A2130" s="112" t="str">
        <f>VLOOKUP('Informe Kelly'!A2124,Base!A:B,2,FALSE)</f>
        <v>16.266.873-0</v>
      </c>
      <c r="B2130" s="112" t="str">
        <f>VLOOKUP('Informe Kelly'!A2124,Base!A:G,7,FALSE)</f>
        <v>MONTANARES MONTANARES CARLOS</v>
      </c>
      <c r="C2130" s="112" t="str">
        <f>'Informe Kelly'!E2124</f>
        <v>06.04.2011</v>
      </c>
      <c r="D2130" s="112" t="e">
        <f>VLOOKUP(A2130,Ingreso!K:P,6,FALSE)</f>
        <v>#N/A</v>
      </c>
      <c r="E2130" s="142" t="e">
        <f>(VLOOKUP(D2130,$D$2:$E$4,2,FALSE))-(IF('Informe Kelly'!H2124=$A$2,'Informe Kelly'!F2124,VLOOKUP(D2130,$D$2:$E$4,2,FALSE)))</f>
        <v>#N/A</v>
      </c>
      <c r="F2130" s="142" t="e">
        <f>IF('Informe Kelly'!H2124=$A$3,'Informe Kelly'!F2124,VLOOKUP(D2130,$D$2:$F$4,3,FALSE))-(VLOOKUP(D2130,$D$2:$F$4,3,FALSE))</f>
        <v>#N/A</v>
      </c>
      <c r="G2130" s="137" t="e">
        <f t="shared" si="37"/>
        <v>#N/A</v>
      </c>
    </row>
    <row r="2131" spans="1:7">
      <c r="A2131" s="112" t="str">
        <f>VLOOKUP('Informe Kelly'!A2125,Base!A:B,2,FALSE)</f>
        <v>16.266.873-0</v>
      </c>
      <c r="B2131" s="112" t="str">
        <f>VLOOKUP('Informe Kelly'!A2125,Base!A:G,7,FALSE)</f>
        <v>MONTANARES MONTANARES CARLOS</v>
      </c>
      <c r="C2131" s="112" t="str">
        <f>'Informe Kelly'!E2125</f>
        <v>06.04.2011</v>
      </c>
      <c r="D2131" s="112" t="e">
        <f>VLOOKUP(A2131,Ingreso!K:P,6,FALSE)</f>
        <v>#N/A</v>
      </c>
      <c r="E2131" s="142" t="e">
        <f>(VLOOKUP(D2131,$D$2:$E$4,2,FALSE))-(IF('Informe Kelly'!H2125=$A$2,'Informe Kelly'!F2125,VLOOKUP(D2131,$D$2:$E$4,2,FALSE)))</f>
        <v>#N/A</v>
      </c>
      <c r="F2131" s="142" t="e">
        <f>IF('Informe Kelly'!H2125=$A$3,'Informe Kelly'!F2125,VLOOKUP(D2131,$D$2:$F$4,3,FALSE))-(VLOOKUP(D2131,$D$2:$F$4,3,FALSE))</f>
        <v>#N/A</v>
      </c>
      <c r="G2131" s="137" t="e">
        <f t="shared" si="37"/>
        <v>#N/A</v>
      </c>
    </row>
    <row r="2132" spans="1:7">
      <c r="A2132" s="112" t="str">
        <f>VLOOKUP('Informe Kelly'!A2126,Base!A:B,2,FALSE)</f>
        <v>16.266.873-0</v>
      </c>
      <c r="B2132" s="112" t="str">
        <f>VLOOKUP('Informe Kelly'!A2126,Base!A:G,7,FALSE)</f>
        <v>MONTANARES MONTANARES CARLOS</v>
      </c>
      <c r="C2132" s="112" t="str">
        <f>'Informe Kelly'!E2126</f>
        <v>07.04.2011</v>
      </c>
      <c r="D2132" s="112" t="e">
        <f>VLOOKUP(A2132,Ingreso!K:P,6,FALSE)</f>
        <v>#N/A</v>
      </c>
      <c r="E2132" s="142" t="e">
        <f>(VLOOKUP(D2132,$D$2:$E$4,2,FALSE))-(IF('Informe Kelly'!H2126=$A$2,'Informe Kelly'!F2126,VLOOKUP(D2132,$D$2:$E$4,2,FALSE)))</f>
        <v>#N/A</v>
      </c>
      <c r="F2132" s="142" t="e">
        <f>IF('Informe Kelly'!H2126=$A$3,'Informe Kelly'!F2126,VLOOKUP(D2132,$D$2:$F$4,3,FALSE))-(VLOOKUP(D2132,$D$2:$F$4,3,FALSE))</f>
        <v>#N/A</v>
      </c>
      <c r="G2132" s="137" t="e">
        <f t="shared" si="37"/>
        <v>#N/A</v>
      </c>
    </row>
    <row r="2133" spans="1:7">
      <c r="A2133" s="112" t="str">
        <f>VLOOKUP('Informe Kelly'!A2127,Base!A:B,2,FALSE)</f>
        <v>16.266.873-0</v>
      </c>
      <c r="B2133" s="112" t="str">
        <f>VLOOKUP('Informe Kelly'!A2127,Base!A:G,7,FALSE)</f>
        <v>MONTANARES MONTANARES CARLOS</v>
      </c>
      <c r="C2133" s="112" t="str">
        <f>'Informe Kelly'!E2127</f>
        <v>08.04.2011</v>
      </c>
      <c r="D2133" s="112" t="e">
        <f>VLOOKUP(A2133,Ingreso!K:P,6,FALSE)</f>
        <v>#N/A</v>
      </c>
      <c r="E2133" s="142" t="e">
        <f>(VLOOKUP(D2133,$D$2:$E$4,2,FALSE))-(IF('Informe Kelly'!H2127=$A$2,'Informe Kelly'!F2127,VLOOKUP(D2133,$D$2:$E$4,2,FALSE)))</f>
        <v>#N/A</v>
      </c>
      <c r="F2133" s="142" t="e">
        <f>IF('Informe Kelly'!H2127=$A$3,'Informe Kelly'!F2127,VLOOKUP(D2133,$D$2:$F$4,3,FALSE))-(VLOOKUP(D2133,$D$2:$F$4,3,FALSE))</f>
        <v>#N/A</v>
      </c>
      <c r="G2133" s="137" t="e">
        <f t="shared" si="37"/>
        <v>#N/A</v>
      </c>
    </row>
    <row r="2134" spans="1:7">
      <c r="A2134" s="112" t="str">
        <f>VLOOKUP('Informe Kelly'!A2128,Base!A:B,2,FALSE)</f>
        <v>16.266.873-0</v>
      </c>
      <c r="B2134" s="112" t="str">
        <f>VLOOKUP('Informe Kelly'!A2128,Base!A:G,7,FALSE)</f>
        <v>MONTANARES MONTANARES CARLOS</v>
      </c>
      <c r="C2134" s="112" t="str">
        <f>'Informe Kelly'!E2128</f>
        <v>08.04.2011</v>
      </c>
      <c r="D2134" s="112" t="e">
        <f>VLOOKUP(A2134,Ingreso!K:P,6,FALSE)</f>
        <v>#N/A</v>
      </c>
      <c r="E2134" s="142" t="e">
        <f>(VLOOKUP(D2134,$D$2:$E$4,2,FALSE))-(IF('Informe Kelly'!H2128=$A$2,'Informe Kelly'!F2128,VLOOKUP(D2134,$D$2:$E$4,2,FALSE)))</f>
        <v>#N/A</v>
      </c>
      <c r="F2134" s="142" t="e">
        <f>IF('Informe Kelly'!H2128=$A$3,'Informe Kelly'!F2128,VLOOKUP(D2134,$D$2:$F$4,3,FALSE))-(VLOOKUP(D2134,$D$2:$F$4,3,FALSE))</f>
        <v>#N/A</v>
      </c>
      <c r="G2134" s="137" t="e">
        <f t="shared" si="37"/>
        <v>#N/A</v>
      </c>
    </row>
    <row r="2135" spans="1:7">
      <c r="A2135" s="112" t="str">
        <f>VLOOKUP('Informe Kelly'!A2129,Base!A:B,2,FALSE)</f>
        <v>16.267.560-5</v>
      </c>
      <c r="B2135" s="112" t="str">
        <f>VLOOKUP('Informe Kelly'!A2129,Base!A:G,7,FALSE)</f>
        <v xml:space="preserve">VICENCIO ALVEAR BRAULIO </v>
      </c>
      <c r="C2135" s="112" t="str">
        <f>'Informe Kelly'!E2129</f>
        <v>04.04.2011</v>
      </c>
      <c r="D2135" s="112" t="e">
        <f>VLOOKUP(A2135,Ingreso!K:P,6,FALSE)</f>
        <v>#N/A</v>
      </c>
      <c r="E2135" s="142" t="e">
        <f>(VLOOKUP(D2135,$D$2:$E$4,2,FALSE))-(IF('Informe Kelly'!H2129=$A$2,'Informe Kelly'!F2129,VLOOKUP(D2135,$D$2:$E$4,2,FALSE)))</f>
        <v>#N/A</v>
      </c>
      <c r="F2135" s="142" t="e">
        <f>IF('Informe Kelly'!H2129=$A$3,'Informe Kelly'!F2129,VLOOKUP(D2135,$D$2:$F$4,3,FALSE))-(VLOOKUP(D2135,$D$2:$F$4,3,FALSE))</f>
        <v>#N/A</v>
      </c>
      <c r="G2135" s="137" t="e">
        <f t="shared" si="37"/>
        <v>#N/A</v>
      </c>
    </row>
    <row r="2136" spans="1:7">
      <c r="A2136" s="112" t="str">
        <f>VLOOKUP('Informe Kelly'!A2130,Base!A:B,2,FALSE)</f>
        <v>16.267.560-5</v>
      </c>
      <c r="B2136" s="112" t="str">
        <f>VLOOKUP('Informe Kelly'!A2130,Base!A:G,7,FALSE)</f>
        <v xml:space="preserve">VICENCIO ALVEAR BRAULIO </v>
      </c>
      <c r="C2136" s="112" t="str">
        <f>'Informe Kelly'!E2130</f>
        <v>04.04.2011</v>
      </c>
      <c r="D2136" s="112" t="e">
        <f>VLOOKUP(A2136,Ingreso!K:P,6,FALSE)</f>
        <v>#N/A</v>
      </c>
      <c r="E2136" s="142" t="e">
        <f>(VLOOKUP(D2136,$D$2:$E$4,2,FALSE))-(IF('Informe Kelly'!H2130=$A$2,'Informe Kelly'!F2130,VLOOKUP(D2136,$D$2:$E$4,2,FALSE)))</f>
        <v>#N/A</v>
      </c>
      <c r="F2136" s="142" t="e">
        <f>IF('Informe Kelly'!H2130=$A$3,'Informe Kelly'!F2130,VLOOKUP(D2136,$D$2:$F$4,3,FALSE))-(VLOOKUP(D2136,$D$2:$F$4,3,FALSE))</f>
        <v>#N/A</v>
      </c>
      <c r="G2136" s="137" t="e">
        <f t="shared" si="37"/>
        <v>#N/A</v>
      </c>
    </row>
    <row r="2137" spans="1:7">
      <c r="A2137" s="112" t="str">
        <f>VLOOKUP('Informe Kelly'!A2131,Base!A:B,2,FALSE)</f>
        <v>16.267.560-5</v>
      </c>
      <c r="B2137" s="112" t="str">
        <f>VLOOKUP('Informe Kelly'!A2131,Base!A:G,7,FALSE)</f>
        <v xml:space="preserve">VICENCIO ALVEAR BRAULIO </v>
      </c>
      <c r="C2137" s="112" t="str">
        <f>'Informe Kelly'!E2131</f>
        <v>05.04.2011</v>
      </c>
      <c r="D2137" s="112" t="e">
        <f>VLOOKUP(A2137,Ingreso!K:P,6,FALSE)</f>
        <v>#N/A</v>
      </c>
      <c r="E2137" s="142" t="e">
        <f>(VLOOKUP(D2137,$D$2:$E$4,2,FALSE))-(IF('Informe Kelly'!H2131=$A$2,'Informe Kelly'!F2131,VLOOKUP(D2137,$D$2:$E$4,2,FALSE)))</f>
        <v>#N/A</v>
      </c>
      <c r="F2137" s="142" t="e">
        <f>IF('Informe Kelly'!H2131=$A$3,'Informe Kelly'!F2131,VLOOKUP(D2137,$D$2:$F$4,3,FALSE))-(VLOOKUP(D2137,$D$2:$F$4,3,FALSE))</f>
        <v>#N/A</v>
      </c>
      <c r="G2137" s="137" t="e">
        <f t="shared" si="37"/>
        <v>#N/A</v>
      </c>
    </row>
    <row r="2138" spans="1:7">
      <c r="A2138" s="112" t="str">
        <f>VLOOKUP('Informe Kelly'!A2132,Base!A:B,2,FALSE)</f>
        <v>16.267.560-5</v>
      </c>
      <c r="B2138" s="112" t="str">
        <f>VLOOKUP('Informe Kelly'!A2132,Base!A:G,7,FALSE)</f>
        <v xml:space="preserve">VICENCIO ALVEAR BRAULIO </v>
      </c>
      <c r="C2138" s="112" t="str">
        <f>'Informe Kelly'!E2132</f>
        <v>05.04.2011</v>
      </c>
      <c r="D2138" s="112" t="e">
        <f>VLOOKUP(A2138,Ingreso!K:P,6,FALSE)</f>
        <v>#N/A</v>
      </c>
      <c r="E2138" s="142" t="e">
        <f>(VLOOKUP(D2138,$D$2:$E$4,2,FALSE))-(IF('Informe Kelly'!H2132=$A$2,'Informe Kelly'!F2132,VLOOKUP(D2138,$D$2:$E$4,2,FALSE)))</f>
        <v>#N/A</v>
      </c>
      <c r="F2138" s="142" t="e">
        <f>IF('Informe Kelly'!H2132=$A$3,'Informe Kelly'!F2132,VLOOKUP(D2138,$D$2:$F$4,3,FALSE))-(VLOOKUP(D2138,$D$2:$F$4,3,FALSE))</f>
        <v>#N/A</v>
      </c>
      <c r="G2138" s="137" t="e">
        <f t="shared" si="37"/>
        <v>#N/A</v>
      </c>
    </row>
    <row r="2139" spans="1:7">
      <c r="A2139" s="112" t="str">
        <f>VLOOKUP('Informe Kelly'!A2133,Base!A:B,2,FALSE)</f>
        <v>16.267.560-5</v>
      </c>
      <c r="B2139" s="112" t="str">
        <f>VLOOKUP('Informe Kelly'!A2133,Base!A:G,7,FALSE)</f>
        <v xml:space="preserve">VICENCIO ALVEAR BRAULIO </v>
      </c>
      <c r="C2139" s="112" t="str">
        <f>'Informe Kelly'!E2133</f>
        <v>06.04.2011</v>
      </c>
      <c r="D2139" s="112" t="e">
        <f>VLOOKUP(A2139,Ingreso!K:P,6,FALSE)</f>
        <v>#N/A</v>
      </c>
      <c r="E2139" s="142" t="e">
        <f>(VLOOKUP(D2139,$D$2:$E$4,2,FALSE))-(IF('Informe Kelly'!H2133=$A$2,'Informe Kelly'!F2133,VLOOKUP(D2139,$D$2:$E$4,2,FALSE)))</f>
        <v>#N/A</v>
      </c>
      <c r="F2139" s="142" t="e">
        <f>IF('Informe Kelly'!H2133=$A$3,'Informe Kelly'!F2133,VLOOKUP(D2139,$D$2:$F$4,3,FALSE))-(VLOOKUP(D2139,$D$2:$F$4,3,FALSE))</f>
        <v>#N/A</v>
      </c>
      <c r="G2139" s="137" t="e">
        <f t="shared" si="37"/>
        <v>#N/A</v>
      </c>
    </row>
    <row r="2140" spans="1:7">
      <c r="A2140" s="112" t="str">
        <f>VLOOKUP('Informe Kelly'!A2134,Base!A:B,2,FALSE)</f>
        <v>16.267.560-5</v>
      </c>
      <c r="B2140" s="112" t="str">
        <f>VLOOKUP('Informe Kelly'!A2134,Base!A:G,7,FALSE)</f>
        <v xml:space="preserve">VICENCIO ALVEAR BRAULIO </v>
      </c>
      <c r="C2140" s="112" t="str">
        <f>'Informe Kelly'!E2134</f>
        <v>06.04.2011</v>
      </c>
      <c r="D2140" s="112" t="e">
        <f>VLOOKUP(A2140,Ingreso!K:P,6,FALSE)</f>
        <v>#N/A</v>
      </c>
      <c r="E2140" s="142" t="e">
        <f>(VLOOKUP(D2140,$D$2:$E$4,2,FALSE))-(IF('Informe Kelly'!H2134=$A$2,'Informe Kelly'!F2134,VLOOKUP(D2140,$D$2:$E$4,2,FALSE)))</f>
        <v>#N/A</v>
      </c>
      <c r="F2140" s="142" t="e">
        <f>IF('Informe Kelly'!H2134=$A$3,'Informe Kelly'!F2134,VLOOKUP(D2140,$D$2:$F$4,3,FALSE))-(VLOOKUP(D2140,$D$2:$F$4,3,FALSE))</f>
        <v>#N/A</v>
      </c>
      <c r="G2140" s="137" t="e">
        <f t="shared" si="37"/>
        <v>#N/A</v>
      </c>
    </row>
    <row r="2141" spans="1:7">
      <c r="A2141" s="112" t="str">
        <f>VLOOKUP('Informe Kelly'!A2135,Base!A:B,2,FALSE)</f>
        <v>16.267.560-5</v>
      </c>
      <c r="B2141" s="112" t="str">
        <f>VLOOKUP('Informe Kelly'!A2135,Base!A:G,7,FALSE)</f>
        <v xml:space="preserve">VICENCIO ALVEAR BRAULIO </v>
      </c>
      <c r="C2141" s="112" t="str">
        <f>'Informe Kelly'!E2135</f>
        <v>07.04.2011</v>
      </c>
      <c r="D2141" s="112" t="e">
        <f>VLOOKUP(A2141,Ingreso!K:P,6,FALSE)</f>
        <v>#N/A</v>
      </c>
      <c r="E2141" s="142" t="e">
        <f>(VLOOKUP(D2141,$D$2:$E$4,2,FALSE))-(IF('Informe Kelly'!H2135=$A$2,'Informe Kelly'!F2135,VLOOKUP(D2141,$D$2:$E$4,2,FALSE)))</f>
        <v>#N/A</v>
      </c>
      <c r="F2141" s="142" t="e">
        <f>IF('Informe Kelly'!H2135=$A$3,'Informe Kelly'!F2135,VLOOKUP(D2141,$D$2:$F$4,3,FALSE))-(VLOOKUP(D2141,$D$2:$F$4,3,FALSE))</f>
        <v>#N/A</v>
      </c>
      <c r="G2141" s="137" t="e">
        <f t="shared" si="37"/>
        <v>#N/A</v>
      </c>
    </row>
    <row r="2142" spans="1:7">
      <c r="A2142" s="112" t="str">
        <f>VLOOKUP('Informe Kelly'!A2136,Base!A:B,2,FALSE)</f>
        <v>16.267.560-5</v>
      </c>
      <c r="B2142" s="112" t="str">
        <f>VLOOKUP('Informe Kelly'!A2136,Base!A:G,7,FALSE)</f>
        <v xml:space="preserve">VICENCIO ALVEAR BRAULIO </v>
      </c>
      <c r="C2142" s="112" t="str">
        <f>'Informe Kelly'!E2136</f>
        <v>07.04.2011</v>
      </c>
      <c r="D2142" s="112" t="e">
        <f>VLOOKUP(A2142,Ingreso!K:P,6,FALSE)</f>
        <v>#N/A</v>
      </c>
      <c r="E2142" s="142" t="e">
        <f>(VLOOKUP(D2142,$D$2:$E$4,2,FALSE))-(IF('Informe Kelly'!H2136=$A$2,'Informe Kelly'!F2136,VLOOKUP(D2142,$D$2:$E$4,2,FALSE)))</f>
        <v>#N/A</v>
      </c>
      <c r="F2142" s="142" t="e">
        <f>IF('Informe Kelly'!H2136=$A$3,'Informe Kelly'!F2136,VLOOKUP(D2142,$D$2:$F$4,3,FALSE))-(VLOOKUP(D2142,$D$2:$F$4,3,FALSE))</f>
        <v>#N/A</v>
      </c>
      <c r="G2142" s="137" t="e">
        <f t="shared" si="37"/>
        <v>#N/A</v>
      </c>
    </row>
    <row r="2143" spans="1:7">
      <c r="A2143" s="112" t="str">
        <f>VLOOKUP('Informe Kelly'!A2137,Base!A:B,2,FALSE)</f>
        <v>16.267.560-5</v>
      </c>
      <c r="B2143" s="112" t="str">
        <f>VLOOKUP('Informe Kelly'!A2137,Base!A:G,7,FALSE)</f>
        <v xml:space="preserve">VICENCIO ALVEAR BRAULIO </v>
      </c>
      <c r="C2143" s="112" t="str">
        <f>'Informe Kelly'!E2137</f>
        <v>08.04.2011</v>
      </c>
      <c r="D2143" s="112" t="e">
        <f>VLOOKUP(A2143,Ingreso!K:P,6,FALSE)</f>
        <v>#N/A</v>
      </c>
      <c r="E2143" s="142" t="e">
        <f>(VLOOKUP(D2143,$D$2:$E$4,2,FALSE))-(IF('Informe Kelly'!H2137=$A$2,'Informe Kelly'!F2137,VLOOKUP(D2143,$D$2:$E$4,2,FALSE)))</f>
        <v>#N/A</v>
      </c>
      <c r="F2143" s="142" t="e">
        <f>IF('Informe Kelly'!H2137=$A$3,'Informe Kelly'!F2137,VLOOKUP(D2143,$D$2:$F$4,3,FALSE))-(VLOOKUP(D2143,$D$2:$F$4,3,FALSE))</f>
        <v>#N/A</v>
      </c>
      <c r="G2143" s="137" t="e">
        <f t="shared" si="37"/>
        <v>#N/A</v>
      </c>
    </row>
    <row r="2144" spans="1:7">
      <c r="A2144" s="112" t="str">
        <f>VLOOKUP('Informe Kelly'!A2138,Base!A:B,2,FALSE)</f>
        <v>16.267.560-5</v>
      </c>
      <c r="B2144" s="112" t="str">
        <f>VLOOKUP('Informe Kelly'!A2138,Base!A:G,7,FALSE)</f>
        <v xml:space="preserve">VICENCIO ALVEAR BRAULIO </v>
      </c>
      <c r="C2144" s="112" t="str">
        <f>'Informe Kelly'!E2138</f>
        <v>08.04.2011</v>
      </c>
      <c r="D2144" s="112" t="e">
        <f>VLOOKUP(A2144,Ingreso!K:P,6,FALSE)</f>
        <v>#N/A</v>
      </c>
      <c r="E2144" s="142" t="e">
        <f>(VLOOKUP(D2144,$D$2:$E$4,2,FALSE))-(IF('Informe Kelly'!H2138=$A$2,'Informe Kelly'!F2138,VLOOKUP(D2144,$D$2:$E$4,2,FALSE)))</f>
        <v>#N/A</v>
      </c>
      <c r="F2144" s="142" t="e">
        <f>IF('Informe Kelly'!H2138=$A$3,'Informe Kelly'!F2138,VLOOKUP(D2144,$D$2:$F$4,3,FALSE))-(VLOOKUP(D2144,$D$2:$F$4,3,FALSE))</f>
        <v>#N/A</v>
      </c>
      <c r="G2144" s="137" t="e">
        <f t="shared" si="37"/>
        <v>#N/A</v>
      </c>
    </row>
    <row r="2145" spans="1:7">
      <c r="A2145" s="112" t="str">
        <f>VLOOKUP('Informe Kelly'!A2139,Base!A:B,2,FALSE)</f>
        <v>16.267.560-5</v>
      </c>
      <c r="B2145" s="112" t="str">
        <f>VLOOKUP('Informe Kelly'!A2139,Base!A:G,7,FALSE)</f>
        <v xml:space="preserve">VICENCIO ALVEAR BRAULIO </v>
      </c>
      <c r="C2145" s="112" t="str">
        <f>'Informe Kelly'!E2139</f>
        <v>09.04.2011</v>
      </c>
      <c r="D2145" s="112" t="e">
        <f>VLOOKUP(A2145,Ingreso!K:P,6,FALSE)</f>
        <v>#N/A</v>
      </c>
      <c r="E2145" s="142" t="e">
        <f>(VLOOKUP(D2145,$D$2:$E$4,2,FALSE))-(IF('Informe Kelly'!H2139=$A$2,'Informe Kelly'!F2139,VLOOKUP(D2145,$D$2:$E$4,2,FALSE)))</f>
        <v>#N/A</v>
      </c>
      <c r="F2145" s="142" t="e">
        <f>IF('Informe Kelly'!H2139=$A$3,'Informe Kelly'!F2139,VLOOKUP(D2145,$D$2:$F$4,3,FALSE))-(VLOOKUP(D2145,$D$2:$F$4,3,FALSE))</f>
        <v>#N/A</v>
      </c>
      <c r="G2145" s="137" t="e">
        <f t="shared" si="37"/>
        <v>#N/A</v>
      </c>
    </row>
    <row r="2146" spans="1:7">
      <c r="A2146" s="112" t="str">
        <f>VLOOKUP('Informe Kelly'!A2140,Base!A:B,2,FALSE)</f>
        <v>16.267.560-5</v>
      </c>
      <c r="B2146" s="112" t="str">
        <f>VLOOKUP('Informe Kelly'!A2140,Base!A:G,7,FALSE)</f>
        <v xml:space="preserve">VICENCIO ALVEAR BRAULIO </v>
      </c>
      <c r="C2146" s="112" t="str">
        <f>'Informe Kelly'!E2140</f>
        <v>09.04.2011</v>
      </c>
      <c r="D2146" s="112" t="e">
        <f>VLOOKUP(A2146,Ingreso!K:P,6,FALSE)</f>
        <v>#N/A</v>
      </c>
      <c r="E2146" s="142" t="e">
        <f>(VLOOKUP(D2146,$D$2:$E$4,2,FALSE))-(IF('Informe Kelly'!H2140=$A$2,'Informe Kelly'!F2140,VLOOKUP(D2146,$D$2:$E$4,2,FALSE)))</f>
        <v>#N/A</v>
      </c>
      <c r="F2146" s="142" t="e">
        <f>IF('Informe Kelly'!H2140=$A$3,'Informe Kelly'!F2140,VLOOKUP(D2146,$D$2:$F$4,3,FALSE))-(VLOOKUP(D2146,$D$2:$F$4,3,FALSE))</f>
        <v>#N/A</v>
      </c>
      <c r="G2146" s="137" t="e">
        <f t="shared" si="37"/>
        <v>#N/A</v>
      </c>
    </row>
    <row r="2147" spans="1:7">
      <c r="A2147" s="112" t="str">
        <f>VLOOKUP('Informe Kelly'!A2141,Base!A:B,2,FALSE)</f>
        <v>16.268.829-4</v>
      </c>
      <c r="B2147" s="112" t="str">
        <f>VLOOKUP('Informe Kelly'!A2141,Base!A:G,7,FALSE)</f>
        <v>MORALES DIAZ SLBERTO</v>
      </c>
      <c r="C2147" s="112" t="str">
        <f>'Informe Kelly'!E2141</f>
        <v>04.04.2011</v>
      </c>
      <c r="D2147" s="112" t="e">
        <f>VLOOKUP(A2147,Ingreso!K:P,6,FALSE)</f>
        <v>#N/A</v>
      </c>
      <c r="E2147" s="142" t="e">
        <f>(VLOOKUP(D2147,$D$2:$E$4,2,FALSE))-(IF('Informe Kelly'!H2141=$A$2,'Informe Kelly'!F2141,VLOOKUP(D2147,$D$2:$E$4,2,FALSE)))</f>
        <v>#N/A</v>
      </c>
      <c r="F2147" s="142" t="e">
        <f>IF('Informe Kelly'!H2141=$A$3,'Informe Kelly'!F2141,VLOOKUP(D2147,$D$2:$F$4,3,FALSE))-(VLOOKUP(D2147,$D$2:$F$4,3,FALSE))</f>
        <v>#N/A</v>
      </c>
      <c r="G2147" s="137" t="e">
        <f t="shared" si="37"/>
        <v>#N/A</v>
      </c>
    </row>
    <row r="2148" spans="1:7">
      <c r="A2148" s="112" t="str">
        <f>VLOOKUP('Informe Kelly'!A2142,Base!A:B,2,FALSE)</f>
        <v>16.268.829-4</v>
      </c>
      <c r="B2148" s="112" t="str">
        <f>VLOOKUP('Informe Kelly'!A2142,Base!A:G,7,FALSE)</f>
        <v>MORALES DIAZ SLBERTO</v>
      </c>
      <c r="C2148" s="112" t="str">
        <f>'Informe Kelly'!E2142</f>
        <v>05.04.2011</v>
      </c>
      <c r="D2148" s="112" t="e">
        <f>VLOOKUP(A2148,Ingreso!K:P,6,FALSE)</f>
        <v>#N/A</v>
      </c>
      <c r="E2148" s="142" t="e">
        <f>(VLOOKUP(D2148,$D$2:$E$4,2,FALSE))-(IF('Informe Kelly'!H2142=$A$2,'Informe Kelly'!F2142,VLOOKUP(D2148,$D$2:$E$4,2,FALSE)))</f>
        <v>#N/A</v>
      </c>
      <c r="F2148" s="142" t="e">
        <f>IF('Informe Kelly'!H2142=$A$3,'Informe Kelly'!F2142,VLOOKUP(D2148,$D$2:$F$4,3,FALSE))-(VLOOKUP(D2148,$D$2:$F$4,3,FALSE))</f>
        <v>#N/A</v>
      </c>
      <c r="G2148" s="137" t="e">
        <f t="shared" si="37"/>
        <v>#N/A</v>
      </c>
    </row>
    <row r="2149" spans="1:7">
      <c r="A2149" s="112" t="str">
        <f>VLOOKUP('Informe Kelly'!A2143,Base!A:B,2,FALSE)</f>
        <v>16.268.829-4</v>
      </c>
      <c r="B2149" s="112" t="str">
        <f>VLOOKUP('Informe Kelly'!A2143,Base!A:G,7,FALSE)</f>
        <v>MORALES DIAZ SLBERTO</v>
      </c>
      <c r="C2149" s="112" t="str">
        <f>'Informe Kelly'!E2143</f>
        <v>05.04.2011</v>
      </c>
      <c r="D2149" s="112" t="e">
        <f>VLOOKUP(A2149,Ingreso!K:P,6,FALSE)</f>
        <v>#N/A</v>
      </c>
      <c r="E2149" s="142" t="e">
        <f>(VLOOKUP(D2149,$D$2:$E$4,2,FALSE))-(IF('Informe Kelly'!H2143=$A$2,'Informe Kelly'!F2143,VLOOKUP(D2149,$D$2:$E$4,2,FALSE)))</f>
        <v>#N/A</v>
      </c>
      <c r="F2149" s="142" t="e">
        <f>IF('Informe Kelly'!H2143=$A$3,'Informe Kelly'!F2143,VLOOKUP(D2149,$D$2:$F$4,3,FALSE))-(VLOOKUP(D2149,$D$2:$F$4,3,FALSE))</f>
        <v>#N/A</v>
      </c>
      <c r="G2149" s="137" t="e">
        <f t="shared" si="37"/>
        <v>#N/A</v>
      </c>
    </row>
    <row r="2150" spans="1:7">
      <c r="A2150" s="112" t="str">
        <f>VLOOKUP('Informe Kelly'!A2144,Base!A:B,2,FALSE)</f>
        <v>16.268.829-4</v>
      </c>
      <c r="B2150" s="112" t="str">
        <f>VLOOKUP('Informe Kelly'!A2144,Base!A:G,7,FALSE)</f>
        <v>MORALES DIAZ SLBERTO</v>
      </c>
      <c r="C2150" s="112" t="str">
        <f>'Informe Kelly'!E2144</f>
        <v>06.04.2011</v>
      </c>
      <c r="D2150" s="112" t="e">
        <f>VLOOKUP(A2150,Ingreso!K:P,6,FALSE)</f>
        <v>#N/A</v>
      </c>
      <c r="E2150" s="142" t="e">
        <f>(VLOOKUP(D2150,$D$2:$E$4,2,FALSE))-(IF('Informe Kelly'!H2144=$A$2,'Informe Kelly'!F2144,VLOOKUP(D2150,$D$2:$E$4,2,FALSE)))</f>
        <v>#N/A</v>
      </c>
      <c r="F2150" s="142" t="e">
        <f>IF('Informe Kelly'!H2144=$A$3,'Informe Kelly'!F2144,VLOOKUP(D2150,$D$2:$F$4,3,FALSE))-(VLOOKUP(D2150,$D$2:$F$4,3,FALSE))</f>
        <v>#N/A</v>
      </c>
      <c r="G2150" s="137" t="e">
        <f t="shared" si="37"/>
        <v>#N/A</v>
      </c>
    </row>
    <row r="2151" spans="1:7">
      <c r="A2151" s="112" t="str">
        <f>VLOOKUP('Informe Kelly'!A2145,Base!A:B,2,FALSE)</f>
        <v>16.268.829-4</v>
      </c>
      <c r="B2151" s="112" t="str">
        <f>VLOOKUP('Informe Kelly'!A2145,Base!A:G,7,FALSE)</f>
        <v>MORALES DIAZ SLBERTO</v>
      </c>
      <c r="C2151" s="112" t="str">
        <f>'Informe Kelly'!E2145</f>
        <v>06.04.2011</v>
      </c>
      <c r="D2151" s="112" t="e">
        <f>VLOOKUP(A2151,Ingreso!K:P,6,FALSE)</f>
        <v>#N/A</v>
      </c>
      <c r="E2151" s="142" t="e">
        <f>(VLOOKUP(D2151,$D$2:$E$4,2,FALSE))-(IF('Informe Kelly'!H2145=$A$2,'Informe Kelly'!F2145,VLOOKUP(D2151,$D$2:$E$4,2,FALSE)))</f>
        <v>#N/A</v>
      </c>
      <c r="F2151" s="142" t="e">
        <f>IF('Informe Kelly'!H2145=$A$3,'Informe Kelly'!F2145,VLOOKUP(D2151,$D$2:$F$4,3,FALSE))-(VLOOKUP(D2151,$D$2:$F$4,3,FALSE))</f>
        <v>#N/A</v>
      </c>
      <c r="G2151" s="137" t="e">
        <f t="shared" si="37"/>
        <v>#N/A</v>
      </c>
    </row>
    <row r="2152" spans="1:7">
      <c r="A2152" s="112" t="str">
        <f>VLOOKUP('Informe Kelly'!A2146,Base!A:B,2,FALSE)</f>
        <v>16.268.829-4</v>
      </c>
      <c r="B2152" s="112" t="str">
        <f>VLOOKUP('Informe Kelly'!A2146,Base!A:G,7,FALSE)</f>
        <v>MORALES DIAZ SLBERTO</v>
      </c>
      <c r="C2152" s="112" t="str">
        <f>'Informe Kelly'!E2146</f>
        <v>07.04.2011</v>
      </c>
      <c r="D2152" s="112" t="e">
        <f>VLOOKUP(A2152,Ingreso!K:P,6,FALSE)</f>
        <v>#N/A</v>
      </c>
      <c r="E2152" s="142" t="e">
        <f>(VLOOKUP(D2152,$D$2:$E$4,2,FALSE))-(IF('Informe Kelly'!H2146=$A$2,'Informe Kelly'!F2146,VLOOKUP(D2152,$D$2:$E$4,2,FALSE)))</f>
        <v>#N/A</v>
      </c>
      <c r="F2152" s="142" t="e">
        <f>IF('Informe Kelly'!H2146=$A$3,'Informe Kelly'!F2146,VLOOKUP(D2152,$D$2:$F$4,3,FALSE))-(VLOOKUP(D2152,$D$2:$F$4,3,FALSE))</f>
        <v>#N/A</v>
      </c>
      <c r="G2152" s="137" t="e">
        <f t="shared" si="37"/>
        <v>#N/A</v>
      </c>
    </row>
    <row r="2153" spans="1:7">
      <c r="A2153" s="112" t="str">
        <f>VLOOKUP('Informe Kelly'!A2147,Base!A:B,2,FALSE)</f>
        <v>16.268.829-4</v>
      </c>
      <c r="B2153" s="112" t="str">
        <f>VLOOKUP('Informe Kelly'!A2147,Base!A:G,7,FALSE)</f>
        <v>MORALES DIAZ SLBERTO</v>
      </c>
      <c r="C2153" s="112" t="str">
        <f>'Informe Kelly'!E2147</f>
        <v>07.04.2011</v>
      </c>
      <c r="D2153" s="112" t="e">
        <f>VLOOKUP(A2153,Ingreso!K:P,6,FALSE)</f>
        <v>#N/A</v>
      </c>
      <c r="E2153" s="142" t="e">
        <f>(VLOOKUP(D2153,$D$2:$E$4,2,FALSE))-(IF('Informe Kelly'!H2147=$A$2,'Informe Kelly'!F2147,VLOOKUP(D2153,$D$2:$E$4,2,FALSE)))</f>
        <v>#N/A</v>
      </c>
      <c r="F2153" s="142" t="e">
        <f>IF('Informe Kelly'!H2147=$A$3,'Informe Kelly'!F2147,VLOOKUP(D2153,$D$2:$F$4,3,FALSE))-(VLOOKUP(D2153,$D$2:$F$4,3,FALSE))</f>
        <v>#N/A</v>
      </c>
      <c r="G2153" s="137" t="e">
        <f t="shared" si="37"/>
        <v>#N/A</v>
      </c>
    </row>
    <row r="2154" spans="1:7">
      <c r="A2154" s="112" t="str">
        <f>VLOOKUP('Informe Kelly'!A2148,Base!A:B,2,FALSE)</f>
        <v>16.268.829-4</v>
      </c>
      <c r="B2154" s="112" t="str">
        <f>VLOOKUP('Informe Kelly'!A2148,Base!A:G,7,FALSE)</f>
        <v>MORALES DIAZ SLBERTO</v>
      </c>
      <c r="C2154" s="112" t="str">
        <f>'Informe Kelly'!E2148</f>
        <v>08.04.2011</v>
      </c>
      <c r="D2154" s="112" t="e">
        <f>VLOOKUP(A2154,Ingreso!K:P,6,FALSE)</f>
        <v>#N/A</v>
      </c>
      <c r="E2154" s="142" t="e">
        <f>(VLOOKUP(D2154,$D$2:$E$4,2,FALSE))-(IF('Informe Kelly'!H2148=$A$2,'Informe Kelly'!F2148,VLOOKUP(D2154,$D$2:$E$4,2,FALSE)))</f>
        <v>#N/A</v>
      </c>
      <c r="F2154" s="142" t="e">
        <f>IF('Informe Kelly'!H2148=$A$3,'Informe Kelly'!F2148,VLOOKUP(D2154,$D$2:$F$4,3,FALSE))-(VLOOKUP(D2154,$D$2:$F$4,3,FALSE))</f>
        <v>#N/A</v>
      </c>
      <c r="G2154" s="137" t="e">
        <f t="shared" si="37"/>
        <v>#N/A</v>
      </c>
    </row>
    <row r="2155" spans="1:7">
      <c r="A2155" s="112" t="str">
        <f>VLOOKUP('Informe Kelly'!A2149,Base!A:B,2,FALSE)</f>
        <v>16.268.829-4</v>
      </c>
      <c r="B2155" s="112" t="str">
        <f>VLOOKUP('Informe Kelly'!A2149,Base!A:G,7,FALSE)</f>
        <v>MORALES DIAZ SLBERTO</v>
      </c>
      <c r="C2155" s="112" t="str">
        <f>'Informe Kelly'!E2149</f>
        <v>08.04.2011</v>
      </c>
      <c r="D2155" s="112" t="e">
        <f>VLOOKUP(A2155,Ingreso!K:P,6,FALSE)</f>
        <v>#N/A</v>
      </c>
      <c r="E2155" s="142" t="e">
        <f>(VLOOKUP(D2155,$D$2:$E$4,2,FALSE))-(IF('Informe Kelly'!H2149=$A$2,'Informe Kelly'!F2149,VLOOKUP(D2155,$D$2:$E$4,2,FALSE)))</f>
        <v>#N/A</v>
      </c>
      <c r="F2155" s="142" t="e">
        <f>IF('Informe Kelly'!H2149=$A$3,'Informe Kelly'!F2149,VLOOKUP(D2155,$D$2:$F$4,3,FALSE))-(VLOOKUP(D2155,$D$2:$F$4,3,FALSE))</f>
        <v>#N/A</v>
      </c>
      <c r="G2155" s="137" t="e">
        <f t="shared" si="37"/>
        <v>#N/A</v>
      </c>
    </row>
    <row r="2156" spans="1:7">
      <c r="A2156" s="112" t="str">
        <f>VLOOKUP('Informe Kelly'!A2150,Base!A:B,2,FALSE)</f>
        <v>16.268.829-4</v>
      </c>
      <c r="B2156" s="112" t="str">
        <f>VLOOKUP('Informe Kelly'!A2150,Base!A:G,7,FALSE)</f>
        <v>MORALES DIAZ SLBERTO</v>
      </c>
      <c r="C2156" s="112" t="str">
        <f>'Informe Kelly'!E2150</f>
        <v>09.04.2011</v>
      </c>
      <c r="D2156" s="112" t="e">
        <f>VLOOKUP(A2156,Ingreso!K:P,6,FALSE)</f>
        <v>#N/A</v>
      </c>
      <c r="E2156" s="142" t="e">
        <f>(VLOOKUP(D2156,$D$2:$E$4,2,FALSE))-(IF('Informe Kelly'!H2150=$A$2,'Informe Kelly'!F2150,VLOOKUP(D2156,$D$2:$E$4,2,FALSE)))</f>
        <v>#N/A</v>
      </c>
      <c r="F2156" s="142" t="e">
        <f>IF('Informe Kelly'!H2150=$A$3,'Informe Kelly'!F2150,VLOOKUP(D2156,$D$2:$F$4,3,FALSE))-(VLOOKUP(D2156,$D$2:$F$4,3,FALSE))</f>
        <v>#N/A</v>
      </c>
      <c r="G2156" s="137" t="e">
        <f t="shared" si="37"/>
        <v>#N/A</v>
      </c>
    </row>
    <row r="2157" spans="1:7">
      <c r="A2157" s="112" t="str">
        <f>VLOOKUP('Informe Kelly'!A2151,Base!A:B,2,FALSE)</f>
        <v>16.296.340-6</v>
      </c>
      <c r="B2157" s="112" t="str">
        <f>VLOOKUP('Informe Kelly'!A2151,Base!A:G,7,FALSE)</f>
        <v>RIQUELME GONZALEZ FRANCISCO JAVIER</v>
      </c>
      <c r="C2157" s="112" t="str">
        <f>'Informe Kelly'!E2151</f>
        <v>04.04.2011</v>
      </c>
      <c r="D2157" s="112" t="e">
        <f>VLOOKUP(A2157,Ingreso!K:P,6,FALSE)</f>
        <v>#N/A</v>
      </c>
      <c r="E2157" s="142" t="e">
        <f>(VLOOKUP(D2157,$D$2:$E$4,2,FALSE))-(IF('Informe Kelly'!H2151=$A$2,'Informe Kelly'!F2151,VLOOKUP(D2157,$D$2:$E$4,2,FALSE)))</f>
        <v>#N/A</v>
      </c>
      <c r="F2157" s="142" t="e">
        <f>IF('Informe Kelly'!H2151=$A$3,'Informe Kelly'!F2151,VLOOKUP(D2157,$D$2:$F$4,3,FALSE))-(VLOOKUP(D2157,$D$2:$F$4,3,FALSE))</f>
        <v>#N/A</v>
      </c>
      <c r="G2157" s="137" t="e">
        <f t="shared" si="37"/>
        <v>#N/A</v>
      </c>
    </row>
    <row r="2158" spans="1:7">
      <c r="A2158" s="112" t="str">
        <f>VLOOKUP('Informe Kelly'!A2152,Base!A:B,2,FALSE)</f>
        <v>16.296.340-6</v>
      </c>
      <c r="B2158" s="112" t="str">
        <f>VLOOKUP('Informe Kelly'!A2152,Base!A:G,7,FALSE)</f>
        <v>RIQUELME GONZALEZ FRANCISCO JAVIER</v>
      </c>
      <c r="C2158" s="112" t="str">
        <f>'Informe Kelly'!E2152</f>
        <v>04.04.2011</v>
      </c>
      <c r="D2158" s="112" t="e">
        <f>VLOOKUP(A2158,Ingreso!K:P,6,FALSE)</f>
        <v>#N/A</v>
      </c>
      <c r="E2158" s="142" t="e">
        <f>(VLOOKUP(D2158,$D$2:$E$4,2,FALSE))-(IF('Informe Kelly'!H2152=$A$2,'Informe Kelly'!F2152,VLOOKUP(D2158,$D$2:$E$4,2,FALSE)))</f>
        <v>#N/A</v>
      </c>
      <c r="F2158" s="142" t="e">
        <f>IF('Informe Kelly'!H2152=$A$3,'Informe Kelly'!F2152,VLOOKUP(D2158,$D$2:$F$4,3,FALSE))-(VLOOKUP(D2158,$D$2:$F$4,3,FALSE))</f>
        <v>#N/A</v>
      </c>
      <c r="G2158" s="137" t="e">
        <f t="shared" si="37"/>
        <v>#N/A</v>
      </c>
    </row>
    <row r="2159" spans="1:7">
      <c r="A2159" s="112" t="str">
        <f>VLOOKUP('Informe Kelly'!A2153,Base!A:B,2,FALSE)</f>
        <v>16.296.340-6</v>
      </c>
      <c r="B2159" s="112" t="str">
        <f>VLOOKUP('Informe Kelly'!A2153,Base!A:G,7,FALSE)</f>
        <v>RIQUELME GONZALEZ FRANCISCO JAVIER</v>
      </c>
      <c r="C2159" s="112" t="str">
        <f>'Informe Kelly'!E2153</f>
        <v>05.04.2011</v>
      </c>
      <c r="D2159" s="112" t="e">
        <f>VLOOKUP(A2159,Ingreso!K:P,6,FALSE)</f>
        <v>#N/A</v>
      </c>
      <c r="E2159" s="142" t="e">
        <f>(VLOOKUP(D2159,$D$2:$E$4,2,FALSE))-(IF('Informe Kelly'!H2153=$A$2,'Informe Kelly'!F2153,VLOOKUP(D2159,$D$2:$E$4,2,FALSE)))</f>
        <v>#N/A</v>
      </c>
      <c r="F2159" s="142" t="e">
        <f>IF('Informe Kelly'!H2153=$A$3,'Informe Kelly'!F2153,VLOOKUP(D2159,$D$2:$F$4,3,FALSE))-(VLOOKUP(D2159,$D$2:$F$4,3,FALSE))</f>
        <v>#N/A</v>
      </c>
      <c r="G2159" s="137" t="e">
        <f t="shared" si="37"/>
        <v>#N/A</v>
      </c>
    </row>
    <row r="2160" spans="1:7">
      <c r="A2160" s="112" t="str">
        <f>VLOOKUP('Informe Kelly'!A2154,Base!A:B,2,FALSE)</f>
        <v>16.296.340-6</v>
      </c>
      <c r="B2160" s="112" t="str">
        <f>VLOOKUP('Informe Kelly'!A2154,Base!A:G,7,FALSE)</f>
        <v>RIQUELME GONZALEZ FRANCISCO JAVIER</v>
      </c>
      <c r="C2160" s="112" t="str">
        <f>'Informe Kelly'!E2154</f>
        <v>05.04.2011</v>
      </c>
      <c r="D2160" s="112" t="e">
        <f>VLOOKUP(A2160,Ingreso!K:P,6,FALSE)</f>
        <v>#N/A</v>
      </c>
      <c r="E2160" s="142" t="e">
        <f>(VLOOKUP(D2160,$D$2:$E$4,2,FALSE))-(IF('Informe Kelly'!H2154=$A$2,'Informe Kelly'!F2154,VLOOKUP(D2160,$D$2:$E$4,2,FALSE)))</f>
        <v>#N/A</v>
      </c>
      <c r="F2160" s="142" t="e">
        <f>IF('Informe Kelly'!H2154=$A$3,'Informe Kelly'!F2154,VLOOKUP(D2160,$D$2:$F$4,3,FALSE))-(VLOOKUP(D2160,$D$2:$F$4,3,FALSE))</f>
        <v>#N/A</v>
      </c>
      <c r="G2160" s="137" t="e">
        <f t="shared" si="37"/>
        <v>#N/A</v>
      </c>
    </row>
    <row r="2161" spans="1:7">
      <c r="A2161" s="112" t="str">
        <f>VLOOKUP('Informe Kelly'!A2155,Base!A:B,2,FALSE)</f>
        <v>16.296.340-6</v>
      </c>
      <c r="B2161" s="112" t="str">
        <f>VLOOKUP('Informe Kelly'!A2155,Base!A:G,7,FALSE)</f>
        <v>RIQUELME GONZALEZ FRANCISCO JAVIER</v>
      </c>
      <c r="C2161" s="112" t="str">
        <f>'Informe Kelly'!E2155</f>
        <v>06.04.2011</v>
      </c>
      <c r="D2161" s="112" t="e">
        <f>VLOOKUP(A2161,Ingreso!K:P,6,FALSE)</f>
        <v>#N/A</v>
      </c>
      <c r="E2161" s="142" t="e">
        <f>(VLOOKUP(D2161,$D$2:$E$4,2,FALSE))-(IF('Informe Kelly'!H2155=$A$2,'Informe Kelly'!F2155,VLOOKUP(D2161,$D$2:$E$4,2,FALSE)))</f>
        <v>#N/A</v>
      </c>
      <c r="F2161" s="142" t="e">
        <f>IF('Informe Kelly'!H2155=$A$3,'Informe Kelly'!F2155,VLOOKUP(D2161,$D$2:$F$4,3,FALSE))-(VLOOKUP(D2161,$D$2:$F$4,3,FALSE))</f>
        <v>#N/A</v>
      </c>
      <c r="G2161" s="137" t="e">
        <f t="shared" si="37"/>
        <v>#N/A</v>
      </c>
    </row>
    <row r="2162" spans="1:7">
      <c r="A2162" s="112" t="str">
        <f>VLOOKUP('Informe Kelly'!A2156,Base!A:B,2,FALSE)</f>
        <v>16.296.340-6</v>
      </c>
      <c r="B2162" s="112" t="str">
        <f>VLOOKUP('Informe Kelly'!A2156,Base!A:G,7,FALSE)</f>
        <v>RIQUELME GONZALEZ FRANCISCO JAVIER</v>
      </c>
      <c r="C2162" s="112" t="str">
        <f>'Informe Kelly'!E2156</f>
        <v>06.04.2011</v>
      </c>
      <c r="D2162" s="112" t="e">
        <f>VLOOKUP(A2162,Ingreso!K:P,6,FALSE)</f>
        <v>#N/A</v>
      </c>
      <c r="E2162" s="142" t="e">
        <f>(VLOOKUP(D2162,$D$2:$E$4,2,FALSE))-(IF('Informe Kelly'!H2156=$A$2,'Informe Kelly'!F2156,VLOOKUP(D2162,$D$2:$E$4,2,FALSE)))</f>
        <v>#N/A</v>
      </c>
      <c r="F2162" s="142" t="e">
        <f>IF('Informe Kelly'!H2156=$A$3,'Informe Kelly'!F2156,VLOOKUP(D2162,$D$2:$F$4,3,FALSE))-(VLOOKUP(D2162,$D$2:$F$4,3,FALSE))</f>
        <v>#N/A</v>
      </c>
      <c r="G2162" s="137" t="e">
        <f t="shared" si="37"/>
        <v>#N/A</v>
      </c>
    </row>
    <row r="2163" spans="1:7">
      <c r="A2163" s="112" t="str">
        <f>VLOOKUP('Informe Kelly'!A2157,Base!A:B,2,FALSE)</f>
        <v>16.296.340-6</v>
      </c>
      <c r="B2163" s="112" t="str">
        <f>VLOOKUP('Informe Kelly'!A2157,Base!A:G,7,FALSE)</f>
        <v>RIQUELME GONZALEZ FRANCISCO JAVIER</v>
      </c>
      <c r="C2163" s="112" t="str">
        <f>'Informe Kelly'!E2157</f>
        <v>07.04.2011</v>
      </c>
      <c r="D2163" s="112" t="e">
        <f>VLOOKUP(A2163,Ingreso!K:P,6,FALSE)</f>
        <v>#N/A</v>
      </c>
      <c r="E2163" s="142" t="e">
        <f>(VLOOKUP(D2163,$D$2:$E$4,2,FALSE))-(IF('Informe Kelly'!H2157=$A$2,'Informe Kelly'!F2157,VLOOKUP(D2163,$D$2:$E$4,2,FALSE)))</f>
        <v>#N/A</v>
      </c>
      <c r="F2163" s="142" t="e">
        <f>IF('Informe Kelly'!H2157=$A$3,'Informe Kelly'!F2157,VLOOKUP(D2163,$D$2:$F$4,3,FALSE))-(VLOOKUP(D2163,$D$2:$F$4,3,FALSE))</f>
        <v>#N/A</v>
      </c>
      <c r="G2163" s="137" t="e">
        <f t="shared" si="37"/>
        <v>#N/A</v>
      </c>
    </row>
    <row r="2164" spans="1:7">
      <c r="A2164" s="112" t="str">
        <f>VLOOKUP('Informe Kelly'!A2158,Base!A:B,2,FALSE)</f>
        <v>16.296.340-6</v>
      </c>
      <c r="B2164" s="112" t="str">
        <f>VLOOKUP('Informe Kelly'!A2158,Base!A:G,7,FALSE)</f>
        <v>RIQUELME GONZALEZ FRANCISCO JAVIER</v>
      </c>
      <c r="C2164" s="112" t="str">
        <f>'Informe Kelly'!E2158</f>
        <v>07.04.2011</v>
      </c>
      <c r="D2164" s="112" t="e">
        <f>VLOOKUP(A2164,Ingreso!K:P,6,FALSE)</f>
        <v>#N/A</v>
      </c>
      <c r="E2164" s="142" t="e">
        <f>(VLOOKUP(D2164,$D$2:$E$4,2,FALSE))-(IF('Informe Kelly'!H2158=$A$2,'Informe Kelly'!F2158,VLOOKUP(D2164,$D$2:$E$4,2,FALSE)))</f>
        <v>#N/A</v>
      </c>
      <c r="F2164" s="142" t="e">
        <f>IF('Informe Kelly'!H2158=$A$3,'Informe Kelly'!F2158,VLOOKUP(D2164,$D$2:$F$4,3,FALSE))-(VLOOKUP(D2164,$D$2:$F$4,3,FALSE))</f>
        <v>#N/A</v>
      </c>
      <c r="G2164" s="137" t="e">
        <f t="shared" si="37"/>
        <v>#N/A</v>
      </c>
    </row>
    <row r="2165" spans="1:7">
      <c r="A2165" s="112" t="str">
        <f>VLOOKUP('Informe Kelly'!A2159,Base!A:B,2,FALSE)</f>
        <v>16.296.340-6</v>
      </c>
      <c r="B2165" s="112" t="str">
        <f>VLOOKUP('Informe Kelly'!A2159,Base!A:G,7,FALSE)</f>
        <v>RIQUELME GONZALEZ FRANCISCO JAVIER</v>
      </c>
      <c r="C2165" s="112" t="str">
        <f>'Informe Kelly'!E2159</f>
        <v>08.04.2011</v>
      </c>
      <c r="D2165" s="112" t="e">
        <f>VLOOKUP(A2165,Ingreso!K:P,6,FALSE)</f>
        <v>#N/A</v>
      </c>
      <c r="E2165" s="142" t="e">
        <f>(VLOOKUP(D2165,$D$2:$E$4,2,FALSE))-(IF('Informe Kelly'!H2159=$A$2,'Informe Kelly'!F2159,VLOOKUP(D2165,$D$2:$E$4,2,FALSE)))</f>
        <v>#N/A</v>
      </c>
      <c r="F2165" s="142" t="e">
        <f>IF('Informe Kelly'!H2159=$A$3,'Informe Kelly'!F2159,VLOOKUP(D2165,$D$2:$F$4,3,FALSE))-(VLOOKUP(D2165,$D$2:$F$4,3,FALSE))</f>
        <v>#N/A</v>
      </c>
      <c r="G2165" s="137" t="e">
        <f t="shared" si="37"/>
        <v>#N/A</v>
      </c>
    </row>
    <row r="2166" spans="1:7">
      <c r="A2166" s="112" t="str">
        <f>VLOOKUP('Informe Kelly'!A2160,Base!A:B,2,FALSE)</f>
        <v>16.296.340-6</v>
      </c>
      <c r="B2166" s="112" t="str">
        <f>VLOOKUP('Informe Kelly'!A2160,Base!A:G,7,FALSE)</f>
        <v>RIQUELME GONZALEZ FRANCISCO JAVIER</v>
      </c>
      <c r="C2166" s="112" t="str">
        <f>'Informe Kelly'!E2160</f>
        <v>08.04.2011</v>
      </c>
      <c r="D2166" s="112" t="e">
        <f>VLOOKUP(A2166,Ingreso!K:P,6,FALSE)</f>
        <v>#N/A</v>
      </c>
      <c r="E2166" s="142" t="e">
        <f>(VLOOKUP(D2166,$D$2:$E$4,2,FALSE))-(IF('Informe Kelly'!H2160=$A$2,'Informe Kelly'!F2160,VLOOKUP(D2166,$D$2:$E$4,2,FALSE)))</f>
        <v>#N/A</v>
      </c>
      <c r="F2166" s="142" t="e">
        <f>IF('Informe Kelly'!H2160=$A$3,'Informe Kelly'!F2160,VLOOKUP(D2166,$D$2:$F$4,3,FALSE))-(VLOOKUP(D2166,$D$2:$F$4,3,FALSE))</f>
        <v>#N/A</v>
      </c>
      <c r="G2166" s="137" t="e">
        <f t="shared" si="37"/>
        <v>#N/A</v>
      </c>
    </row>
    <row r="2167" spans="1:7">
      <c r="A2167" s="112" t="str">
        <f>VLOOKUP('Informe Kelly'!A2161,Base!A:B,2,FALSE)</f>
        <v>16.296.340-6</v>
      </c>
      <c r="B2167" s="112" t="str">
        <f>VLOOKUP('Informe Kelly'!A2161,Base!A:G,7,FALSE)</f>
        <v>RIQUELME GONZALEZ FRANCISCO JAVIER</v>
      </c>
      <c r="C2167" s="112" t="str">
        <f>'Informe Kelly'!E2161</f>
        <v>09.04.2011</v>
      </c>
      <c r="D2167" s="112" t="e">
        <f>VLOOKUP(A2167,Ingreso!K:P,6,FALSE)</f>
        <v>#N/A</v>
      </c>
      <c r="E2167" s="142" t="e">
        <f>(VLOOKUP(D2167,$D$2:$E$4,2,FALSE))-(IF('Informe Kelly'!H2161=$A$2,'Informe Kelly'!F2161,VLOOKUP(D2167,$D$2:$E$4,2,FALSE)))</f>
        <v>#N/A</v>
      </c>
      <c r="F2167" s="142" t="e">
        <f>IF('Informe Kelly'!H2161=$A$3,'Informe Kelly'!F2161,VLOOKUP(D2167,$D$2:$F$4,3,FALSE))-(VLOOKUP(D2167,$D$2:$F$4,3,FALSE))</f>
        <v>#N/A</v>
      </c>
      <c r="G2167" s="137" t="e">
        <f t="shared" si="37"/>
        <v>#N/A</v>
      </c>
    </row>
    <row r="2168" spans="1:7">
      <c r="A2168" s="112" t="str">
        <f>VLOOKUP('Informe Kelly'!A2162,Base!A:B,2,FALSE)</f>
        <v>16.296.340-6</v>
      </c>
      <c r="B2168" s="112" t="str">
        <f>VLOOKUP('Informe Kelly'!A2162,Base!A:G,7,FALSE)</f>
        <v>RIQUELME GONZALEZ FRANCISCO JAVIER</v>
      </c>
      <c r="C2168" s="112" t="str">
        <f>'Informe Kelly'!E2162</f>
        <v>09.04.2011</v>
      </c>
      <c r="D2168" s="112" t="e">
        <f>VLOOKUP(A2168,Ingreso!K:P,6,FALSE)</f>
        <v>#N/A</v>
      </c>
      <c r="E2168" s="142" t="e">
        <f>(VLOOKUP(D2168,$D$2:$E$4,2,FALSE))-(IF('Informe Kelly'!H2162=$A$2,'Informe Kelly'!F2162,VLOOKUP(D2168,$D$2:$E$4,2,FALSE)))</f>
        <v>#N/A</v>
      </c>
      <c r="F2168" s="142" t="e">
        <f>IF('Informe Kelly'!H2162=$A$3,'Informe Kelly'!F2162,VLOOKUP(D2168,$D$2:$F$4,3,FALSE))-(VLOOKUP(D2168,$D$2:$F$4,3,FALSE))</f>
        <v>#N/A</v>
      </c>
      <c r="G2168" s="137" t="e">
        <f t="shared" si="37"/>
        <v>#N/A</v>
      </c>
    </row>
    <row r="2169" spans="1:7">
      <c r="A2169" s="112" t="str">
        <f>VLOOKUP('Informe Kelly'!A2163,Base!A:B,2,FALSE)</f>
        <v>16.408.490-6</v>
      </c>
      <c r="B2169" s="112" t="str">
        <f>VLOOKUP('Informe Kelly'!A2163,Base!A:G,7,FALSE)</f>
        <v>POZO CAMPOS JUAN MIGUEL</v>
      </c>
      <c r="C2169" s="112" t="str">
        <f>'Informe Kelly'!E2163</f>
        <v>04.04.2011</v>
      </c>
      <c r="D2169" s="112" t="e">
        <f>VLOOKUP(A2169,Ingreso!K:P,6,FALSE)</f>
        <v>#N/A</v>
      </c>
      <c r="E2169" s="142" t="e">
        <f>(VLOOKUP(D2169,$D$2:$E$4,2,FALSE))-(IF('Informe Kelly'!H2163=$A$2,'Informe Kelly'!F2163,VLOOKUP(D2169,$D$2:$E$4,2,FALSE)))</f>
        <v>#N/A</v>
      </c>
      <c r="F2169" s="142" t="e">
        <f>IF('Informe Kelly'!H2163=$A$3,'Informe Kelly'!F2163,VLOOKUP(D2169,$D$2:$F$4,3,FALSE))-(VLOOKUP(D2169,$D$2:$F$4,3,FALSE))</f>
        <v>#N/A</v>
      </c>
      <c r="G2169" s="137" t="e">
        <f t="shared" si="37"/>
        <v>#N/A</v>
      </c>
    </row>
    <row r="2170" spans="1:7">
      <c r="A2170" s="112" t="str">
        <f>VLOOKUP('Informe Kelly'!A2164,Base!A:B,2,FALSE)</f>
        <v>16.408.490-6</v>
      </c>
      <c r="B2170" s="112" t="str">
        <f>VLOOKUP('Informe Kelly'!A2164,Base!A:G,7,FALSE)</f>
        <v>POZO CAMPOS JUAN MIGUEL</v>
      </c>
      <c r="C2170" s="112" t="str">
        <f>'Informe Kelly'!E2164</f>
        <v>04.04.2011</v>
      </c>
      <c r="D2170" s="112" t="e">
        <f>VLOOKUP(A2170,Ingreso!K:P,6,FALSE)</f>
        <v>#N/A</v>
      </c>
      <c r="E2170" s="142" t="e">
        <f>(VLOOKUP(D2170,$D$2:$E$4,2,FALSE))-(IF('Informe Kelly'!H2164=$A$2,'Informe Kelly'!F2164,VLOOKUP(D2170,$D$2:$E$4,2,FALSE)))</f>
        <v>#N/A</v>
      </c>
      <c r="F2170" s="142" t="e">
        <f>IF('Informe Kelly'!H2164=$A$3,'Informe Kelly'!F2164,VLOOKUP(D2170,$D$2:$F$4,3,FALSE))-(VLOOKUP(D2170,$D$2:$F$4,3,FALSE))</f>
        <v>#N/A</v>
      </c>
      <c r="G2170" s="137" t="e">
        <f t="shared" si="37"/>
        <v>#N/A</v>
      </c>
    </row>
    <row r="2171" spans="1:7">
      <c r="A2171" s="112" t="str">
        <f>VLOOKUP('Informe Kelly'!A2165,Base!A:B,2,FALSE)</f>
        <v>16.408.490-6</v>
      </c>
      <c r="B2171" s="112" t="str">
        <f>VLOOKUP('Informe Kelly'!A2165,Base!A:G,7,FALSE)</f>
        <v>POZO CAMPOS JUAN MIGUEL</v>
      </c>
      <c r="C2171" s="112" t="str">
        <f>'Informe Kelly'!E2165</f>
        <v>05.04.2011</v>
      </c>
      <c r="D2171" s="112" t="e">
        <f>VLOOKUP(A2171,Ingreso!K:P,6,FALSE)</f>
        <v>#N/A</v>
      </c>
      <c r="E2171" s="142" t="e">
        <f>(VLOOKUP(D2171,$D$2:$E$4,2,FALSE))-(IF('Informe Kelly'!H2165=$A$2,'Informe Kelly'!F2165,VLOOKUP(D2171,$D$2:$E$4,2,FALSE)))</f>
        <v>#N/A</v>
      </c>
      <c r="F2171" s="142" t="e">
        <f>IF('Informe Kelly'!H2165=$A$3,'Informe Kelly'!F2165,VLOOKUP(D2171,$D$2:$F$4,3,FALSE))-(VLOOKUP(D2171,$D$2:$F$4,3,FALSE))</f>
        <v>#N/A</v>
      </c>
      <c r="G2171" s="137" t="e">
        <f t="shared" si="37"/>
        <v>#N/A</v>
      </c>
    </row>
    <row r="2172" spans="1:7">
      <c r="A2172" s="112" t="str">
        <f>VLOOKUP('Informe Kelly'!A2166,Base!A:B,2,FALSE)</f>
        <v>16.408.490-6</v>
      </c>
      <c r="B2172" s="112" t="str">
        <f>VLOOKUP('Informe Kelly'!A2166,Base!A:G,7,FALSE)</f>
        <v>POZO CAMPOS JUAN MIGUEL</v>
      </c>
      <c r="C2172" s="112" t="str">
        <f>'Informe Kelly'!E2166</f>
        <v>05.04.2011</v>
      </c>
      <c r="D2172" s="112" t="e">
        <f>VLOOKUP(A2172,Ingreso!K:P,6,FALSE)</f>
        <v>#N/A</v>
      </c>
      <c r="E2172" s="142" t="e">
        <f>(VLOOKUP(D2172,$D$2:$E$4,2,FALSE))-(IF('Informe Kelly'!H2166=$A$2,'Informe Kelly'!F2166,VLOOKUP(D2172,$D$2:$E$4,2,FALSE)))</f>
        <v>#N/A</v>
      </c>
      <c r="F2172" s="142" t="e">
        <f>IF('Informe Kelly'!H2166=$A$3,'Informe Kelly'!F2166,VLOOKUP(D2172,$D$2:$F$4,3,FALSE))-(VLOOKUP(D2172,$D$2:$F$4,3,FALSE))</f>
        <v>#N/A</v>
      </c>
      <c r="G2172" s="137" t="e">
        <f t="shared" si="37"/>
        <v>#N/A</v>
      </c>
    </row>
    <row r="2173" spans="1:7">
      <c r="A2173" s="112" t="str">
        <f>VLOOKUP('Informe Kelly'!A2167,Base!A:B,2,FALSE)</f>
        <v>16.408.490-6</v>
      </c>
      <c r="B2173" s="112" t="str">
        <f>VLOOKUP('Informe Kelly'!A2167,Base!A:G,7,FALSE)</f>
        <v>POZO CAMPOS JUAN MIGUEL</v>
      </c>
      <c r="C2173" s="112" t="str">
        <f>'Informe Kelly'!E2167</f>
        <v>06.04.2011</v>
      </c>
      <c r="D2173" s="112" t="e">
        <f>VLOOKUP(A2173,Ingreso!K:P,6,FALSE)</f>
        <v>#N/A</v>
      </c>
      <c r="E2173" s="142" t="e">
        <f>(VLOOKUP(D2173,$D$2:$E$4,2,FALSE))-(IF('Informe Kelly'!H2167=$A$2,'Informe Kelly'!F2167,VLOOKUP(D2173,$D$2:$E$4,2,FALSE)))</f>
        <v>#N/A</v>
      </c>
      <c r="F2173" s="142" t="e">
        <f>IF('Informe Kelly'!H2167=$A$3,'Informe Kelly'!F2167,VLOOKUP(D2173,$D$2:$F$4,3,FALSE))-(VLOOKUP(D2173,$D$2:$F$4,3,FALSE))</f>
        <v>#N/A</v>
      </c>
      <c r="G2173" s="137" t="e">
        <f t="shared" si="37"/>
        <v>#N/A</v>
      </c>
    </row>
    <row r="2174" spans="1:7">
      <c r="A2174" s="112" t="str">
        <f>VLOOKUP('Informe Kelly'!A2168,Base!A:B,2,FALSE)</f>
        <v>16.408.490-6</v>
      </c>
      <c r="B2174" s="112" t="str">
        <f>VLOOKUP('Informe Kelly'!A2168,Base!A:G,7,FALSE)</f>
        <v>POZO CAMPOS JUAN MIGUEL</v>
      </c>
      <c r="C2174" s="112" t="str">
        <f>'Informe Kelly'!E2168</f>
        <v>06.04.2011</v>
      </c>
      <c r="D2174" s="112" t="e">
        <f>VLOOKUP(A2174,Ingreso!K:P,6,FALSE)</f>
        <v>#N/A</v>
      </c>
      <c r="E2174" s="142" t="e">
        <f>(VLOOKUP(D2174,$D$2:$E$4,2,FALSE))-(IF('Informe Kelly'!H2168=$A$2,'Informe Kelly'!F2168,VLOOKUP(D2174,$D$2:$E$4,2,FALSE)))</f>
        <v>#N/A</v>
      </c>
      <c r="F2174" s="142" t="e">
        <f>IF('Informe Kelly'!H2168=$A$3,'Informe Kelly'!F2168,VLOOKUP(D2174,$D$2:$F$4,3,FALSE))-(VLOOKUP(D2174,$D$2:$F$4,3,FALSE))</f>
        <v>#N/A</v>
      </c>
      <c r="G2174" s="137" t="e">
        <f t="shared" si="37"/>
        <v>#N/A</v>
      </c>
    </row>
    <row r="2175" spans="1:7">
      <c r="A2175" s="112" t="str">
        <f>VLOOKUP('Informe Kelly'!A2169,Base!A:B,2,FALSE)</f>
        <v>16.408.490-6</v>
      </c>
      <c r="B2175" s="112" t="str">
        <f>VLOOKUP('Informe Kelly'!A2169,Base!A:G,7,FALSE)</f>
        <v>POZO CAMPOS JUAN MIGUEL</v>
      </c>
      <c r="C2175" s="112" t="str">
        <f>'Informe Kelly'!E2169</f>
        <v>07.04.2011</v>
      </c>
      <c r="D2175" s="112" t="e">
        <f>VLOOKUP(A2175,Ingreso!K:P,6,FALSE)</f>
        <v>#N/A</v>
      </c>
      <c r="E2175" s="142" t="e">
        <f>(VLOOKUP(D2175,$D$2:$E$4,2,FALSE))-(IF('Informe Kelly'!H2169=$A$2,'Informe Kelly'!F2169,VLOOKUP(D2175,$D$2:$E$4,2,FALSE)))</f>
        <v>#N/A</v>
      </c>
      <c r="F2175" s="142" t="e">
        <f>IF('Informe Kelly'!H2169=$A$3,'Informe Kelly'!F2169,VLOOKUP(D2175,$D$2:$F$4,3,FALSE))-(VLOOKUP(D2175,$D$2:$F$4,3,FALSE))</f>
        <v>#N/A</v>
      </c>
      <c r="G2175" s="137" t="e">
        <f t="shared" si="37"/>
        <v>#N/A</v>
      </c>
    </row>
    <row r="2176" spans="1:7">
      <c r="A2176" s="112" t="str">
        <f>VLOOKUP('Informe Kelly'!A2170,Base!A:B,2,FALSE)</f>
        <v>16.408.490-6</v>
      </c>
      <c r="B2176" s="112" t="str">
        <f>VLOOKUP('Informe Kelly'!A2170,Base!A:G,7,FALSE)</f>
        <v>POZO CAMPOS JUAN MIGUEL</v>
      </c>
      <c r="C2176" s="112" t="str">
        <f>'Informe Kelly'!E2170</f>
        <v>07.04.2011</v>
      </c>
      <c r="D2176" s="112" t="e">
        <f>VLOOKUP(A2176,Ingreso!K:P,6,FALSE)</f>
        <v>#N/A</v>
      </c>
      <c r="E2176" s="142" t="e">
        <f>(VLOOKUP(D2176,$D$2:$E$4,2,FALSE))-(IF('Informe Kelly'!H2170=$A$2,'Informe Kelly'!F2170,VLOOKUP(D2176,$D$2:$E$4,2,FALSE)))</f>
        <v>#N/A</v>
      </c>
      <c r="F2176" s="142" t="e">
        <f>IF('Informe Kelly'!H2170=$A$3,'Informe Kelly'!F2170,VLOOKUP(D2176,$D$2:$F$4,3,FALSE))-(VLOOKUP(D2176,$D$2:$F$4,3,FALSE))</f>
        <v>#N/A</v>
      </c>
      <c r="G2176" s="137" t="e">
        <f t="shared" si="37"/>
        <v>#N/A</v>
      </c>
    </row>
    <row r="2177" spans="1:7">
      <c r="A2177" s="112" t="str">
        <f>VLOOKUP('Informe Kelly'!A2171,Base!A:B,2,FALSE)</f>
        <v>16.408.490-6</v>
      </c>
      <c r="B2177" s="112" t="str">
        <f>VLOOKUP('Informe Kelly'!A2171,Base!A:G,7,FALSE)</f>
        <v>POZO CAMPOS JUAN MIGUEL</v>
      </c>
      <c r="C2177" s="112" t="str">
        <f>'Informe Kelly'!E2171</f>
        <v>08.04.2011</v>
      </c>
      <c r="D2177" s="112" t="e">
        <f>VLOOKUP(A2177,Ingreso!K:P,6,FALSE)</f>
        <v>#N/A</v>
      </c>
      <c r="E2177" s="142" t="e">
        <f>(VLOOKUP(D2177,$D$2:$E$4,2,FALSE))-(IF('Informe Kelly'!H2171=$A$2,'Informe Kelly'!F2171,VLOOKUP(D2177,$D$2:$E$4,2,FALSE)))</f>
        <v>#N/A</v>
      </c>
      <c r="F2177" s="142" t="e">
        <f>IF('Informe Kelly'!H2171=$A$3,'Informe Kelly'!F2171,VLOOKUP(D2177,$D$2:$F$4,3,FALSE))-(VLOOKUP(D2177,$D$2:$F$4,3,FALSE))</f>
        <v>#N/A</v>
      </c>
      <c r="G2177" s="137" t="e">
        <f t="shared" si="37"/>
        <v>#N/A</v>
      </c>
    </row>
    <row r="2178" spans="1:7">
      <c r="A2178" s="112" t="str">
        <f>VLOOKUP('Informe Kelly'!A2172,Base!A:B,2,FALSE)</f>
        <v>16.408.490-6</v>
      </c>
      <c r="B2178" s="112" t="str">
        <f>VLOOKUP('Informe Kelly'!A2172,Base!A:G,7,FALSE)</f>
        <v>POZO CAMPOS JUAN MIGUEL</v>
      </c>
      <c r="C2178" s="112" t="str">
        <f>'Informe Kelly'!E2172</f>
        <v>08.04.2011</v>
      </c>
      <c r="D2178" s="112" t="e">
        <f>VLOOKUP(A2178,Ingreso!K:P,6,FALSE)</f>
        <v>#N/A</v>
      </c>
      <c r="E2178" s="142" t="e">
        <f>(VLOOKUP(D2178,$D$2:$E$4,2,FALSE))-(IF('Informe Kelly'!H2172=$A$2,'Informe Kelly'!F2172,VLOOKUP(D2178,$D$2:$E$4,2,FALSE)))</f>
        <v>#N/A</v>
      </c>
      <c r="F2178" s="142" t="e">
        <f>IF('Informe Kelly'!H2172=$A$3,'Informe Kelly'!F2172,VLOOKUP(D2178,$D$2:$F$4,3,FALSE))-(VLOOKUP(D2178,$D$2:$F$4,3,FALSE))</f>
        <v>#N/A</v>
      </c>
      <c r="G2178" s="137" t="e">
        <f t="shared" si="37"/>
        <v>#N/A</v>
      </c>
    </row>
    <row r="2179" spans="1:7">
      <c r="A2179" s="112" t="str">
        <f>VLOOKUP('Informe Kelly'!A2173,Base!A:B,2,FALSE)</f>
        <v>16.408.490-6</v>
      </c>
      <c r="B2179" s="112" t="str">
        <f>VLOOKUP('Informe Kelly'!A2173,Base!A:G,7,FALSE)</f>
        <v>POZO CAMPOS JUAN MIGUEL</v>
      </c>
      <c r="C2179" s="112" t="str">
        <f>'Informe Kelly'!E2173</f>
        <v>09.04.2011</v>
      </c>
      <c r="D2179" s="112" t="e">
        <f>VLOOKUP(A2179,Ingreso!K:P,6,FALSE)</f>
        <v>#N/A</v>
      </c>
      <c r="E2179" s="142" t="e">
        <f>(VLOOKUP(D2179,$D$2:$E$4,2,FALSE))-(IF('Informe Kelly'!H2173=$A$2,'Informe Kelly'!F2173,VLOOKUP(D2179,$D$2:$E$4,2,FALSE)))</f>
        <v>#N/A</v>
      </c>
      <c r="F2179" s="142" t="e">
        <f>IF('Informe Kelly'!H2173=$A$3,'Informe Kelly'!F2173,VLOOKUP(D2179,$D$2:$F$4,3,FALSE))-(VLOOKUP(D2179,$D$2:$F$4,3,FALSE))</f>
        <v>#N/A</v>
      </c>
      <c r="G2179" s="137" t="e">
        <f t="shared" si="37"/>
        <v>#N/A</v>
      </c>
    </row>
    <row r="2180" spans="1:7">
      <c r="A2180" s="112" t="str">
        <f>VLOOKUP('Informe Kelly'!A2174,Base!A:B,2,FALSE)</f>
        <v>16.408.490-6</v>
      </c>
      <c r="B2180" s="112" t="str">
        <f>VLOOKUP('Informe Kelly'!A2174,Base!A:G,7,FALSE)</f>
        <v>POZO CAMPOS JUAN MIGUEL</v>
      </c>
      <c r="C2180" s="112" t="str">
        <f>'Informe Kelly'!E2174</f>
        <v>09.04.2011</v>
      </c>
      <c r="D2180" s="112" t="e">
        <f>VLOOKUP(A2180,Ingreso!K:P,6,FALSE)</f>
        <v>#N/A</v>
      </c>
      <c r="E2180" s="142" t="e">
        <f>(VLOOKUP(D2180,$D$2:$E$4,2,FALSE))-(IF('Informe Kelly'!H2174=$A$2,'Informe Kelly'!F2174,VLOOKUP(D2180,$D$2:$E$4,2,FALSE)))</f>
        <v>#N/A</v>
      </c>
      <c r="F2180" s="142" t="e">
        <f>IF('Informe Kelly'!H2174=$A$3,'Informe Kelly'!F2174,VLOOKUP(D2180,$D$2:$F$4,3,FALSE))-(VLOOKUP(D2180,$D$2:$F$4,3,FALSE))</f>
        <v>#N/A</v>
      </c>
      <c r="G2180" s="137" t="e">
        <f t="shared" si="37"/>
        <v>#N/A</v>
      </c>
    </row>
    <row r="2181" spans="1:7">
      <c r="A2181" s="112" t="str">
        <f>VLOOKUP('Informe Kelly'!A2175,Base!A:B,2,FALSE)</f>
        <v>16.413.939-5</v>
      </c>
      <c r="B2181" s="112" t="str">
        <f>VLOOKUP('Informe Kelly'!A2175,Base!A:G,7,FALSE)</f>
        <v>ESPINOZA MATURANA FABIAN</v>
      </c>
      <c r="C2181" s="112" t="str">
        <f>'Informe Kelly'!E2175</f>
        <v>04.04.2011</v>
      </c>
      <c r="D2181" s="112" t="e">
        <f>VLOOKUP(A2181,Ingreso!K:P,6,FALSE)</f>
        <v>#N/A</v>
      </c>
      <c r="E2181" s="142" t="e">
        <f>(VLOOKUP(D2181,$D$2:$E$4,2,FALSE))-(IF('Informe Kelly'!H2175=$A$2,'Informe Kelly'!F2175,VLOOKUP(D2181,$D$2:$E$4,2,FALSE)))</f>
        <v>#N/A</v>
      </c>
      <c r="F2181" s="142" t="e">
        <f>IF('Informe Kelly'!H2175=$A$3,'Informe Kelly'!F2175,VLOOKUP(D2181,$D$2:$F$4,3,FALSE))-(VLOOKUP(D2181,$D$2:$F$4,3,FALSE))</f>
        <v>#N/A</v>
      </c>
      <c r="G2181" s="137" t="e">
        <f t="shared" si="37"/>
        <v>#N/A</v>
      </c>
    </row>
    <row r="2182" spans="1:7">
      <c r="A2182" s="112" t="str">
        <f>VLOOKUP('Informe Kelly'!A2176,Base!A:B,2,FALSE)</f>
        <v>16.413.939-5</v>
      </c>
      <c r="B2182" s="112" t="str">
        <f>VLOOKUP('Informe Kelly'!A2176,Base!A:G,7,FALSE)</f>
        <v>ESPINOZA MATURANA FABIAN</v>
      </c>
      <c r="C2182" s="112" t="str">
        <f>'Informe Kelly'!E2176</f>
        <v>04.04.2011</v>
      </c>
      <c r="D2182" s="112" t="e">
        <f>VLOOKUP(A2182,Ingreso!K:P,6,FALSE)</f>
        <v>#N/A</v>
      </c>
      <c r="E2182" s="142" t="e">
        <f>(VLOOKUP(D2182,$D$2:$E$4,2,FALSE))-(IF('Informe Kelly'!H2176=$A$2,'Informe Kelly'!F2176,VLOOKUP(D2182,$D$2:$E$4,2,FALSE)))</f>
        <v>#N/A</v>
      </c>
      <c r="F2182" s="142" t="e">
        <f>IF('Informe Kelly'!H2176=$A$3,'Informe Kelly'!F2176,VLOOKUP(D2182,$D$2:$F$4,3,FALSE))-(VLOOKUP(D2182,$D$2:$F$4,3,FALSE))</f>
        <v>#N/A</v>
      </c>
      <c r="G2182" s="137" t="e">
        <f t="shared" si="37"/>
        <v>#N/A</v>
      </c>
    </row>
    <row r="2183" spans="1:7">
      <c r="A2183" s="112" t="str">
        <f>VLOOKUP('Informe Kelly'!A2177,Base!A:B,2,FALSE)</f>
        <v>16.413.939-5</v>
      </c>
      <c r="B2183" s="112" t="str">
        <f>VLOOKUP('Informe Kelly'!A2177,Base!A:G,7,FALSE)</f>
        <v>ESPINOZA MATURANA FABIAN</v>
      </c>
      <c r="C2183" s="112" t="str">
        <f>'Informe Kelly'!E2177</f>
        <v>05.04.2011</v>
      </c>
      <c r="D2183" s="112" t="e">
        <f>VLOOKUP(A2183,Ingreso!K:P,6,FALSE)</f>
        <v>#N/A</v>
      </c>
      <c r="E2183" s="142" t="e">
        <f>(VLOOKUP(D2183,$D$2:$E$4,2,FALSE))-(IF('Informe Kelly'!H2177=$A$2,'Informe Kelly'!F2177,VLOOKUP(D2183,$D$2:$E$4,2,FALSE)))</f>
        <v>#N/A</v>
      </c>
      <c r="F2183" s="142" t="e">
        <f>IF('Informe Kelly'!H2177=$A$3,'Informe Kelly'!F2177,VLOOKUP(D2183,$D$2:$F$4,3,FALSE))-(VLOOKUP(D2183,$D$2:$F$4,3,FALSE))</f>
        <v>#N/A</v>
      </c>
      <c r="G2183" s="137" t="e">
        <f t="shared" si="37"/>
        <v>#N/A</v>
      </c>
    </row>
    <row r="2184" spans="1:7">
      <c r="A2184" s="112" t="str">
        <f>VLOOKUP('Informe Kelly'!A2178,Base!A:B,2,FALSE)</f>
        <v>16.413.939-5</v>
      </c>
      <c r="B2184" s="112" t="str">
        <f>VLOOKUP('Informe Kelly'!A2178,Base!A:G,7,FALSE)</f>
        <v>ESPINOZA MATURANA FABIAN</v>
      </c>
      <c r="C2184" s="112" t="str">
        <f>'Informe Kelly'!E2178</f>
        <v>05.04.2011</v>
      </c>
      <c r="D2184" s="112" t="e">
        <f>VLOOKUP(A2184,Ingreso!K:P,6,FALSE)</f>
        <v>#N/A</v>
      </c>
      <c r="E2184" s="142" t="e">
        <f>(VLOOKUP(D2184,$D$2:$E$4,2,FALSE))-(IF('Informe Kelly'!H2178=$A$2,'Informe Kelly'!F2178,VLOOKUP(D2184,$D$2:$E$4,2,FALSE)))</f>
        <v>#N/A</v>
      </c>
      <c r="F2184" s="142" t="e">
        <f>IF('Informe Kelly'!H2178=$A$3,'Informe Kelly'!F2178,VLOOKUP(D2184,$D$2:$F$4,3,FALSE))-(VLOOKUP(D2184,$D$2:$F$4,3,FALSE))</f>
        <v>#N/A</v>
      </c>
      <c r="G2184" s="137" t="e">
        <f t="shared" si="37"/>
        <v>#N/A</v>
      </c>
    </row>
    <row r="2185" spans="1:7">
      <c r="A2185" s="112" t="str">
        <f>VLOOKUP('Informe Kelly'!A2179,Base!A:B,2,FALSE)</f>
        <v>16.413.939-5</v>
      </c>
      <c r="B2185" s="112" t="str">
        <f>VLOOKUP('Informe Kelly'!A2179,Base!A:G,7,FALSE)</f>
        <v>ESPINOZA MATURANA FABIAN</v>
      </c>
      <c r="C2185" s="112" t="str">
        <f>'Informe Kelly'!E2179</f>
        <v>06.04.2011</v>
      </c>
      <c r="D2185" s="112" t="e">
        <f>VLOOKUP(A2185,Ingreso!K:P,6,FALSE)</f>
        <v>#N/A</v>
      </c>
      <c r="E2185" s="142" t="e">
        <f>(VLOOKUP(D2185,$D$2:$E$4,2,FALSE))-(IF('Informe Kelly'!H2179=$A$2,'Informe Kelly'!F2179,VLOOKUP(D2185,$D$2:$E$4,2,FALSE)))</f>
        <v>#N/A</v>
      </c>
      <c r="F2185" s="142" t="e">
        <f>IF('Informe Kelly'!H2179=$A$3,'Informe Kelly'!F2179,VLOOKUP(D2185,$D$2:$F$4,3,FALSE))-(VLOOKUP(D2185,$D$2:$F$4,3,FALSE))</f>
        <v>#N/A</v>
      </c>
      <c r="G2185" s="137" t="e">
        <f t="shared" ref="G2185:G2248" si="38">IF(E2185="",IF(F2185&lt;0.0409722222222222,0,E2185),IF(E2185&lt;0.0409722222222222,0,E2185))</f>
        <v>#N/A</v>
      </c>
    </row>
    <row r="2186" spans="1:7">
      <c r="A2186" s="112" t="str">
        <f>VLOOKUP('Informe Kelly'!A2180,Base!A:B,2,FALSE)</f>
        <v>16.413.939-5</v>
      </c>
      <c r="B2186" s="112" t="str">
        <f>VLOOKUP('Informe Kelly'!A2180,Base!A:G,7,FALSE)</f>
        <v>ESPINOZA MATURANA FABIAN</v>
      </c>
      <c r="C2186" s="112" t="str">
        <f>'Informe Kelly'!E2180</f>
        <v>06.04.2011</v>
      </c>
      <c r="D2186" s="112" t="e">
        <f>VLOOKUP(A2186,Ingreso!K:P,6,FALSE)</f>
        <v>#N/A</v>
      </c>
      <c r="E2186" s="142" t="e">
        <f>(VLOOKUP(D2186,$D$2:$E$4,2,FALSE))-(IF('Informe Kelly'!H2180=$A$2,'Informe Kelly'!F2180,VLOOKUP(D2186,$D$2:$E$4,2,FALSE)))</f>
        <v>#N/A</v>
      </c>
      <c r="F2186" s="142" t="e">
        <f>IF('Informe Kelly'!H2180=$A$3,'Informe Kelly'!F2180,VLOOKUP(D2186,$D$2:$F$4,3,FALSE))-(VLOOKUP(D2186,$D$2:$F$4,3,FALSE))</f>
        <v>#N/A</v>
      </c>
      <c r="G2186" s="137" t="e">
        <f t="shared" si="38"/>
        <v>#N/A</v>
      </c>
    </row>
    <row r="2187" spans="1:7">
      <c r="A2187" s="112" t="str">
        <f>VLOOKUP('Informe Kelly'!A2181,Base!A:B,2,FALSE)</f>
        <v>16.413.939-5</v>
      </c>
      <c r="B2187" s="112" t="str">
        <f>VLOOKUP('Informe Kelly'!A2181,Base!A:G,7,FALSE)</f>
        <v>ESPINOZA MATURANA FABIAN</v>
      </c>
      <c r="C2187" s="112" t="str">
        <f>'Informe Kelly'!E2181</f>
        <v>07.04.2011</v>
      </c>
      <c r="D2187" s="112" t="e">
        <f>VLOOKUP(A2187,Ingreso!K:P,6,FALSE)</f>
        <v>#N/A</v>
      </c>
      <c r="E2187" s="142" t="e">
        <f>(VLOOKUP(D2187,$D$2:$E$4,2,FALSE))-(IF('Informe Kelly'!H2181=$A$2,'Informe Kelly'!F2181,VLOOKUP(D2187,$D$2:$E$4,2,FALSE)))</f>
        <v>#N/A</v>
      </c>
      <c r="F2187" s="142" t="e">
        <f>IF('Informe Kelly'!H2181=$A$3,'Informe Kelly'!F2181,VLOOKUP(D2187,$D$2:$F$4,3,FALSE))-(VLOOKUP(D2187,$D$2:$F$4,3,FALSE))</f>
        <v>#N/A</v>
      </c>
      <c r="G2187" s="137" t="e">
        <f t="shared" si="38"/>
        <v>#N/A</v>
      </c>
    </row>
    <row r="2188" spans="1:7">
      <c r="A2188" s="112" t="str">
        <f>VLOOKUP('Informe Kelly'!A2182,Base!A:B,2,FALSE)</f>
        <v>16.413.939-5</v>
      </c>
      <c r="B2188" s="112" t="str">
        <f>VLOOKUP('Informe Kelly'!A2182,Base!A:G,7,FALSE)</f>
        <v>ESPINOZA MATURANA FABIAN</v>
      </c>
      <c r="C2188" s="112" t="str">
        <f>'Informe Kelly'!E2182</f>
        <v>07.04.2011</v>
      </c>
      <c r="D2188" s="112" t="e">
        <f>VLOOKUP(A2188,Ingreso!K:P,6,FALSE)</f>
        <v>#N/A</v>
      </c>
      <c r="E2188" s="142" t="e">
        <f>(VLOOKUP(D2188,$D$2:$E$4,2,FALSE))-(IF('Informe Kelly'!H2182=$A$2,'Informe Kelly'!F2182,VLOOKUP(D2188,$D$2:$E$4,2,FALSE)))</f>
        <v>#N/A</v>
      </c>
      <c r="F2188" s="142" t="e">
        <f>IF('Informe Kelly'!H2182=$A$3,'Informe Kelly'!F2182,VLOOKUP(D2188,$D$2:$F$4,3,FALSE))-(VLOOKUP(D2188,$D$2:$F$4,3,FALSE))</f>
        <v>#N/A</v>
      </c>
      <c r="G2188" s="137" t="e">
        <f t="shared" si="38"/>
        <v>#N/A</v>
      </c>
    </row>
    <row r="2189" spans="1:7">
      <c r="A2189" s="112" t="str">
        <f>VLOOKUP('Informe Kelly'!A2183,Base!A:B,2,FALSE)</f>
        <v>16.413.939-5</v>
      </c>
      <c r="B2189" s="112" t="str">
        <f>VLOOKUP('Informe Kelly'!A2183,Base!A:G,7,FALSE)</f>
        <v>ESPINOZA MATURANA FABIAN</v>
      </c>
      <c r="C2189" s="112" t="str">
        <f>'Informe Kelly'!E2183</f>
        <v>08.04.2011</v>
      </c>
      <c r="D2189" s="112" t="e">
        <f>VLOOKUP(A2189,Ingreso!K:P,6,FALSE)</f>
        <v>#N/A</v>
      </c>
      <c r="E2189" s="142" t="e">
        <f>(VLOOKUP(D2189,$D$2:$E$4,2,FALSE))-(IF('Informe Kelly'!H2183=$A$2,'Informe Kelly'!F2183,VLOOKUP(D2189,$D$2:$E$4,2,FALSE)))</f>
        <v>#N/A</v>
      </c>
      <c r="F2189" s="142" t="e">
        <f>IF('Informe Kelly'!H2183=$A$3,'Informe Kelly'!F2183,VLOOKUP(D2189,$D$2:$F$4,3,FALSE))-(VLOOKUP(D2189,$D$2:$F$4,3,FALSE))</f>
        <v>#N/A</v>
      </c>
      <c r="G2189" s="137" t="e">
        <f t="shared" si="38"/>
        <v>#N/A</v>
      </c>
    </row>
    <row r="2190" spans="1:7">
      <c r="A2190" s="112" t="str">
        <f>VLOOKUP('Informe Kelly'!A2184,Base!A:B,2,FALSE)</f>
        <v>16.413.939-5</v>
      </c>
      <c r="B2190" s="112" t="str">
        <f>VLOOKUP('Informe Kelly'!A2184,Base!A:G,7,FALSE)</f>
        <v>ESPINOZA MATURANA FABIAN</v>
      </c>
      <c r="C2190" s="112" t="str">
        <f>'Informe Kelly'!E2184</f>
        <v>08.04.2011</v>
      </c>
      <c r="D2190" s="112" t="e">
        <f>VLOOKUP(A2190,Ingreso!K:P,6,FALSE)</f>
        <v>#N/A</v>
      </c>
      <c r="E2190" s="142" t="e">
        <f>(VLOOKUP(D2190,$D$2:$E$4,2,FALSE))-(IF('Informe Kelly'!H2184=$A$2,'Informe Kelly'!F2184,VLOOKUP(D2190,$D$2:$E$4,2,FALSE)))</f>
        <v>#N/A</v>
      </c>
      <c r="F2190" s="142" t="e">
        <f>IF('Informe Kelly'!H2184=$A$3,'Informe Kelly'!F2184,VLOOKUP(D2190,$D$2:$F$4,3,FALSE))-(VLOOKUP(D2190,$D$2:$F$4,3,FALSE))</f>
        <v>#N/A</v>
      </c>
      <c r="G2190" s="137" t="e">
        <f t="shared" si="38"/>
        <v>#N/A</v>
      </c>
    </row>
    <row r="2191" spans="1:7">
      <c r="A2191" s="112" t="str">
        <f>VLOOKUP('Informe Kelly'!A2185,Base!A:B,2,FALSE)</f>
        <v>16.413.939-5</v>
      </c>
      <c r="B2191" s="112" t="str">
        <f>VLOOKUP('Informe Kelly'!A2185,Base!A:G,7,FALSE)</f>
        <v>ESPINOZA MATURANA FABIAN</v>
      </c>
      <c r="C2191" s="112" t="str">
        <f>'Informe Kelly'!E2185</f>
        <v>09.04.2011</v>
      </c>
      <c r="D2191" s="112" t="e">
        <f>VLOOKUP(A2191,Ingreso!K:P,6,FALSE)</f>
        <v>#N/A</v>
      </c>
      <c r="E2191" s="142" t="e">
        <f>(VLOOKUP(D2191,$D$2:$E$4,2,FALSE))-(IF('Informe Kelly'!H2185=$A$2,'Informe Kelly'!F2185,VLOOKUP(D2191,$D$2:$E$4,2,FALSE)))</f>
        <v>#N/A</v>
      </c>
      <c r="F2191" s="142" t="e">
        <f>IF('Informe Kelly'!H2185=$A$3,'Informe Kelly'!F2185,VLOOKUP(D2191,$D$2:$F$4,3,FALSE))-(VLOOKUP(D2191,$D$2:$F$4,3,FALSE))</f>
        <v>#N/A</v>
      </c>
      <c r="G2191" s="137" t="e">
        <f t="shared" si="38"/>
        <v>#N/A</v>
      </c>
    </row>
    <row r="2192" spans="1:7">
      <c r="A2192" s="112" t="str">
        <f>VLOOKUP('Informe Kelly'!A2186,Base!A:B,2,FALSE)</f>
        <v>16.413.939-5</v>
      </c>
      <c r="B2192" s="112" t="str">
        <f>VLOOKUP('Informe Kelly'!A2186,Base!A:G,7,FALSE)</f>
        <v>ESPINOZA MATURANA FABIAN</v>
      </c>
      <c r="C2192" s="112" t="str">
        <f>'Informe Kelly'!E2186</f>
        <v>09.04.2011</v>
      </c>
      <c r="D2192" s="112" t="e">
        <f>VLOOKUP(A2192,Ingreso!K:P,6,FALSE)</f>
        <v>#N/A</v>
      </c>
      <c r="E2192" s="142" t="e">
        <f>(VLOOKUP(D2192,$D$2:$E$4,2,FALSE))-(IF('Informe Kelly'!H2186=$A$2,'Informe Kelly'!F2186,VLOOKUP(D2192,$D$2:$E$4,2,FALSE)))</f>
        <v>#N/A</v>
      </c>
      <c r="F2192" s="142" t="e">
        <f>IF('Informe Kelly'!H2186=$A$3,'Informe Kelly'!F2186,VLOOKUP(D2192,$D$2:$F$4,3,FALSE))-(VLOOKUP(D2192,$D$2:$F$4,3,FALSE))</f>
        <v>#N/A</v>
      </c>
      <c r="G2192" s="137" t="e">
        <f t="shared" si="38"/>
        <v>#N/A</v>
      </c>
    </row>
    <row r="2193" spans="1:7">
      <c r="A2193" s="112" t="str">
        <f>VLOOKUP('Informe Kelly'!A2187,Base!A:B,2,FALSE)</f>
        <v>16.441.340-3</v>
      </c>
      <c r="B2193" s="112" t="str">
        <f>VLOOKUP('Informe Kelly'!A2187,Base!A:G,7,FALSE)</f>
        <v>ORMAZABAL CACERES LUIS HERNAN</v>
      </c>
      <c r="C2193" s="112" t="str">
        <f>'Informe Kelly'!E2187</f>
        <v>04.04.2011</v>
      </c>
      <c r="D2193" s="112" t="e">
        <f>VLOOKUP(A2193,Ingreso!K:P,6,FALSE)</f>
        <v>#N/A</v>
      </c>
      <c r="E2193" s="142" t="e">
        <f>(VLOOKUP(D2193,$D$2:$E$4,2,FALSE))-(IF('Informe Kelly'!H2187=$A$2,'Informe Kelly'!F2187,VLOOKUP(D2193,$D$2:$E$4,2,FALSE)))</f>
        <v>#N/A</v>
      </c>
      <c r="F2193" s="142" t="e">
        <f>IF('Informe Kelly'!H2187=$A$3,'Informe Kelly'!F2187,VLOOKUP(D2193,$D$2:$F$4,3,FALSE))-(VLOOKUP(D2193,$D$2:$F$4,3,FALSE))</f>
        <v>#N/A</v>
      </c>
      <c r="G2193" s="137" t="e">
        <f t="shared" si="38"/>
        <v>#N/A</v>
      </c>
    </row>
    <row r="2194" spans="1:7">
      <c r="A2194" s="112" t="str">
        <f>VLOOKUP('Informe Kelly'!A2188,Base!A:B,2,FALSE)</f>
        <v>16.441.340-3</v>
      </c>
      <c r="B2194" s="112" t="str">
        <f>VLOOKUP('Informe Kelly'!A2188,Base!A:G,7,FALSE)</f>
        <v>ORMAZABAL CACERES LUIS HERNAN</v>
      </c>
      <c r="C2194" s="112" t="str">
        <f>'Informe Kelly'!E2188</f>
        <v>04.04.2011</v>
      </c>
      <c r="D2194" s="112" t="e">
        <f>VLOOKUP(A2194,Ingreso!K:P,6,FALSE)</f>
        <v>#N/A</v>
      </c>
      <c r="E2194" s="142" t="e">
        <f>(VLOOKUP(D2194,$D$2:$E$4,2,FALSE))-(IF('Informe Kelly'!H2188=$A$2,'Informe Kelly'!F2188,VLOOKUP(D2194,$D$2:$E$4,2,FALSE)))</f>
        <v>#N/A</v>
      </c>
      <c r="F2194" s="142" t="e">
        <f>IF('Informe Kelly'!H2188=$A$3,'Informe Kelly'!F2188,VLOOKUP(D2194,$D$2:$F$4,3,FALSE))-(VLOOKUP(D2194,$D$2:$F$4,3,FALSE))</f>
        <v>#N/A</v>
      </c>
      <c r="G2194" s="137" t="e">
        <f t="shared" si="38"/>
        <v>#N/A</v>
      </c>
    </row>
    <row r="2195" spans="1:7">
      <c r="A2195" s="112" t="str">
        <f>VLOOKUP('Informe Kelly'!A2189,Base!A:B,2,FALSE)</f>
        <v>16.441.340-3</v>
      </c>
      <c r="B2195" s="112" t="str">
        <f>VLOOKUP('Informe Kelly'!A2189,Base!A:G,7,FALSE)</f>
        <v>ORMAZABAL CACERES LUIS HERNAN</v>
      </c>
      <c r="C2195" s="112" t="str">
        <f>'Informe Kelly'!E2189</f>
        <v>05.04.2011</v>
      </c>
      <c r="D2195" s="112" t="e">
        <f>VLOOKUP(A2195,Ingreso!K:P,6,FALSE)</f>
        <v>#N/A</v>
      </c>
      <c r="E2195" s="142" t="e">
        <f>(VLOOKUP(D2195,$D$2:$E$4,2,FALSE))-(IF('Informe Kelly'!H2189=$A$2,'Informe Kelly'!F2189,VLOOKUP(D2195,$D$2:$E$4,2,FALSE)))</f>
        <v>#N/A</v>
      </c>
      <c r="F2195" s="142" t="e">
        <f>IF('Informe Kelly'!H2189=$A$3,'Informe Kelly'!F2189,VLOOKUP(D2195,$D$2:$F$4,3,FALSE))-(VLOOKUP(D2195,$D$2:$F$4,3,FALSE))</f>
        <v>#N/A</v>
      </c>
      <c r="G2195" s="137" t="e">
        <f t="shared" si="38"/>
        <v>#N/A</v>
      </c>
    </row>
    <row r="2196" spans="1:7">
      <c r="A2196" s="112" t="str">
        <f>VLOOKUP('Informe Kelly'!A2190,Base!A:B,2,FALSE)</f>
        <v>16.441.340-3</v>
      </c>
      <c r="B2196" s="112" t="str">
        <f>VLOOKUP('Informe Kelly'!A2190,Base!A:G,7,FALSE)</f>
        <v>ORMAZABAL CACERES LUIS HERNAN</v>
      </c>
      <c r="C2196" s="112" t="str">
        <f>'Informe Kelly'!E2190</f>
        <v>05.04.2011</v>
      </c>
      <c r="D2196" s="112" t="e">
        <f>VLOOKUP(A2196,Ingreso!K:P,6,FALSE)</f>
        <v>#N/A</v>
      </c>
      <c r="E2196" s="142" t="e">
        <f>(VLOOKUP(D2196,$D$2:$E$4,2,FALSE))-(IF('Informe Kelly'!H2190=$A$2,'Informe Kelly'!F2190,VLOOKUP(D2196,$D$2:$E$4,2,FALSE)))</f>
        <v>#N/A</v>
      </c>
      <c r="F2196" s="142" t="e">
        <f>IF('Informe Kelly'!H2190=$A$3,'Informe Kelly'!F2190,VLOOKUP(D2196,$D$2:$F$4,3,FALSE))-(VLOOKUP(D2196,$D$2:$F$4,3,FALSE))</f>
        <v>#N/A</v>
      </c>
      <c r="G2196" s="137" t="e">
        <f t="shared" si="38"/>
        <v>#N/A</v>
      </c>
    </row>
    <row r="2197" spans="1:7">
      <c r="A2197" s="112" t="str">
        <f>VLOOKUP('Informe Kelly'!A2191,Base!A:B,2,FALSE)</f>
        <v>16.441.340-3</v>
      </c>
      <c r="B2197" s="112" t="str">
        <f>VLOOKUP('Informe Kelly'!A2191,Base!A:G,7,FALSE)</f>
        <v>ORMAZABAL CACERES LUIS HERNAN</v>
      </c>
      <c r="C2197" s="112" t="str">
        <f>'Informe Kelly'!E2191</f>
        <v>06.04.2011</v>
      </c>
      <c r="D2197" s="112" t="e">
        <f>VLOOKUP(A2197,Ingreso!K:P,6,FALSE)</f>
        <v>#N/A</v>
      </c>
      <c r="E2197" s="142" t="e">
        <f>(VLOOKUP(D2197,$D$2:$E$4,2,FALSE))-(IF('Informe Kelly'!H2191=$A$2,'Informe Kelly'!F2191,VLOOKUP(D2197,$D$2:$E$4,2,FALSE)))</f>
        <v>#N/A</v>
      </c>
      <c r="F2197" s="142" t="e">
        <f>IF('Informe Kelly'!H2191=$A$3,'Informe Kelly'!F2191,VLOOKUP(D2197,$D$2:$F$4,3,FALSE))-(VLOOKUP(D2197,$D$2:$F$4,3,FALSE))</f>
        <v>#N/A</v>
      </c>
      <c r="G2197" s="137" t="e">
        <f t="shared" si="38"/>
        <v>#N/A</v>
      </c>
    </row>
    <row r="2198" spans="1:7">
      <c r="A2198" s="112" t="str">
        <f>VLOOKUP('Informe Kelly'!A2192,Base!A:B,2,FALSE)</f>
        <v>16.441.340-3</v>
      </c>
      <c r="B2198" s="112" t="str">
        <f>VLOOKUP('Informe Kelly'!A2192,Base!A:G,7,FALSE)</f>
        <v>ORMAZABAL CACERES LUIS HERNAN</v>
      </c>
      <c r="C2198" s="112" t="str">
        <f>'Informe Kelly'!E2192</f>
        <v>06.04.2011</v>
      </c>
      <c r="D2198" s="112" t="e">
        <f>VLOOKUP(A2198,Ingreso!K:P,6,FALSE)</f>
        <v>#N/A</v>
      </c>
      <c r="E2198" s="142" t="e">
        <f>(VLOOKUP(D2198,$D$2:$E$4,2,FALSE))-(IF('Informe Kelly'!H2192=$A$2,'Informe Kelly'!F2192,VLOOKUP(D2198,$D$2:$E$4,2,FALSE)))</f>
        <v>#N/A</v>
      </c>
      <c r="F2198" s="142" t="e">
        <f>IF('Informe Kelly'!H2192=$A$3,'Informe Kelly'!F2192,VLOOKUP(D2198,$D$2:$F$4,3,FALSE))-(VLOOKUP(D2198,$D$2:$F$4,3,FALSE))</f>
        <v>#N/A</v>
      </c>
      <c r="G2198" s="137" t="e">
        <f t="shared" si="38"/>
        <v>#N/A</v>
      </c>
    </row>
    <row r="2199" spans="1:7">
      <c r="A2199" s="112" t="str">
        <f>VLOOKUP('Informe Kelly'!A2193,Base!A:B,2,FALSE)</f>
        <v>16.441.340-3</v>
      </c>
      <c r="B2199" s="112" t="str">
        <f>VLOOKUP('Informe Kelly'!A2193,Base!A:G,7,FALSE)</f>
        <v>ORMAZABAL CACERES LUIS HERNAN</v>
      </c>
      <c r="C2199" s="112" t="str">
        <f>'Informe Kelly'!E2193</f>
        <v>07.04.2011</v>
      </c>
      <c r="D2199" s="112" t="e">
        <f>VLOOKUP(A2199,Ingreso!K:P,6,FALSE)</f>
        <v>#N/A</v>
      </c>
      <c r="E2199" s="142" t="e">
        <f>(VLOOKUP(D2199,$D$2:$E$4,2,FALSE))-(IF('Informe Kelly'!H2193=$A$2,'Informe Kelly'!F2193,VLOOKUP(D2199,$D$2:$E$4,2,FALSE)))</f>
        <v>#N/A</v>
      </c>
      <c r="F2199" s="142" t="e">
        <f>IF('Informe Kelly'!H2193=$A$3,'Informe Kelly'!F2193,VLOOKUP(D2199,$D$2:$F$4,3,FALSE))-(VLOOKUP(D2199,$D$2:$F$4,3,FALSE))</f>
        <v>#N/A</v>
      </c>
      <c r="G2199" s="137" t="e">
        <f t="shared" si="38"/>
        <v>#N/A</v>
      </c>
    </row>
    <row r="2200" spans="1:7">
      <c r="A2200" s="112" t="str">
        <f>VLOOKUP('Informe Kelly'!A2194,Base!A:B,2,FALSE)</f>
        <v>16.441.340-3</v>
      </c>
      <c r="B2200" s="112" t="str">
        <f>VLOOKUP('Informe Kelly'!A2194,Base!A:G,7,FALSE)</f>
        <v>ORMAZABAL CACERES LUIS HERNAN</v>
      </c>
      <c r="C2200" s="112" t="str">
        <f>'Informe Kelly'!E2194</f>
        <v>07.04.2011</v>
      </c>
      <c r="D2200" s="112" t="e">
        <f>VLOOKUP(A2200,Ingreso!K:P,6,FALSE)</f>
        <v>#N/A</v>
      </c>
      <c r="E2200" s="142" t="e">
        <f>(VLOOKUP(D2200,$D$2:$E$4,2,FALSE))-(IF('Informe Kelly'!H2194=$A$2,'Informe Kelly'!F2194,VLOOKUP(D2200,$D$2:$E$4,2,FALSE)))</f>
        <v>#N/A</v>
      </c>
      <c r="F2200" s="142" t="e">
        <f>IF('Informe Kelly'!H2194=$A$3,'Informe Kelly'!F2194,VLOOKUP(D2200,$D$2:$F$4,3,FALSE))-(VLOOKUP(D2200,$D$2:$F$4,3,FALSE))</f>
        <v>#N/A</v>
      </c>
      <c r="G2200" s="137" t="e">
        <f t="shared" si="38"/>
        <v>#N/A</v>
      </c>
    </row>
    <row r="2201" spans="1:7">
      <c r="A2201" s="112" t="str">
        <f>VLOOKUP('Informe Kelly'!A2195,Base!A:B,2,FALSE)</f>
        <v>16.441.340-3</v>
      </c>
      <c r="B2201" s="112" t="str">
        <f>VLOOKUP('Informe Kelly'!A2195,Base!A:G,7,FALSE)</f>
        <v>ORMAZABAL CACERES LUIS HERNAN</v>
      </c>
      <c r="C2201" s="112" t="str">
        <f>'Informe Kelly'!E2195</f>
        <v>08.04.2011</v>
      </c>
      <c r="D2201" s="112" t="e">
        <f>VLOOKUP(A2201,Ingreso!K:P,6,FALSE)</f>
        <v>#N/A</v>
      </c>
      <c r="E2201" s="142" t="e">
        <f>(VLOOKUP(D2201,$D$2:$E$4,2,FALSE))-(IF('Informe Kelly'!H2195=$A$2,'Informe Kelly'!F2195,VLOOKUP(D2201,$D$2:$E$4,2,FALSE)))</f>
        <v>#N/A</v>
      </c>
      <c r="F2201" s="142" t="e">
        <f>IF('Informe Kelly'!H2195=$A$3,'Informe Kelly'!F2195,VLOOKUP(D2201,$D$2:$F$4,3,FALSE))-(VLOOKUP(D2201,$D$2:$F$4,3,FALSE))</f>
        <v>#N/A</v>
      </c>
      <c r="G2201" s="137" t="e">
        <f t="shared" si="38"/>
        <v>#N/A</v>
      </c>
    </row>
    <row r="2202" spans="1:7">
      <c r="A2202" s="112" t="str">
        <f>VLOOKUP('Informe Kelly'!A2196,Base!A:B,2,FALSE)</f>
        <v>16.441.340-3</v>
      </c>
      <c r="B2202" s="112" t="str">
        <f>VLOOKUP('Informe Kelly'!A2196,Base!A:G,7,FALSE)</f>
        <v>ORMAZABAL CACERES LUIS HERNAN</v>
      </c>
      <c r="C2202" s="112" t="str">
        <f>'Informe Kelly'!E2196</f>
        <v>08.04.2011</v>
      </c>
      <c r="D2202" s="112" t="e">
        <f>VLOOKUP(A2202,Ingreso!K:P,6,FALSE)</f>
        <v>#N/A</v>
      </c>
      <c r="E2202" s="142" t="e">
        <f>(VLOOKUP(D2202,$D$2:$E$4,2,FALSE))-(IF('Informe Kelly'!H2196=$A$2,'Informe Kelly'!F2196,VLOOKUP(D2202,$D$2:$E$4,2,FALSE)))</f>
        <v>#N/A</v>
      </c>
      <c r="F2202" s="142" t="e">
        <f>IF('Informe Kelly'!H2196=$A$3,'Informe Kelly'!F2196,VLOOKUP(D2202,$D$2:$F$4,3,FALSE))-(VLOOKUP(D2202,$D$2:$F$4,3,FALSE))</f>
        <v>#N/A</v>
      </c>
      <c r="G2202" s="137" t="e">
        <f t="shared" si="38"/>
        <v>#N/A</v>
      </c>
    </row>
    <row r="2203" spans="1:7">
      <c r="A2203" s="112" t="str">
        <f>VLOOKUP('Informe Kelly'!A2197,Base!A:B,2,FALSE)</f>
        <v>16.441.340-3</v>
      </c>
      <c r="B2203" s="112" t="str">
        <f>VLOOKUP('Informe Kelly'!A2197,Base!A:G,7,FALSE)</f>
        <v>ORMAZABAL CACERES LUIS HERNAN</v>
      </c>
      <c r="C2203" s="112" t="str">
        <f>'Informe Kelly'!E2197</f>
        <v>09.04.2011</v>
      </c>
      <c r="D2203" s="112" t="e">
        <f>VLOOKUP(A2203,Ingreso!K:P,6,FALSE)</f>
        <v>#N/A</v>
      </c>
      <c r="E2203" s="142" t="e">
        <f>(VLOOKUP(D2203,$D$2:$E$4,2,FALSE))-(IF('Informe Kelly'!H2197=$A$2,'Informe Kelly'!F2197,VLOOKUP(D2203,$D$2:$E$4,2,FALSE)))</f>
        <v>#N/A</v>
      </c>
      <c r="F2203" s="142" t="e">
        <f>IF('Informe Kelly'!H2197=$A$3,'Informe Kelly'!F2197,VLOOKUP(D2203,$D$2:$F$4,3,FALSE))-(VLOOKUP(D2203,$D$2:$F$4,3,FALSE))</f>
        <v>#N/A</v>
      </c>
      <c r="G2203" s="137" t="e">
        <f t="shared" si="38"/>
        <v>#N/A</v>
      </c>
    </row>
    <row r="2204" spans="1:7">
      <c r="A2204" s="112" t="str">
        <f>VLOOKUP('Informe Kelly'!A2198,Base!A:B,2,FALSE)</f>
        <v>16.441.340-3</v>
      </c>
      <c r="B2204" s="112" t="str">
        <f>VLOOKUP('Informe Kelly'!A2198,Base!A:G,7,FALSE)</f>
        <v>ORMAZABAL CACERES LUIS HERNAN</v>
      </c>
      <c r="C2204" s="112" t="str">
        <f>'Informe Kelly'!E2198</f>
        <v>09.04.2011</v>
      </c>
      <c r="D2204" s="112" t="e">
        <f>VLOOKUP(A2204,Ingreso!K:P,6,FALSE)</f>
        <v>#N/A</v>
      </c>
      <c r="E2204" s="142" t="e">
        <f>(VLOOKUP(D2204,$D$2:$E$4,2,FALSE))-(IF('Informe Kelly'!H2198=$A$2,'Informe Kelly'!F2198,VLOOKUP(D2204,$D$2:$E$4,2,FALSE)))</f>
        <v>#N/A</v>
      </c>
      <c r="F2204" s="142" t="e">
        <f>IF('Informe Kelly'!H2198=$A$3,'Informe Kelly'!F2198,VLOOKUP(D2204,$D$2:$F$4,3,FALSE))-(VLOOKUP(D2204,$D$2:$F$4,3,FALSE))</f>
        <v>#N/A</v>
      </c>
      <c r="G2204" s="137" t="e">
        <f t="shared" si="38"/>
        <v>#N/A</v>
      </c>
    </row>
    <row r="2205" spans="1:7">
      <c r="A2205" s="112" t="str">
        <f>VLOOKUP('Informe Kelly'!A2199,Base!A:B,2,FALSE)</f>
        <v>16.441.596-1</v>
      </c>
      <c r="B2205" s="112" t="str">
        <f>VLOOKUP('Informe Kelly'!A2199,Base!A:G,7,FALSE)</f>
        <v>VIDAL OTAROLA DAYANA PAULETTE</v>
      </c>
      <c r="C2205" s="112" t="str">
        <f>'Informe Kelly'!E2199</f>
        <v>00.00.0000</v>
      </c>
      <c r="D2205" s="112" t="e">
        <f>VLOOKUP(A2205,Ingreso!K:P,6,FALSE)</f>
        <v>#N/A</v>
      </c>
      <c r="E2205" s="142" t="e">
        <f>(VLOOKUP(D2205,$D$2:$E$4,2,FALSE))-(IF('Informe Kelly'!H2199=$A$2,'Informe Kelly'!F2199,VLOOKUP(D2205,$D$2:$E$4,2,FALSE)))</f>
        <v>#N/A</v>
      </c>
      <c r="F2205" s="142" t="e">
        <f>IF('Informe Kelly'!H2199=$A$3,'Informe Kelly'!F2199,VLOOKUP(D2205,$D$2:$F$4,3,FALSE))-(VLOOKUP(D2205,$D$2:$F$4,3,FALSE))</f>
        <v>#N/A</v>
      </c>
      <c r="G2205" s="137" t="e">
        <f t="shared" si="38"/>
        <v>#N/A</v>
      </c>
    </row>
    <row r="2206" spans="1:7">
      <c r="A2206" s="112" t="str">
        <f>VLOOKUP('Informe Kelly'!A2200,Base!A:B,2,FALSE)</f>
        <v>16.649.200-9</v>
      </c>
      <c r="B2206" s="112" t="str">
        <f>VLOOKUP('Informe Kelly'!A2200,Base!A:G,7,FALSE)</f>
        <v>MARTINEZ RIVERA VICTOR ALFONSO</v>
      </c>
      <c r="C2206" s="112" t="str">
        <f>'Informe Kelly'!E2200</f>
        <v>04.04.2011</v>
      </c>
      <c r="D2206" s="112" t="e">
        <f>VLOOKUP(A2206,Ingreso!K:P,6,FALSE)</f>
        <v>#N/A</v>
      </c>
      <c r="E2206" s="142" t="e">
        <f>(VLOOKUP(D2206,$D$2:$E$4,2,FALSE))-(IF('Informe Kelly'!H2200=$A$2,'Informe Kelly'!F2200,VLOOKUP(D2206,$D$2:$E$4,2,FALSE)))</f>
        <v>#N/A</v>
      </c>
      <c r="F2206" s="142" t="e">
        <f>IF('Informe Kelly'!H2200=$A$3,'Informe Kelly'!F2200,VLOOKUP(D2206,$D$2:$F$4,3,FALSE))-(VLOOKUP(D2206,$D$2:$F$4,3,FALSE))</f>
        <v>#N/A</v>
      </c>
      <c r="G2206" s="137" t="e">
        <f t="shared" si="38"/>
        <v>#N/A</v>
      </c>
    </row>
    <row r="2207" spans="1:7">
      <c r="A2207" s="112" t="str">
        <f>VLOOKUP('Informe Kelly'!A2201,Base!A:B,2,FALSE)</f>
        <v>16.649.200-9</v>
      </c>
      <c r="B2207" s="112" t="str">
        <f>VLOOKUP('Informe Kelly'!A2201,Base!A:G,7,FALSE)</f>
        <v>MARTINEZ RIVERA VICTOR ALFONSO</v>
      </c>
      <c r="C2207" s="112" t="str">
        <f>'Informe Kelly'!E2201</f>
        <v>04.04.2011</v>
      </c>
      <c r="D2207" s="112" t="e">
        <f>VLOOKUP(A2207,Ingreso!K:P,6,FALSE)</f>
        <v>#N/A</v>
      </c>
      <c r="E2207" s="142" t="e">
        <f>(VLOOKUP(D2207,$D$2:$E$4,2,FALSE))-(IF('Informe Kelly'!H2201=$A$2,'Informe Kelly'!F2201,VLOOKUP(D2207,$D$2:$E$4,2,FALSE)))</f>
        <v>#N/A</v>
      </c>
      <c r="F2207" s="142" t="e">
        <f>IF('Informe Kelly'!H2201=$A$3,'Informe Kelly'!F2201,VLOOKUP(D2207,$D$2:$F$4,3,FALSE))-(VLOOKUP(D2207,$D$2:$F$4,3,FALSE))</f>
        <v>#N/A</v>
      </c>
      <c r="G2207" s="137" t="e">
        <f t="shared" si="38"/>
        <v>#N/A</v>
      </c>
    </row>
    <row r="2208" spans="1:7">
      <c r="A2208" s="112" t="str">
        <f>VLOOKUP('Informe Kelly'!A2202,Base!A:B,2,FALSE)</f>
        <v>16.649.200-9</v>
      </c>
      <c r="B2208" s="112" t="str">
        <f>VLOOKUP('Informe Kelly'!A2202,Base!A:G,7,FALSE)</f>
        <v>MARTINEZ RIVERA VICTOR ALFONSO</v>
      </c>
      <c r="C2208" s="112" t="str">
        <f>'Informe Kelly'!E2202</f>
        <v>05.04.2011</v>
      </c>
      <c r="D2208" s="112" t="e">
        <f>VLOOKUP(A2208,Ingreso!K:P,6,FALSE)</f>
        <v>#N/A</v>
      </c>
      <c r="E2208" s="142" t="e">
        <f>(VLOOKUP(D2208,$D$2:$E$4,2,FALSE))-(IF('Informe Kelly'!H2202=$A$2,'Informe Kelly'!F2202,VLOOKUP(D2208,$D$2:$E$4,2,FALSE)))</f>
        <v>#N/A</v>
      </c>
      <c r="F2208" s="142" t="e">
        <f>IF('Informe Kelly'!H2202=$A$3,'Informe Kelly'!F2202,VLOOKUP(D2208,$D$2:$F$4,3,FALSE))-(VLOOKUP(D2208,$D$2:$F$4,3,FALSE))</f>
        <v>#N/A</v>
      </c>
      <c r="G2208" s="137" t="e">
        <f t="shared" si="38"/>
        <v>#N/A</v>
      </c>
    </row>
    <row r="2209" spans="1:7">
      <c r="A2209" s="112" t="str">
        <f>VLOOKUP('Informe Kelly'!A2203,Base!A:B,2,FALSE)</f>
        <v>16.649.200-9</v>
      </c>
      <c r="B2209" s="112" t="str">
        <f>VLOOKUP('Informe Kelly'!A2203,Base!A:G,7,FALSE)</f>
        <v>MARTINEZ RIVERA VICTOR ALFONSO</v>
      </c>
      <c r="C2209" s="112" t="str">
        <f>'Informe Kelly'!E2203</f>
        <v>05.04.2011</v>
      </c>
      <c r="D2209" s="112" t="e">
        <f>VLOOKUP(A2209,Ingreso!K:P,6,FALSE)</f>
        <v>#N/A</v>
      </c>
      <c r="E2209" s="142" t="e">
        <f>(VLOOKUP(D2209,$D$2:$E$4,2,FALSE))-(IF('Informe Kelly'!H2203=$A$2,'Informe Kelly'!F2203,VLOOKUP(D2209,$D$2:$E$4,2,FALSE)))</f>
        <v>#N/A</v>
      </c>
      <c r="F2209" s="142" t="e">
        <f>IF('Informe Kelly'!H2203=$A$3,'Informe Kelly'!F2203,VLOOKUP(D2209,$D$2:$F$4,3,FALSE))-(VLOOKUP(D2209,$D$2:$F$4,3,FALSE))</f>
        <v>#N/A</v>
      </c>
      <c r="G2209" s="137" t="e">
        <f t="shared" si="38"/>
        <v>#N/A</v>
      </c>
    </row>
    <row r="2210" spans="1:7">
      <c r="A2210" s="112" t="str">
        <f>VLOOKUP('Informe Kelly'!A2204,Base!A:B,2,FALSE)</f>
        <v>16.649.200-9</v>
      </c>
      <c r="B2210" s="112" t="str">
        <f>VLOOKUP('Informe Kelly'!A2204,Base!A:G,7,FALSE)</f>
        <v>MARTINEZ RIVERA VICTOR ALFONSO</v>
      </c>
      <c r="C2210" s="112" t="str">
        <f>'Informe Kelly'!E2204</f>
        <v>06.04.2011</v>
      </c>
      <c r="D2210" s="112" t="e">
        <f>VLOOKUP(A2210,Ingreso!K:P,6,FALSE)</f>
        <v>#N/A</v>
      </c>
      <c r="E2210" s="142" t="e">
        <f>(VLOOKUP(D2210,$D$2:$E$4,2,FALSE))-(IF('Informe Kelly'!H2204=$A$2,'Informe Kelly'!F2204,VLOOKUP(D2210,$D$2:$E$4,2,FALSE)))</f>
        <v>#N/A</v>
      </c>
      <c r="F2210" s="142" t="e">
        <f>IF('Informe Kelly'!H2204=$A$3,'Informe Kelly'!F2204,VLOOKUP(D2210,$D$2:$F$4,3,FALSE))-(VLOOKUP(D2210,$D$2:$F$4,3,FALSE))</f>
        <v>#N/A</v>
      </c>
      <c r="G2210" s="137" t="e">
        <f t="shared" si="38"/>
        <v>#N/A</v>
      </c>
    </row>
    <row r="2211" spans="1:7">
      <c r="A2211" s="112" t="str">
        <f>VLOOKUP('Informe Kelly'!A2205,Base!A:B,2,FALSE)</f>
        <v>16.649.200-9</v>
      </c>
      <c r="B2211" s="112" t="str">
        <f>VLOOKUP('Informe Kelly'!A2205,Base!A:G,7,FALSE)</f>
        <v>MARTINEZ RIVERA VICTOR ALFONSO</v>
      </c>
      <c r="C2211" s="112" t="str">
        <f>'Informe Kelly'!E2205</f>
        <v>06.04.2011</v>
      </c>
      <c r="D2211" s="112" t="e">
        <f>VLOOKUP(A2211,Ingreso!K:P,6,FALSE)</f>
        <v>#N/A</v>
      </c>
      <c r="E2211" s="142" t="e">
        <f>(VLOOKUP(D2211,$D$2:$E$4,2,FALSE))-(IF('Informe Kelly'!H2205=$A$2,'Informe Kelly'!F2205,VLOOKUP(D2211,$D$2:$E$4,2,FALSE)))</f>
        <v>#N/A</v>
      </c>
      <c r="F2211" s="142" t="e">
        <f>IF('Informe Kelly'!H2205=$A$3,'Informe Kelly'!F2205,VLOOKUP(D2211,$D$2:$F$4,3,FALSE))-(VLOOKUP(D2211,$D$2:$F$4,3,FALSE))</f>
        <v>#N/A</v>
      </c>
      <c r="G2211" s="137" t="e">
        <f t="shared" si="38"/>
        <v>#N/A</v>
      </c>
    </row>
    <row r="2212" spans="1:7">
      <c r="A2212" s="112" t="str">
        <f>VLOOKUP('Informe Kelly'!A2206,Base!A:B,2,FALSE)</f>
        <v>16.649.200-9</v>
      </c>
      <c r="B2212" s="112" t="str">
        <f>VLOOKUP('Informe Kelly'!A2206,Base!A:G,7,FALSE)</f>
        <v>MARTINEZ RIVERA VICTOR ALFONSO</v>
      </c>
      <c r="C2212" s="112" t="str">
        <f>'Informe Kelly'!E2206</f>
        <v>07.04.2011</v>
      </c>
      <c r="D2212" s="112" t="e">
        <f>VLOOKUP(A2212,Ingreso!K:P,6,FALSE)</f>
        <v>#N/A</v>
      </c>
      <c r="E2212" s="142" t="e">
        <f>(VLOOKUP(D2212,$D$2:$E$4,2,FALSE))-(IF('Informe Kelly'!H2206=$A$2,'Informe Kelly'!F2206,VLOOKUP(D2212,$D$2:$E$4,2,FALSE)))</f>
        <v>#N/A</v>
      </c>
      <c r="F2212" s="142" t="e">
        <f>IF('Informe Kelly'!H2206=$A$3,'Informe Kelly'!F2206,VLOOKUP(D2212,$D$2:$F$4,3,FALSE))-(VLOOKUP(D2212,$D$2:$F$4,3,FALSE))</f>
        <v>#N/A</v>
      </c>
      <c r="G2212" s="137" t="e">
        <f t="shared" si="38"/>
        <v>#N/A</v>
      </c>
    </row>
    <row r="2213" spans="1:7">
      <c r="A2213" s="112" t="str">
        <f>VLOOKUP('Informe Kelly'!A2207,Base!A:B,2,FALSE)</f>
        <v>16.649.200-9</v>
      </c>
      <c r="B2213" s="112" t="str">
        <f>VLOOKUP('Informe Kelly'!A2207,Base!A:G,7,FALSE)</f>
        <v>MARTINEZ RIVERA VICTOR ALFONSO</v>
      </c>
      <c r="C2213" s="112" t="str">
        <f>'Informe Kelly'!E2207</f>
        <v>07.04.2011</v>
      </c>
      <c r="D2213" s="112" t="e">
        <f>VLOOKUP(A2213,Ingreso!K:P,6,FALSE)</f>
        <v>#N/A</v>
      </c>
      <c r="E2213" s="142" t="e">
        <f>(VLOOKUP(D2213,$D$2:$E$4,2,FALSE))-(IF('Informe Kelly'!H2207=$A$2,'Informe Kelly'!F2207,VLOOKUP(D2213,$D$2:$E$4,2,FALSE)))</f>
        <v>#N/A</v>
      </c>
      <c r="F2213" s="142" t="e">
        <f>IF('Informe Kelly'!H2207=$A$3,'Informe Kelly'!F2207,VLOOKUP(D2213,$D$2:$F$4,3,FALSE))-(VLOOKUP(D2213,$D$2:$F$4,3,FALSE))</f>
        <v>#N/A</v>
      </c>
      <c r="G2213" s="137" t="e">
        <f t="shared" si="38"/>
        <v>#N/A</v>
      </c>
    </row>
    <row r="2214" spans="1:7">
      <c r="A2214" s="112" t="str">
        <f>VLOOKUP('Informe Kelly'!A2208,Base!A:B,2,FALSE)</f>
        <v>16.649.200-9</v>
      </c>
      <c r="B2214" s="112" t="str">
        <f>VLOOKUP('Informe Kelly'!A2208,Base!A:G,7,FALSE)</f>
        <v>MARTINEZ RIVERA VICTOR ALFONSO</v>
      </c>
      <c r="C2214" s="112" t="str">
        <f>'Informe Kelly'!E2208</f>
        <v>08.04.2011</v>
      </c>
      <c r="D2214" s="112" t="e">
        <f>VLOOKUP(A2214,Ingreso!K:P,6,FALSE)</f>
        <v>#N/A</v>
      </c>
      <c r="E2214" s="142" t="e">
        <f>(VLOOKUP(D2214,$D$2:$E$4,2,FALSE))-(IF('Informe Kelly'!H2208=$A$2,'Informe Kelly'!F2208,VLOOKUP(D2214,$D$2:$E$4,2,FALSE)))</f>
        <v>#N/A</v>
      </c>
      <c r="F2214" s="142" t="e">
        <f>IF('Informe Kelly'!H2208=$A$3,'Informe Kelly'!F2208,VLOOKUP(D2214,$D$2:$F$4,3,FALSE))-(VLOOKUP(D2214,$D$2:$F$4,3,FALSE))</f>
        <v>#N/A</v>
      </c>
      <c r="G2214" s="137" t="e">
        <f t="shared" si="38"/>
        <v>#N/A</v>
      </c>
    </row>
    <row r="2215" spans="1:7">
      <c r="A2215" s="112" t="str">
        <f>VLOOKUP('Informe Kelly'!A2209,Base!A:B,2,FALSE)</f>
        <v>16.649.200-9</v>
      </c>
      <c r="B2215" s="112" t="str">
        <f>VLOOKUP('Informe Kelly'!A2209,Base!A:G,7,FALSE)</f>
        <v>MARTINEZ RIVERA VICTOR ALFONSO</v>
      </c>
      <c r="C2215" s="112" t="str">
        <f>'Informe Kelly'!E2209</f>
        <v>08.04.2011</v>
      </c>
      <c r="D2215" s="112" t="e">
        <f>VLOOKUP(A2215,Ingreso!K:P,6,FALSE)</f>
        <v>#N/A</v>
      </c>
      <c r="E2215" s="142" t="e">
        <f>(VLOOKUP(D2215,$D$2:$E$4,2,FALSE))-(IF('Informe Kelly'!H2209=$A$2,'Informe Kelly'!F2209,VLOOKUP(D2215,$D$2:$E$4,2,FALSE)))</f>
        <v>#N/A</v>
      </c>
      <c r="F2215" s="142" t="e">
        <f>IF('Informe Kelly'!H2209=$A$3,'Informe Kelly'!F2209,VLOOKUP(D2215,$D$2:$F$4,3,FALSE))-(VLOOKUP(D2215,$D$2:$F$4,3,FALSE))</f>
        <v>#N/A</v>
      </c>
      <c r="G2215" s="137" t="e">
        <f t="shared" si="38"/>
        <v>#N/A</v>
      </c>
    </row>
    <row r="2216" spans="1:7">
      <c r="A2216" s="112" t="str">
        <f>VLOOKUP('Informe Kelly'!A2210,Base!A:B,2,FALSE)</f>
        <v>16.649.200-9</v>
      </c>
      <c r="B2216" s="112" t="str">
        <f>VLOOKUP('Informe Kelly'!A2210,Base!A:G,7,FALSE)</f>
        <v>MARTINEZ RIVERA VICTOR ALFONSO</v>
      </c>
      <c r="C2216" s="112" t="str">
        <f>'Informe Kelly'!E2210</f>
        <v>09.04.2011</v>
      </c>
      <c r="D2216" s="112" t="e">
        <f>VLOOKUP(A2216,Ingreso!K:P,6,FALSE)</f>
        <v>#N/A</v>
      </c>
      <c r="E2216" s="142" t="e">
        <f>(VLOOKUP(D2216,$D$2:$E$4,2,FALSE))-(IF('Informe Kelly'!H2210=$A$2,'Informe Kelly'!F2210,VLOOKUP(D2216,$D$2:$E$4,2,FALSE)))</f>
        <v>#N/A</v>
      </c>
      <c r="F2216" s="142" t="e">
        <f>IF('Informe Kelly'!H2210=$A$3,'Informe Kelly'!F2210,VLOOKUP(D2216,$D$2:$F$4,3,FALSE))-(VLOOKUP(D2216,$D$2:$F$4,3,FALSE))</f>
        <v>#N/A</v>
      </c>
      <c r="G2216" s="137" t="e">
        <f t="shared" si="38"/>
        <v>#N/A</v>
      </c>
    </row>
    <row r="2217" spans="1:7">
      <c r="A2217" s="112" t="str">
        <f>VLOOKUP('Informe Kelly'!A2211,Base!A:B,2,FALSE)</f>
        <v>16.649.200-9</v>
      </c>
      <c r="B2217" s="112" t="str">
        <f>VLOOKUP('Informe Kelly'!A2211,Base!A:G,7,FALSE)</f>
        <v>MARTINEZ RIVERA VICTOR ALFONSO</v>
      </c>
      <c r="C2217" s="112" t="str">
        <f>'Informe Kelly'!E2211</f>
        <v>09.04.2011</v>
      </c>
      <c r="D2217" s="112" t="e">
        <f>VLOOKUP(A2217,Ingreso!K:P,6,FALSE)</f>
        <v>#N/A</v>
      </c>
      <c r="E2217" s="142" t="e">
        <f>(VLOOKUP(D2217,$D$2:$E$4,2,FALSE))-(IF('Informe Kelly'!H2211=$A$2,'Informe Kelly'!F2211,VLOOKUP(D2217,$D$2:$E$4,2,FALSE)))</f>
        <v>#N/A</v>
      </c>
      <c r="F2217" s="142" t="e">
        <f>IF('Informe Kelly'!H2211=$A$3,'Informe Kelly'!F2211,VLOOKUP(D2217,$D$2:$F$4,3,FALSE))-(VLOOKUP(D2217,$D$2:$F$4,3,FALSE))</f>
        <v>#N/A</v>
      </c>
      <c r="G2217" s="137" t="e">
        <f t="shared" si="38"/>
        <v>#N/A</v>
      </c>
    </row>
    <row r="2218" spans="1:7">
      <c r="A2218" s="112" t="str">
        <f>VLOOKUP('Informe Kelly'!A2212,Base!A:B,2,FALSE)</f>
        <v>16.691.386-1</v>
      </c>
      <c r="B2218" s="112" t="str">
        <f>VLOOKUP('Informe Kelly'!A2212,Base!A:G,7,FALSE)</f>
        <v xml:space="preserve">SANDOVAL ALTAMIRANO LORENZO </v>
      </c>
      <c r="C2218" s="112" t="str">
        <f>'Informe Kelly'!E2212</f>
        <v>04.04.2011</v>
      </c>
      <c r="D2218" s="112" t="e">
        <f>VLOOKUP(A2218,Ingreso!K:P,6,FALSE)</f>
        <v>#N/A</v>
      </c>
      <c r="E2218" s="142" t="e">
        <f>(VLOOKUP(D2218,$D$2:$E$4,2,FALSE))-(IF('Informe Kelly'!H2212=$A$2,'Informe Kelly'!F2212,VLOOKUP(D2218,$D$2:$E$4,2,FALSE)))</f>
        <v>#N/A</v>
      </c>
      <c r="F2218" s="142" t="e">
        <f>IF('Informe Kelly'!H2212=$A$3,'Informe Kelly'!F2212,VLOOKUP(D2218,$D$2:$F$4,3,FALSE))-(VLOOKUP(D2218,$D$2:$F$4,3,FALSE))</f>
        <v>#N/A</v>
      </c>
      <c r="G2218" s="137" t="e">
        <f t="shared" si="38"/>
        <v>#N/A</v>
      </c>
    </row>
    <row r="2219" spans="1:7">
      <c r="A2219" s="112" t="str">
        <f>VLOOKUP('Informe Kelly'!A2213,Base!A:B,2,FALSE)</f>
        <v>16.691.386-1</v>
      </c>
      <c r="B2219" s="112" t="str">
        <f>VLOOKUP('Informe Kelly'!A2213,Base!A:G,7,FALSE)</f>
        <v xml:space="preserve">SANDOVAL ALTAMIRANO LORENZO </v>
      </c>
      <c r="C2219" s="112" t="str">
        <f>'Informe Kelly'!E2213</f>
        <v>04.04.2011</v>
      </c>
      <c r="D2219" s="112" t="e">
        <f>VLOOKUP(A2219,Ingreso!K:P,6,FALSE)</f>
        <v>#N/A</v>
      </c>
      <c r="E2219" s="142" t="e">
        <f>(VLOOKUP(D2219,$D$2:$E$4,2,FALSE))-(IF('Informe Kelly'!H2213=$A$2,'Informe Kelly'!F2213,VLOOKUP(D2219,$D$2:$E$4,2,FALSE)))</f>
        <v>#N/A</v>
      </c>
      <c r="F2219" s="142" t="e">
        <f>IF('Informe Kelly'!H2213=$A$3,'Informe Kelly'!F2213,VLOOKUP(D2219,$D$2:$F$4,3,FALSE))-(VLOOKUP(D2219,$D$2:$F$4,3,FALSE))</f>
        <v>#N/A</v>
      </c>
      <c r="G2219" s="137" t="e">
        <f t="shared" si="38"/>
        <v>#N/A</v>
      </c>
    </row>
    <row r="2220" spans="1:7">
      <c r="A2220" s="112" t="str">
        <f>VLOOKUP('Informe Kelly'!A2214,Base!A:B,2,FALSE)</f>
        <v>16.691.386-1</v>
      </c>
      <c r="B2220" s="112" t="str">
        <f>VLOOKUP('Informe Kelly'!A2214,Base!A:G,7,FALSE)</f>
        <v xml:space="preserve">SANDOVAL ALTAMIRANO LORENZO </v>
      </c>
      <c r="C2220" s="112" t="str">
        <f>'Informe Kelly'!E2214</f>
        <v>05.04.2011</v>
      </c>
      <c r="D2220" s="112" t="e">
        <f>VLOOKUP(A2220,Ingreso!K:P,6,FALSE)</f>
        <v>#N/A</v>
      </c>
      <c r="E2220" s="142" t="e">
        <f>(VLOOKUP(D2220,$D$2:$E$4,2,FALSE))-(IF('Informe Kelly'!H2214=$A$2,'Informe Kelly'!F2214,VLOOKUP(D2220,$D$2:$E$4,2,FALSE)))</f>
        <v>#N/A</v>
      </c>
      <c r="F2220" s="142" t="e">
        <f>IF('Informe Kelly'!H2214=$A$3,'Informe Kelly'!F2214,VLOOKUP(D2220,$D$2:$F$4,3,FALSE))-(VLOOKUP(D2220,$D$2:$F$4,3,FALSE))</f>
        <v>#N/A</v>
      </c>
      <c r="G2220" s="137" t="e">
        <f t="shared" si="38"/>
        <v>#N/A</v>
      </c>
    </row>
    <row r="2221" spans="1:7">
      <c r="A2221" s="112" t="str">
        <f>VLOOKUP('Informe Kelly'!A2215,Base!A:B,2,FALSE)</f>
        <v>16.691.386-1</v>
      </c>
      <c r="B2221" s="112" t="str">
        <f>VLOOKUP('Informe Kelly'!A2215,Base!A:G,7,FALSE)</f>
        <v xml:space="preserve">SANDOVAL ALTAMIRANO LORENZO </v>
      </c>
      <c r="C2221" s="112" t="str">
        <f>'Informe Kelly'!E2215</f>
        <v>05.04.2011</v>
      </c>
      <c r="D2221" s="112" t="e">
        <f>VLOOKUP(A2221,Ingreso!K:P,6,FALSE)</f>
        <v>#N/A</v>
      </c>
      <c r="E2221" s="142" t="e">
        <f>(VLOOKUP(D2221,$D$2:$E$4,2,FALSE))-(IF('Informe Kelly'!H2215=$A$2,'Informe Kelly'!F2215,VLOOKUP(D2221,$D$2:$E$4,2,FALSE)))</f>
        <v>#N/A</v>
      </c>
      <c r="F2221" s="142" t="e">
        <f>IF('Informe Kelly'!H2215=$A$3,'Informe Kelly'!F2215,VLOOKUP(D2221,$D$2:$F$4,3,FALSE))-(VLOOKUP(D2221,$D$2:$F$4,3,FALSE))</f>
        <v>#N/A</v>
      </c>
      <c r="G2221" s="137" t="e">
        <f t="shared" si="38"/>
        <v>#N/A</v>
      </c>
    </row>
    <row r="2222" spans="1:7">
      <c r="A2222" s="112" t="str">
        <f>VLOOKUP('Informe Kelly'!A2216,Base!A:B,2,FALSE)</f>
        <v>16.691.386-1</v>
      </c>
      <c r="B2222" s="112" t="str">
        <f>VLOOKUP('Informe Kelly'!A2216,Base!A:G,7,FALSE)</f>
        <v xml:space="preserve">SANDOVAL ALTAMIRANO LORENZO </v>
      </c>
      <c r="C2222" s="112" t="str">
        <f>'Informe Kelly'!E2216</f>
        <v>06.04.2011</v>
      </c>
      <c r="D2222" s="112" t="e">
        <f>VLOOKUP(A2222,Ingreso!K:P,6,FALSE)</f>
        <v>#N/A</v>
      </c>
      <c r="E2222" s="142" t="e">
        <f>(VLOOKUP(D2222,$D$2:$E$4,2,FALSE))-(IF('Informe Kelly'!H2216=$A$2,'Informe Kelly'!F2216,VLOOKUP(D2222,$D$2:$E$4,2,FALSE)))</f>
        <v>#N/A</v>
      </c>
      <c r="F2222" s="142" t="e">
        <f>IF('Informe Kelly'!H2216=$A$3,'Informe Kelly'!F2216,VLOOKUP(D2222,$D$2:$F$4,3,FALSE))-(VLOOKUP(D2222,$D$2:$F$4,3,FALSE))</f>
        <v>#N/A</v>
      </c>
      <c r="G2222" s="137" t="e">
        <f t="shared" si="38"/>
        <v>#N/A</v>
      </c>
    </row>
    <row r="2223" spans="1:7">
      <c r="A2223" s="112" t="str">
        <f>VLOOKUP('Informe Kelly'!A2217,Base!A:B,2,FALSE)</f>
        <v>16.691.386-1</v>
      </c>
      <c r="B2223" s="112" t="str">
        <f>VLOOKUP('Informe Kelly'!A2217,Base!A:G,7,FALSE)</f>
        <v xml:space="preserve">SANDOVAL ALTAMIRANO LORENZO </v>
      </c>
      <c r="C2223" s="112" t="str">
        <f>'Informe Kelly'!E2217</f>
        <v>06.04.2011</v>
      </c>
      <c r="D2223" s="112" t="e">
        <f>VLOOKUP(A2223,Ingreso!K:P,6,FALSE)</f>
        <v>#N/A</v>
      </c>
      <c r="E2223" s="142" t="e">
        <f>(VLOOKUP(D2223,$D$2:$E$4,2,FALSE))-(IF('Informe Kelly'!H2217=$A$2,'Informe Kelly'!F2217,VLOOKUP(D2223,$D$2:$E$4,2,FALSE)))</f>
        <v>#N/A</v>
      </c>
      <c r="F2223" s="142" t="e">
        <f>IF('Informe Kelly'!H2217=$A$3,'Informe Kelly'!F2217,VLOOKUP(D2223,$D$2:$F$4,3,FALSE))-(VLOOKUP(D2223,$D$2:$F$4,3,FALSE))</f>
        <v>#N/A</v>
      </c>
      <c r="G2223" s="137" t="e">
        <f t="shared" si="38"/>
        <v>#N/A</v>
      </c>
    </row>
    <row r="2224" spans="1:7">
      <c r="A2224" s="112" t="str">
        <f>VLOOKUP('Informe Kelly'!A2218,Base!A:B,2,FALSE)</f>
        <v>16.691.386-1</v>
      </c>
      <c r="B2224" s="112" t="str">
        <f>VLOOKUP('Informe Kelly'!A2218,Base!A:G,7,FALSE)</f>
        <v xml:space="preserve">SANDOVAL ALTAMIRANO LORENZO </v>
      </c>
      <c r="C2224" s="112" t="str">
        <f>'Informe Kelly'!E2218</f>
        <v>07.04.2011</v>
      </c>
      <c r="D2224" s="112" t="e">
        <f>VLOOKUP(A2224,Ingreso!K:P,6,FALSE)</f>
        <v>#N/A</v>
      </c>
      <c r="E2224" s="142" t="e">
        <f>(VLOOKUP(D2224,$D$2:$E$4,2,FALSE))-(IF('Informe Kelly'!H2218=$A$2,'Informe Kelly'!F2218,VLOOKUP(D2224,$D$2:$E$4,2,FALSE)))</f>
        <v>#N/A</v>
      </c>
      <c r="F2224" s="142" t="e">
        <f>IF('Informe Kelly'!H2218=$A$3,'Informe Kelly'!F2218,VLOOKUP(D2224,$D$2:$F$4,3,FALSE))-(VLOOKUP(D2224,$D$2:$F$4,3,FALSE))</f>
        <v>#N/A</v>
      </c>
      <c r="G2224" s="137" t="e">
        <f t="shared" si="38"/>
        <v>#N/A</v>
      </c>
    </row>
    <row r="2225" spans="1:7">
      <c r="A2225" s="112" t="str">
        <f>VLOOKUP('Informe Kelly'!A2219,Base!A:B,2,FALSE)</f>
        <v>16.691.386-1</v>
      </c>
      <c r="B2225" s="112" t="str">
        <f>VLOOKUP('Informe Kelly'!A2219,Base!A:G,7,FALSE)</f>
        <v xml:space="preserve">SANDOVAL ALTAMIRANO LORENZO </v>
      </c>
      <c r="C2225" s="112" t="str">
        <f>'Informe Kelly'!E2219</f>
        <v>07.04.2011</v>
      </c>
      <c r="D2225" s="112" t="e">
        <f>VLOOKUP(A2225,Ingreso!K:P,6,FALSE)</f>
        <v>#N/A</v>
      </c>
      <c r="E2225" s="142" t="e">
        <f>(VLOOKUP(D2225,$D$2:$E$4,2,FALSE))-(IF('Informe Kelly'!H2219=$A$2,'Informe Kelly'!F2219,VLOOKUP(D2225,$D$2:$E$4,2,FALSE)))</f>
        <v>#N/A</v>
      </c>
      <c r="F2225" s="142" t="e">
        <f>IF('Informe Kelly'!H2219=$A$3,'Informe Kelly'!F2219,VLOOKUP(D2225,$D$2:$F$4,3,FALSE))-(VLOOKUP(D2225,$D$2:$F$4,3,FALSE))</f>
        <v>#N/A</v>
      </c>
      <c r="G2225" s="137" t="e">
        <f t="shared" si="38"/>
        <v>#N/A</v>
      </c>
    </row>
    <row r="2226" spans="1:7">
      <c r="A2226" s="112" t="str">
        <f>VLOOKUP('Informe Kelly'!A2220,Base!A:B,2,FALSE)</f>
        <v>16.691.386-1</v>
      </c>
      <c r="B2226" s="112" t="str">
        <f>VLOOKUP('Informe Kelly'!A2220,Base!A:G,7,FALSE)</f>
        <v xml:space="preserve">SANDOVAL ALTAMIRANO LORENZO </v>
      </c>
      <c r="C2226" s="112" t="str">
        <f>'Informe Kelly'!E2220</f>
        <v>08.04.2011</v>
      </c>
      <c r="D2226" s="112" t="e">
        <f>VLOOKUP(A2226,Ingreso!K:P,6,FALSE)</f>
        <v>#N/A</v>
      </c>
      <c r="E2226" s="142" t="e">
        <f>(VLOOKUP(D2226,$D$2:$E$4,2,FALSE))-(IF('Informe Kelly'!H2220=$A$2,'Informe Kelly'!F2220,VLOOKUP(D2226,$D$2:$E$4,2,FALSE)))</f>
        <v>#N/A</v>
      </c>
      <c r="F2226" s="142" t="e">
        <f>IF('Informe Kelly'!H2220=$A$3,'Informe Kelly'!F2220,VLOOKUP(D2226,$D$2:$F$4,3,FALSE))-(VLOOKUP(D2226,$D$2:$F$4,3,FALSE))</f>
        <v>#N/A</v>
      </c>
      <c r="G2226" s="137" t="e">
        <f t="shared" si="38"/>
        <v>#N/A</v>
      </c>
    </row>
    <row r="2227" spans="1:7">
      <c r="A2227" s="112" t="str">
        <f>VLOOKUP('Informe Kelly'!A2221,Base!A:B,2,FALSE)</f>
        <v>16.691.386-1</v>
      </c>
      <c r="B2227" s="112" t="str">
        <f>VLOOKUP('Informe Kelly'!A2221,Base!A:G,7,FALSE)</f>
        <v xml:space="preserve">SANDOVAL ALTAMIRANO LORENZO </v>
      </c>
      <c r="C2227" s="112" t="str">
        <f>'Informe Kelly'!E2221</f>
        <v>08.04.2011</v>
      </c>
      <c r="D2227" s="112" t="e">
        <f>VLOOKUP(A2227,Ingreso!K:P,6,FALSE)</f>
        <v>#N/A</v>
      </c>
      <c r="E2227" s="142" t="e">
        <f>(VLOOKUP(D2227,$D$2:$E$4,2,FALSE))-(IF('Informe Kelly'!H2221=$A$2,'Informe Kelly'!F2221,VLOOKUP(D2227,$D$2:$E$4,2,FALSE)))</f>
        <v>#N/A</v>
      </c>
      <c r="F2227" s="142" t="e">
        <f>IF('Informe Kelly'!H2221=$A$3,'Informe Kelly'!F2221,VLOOKUP(D2227,$D$2:$F$4,3,FALSE))-(VLOOKUP(D2227,$D$2:$F$4,3,FALSE))</f>
        <v>#N/A</v>
      </c>
      <c r="G2227" s="137" t="e">
        <f t="shared" si="38"/>
        <v>#N/A</v>
      </c>
    </row>
    <row r="2228" spans="1:7">
      <c r="A2228" s="112" t="str">
        <f>VLOOKUP('Informe Kelly'!A2222,Base!A:B,2,FALSE)</f>
        <v>16.691.386-1</v>
      </c>
      <c r="B2228" s="112" t="str">
        <f>VLOOKUP('Informe Kelly'!A2222,Base!A:G,7,FALSE)</f>
        <v xml:space="preserve">SANDOVAL ALTAMIRANO LORENZO </v>
      </c>
      <c r="C2228" s="112" t="str">
        <f>'Informe Kelly'!E2222</f>
        <v>09.04.2011</v>
      </c>
      <c r="D2228" s="112" t="e">
        <f>VLOOKUP(A2228,Ingreso!K:P,6,FALSE)</f>
        <v>#N/A</v>
      </c>
      <c r="E2228" s="142" t="e">
        <f>(VLOOKUP(D2228,$D$2:$E$4,2,FALSE))-(IF('Informe Kelly'!H2222=$A$2,'Informe Kelly'!F2222,VLOOKUP(D2228,$D$2:$E$4,2,FALSE)))</f>
        <v>#N/A</v>
      </c>
      <c r="F2228" s="142" t="e">
        <f>IF('Informe Kelly'!H2222=$A$3,'Informe Kelly'!F2222,VLOOKUP(D2228,$D$2:$F$4,3,FALSE))-(VLOOKUP(D2228,$D$2:$F$4,3,FALSE))</f>
        <v>#N/A</v>
      </c>
      <c r="G2228" s="137" t="e">
        <f t="shared" si="38"/>
        <v>#N/A</v>
      </c>
    </row>
    <row r="2229" spans="1:7">
      <c r="A2229" s="112" t="str">
        <f>VLOOKUP('Informe Kelly'!A2223,Base!A:B,2,FALSE)</f>
        <v>16.691.386-1</v>
      </c>
      <c r="B2229" s="112" t="str">
        <f>VLOOKUP('Informe Kelly'!A2223,Base!A:G,7,FALSE)</f>
        <v xml:space="preserve">SANDOVAL ALTAMIRANO LORENZO </v>
      </c>
      <c r="C2229" s="112" t="str">
        <f>'Informe Kelly'!E2223</f>
        <v>09.04.2011</v>
      </c>
      <c r="D2229" s="112" t="e">
        <f>VLOOKUP(A2229,Ingreso!K:P,6,FALSE)</f>
        <v>#N/A</v>
      </c>
      <c r="E2229" s="142" t="e">
        <f>(VLOOKUP(D2229,$D$2:$E$4,2,FALSE))-(IF('Informe Kelly'!H2223=$A$2,'Informe Kelly'!F2223,VLOOKUP(D2229,$D$2:$E$4,2,FALSE)))</f>
        <v>#N/A</v>
      </c>
      <c r="F2229" s="142" t="e">
        <f>IF('Informe Kelly'!H2223=$A$3,'Informe Kelly'!F2223,VLOOKUP(D2229,$D$2:$F$4,3,FALSE))-(VLOOKUP(D2229,$D$2:$F$4,3,FALSE))</f>
        <v>#N/A</v>
      </c>
      <c r="G2229" s="137" t="e">
        <f t="shared" si="38"/>
        <v>#N/A</v>
      </c>
    </row>
    <row r="2230" spans="1:7">
      <c r="A2230" s="112" t="str">
        <f>VLOOKUP('Informe Kelly'!A2224,Base!A:B,2,FALSE)</f>
        <v>16.695.463-0</v>
      </c>
      <c r="B2230" s="112" t="str">
        <f>VLOOKUP('Informe Kelly'!A2224,Base!A:G,7,FALSE)</f>
        <v>CARVAJAL APPELGREN CAMILO ALEXANDER</v>
      </c>
      <c r="C2230" s="112" t="str">
        <f>'Informe Kelly'!E2224</f>
        <v>04.04.2011</v>
      </c>
      <c r="D2230" s="112" t="e">
        <f>VLOOKUP(A2230,Ingreso!K:P,6,FALSE)</f>
        <v>#N/A</v>
      </c>
      <c r="E2230" s="142" t="e">
        <f>(VLOOKUP(D2230,$D$2:$E$4,2,FALSE))-(IF('Informe Kelly'!H2224=$A$2,'Informe Kelly'!F2224,VLOOKUP(D2230,$D$2:$E$4,2,FALSE)))</f>
        <v>#N/A</v>
      </c>
      <c r="F2230" s="142" t="e">
        <f>IF('Informe Kelly'!H2224=$A$3,'Informe Kelly'!F2224,VLOOKUP(D2230,$D$2:$F$4,3,FALSE))-(VLOOKUP(D2230,$D$2:$F$4,3,FALSE))</f>
        <v>#N/A</v>
      </c>
      <c r="G2230" s="137" t="e">
        <f t="shared" si="38"/>
        <v>#N/A</v>
      </c>
    </row>
    <row r="2231" spans="1:7">
      <c r="A2231" s="112" t="str">
        <f>VLOOKUP('Informe Kelly'!A2225,Base!A:B,2,FALSE)</f>
        <v>16.695.463-0</v>
      </c>
      <c r="B2231" s="112" t="str">
        <f>VLOOKUP('Informe Kelly'!A2225,Base!A:G,7,FALSE)</f>
        <v>CARVAJAL APPELGREN CAMILO ALEXANDER</v>
      </c>
      <c r="C2231" s="112" t="str">
        <f>'Informe Kelly'!E2225</f>
        <v>04.04.2011</v>
      </c>
      <c r="D2231" s="112" t="e">
        <f>VLOOKUP(A2231,Ingreso!K:P,6,FALSE)</f>
        <v>#N/A</v>
      </c>
      <c r="E2231" s="142" t="e">
        <f>(VLOOKUP(D2231,$D$2:$E$4,2,FALSE))-(IF('Informe Kelly'!H2225=$A$2,'Informe Kelly'!F2225,VLOOKUP(D2231,$D$2:$E$4,2,FALSE)))</f>
        <v>#N/A</v>
      </c>
      <c r="F2231" s="142" t="e">
        <f>IF('Informe Kelly'!H2225=$A$3,'Informe Kelly'!F2225,VLOOKUP(D2231,$D$2:$F$4,3,FALSE))-(VLOOKUP(D2231,$D$2:$F$4,3,FALSE))</f>
        <v>#N/A</v>
      </c>
      <c r="G2231" s="137" t="e">
        <f t="shared" si="38"/>
        <v>#N/A</v>
      </c>
    </row>
    <row r="2232" spans="1:7">
      <c r="A2232" s="112" t="str">
        <f>VLOOKUP('Informe Kelly'!A2226,Base!A:B,2,FALSE)</f>
        <v>16.695.463-0</v>
      </c>
      <c r="B2232" s="112" t="str">
        <f>VLOOKUP('Informe Kelly'!A2226,Base!A:G,7,FALSE)</f>
        <v>CARVAJAL APPELGREN CAMILO ALEXANDER</v>
      </c>
      <c r="C2232" s="112" t="str">
        <f>'Informe Kelly'!E2226</f>
        <v>05.04.2011</v>
      </c>
      <c r="D2232" s="112" t="e">
        <f>VLOOKUP(A2232,Ingreso!K:P,6,FALSE)</f>
        <v>#N/A</v>
      </c>
      <c r="E2232" s="142" t="e">
        <f>(VLOOKUP(D2232,$D$2:$E$4,2,FALSE))-(IF('Informe Kelly'!H2226=$A$2,'Informe Kelly'!F2226,VLOOKUP(D2232,$D$2:$E$4,2,FALSE)))</f>
        <v>#N/A</v>
      </c>
      <c r="F2232" s="142" t="e">
        <f>IF('Informe Kelly'!H2226=$A$3,'Informe Kelly'!F2226,VLOOKUP(D2232,$D$2:$F$4,3,FALSE))-(VLOOKUP(D2232,$D$2:$F$4,3,FALSE))</f>
        <v>#N/A</v>
      </c>
      <c r="G2232" s="137" t="e">
        <f t="shared" si="38"/>
        <v>#N/A</v>
      </c>
    </row>
    <row r="2233" spans="1:7">
      <c r="A2233" s="112" t="str">
        <f>VLOOKUP('Informe Kelly'!A2227,Base!A:B,2,FALSE)</f>
        <v>16.695.463-0</v>
      </c>
      <c r="B2233" s="112" t="str">
        <f>VLOOKUP('Informe Kelly'!A2227,Base!A:G,7,FALSE)</f>
        <v>CARVAJAL APPELGREN CAMILO ALEXANDER</v>
      </c>
      <c r="C2233" s="112" t="str">
        <f>'Informe Kelly'!E2227</f>
        <v>05.04.2011</v>
      </c>
      <c r="D2233" s="112" t="e">
        <f>VLOOKUP(A2233,Ingreso!K:P,6,FALSE)</f>
        <v>#N/A</v>
      </c>
      <c r="E2233" s="142" t="e">
        <f>(VLOOKUP(D2233,$D$2:$E$4,2,FALSE))-(IF('Informe Kelly'!H2227=$A$2,'Informe Kelly'!F2227,VLOOKUP(D2233,$D$2:$E$4,2,FALSE)))</f>
        <v>#N/A</v>
      </c>
      <c r="F2233" s="142" t="e">
        <f>IF('Informe Kelly'!H2227=$A$3,'Informe Kelly'!F2227,VLOOKUP(D2233,$D$2:$F$4,3,FALSE))-(VLOOKUP(D2233,$D$2:$F$4,3,FALSE))</f>
        <v>#N/A</v>
      </c>
      <c r="G2233" s="137" t="e">
        <f t="shared" si="38"/>
        <v>#N/A</v>
      </c>
    </row>
    <row r="2234" spans="1:7">
      <c r="A2234" s="112" t="str">
        <f>VLOOKUP('Informe Kelly'!A2228,Base!A:B,2,FALSE)</f>
        <v>16.695.463-0</v>
      </c>
      <c r="B2234" s="112" t="str">
        <f>VLOOKUP('Informe Kelly'!A2228,Base!A:G,7,FALSE)</f>
        <v>CARVAJAL APPELGREN CAMILO ALEXANDER</v>
      </c>
      <c r="C2234" s="112" t="str">
        <f>'Informe Kelly'!E2228</f>
        <v>06.04.2011</v>
      </c>
      <c r="D2234" s="112" t="e">
        <f>VLOOKUP(A2234,Ingreso!K:P,6,FALSE)</f>
        <v>#N/A</v>
      </c>
      <c r="E2234" s="142" t="e">
        <f>(VLOOKUP(D2234,$D$2:$E$4,2,FALSE))-(IF('Informe Kelly'!H2228=$A$2,'Informe Kelly'!F2228,VLOOKUP(D2234,$D$2:$E$4,2,FALSE)))</f>
        <v>#N/A</v>
      </c>
      <c r="F2234" s="142" t="e">
        <f>IF('Informe Kelly'!H2228=$A$3,'Informe Kelly'!F2228,VLOOKUP(D2234,$D$2:$F$4,3,FALSE))-(VLOOKUP(D2234,$D$2:$F$4,3,FALSE))</f>
        <v>#N/A</v>
      </c>
      <c r="G2234" s="137" t="e">
        <f t="shared" si="38"/>
        <v>#N/A</v>
      </c>
    </row>
    <row r="2235" spans="1:7">
      <c r="A2235" s="112" t="str">
        <f>VLOOKUP('Informe Kelly'!A2229,Base!A:B,2,FALSE)</f>
        <v>16.695.463-0</v>
      </c>
      <c r="B2235" s="112" t="str">
        <f>VLOOKUP('Informe Kelly'!A2229,Base!A:G,7,FALSE)</f>
        <v>CARVAJAL APPELGREN CAMILO ALEXANDER</v>
      </c>
      <c r="C2235" s="112" t="str">
        <f>'Informe Kelly'!E2229</f>
        <v>06.04.2011</v>
      </c>
      <c r="D2235" s="112" t="e">
        <f>VLOOKUP(A2235,Ingreso!K:P,6,FALSE)</f>
        <v>#N/A</v>
      </c>
      <c r="E2235" s="142" t="e">
        <f>(VLOOKUP(D2235,$D$2:$E$4,2,FALSE))-(IF('Informe Kelly'!H2229=$A$2,'Informe Kelly'!F2229,VLOOKUP(D2235,$D$2:$E$4,2,FALSE)))</f>
        <v>#N/A</v>
      </c>
      <c r="F2235" s="142" t="e">
        <f>IF('Informe Kelly'!H2229=$A$3,'Informe Kelly'!F2229,VLOOKUP(D2235,$D$2:$F$4,3,FALSE))-(VLOOKUP(D2235,$D$2:$F$4,3,FALSE))</f>
        <v>#N/A</v>
      </c>
      <c r="G2235" s="137" t="e">
        <f t="shared" si="38"/>
        <v>#N/A</v>
      </c>
    </row>
    <row r="2236" spans="1:7">
      <c r="A2236" s="112" t="str">
        <f>VLOOKUP('Informe Kelly'!A2230,Base!A:B,2,FALSE)</f>
        <v>16.695.463-0</v>
      </c>
      <c r="B2236" s="112" t="str">
        <f>VLOOKUP('Informe Kelly'!A2230,Base!A:G,7,FALSE)</f>
        <v>CARVAJAL APPELGREN CAMILO ALEXANDER</v>
      </c>
      <c r="C2236" s="112" t="str">
        <f>'Informe Kelly'!E2230</f>
        <v>07.04.2011</v>
      </c>
      <c r="D2236" s="112" t="e">
        <f>VLOOKUP(A2236,Ingreso!K:P,6,FALSE)</f>
        <v>#N/A</v>
      </c>
      <c r="E2236" s="142" t="e">
        <f>(VLOOKUP(D2236,$D$2:$E$4,2,FALSE))-(IF('Informe Kelly'!H2230=$A$2,'Informe Kelly'!F2230,VLOOKUP(D2236,$D$2:$E$4,2,FALSE)))</f>
        <v>#N/A</v>
      </c>
      <c r="F2236" s="142" t="e">
        <f>IF('Informe Kelly'!H2230=$A$3,'Informe Kelly'!F2230,VLOOKUP(D2236,$D$2:$F$4,3,FALSE))-(VLOOKUP(D2236,$D$2:$F$4,3,FALSE))</f>
        <v>#N/A</v>
      </c>
      <c r="G2236" s="137" t="e">
        <f t="shared" si="38"/>
        <v>#N/A</v>
      </c>
    </row>
    <row r="2237" spans="1:7">
      <c r="A2237" s="112" t="str">
        <f>VLOOKUP('Informe Kelly'!A2231,Base!A:B,2,FALSE)</f>
        <v>16.695.463-0</v>
      </c>
      <c r="B2237" s="112" t="str">
        <f>VLOOKUP('Informe Kelly'!A2231,Base!A:G,7,FALSE)</f>
        <v>CARVAJAL APPELGREN CAMILO ALEXANDER</v>
      </c>
      <c r="C2237" s="112" t="str">
        <f>'Informe Kelly'!E2231</f>
        <v>07.04.2011</v>
      </c>
      <c r="D2237" s="112" t="e">
        <f>VLOOKUP(A2237,Ingreso!K:P,6,FALSE)</f>
        <v>#N/A</v>
      </c>
      <c r="E2237" s="142" t="e">
        <f>(VLOOKUP(D2237,$D$2:$E$4,2,FALSE))-(IF('Informe Kelly'!H2231=$A$2,'Informe Kelly'!F2231,VLOOKUP(D2237,$D$2:$E$4,2,FALSE)))</f>
        <v>#N/A</v>
      </c>
      <c r="F2237" s="142" t="e">
        <f>IF('Informe Kelly'!H2231=$A$3,'Informe Kelly'!F2231,VLOOKUP(D2237,$D$2:$F$4,3,FALSE))-(VLOOKUP(D2237,$D$2:$F$4,3,FALSE))</f>
        <v>#N/A</v>
      </c>
      <c r="G2237" s="137" t="e">
        <f t="shared" si="38"/>
        <v>#N/A</v>
      </c>
    </row>
    <row r="2238" spans="1:7">
      <c r="A2238" s="112" t="str">
        <f>VLOOKUP('Informe Kelly'!A2232,Base!A:B,2,FALSE)</f>
        <v>16.695.463-0</v>
      </c>
      <c r="B2238" s="112" t="str">
        <f>VLOOKUP('Informe Kelly'!A2232,Base!A:G,7,FALSE)</f>
        <v>CARVAJAL APPELGREN CAMILO ALEXANDER</v>
      </c>
      <c r="C2238" s="112" t="str">
        <f>'Informe Kelly'!E2232</f>
        <v>08.04.2011</v>
      </c>
      <c r="D2238" s="112" t="e">
        <f>VLOOKUP(A2238,Ingreso!K:P,6,FALSE)</f>
        <v>#N/A</v>
      </c>
      <c r="E2238" s="142" t="e">
        <f>(VLOOKUP(D2238,$D$2:$E$4,2,FALSE))-(IF('Informe Kelly'!H2232=$A$2,'Informe Kelly'!F2232,VLOOKUP(D2238,$D$2:$E$4,2,FALSE)))</f>
        <v>#N/A</v>
      </c>
      <c r="F2238" s="142" t="e">
        <f>IF('Informe Kelly'!H2232=$A$3,'Informe Kelly'!F2232,VLOOKUP(D2238,$D$2:$F$4,3,FALSE))-(VLOOKUP(D2238,$D$2:$F$4,3,FALSE))</f>
        <v>#N/A</v>
      </c>
      <c r="G2238" s="137" t="e">
        <f t="shared" si="38"/>
        <v>#N/A</v>
      </c>
    </row>
    <row r="2239" spans="1:7">
      <c r="A2239" s="112" t="str">
        <f>VLOOKUP('Informe Kelly'!A2233,Base!A:B,2,FALSE)</f>
        <v>16.695.463-0</v>
      </c>
      <c r="B2239" s="112" t="str">
        <f>VLOOKUP('Informe Kelly'!A2233,Base!A:G,7,FALSE)</f>
        <v>CARVAJAL APPELGREN CAMILO ALEXANDER</v>
      </c>
      <c r="C2239" s="112" t="str">
        <f>'Informe Kelly'!E2233</f>
        <v>08.04.2011</v>
      </c>
      <c r="D2239" s="112" t="e">
        <f>VLOOKUP(A2239,Ingreso!K:P,6,FALSE)</f>
        <v>#N/A</v>
      </c>
      <c r="E2239" s="142" t="e">
        <f>(VLOOKUP(D2239,$D$2:$E$4,2,FALSE))-(IF('Informe Kelly'!H2233=$A$2,'Informe Kelly'!F2233,VLOOKUP(D2239,$D$2:$E$4,2,FALSE)))</f>
        <v>#N/A</v>
      </c>
      <c r="F2239" s="142" t="e">
        <f>IF('Informe Kelly'!H2233=$A$3,'Informe Kelly'!F2233,VLOOKUP(D2239,$D$2:$F$4,3,FALSE))-(VLOOKUP(D2239,$D$2:$F$4,3,FALSE))</f>
        <v>#N/A</v>
      </c>
      <c r="G2239" s="137" t="e">
        <f t="shared" si="38"/>
        <v>#N/A</v>
      </c>
    </row>
    <row r="2240" spans="1:7">
      <c r="A2240" s="112" t="str">
        <f>VLOOKUP('Informe Kelly'!A2234,Base!A:B,2,FALSE)</f>
        <v>16.695.463-0</v>
      </c>
      <c r="B2240" s="112" t="str">
        <f>VLOOKUP('Informe Kelly'!A2234,Base!A:G,7,FALSE)</f>
        <v>CARVAJAL APPELGREN CAMILO ALEXANDER</v>
      </c>
      <c r="C2240" s="112" t="str">
        <f>'Informe Kelly'!E2234</f>
        <v>09.04.2011</v>
      </c>
      <c r="D2240" s="112" t="e">
        <f>VLOOKUP(A2240,Ingreso!K:P,6,FALSE)</f>
        <v>#N/A</v>
      </c>
      <c r="E2240" s="142" t="e">
        <f>(VLOOKUP(D2240,$D$2:$E$4,2,FALSE))-(IF('Informe Kelly'!H2234=$A$2,'Informe Kelly'!F2234,VLOOKUP(D2240,$D$2:$E$4,2,FALSE)))</f>
        <v>#N/A</v>
      </c>
      <c r="F2240" s="142" t="e">
        <f>IF('Informe Kelly'!H2234=$A$3,'Informe Kelly'!F2234,VLOOKUP(D2240,$D$2:$F$4,3,FALSE))-(VLOOKUP(D2240,$D$2:$F$4,3,FALSE))</f>
        <v>#N/A</v>
      </c>
      <c r="G2240" s="137" t="e">
        <f t="shared" si="38"/>
        <v>#N/A</v>
      </c>
    </row>
    <row r="2241" spans="1:7">
      <c r="A2241" s="112" t="str">
        <f>VLOOKUP('Informe Kelly'!A2235,Base!A:B,2,FALSE)</f>
        <v>16.695.463-0</v>
      </c>
      <c r="B2241" s="112" t="str">
        <f>VLOOKUP('Informe Kelly'!A2235,Base!A:G,7,FALSE)</f>
        <v>CARVAJAL APPELGREN CAMILO ALEXANDER</v>
      </c>
      <c r="C2241" s="112" t="str">
        <f>'Informe Kelly'!E2235</f>
        <v>09.04.2011</v>
      </c>
      <c r="D2241" s="112" t="e">
        <f>VLOOKUP(A2241,Ingreso!K:P,6,FALSE)</f>
        <v>#N/A</v>
      </c>
      <c r="E2241" s="142" t="e">
        <f>(VLOOKUP(D2241,$D$2:$E$4,2,FALSE))-(IF('Informe Kelly'!H2235=$A$2,'Informe Kelly'!F2235,VLOOKUP(D2241,$D$2:$E$4,2,FALSE)))</f>
        <v>#N/A</v>
      </c>
      <c r="F2241" s="142" t="e">
        <f>IF('Informe Kelly'!H2235=$A$3,'Informe Kelly'!F2235,VLOOKUP(D2241,$D$2:$F$4,3,FALSE))-(VLOOKUP(D2241,$D$2:$F$4,3,FALSE))</f>
        <v>#N/A</v>
      </c>
      <c r="G2241" s="137" t="e">
        <f t="shared" si="38"/>
        <v>#N/A</v>
      </c>
    </row>
    <row r="2242" spans="1:7">
      <c r="A2242" s="112" t="str">
        <f>VLOOKUP('Informe Kelly'!A2236,Base!A:B,2,FALSE)</f>
        <v>16.697.450-K</v>
      </c>
      <c r="B2242" s="112" t="str">
        <f>VLOOKUP('Informe Kelly'!A2236,Base!A:G,7,FALSE)</f>
        <v>REYES ESPINOZA NATALIA BELEN</v>
      </c>
      <c r="C2242" s="112" t="str">
        <f>'Informe Kelly'!E2236</f>
        <v>04.04.2011</v>
      </c>
      <c r="D2242" s="112" t="e">
        <f>VLOOKUP(A2242,Ingreso!K:P,6,FALSE)</f>
        <v>#N/A</v>
      </c>
      <c r="E2242" s="142" t="e">
        <f>(VLOOKUP(D2242,$D$2:$E$4,2,FALSE))-(IF('Informe Kelly'!H2236=$A$2,'Informe Kelly'!F2236,VLOOKUP(D2242,$D$2:$E$4,2,FALSE)))</f>
        <v>#N/A</v>
      </c>
      <c r="F2242" s="142" t="e">
        <f>IF('Informe Kelly'!H2236=$A$3,'Informe Kelly'!F2236,VLOOKUP(D2242,$D$2:$F$4,3,FALSE))-(VLOOKUP(D2242,$D$2:$F$4,3,FALSE))</f>
        <v>#N/A</v>
      </c>
      <c r="G2242" s="137" t="e">
        <f t="shared" si="38"/>
        <v>#N/A</v>
      </c>
    </row>
    <row r="2243" spans="1:7">
      <c r="A2243" s="112" t="str">
        <f>VLOOKUP('Informe Kelly'!A2237,Base!A:B,2,FALSE)</f>
        <v>16.697.450-K</v>
      </c>
      <c r="B2243" s="112" t="str">
        <f>VLOOKUP('Informe Kelly'!A2237,Base!A:G,7,FALSE)</f>
        <v>REYES ESPINOZA NATALIA BELEN</v>
      </c>
      <c r="C2243" s="112" t="str">
        <f>'Informe Kelly'!E2237</f>
        <v>04.04.2011</v>
      </c>
      <c r="D2243" s="112" t="e">
        <f>VLOOKUP(A2243,Ingreso!K:P,6,FALSE)</f>
        <v>#N/A</v>
      </c>
      <c r="E2243" s="142" t="e">
        <f>(VLOOKUP(D2243,$D$2:$E$4,2,FALSE))-(IF('Informe Kelly'!H2237=$A$2,'Informe Kelly'!F2237,VLOOKUP(D2243,$D$2:$E$4,2,FALSE)))</f>
        <v>#N/A</v>
      </c>
      <c r="F2243" s="142" t="e">
        <f>IF('Informe Kelly'!H2237=$A$3,'Informe Kelly'!F2237,VLOOKUP(D2243,$D$2:$F$4,3,FALSE))-(VLOOKUP(D2243,$D$2:$F$4,3,FALSE))</f>
        <v>#N/A</v>
      </c>
      <c r="G2243" s="137" t="e">
        <f t="shared" si="38"/>
        <v>#N/A</v>
      </c>
    </row>
    <row r="2244" spans="1:7">
      <c r="A2244" s="112" t="str">
        <f>VLOOKUP('Informe Kelly'!A2238,Base!A:B,2,FALSE)</f>
        <v>16.697.450-K</v>
      </c>
      <c r="B2244" s="112" t="str">
        <f>VLOOKUP('Informe Kelly'!A2238,Base!A:G,7,FALSE)</f>
        <v>REYES ESPINOZA NATALIA BELEN</v>
      </c>
      <c r="C2244" s="112" t="str">
        <f>'Informe Kelly'!E2238</f>
        <v>05.04.2011</v>
      </c>
      <c r="D2244" s="112" t="e">
        <f>VLOOKUP(A2244,Ingreso!K:P,6,FALSE)</f>
        <v>#N/A</v>
      </c>
      <c r="E2244" s="142" t="e">
        <f>(VLOOKUP(D2244,$D$2:$E$4,2,FALSE))-(IF('Informe Kelly'!H2238=$A$2,'Informe Kelly'!F2238,VLOOKUP(D2244,$D$2:$E$4,2,FALSE)))</f>
        <v>#N/A</v>
      </c>
      <c r="F2244" s="142" t="e">
        <f>IF('Informe Kelly'!H2238=$A$3,'Informe Kelly'!F2238,VLOOKUP(D2244,$D$2:$F$4,3,FALSE))-(VLOOKUP(D2244,$D$2:$F$4,3,FALSE))</f>
        <v>#N/A</v>
      </c>
      <c r="G2244" s="137" t="e">
        <f t="shared" si="38"/>
        <v>#N/A</v>
      </c>
    </row>
    <row r="2245" spans="1:7">
      <c r="A2245" s="112" t="str">
        <f>VLOOKUP('Informe Kelly'!A2239,Base!A:B,2,FALSE)</f>
        <v>16.697.450-K</v>
      </c>
      <c r="B2245" s="112" t="str">
        <f>VLOOKUP('Informe Kelly'!A2239,Base!A:G,7,FALSE)</f>
        <v>REYES ESPINOZA NATALIA BELEN</v>
      </c>
      <c r="C2245" s="112" t="str">
        <f>'Informe Kelly'!E2239</f>
        <v>05.04.2011</v>
      </c>
      <c r="D2245" s="112" t="e">
        <f>VLOOKUP(A2245,Ingreso!K:P,6,FALSE)</f>
        <v>#N/A</v>
      </c>
      <c r="E2245" s="142" t="e">
        <f>(VLOOKUP(D2245,$D$2:$E$4,2,FALSE))-(IF('Informe Kelly'!H2239=$A$2,'Informe Kelly'!F2239,VLOOKUP(D2245,$D$2:$E$4,2,FALSE)))</f>
        <v>#N/A</v>
      </c>
      <c r="F2245" s="142" t="e">
        <f>IF('Informe Kelly'!H2239=$A$3,'Informe Kelly'!F2239,VLOOKUP(D2245,$D$2:$F$4,3,FALSE))-(VLOOKUP(D2245,$D$2:$F$4,3,FALSE))</f>
        <v>#N/A</v>
      </c>
      <c r="G2245" s="137" t="e">
        <f t="shared" si="38"/>
        <v>#N/A</v>
      </c>
    </row>
    <row r="2246" spans="1:7">
      <c r="A2246" s="112" t="str">
        <f>VLOOKUP('Informe Kelly'!A2240,Base!A:B,2,FALSE)</f>
        <v>16.697.450-K</v>
      </c>
      <c r="B2246" s="112" t="str">
        <f>VLOOKUP('Informe Kelly'!A2240,Base!A:G,7,FALSE)</f>
        <v>REYES ESPINOZA NATALIA BELEN</v>
      </c>
      <c r="C2246" s="112" t="str">
        <f>'Informe Kelly'!E2240</f>
        <v>06.04.2011</v>
      </c>
      <c r="D2246" s="112" t="e">
        <f>VLOOKUP(A2246,Ingreso!K:P,6,FALSE)</f>
        <v>#N/A</v>
      </c>
      <c r="E2246" s="142" t="e">
        <f>(VLOOKUP(D2246,$D$2:$E$4,2,FALSE))-(IF('Informe Kelly'!H2240=$A$2,'Informe Kelly'!F2240,VLOOKUP(D2246,$D$2:$E$4,2,FALSE)))</f>
        <v>#N/A</v>
      </c>
      <c r="F2246" s="142" t="e">
        <f>IF('Informe Kelly'!H2240=$A$3,'Informe Kelly'!F2240,VLOOKUP(D2246,$D$2:$F$4,3,FALSE))-(VLOOKUP(D2246,$D$2:$F$4,3,FALSE))</f>
        <v>#N/A</v>
      </c>
      <c r="G2246" s="137" t="e">
        <f t="shared" si="38"/>
        <v>#N/A</v>
      </c>
    </row>
    <row r="2247" spans="1:7">
      <c r="A2247" s="112" t="str">
        <f>VLOOKUP('Informe Kelly'!A2241,Base!A:B,2,FALSE)</f>
        <v>16.697.450-K</v>
      </c>
      <c r="B2247" s="112" t="str">
        <f>VLOOKUP('Informe Kelly'!A2241,Base!A:G,7,FALSE)</f>
        <v>REYES ESPINOZA NATALIA BELEN</v>
      </c>
      <c r="C2247" s="112" t="str">
        <f>'Informe Kelly'!E2241</f>
        <v>06.04.2011</v>
      </c>
      <c r="D2247" s="112" t="e">
        <f>VLOOKUP(A2247,Ingreso!K:P,6,FALSE)</f>
        <v>#N/A</v>
      </c>
      <c r="E2247" s="142" t="e">
        <f>(VLOOKUP(D2247,$D$2:$E$4,2,FALSE))-(IF('Informe Kelly'!H2241=$A$2,'Informe Kelly'!F2241,VLOOKUP(D2247,$D$2:$E$4,2,FALSE)))</f>
        <v>#N/A</v>
      </c>
      <c r="F2247" s="142" t="e">
        <f>IF('Informe Kelly'!H2241=$A$3,'Informe Kelly'!F2241,VLOOKUP(D2247,$D$2:$F$4,3,FALSE))-(VLOOKUP(D2247,$D$2:$F$4,3,FALSE))</f>
        <v>#N/A</v>
      </c>
      <c r="G2247" s="137" t="e">
        <f t="shared" si="38"/>
        <v>#N/A</v>
      </c>
    </row>
    <row r="2248" spans="1:7">
      <c r="A2248" s="112" t="str">
        <f>VLOOKUP('Informe Kelly'!A2242,Base!A:B,2,FALSE)</f>
        <v>16.697.450-K</v>
      </c>
      <c r="B2248" s="112" t="str">
        <f>VLOOKUP('Informe Kelly'!A2242,Base!A:G,7,FALSE)</f>
        <v>REYES ESPINOZA NATALIA BELEN</v>
      </c>
      <c r="C2248" s="112" t="str">
        <f>'Informe Kelly'!E2242</f>
        <v>07.04.2011</v>
      </c>
      <c r="D2248" s="112" t="e">
        <f>VLOOKUP(A2248,Ingreso!K:P,6,FALSE)</f>
        <v>#N/A</v>
      </c>
      <c r="E2248" s="142" t="e">
        <f>(VLOOKUP(D2248,$D$2:$E$4,2,FALSE))-(IF('Informe Kelly'!H2242=$A$2,'Informe Kelly'!F2242,VLOOKUP(D2248,$D$2:$E$4,2,FALSE)))</f>
        <v>#N/A</v>
      </c>
      <c r="F2248" s="142" t="e">
        <f>IF('Informe Kelly'!H2242=$A$3,'Informe Kelly'!F2242,VLOOKUP(D2248,$D$2:$F$4,3,FALSE))-(VLOOKUP(D2248,$D$2:$F$4,3,FALSE))</f>
        <v>#N/A</v>
      </c>
      <c r="G2248" s="137" t="e">
        <f t="shared" si="38"/>
        <v>#N/A</v>
      </c>
    </row>
    <row r="2249" spans="1:7">
      <c r="A2249" s="112" t="str">
        <f>VLOOKUP('Informe Kelly'!A2243,Base!A:B,2,FALSE)</f>
        <v>16.697.450-K</v>
      </c>
      <c r="B2249" s="112" t="str">
        <f>VLOOKUP('Informe Kelly'!A2243,Base!A:G,7,FALSE)</f>
        <v>REYES ESPINOZA NATALIA BELEN</v>
      </c>
      <c r="C2249" s="112" t="str">
        <f>'Informe Kelly'!E2243</f>
        <v>07.04.2011</v>
      </c>
      <c r="D2249" s="112" t="e">
        <f>VLOOKUP(A2249,Ingreso!K:P,6,FALSE)</f>
        <v>#N/A</v>
      </c>
      <c r="E2249" s="142" t="e">
        <f>(VLOOKUP(D2249,$D$2:$E$4,2,FALSE))-(IF('Informe Kelly'!H2243=$A$2,'Informe Kelly'!F2243,VLOOKUP(D2249,$D$2:$E$4,2,FALSE)))</f>
        <v>#N/A</v>
      </c>
      <c r="F2249" s="142" t="e">
        <f>IF('Informe Kelly'!H2243=$A$3,'Informe Kelly'!F2243,VLOOKUP(D2249,$D$2:$F$4,3,FALSE))-(VLOOKUP(D2249,$D$2:$F$4,3,FALSE))</f>
        <v>#N/A</v>
      </c>
      <c r="G2249" s="137" t="e">
        <f t="shared" ref="G2249:G2312" si="39">IF(E2249="",IF(F2249&lt;0.0409722222222222,0,E2249),IF(E2249&lt;0.0409722222222222,0,E2249))</f>
        <v>#N/A</v>
      </c>
    </row>
    <row r="2250" spans="1:7">
      <c r="A2250" s="112" t="str">
        <f>VLOOKUP('Informe Kelly'!A2244,Base!A:B,2,FALSE)</f>
        <v>16.697.450-K</v>
      </c>
      <c r="B2250" s="112" t="str">
        <f>VLOOKUP('Informe Kelly'!A2244,Base!A:G,7,FALSE)</f>
        <v>REYES ESPINOZA NATALIA BELEN</v>
      </c>
      <c r="C2250" s="112" t="str">
        <f>'Informe Kelly'!E2244</f>
        <v>08.04.2011</v>
      </c>
      <c r="D2250" s="112" t="e">
        <f>VLOOKUP(A2250,Ingreso!K:P,6,FALSE)</f>
        <v>#N/A</v>
      </c>
      <c r="E2250" s="142" t="e">
        <f>(VLOOKUP(D2250,$D$2:$E$4,2,FALSE))-(IF('Informe Kelly'!H2244=$A$2,'Informe Kelly'!F2244,VLOOKUP(D2250,$D$2:$E$4,2,FALSE)))</f>
        <v>#N/A</v>
      </c>
      <c r="F2250" s="142" t="e">
        <f>IF('Informe Kelly'!H2244=$A$3,'Informe Kelly'!F2244,VLOOKUP(D2250,$D$2:$F$4,3,FALSE))-(VLOOKUP(D2250,$D$2:$F$4,3,FALSE))</f>
        <v>#N/A</v>
      </c>
      <c r="G2250" s="137" t="e">
        <f t="shared" si="39"/>
        <v>#N/A</v>
      </c>
    </row>
    <row r="2251" spans="1:7">
      <c r="A2251" s="112" t="str">
        <f>VLOOKUP('Informe Kelly'!A2245,Base!A:B,2,FALSE)</f>
        <v>16.697.450-K</v>
      </c>
      <c r="B2251" s="112" t="str">
        <f>VLOOKUP('Informe Kelly'!A2245,Base!A:G,7,FALSE)</f>
        <v>REYES ESPINOZA NATALIA BELEN</v>
      </c>
      <c r="C2251" s="112" t="str">
        <f>'Informe Kelly'!E2245</f>
        <v>08.04.2011</v>
      </c>
      <c r="D2251" s="112" t="e">
        <f>VLOOKUP(A2251,Ingreso!K:P,6,FALSE)</f>
        <v>#N/A</v>
      </c>
      <c r="E2251" s="142" t="e">
        <f>(VLOOKUP(D2251,$D$2:$E$4,2,FALSE))-(IF('Informe Kelly'!H2245=$A$2,'Informe Kelly'!F2245,VLOOKUP(D2251,$D$2:$E$4,2,FALSE)))</f>
        <v>#N/A</v>
      </c>
      <c r="F2251" s="142" t="e">
        <f>IF('Informe Kelly'!H2245=$A$3,'Informe Kelly'!F2245,VLOOKUP(D2251,$D$2:$F$4,3,FALSE))-(VLOOKUP(D2251,$D$2:$F$4,3,FALSE))</f>
        <v>#N/A</v>
      </c>
      <c r="G2251" s="137" t="e">
        <f t="shared" si="39"/>
        <v>#N/A</v>
      </c>
    </row>
    <row r="2252" spans="1:7">
      <c r="A2252" s="112" t="str">
        <f>VLOOKUP('Informe Kelly'!A2246,Base!A:B,2,FALSE)</f>
        <v>16.697.450-K</v>
      </c>
      <c r="B2252" s="112" t="str">
        <f>VLOOKUP('Informe Kelly'!A2246,Base!A:G,7,FALSE)</f>
        <v>REYES ESPINOZA NATALIA BELEN</v>
      </c>
      <c r="C2252" s="112" t="str">
        <f>'Informe Kelly'!E2246</f>
        <v>09.04.2011</v>
      </c>
      <c r="D2252" s="112" t="e">
        <f>VLOOKUP(A2252,Ingreso!K:P,6,FALSE)</f>
        <v>#N/A</v>
      </c>
      <c r="E2252" s="142" t="e">
        <f>(VLOOKUP(D2252,$D$2:$E$4,2,FALSE))-(IF('Informe Kelly'!H2246=$A$2,'Informe Kelly'!F2246,VLOOKUP(D2252,$D$2:$E$4,2,FALSE)))</f>
        <v>#N/A</v>
      </c>
      <c r="F2252" s="142" t="e">
        <f>IF('Informe Kelly'!H2246=$A$3,'Informe Kelly'!F2246,VLOOKUP(D2252,$D$2:$F$4,3,FALSE))-(VLOOKUP(D2252,$D$2:$F$4,3,FALSE))</f>
        <v>#N/A</v>
      </c>
      <c r="G2252" s="137" t="e">
        <f t="shared" si="39"/>
        <v>#N/A</v>
      </c>
    </row>
    <row r="2253" spans="1:7">
      <c r="A2253" s="112" t="str">
        <f>VLOOKUP('Informe Kelly'!A2247,Base!A:B,2,FALSE)</f>
        <v>16.697.450-K</v>
      </c>
      <c r="B2253" s="112" t="str">
        <f>VLOOKUP('Informe Kelly'!A2247,Base!A:G,7,FALSE)</f>
        <v>REYES ESPINOZA NATALIA BELEN</v>
      </c>
      <c r="C2253" s="112" t="str">
        <f>'Informe Kelly'!E2247</f>
        <v>09.04.2011</v>
      </c>
      <c r="D2253" s="112" t="e">
        <f>VLOOKUP(A2253,Ingreso!K:P,6,FALSE)</f>
        <v>#N/A</v>
      </c>
      <c r="E2253" s="142" t="e">
        <f>(VLOOKUP(D2253,$D$2:$E$4,2,FALSE))-(IF('Informe Kelly'!H2247=$A$2,'Informe Kelly'!F2247,VLOOKUP(D2253,$D$2:$E$4,2,FALSE)))</f>
        <v>#N/A</v>
      </c>
      <c r="F2253" s="142" t="e">
        <f>IF('Informe Kelly'!H2247=$A$3,'Informe Kelly'!F2247,VLOOKUP(D2253,$D$2:$F$4,3,FALSE))-(VLOOKUP(D2253,$D$2:$F$4,3,FALSE))</f>
        <v>#N/A</v>
      </c>
      <c r="G2253" s="137" t="e">
        <f t="shared" si="39"/>
        <v>#N/A</v>
      </c>
    </row>
    <row r="2254" spans="1:7">
      <c r="A2254" s="112" t="str">
        <f>VLOOKUP('Informe Kelly'!A2248,Base!A:B,2,FALSE)</f>
        <v>16.907.382-1</v>
      </c>
      <c r="B2254" s="112" t="str">
        <f>VLOOKUP('Informe Kelly'!A2248,Base!A:G,7,FALSE)</f>
        <v>BUGUEÑO MEDEL HANS OLIVER</v>
      </c>
      <c r="C2254" s="112" t="str">
        <f>'Informe Kelly'!E2248</f>
        <v>04.04.2011</v>
      </c>
      <c r="D2254" s="112" t="e">
        <f>VLOOKUP(A2254,Ingreso!K:P,6,FALSE)</f>
        <v>#N/A</v>
      </c>
      <c r="E2254" s="142" t="e">
        <f>(VLOOKUP(D2254,$D$2:$E$4,2,FALSE))-(IF('Informe Kelly'!H2248=$A$2,'Informe Kelly'!F2248,VLOOKUP(D2254,$D$2:$E$4,2,FALSE)))</f>
        <v>#N/A</v>
      </c>
      <c r="F2254" s="142" t="e">
        <f>IF('Informe Kelly'!H2248=$A$3,'Informe Kelly'!F2248,VLOOKUP(D2254,$D$2:$F$4,3,FALSE))-(VLOOKUP(D2254,$D$2:$F$4,3,FALSE))</f>
        <v>#N/A</v>
      </c>
      <c r="G2254" s="137" t="e">
        <f t="shared" si="39"/>
        <v>#N/A</v>
      </c>
    </row>
    <row r="2255" spans="1:7">
      <c r="A2255" s="112" t="str">
        <f>VLOOKUP('Informe Kelly'!A2249,Base!A:B,2,FALSE)</f>
        <v>16.907.382-1</v>
      </c>
      <c r="B2255" s="112" t="str">
        <f>VLOOKUP('Informe Kelly'!A2249,Base!A:G,7,FALSE)</f>
        <v>BUGUEÑO MEDEL HANS OLIVER</v>
      </c>
      <c r="C2255" s="112" t="str">
        <f>'Informe Kelly'!E2249</f>
        <v>04.04.2011</v>
      </c>
      <c r="D2255" s="112" t="e">
        <f>VLOOKUP(A2255,Ingreso!K:P,6,FALSE)</f>
        <v>#N/A</v>
      </c>
      <c r="E2255" s="142" t="e">
        <f>(VLOOKUP(D2255,$D$2:$E$4,2,FALSE))-(IF('Informe Kelly'!H2249=$A$2,'Informe Kelly'!F2249,VLOOKUP(D2255,$D$2:$E$4,2,FALSE)))</f>
        <v>#N/A</v>
      </c>
      <c r="F2255" s="142" t="e">
        <f>IF('Informe Kelly'!H2249=$A$3,'Informe Kelly'!F2249,VLOOKUP(D2255,$D$2:$F$4,3,FALSE))-(VLOOKUP(D2255,$D$2:$F$4,3,FALSE))</f>
        <v>#N/A</v>
      </c>
      <c r="G2255" s="137" t="e">
        <f t="shared" si="39"/>
        <v>#N/A</v>
      </c>
    </row>
    <row r="2256" spans="1:7">
      <c r="A2256" s="112" t="str">
        <f>VLOOKUP('Informe Kelly'!A2250,Base!A:B,2,FALSE)</f>
        <v>16.907.382-1</v>
      </c>
      <c r="B2256" s="112" t="str">
        <f>VLOOKUP('Informe Kelly'!A2250,Base!A:G,7,FALSE)</f>
        <v>BUGUEÑO MEDEL HANS OLIVER</v>
      </c>
      <c r="C2256" s="112" t="str">
        <f>'Informe Kelly'!E2250</f>
        <v>05.04.2011</v>
      </c>
      <c r="D2256" s="112" t="e">
        <f>VLOOKUP(A2256,Ingreso!K:P,6,FALSE)</f>
        <v>#N/A</v>
      </c>
      <c r="E2256" s="142" t="e">
        <f>(VLOOKUP(D2256,$D$2:$E$4,2,FALSE))-(IF('Informe Kelly'!H2250=$A$2,'Informe Kelly'!F2250,VLOOKUP(D2256,$D$2:$E$4,2,FALSE)))</f>
        <v>#N/A</v>
      </c>
      <c r="F2256" s="142" t="e">
        <f>IF('Informe Kelly'!H2250=$A$3,'Informe Kelly'!F2250,VLOOKUP(D2256,$D$2:$F$4,3,FALSE))-(VLOOKUP(D2256,$D$2:$F$4,3,FALSE))</f>
        <v>#N/A</v>
      </c>
      <c r="G2256" s="137" t="e">
        <f t="shared" si="39"/>
        <v>#N/A</v>
      </c>
    </row>
    <row r="2257" spans="1:7">
      <c r="A2257" s="112" t="str">
        <f>VLOOKUP('Informe Kelly'!A2251,Base!A:B,2,FALSE)</f>
        <v>16.907.382-1</v>
      </c>
      <c r="B2257" s="112" t="str">
        <f>VLOOKUP('Informe Kelly'!A2251,Base!A:G,7,FALSE)</f>
        <v>BUGUEÑO MEDEL HANS OLIVER</v>
      </c>
      <c r="C2257" s="112" t="str">
        <f>'Informe Kelly'!E2251</f>
        <v>05.04.2011</v>
      </c>
      <c r="D2257" s="112" t="e">
        <f>VLOOKUP(A2257,Ingreso!K:P,6,FALSE)</f>
        <v>#N/A</v>
      </c>
      <c r="E2257" s="142" t="e">
        <f>(VLOOKUP(D2257,$D$2:$E$4,2,FALSE))-(IF('Informe Kelly'!H2251=$A$2,'Informe Kelly'!F2251,VLOOKUP(D2257,$D$2:$E$4,2,FALSE)))</f>
        <v>#N/A</v>
      </c>
      <c r="F2257" s="142" t="e">
        <f>IF('Informe Kelly'!H2251=$A$3,'Informe Kelly'!F2251,VLOOKUP(D2257,$D$2:$F$4,3,FALSE))-(VLOOKUP(D2257,$D$2:$F$4,3,FALSE))</f>
        <v>#N/A</v>
      </c>
      <c r="G2257" s="137" t="e">
        <f t="shared" si="39"/>
        <v>#N/A</v>
      </c>
    </row>
    <row r="2258" spans="1:7">
      <c r="A2258" s="112" t="str">
        <f>VLOOKUP('Informe Kelly'!A2252,Base!A:B,2,FALSE)</f>
        <v>16.907.382-1</v>
      </c>
      <c r="B2258" s="112" t="str">
        <f>VLOOKUP('Informe Kelly'!A2252,Base!A:G,7,FALSE)</f>
        <v>BUGUEÑO MEDEL HANS OLIVER</v>
      </c>
      <c r="C2258" s="112" t="str">
        <f>'Informe Kelly'!E2252</f>
        <v>06.04.2011</v>
      </c>
      <c r="D2258" s="112" t="e">
        <f>VLOOKUP(A2258,Ingreso!K:P,6,FALSE)</f>
        <v>#N/A</v>
      </c>
      <c r="E2258" s="142" t="e">
        <f>(VLOOKUP(D2258,$D$2:$E$4,2,FALSE))-(IF('Informe Kelly'!H2252=$A$2,'Informe Kelly'!F2252,VLOOKUP(D2258,$D$2:$E$4,2,FALSE)))</f>
        <v>#N/A</v>
      </c>
      <c r="F2258" s="142" t="e">
        <f>IF('Informe Kelly'!H2252=$A$3,'Informe Kelly'!F2252,VLOOKUP(D2258,$D$2:$F$4,3,FALSE))-(VLOOKUP(D2258,$D$2:$F$4,3,FALSE))</f>
        <v>#N/A</v>
      </c>
      <c r="G2258" s="137" t="e">
        <f t="shared" si="39"/>
        <v>#N/A</v>
      </c>
    </row>
    <row r="2259" spans="1:7">
      <c r="A2259" s="112" t="str">
        <f>VLOOKUP('Informe Kelly'!A2253,Base!A:B,2,FALSE)</f>
        <v>16.907.382-1</v>
      </c>
      <c r="B2259" s="112" t="str">
        <f>VLOOKUP('Informe Kelly'!A2253,Base!A:G,7,FALSE)</f>
        <v>BUGUEÑO MEDEL HANS OLIVER</v>
      </c>
      <c r="C2259" s="112" t="str">
        <f>'Informe Kelly'!E2253</f>
        <v>06.04.2011</v>
      </c>
      <c r="D2259" s="112" t="e">
        <f>VLOOKUP(A2259,Ingreso!K:P,6,FALSE)</f>
        <v>#N/A</v>
      </c>
      <c r="E2259" s="142" t="e">
        <f>(VLOOKUP(D2259,$D$2:$E$4,2,FALSE))-(IF('Informe Kelly'!H2253=$A$2,'Informe Kelly'!F2253,VLOOKUP(D2259,$D$2:$E$4,2,FALSE)))</f>
        <v>#N/A</v>
      </c>
      <c r="F2259" s="142" t="e">
        <f>IF('Informe Kelly'!H2253=$A$3,'Informe Kelly'!F2253,VLOOKUP(D2259,$D$2:$F$4,3,FALSE))-(VLOOKUP(D2259,$D$2:$F$4,3,FALSE))</f>
        <v>#N/A</v>
      </c>
      <c r="G2259" s="137" t="e">
        <f t="shared" si="39"/>
        <v>#N/A</v>
      </c>
    </row>
    <row r="2260" spans="1:7">
      <c r="A2260" s="112" t="str">
        <f>VLOOKUP('Informe Kelly'!A2254,Base!A:B,2,FALSE)</f>
        <v>16.907.382-1</v>
      </c>
      <c r="B2260" s="112" t="str">
        <f>VLOOKUP('Informe Kelly'!A2254,Base!A:G,7,FALSE)</f>
        <v>BUGUEÑO MEDEL HANS OLIVER</v>
      </c>
      <c r="C2260" s="112" t="str">
        <f>'Informe Kelly'!E2254</f>
        <v>07.04.2011</v>
      </c>
      <c r="D2260" s="112" t="e">
        <f>VLOOKUP(A2260,Ingreso!K:P,6,FALSE)</f>
        <v>#N/A</v>
      </c>
      <c r="E2260" s="142" t="e">
        <f>(VLOOKUP(D2260,$D$2:$E$4,2,FALSE))-(IF('Informe Kelly'!H2254=$A$2,'Informe Kelly'!F2254,VLOOKUP(D2260,$D$2:$E$4,2,FALSE)))</f>
        <v>#N/A</v>
      </c>
      <c r="F2260" s="142" t="e">
        <f>IF('Informe Kelly'!H2254=$A$3,'Informe Kelly'!F2254,VLOOKUP(D2260,$D$2:$F$4,3,FALSE))-(VLOOKUP(D2260,$D$2:$F$4,3,FALSE))</f>
        <v>#N/A</v>
      </c>
      <c r="G2260" s="137" t="e">
        <f t="shared" si="39"/>
        <v>#N/A</v>
      </c>
    </row>
    <row r="2261" spans="1:7">
      <c r="A2261" s="112" t="str">
        <f>VLOOKUP('Informe Kelly'!A2255,Base!A:B,2,FALSE)</f>
        <v>16.907.382-1</v>
      </c>
      <c r="B2261" s="112" t="str">
        <f>VLOOKUP('Informe Kelly'!A2255,Base!A:G,7,FALSE)</f>
        <v>BUGUEÑO MEDEL HANS OLIVER</v>
      </c>
      <c r="C2261" s="112" t="str">
        <f>'Informe Kelly'!E2255</f>
        <v>07.04.2011</v>
      </c>
      <c r="D2261" s="112" t="e">
        <f>VLOOKUP(A2261,Ingreso!K:P,6,FALSE)</f>
        <v>#N/A</v>
      </c>
      <c r="E2261" s="142" t="e">
        <f>(VLOOKUP(D2261,$D$2:$E$4,2,FALSE))-(IF('Informe Kelly'!H2255=$A$2,'Informe Kelly'!F2255,VLOOKUP(D2261,$D$2:$E$4,2,FALSE)))</f>
        <v>#N/A</v>
      </c>
      <c r="F2261" s="142" t="e">
        <f>IF('Informe Kelly'!H2255=$A$3,'Informe Kelly'!F2255,VLOOKUP(D2261,$D$2:$F$4,3,FALSE))-(VLOOKUP(D2261,$D$2:$F$4,3,FALSE))</f>
        <v>#N/A</v>
      </c>
      <c r="G2261" s="137" t="e">
        <f t="shared" si="39"/>
        <v>#N/A</v>
      </c>
    </row>
    <row r="2262" spans="1:7">
      <c r="A2262" s="112" t="str">
        <f>VLOOKUP('Informe Kelly'!A2256,Base!A:B,2,FALSE)</f>
        <v>16.907.382-1</v>
      </c>
      <c r="B2262" s="112" t="str">
        <f>VLOOKUP('Informe Kelly'!A2256,Base!A:G,7,FALSE)</f>
        <v>BUGUEÑO MEDEL HANS OLIVER</v>
      </c>
      <c r="C2262" s="112" t="str">
        <f>'Informe Kelly'!E2256</f>
        <v>08.04.2011</v>
      </c>
      <c r="D2262" s="112" t="e">
        <f>VLOOKUP(A2262,Ingreso!K:P,6,FALSE)</f>
        <v>#N/A</v>
      </c>
      <c r="E2262" s="142" t="e">
        <f>(VLOOKUP(D2262,$D$2:$E$4,2,FALSE))-(IF('Informe Kelly'!H2256=$A$2,'Informe Kelly'!F2256,VLOOKUP(D2262,$D$2:$E$4,2,FALSE)))</f>
        <v>#N/A</v>
      </c>
      <c r="F2262" s="142" t="e">
        <f>IF('Informe Kelly'!H2256=$A$3,'Informe Kelly'!F2256,VLOOKUP(D2262,$D$2:$F$4,3,FALSE))-(VLOOKUP(D2262,$D$2:$F$4,3,FALSE))</f>
        <v>#N/A</v>
      </c>
      <c r="G2262" s="137" t="e">
        <f t="shared" si="39"/>
        <v>#N/A</v>
      </c>
    </row>
    <row r="2263" spans="1:7">
      <c r="A2263" s="112" t="str">
        <f>VLOOKUP('Informe Kelly'!A2257,Base!A:B,2,FALSE)</f>
        <v>16.907.382-1</v>
      </c>
      <c r="B2263" s="112" t="str">
        <f>VLOOKUP('Informe Kelly'!A2257,Base!A:G,7,FALSE)</f>
        <v>BUGUEÑO MEDEL HANS OLIVER</v>
      </c>
      <c r="C2263" s="112" t="str">
        <f>'Informe Kelly'!E2257</f>
        <v>08.04.2011</v>
      </c>
      <c r="D2263" s="112" t="e">
        <f>VLOOKUP(A2263,Ingreso!K:P,6,FALSE)</f>
        <v>#N/A</v>
      </c>
      <c r="E2263" s="142" t="e">
        <f>(VLOOKUP(D2263,$D$2:$E$4,2,FALSE))-(IF('Informe Kelly'!H2257=$A$2,'Informe Kelly'!F2257,VLOOKUP(D2263,$D$2:$E$4,2,FALSE)))</f>
        <v>#N/A</v>
      </c>
      <c r="F2263" s="142" t="e">
        <f>IF('Informe Kelly'!H2257=$A$3,'Informe Kelly'!F2257,VLOOKUP(D2263,$D$2:$F$4,3,FALSE))-(VLOOKUP(D2263,$D$2:$F$4,3,FALSE))</f>
        <v>#N/A</v>
      </c>
      <c r="G2263" s="137" t="e">
        <f t="shared" si="39"/>
        <v>#N/A</v>
      </c>
    </row>
    <row r="2264" spans="1:7">
      <c r="A2264" s="112" t="str">
        <f>VLOOKUP('Informe Kelly'!A2258,Base!A:B,2,FALSE)</f>
        <v>17.002.272-6</v>
      </c>
      <c r="B2264" s="112" t="str">
        <f>VLOOKUP('Informe Kelly'!A2258,Base!A:G,7,FALSE)</f>
        <v>GARCES MUÑOZ JUAN DIEGO ALEXIS</v>
      </c>
      <c r="C2264" s="112" t="str">
        <f>'Informe Kelly'!E2258</f>
        <v>04.04.2011</v>
      </c>
      <c r="D2264" s="112" t="e">
        <f>VLOOKUP(A2264,Ingreso!K:P,6,FALSE)</f>
        <v>#N/A</v>
      </c>
      <c r="E2264" s="142" t="e">
        <f>(VLOOKUP(D2264,$D$2:$E$4,2,FALSE))-(IF('Informe Kelly'!H2258=$A$2,'Informe Kelly'!F2258,VLOOKUP(D2264,$D$2:$E$4,2,FALSE)))</f>
        <v>#N/A</v>
      </c>
      <c r="F2264" s="142" t="e">
        <f>IF('Informe Kelly'!H2258=$A$3,'Informe Kelly'!F2258,VLOOKUP(D2264,$D$2:$F$4,3,FALSE))-(VLOOKUP(D2264,$D$2:$F$4,3,FALSE))</f>
        <v>#N/A</v>
      </c>
      <c r="G2264" s="137" t="e">
        <f t="shared" si="39"/>
        <v>#N/A</v>
      </c>
    </row>
    <row r="2265" spans="1:7">
      <c r="A2265" s="112" t="str">
        <f>VLOOKUP('Informe Kelly'!A2259,Base!A:B,2,FALSE)</f>
        <v>17.002.272-6</v>
      </c>
      <c r="B2265" s="112" t="str">
        <f>VLOOKUP('Informe Kelly'!A2259,Base!A:G,7,FALSE)</f>
        <v>GARCES MUÑOZ JUAN DIEGO ALEXIS</v>
      </c>
      <c r="C2265" s="112" t="str">
        <f>'Informe Kelly'!E2259</f>
        <v>04.04.2011</v>
      </c>
      <c r="D2265" s="112" t="e">
        <f>VLOOKUP(A2265,Ingreso!K:P,6,FALSE)</f>
        <v>#N/A</v>
      </c>
      <c r="E2265" s="142" t="e">
        <f>(VLOOKUP(D2265,$D$2:$E$4,2,FALSE))-(IF('Informe Kelly'!H2259=$A$2,'Informe Kelly'!F2259,VLOOKUP(D2265,$D$2:$E$4,2,FALSE)))</f>
        <v>#N/A</v>
      </c>
      <c r="F2265" s="142" t="e">
        <f>IF('Informe Kelly'!H2259=$A$3,'Informe Kelly'!F2259,VLOOKUP(D2265,$D$2:$F$4,3,FALSE))-(VLOOKUP(D2265,$D$2:$F$4,3,FALSE))</f>
        <v>#N/A</v>
      </c>
      <c r="G2265" s="137" t="e">
        <f t="shared" si="39"/>
        <v>#N/A</v>
      </c>
    </row>
    <row r="2266" spans="1:7">
      <c r="A2266" s="112" t="str">
        <f>VLOOKUP('Informe Kelly'!A2260,Base!A:B,2,FALSE)</f>
        <v>17.002.272-6</v>
      </c>
      <c r="B2266" s="112" t="str">
        <f>VLOOKUP('Informe Kelly'!A2260,Base!A:G,7,FALSE)</f>
        <v>GARCES MUÑOZ JUAN DIEGO ALEXIS</v>
      </c>
      <c r="C2266" s="112" t="str">
        <f>'Informe Kelly'!E2260</f>
        <v>05.04.2011</v>
      </c>
      <c r="D2266" s="112" t="e">
        <f>VLOOKUP(A2266,Ingreso!K:P,6,FALSE)</f>
        <v>#N/A</v>
      </c>
      <c r="E2266" s="142" t="e">
        <f>(VLOOKUP(D2266,$D$2:$E$4,2,FALSE))-(IF('Informe Kelly'!H2260=$A$2,'Informe Kelly'!F2260,VLOOKUP(D2266,$D$2:$E$4,2,FALSE)))</f>
        <v>#N/A</v>
      </c>
      <c r="F2266" s="142" t="e">
        <f>IF('Informe Kelly'!H2260=$A$3,'Informe Kelly'!F2260,VLOOKUP(D2266,$D$2:$F$4,3,FALSE))-(VLOOKUP(D2266,$D$2:$F$4,3,FALSE))</f>
        <v>#N/A</v>
      </c>
      <c r="G2266" s="137" t="e">
        <f t="shared" si="39"/>
        <v>#N/A</v>
      </c>
    </row>
    <row r="2267" spans="1:7">
      <c r="A2267" s="112" t="str">
        <f>VLOOKUP('Informe Kelly'!A2261,Base!A:B,2,FALSE)</f>
        <v>17.002.272-6</v>
      </c>
      <c r="B2267" s="112" t="str">
        <f>VLOOKUP('Informe Kelly'!A2261,Base!A:G,7,FALSE)</f>
        <v>GARCES MUÑOZ JUAN DIEGO ALEXIS</v>
      </c>
      <c r="C2267" s="112" t="str">
        <f>'Informe Kelly'!E2261</f>
        <v>05.04.2011</v>
      </c>
      <c r="D2267" s="112" t="e">
        <f>VLOOKUP(A2267,Ingreso!K:P,6,FALSE)</f>
        <v>#N/A</v>
      </c>
      <c r="E2267" s="142" t="e">
        <f>(VLOOKUP(D2267,$D$2:$E$4,2,FALSE))-(IF('Informe Kelly'!H2261=$A$2,'Informe Kelly'!F2261,VLOOKUP(D2267,$D$2:$E$4,2,FALSE)))</f>
        <v>#N/A</v>
      </c>
      <c r="F2267" s="142" t="e">
        <f>IF('Informe Kelly'!H2261=$A$3,'Informe Kelly'!F2261,VLOOKUP(D2267,$D$2:$F$4,3,FALSE))-(VLOOKUP(D2267,$D$2:$F$4,3,FALSE))</f>
        <v>#N/A</v>
      </c>
      <c r="G2267" s="137" t="e">
        <f t="shared" si="39"/>
        <v>#N/A</v>
      </c>
    </row>
    <row r="2268" spans="1:7">
      <c r="A2268" s="112" t="str">
        <f>VLOOKUP('Informe Kelly'!A2262,Base!A:B,2,FALSE)</f>
        <v>17.002.272-6</v>
      </c>
      <c r="B2268" s="112" t="str">
        <f>VLOOKUP('Informe Kelly'!A2262,Base!A:G,7,FALSE)</f>
        <v>GARCES MUÑOZ JUAN DIEGO ALEXIS</v>
      </c>
      <c r="C2268" s="112" t="str">
        <f>'Informe Kelly'!E2262</f>
        <v>06.04.2011</v>
      </c>
      <c r="D2268" s="112" t="e">
        <f>VLOOKUP(A2268,Ingreso!K:P,6,FALSE)</f>
        <v>#N/A</v>
      </c>
      <c r="E2268" s="142" t="e">
        <f>(VLOOKUP(D2268,$D$2:$E$4,2,FALSE))-(IF('Informe Kelly'!H2262=$A$2,'Informe Kelly'!F2262,VLOOKUP(D2268,$D$2:$E$4,2,FALSE)))</f>
        <v>#N/A</v>
      </c>
      <c r="F2268" s="142" t="e">
        <f>IF('Informe Kelly'!H2262=$A$3,'Informe Kelly'!F2262,VLOOKUP(D2268,$D$2:$F$4,3,FALSE))-(VLOOKUP(D2268,$D$2:$F$4,3,FALSE))</f>
        <v>#N/A</v>
      </c>
      <c r="G2268" s="137" t="e">
        <f t="shared" si="39"/>
        <v>#N/A</v>
      </c>
    </row>
    <row r="2269" spans="1:7">
      <c r="A2269" s="112" t="str">
        <f>VLOOKUP('Informe Kelly'!A2263,Base!A:B,2,FALSE)</f>
        <v>17.002.272-6</v>
      </c>
      <c r="B2269" s="112" t="str">
        <f>VLOOKUP('Informe Kelly'!A2263,Base!A:G,7,FALSE)</f>
        <v>GARCES MUÑOZ JUAN DIEGO ALEXIS</v>
      </c>
      <c r="C2269" s="112" t="str">
        <f>'Informe Kelly'!E2263</f>
        <v>06.04.2011</v>
      </c>
      <c r="D2269" s="112" t="e">
        <f>VLOOKUP(A2269,Ingreso!K:P,6,FALSE)</f>
        <v>#N/A</v>
      </c>
      <c r="E2269" s="142" t="e">
        <f>(VLOOKUP(D2269,$D$2:$E$4,2,FALSE))-(IF('Informe Kelly'!H2263=$A$2,'Informe Kelly'!F2263,VLOOKUP(D2269,$D$2:$E$4,2,FALSE)))</f>
        <v>#N/A</v>
      </c>
      <c r="F2269" s="142" t="e">
        <f>IF('Informe Kelly'!H2263=$A$3,'Informe Kelly'!F2263,VLOOKUP(D2269,$D$2:$F$4,3,FALSE))-(VLOOKUP(D2269,$D$2:$F$4,3,FALSE))</f>
        <v>#N/A</v>
      </c>
      <c r="G2269" s="137" t="e">
        <f t="shared" si="39"/>
        <v>#N/A</v>
      </c>
    </row>
    <row r="2270" spans="1:7">
      <c r="A2270" s="112" t="str">
        <f>VLOOKUP('Informe Kelly'!A2264,Base!A:B,2,FALSE)</f>
        <v>17.002.272-6</v>
      </c>
      <c r="B2270" s="112" t="str">
        <f>VLOOKUP('Informe Kelly'!A2264,Base!A:G,7,FALSE)</f>
        <v>GARCES MUÑOZ JUAN DIEGO ALEXIS</v>
      </c>
      <c r="C2270" s="112" t="str">
        <f>'Informe Kelly'!E2264</f>
        <v>07.04.2011</v>
      </c>
      <c r="D2270" s="112" t="e">
        <f>VLOOKUP(A2270,Ingreso!K:P,6,FALSE)</f>
        <v>#N/A</v>
      </c>
      <c r="E2270" s="142" t="e">
        <f>(VLOOKUP(D2270,$D$2:$E$4,2,FALSE))-(IF('Informe Kelly'!H2264=$A$2,'Informe Kelly'!F2264,VLOOKUP(D2270,$D$2:$E$4,2,FALSE)))</f>
        <v>#N/A</v>
      </c>
      <c r="F2270" s="142" t="e">
        <f>IF('Informe Kelly'!H2264=$A$3,'Informe Kelly'!F2264,VLOOKUP(D2270,$D$2:$F$4,3,FALSE))-(VLOOKUP(D2270,$D$2:$F$4,3,FALSE))</f>
        <v>#N/A</v>
      </c>
      <c r="G2270" s="137" t="e">
        <f t="shared" si="39"/>
        <v>#N/A</v>
      </c>
    </row>
    <row r="2271" spans="1:7">
      <c r="A2271" s="112" t="str">
        <f>VLOOKUP('Informe Kelly'!A2265,Base!A:B,2,FALSE)</f>
        <v>17.002.272-6</v>
      </c>
      <c r="B2271" s="112" t="str">
        <f>VLOOKUP('Informe Kelly'!A2265,Base!A:G,7,FALSE)</f>
        <v>GARCES MUÑOZ JUAN DIEGO ALEXIS</v>
      </c>
      <c r="C2271" s="112" t="str">
        <f>'Informe Kelly'!E2265</f>
        <v>07.04.2011</v>
      </c>
      <c r="D2271" s="112" t="e">
        <f>VLOOKUP(A2271,Ingreso!K:P,6,FALSE)</f>
        <v>#N/A</v>
      </c>
      <c r="E2271" s="142" t="e">
        <f>(VLOOKUP(D2271,$D$2:$E$4,2,FALSE))-(IF('Informe Kelly'!H2265=$A$2,'Informe Kelly'!F2265,VLOOKUP(D2271,$D$2:$E$4,2,FALSE)))</f>
        <v>#N/A</v>
      </c>
      <c r="F2271" s="142" t="e">
        <f>IF('Informe Kelly'!H2265=$A$3,'Informe Kelly'!F2265,VLOOKUP(D2271,$D$2:$F$4,3,FALSE))-(VLOOKUP(D2271,$D$2:$F$4,3,FALSE))</f>
        <v>#N/A</v>
      </c>
      <c r="G2271" s="137" t="e">
        <f t="shared" si="39"/>
        <v>#N/A</v>
      </c>
    </row>
    <row r="2272" spans="1:7">
      <c r="A2272" s="112" t="str">
        <f>VLOOKUP('Informe Kelly'!A2266,Base!A:B,2,FALSE)</f>
        <v>17.002.272-6</v>
      </c>
      <c r="B2272" s="112" t="str">
        <f>VLOOKUP('Informe Kelly'!A2266,Base!A:G,7,FALSE)</f>
        <v>GARCES MUÑOZ JUAN DIEGO ALEXIS</v>
      </c>
      <c r="C2272" s="112" t="str">
        <f>'Informe Kelly'!E2266</f>
        <v>08.04.2011</v>
      </c>
      <c r="D2272" s="112" t="e">
        <f>VLOOKUP(A2272,Ingreso!K:P,6,FALSE)</f>
        <v>#N/A</v>
      </c>
      <c r="E2272" s="142" t="e">
        <f>(VLOOKUP(D2272,$D$2:$E$4,2,FALSE))-(IF('Informe Kelly'!H2266=$A$2,'Informe Kelly'!F2266,VLOOKUP(D2272,$D$2:$E$4,2,FALSE)))</f>
        <v>#N/A</v>
      </c>
      <c r="F2272" s="142" t="e">
        <f>IF('Informe Kelly'!H2266=$A$3,'Informe Kelly'!F2266,VLOOKUP(D2272,$D$2:$F$4,3,FALSE))-(VLOOKUP(D2272,$D$2:$F$4,3,FALSE))</f>
        <v>#N/A</v>
      </c>
      <c r="G2272" s="137" t="e">
        <f t="shared" si="39"/>
        <v>#N/A</v>
      </c>
    </row>
    <row r="2273" spans="1:7">
      <c r="A2273" s="112" t="str">
        <f>VLOOKUP('Informe Kelly'!A2267,Base!A:B,2,FALSE)</f>
        <v>17.002.272-6</v>
      </c>
      <c r="B2273" s="112" t="str">
        <f>VLOOKUP('Informe Kelly'!A2267,Base!A:G,7,FALSE)</f>
        <v>GARCES MUÑOZ JUAN DIEGO ALEXIS</v>
      </c>
      <c r="C2273" s="112" t="str">
        <f>'Informe Kelly'!E2267</f>
        <v>08.04.2011</v>
      </c>
      <c r="D2273" s="112" t="e">
        <f>VLOOKUP(A2273,Ingreso!K:P,6,FALSE)</f>
        <v>#N/A</v>
      </c>
      <c r="E2273" s="142" t="e">
        <f>(VLOOKUP(D2273,$D$2:$E$4,2,FALSE))-(IF('Informe Kelly'!H2267=$A$2,'Informe Kelly'!F2267,VLOOKUP(D2273,$D$2:$E$4,2,FALSE)))</f>
        <v>#N/A</v>
      </c>
      <c r="F2273" s="142" t="e">
        <f>IF('Informe Kelly'!H2267=$A$3,'Informe Kelly'!F2267,VLOOKUP(D2273,$D$2:$F$4,3,FALSE))-(VLOOKUP(D2273,$D$2:$F$4,3,FALSE))</f>
        <v>#N/A</v>
      </c>
      <c r="G2273" s="137" t="e">
        <f t="shared" si="39"/>
        <v>#N/A</v>
      </c>
    </row>
    <row r="2274" spans="1:7">
      <c r="A2274" s="112" t="str">
        <f>VLOOKUP('Informe Kelly'!A2268,Base!A:B,2,FALSE)</f>
        <v>17.002.272-6</v>
      </c>
      <c r="B2274" s="112" t="str">
        <f>VLOOKUP('Informe Kelly'!A2268,Base!A:G,7,FALSE)</f>
        <v>GARCES MUÑOZ JUAN DIEGO ALEXIS</v>
      </c>
      <c r="C2274" s="112" t="str">
        <f>'Informe Kelly'!E2268</f>
        <v>09.04.2011</v>
      </c>
      <c r="D2274" s="112" t="e">
        <f>VLOOKUP(A2274,Ingreso!K:P,6,FALSE)</f>
        <v>#N/A</v>
      </c>
      <c r="E2274" s="142" t="e">
        <f>(VLOOKUP(D2274,$D$2:$E$4,2,FALSE))-(IF('Informe Kelly'!H2268=$A$2,'Informe Kelly'!F2268,VLOOKUP(D2274,$D$2:$E$4,2,FALSE)))</f>
        <v>#N/A</v>
      </c>
      <c r="F2274" s="142" t="e">
        <f>IF('Informe Kelly'!H2268=$A$3,'Informe Kelly'!F2268,VLOOKUP(D2274,$D$2:$F$4,3,FALSE))-(VLOOKUP(D2274,$D$2:$F$4,3,FALSE))</f>
        <v>#N/A</v>
      </c>
      <c r="G2274" s="137" t="e">
        <f t="shared" si="39"/>
        <v>#N/A</v>
      </c>
    </row>
    <row r="2275" spans="1:7">
      <c r="A2275" s="112" t="str">
        <f>VLOOKUP('Informe Kelly'!A2269,Base!A:B,2,FALSE)</f>
        <v>17.002.272-6</v>
      </c>
      <c r="B2275" s="112" t="str">
        <f>VLOOKUP('Informe Kelly'!A2269,Base!A:G,7,FALSE)</f>
        <v>GARCES MUÑOZ JUAN DIEGO ALEXIS</v>
      </c>
      <c r="C2275" s="112" t="str">
        <f>'Informe Kelly'!E2269</f>
        <v>09.04.2011</v>
      </c>
      <c r="D2275" s="112" t="e">
        <f>VLOOKUP(A2275,Ingreso!K:P,6,FALSE)</f>
        <v>#N/A</v>
      </c>
      <c r="E2275" s="142" t="e">
        <f>(VLOOKUP(D2275,$D$2:$E$4,2,FALSE))-(IF('Informe Kelly'!H2269=$A$2,'Informe Kelly'!F2269,VLOOKUP(D2275,$D$2:$E$4,2,FALSE)))</f>
        <v>#N/A</v>
      </c>
      <c r="F2275" s="142" t="e">
        <f>IF('Informe Kelly'!H2269=$A$3,'Informe Kelly'!F2269,VLOOKUP(D2275,$D$2:$F$4,3,FALSE))-(VLOOKUP(D2275,$D$2:$F$4,3,FALSE))</f>
        <v>#N/A</v>
      </c>
      <c r="G2275" s="137" t="e">
        <f t="shared" si="39"/>
        <v>#N/A</v>
      </c>
    </row>
    <row r="2276" spans="1:7">
      <c r="A2276" s="112" t="str">
        <f>VLOOKUP('Informe Kelly'!A2270,Base!A:B,2,FALSE)</f>
        <v>17.065.312-2</v>
      </c>
      <c r="B2276" s="112" t="str">
        <f>VLOOKUP('Informe Kelly'!A2270,Base!A:G,7,FALSE)</f>
        <v>GALVEZ CERNA ARIEL ALFREDO</v>
      </c>
      <c r="C2276" s="112" t="str">
        <f>'Informe Kelly'!E2270</f>
        <v>04.04.2011</v>
      </c>
      <c r="D2276" s="112" t="e">
        <f>VLOOKUP(A2276,Ingreso!K:P,6,FALSE)</f>
        <v>#N/A</v>
      </c>
      <c r="E2276" s="142" t="e">
        <f>(VLOOKUP(D2276,$D$2:$E$4,2,FALSE))-(IF('Informe Kelly'!H2270=$A$2,'Informe Kelly'!F2270,VLOOKUP(D2276,$D$2:$E$4,2,FALSE)))</f>
        <v>#N/A</v>
      </c>
      <c r="F2276" s="142" t="e">
        <f>IF('Informe Kelly'!H2270=$A$3,'Informe Kelly'!F2270,VLOOKUP(D2276,$D$2:$F$4,3,FALSE))-(VLOOKUP(D2276,$D$2:$F$4,3,FALSE))</f>
        <v>#N/A</v>
      </c>
      <c r="G2276" s="137" t="e">
        <f t="shared" si="39"/>
        <v>#N/A</v>
      </c>
    </row>
    <row r="2277" spans="1:7">
      <c r="A2277" s="112" t="str">
        <f>VLOOKUP('Informe Kelly'!A2271,Base!A:B,2,FALSE)</f>
        <v>17.065.312-2</v>
      </c>
      <c r="B2277" s="112" t="str">
        <f>VLOOKUP('Informe Kelly'!A2271,Base!A:G,7,FALSE)</f>
        <v>GALVEZ CERNA ARIEL ALFREDO</v>
      </c>
      <c r="C2277" s="112" t="str">
        <f>'Informe Kelly'!E2271</f>
        <v>04.04.2011</v>
      </c>
      <c r="D2277" s="112" t="e">
        <f>VLOOKUP(A2277,Ingreso!K:P,6,FALSE)</f>
        <v>#N/A</v>
      </c>
      <c r="E2277" s="142" t="e">
        <f>(VLOOKUP(D2277,$D$2:$E$4,2,FALSE))-(IF('Informe Kelly'!H2271=$A$2,'Informe Kelly'!F2271,VLOOKUP(D2277,$D$2:$E$4,2,FALSE)))</f>
        <v>#N/A</v>
      </c>
      <c r="F2277" s="142" t="e">
        <f>IF('Informe Kelly'!H2271=$A$3,'Informe Kelly'!F2271,VLOOKUP(D2277,$D$2:$F$4,3,FALSE))-(VLOOKUP(D2277,$D$2:$F$4,3,FALSE))</f>
        <v>#N/A</v>
      </c>
      <c r="G2277" s="137" t="e">
        <f t="shared" si="39"/>
        <v>#N/A</v>
      </c>
    </row>
    <row r="2278" spans="1:7">
      <c r="A2278" s="112" t="str">
        <f>VLOOKUP('Informe Kelly'!A2272,Base!A:B,2,FALSE)</f>
        <v>17.065.312-2</v>
      </c>
      <c r="B2278" s="112" t="str">
        <f>VLOOKUP('Informe Kelly'!A2272,Base!A:G,7,FALSE)</f>
        <v>GALVEZ CERNA ARIEL ALFREDO</v>
      </c>
      <c r="C2278" s="112" t="str">
        <f>'Informe Kelly'!E2272</f>
        <v>05.04.2011</v>
      </c>
      <c r="D2278" s="112" t="e">
        <f>VLOOKUP(A2278,Ingreso!K:P,6,FALSE)</f>
        <v>#N/A</v>
      </c>
      <c r="E2278" s="142" t="e">
        <f>(VLOOKUP(D2278,$D$2:$E$4,2,FALSE))-(IF('Informe Kelly'!H2272=$A$2,'Informe Kelly'!F2272,VLOOKUP(D2278,$D$2:$E$4,2,FALSE)))</f>
        <v>#N/A</v>
      </c>
      <c r="F2278" s="142" t="e">
        <f>IF('Informe Kelly'!H2272=$A$3,'Informe Kelly'!F2272,VLOOKUP(D2278,$D$2:$F$4,3,FALSE))-(VLOOKUP(D2278,$D$2:$F$4,3,FALSE))</f>
        <v>#N/A</v>
      </c>
      <c r="G2278" s="137" t="e">
        <f t="shared" si="39"/>
        <v>#N/A</v>
      </c>
    </row>
    <row r="2279" spans="1:7">
      <c r="A2279" s="112" t="str">
        <f>VLOOKUP('Informe Kelly'!A2273,Base!A:B,2,FALSE)</f>
        <v>17.065.312-2</v>
      </c>
      <c r="B2279" s="112" t="str">
        <f>VLOOKUP('Informe Kelly'!A2273,Base!A:G,7,FALSE)</f>
        <v>GALVEZ CERNA ARIEL ALFREDO</v>
      </c>
      <c r="C2279" s="112" t="str">
        <f>'Informe Kelly'!E2273</f>
        <v>05.04.2011</v>
      </c>
      <c r="D2279" s="112" t="e">
        <f>VLOOKUP(A2279,Ingreso!K:P,6,FALSE)</f>
        <v>#N/A</v>
      </c>
      <c r="E2279" s="142" t="e">
        <f>(VLOOKUP(D2279,$D$2:$E$4,2,FALSE))-(IF('Informe Kelly'!H2273=$A$2,'Informe Kelly'!F2273,VLOOKUP(D2279,$D$2:$E$4,2,FALSE)))</f>
        <v>#N/A</v>
      </c>
      <c r="F2279" s="142" t="e">
        <f>IF('Informe Kelly'!H2273=$A$3,'Informe Kelly'!F2273,VLOOKUP(D2279,$D$2:$F$4,3,FALSE))-(VLOOKUP(D2279,$D$2:$F$4,3,FALSE))</f>
        <v>#N/A</v>
      </c>
      <c r="G2279" s="137" t="e">
        <f t="shared" si="39"/>
        <v>#N/A</v>
      </c>
    </row>
    <row r="2280" spans="1:7">
      <c r="A2280" s="112" t="str">
        <f>VLOOKUP('Informe Kelly'!A2274,Base!A:B,2,FALSE)</f>
        <v>17.065.312-2</v>
      </c>
      <c r="B2280" s="112" t="str">
        <f>VLOOKUP('Informe Kelly'!A2274,Base!A:G,7,FALSE)</f>
        <v>GALVEZ CERNA ARIEL ALFREDO</v>
      </c>
      <c r="C2280" s="112" t="str">
        <f>'Informe Kelly'!E2274</f>
        <v>06.04.2011</v>
      </c>
      <c r="D2280" s="112" t="e">
        <f>VLOOKUP(A2280,Ingreso!K:P,6,FALSE)</f>
        <v>#N/A</v>
      </c>
      <c r="E2280" s="142" t="e">
        <f>(VLOOKUP(D2280,$D$2:$E$4,2,FALSE))-(IF('Informe Kelly'!H2274=$A$2,'Informe Kelly'!F2274,VLOOKUP(D2280,$D$2:$E$4,2,FALSE)))</f>
        <v>#N/A</v>
      </c>
      <c r="F2280" s="142" t="e">
        <f>IF('Informe Kelly'!H2274=$A$3,'Informe Kelly'!F2274,VLOOKUP(D2280,$D$2:$F$4,3,FALSE))-(VLOOKUP(D2280,$D$2:$F$4,3,FALSE))</f>
        <v>#N/A</v>
      </c>
      <c r="G2280" s="137" t="e">
        <f t="shared" si="39"/>
        <v>#N/A</v>
      </c>
    </row>
    <row r="2281" spans="1:7">
      <c r="A2281" s="112" t="str">
        <f>VLOOKUP('Informe Kelly'!A2275,Base!A:B,2,FALSE)</f>
        <v>17.065.312-2</v>
      </c>
      <c r="B2281" s="112" t="str">
        <f>VLOOKUP('Informe Kelly'!A2275,Base!A:G,7,FALSE)</f>
        <v>GALVEZ CERNA ARIEL ALFREDO</v>
      </c>
      <c r="C2281" s="112" t="str">
        <f>'Informe Kelly'!E2275</f>
        <v>06.04.2011</v>
      </c>
      <c r="D2281" s="112" t="e">
        <f>VLOOKUP(A2281,Ingreso!K:P,6,FALSE)</f>
        <v>#N/A</v>
      </c>
      <c r="E2281" s="142" t="e">
        <f>(VLOOKUP(D2281,$D$2:$E$4,2,FALSE))-(IF('Informe Kelly'!H2275=$A$2,'Informe Kelly'!F2275,VLOOKUP(D2281,$D$2:$E$4,2,FALSE)))</f>
        <v>#N/A</v>
      </c>
      <c r="F2281" s="142" t="e">
        <f>IF('Informe Kelly'!H2275=$A$3,'Informe Kelly'!F2275,VLOOKUP(D2281,$D$2:$F$4,3,FALSE))-(VLOOKUP(D2281,$D$2:$F$4,3,FALSE))</f>
        <v>#N/A</v>
      </c>
      <c r="G2281" s="137" t="e">
        <f t="shared" si="39"/>
        <v>#N/A</v>
      </c>
    </row>
    <row r="2282" spans="1:7">
      <c r="A2282" s="112" t="str">
        <f>VLOOKUP('Informe Kelly'!A2276,Base!A:B,2,FALSE)</f>
        <v>17.065.312-2</v>
      </c>
      <c r="B2282" s="112" t="str">
        <f>VLOOKUP('Informe Kelly'!A2276,Base!A:G,7,FALSE)</f>
        <v>GALVEZ CERNA ARIEL ALFREDO</v>
      </c>
      <c r="C2282" s="112" t="str">
        <f>'Informe Kelly'!E2276</f>
        <v>07.04.2011</v>
      </c>
      <c r="D2282" s="112" t="e">
        <f>VLOOKUP(A2282,Ingreso!K:P,6,FALSE)</f>
        <v>#N/A</v>
      </c>
      <c r="E2282" s="142" t="e">
        <f>(VLOOKUP(D2282,$D$2:$E$4,2,FALSE))-(IF('Informe Kelly'!H2276=$A$2,'Informe Kelly'!F2276,VLOOKUP(D2282,$D$2:$E$4,2,FALSE)))</f>
        <v>#N/A</v>
      </c>
      <c r="F2282" s="142" t="e">
        <f>IF('Informe Kelly'!H2276=$A$3,'Informe Kelly'!F2276,VLOOKUP(D2282,$D$2:$F$4,3,FALSE))-(VLOOKUP(D2282,$D$2:$F$4,3,FALSE))</f>
        <v>#N/A</v>
      </c>
      <c r="G2282" s="137" t="e">
        <f t="shared" si="39"/>
        <v>#N/A</v>
      </c>
    </row>
    <row r="2283" spans="1:7">
      <c r="A2283" s="112" t="str">
        <f>VLOOKUP('Informe Kelly'!A2277,Base!A:B,2,FALSE)</f>
        <v>17.065.312-2</v>
      </c>
      <c r="B2283" s="112" t="str">
        <f>VLOOKUP('Informe Kelly'!A2277,Base!A:G,7,FALSE)</f>
        <v>GALVEZ CERNA ARIEL ALFREDO</v>
      </c>
      <c r="C2283" s="112" t="str">
        <f>'Informe Kelly'!E2277</f>
        <v>07.04.2011</v>
      </c>
      <c r="D2283" s="112" t="e">
        <f>VLOOKUP(A2283,Ingreso!K:P,6,FALSE)</f>
        <v>#N/A</v>
      </c>
      <c r="E2283" s="142" t="e">
        <f>(VLOOKUP(D2283,$D$2:$E$4,2,FALSE))-(IF('Informe Kelly'!H2277=$A$2,'Informe Kelly'!F2277,VLOOKUP(D2283,$D$2:$E$4,2,FALSE)))</f>
        <v>#N/A</v>
      </c>
      <c r="F2283" s="142" t="e">
        <f>IF('Informe Kelly'!H2277=$A$3,'Informe Kelly'!F2277,VLOOKUP(D2283,$D$2:$F$4,3,FALSE))-(VLOOKUP(D2283,$D$2:$F$4,3,FALSE))</f>
        <v>#N/A</v>
      </c>
      <c r="G2283" s="137" t="e">
        <f t="shared" si="39"/>
        <v>#N/A</v>
      </c>
    </row>
    <row r="2284" spans="1:7">
      <c r="A2284" s="112" t="str">
        <f>VLOOKUP('Informe Kelly'!A2278,Base!A:B,2,FALSE)</f>
        <v>17.065.312-2</v>
      </c>
      <c r="B2284" s="112" t="str">
        <f>VLOOKUP('Informe Kelly'!A2278,Base!A:G,7,FALSE)</f>
        <v>GALVEZ CERNA ARIEL ALFREDO</v>
      </c>
      <c r="C2284" s="112" t="str">
        <f>'Informe Kelly'!E2278</f>
        <v>08.04.2011</v>
      </c>
      <c r="D2284" s="112" t="e">
        <f>VLOOKUP(A2284,Ingreso!K:P,6,FALSE)</f>
        <v>#N/A</v>
      </c>
      <c r="E2284" s="142" t="e">
        <f>(VLOOKUP(D2284,$D$2:$E$4,2,FALSE))-(IF('Informe Kelly'!H2278=$A$2,'Informe Kelly'!F2278,VLOOKUP(D2284,$D$2:$E$4,2,FALSE)))</f>
        <v>#N/A</v>
      </c>
      <c r="F2284" s="142" t="e">
        <f>IF('Informe Kelly'!H2278=$A$3,'Informe Kelly'!F2278,VLOOKUP(D2284,$D$2:$F$4,3,FALSE))-(VLOOKUP(D2284,$D$2:$F$4,3,FALSE))</f>
        <v>#N/A</v>
      </c>
      <c r="G2284" s="137" t="e">
        <f t="shared" si="39"/>
        <v>#N/A</v>
      </c>
    </row>
    <row r="2285" spans="1:7">
      <c r="A2285" s="112" t="str">
        <f>VLOOKUP('Informe Kelly'!A2279,Base!A:B,2,FALSE)</f>
        <v>17.065.312-2</v>
      </c>
      <c r="B2285" s="112" t="str">
        <f>VLOOKUP('Informe Kelly'!A2279,Base!A:G,7,FALSE)</f>
        <v>GALVEZ CERNA ARIEL ALFREDO</v>
      </c>
      <c r="C2285" s="112" t="str">
        <f>'Informe Kelly'!E2279</f>
        <v>08.04.2011</v>
      </c>
      <c r="D2285" s="112" t="e">
        <f>VLOOKUP(A2285,Ingreso!K:P,6,FALSE)</f>
        <v>#N/A</v>
      </c>
      <c r="E2285" s="142" t="e">
        <f>(VLOOKUP(D2285,$D$2:$E$4,2,FALSE))-(IF('Informe Kelly'!H2279=$A$2,'Informe Kelly'!F2279,VLOOKUP(D2285,$D$2:$E$4,2,FALSE)))</f>
        <v>#N/A</v>
      </c>
      <c r="F2285" s="142" t="e">
        <f>IF('Informe Kelly'!H2279=$A$3,'Informe Kelly'!F2279,VLOOKUP(D2285,$D$2:$F$4,3,FALSE))-(VLOOKUP(D2285,$D$2:$F$4,3,FALSE))</f>
        <v>#N/A</v>
      </c>
      <c r="G2285" s="137" t="e">
        <f t="shared" si="39"/>
        <v>#N/A</v>
      </c>
    </row>
    <row r="2286" spans="1:7">
      <c r="A2286" s="112" t="str">
        <f>VLOOKUP('Informe Kelly'!A2280,Base!A:B,2,FALSE)</f>
        <v>17.065.312-2</v>
      </c>
      <c r="B2286" s="112" t="str">
        <f>VLOOKUP('Informe Kelly'!A2280,Base!A:G,7,FALSE)</f>
        <v>GALVEZ CERNA ARIEL ALFREDO</v>
      </c>
      <c r="C2286" s="112" t="str">
        <f>'Informe Kelly'!E2280</f>
        <v>09.04.2011</v>
      </c>
      <c r="D2286" s="112" t="e">
        <f>VLOOKUP(A2286,Ingreso!K:P,6,FALSE)</f>
        <v>#N/A</v>
      </c>
      <c r="E2286" s="142" t="e">
        <f>(VLOOKUP(D2286,$D$2:$E$4,2,FALSE))-(IF('Informe Kelly'!H2280=$A$2,'Informe Kelly'!F2280,VLOOKUP(D2286,$D$2:$E$4,2,FALSE)))</f>
        <v>#N/A</v>
      </c>
      <c r="F2286" s="142" t="e">
        <f>IF('Informe Kelly'!H2280=$A$3,'Informe Kelly'!F2280,VLOOKUP(D2286,$D$2:$F$4,3,FALSE))-(VLOOKUP(D2286,$D$2:$F$4,3,FALSE))</f>
        <v>#N/A</v>
      </c>
      <c r="G2286" s="137" t="e">
        <f t="shared" si="39"/>
        <v>#N/A</v>
      </c>
    </row>
    <row r="2287" spans="1:7">
      <c r="A2287" s="112" t="str">
        <f>VLOOKUP('Informe Kelly'!A2281,Base!A:B,2,FALSE)</f>
        <v>17.065.312-2</v>
      </c>
      <c r="B2287" s="112" t="str">
        <f>VLOOKUP('Informe Kelly'!A2281,Base!A:G,7,FALSE)</f>
        <v>GALVEZ CERNA ARIEL ALFREDO</v>
      </c>
      <c r="C2287" s="112" t="str">
        <f>'Informe Kelly'!E2281</f>
        <v>09.04.2011</v>
      </c>
      <c r="D2287" s="112" t="e">
        <f>VLOOKUP(A2287,Ingreso!K:P,6,FALSE)</f>
        <v>#N/A</v>
      </c>
      <c r="E2287" s="142" t="e">
        <f>(VLOOKUP(D2287,$D$2:$E$4,2,FALSE))-(IF('Informe Kelly'!H2281=$A$2,'Informe Kelly'!F2281,VLOOKUP(D2287,$D$2:$E$4,2,FALSE)))</f>
        <v>#N/A</v>
      </c>
      <c r="F2287" s="142" t="e">
        <f>IF('Informe Kelly'!H2281=$A$3,'Informe Kelly'!F2281,VLOOKUP(D2287,$D$2:$F$4,3,FALSE))-(VLOOKUP(D2287,$D$2:$F$4,3,FALSE))</f>
        <v>#N/A</v>
      </c>
      <c r="G2287" s="137" t="e">
        <f t="shared" si="39"/>
        <v>#N/A</v>
      </c>
    </row>
    <row r="2288" spans="1:7">
      <c r="A2288" s="112" t="str">
        <f>VLOOKUP('Informe Kelly'!A2282,Base!A:B,2,FALSE)</f>
        <v>17.245.009-1</v>
      </c>
      <c r="B2288" s="112" t="str">
        <f>VLOOKUP('Informe Kelly'!A2282,Base!A:G,7,FALSE)</f>
        <v>ROJAS SALAMANCA RODRIGO ALEJANDRO</v>
      </c>
      <c r="C2288" s="112" t="str">
        <f>'Informe Kelly'!E2282</f>
        <v>04.04.2011</v>
      </c>
      <c r="D2288" s="112" t="e">
        <f>VLOOKUP(A2288,Ingreso!K:P,6,FALSE)</f>
        <v>#N/A</v>
      </c>
      <c r="E2288" s="142" t="e">
        <f>(VLOOKUP(D2288,$D$2:$E$4,2,FALSE))-(IF('Informe Kelly'!H2282=$A$2,'Informe Kelly'!F2282,VLOOKUP(D2288,$D$2:$E$4,2,FALSE)))</f>
        <v>#N/A</v>
      </c>
      <c r="F2288" s="142" t="e">
        <f>IF('Informe Kelly'!H2282=$A$3,'Informe Kelly'!F2282,VLOOKUP(D2288,$D$2:$F$4,3,FALSE))-(VLOOKUP(D2288,$D$2:$F$4,3,FALSE))</f>
        <v>#N/A</v>
      </c>
      <c r="G2288" s="137" t="e">
        <f t="shared" si="39"/>
        <v>#N/A</v>
      </c>
    </row>
    <row r="2289" spans="1:7">
      <c r="A2289" s="112" t="str">
        <f>VLOOKUP('Informe Kelly'!A2283,Base!A:B,2,FALSE)</f>
        <v>17.245.009-1</v>
      </c>
      <c r="B2289" s="112" t="str">
        <f>VLOOKUP('Informe Kelly'!A2283,Base!A:G,7,FALSE)</f>
        <v>ROJAS SALAMANCA RODRIGO ALEJANDRO</v>
      </c>
      <c r="C2289" s="112" t="str">
        <f>'Informe Kelly'!E2283</f>
        <v>04.04.2011</v>
      </c>
      <c r="D2289" s="112" t="e">
        <f>VLOOKUP(A2289,Ingreso!K:P,6,FALSE)</f>
        <v>#N/A</v>
      </c>
      <c r="E2289" s="142" t="e">
        <f>(VLOOKUP(D2289,$D$2:$E$4,2,FALSE))-(IF('Informe Kelly'!H2283=$A$2,'Informe Kelly'!F2283,VLOOKUP(D2289,$D$2:$E$4,2,FALSE)))</f>
        <v>#N/A</v>
      </c>
      <c r="F2289" s="142" t="e">
        <f>IF('Informe Kelly'!H2283=$A$3,'Informe Kelly'!F2283,VLOOKUP(D2289,$D$2:$F$4,3,FALSE))-(VLOOKUP(D2289,$D$2:$F$4,3,FALSE))</f>
        <v>#N/A</v>
      </c>
      <c r="G2289" s="137" t="e">
        <f t="shared" si="39"/>
        <v>#N/A</v>
      </c>
    </row>
    <row r="2290" spans="1:7">
      <c r="A2290" s="112" t="str">
        <f>VLOOKUP('Informe Kelly'!A2284,Base!A:B,2,FALSE)</f>
        <v>17.245.009-1</v>
      </c>
      <c r="B2290" s="112" t="str">
        <f>VLOOKUP('Informe Kelly'!A2284,Base!A:G,7,FALSE)</f>
        <v>ROJAS SALAMANCA RODRIGO ALEJANDRO</v>
      </c>
      <c r="C2290" s="112" t="str">
        <f>'Informe Kelly'!E2284</f>
        <v>05.04.2011</v>
      </c>
      <c r="D2290" s="112" t="e">
        <f>VLOOKUP(A2290,Ingreso!K:P,6,FALSE)</f>
        <v>#N/A</v>
      </c>
      <c r="E2290" s="142" t="e">
        <f>(VLOOKUP(D2290,$D$2:$E$4,2,FALSE))-(IF('Informe Kelly'!H2284=$A$2,'Informe Kelly'!F2284,VLOOKUP(D2290,$D$2:$E$4,2,FALSE)))</f>
        <v>#N/A</v>
      </c>
      <c r="F2290" s="142" t="e">
        <f>IF('Informe Kelly'!H2284=$A$3,'Informe Kelly'!F2284,VLOOKUP(D2290,$D$2:$F$4,3,FALSE))-(VLOOKUP(D2290,$D$2:$F$4,3,FALSE))</f>
        <v>#N/A</v>
      </c>
      <c r="G2290" s="137" t="e">
        <f t="shared" si="39"/>
        <v>#N/A</v>
      </c>
    </row>
    <row r="2291" spans="1:7">
      <c r="A2291" s="112" t="str">
        <f>VLOOKUP('Informe Kelly'!A2285,Base!A:B,2,FALSE)</f>
        <v>17.245.009-1</v>
      </c>
      <c r="B2291" s="112" t="str">
        <f>VLOOKUP('Informe Kelly'!A2285,Base!A:G,7,FALSE)</f>
        <v>ROJAS SALAMANCA RODRIGO ALEJANDRO</v>
      </c>
      <c r="C2291" s="112" t="str">
        <f>'Informe Kelly'!E2285</f>
        <v>05.04.2011</v>
      </c>
      <c r="D2291" s="112" t="e">
        <f>VLOOKUP(A2291,Ingreso!K:P,6,FALSE)</f>
        <v>#N/A</v>
      </c>
      <c r="E2291" s="142" t="e">
        <f>(VLOOKUP(D2291,$D$2:$E$4,2,FALSE))-(IF('Informe Kelly'!H2285=$A$2,'Informe Kelly'!F2285,VLOOKUP(D2291,$D$2:$E$4,2,FALSE)))</f>
        <v>#N/A</v>
      </c>
      <c r="F2291" s="142" t="e">
        <f>IF('Informe Kelly'!H2285=$A$3,'Informe Kelly'!F2285,VLOOKUP(D2291,$D$2:$F$4,3,FALSE))-(VLOOKUP(D2291,$D$2:$F$4,3,FALSE))</f>
        <v>#N/A</v>
      </c>
      <c r="G2291" s="137" t="e">
        <f t="shared" si="39"/>
        <v>#N/A</v>
      </c>
    </row>
    <row r="2292" spans="1:7">
      <c r="A2292" s="112" t="str">
        <f>VLOOKUP('Informe Kelly'!A2286,Base!A:B,2,FALSE)</f>
        <v>17.245.009-1</v>
      </c>
      <c r="B2292" s="112" t="str">
        <f>VLOOKUP('Informe Kelly'!A2286,Base!A:G,7,FALSE)</f>
        <v>ROJAS SALAMANCA RODRIGO ALEJANDRO</v>
      </c>
      <c r="C2292" s="112" t="str">
        <f>'Informe Kelly'!E2286</f>
        <v>06.04.2011</v>
      </c>
      <c r="D2292" s="112" t="e">
        <f>VLOOKUP(A2292,Ingreso!K:P,6,FALSE)</f>
        <v>#N/A</v>
      </c>
      <c r="E2292" s="142" t="e">
        <f>(VLOOKUP(D2292,$D$2:$E$4,2,FALSE))-(IF('Informe Kelly'!H2286=$A$2,'Informe Kelly'!F2286,VLOOKUP(D2292,$D$2:$E$4,2,FALSE)))</f>
        <v>#N/A</v>
      </c>
      <c r="F2292" s="142" t="e">
        <f>IF('Informe Kelly'!H2286=$A$3,'Informe Kelly'!F2286,VLOOKUP(D2292,$D$2:$F$4,3,FALSE))-(VLOOKUP(D2292,$D$2:$F$4,3,FALSE))</f>
        <v>#N/A</v>
      </c>
      <c r="G2292" s="137" t="e">
        <f t="shared" si="39"/>
        <v>#N/A</v>
      </c>
    </row>
    <row r="2293" spans="1:7">
      <c r="A2293" s="112" t="str">
        <f>VLOOKUP('Informe Kelly'!A2287,Base!A:B,2,FALSE)</f>
        <v>17.245.009-1</v>
      </c>
      <c r="B2293" s="112" t="str">
        <f>VLOOKUP('Informe Kelly'!A2287,Base!A:G,7,FALSE)</f>
        <v>ROJAS SALAMANCA RODRIGO ALEJANDRO</v>
      </c>
      <c r="C2293" s="112" t="str">
        <f>'Informe Kelly'!E2287</f>
        <v>06.04.2011</v>
      </c>
      <c r="D2293" s="112" t="e">
        <f>VLOOKUP(A2293,Ingreso!K:P,6,FALSE)</f>
        <v>#N/A</v>
      </c>
      <c r="E2293" s="142" t="e">
        <f>(VLOOKUP(D2293,$D$2:$E$4,2,FALSE))-(IF('Informe Kelly'!H2287=$A$2,'Informe Kelly'!F2287,VLOOKUP(D2293,$D$2:$E$4,2,FALSE)))</f>
        <v>#N/A</v>
      </c>
      <c r="F2293" s="142" t="e">
        <f>IF('Informe Kelly'!H2287=$A$3,'Informe Kelly'!F2287,VLOOKUP(D2293,$D$2:$F$4,3,FALSE))-(VLOOKUP(D2293,$D$2:$F$4,3,FALSE))</f>
        <v>#N/A</v>
      </c>
      <c r="G2293" s="137" t="e">
        <f t="shared" si="39"/>
        <v>#N/A</v>
      </c>
    </row>
    <row r="2294" spans="1:7">
      <c r="A2294" s="112" t="str">
        <f>VLOOKUP('Informe Kelly'!A2288,Base!A:B,2,FALSE)</f>
        <v>17.245.009-1</v>
      </c>
      <c r="B2294" s="112" t="str">
        <f>VLOOKUP('Informe Kelly'!A2288,Base!A:G,7,FALSE)</f>
        <v>ROJAS SALAMANCA RODRIGO ALEJANDRO</v>
      </c>
      <c r="C2294" s="112" t="str">
        <f>'Informe Kelly'!E2288</f>
        <v>07.04.2011</v>
      </c>
      <c r="D2294" s="112" t="e">
        <f>VLOOKUP(A2294,Ingreso!K:P,6,FALSE)</f>
        <v>#N/A</v>
      </c>
      <c r="E2294" s="142" t="e">
        <f>(VLOOKUP(D2294,$D$2:$E$4,2,FALSE))-(IF('Informe Kelly'!H2288=$A$2,'Informe Kelly'!F2288,VLOOKUP(D2294,$D$2:$E$4,2,FALSE)))</f>
        <v>#N/A</v>
      </c>
      <c r="F2294" s="142" t="e">
        <f>IF('Informe Kelly'!H2288=$A$3,'Informe Kelly'!F2288,VLOOKUP(D2294,$D$2:$F$4,3,FALSE))-(VLOOKUP(D2294,$D$2:$F$4,3,FALSE))</f>
        <v>#N/A</v>
      </c>
      <c r="G2294" s="137" t="e">
        <f t="shared" si="39"/>
        <v>#N/A</v>
      </c>
    </row>
    <row r="2295" spans="1:7">
      <c r="A2295" s="112" t="str">
        <f>VLOOKUP('Informe Kelly'!A2289,Base!A:B,2,FALSE)</f>
        <v>17.245.009-1</v>
      </c>
      <c r="B2295" s="112" t="str">
        <f>VLOOKUP('Informe Kelly'!A2289,Base!A:G,7,FALSE)</f>
        <v>ROJAS SALAMANCA RODRIGO ALEJANDRO</v>
      </c>
      <c r="C2295" s="112" t="str">
        <f>'Informe Kelly'!E2289</f>
        <v>07.04.2011</v>
      </c>
      <c r="D2295" s="112" t="e">
        <f>VLOOKUP(A2295,Ingreso!K:P,6,FALSE)</f>
        <v>#N/A</v>
      </c>
      <c r="E2295" s="142" t="e">
        <f>(VLOOKUP(D2295,$D$2:$E$4,2,FALSE))-(IF('Informe Kelly'!H2289=$A$2,'Informe Kelly'!F2289,VLOOKUP(D2295,$D$2:$E$4,2,FALSE)))</f>
        <v>#N/A</v>
      </c>
      <c r="F2295" s="142" t="e">
        <f>IF('Informe Kelly'!H2289=$A$3,'Informe Kelly'!F2289,VLOOKUP(D2295,$D$2:$F$4,3,FALSE))-(VLOOKUP(D2295,$D$2:$F$4,3,FALSE))</f>
        <v>#N/A</v>
      </c>
      <c r="G2295" s="137" t="e">
        <f t="shared" si="39"/>
        <v>#N/A</v>
      </c>
    </row>
    <row r="2296" spans="1:7">
      <c r="A2296" s="112" t="str">
        <f>VLOOKUP('Informe Kelly'!A2290,Base!A:B,2,FALSE)</f>
        <v>17.245.009-1</v>
      </c>
      <c r="B2296" s="112" t="str">
        <f>VLOOKUP('Informe Kelly'!A2290,Base!A:G,7,FALSE)</f>
        <v>ROJAS SALAMANCA RODRIGO ALEJANDRO</v>
      </c>
      <c r="C2296" s="112" t="str">
        <f>'Informe Kelly'!E2290</f>
        <v>08.04.2011</v>
      </c>
      <c r="D2296" s="112" t="e">
        <f>VLOOKUP(A2296,Ingreso!K:P,6,FALSE)</f>
        <v>#N/A</v>
      </c>
      <c r="E2296" s="142" t="e">
        <f>(VLOOKUP(D2296,$D$2:$E$4,2,FALSE))-(IF('Informe Kelly'!H2290=$A$2,'Informe Kelly'!F2290,VLOOKUP(D2296,$D$2:$E$4,2,FALSE)))</f>
        <v>#N/A</v>
      </c>
      <c r="F2296" s="142" t="e">
        <f>IF('Informe Kelly'!H2290=$A$3,'Informe Kelly'!F2290,VLOOKUP(D2296,$D$2:$F$4,3,FALSE))-(VLOOKUP(D2296,$D$2:$F$4,3,FALSE))</f>
        <v>#N/A</v>
      </c>
      <c r="G2296" s="137" t="e">
        <f t="shared" si="39"/>
        <v>#N/A</v>
      </c>
    </row>
    <row r="2297" spans="1:7">
      <c r="A2297" s="112" t="str">
        <f>VLOOKUP('Informe Kelly'!A2291,Base!A:B,2,FALSE)</f>
        <v>17.245.009-1</v>
      </c>
      <c r="B2297" s="112" t="str">
        <f>VLOOKUP('Informe Kelly'!A2291,Base!A:G,7,FALSE)</f>
        <v>ROJAS SALAMANCA RODRIGO ALEJANDRO</v>
      </c>
      <c r="C2297" s="112" t="str">
        <f>'Informe Kelly'!E2291</f>
        <v>08.04.2011</v>
      </c>
      <c r="D2297" s="112" t="e">
        <f>VLOOKUP(A2297,Ingreso!K:P,6,FALSE)</f>
        <v>#N/A</v>
      </c>
      <c r="E2297" s="142" t="e">
        <f>(VLOOKUP(D2297,$D$2:$E$4,2,FALSE))-(IF('Informe Kelly'!H2291=$A$2,'Informe Kelly'!F2291,VLOOKUP(D2297,$D$2:$E$4,2,FALSE)))</f>
        <v>#N/A</v>
      </c>
      <c r="F2297" s="142" t="e">
        <f>IF('Informe Kelly'!H2291=$A$3,'Informe Kelly'!F2291,VLOOKUP(D2297,$D$2:$F$4,3,FALSE))-(VLOOKUP(D2297,$D$2:$F$4,3,FALSE))</f>
        <v>#N/A</v>
      </c>
      <c r="G2297" s="137" t="e">
        <f t="shared" si="39"/>
        <v>#N/A</v>
      </c>
    </row>
    <row r="2298" spans="1:7">
      <c r="A2298" s="112" t="str">
        <f>VLOOKUP('Informe Kelly'!A2292,Base!A:B,2,FALSE)</f>
        <v>17.542.884-4</v>
      </c>
      <c r="B2298" s="112" t="str">
        <f>VLOOKUP('Informe Kelly'!A2292,Base!A:G,7,FALSE)</f>
        <v>CASTILLO  AHUMADA FRANCISCO</v>
      </c>
      <c r="C2298" s="112" t="str">
        <f>'Informe Kelly'!E2292</f>
        <v>04.04.2011</v>
      </c>
      <c r="D2298" s="112" t="e">
        <f>VLOOKUP(A2298,Ingreso!K:P,6,FALSE)</f>
        <v>#N/A</v>
      </c>
      <c r="E2298" s="142" t="e">
        <f>(VLOOKUP(D2298,$D$2:$E$4,2,FALSE))-(IF('Informe Kelly'!H2292=$A$2,'Informe Kelly'!F2292,VLOOKUP(D2298,$D$2:$E$4,2,FALSE)))</f>
        <v>#N/A</v>
      </c>
      <c r="F2298" s="142" t="e">
        <f>IF('Informe Kelly'!H2292=$A$3,'Informe Kelly'!F2292,VLOOKUP(D2298,$D$2:$F$4,3,FALSE))-(VLOOKUP(D2298,$D$2:$F$4,3,FALSE))</f>
        <v>#N/A</v>
      </c>
      <c r="G2298" s="137" t="e">
        <f t="shared" si="39"/>
        <v>#N/A</v>
      </c>
    </row>
    <row r="2299" spans="1:7">
      <c r="A2299" s="112" t="str">
        <f>VLOOKUP('Informe Kelly'!A2293,Base!A:B,2,FALSE)</f>
        <v>17.542.884-4</v>
      </c>
      <c r="B2299" s="112" t="str">
        <f>VLOOKUP('Informe Kelly'!A2293,Base!A:G,7,FALSE)</f>
        <v>CASTILLO  AHUMADA FRANCISCO</v>
      </c>
      <c r="C2299" s="112" t="str">
        <f>'Informe Kelly'!E2293</f>
        <v>04.04.2011</v>
      </c>
      <c r="D2299" s="112" t="e">
        <f>VLOOKUP(A2299,Ingreso!K:P,6,FALSE)</f>
        <v>#N/A</v>
      </c>
      <c r="E2299" s="142" t="e">
        <f>(VLOOKUP(D2299,$D$2:$E$4,2,FALSE))-(IF('Informe Kelly'!H2293=$A$2,'Informe Kelly'!F2293,VLOOKUP(D2299,$D$2:$E$4,2,FALSE)))</f>
        <v>#N/A</v>
      </c>
      <c r="F2299" s="142" t="e">
        <f>IF('Informe Kelly'!H2293=$A$3,'Informe Kelly'!F2293,VLOOKUP(D2299,$D$2:$F$4,3,FALSE))-(VLOOKUP(D2299,$D$2:$F$4,3,FALSE))</f>
        <v>#N/A</v>
      </c>
      <c r="G2299" s="137" t="e">
        <f t="shared" si="39"/>
        <v>#N/A</v>
      </c>
    </row>
    <row r="2300" spans="1:7">
      <c r="A2300" s="112" t="str">
        <f>VLOOKUP('Informe Kelly'!A2294,Base!A:B,2,FALSE)</f>
        <v>17.542.884-4</v>
      </c>
      <c r="B2300" s="112" t="str">
        <f>VLOOKUP('Informe Kelly'!A2294,Base!A:G,7,FALSE)</f>
        <v>CASTILLO  AHUMADA FRANCISCO</v>
      </c>
      <c r="C2300" s="112" t="str">
        <f>'Informe Kelly'!E2294</f>
        <v>05.04.2011</v>
      </c>
      <c r="D2300" s="112" t="e">
        <f>VLOOKUP(A2300,Ingreso!K:P,6,FALSE)</f>
        <v>#N/A</v>
      </c>
      <c r="E2300" s="142" t="e">
        <f>(VLOOKUP(D2300,$D$2:$E$4,2,FALSE))-(IF('Informe Kelly'!H2294=$A$2,'Informe Kelly'!F2294,VLOOKUP(D2300,$D$2:$E$4,2,FALSE)))</f>
        <v>#N/A</v>
      </c>
      <c r="F2300" s="142" t="e">
        <f>IF('Informe Kelly'!H2294=$A$3,'Informe Kelly'!F2294,VLOOKUP(D2300,$D$2:$F$4,3,FALSE))-(VLOOKUP(D2300,$D$2:$F$4,3,FALSE))</f>
        <v>#N/A</v>
      </c>
      <c r="G2300" s="137" t="e">
        <f t="shared" si="39"/>
        <v>#N/A</v>
      </c>
    </row>
    <row r="2301" spans="1:7">
      <c r="A2301" s="112" t="str">
        <f>VLOOKUP('Informe Kelly'!A2295,Base!A:B,2,FALSE)</f>
        <v>17.542.884-4</v>
      </c>
      <c r="B2301" s="112" t="str">
        <f>VLOOKUP('Informe Kelly'!A2295,Base!A:G,7,FALSE)</f>
        <v>CASTILLO  AHUMADA FRANCISCO</v>
      </c>
      <c r="C2301" s="112" t="str">
        <f>'Informe Kelly'!E2295</f>
        <v>05.04.2011</v>
      </c>
      <c r="D2301" s="112" t="e">
        <f>VLOOKUP(A2301,Ingreso!K:P,6,FALSE)</f>
        <v>#N/A</v>
      </c>
      <c r="E2301" s="142" t="e">
        <f>(VLOOKUP(D2301,$D$2:$E$4,2,FALSE))-(IF('Informe Kelly'!H2295=$A$2,'Informe Kelly'!F2295,VLOOKUP(D2301,$D$2:$E$4,2,FALSE)))</f>
        <v>#N/A</v>
      </c>
      <c r="F2301" s="142" t="e">
        <f>IF('Informe Kelly'!H2295=$A$3,'Informe Kelly'!F2295,VLOOKUP(D2301,$D$2:$F$4,3,FALSE))-(VLOOKUP(D2301,$D$2:$F$4,3,FALSE))</f>
        <v>#N/A</v>
      </c>
      <c r="G2301" s="137" t="e">
        <f t="shared" si="39"/>
        <v>#N/A</v>
      </c>
    </row>
    <row r="2302" spans="1:7">
      <c r="A2302" s="112" t="str">
        <f>VLOOKUP('Informe Kelly'!A2296,Base!A:B,2,FALSE)</f>
        <v>17.542.884-4</v>
      </c>
      <c r="B2302" s="112" t="str">
        <f>VLOOKUP('Informe Kelly'!A2296,Base!A:G,7,FALSE)</f>
        <v>CASTILLO  AHUMADA FRANCISCO</v>
      </c>
      <c r="C2302" s="112" t="str">
        <f>'Informe Kelly'!E2296</f>
        <v>06.04.2011</v>
      </c>
      <c r="D2302" s="112" t="e">
        <f>VLOOKUP(A2302,Ingreso!K:P,6,FALSE)</f>
        <v>#N/A</v>
      </c>
      <c r="E2302" s="142" t="e">
        <f>(VLOOKUP(D2302,$D$2:$E$4,2,FALSE))-(IF('Informe Kelly'!H2296=$A$2,'Informe Kelly'!F2296,VLOOKUP(D2302,$D$2:$E$4,2,FALSE)))</f>
        <v>#N/A</v>
      </c>
      <c r="F2302" s="142" t="e">
        <f>IF('Informe Kelly'!H2296=$A$3,'Informe Kelly'!F2296,VLOOKUP(D2302,$D$2:$F$4,3,FALSE))-(VLOOKUP(D2302,$D$2:$F$4,3,FALSE))</f>
        <v>#N/A</v>
      </c>
      <c r="G2302" s="137" t="e">
        <f t="shared" si="39"/>
        <v>#N/A</v>
      </c>
    </row>
    <row r="2303" spans="1:7">
      <c r="A2303" s="112" t="str">
        <f>VLOOKUP('Informe Kelly'!A2297,Base!A:B,2,FALSE)</f>
        <v>17.542.884-4</v>
      </c>
      <c r="B2303" s="112" t="str">
        <f>VLOOKUP('Informe Kelly'!A2297,Base!A:G,7,FALSE)</f>
        <v>CASTILLO  AHUMADA FRANCISCO</v>
      </c>
      <c r="C2303" s="112" t="str">
        <f>'Informe Kelly'!E2297</f>
        <v>06.04.2011</v>
      </c>
      <c r="D2303" s="112" t="e">
        <f>VLOOKUP(A2303,Ingreso!K:P,6,FALSE)</f>
        <v>#N/A</v>
      </c>
      <c r="E2303" s="142" t="e">
        <f>(VLOOKUP(D2303,$D$2:$E$4,2,FALSE))-(IF('Informe Kelly'!H2297=$A$2,'Informe Kelly'!F2297,VLOOKUP(D2303,$D$2:$E$4,2,FALSE)))</f>
        <v>#N/A</v>
      </c>
      <c r="F2303" s="142" t="e">
        <f>IF('Informe Kelly'!H2297=$A$3,'Informe Kelly'!F2297,VLOOKUP(D2303,$D$2:$F$4,3,FALSE))-(VLOOKUP(D2303,$D$2:$F$4,3,FALSE))</f>
        <v>#N/A</v>
      </c>
      <c r="G2303" s="137" t="e">
        <f t="shared" si="39"/>
        <v>#N/A</v>
      </c>
    </row>
    <row r="2304" spans="1:7">
      <c r="A2304" s="112" t="str">
        <f>VLOOKUP('Informe Kelly'!A2298,Base!A:B,2,FALSE)</f>
        <v>17.542.884-4</v>
      </c>
      <c r="B2304" s="112" t="str">
        <f>VLOOKUP('Informe Kelly'!A2298,Base!A:G,7,FALSE)</f>
        <v>CASTILLO  AHUMADA FRANCISCO</v>
      </c>
      <c r="C2304" s="112" t="str">
        <f>'Informe Kelly'!E2298</f>
        <v>07.04.2011</v>
      </c>
      <c r="D2304" s="112" t="e">
        <f>VLOOKUP(A2304,Ingreso!K:P,6,FALSE)</f>
        <v>#N/A</v>
      </c>
      <c r="E2304" s="142" t="e">
        <f>(VLOOKUP(D2304,$D$2:$E$4,2,FALSE))-(IF('Informe Kelly'!H2298=$A$2,'Informe Kelly'!F2298,VLOOKUP(D2304,$D$2:$E$4,2,FALSE)))</f>
        <v>#N/A</v>
      </c>
      <c r="F2304" s="142" t="e">
        <f>IF('Informe Kelly'!H2298=$A$3,'Informe Kelly'!F2298,VLOOKUP(D2304,$D$2:$F$4,3,FALSE))-(VLOOKUP(D2304,$D$2:$F$4,3,FALSE))</f>
        <v>#N/A</v>
      </c>
      <c r="G2304" s="137" t="e">
        <f t="shared" si="39"/>
        <v>#N/A</v>
      </c>
    </row>
    <row r="2305" spans="1:7">
      <c r="A2305" s="112" t="str">
        <f>VLOOKUP('Informe Kelly'!A2299,Base!A:B,2,FALSE)</f>
        <v>17.542.884-4</v>
      </c>
      <c r="B2305" s="112" t="str">
        <f>VLOOKUP('Informe Kelly'!A2299,Base!A:G,7,FALSE)</f>
        <v>CASTILLO  AHUMADA FRANCISCO</v>
      </c>
      <c r="C2305" s="112" t="str">
        <f>'Informe Kelly'!E2299</f>
        <v>07.04.2011</v>
      </c>
      <c r="D2305" s="112" t="e">
        <f>VLOOKUP(A2305,Ingreso!K:P,6,FALSE)</f>
        <v>#N/A</v>
      </c>
      <c r="E2305" s="142" t="e">
        <f>(VLOOKUP(D2305,$D$2:$E$4,2,FALSE))-(IF('Informe Kelly'!H2299=$A$2,'Informe Kelly'!F2299,VLOOKUP(D2305,$D$2:$E$4,2,FALSE)))</f>
        <v>#N/A</v>
      </c>
      <c r="F2305" s="142" t="e">
        <f>IF('Informe Kelly'!H2299=$A$3,'Informe Kelly'!F2299,VLOOKUP(D2305,$D$2:$F$4,3,FALSE))-(VLOOKUP(D2305,$D$2:$F$4,3,FALSE))</f>
        <v>#N/A</v>
      </c>
      <c r="G2305" s="137" t="e">
        <f t="shared" si="39"/>
        <v>#N/A</v>
      </c>
    </row>
    <row r="2306" spans="1:7">
      <c r="A2306" s="112" t="str">
        <f>VLOOKUP('Informe Kelly'!A2300,Base!A:B,2,FALSE)</f>
        <v>17.542.884-4</v>
      </c>
      <c r="B2306" s="112" t="str">
        <f>VLOOKUP('Informe Kelly'!A2300,Base!A:G,7,FALSE)</f>
        <v>CASTILLO  AHUMADA FRANCISCO</v>
      </c>
      <c r="C2306" s="112" t="str">
        <f>'Informe Kelly'!E2300</f>
        <v>08.04.2011</v>
      </c>
      <c r="D2306" s="112" t="e">
        <f>VLOOKUP(A2306,Ingreso!K:P,6,FALSE)</f>
        <v>#N/A</v>
      </c>
      <c r="E2306" s="142" t="e">
        <f>(VLOOKUP(D2306,$D$2:$E$4,2,FALSE))-(IF('Informe Kelly'!H2300=$A$2,'Informe Kelly'!F2300,VLOOKUP(D2306,$D$2:$E$4,2,FALSE)))</f>
        <v>#N/A</v>
      </c>
      <c r="F2306" s="142" t="e">
        <f>IF('Informe Kelly'!H2300=$A$3,'Informe Kelly'!F2300,VLOOKUP(D2306,$D$2:$F$4,3,FALSE))-(VLOOKUP(D2306,$D$2:$F$4,3,FALSE))</f>
        <v>#N/A</v>
      </c>
      <c r="G2306" s="137" t="e">
        <f t="shared" si="39"/>
        <v>#N/A</v>
      </c>
    </row>
    <row r="2307" spans="1:7">
      <c r="A2307" s="112" t="str">
        <f>VLOOKUP('Informe Kelly'!A2301,Base!A:B,2,FALSE)</f>
        <v>17.542.884-4</v>
      </c>
      <c r="B2307" s="112" t="str">
        <f>VLOOKUP('Informe Kelly'!A2301,Base!A:G,7,FALSE)</f>
        <v>CASTILLO  AHUMADA FRANCISCO</v>
      </c>
      <c r="C2307" s="112" t="str">
        <f>'Informe Kelly'!E2301</f>
        <v>08.04.2011</v>
      </c>
      <c r="D2307" s="112" t="e">
        <f>VLOOKUP(A2307,Ingreso!K:P,6,FALSE)</f>
        <v>#N/A</v>
      </c>
      <c r="E2307" s="142" t="e">
        <f>(VLOOKUP(D2307,$D$2:$E$4,2,FALSE))-(IF('Informe Kelly'!H2301=$A$2,'Informe Kelly'!F2301,VLOOKUP(D2307,$D$2:$E$4,2,FALSE)))</f>
        <v>#N/A</v>
      </c>
      <c r="F2307" s="142" t="e">
        <f>IF('Informe Kelly'!H2301=$A$3,'Informe Kelly'!F2301,VLOOKUP(D2307,$D$2:$F$4,3,FALSE))-(VLOOKUP(D2307,$D$2:$F$4,3,FALSE))</f>
        <v>#N/A</v>
      </c>
      <c r="G2307" s="137" t="e">
        <f t="shared" si="39"/>
        <v>#N/A</v>
      </c>
    </row>
    <row r="2308" spans="1:7">
      <c r="A2308" s="112" t="str">
        <f>VLOOKUP('Informe Kelly'!A2302,Base!A:B,2,FALSE)</f>
        <v>17.542.884-4</v>
      </c>
      <c r="B2308" s="112" t="str">
        <f>VLOOKUP('Informe Kelly'!A2302,Base!A:G,7,FALSE)</f>
        <v>CASTILLO  AHUMADA FRANCISCO</v>
      </c>
      <c r="C2308" s="112" t="str">
        <f>'Informe Kelly'!E2302</f>
        <v>09.04.2011</v>
      </c>
      <c r="D2308" s="112" t="e">
        <f>VLOOKUP(A2308,Ingreso!K:P,6,FALSE)</f>
        <v>#N/A</v>
      </c>
      <c r="E2308" s="142" t="e">
        <f>(VLOOKUP(D2308,$D$2:$E$4,2,FALSE))-(IF('Informe Kelly'!H2302=$A$2,'Informe Kelly'!F2302,VLOOKUP(D2308,$D$2:$E$4,2,FALSE)))</f>
        <v>#N/A</v>
      </c>
      <c r="F2308" s="142" t="e">
        <f>IF('Informe Kelly'!H2302=$A$3,'Informe Kelly'!F2302,VLOOKUP(D2308,$D$2:$F$4,3,FALSE))-(VLOOKUP(D2308,$D$2:$F$4,3,FALSE))</f>
        <v>#N/A</v>
      </c>
      <c r="G2308" s="137" t="e">
        <f t="shared" si="39"/>
        <v>#N/A</v>
      </c>
    </row>
    <row r="2309" spans="1:7">
      <c r="A2309" s="112" t="str">
        <f>VLOOKUP('Informe Kelly'!A2303,Base!A:B,2,FALSE)</f>
        <v>17.542.884-4</v>
      </c>
      <c r="B2309" s="112" t="str">
        <f>VLOOKUP('Informe Kelly'!A2303,Base!A:G,7,FALSE)</f>
        <v>CASTILLO  AHUMADA FRANCISCO</v>
      </c>
      <c r="C2309" s="112" t="str">
        <f>'Informe Kelly'!E2303</f>
        <v>09.04.2011</v>
      </c>
      <c r="D2309" s="112" t="e">
        <f>VLOOKUP(A2309,Ingreso!K:P,6,FALSE)</f>
        <v>#N/A</v>
      </c>
      <c r="E2309" s="142" t="e">
        <f>(VLOOKUP(D2309,$D$2:$E$4,2,FALSE))-(IF('Informe Kelly'!H2303=$A$2,'Informe Kelly'!F2303,VLOOKUP(D2309,$D$2:$E$4,2,FALSE)))</f>
        <v>#N/A</v>
      </c>
      <c r="F2309" s="142" t="e">
        <f>IF('Informe Kelly'!H2303=$A$3,'Informe Kelly'!F2303,VLOOKUP(D2309,$D$2:$F$4,3,FALSE))-(VLOOKUP(D2309,$D$2:$F$4,3,FALSE))</f>
        <v>#N/A</v>
      </c>
      <c r="G2309" s="137" t="e">
        <f t="shared" si="39"/>
        <v>#N/A</v>
      </c>
    </row>
    <row r="2310" spans="1:7">
      <c r="A2310" s="112" t="str">
        <f>VLOOKUP('Informe Kelly'!A2304,Base!A:B,2,FALSE)</f>
        <v>17.543.156-K</v>
      </c>
      <c r="B2310" s="112" t="str">
        <f>VLOOKUP('Informe Kelly'!A2304,Base!A:G,7,FALSE)</f>
        <v>PALACIOS VENEGAS FELIPE ANDRES</v>
      </c>
      <c r="C2310" s="112" t="str">
        <f>'Informe Kelly'!E2304</f>
        <v>04.04.2011</v>
      </c>
      <c r="D2310" s="112" t="e">
        <f>VLOOKUP(A2310,Ingreso!K:P,6,FALSE)</f>
        <v>#N/A</v>
      </c>
      <c r="E2310" s="142" t="e">
        <f>(VLOOKUP(D2310,$D$2:$E$4,2,FALSE))-(IF('Informe Kelly'!H2304=$A$2,'Informe Kelly'!F2304,VLOOKUP(D2310,$D$2:$E$4,2,FALSE)))</f>
        <v>#N/A</v>
      </c>
      <c r="F2310" s="142" t="e">
        <f>IF('Informe Kelly'!H2304=$A$3,'Informe Kelly'!F2304,VLOOKUP(D2310,$D$2:$F$4,3,FALSE))-(VLOOKUP(D2310,$D$2:$F$4,3,FALSE))</f>
        <v>#N/A</v>
      </c>
      <c r="G2310" s="137" t="e">
        <f t="shared" si="39"/>
        <v>#N/A</v>
      </c>
    </row>
    <row r="2311" spans="1:7">
      <c r="A2311" s="112" t="str">
        <f>VLOOKUP('Informe Kelly'!A2305,Base!A:B,2,FALSE)</f>
        <v>17.543.156-K</v>
      </c>
      <c r="B2311" s="112" t="str">
        <f>VLOOKUP('Informe Kelly'!A2305,Base!A:G,7,FALSE)</f>
        <v>PALACIOS VENEGAS FELIPE ANDRES</v>
      </c>
      <c r="C2311" s="112" t="str">
        <f>'Informe Kelly'!E2305</f>
        <v>04.04.2011</v>
      </c>
      <c r="D2311" s="112" t="e">
        <f>VLOOKUP(A2311,Ingreso!K:P,6,FALSE)</f>
        <v>#N/A</v>
      </c>
      <c r="E2311" s="142" t="e">
        <f>(VLOOKUP(D2311,$D$2:$E$4,2,FALSE))-(IF('Informe Kelly'!H2305=$A$2,'Informe Kelly'!F2305,VLOOKUP(D2311,$D$2:$E$4,2,FALSE)))</f>
        <v>#N/A</v>
      </c>
      <c r="F2311" s="142" t="e">
        <f>IF('Informe Kelly'!H2305=$A$3,'Informe Kelly'!F2305,VLOOKUP(D2311,$D$2:$F$4,3,FALSE))-(VLOOKUP(D2311,$D$2:$F$4,3,FALSE))</f>
        <v>#N/A</v>
      </c>
      <c r="G2311" s="137" t="e">
        <f t="shared" si="39"/>
        <v>#N/A</v>
      </c>
    </row>
    <row r="2312" spans="1:7">
      <c r="A2312" s="112" t="str">
        <f>VLOOKUP('Informe Kelly'!A2306,Base!A:B,2,FALSE)</f>
        <v>17.543.156-K</v>
      </c>
      <c r="B2312" s="112" t="str">
        <f>VLOOKUP('Informe Kelly'!A2306,Base!A:G,7,FALSE)</f>
        <v>PALACIOS VENEGAS FELIPE ANDRES</v>
      </c>
      <c r="C2312" s="112" t="str">
        <f>'Informe Kelly'!E2306</f>
        <v>05.04.2011</v>
      </c>
      <c r="D2312" s="112" t="e">
        <f>VLOOKUP(A2312,Ingreso!K:P,6,FALSE)</f>
        <v>#N/A</v>
      </c>
      <c r="E2312" s="142" t="e">
        <f>(VLOOKUP(D2312,$D$2:$E$4,2,FALSE))-(IF('Informe Kelly'!H2306=$A$2,'Informe Kelly'!F2306,VLOOKUP(D2312,$D$2:$E$4,2,FALSE)))</f>
        <v>#N/A</v>
      </c>
      <c r="F2312" s="142" t="e">
        <f>IF('Informe Kelly'!H2306=$A$3,'Informe Kelly'!F2306,VLOOKUP(D2312,$D$2:$F$4,3,FALSE))-(VLOOKUP(D2312,$D$2:$F$4,3,FALSE))</f>
        <v>#N/A</v>
      </c>
      <c r="G2312" s="137" t="e">
        <f t="shared" si="39"/>
        <v>#N/A</v>
      </c>
    </row>
    <row r="2313" spans="1:7">
      <c r="A2313" s="112" t="str">
        <f>VLOOKUP('Informe Kelly'!A2307,Base!A:B,2,FALSE)</f>
        <v>17.543.156-K</v>
      </c>
      <c r="B2313" s="112" t="str">
        <f>VLOOKUP('Informe Kelly'!A2307,Base!A:G,7,FALSE)</f>
        <v>PALACIOS VENEGAS FELIPE ANDRES</v>
      </c>
      <c r="C2313" s="112" t="str">
        <f>'Informe Kelly'!E2307</f>
        <v>05.04.2011</v>
      </c>
      <c r="D2313" s="112" t="e">
        <f>VLOOKUP(A2313,Ingreso!K:P,6,FALSE)</f>
        <v>#N/A</v>
      </c>
      <c r="E2313" s="142" t="e">
        <f>(VLOOKUP(D2313,$D$2:$E$4,2,FALSE))-(IF('Informe Kelly'!H2307=$A$2,'Informe Kelly'!F2307,VLOOKUP(D2313,$D$2:$E$4,2,FALSE)))</f>
        <v>#N/A</v>
      </c>
      <c r="F2313" s="142" t="e">
        <f>IF('Informe Kelly'!H2307=$A$3,'Informe Kelly'!F2307,VLOOKUP(D2313,$D$2:$F$4,3,FALSE))-(VLOOKUP(D2313,$D$2:$F$4,3,FALSE))</f>
        <v>#N/A</v>
      </c>
      <c r="G2313" s="137" t="e">
        <f t="shared" ref="G2313:G2376" si="40">IF(E2313="",IF(F2313&lt;0.0409722222222222,0,E2313),IF(E2313&lt;0.0409722222222222,0,E2313))</f>
        <v>#N/A</v>
      </c>
    </row>
    <row r="2314" spans="1:7">
      <c r="A2314" s="112" t="str">
        <f>VLOOKUP('Informe Kelly'!A2308,Base!A:B,2,FALSE)</f>
        <v>17.543.156-K</v>
      </c>
      <c r="B2314" s="112" t="str">
        <f>VLOOKUP('Informe Kelly'!A2308,Base!A:G,7,FALSE)</f>
        <v>PALACIOS VENEGAS FELIPE ANDRES</v>
      </c>
      <c r="C2314" s="112" t="str">
        <f>'Informe Kelly'!E2308</f>
        <v>06.04.2011</v>
      </c>
      <c r="D2314" s="112" t="e">
        <f>VLOOKUP(A2314,Ingreso!K:P,6,FALSE)</f>
        <v>#N/A</v>
      </c>
      <c r="E2314" s="142" t="e">
        <f>(VLOOKUP(D2314,$D$2:$E$4,2,FALSE))-(IF('Informe Kelly'!H2308=$A$2,'Informe Kelly'!F2308,VLOOKUP(D2314,$D$2:$E$4,2,FALSE)))</f>
        <v>#N/A</v>
      </c>
      <c r="F2314" s="142" t="e">
        <f>IF('Informe Kelly'!H2308=$A$3,'Informe Kelly'!F2308,VLOOKUP(D2314,$D$2:$F$4,3,FALSE))-(VLOOKUP(D2314,$D$2:$F$4,3,FALSE))</f>
        <v>#N/A</v>
      </c>
      <c r="G2314" s="137" t="e">
        <f t="shared" si="40"/>
        <v>#N/A</v>
      </c>
    </row>
    <row r="2315" spans="1:7">
      <c r="A2315" s="112" t="str">
        <f>VLOOKUP('Informe Kelly'!A2309,Base!A:B,2,FALSE)</f>
        <v>17.543.156-K</v>
      </c>
      <c r="B2315" s="112" t="str">
        <f>VLOOKUP('Informe Kelly'!A2309,Base!A:G,7,FALSE)</f>
        <v>PALACIOS VENEGAS FELIPE ANDRES</v>
      </c>
      <c r="C2315" s="112" t="str">
        <f>'Informe Kelly'!E2309</f>
        <v>06.04.2011</v>
      </c>
      <c r="D2315" s="112" t="e">
        <f>VLOOKUP(A2315,Ingreso!K:P,6,FALSE)</f>
        <v>#N/A</v>
      </c>
      <c r="E2315" s="142" t="e">
        <f>(VLOOKUP(D2315,$D$2:$E$4,2,FALSE))-(IF('Informe Kelly'!H2309=$A$2,'Informe Kelly'!F2309,VLOOKUP(D2315,$D$2:$E$4,2,FALSE)))</f>
        <v>#N/A</v>
      </c>
      <c r="F2315" s="142" t="e">
        <f>IF('Informe Kelly'!H2309=$A$3,'Informe Kelly'!F2309,VLOOKUP(D2315,$D$2:$F$4,3,FALSE))-(VLOOKUP(D2315,$D$2:$F$4,3,FALSE))</f>
        <v>#N/A</v>
      </c>
      <c r="G2315" s="137" t="e">
        <f t="shared" si="40"/>
        <v>#N/A</v>
      </c>
    </row>
    <row r="2316" spans="1:7">
      <c r="A2316" s="112" t="str">
        <f>VLOOKUP('Informe Kelly'!A2310,Base!A:B,2,FALSE)</f>
        <v>17.543.156-K</v>
      </c>
      <c r="B2316" s="112" t="str">
        <f>VLOOKUP('Informe Kelly'!A2310,Base!A:G,7,FALSE)</f>
        <v>PALACIOS VENEGAS FELIPE ANDRES</v>
      </c>
      <c r="C2316" s="112" t="str">
        <f>'Informe Kelly'!E2310</f>
        <v>07.04.2011</v>
      </c>
      <c r="D2316" s="112" t="e">
        <f>VLOOKUP(A2316,Ingreso!K:P,6,FALSE)</f>
        <v>#N/A</v>
      </c>
      <c r="E2316" s="142" t="e">
        <f>(VLOOKUP(D2316,$D$2:$E$4,2,FALSE))-(IF('Informe Kelly'!H2310=$A$2,'Informe Kelly'!F2310,VLOOKUP(D2316,$D$2:$E$4,2,FALSE)))</f>
        <v>#N/A</v>
      </c>
      <c r="F2316" s="142" t="e">
        <f>IF('Informe Kelly'!H2310=$A$3,'Informe Kelly'!F2310,VLOOKUP(D2316,$D$2:$F$4,3,FALSE))-(VLOOKUP(D2316,$D$2:$F$4,3,FALSE))</f>
        <v>#N/A</v>
      </c>
      <c r="G2316" s="137" t="e">
        <f t="shared" si="40"/>
        <v>#N/A</v>
      </c>
    </row>
    <row r="2317" spans="1:7">
      <c r="A2317" s="112" t="str">
        <f>VLOOKUP('Informe Kelly'!A2311,Base!A:B,2,FALSE)</f>
        <v>17.543.156-K</v>
      </c>
      <c r="B2317" s="112" t="str">
        <f>VLOOKUP('Informe Kelly'!A2311,Base!A:G,7,FALSE)</f>
        <v>PALACIOS VENEGAS FELIPE ANDRES</v>
      </c>
      <c r="C2317" s="112" t="str">
        <f>'Informe Kelly'!E2311</f>
        <v>07.04.2011</v>
      </c>
      <c r="D2317" s="112" t="e">
        <f>VLOOKUP(A2317,Ingreso!K:P,6,FALSE)</f>
        <v>#N/A</v>
      </c>
      <c r="E2317" s="142" t="e">
        <f>(VLOOKUP(D2317,$D$2:$E$4,2,FALSE))-(IF('Informe Kelly'!H2311=$A$2,'Informe Kelly'!F2311,VLOOKUP(D2317,$D$2:$E$4,2,FALSE)))</f>
        <v>#N/A</v>
      </c>
      <c r="F2317" s="142" t="e">
        <f>IF('Informe Kelly'!H2311=$A$3,'Informe Kelly'!F2311,VLOOKUP(D2317,$D$2:$F$4,3,FALSE))-(VLOOKUP(D2317,$D$2:$F$4,3,FALSE))</f>
        <v>#N/A</v>
      </c>
      <c r="G2317" s="137" t="e">
        <f t="shared" si="40"/>
        <v>#N/A</v>
      </c>
    </row>
    <row r="2318" spans="1:7">
      <c r="A2318" s="112" t="str">
        <f>VLOOKUP('Informe Kelly'!A2312,Base!A:B,2,FALSE)</f>
        <v>17.543.156-K</v>
      </c>
      <c r="B2318" s="112" t="str">
        <f>VLOOKUP('Informe Kelly'!A2312,Base!A:G,7,FALSE)</f>
        <v>PALACIOS VENEGAS FELIPE ANDRES</v>
      </c>
      <c r="C2318" s="112" t="str">
        <f>'Informe Kelly'!E2312</f>
        <v>08.04.2011</v>
      </c>
      <c r="D2318" s="112" t="e">
        <f>VLOOKUP(A2318,Ingreso!K:P,6,FALSE)</f>
        <v>#N/A</v>
      </c>
      <c r="E2318" s="142" t="e">
        <f>(VLOOKUP(D2318,$D$2:$E$4,2,FALSE))-(IF('Informe Kelly'!H2312=$A$2,'Informe Kelly'!F2312,VLOOKUP(D2318,$D$2:$E$4,2,FALSE)))</f>
        <v>#N/A</v>
      </c>
      <c r="F2318" s="142" t="e">
        <f>IF('Informe Kelly'!H2312=$A$3,'Informe Kelly'!F2312,VLOOKUP(D2318,$D$2:$F$4,3,FALSE))-(VLOOKUP(D2318,$D$2:$F$4,3,FALSE))</f>
        <v>#N/A</v>
      </c>
      <c r="G2318" s="137" t="e">
        <f t="shared" si="40"/>
        <v>#N/A</v>
      </c>
    </row>
    <row r="2319" spans="1:7">
      <c r="A2319" s="112" t="str">
        <f>VLOOKUP('Informe Kelly'!A2313,Base!A:B,2,FALSE)</f>
        <v>17.543.156-K</v>
      </c>
      <c r="B2319" s="112" t="str">
        <f>VLOOKUP('Informe Kelly'!A2313,Base!A:G,7,FALSE)</f>
        <v>PALACIOS VENEGAS FELIPE ANDRES</v>
      </c>
      <c r="C2319" s="112" t="str">
        <f>'Informe Kelly'!E2313</f>
        <v>08.04.2011</v>
      </c>
      <c r="D2319" s="112" t="e">
        <f>VLOOKUP(A2319,Ingreso!K:P,6,FALSE)</f>
        <v>#N/A</v>
      </c>
      <c r="E2319" s="142" t="e">
        <f>(VLOOKUP(D2319,$D$2:$E$4,2,FALSE))-(IF('Informe Kelly'!H2313=$A$2,'Informe Kelly'!F2313,VLOOKUP(D2319,$D$2:$E$4,2,FALSE)))</f>
        <v>#N/A</v>
      </c>
      <c r="F2319" s="142" t="e">
        <f>IF('Informe Kelly'!H2313=$A$3,'Informe Kelly'!F2313,VLOOKUP(D2319,$D$2:$F$4,3,FALSE))-(VLOOKUP(D2319,$D$2:$F$4,3,FALSE))</f>
        <v>#N/A</v>
      </c>
      <c r="G2319" s="137" t="e">
        <f t="shared" si="40"/>
        <v>#N/A</v>
      </c>
    </row>
    <row r="2320" spans="1:7">
      <c r="A2320" s="112" t="str">
        <f>VLOOKUP('Informe Kelly'!A2314,Base!A:B,2,FALSE)</f>
        <v>17.543.156-K</v>
      </c>
      <c r="B2320" s="112" t="str">
        <f>VLOOKUP('Informe Kelly'!A2314,Base!A:G,7,FALSE)</f>
        <v>PALACIOS VENEGAS FELIPE ANDRES</v>
      </c>
      <c r="C2320" s="112" t="str">
        <f>'Informe Kelly'!E2314</f>
        <v>09.04.2011</v>
      </c>
      <c r="D2320" s="112" t="e">
        <f>VLOOKUP(A2320,Ingreso!K:P,6,FALSE)</f>
        <v>#N/A</v>
      </c>
      <c r="E2320" s="142" t="e">
        <f>(VLOOKUP(D2320,$D$2:$E$4,2,FALSE))-(IF('Informe Kelly'!H2314=$A$2,'Informe Kelly'!F2314,VLOOKUP(D2320,$D$2:$E$4,2,FALSE)))</f>
        <v>#N/A</v>
      </c>
      <c r="F2320" s="142" t="e">
        <f>IF('Informe Kelly'!H2314=$A$3,'Informe Kelly'!F2314,VLOOKUP(D2320,$D$2:$F$4,3,FALSE))-(VLOOKUP(D2320,$D$2:$F$4,3,FALSE))</f>
        <v>#N/A</v>
      </c>
      <c r="G2320" s="137" t="e">
        <f t="shared" si="40"/>
        <v>#N/A</v>
      </c>
    </row>
    <row r="2321" spans="1:7">
      <c r="A2321" s="112" t="str">
        <f>VLOOKUP('Informe Kelly'!A2315,Base!A:B,2,FALSE)</f>
        <v>17.543.156-K</v>
      </c>
      <c r="B2321" s="112" t="str">
        <f>VLOOKUP('Informe Kelly'!A2315,Base!A:G,7,FALSE)</f>
        <v>PALACIOS VENEGAS FELIPE ANDRES</v>
      </c>
      <c r="C2321" s="112" t="str">
        <f>'Informe Kelly'!E2315</f>
        <v>09.04.2011</v>
      </c>
      <c r="D2321" s="112" t="e">
        <f>VLOOKUP(A2321,Ingreso!K:P,6,FALSE)</f>
        <v>#N/A</v>
      </c>
      <c r="E2321" s="142" t="e">
        <f>(VLOOKUP(D2321,$D$2:$E$4,2,FALSE))-(IF('Informe Kelly'!H2315=$A$2,'Informe Kelly'!F2315,VLOOKUP(D2321,$D$2:$E$4,2,FALSE)))</f>
        <v>#N/A</v>
      </c>
      <c r="F2321" s="142" t="e">
        <f>IF('Informe Kelly'!H2315=$A$3,'Informe Kelly'!F2315,VLOOKUP(D2321,$D$2:$F$4,3,FALSE))-(VLOOKUP(D2321,$D$2:$F$4,3,FALSE))</f>
        <v>#N/A</v>
      </c>
      <c r="G2321" s="137" t="e">
        <f t="shared" si="40"/>
        <v>#N/A</v>
      </c>
    </row>
    <row r="2322" spans="1:7">
      <c r="A2322" s="112" t="str">
        <f>VLOOKUP('Informe Kelly'!A2316,Base!A:B,2,FALSE)</f>
        <v>17.609.782-5</v>
      </c>
      <c r="B2322" s="112" t="str">
        <f>VLOOKUP('Informe Kelly'!A2316,Base!A:G,7,FALSE)</f>
        <v>ALVAREZ REYES CRISTIAN DANIEL</v>
      </c>
      <c r="C2322" s="112" t="str">
        <f>'Informe Kelly'!E2316</f>
        <v>04.04.2011</v>
      </c>
      <c r="D2322" s="112" t="e">
        <f>VLOOKUP(A2322,Ingreso!K:P,6,FALSE)</f>
        <v>#N/A</v>
      </c>
      <c r="E2322" s="142" t="e">
        <f>(VLOOKUP(D2322,$D$2:$E$4,2,FALSE))-(IF('Informe Kelly'!H2316=$A$2,'Informe Kelly'!F2316,VLOOKUP(D2322,$D$2:$E$4,2,FALSE)))</f>
        <v>#N/A</v>
      </c>
      <c r="F2322" s="142" t="e">
        <f>IF('Informe Kelly'!H2316=$A$3,'Informe Kelly'!F2316,VLOOKUP(D2322,$D$2:$F$4,3,FALSE))-(VLOOKUP(D2322,$D$2:$F$4,3,FALSE))</f>
        <v>#N/A</v>
      </c>
      <c r="G2322" s="137" t="e">
        <f t="shared" si="40"/>
        <v>#N/A</v>
      </c>
    </row>
    <row r="2323" spans="1:7">
      <c r="A2323" s="112" t="str">
        <f>VLOOKUP('Informe Kelly'!A2317,Base!A:B,2,FALSE)</f>
        <v>17.609.782-5</v>
      </c>
      <c r="B2323" s="112" t="str">
        <f>VLOOKUP('Informe Kelly'!A2317,Base!A:G,7,FALSE)</f>
        <v>ALVAREZ REYES CRISTIAN DANIEL</v>
      </c>
      <c r="C2323" s="112" t="str">
        <f>'Informe Kelly'!E2317</f>
        <v>04.04.2011</v>
      </c>
      <c r="D2323" s="112" t="e">
        <f>VLOOKUP(A2323,Ingreso!K:P,6,FALSE)</f>
        <v>#N/A</v>
      </c>
      <c r="E2323" s="142" t="e">
        <f>(VLOOKUP(D2323,$D$2:$E$4,2,FALSE))-(IF('Informe Kelly'!H2317=$A$2,'Informe Kelly'!F2317,VLOOKUP(D2323,$D$2:$E$4,2,FALSE)))</f>
        <v>#N/A</v>
      </c>
      <c r="F2323" s="142" t="e">
        <f>IF('Informe Kelly'!H2317=$A$3,'Informe Kelly'!F2317,VLOOKUP(D2323,$D$2:$F$4,3,FALSE))-(VLOOKUP(D2323,$D$2:$F$4,3,FALSE))</f>
        <v>#N/A</v>
      </c>
      <c r="G2323" s="137" t="e">
        <f t="shared" si="40"/>
        <v>#N/A</v>
      </c>
    </row>
    <row r="2324" spans="1:7">
      <c r="A2324" s="112" t="str">
        <f>VLOOKUP('Informe Kelly'!A2318,Base!A:B,2,FALSE)</f>
        <v>17.609.782-5</v>
      </c>
      <c r="B2324" s="112" t="str">
        <f>VLOOKUP('Informe Kelly'!A2318,Base!A:G,7,FALSE)</f>
        <v>ALVAREZ REYES CRISTIAN DANIEL</v>
      </c>
      <c r="C2324" s="112" t="str">
        <f>'Informe Kelly'!E2318</f>
        <v>05.04.2011</v>
      </c>
      <c r="D2324" s="112" t="e">
        <f>VLOOKUP(A2324,Ingreso!K:P,6,FALSE)</f>
        <v>#N/A</v>
      </c>
      <c r="E2324" s="142" t="e">
        <f>(VLOOKUP(D2324,$D$2:$E$4,2,FALSE))-(IF('Informe Kelly'!H2318=$A$2,'Informe Kelly'!F2318,VLOOKUP(D2324,$D$2:$E$4,2,FALSE)))</f>
        <v>#N/A</v>
      </c>
      <c r="F2324" s="142" t="e">
        <f>IF('Informe Kelly'!H2318=$A$3,'Informe Kelly'!F2318,VLOOKUP(D2324,$D$2:$F$4,3,FALSE))-(VLOOKUP(D2324,$D$2:$F$4,3,FALSE))</f>
        <v>#N/A</v>
      </c>
      <c r="G2324" s="137" t="e">
        <f t="shared" si="40"/>
        <v>#N/A</v>
      </c>
    </row>
    <row r="2325" spans="1:7">
      <c r="A2325" s="112" t="str">
        <f>VLOOKUP('Informe Kelly'!A2319,Base!A:B,2,FALSE)</f>
        <v>17.609.782-5</v>
      </c>
      <c r="B2325" s="112" t="str">
        <f>VLOOKUP('Informe Kelly'!A2319,Base!A:G,7,FALSE)</f>
        <v>ALVAREZ REYES CRISTIAN DANIEL</v>
      </c>
      <c r="C2325" s="112" t="str">
        <f>'Informe Kelly'!E2319</f>
        <v>05.04.2011</v>
      </c>
      <c r="D2325" s="112" t="e">
        <f>VLOOKUP(A2325,Ingreso!K:P,6,FALSE)</f>
        <v>#N/A</v>
      </c>
      <c r="E2325" s="142" t="e">
        <f>(VLOOKUP(D2325,$D$2:$E$4,2,FALSE))-(IF('Informe Kelly'!H2319=$A$2,'Informe Kelly'!F2319,VLOOKUP(D2325,$D$2:$E$4,2,FALSE)))</f>
        <v>#N/A</v>
      </c>
      <c r="F2325" s="142" t="e">
        <f>IF('Informe Kelly'!H2319=$A$3,'Informe Kelly'!F2319,VLOOKUP(D2325,$D$2:$F$4,3,FALSE))-(VLOOKUP(D2325,$D$2:$F$4,3,FALSE))</f>
        <v>#N/A</v>
      </c>
      <c r="G2325" s="137" t="e">
        <f t="shared" si="40"/>
        <v>#N/A</v>
      </c>
    </row>
    <row r="2326" spans="1:7">
      <c r="A2326" s="112" t="str">
        <f>VLOOKUP('Informe Kelly'!A2320,Base!A:B,2,FALSE)</f>
        <v>17.609.782-5</v>
      </c>
      <c r="B2326" s="112" t="str">
        <f>VLOOKUP('Informe Kelly'!A2320,Base!A:G,7,FALSE)</f>
        <v>ALVAREZ REYES CRISTIAN DANIEL</v>
      </c>
      <c r="C2326" s="112" t="str">
        <f>'Informe Kelly'!E2320</f>
        <v>06.04.2011</v>
      </c>
      <c r="D2326" s="112" t="e">
        <f>VLOOKUP(A2326,Ingreso!K:P,6,FALSE)</f>
        <v>#N/A</v>
      </c>
      <c r="E2326" s="142" t="e">
        <f>(VLOOKUP(D2326,$D$2:$E$4,2,FALSE))-(IF('Informe Kelly'!H2320=$A$2,'Informe Kelly'!F2320,VLOOKUP(D2326,$D$2:$E$4,2,FALSE)))</f>
        <v>#N/A</v>
      </c>
      <c r="F2326" s="142" t="e">
        <f>IF('Informe Kelly'!H2320=$A$3,'Informe Kelly'!F2320,VLOOKUP(D2326,$D$2:$F$4,3,FALSE))-(VLOOKUP(D2326,$D$2:$F$4,3,FALSE))</f>
        <v>#N/A</v>
      </c>
      <c r="G2326" s="137" t="e">
        <f t="shared" si="40"/>
        <v>#N/A</v>
      </c>
    </row>
    <row r="2327" spans="1:7">
      <c r="A2327" s="112" t="str">
        <f>VLOOKUP('Informe Kelly'!A2321,Base!A:B,2,FALSE)</f>
        <v>17.609.782-5</v>
      </c>
      <c r="B2327" s="112" t="str">
        <f>VLOOKUP('Informe Kelly'!A2321,Base!A:G,7,FALSE)</f>
        <v>ALVAREZ REYES CRISTIAN DANIEL</v>
      </c>
      <c r="C2327" s="112" t="str">
        <f>'Informe Kelly'!E2321</f>
        <v>06.04.2011</v>
      </c>
      <c r="D2327" s="112" t="e">
        <f>VLOOKUP(A2327,Ingreso!K:P,6,FALSE)</f>
        <v>#N/A</v>
      </c>
      <c r="E2327" s="142" t="e">
        <f>(VLOOKUP(D2327,$D$2:$E$4,2,FALSE))-(IF('Informe Kelly'!H2321=$A$2,'Informe Kelly'!F2321,VLOOKUP(D2327,$D$2:$E$4,2,FALSE)))</f>
        <v>#N/A</v>
      </c>
      <c r="F2327" s="142" t="e">
        <f>IF('Informe Kelly'!H2321=$A$3,'Informe Kelly'!F2321,VLOOKUP(D2327,$D$2:$F$4,3,FALSE))-(VLOOKUP(D2327,$D$2:$F$4,3,FALSE))</f>
        <v>#N/A</v>
      </c>
      <c r="G2327" s="137" t="e">
        <f t="shared" si="40"/>
        <v>#N/A</v>
      </c>
    </row>
    <row r="2328" spans="1:7">
      <c r="A2328" s="112" t="str">
        <f>VLOOKUP('Informe Kelly'!A2322,Base!A:B,2,FALSE)</f>
        <v>17.609.782-5</v>
      </c>
      <c r="B2328" s="112" t="str">
        <f>VLOOKUP('Informe Kelly'!A2322,Base!A:G,7,FALSE)</f>
        <v>ALVAREZ REYES CRISTIAN DANIEL</v>
      </c>
      <c r="C2328" s="112" t="str">
        <f>'Informe Kelly'!E2322</f>
        <v>07.04.2011</v>
      </c>
      <c r="D2328" s="112" t="e">
        <f>VLOOKUP(A2328,Ingreso!K:P,6,FALSE)</f>
        <v>#N/A</v>
      </c>
      <c r="E2328" s="142" t="e">
        <f>(VLOOKUP(D2328,$D$2:$E$4,2,FALSE))-(IF('Informe Kelly'!H2322=$A$2,'Informe Kelly'!F2322,VLOOKUP(D2328,$D$2:$E$4,2,FALSE)))</f>
        <v>#N/A</v>
      </c>
      <c r="F2328" s="142" t="e">
        <f>IF('Informe Kelly'!H2322=$A$3,'Informe Kelly'!F2322,VLOOKUP(D2328,$D$2:$F$4,3,FALSE))-(VLOOKUP(D2328,$D$2:$F$4,3,FALSE))</f>
        <v>#N/A</v>
      </c>
      <c r="G2328" s="137" t="e">
        <f t="shared" si="40"/>
        <v>#N/A</v>
      </c>
    </row>
    <row r="2329" spans="1:7">
      <c r="A2329" s="112" t="str">
        <f>VLOOKUP('Informe Kelly'!A2323,Base!A:B,2,FALSE)</f>
        <v>17.609.782-5</v>
      </c>
      <c r="B2329" s="112" t="str">
        <f>VLOOKUP('Informe Kelly'!A2323,Base!A:G,7,FALSE)</f>
        <v>ALVAREZ REYES CRISTIAN DANIEL</v>
      </c>
      <c r="C2329" s="112" t="str">
        <f>'Informe Kelly'!E2323</f>
        <v>07.04.2011</v>
      </c>
      <c r="D2329" s="112" t="e">
        <f>VLOOKUP(A2329,Ingreso!K:P,6,FALSE)</f>
        <v>#N/A</v>
      </c>
      <c r="E2329" s="142" t="e">
        <f>(VLOOKUP(D2329,$D$2:$E$4,2,FALSE))-(IF('Informe Kelly'!H2323=$A$2,'Informe Kelly'!F2323,VLOOKUP(D2329,$D$2:$E$4,2,FALSE)))</f>
        <v>#N/A</v>
      </c>
      <c r="F2329" s="142" t="e">
        <f>IF('Informe Kelly'!H2323=$A$3,'Informe Kelly'!F2323,VLOOKUP(D2329,$D$2:$F$4,3,FALSE))-(VLOOKUP(D2329,$D$2:$F$4,3,FALSE))</f>
        <v>#N/A</v>
      </c>
      <c r="G2329" s="137" t="e">
        <f t="shared" si="40"/>
        <v>#N/A</v>
      </c>
    </row>
    <row r="2330" spans="1:7">
      <c r="A2330" s="112" t="str">
        <f>VLOOKUP('Informe Kelly'!A2324,Base!A:B,2,FALSE)</f>
        <v>17.609.782-5</v>
      </c>
      <c r="B2330" s="112" t="str">
        <f>VLOOKUP('Informe Kelly'!A2324,Base!A:G,7,FALSE)</f>
        <v>ALVAREZ REYES CRISTIAN DANIEL</v>
      </c>
      <c r="C2330" s="112" t="str">
        <f>'Informe Kelly'!E2324</f>
        <v>08.04.2011</v>
      </c>
      <c r="D2330" s="112" t="e">
        <f>VLOOKUP(A2330,Ingreso!K:P,6,FALSE)</f>
        <v>#N/A</v>
      </c>
      <c r="E2330" s="142" t="e">
        <f>(VLOOKUP(D2330,$D$2:$E$4,2,FALSE))-(IF('Informe Kelly'!H2324=$A$2,'Informe Kelly'!F2324,VLOOKUP(D2330,$D$2:$E$4,2,FALSE)))</f>
        <v>#N/A</v>
      </c>
      <c r="F2330" s="142" t="e">
        <f>IF('Informe Kelly'!H2324=$A$3,'Informe Kelly'!F2324,VLOOKUP(D2330,$D$2:$F$4,3,FALSE))-(VLOOKUP(D2330,$D$2:$F$4,3,FALSE))</f>
        <v>#N/A</v>
      </c>
      <c r="G2330" s="137" t="e">
        <f t="shared" si="40"/>
        <v>#N/A</v>
      </c>
    </row>
    <row r="2331" spans="1:7">
      <c r="A2331" s="112" t="str">
        <f>VLOOKUP('Informe Kelly'!A2325,Base!A:B,2,FALSE)</f>
        <v>17.609.782-5</v>
      </c>
      <c r="B2331" s="112" t="str">
        <f>VLOOKUP('Informe Kelly'!A2325,Base!A:G,7,FALSE)</f>
        <v>ALVAREZ REYES CRISTIAN DANIEL</v>
      </c>
      <c r="C2331" s="112" t="str">
        <f>'Informe Kelly'!E2325</f>
        <v>08.04.2011</v>
      </c>
      <c r="D2331" s="112" t="e">
        <f>VLOOKUP(A2331,Ingreso!K:P,6,FALSE)</f>
        <v>#N/A</v>
      </c>
      <c r="E2331" s="142" t="e">
        <f>(VLOOKUP(D2331,$D$2:$E$4,2,FALSE))-(IF('Informe Kelly'!H2325=$A$2,'Informe Kelly'!F2325,VLOOKUP(D2331,$D$2:$E$4,2,FALSE)))</f>
        <v>#N/A</v>
      </c>
      <c r="F2331" s="142" t="e">
        <f>IF('Informe Kelly'!H2325=$A$3,'Informe Kelly'!F2325,VLOOKUP(D2331,$D$2:$F$4,3,FALSE))-(VLOOKUP(D2331,$D$2:$F$4,3,FALSE))</f>
        <v>#N/A</v>
      </c>
      <c r="G2331" s="137" t="e">
        <f t="shared" si="40"/>
        <v>#N/A</v>
      </c>
    </row>
    <row r="2332" spans="1:7">
      <c r="A2332" s="112" t="str">
        <f>VLOOKUP('Informe Kelly'!A2326,Base!A:B,2,FALSE)</f>
        <v>17.755.770-6</v>
      </c>
      <c r="B2332" s="112" t="str">
        <f>VLOOKUP('Informe Kelly'!A2326,Base!A:G,7,FALSE)</f>
        <v>MEZA MEZA CRISTIAN EDUARDO</v>
      </c>
      <c r="C2332" s="112" t="str">
        <f>'Informe Kelly'!E2326</f>
        <v>04.04.2011</v>
      </c>
      <c r="D2332" s="112" t="e">
        <f>VLOOKUP(A2332,Ingreso!K:P,6,FALSE)</f>
        <v>#N/A</v>
      </c>
      <c r="E2332" s="142" t="e">
        <f>(VLOOKUP(D2332,$D$2:$E$4,2,FALSE))-(IF('Informe Kelly'!H2326=$A$2,'Informe Kelly'!F2326,VLOOKUP(D2332,$D$2:$E$4,2,FALSE)))</f>
        <v>#N/A</v>
      </c>
      <c r="F2332" s="142" t="e">
        <f>IF('Informe Kelly'!H2326=$A$3,'Informe Kelly'!F2326,VLOOKUP(D2332,$D$2:$F$4,3,FALSE))-(VLOOKUP(D2332,$D$2:$F$4,3,FALSE))</f>
        <v>#N/A</v>
      </c>
      <c r="G2332" s="137" t="e">
        <f t="shared" si="40"/>
        <v>#N/A</v>
      </c>
    </row>
    <row r="2333" spans="1:7">
      <c r="A2333" s="112" t="str">
        <f>VLOOKUP('Informe Kelly'!A2327,Base!A:B,2,FALSE)</f>
        <v>17.755.770-6</v>
      </c>
      <c r="B2333" s="112" t="str">
        <f>VLOOKUP('Informe Kelly'!A2327,Base!A:G,7,FALSE)</f>
        <v>MEZA MEZA CRISTIAN EDUARDO</v>
      </c>
      <c r="C2333" s="112" t="str">
        <f>'Informe Kelly'!E2327</f>
        <v>05.04.2011</v>
      </c>
      <c r="D2333" s="112" t="e">
        <f>VLOOKUP(A2333,Ingreso!K:P,6,FALSE)</f>
        <v>#N/A</v>
      </c>
      <c r="E2333" s="142" t="e">
        <f>(VLOOKUP(D2333,$D$2:$E$4,2,FALSE))-(IF('Informe Kelly'!H2327=$A$2,'Informe Kelly'!F2327,VLOOKUP(D2333,$D$2:$E$4,2,FALSE)))</f>
        <v>#N/A</v>
      </c>
      <c r="F2333" s="142" t="e">
        <f>IF('Informe Kelly'!H2327=$A$3,'Informe Kelly'!F2327,VLOOKUP(D2333,$D$2:$F$4,3,FALSE))-(VLOOKUP(D2333,$D$2:$F$4,3,FALSE))</f>
        <v>#N/A</v>
      </c>
      <c r="G2333" s="137" t="e">
        <f t="shared" si="40"/>
        <v>#N/A</v>
      </c>
    </row>
    <row r="2334" spans="1:7">
      <c r="A2334" s="112" t="str">
        <f>VLOOKUP('Informe Kelly'!A2328,Base!A:B,2,FALSE)</f>
        <v>17.755.770-6</v>
      </c>
      <c r="B2334" s="112" t="str">
        <f>VLOOKUP('Informe Kelly'!A2328,Base!A:G,7,FALSE)</f>
        <v>MEZA MEZA CRISTIAN EDUARDO</v>
      </c>
      <c r="C2334" s="112" t="str">
        <f>'Informe Kelly'!E2328</f>
        <v>05.04.2011</v>
      </c>
      <c r="D2334" s="112" t="e">
        <f>VLOOKUP(A2334,Ingreso!K:P,6,FALSE)</f>
        <v>#N/A</v>
      </c>
      <c r="E2334" s="142" t="e">
        <f>(VLOOKUP(D2334,$D$2:$E$4,2,FALSE))-(IF('Informe Kelly'!H2328=$A$2,'Informe Kelly'!F2328,VLOOKUP(D2334,$D$2:$E$4,2,FALSE)))</f>
        <v>#N/A</v>
      </c>
      <c r="F2334" s="142" t="e">
        <f>IF('Informe Kelly'!H2328=$A$3,'Informe Kelly'!F2328,VLOOKUP(D2334,$D$2:$F$4,3,FALSE))-(VLOOKUP(D2334,$D$2:$F$4,3,FALSE))</f>
        <v>#N/A</v>
      </c>
      <c r="G2334" s="137" t="e">
        <f t="shared" si="40"/>
        <v>#N/A</v>
      </c>
    </row>
    <row r="2335" spans="1:7">
      <c r="A2335" s="112" t="str">
        <f>VLOOKUP('Informe Kelly'!A2329,Base!A:B,2,FALSE)</f>
        <v>17.755.770-6</v>
      </c>
      <c r="B2335" s="112" t="str">
        <f>VLOOKUP('Informe Kelly'!A2329,Base!A:G,7,FALSE)</f>
        <v>MEZA MEZA CRISTIAN EDUARDO</v>
      </c>
      <c r="C2335" s="112" t="str">
        <f>'Informe Kelly'!E2329</f>
        <v>06.04.2011</v>
      </c>
      <c r="D2335" s="112" t="e">
        <f>VLOOKUP(A2335,Ingreso!K:P,6,FALSE)</f>
        <v>#N/A</v>
      </c>
      <c r="E2335" s="142" t="e">
        <f>(VLOOKUP(D2335,$D$2:$E$4,2,FALSE))-(IF('Informe Kelly'!H2329=$A$2,'Informe Kelly'!F2329,VLOOKUP(D2335,$D$2:$E$4,2,FALSE)))</f>
        <v>#N/A</v>
      </c>
      <c r="F2335" s="142" t="e">
        <f>IF('Informe Kelly'!H2329=$A$3,'Informe Kelly'!F2329,VLOOKUP(D2335,$D$2:$F$4,3,FALSE))-(VLOOKUP(D2335,$D$2:$F$4,3,FALSE))</f>
        <v>#N/A</v>
      </c>
      <c r="G2335" s="137" t="e">
        <f t="shared" si="40"/>
        <v>#N/A</v>
      </c>
    </row>
    <row r="2336" spans="1:7">
      <c r="A2336" s="112" t="str">
        <f>VLOOKUP('Informe Kelly'!A2330,Base!A:B,2,FALSE)</f>
        <v>17.755.770-6</v>
      </c>
      <c r="B2336" s="112" t="str">
        <f>VLOOKUP('Informe Kelly'!A2330,Base!A:G,7,FALSE)</f>
        <v>MEZA MEZA CRISTIAN EDUARDO</v>
      </c>
      <c r="C2336" s="112" t="str">
        <f>'Informe Kelly'!E2330</f>
        <v>06.04.2011</v>
      </c>
      <c r="D2336" s="112" t="e">
        <f>VLOOKUP(A2336,Ingreso!K:P,6,FALSE)</f>
        <v>#N/A</v>
      </c>
      <c r="E2336" s="142" t="e">
        <f>(VLOOKUP(D2336,$D$2:$E$4,2,FALSE))-(IF('Informe Kelly'!H2330=$A$2,'Informe Kelly'!F2330,VLOOKUP(D2336,$D$2:$E$4,2,FALSE)))</f>
        <v>#N/A</v>
      </c>
      <c r="F2336" s="142" t="e">
        <f>IF('Informe Kelly'!H2330=$A$3,'Informe Kelly'!F2330,VLOOKUP(D2336,$D$2:$F$4,3,FALSE))-(VLOOKUP(D2336,$D$2:$F$4,3,FALSE))</f>
        <v>#N/A</v>
      </c>
      <c r="G2336" s="137" t="e">
        <f t="shared" si="40"/>
        <v>#N/A</v>
      </c>
    </row>
    <row r="2337" spans="1:7">
      <c r="A2337" s="112" t="str">
        <f>VLOOKUP('Informe Kelly'!A2331,Base!A:B,2,FALSE)</f>
        <v>17.755.770-6</v>
      </c>
      <c r="B2337" s="112" t="str">
        <f>VLOOKUP('Informe Kelly'!A2331,Base!A:G,7,FALSE)</f>
        <v>MEZA MEZA CRISTIAN EDUARDO</v>
      </c>
      <c r="C2337" s="112" t="str">
        <f>'Informe Kelly'!E2331</f>
        <v>07.04.2011</v>
      </c>
      <c r="D2337" s="112" t="e">
        <f>VLOOKUP(A2337,Ingreso!K:P,6,FALSE)</f>
        <v>#N/A</v>
      </c>
      <c r="E2337" s="142" t="e">
        <f>(VLOOKUP(D2337,$D$2:$E$4,2,FALSE))-(IF('Informe Kelly'!H2331=$A$2,'Informe Kelly'!F2331,VLOOKUP(D2337,$D$2:$E$4,2,FALSE)))</f>
        <v>#N/A</v>
      </c>
      <c r="F2337" s="142" t="e">
        <f>IF('Informe Kelly'!H2331=$A$3,'Informe Kelly'!F2331,VLOOKUP(D2337,$D$2:$F$4,3,FALSE))-(VLOOKUP(D2337,$D$2:$F$4,3,FALSE))</f>
        <v>#N/A</v>
      </c>
      <c r="G2337" s="137" t="e">
        <f t="shared" si="40"/>
        <v>#N/A</v>
      </c>
    </row>
    <row r="2338" spans="1:7">
      <c r="A2338" s="112" t="str">
        <f>VLOOKUP('Informe Kelly'!A2332,Base!A:B,2,FALSE)</f>
        <v>17.755.770-6</v>
      </c>
      <c r="B2338" s="112" t="str">
        <f>VLOOKUP('Informe Kelly'!A2332,Base!A:G,7,FALSE)</f>
        <v>MEZA MEZA CRISTIAN EDUARDO</v>
      </c>
      <c r="C2338" s="112" t="str">
        <f>'Informe Kelly'!E2332</f>
        <v>07.04.2011</v>
      </c>
      <c r="D2338" s="112" t="e">
        <f>VLOOKUP(A2338,Ingreso!K:P,6,FALSE)</f>
        <v>#N/A</v>
      </c>
      <c r="E2338" s="142" t="e">
        <f>(VLOOKUP(D2338,$D$2:$E$4,2,FALSE))-(IF('Informe Kelly'!H2332=$A$2,'Informe Kelly'!F2332,VLOOKUP(D2338,$D$2:$E$4,2,FALSE)))</f>
        <v>#N/A</v>
      </c>
      <c r="F2338" s="142" t="e">
        <f>IF('Informe Kelly'!H2332=$A$3,'Informe Kelly'!F2332,VLOOKUP(D2338,$D$2:$F$4,3,FALSE))-(VLOOKUP(D2338,$D$2:$F$4,3,FALSE))</f>
        <v>#N/A</v>
      </c>
      <c r="G2338" s="137" t="e">
        <f t="shared" si="40"/>
        <v>#N/A</v>
      </c>
    </row>
    <row r="2339" spans="1:7">
      <c r="A2339" s="112" t="str">
        <f>VLOOKUP('Informe Kelly'!A2333,Base!A:B,2,FALSE)</f>
        <v>17.755.770-6</v>
      </c>
      <c r="B2339" s="112" t="str">
        <f>VLOOKUP('Informe Kelly'!A2333,Base!A:G,7,FALSE)</f>
        <v>MEZA MEZA CRISTIAN EDUARDO</v>
      </c>
      <c r="C2339" s="112" t="str">
        <f>'Informe Kelly'!E2333</f>
        <v>08.04.2011</v>
      </c>
      <c r="D2339" s="112" t="e">
        <f>VLOOKUP(A2339,Ingreso!K:P,6,FALSE)</f>
        <v>#N/A</v>
      </c>
      <c r="E2339" s="142" t="e">
        <f>(VLOOKUP(D2339,$D$2:$E$4,2,FALSE))-(IF('Informe Kelly'!H2333=$A$2,'Informe Kelly'!F2333,VLOOKUP(D2339,$D$2:$E$4,2,FALSE)))</f>
        <v>#N/A</v>
      </c>
      <c r="F2339" s="142" t="e">
        <f>IF('Informe Kelly'!H2333=$A$3,'Informe Kelly'!F2333,VLOOKUP(D2339,$D$2:$F$4,3,FALSE))-(VLOOKUP(D2339,$D$2:$F$4,3,FALSE))</f>
        <v>#N/A</v>
      </c>
      <c r="G2339" s="137" t="e">
        <f t="shared" si="40"/>
        <v>#N/A</v>
      </c>
    </row>
    <row r="2340" spans="1:7">
      <c r="A2340" s="112" t="str">
        <f>VLOOKUP('Informe Kelly'!A2334,Base!A:B,2,FALSE)</f>
        <v>17.755.770-6</v>
      </c>
      <c r="B2340" s="112" t="str">
        <f>VLOOKUP('Informe Kelly'!A2334,Base!A:G,7,FALSE)</f>
        <v>MEZA MEZA CRISTIAN EDUARDO</v>
      </c>
      <c r="C2340" s="112" t="str">
        <f>'Informe Kelly'!E2334</f>
        <v>08.04.2011</v>
      </c>
      <c r="D2340" s="112" t="e">
        <f>VLOOKUP(A2340,Ingreso!K:P,6,FALSE)</f>
        <v>#N/A</v>
      </c>
      <c r="E2340" s="142" t="e">
        <f>(VLOOKUP(D2340,$D$2:$E$4,2,FALSE))-(IF('Informe Kelly'!H2334=$A$2,'Informe Kelly'!F2334,VLOOKUP(D2340,$D$2:$E$4,2,FALSE)))</f>
        <v>#N/A</v>
      </c>
      <c r="F2340" s="142" t="e">
        <f>IF('Informe Kelly'!H2334=$A$3,'Informe Kelly'!F2334,VLOOKUP(D2340,$D$2:$F$4,3,FALSE))-(VLOOKUP(D2340,$D$2:$F$4,3,FALSE))</f>
        <v>#N/A</v>
      </c>
      <c r="G2340" s="137" t="e">
        <f t="shared" si="40"/>
        <v>#N/A</v>
      </c>
    </row>
    <row r="2341" spans="1:7">
      <c r="A2341" s="112" t="str">
        <f>VLOOKUP('Informe Kelly'!A2335,Base!A:B,2,FALSE)</f>
        <v>17.755.770-6</v>
      </c>
      <c r="B2341" s="112" t="str">
        <f>VLOOKUP('Informe Kelly'!A2335,Base!A:G,7,FALSE)</f>
        <v>MEZA MEZA CRISTIAN EDUARDO</v>
      </c>
      <c r="C2341" s="112" t="str">
        <f>'Informe Kelly'!E2335</f>
        <v>09.04.2011</v>
      </c>
      <c r="D2341" s="112" t="e">
        <f>VLOOKUP(A2341,Ingreso!K:P,6,FALSE)</f>
        <v>#N/A</v>
      </c>
      <c r="E2341" s="142" t="e">
        <f>(VLOOKUP(D2341,$D$2:$E$4,2,FALSE))-(IF('Informe Kelly'!H2335=$A$2,'Informe Kelly'!F2335,VLOOKUP(D2341,$D$2:$E$4,2,FALSE)))</f>
        <v>#N/A</v>
      </c>
      <c r="F2341" s="142" t="e">
        <f>IF('Informe Kelly'!H2335=$A$3,'Informe Kelly'!F2335,VLOOKUP(D2341,$D$2:$F$4,3,FALSE))-(VLOOKUP(D2341,$D$2:$F$4,3,FALSE))</f>
        <v>#N/A</v>
      </c>
      <c r="G2341" s="137" t="e">
        <f t="shared" si="40"/>
        <v>#N/A</v>
      </c>
    </row>
    <row r="2342" spans="1:7">
      <c r="A2342" s="112" t="str">
        <f>VLOOKUP('Informe Kelly'!A2336,Base!A:B,2,FALSE)</f>
        <v>17.929.108-8</v>
      </c>
      <c r="B2342" s="112" t="str">
        <f>VLOOKUP('Informe Kelly'!A2336,Base!A:G,7,FALSE)</f>
        <v>DONOSO SANTIBAÑEZ CRISTIAN ALFREDO</v>
      </c>
      <c r="C2342" s="112" t="str">
        <f>'Informe Kelly'!E2336</f>
        <v>04.04.2011</v>
      </c>
      <c r="D2342" s="112" t="e">
        <f>VLOOKUP(A2342,Ingreso!K:P,6,FALSE)</f>
        <v>#N/A</v>
      </c>
      <c r="E2342" s="142" t="e">
        <f>(VLOOKUP(D2342,$D$2:$E$4,2,FALSE))-(IF('Informe Kelly'!H2336=$A$2,'Informe Kelly'!F2336,VLOOKUP(D2342,$D$2:$E$4,2,FALSE)))</f>
        <v>#N/A</v>
      </c>
      <c r="F2342" s="142" t="e">
        <f>IF('Informe Kelly'!H2336=$A$3,'Informe Kelly'!F2336,VLOOKUP(D2342,$D$2:$F$4,3,FALSE))-(VLOOKUP(D2342,$D$2:$F$4,3,FALSE))</f>
        <v>#N/A</v>
      </c>
      <c r="G2342" s="137" t="e">
        <f t="shared" si="40"/>
        <v>#N/A</v>
      </c>
    </row>
    <row r="2343" spans="1:7">
      <c r="A2343" s="112" t="str">
        <f>VLOOKUP('Informe Kelly'!A2337,Base!A:B,2,FALSE)</f>
        <v>17.929.108-8</v>
      </c>
      <c r="B2343" s="112" t="str">
        <f>VLOOKUP('Informe Kelly'!A2337,Base!A:G,7,FALSE)</f>
        <v>DONOSO SANTIBAÑEZ CRISTIAN ALFREDO</v>
      </c>
      <c r="C2343" s="112" t="str">
        <f>'Informe Kelly'!E2337</f>
        <v>04.04.2011</v>
      </c>
      <c r="D2343" s="112" t="e">
        <f>VLOOKUP(A2343,Ingreso!K:P,6,FALSE)</f>
        <v>#N/A</v>
      </c>
      <c r="E2343" s="142" t="e">
        <f>(VLOOKUP(D2343,$D$2:$E$4,2,FALSE))-(IF('Informe Kelly'!H2337=$A$2,'Informe Kelly'!F2337,VLOOKUP(D2343,$D$2:$E$4,2,FALSE)))</f>
        <v>#N/A</v>
      </c>
      <c r="F2343" s="142" t="e">
        <f>IF('Informe Kelly'!H2337=$A$3,'Informe Kelly'!F2337,VLOOKUP(D2343,$D$2:$F$4,3,FALSE))-(VLOOKUP(D2343,$D$2:$F$4,3,FALSE))</f>
        <v>#N/A</v>
      </c>
      <c r="G2343" s="137" t="e">
        <f t="shared" si="40"/>
        <v>#N/A</v>
      </c>
    </row>
    <row r="2344" spans="1:7">
      <c r="A2344" s="112" t="str">
        <f>VLOOKUP('Informe Kelly'!A2338,Base!A:B,2,FALSE)</f>
        <v>17.929.108-8</v>
      </c>
      <c r="B2344" s="112" t="str">
        <f>VLOOKUP('Informe Kelly'!A2338,Base!A:G,7,FALSE)</f>
        <v>DONOSO SANTIBAÑEZ CRISTIAN ALFREDO</v>
      </c>
      <c r="C2344" s="112" t="str">
        <f>'Informe Kelly'!E2338</f>
        <v>05.04.2011</v>
      </c>
      <c r="D2344" s="112" t="e">
        <f>VLOOKUP(A2344,Ingreso!K:P,6,FALSE)</f>
        <v>#N/A</v>
      </c>
      <c r="E2344" s="142" t="e">
        <f>(VLOOKUP(D2344,$D$2:$E$4,2,FALSE))-(IF('Informe Kelly'!H2338=$A$2,'Informe Kelly'!F2338,VLOOKUP(D2344,$D$2:$E$4,2,FALSE)))</f>
        <v>#N/A</v>
      </c>
      <c r="F2344" s="142" t="e">
        <f>IF('Informe Kelly'!H2338=$A$3,'Informe Kelly'!F2338,VLOOKUP(D2344,$D$2:$F$4,3,FALSE))-(VLOOKUP(D2344,$D$2:$F$4,3,FALSE))</f>
        <v>#N/A</v>
      </c>
      <c r="G2344" s="137" t="e">
        <f t="shared" si="40"/>
        <v>#N/A</v>
      </c>
    </row>
    <row r="2345" spans="1:7">
      <c r="A2345" s="112" t="str">
        <f>VLOOKUP('Informe Kelly'!A2339,Base!A:B,2,FALSE)</f>
        <v>17.929.108-8</v>
      </c>
      <c r="B2345" s="112" t="str">
        <f>VLOOKUP('Informe Kelly'!A2339,Base!A:G,7,FALSE)</f>
        <v>DONOSO SANTIBAÑEZ CRISTIAN ALFREDO</v>
      </c>
      <c r="C2345" s="112" t="str">
        <f>'Informe Kelly'!E2339</f>
        <v>05.04.2011</v>
      </c>
      <c r="D2345" s="112" t="e">
        <f>VLOOKUP(A2345,Ingreso!K:P,6,FALSE)</f>
        <v>#N/A</v>
      </c>
      <c r="E2345" s="142" t="e">
        <f>(VLOOKUP(D2345,$D$2:$E$4,2,FALSE))-(IF('Informe Kelly'!H2339=$A$2,'Informe Kelly'!F2339,VLOOKUP(D2345,$D$2:$E$4,2,FALSE)))</f>
        <v>#N/A</v>
      </c>
      <c r="F2345" s="142" t="e">
        <f>IF('Informe Kelly'!H2339=$A$3,'Informe Kelly'!F2339,VLOOKUP(D2345,$D$2:$F$4,3,FALSE))-(VLOOKUP(D2345,$D$2:$F$4,3,FALSE))</f>
        <v>#N/A</v>
      </c>
      <c r="G2345" s="137" t="e">
        <f t="shared" si="40"/>
        <v>#N/A</v>
      </c>
    </row>
    <row r="2346" spans="1:7">
      <c r="A2346" s="112" t="str">
        <f>VLOOKUP('Informe Kelly'!A2340,Base!A:B,2,FALSE)</f>
        <v>17.929.108-8</v>
      </c>
      <c r="B2346" s="112" t="str">
        <f>VLOOKUP('Informe Kelly'!A2340,Base!A:G,7,FALSE)</f>
        <v>DONOSO SANTIBAÑEZ CRISTIAN ALFREDO</v>
      </c>
      <c r="C2346" s="112" t="str">
        <f>'Informe Kelly'!E2340</f>
        <v>06.04.2011</v>
      </c>
      <c r="D2346" s="112" t="e">
        <f>VLOOKUP(A2346,Ingreso!K:P,6,FALSE)</f>
        <v>#N/A</v>
      </c>
      <c r="E2346" s="142" t="e">
        <f>(VLOOKUP(D2346,$D$2:$E$4,2,FALSE))-(IF('Informe Kelly'!H2340=$A$2,'Informe Kelly'!F2340,VLOOKUP(D2346,$D$2:$E$4,2,FALSE)))</f>
        <v>#N/A</v>
      </c>
      <c r="F2346" s="142" t="e">
        <f>IF('Informe Kelly'!H2340=$A$3,'Informe Kelly'!F2340,VLOOKUP(D2346,$D$2:$F$4,3,FALSE))-(VLOOKUP(D2346,$D$2:$F$4,3,FALSE))</f>
        <v>#N/A</v>
      </c>
      <c r="G2346" s="137" t="e">
        <f t="shared" si="40"/>
        <v>#N/A</v>
      </c>
    </row>
    <row r="2347" spans="1:7">
      <c r="A2347" s="112" t="str">
        <f>VLOOKUP('Informe Kelly'!A2341,Base!A:B,2,FALSE)</f>
        <v>17.929.108-8</v>
      </c>
      <c r="B2347" s="112" t="str">
        <f>VLOOKUP('Informe Kelly'!A2341,Base!A:G,7,FALSE)</f>
        <v>DONOSO SANTIBAÑEZ CRISTIAN ALFREDO</v>
      </c>
      <c r="C2347" s="112" t="str">
        <f>'Informe Kelly'!E2341</f>
        <v>07.04.2011</v>
      </c>
      <c r="D2347" s="112" t="e">
        <f>VLOOKUP(A2347,Ingreso!K:P,6,FALSE)</f>
        <v>#N/A</v>
      </c>
      <c r="E2347" s="142" t="e">
        <f>(VLOOKUP(D2347,$D$2:$E$4,2,FALSE))-(IF('Informe Kelly'!H2341=$A$2,'Informe Kelly'!F2341,VLOOKUP(D2347,$D$2:$E$4,2,FALSE)))</f>
        <v>#N/A</v>
      </c>
      <c r="F2347" s="142" t="e">
        <f>IF('Informe Kelly'!H2341=$A$3,'Informe Kelly'!F2341,VLOOKUP(D2347,$D$2:$F$4,3,FALSE))-(VLOOKUP(D2347,$D$2:$F$4,3,FALSE))</f>
        <v>#N/A</v>
      </c>
      <c r="G2347" s="137" t="e">
        <f t="shared" si="40"/>
        <v>#N/A</v>
      </c>
    </row>
    <row r="2348" spans="1:7">
      <c r="A2348" s="112" t="str">
        <f>VLOOKUP('Informe Kelly'!A2342,Base!A:B,2,FALSE)</f>
        <v>17.929.108-8</v>
      </c>
      <c r="B2348" s="112" t="str">
        <f>VLOOKUP('Informe Kelly'!A2342,Base!A:G,7,FALSE)</f>
        <v>DONOSO SANTIBAÑEZ CRISTIAN ALFREDO</v>
      </c>
      <c r="C2348" s="112" t="str">
        <f>'Informe Kelly'!E2342</f>
        <v>07.04.2011</v>
      </c>
      <c r="D2348" s="112" t="e">
        <f>VLOOKUP(A2348,Ingreso!K:P,6,FALSE)</f>
        <v>#N/A</v>
      </c>
      <c r="E2348" s="142" t="e">
        <f>(VLOOKUP(D2348,$D$2:$E$4,2,FALSE))-(IF('Informe Kelly'!H2342=$A$2,'Informe Kelly'!F2342,VLOOKUP(D2348,$D$2:$E$4,2,FALSE)))</f>
        <v>#N/A</v>
      </c>
      <c r="F2348" s="142" t="e">
        <f>IF('Informe Kelly'!H2342=$A$3,'Informe Kelly'!F2342,VLOOKUP(D2348,$D$2:$F$4,3,FALSE))-(VLOOKUP(D2348,$D$2:$F$4,3,FALSE))</f>
        <v>#N/A</v>
      </c>
      <c r="G2348" s="137" t="e">
        <f t="shared" si="40"/>
        <v>#N/A</v>
      </c>
    </row>
    <row r="2349" spans="1:7">
      <c r="A2349" s="112" t="str">
        <f>VLOOKUP('Informe Kelly'!A2343,Base!A:B,2,FALSE)</f>
        <v>17.929.108-8</v>
      </c>
      <c r="B2349" s="112" t="str">
        <f>VLOOKUP('Informe Kelly'!A2343,Base!A:G,7,FALSE)</f>
        <v>DONOSO SANTIBAÑEZ CRISTIAN ALFREDO</v>
      </c>
      <c r="C2349" s="112" t="str">
        <f>'Informe Kelly'!E2343</f>
        <v>08.04.2011</v>
      </c>
      <c r="D2349" s="112" t="e">
        <f>VLOOKUP(A2349,Ingreso!K:P,6,FALSE)</f>
        <v>#N/A</v>
      </c>
      <c r="E2349" s="142" t="e">
        <f>(VLOOKUP(D2349,$D$2:$E$4,2,FALSE))-(IF('Informe Kelly'!H2343=$A$2,'Informe Kelly'!F2343,VLOOKUP(D2349,$D$2:$E$4,2,FALSE)))</f>
        <v>#N/A</v>
      </c>
      <c r="F2349" s="142" t="e">
        <f>IF('Informe Kelly'!H2343=$A$3,'Informe Kelly'!F2343,VLOOKUP(D2349,$D$2:$F$4,3,FALSE))-(VLOOKUP(D2349,$D$2:$F$4,3,FALSE))</f>
        <v>#N/A</v>
      </c>
      <c r="G2349" s="137" t="e">
        <f t="shared" si="40"/>
        <v>#N/A</v>
      </c>
    </row>
    <row r="2350" spans="1:7">
      <c r="A2350" s="112" t="str">
        <f>VLOOKUP('Informe Kelly'!A2344,Base!A:B,2,FALSE)</f>
        <v>17.929.108-8</v>
      </c>
      <c r="B2350" s="112" t="str">
        <f>VLOOKUP('Informe Kelly'!A2344,Base!A:G,7,FALSE)</f>
        <v>DONOSO SANTIBAÑEZ CRISTIAN ALFREDO</v>
      </c>
      <c r="C2350" s="112" t="str">
        <f>'Informe Kelly'!E2344</f>
        <v>08.04.2011</v>
      </c>
      <c r="D2350" s="112" t="e">
        <f>VLOOKUP(A2350,Ingreso!K:P,6,FALSE)</f>
        <v>#N/A</v>
      </c>
      <c r="E2350" s="142" t="e">
        <f>(VLOOKUP(D2350,$D$2:$E$4,2,FALSE))-(IF('Informe Kelly'!H2344=$A$2,'Informe Kelly'!F2344,VLOOKUP(D2350,$D$2:$E$4,2,FALSE)))</f>
        <v>#N/A</v>
      </c>
      <c r="F2350" s="142" t="e">
        <f>IF('Informe Kelly'!H2344=$A$3,'Informe Kelly'!F2344,VLOOKUP(D2350,$D$2:$F$4,3,FALSE))-(VLOOKUP(D2350,$D$2:$F$4,3,FALSE))</f>
        <v>#N/A</v>
      </c>
      <c r="G2350" s="137" t="e">
        <f t="shared" si="40"/>
        <v>#N/A</v>
      </c>
    </row>
    <row r="2351" spans="1:7">
      <c r="A2351" s="112" t="str">
        <f>VLOOKUP('Informe Kelly'!A2345,Base!A:B,2,FALSE)</f>
        <v>18.074.081-3</v>
      </c>
      <c r="B2351" s="112" t="str">
        <f>VLOOKUP('Informe Kelly'!A2345,Base!A:G,7,FALSE)</f>
        <v>REYES SERRANO MATIAS ANDRES</v>
      </c>
      <c r="C2351" s="112" t="str">
        <f>'Informe Kelly'!E2345</f>
        <v>04.04.2011</v>
      </c>
      <c r="D2351" s="112" t="e">
        <f>VLOOKUP(A2351,Ingreso!K:P,6,FALSE)</f>
        <v>#N/A</v>
      </c>
      <c r="E2351" s="142" t="e">
        <f>(VLOOKUP(D2351,$D$2:$E$4,2,FALSE))-(IF('Informe Kelly'!H2345=$A$2,'Informe Kelly'!F2345,VLOOKUP(D2351,$D$2:$E$4,2,FALSE)))</f>
        <v>#N/A</v>
      </c>
      <c r="F2351" s="142" t="e">
        <f>IF('Informe Kelly'!H2345=$A$3,'Informe Kelly'!F2345,VLOOKUP(D2351,$D$2:$F$4,3,FALSE))-(VLOOKUP(D2351,$D$2:$F$4,3,FALSE))</f>
        <v>#N/A</v>
      </c>
      <c r="G2351" s="137" t="e">
        <f t="shared" si="40"/>
        <v>#N/A</v>
      </c>
    </row>
    <row r="2352" spans="1:7">
      <c r="A2352" s="112" t="str">
        <f>VLOOKUP('Informe Kelly'!A2346,Base!A:B,2,FALSE)</f>
        <v>18.074.081-3</v>
      </c>
      <c r="B2352" s="112" t="str">
        <f>VLOOKUP('Informe Kelly'!A2346,Base!A:G,7,FALSE)</f>
        <v>REYES SERRANO MATIAS ANDRES</v>
      </c>
      <c r="C2352" s="112" t="str">
        <f>'Informe Kelly'!E2346</f>
        <v>05.04.2011</v>
      </c>
      <c r="D2352" s="112" t="e">
        <f>VLOOKUP(A2352,Ingreso!K:P,6,FALSE)</f>
        <v>#N/A</v>
      </c>
      <c r="E2352" s="142" t="e">
        <f>(VLOOKUP(D2352,$D$2:$E$4,2,FALSE))-(IF('Informe Kelly'!H2346=$A$2,'Informe Kelly'!F2346,VLOOKUP(D2352,$D$2:$E$4,2,FALSE)))</f>
        <v>#N/A</v>
      </c>
      <c r="F2352" s="142" t="e">
        <f>IF('Informe Kelly'!H2346=$A$3,'Informe Kelly'!F2346,VLOOKUP(D2352,$D$2:$F$4,3,FALSE))-(VLOOKUP(D2352,$D$2:$F$4,3,FALSE))</f>
        <v>#N/A</v>
      </c>
      <c r="G2352" s="137" t="e">
        <f t="shared" si="40"/>
        <v>#N/A</v>
      </c>
    </row>
    <row r="2353" spans="1:7">
      <c r="A2353" s="112" t="str">
        <f>VLOOKUP('Informe Kelly'!A2347,Base!A:B,2,FALSE)</f>
        <v>18.074.081-3</v>
      </c>
      <c r="B2353" s="112" t="str">
        <f>VLOOKUP('Informe Kelly'!A2347,Base!A:G,7,FALSE)</f>
        <v>REYES SERRANO MATIAS ANDRES</v>
      </c>
      <c r="C2353" s="112" t="str">
        <f>'Informe Kelly'!E2347</f>
        <v>05.04.2011</v>
      </c>
      <c r="D2353" s="112" t="e">
        <f>VLOOKUP(A2353,Ingreso!K:P,6,FALSE)</f>
        <v>#N/A</v>
      </c>
      <c r="E2353" s="142" t="e">
        <f>(VLOOKUP(D2353,$D$2:$E$4,2,FALSE))-(IF('Informe Kelly'!H2347=$A$2,'Informe Kelly'!F2347,VLOOKUP(D2353,$D$2:$E$4,2,FALSE)))</f>
        <v>#N/A</v>
      </c>
      <c r="F2353" s="142" t="e">
        <f>IF('Informe Kelly'!H2347=$A$3,'Informe Kelly'!F2347,VLOOKUP(D2353,$D$2:$F$4,3,FALSE))-(VLOOKUP(D2353,$D$2:$F$4,3,FALSE))</f>
        <v>#N/A</v>
      </c>
      <c r="G2353" s="137" t="e">
        <f t="shared" si="40"/>
        <v>#N/A</v>
      </c>
    </row>
    <row r="2354" spans="1:7">
      <c r="A2354" s="112" t="str">
        <f>VLOOKUP('Informe Kelly'!A2348,Base!A:B,2,FALSE)</f>
        <v>18.074.081-3</v>
      </c>
      <c r="B2354" s="112" t="str">
        <f>VLOOKUP('Informe Kelly'!A2348,Base!A:G,7,FALSE)</f>
        <v>REYES SERRANO MATIAS ANDRES</v>
      </c>
      <c r="C2354" s="112" t="str">
        <f>'Informe Kelly'!E2348</f>
        <v>06.04.2011</v>
      </c>
      <c r="D2354" s="112" t="e">
        <f>VLOOKUP(A2354,Ingreso!K:P,6,FALSE)</f>
        <v>#N/A</v>
      </c>
      <c r="E2354" s="142" t="e">
        <f>(VLOOKUP(D2354,$D$2:$E$4,2,FALSE))-(IF('Informe Kelly'!H2348=$A$2,'Informe Kelly'!F2348,VLOOKUP(D2354,$D$2:$E$4,2,FALSE)))</f>
        <v>#N/A</v>
      </c>
      <c r="F2354" s="142" t="e">
        <f>IF('Informe Kelly'!H2348=$A$3,'Informe Kelly'!F2348,VLOOKUP(D2354,$D$2:$F$4,3,FALSE))-(VLOOKUP(D2354,$D$2:$F$4,3,FALSE))</f>
        <v>#N/A</v>
      </c>
      <c r="G2354" s="137" t="e">
        <f t="shared" si="40"/>
        <v>#N/A</v>
      </c>
    </row>
    <row r="2355" spans="1:7">
      <c r="A2355" s="112" t="str">
        <f>VLOOKUP('Informe Kelly'!A2349,Base!A:B,2,FALSE)</f>
        <v>18.074.081-3</v>
      </c>
      <c r="B2355" s="112" t="str">
        <f>VLOOKUP('Informe Kelly'!A2349,Base!A:G,7,FALSE)</f>
        <v>REYES SERRANO MATIAS ANDRES</v>
      </c>
      <c r="C2355" s="112" t="str">
        <f>'Informe Kelly'!E2349</f>
        <v>06.04.2011</v>
      </c>
      <c r="D2355" s="112" t="e">
        <f>VLOOKUP(A2355,Ingreso!K:P,6,FALSE)</f>
        <v>#N/A</v>
      </c>
      <c r="E2355" s="142" t="e">
        <f>(VLOOKUP(D2355,$D$2:$E$4,2,FALSE))-(IF('Informe Kelly'!H2349=$A$2,'Informe Kelly'!F2349,VLOOKUP(D2355,$D$2:$E$4,2,FALSE)))</f>
        <v>#N/A</v>
      </c>
      <c r="F2355" s="142" t="e">
        <f>IF('Informe Kelly'!H2349=$A$3,'Informe Kelly'!F2349,VLOOKUP(D2355,$D$2:$F$4,3,FALSE))-(VLOOKUP(D2355,$D$2:$F$4,3,FALSE))</f>
        <v>#N/A</v>
      </c>
      <c r="G2355" s="137" t="e">
        <f t="shared" si="40"/>
        <v>#N/A</v>
      </c>
    </row>
    <row r="2356" spans="1:7">
      <c r="A2356" s="112" t="str">
        <f>VLOOKUP('Informe Kelly'!A2350,Base!A:B,2,FALSE)</f>
        <v>18.074.081-3</v>
      </c>
      <c r="B2356" s="112" t="str">
        <f>VLOOKUP('Informe Kelly'!A2350,Base!A:G,7,FALSE)</f>
        <v>REYES SERRANO MATIAS ANDRES</v>
      </c>
      <c r="C2356" s="112" t="str">
        <f>'Informe Kelly'!E2350</f>
        <v>07.04.2011</v>
      </c>
      <c r="D2356" s="112" t="e">
        <f>VLOOKUP(A2356,Ingreso!K:P,6,FALSE)</f>
        <v>#N/A</v>
      </c>
      <c r="E2356" s="142" t="e">
        <f>(VLOOKUP(D2356,$D$2:$E$4,2,FALSE))-(IF('Informe Kelly'!H2350=$A$2,'Informe Kelly'!F2350,VLOOKUP(D2356,$D$2:$E$4,2,FALSE)))</f>
        <v>#N/A</v>
      </c>
      <c r="F2356" s="142" t="e">
        <f>IF('Informe Kelly'!H2350=$A$3,'Informe Kelly'!F2350,VLOOKUP(D2356,$D$2:$F$4,3,FALSE))-(VLOOKUP(D2356,$D$2:$F$4,3,FALSE))</f>
        <v>#N/A</v>
      </c>
      <c r="G2356" s="137" t="e">
        <f t="shared" si="40"/>
        <v>#N/A</v>
      </c>
    </row>
    <row r="2357" spans="1:7">
      <c r="A2357" s="112" t="str">
        <f>VLOOKUP('Informe Kelly'!A2351,Base!A:B,2,FALSE)</f>
        <v>18.074.081-3</v>
      </c>
      <c r="B2357" s="112" t="str">
        <f>VLOOKUP('Informe Kelly'!A2351,Base!A:G,7,FALSE)</f>
        <v>REYES SERRANO MATIAS ANDRES</v>
      </c>
      <c r="C2357" s="112" t="str">
        <f>'Informe Kelly'!E2351</f>
        <v>07.04.2011</v>
      </c>
      <c r="D2357" s="112" t="e">
        <f>VLOOKUP(A2357,Ingreso!K:P,6,FALSE)</f>
        <v>#N/A</v>
      </c>
      <c r="E2357" s="142" t="e">
        <f>(VLOOKUP(D2357,$D$2:$E$4,2,FALSE))-(IF('Informe Kelly'!H2351=$A$2,'Informe Kelly'!F2351,VLOOKUP(D2357,$D$2:$E$4,2,FALSE)))</f>
        <v>#N/A</v>
      </c>
      <c r="F2357" s="142" t="e">
        <f>IF('Informe Kelly'!H2351=$A$3,'Informe Kelly'!F2351,VLOOKUP(D2357,$D$2:$F$4,3,FALSE))-(VLOOKUP(D2357,$D$2:$F$4,3,FALSE))</f>
        <v>#N/A</v>
      </c>
      <c r="G2357" s="137" t="e">
        <f t="shared" si="40"/>
        <v>#N/A</v>
      </c>
    </row>
    <row r="2358" spans="1:7">
      <c r="A2358" s="112" t="str">
        <f>VLOOKUP('Informe Kelly'!A2352,Base!A:B,2,FALSE)</f>
        <v>18.074.081-3</v>
      </c>
      <c r="B2358" s="112" t="str">
        <f>VLOOKUP('Informe Kelly'!A2352,Base!A:G,7,FALSE)</f>
        <v>REYES SERRANO MATIAS ANDRES</v>
      </c>
      <c r="C2358" s="112" t="str">
        <f>'Informe Kelly'!E2352</f>
        <v>08.04.2011</v>
      </c>
      <c r="D2358" s="112" t="e">
        <f>VLOOKUP(A2358,Ingreso!K:P,6,FALSE)</f>
        <v>#N/A</v>
      </c>
      <c r="E2358" s="142" t="e">
        <f>(VLOOKUP(D2358,$D$2:$E$4,2,FALSE))-(IF('Informe Kelly'!H2352=$A$2,'Informe Kelly'!F2352,VLOOKUP(D2358,$D$2:$E$4,2,FALSE)))</f>
        <v>#N/A</v>
      </c>
      <c r="F2358" s="142" t="e">
        <f>IF('Informe Kelly'!H2352=$A$3,'Informe Kelly'!F2352,VLOOKUP(D2358,$D$2:$F$4,3,FALSE))-(VLOOKUP(D2358,$D$2:$F$4,3,FALSE))</f>
        <v>#N/A</v>
      </c>
      <c r="G2358" s="137" t="e">
        <f t="shared" si="40"/>
        <v>#N/A</v>
      </c>
    </row>
    <row r="2359" spans="1:7">
      <c r="A2359" s="112" t="str">
        <f>VLOOKUP('Informe Kelly'!A2353,Base!A:B,2,FALSE)</f>
        <v>18.074.081-3</v>
      </c>
      <c r="B2359" s="112" t="str">
        <f>VLOOKUP('Informe Kelly'!A2353,Base!A:G,7,FALSE)</f>
        <v>REYES SERRANO MATIAS ANDRES</v>
      </c>
      <c r="C2359" s="112" t="str">
        <f>'Informe Kelly'!E2353</f>
        <v>08.04.2011</v>
      </c>
      <c r="D2359" s="112" t="e">
        <f>VLOOKUP(A2359,Ingreso!K:P,6,FALSE)</f>
        <v>#N/A</v>
      </c>
      <c r="E2359" s="142" t="e">
        <f>(VLOOKUP(D2359,$D$2:$E$4,2,FALSE))-(IF('Informe Kelly'!H2353=$A$2,'Informe Kelly'!F2353,VLOOKUP(D2359,$D$2:$E$4,2,FALSE)))</f>
        <v>#N/A</v>
      </c>
      <c r="F2359" s="142" t="e">
        <f>IF('Informe Kelly'!H2353=$A$3,'Informe Kelly'!F2353,VLOOKUP(D2359,$D$2:$F$4,3,FALSE))-(VLOOKUP(D2359,$D$2:$F$4,3,FALSE))</f>
        <v>#N/A</v>
      </c>
      <c r="G2359" s="137" t="e">
        <f t="shared" si="40"/>
        <v>#N/A</v>
      </c>
    </row>
    <row r="2360" spans="1:7">
      <c r="A2360" s="112" t="str">
        <f>VLOOKUP('Informe Kelly'!A2354,Base!A:B,2,FALSE)</f>
        <v>18.074.081-3</v>
      </c>
      <c r="B2360" s="112" t="str">
        <f>VLOOKUP('Informe Kelly'!A2354,Base!A:G,7,FALSE)</f>
        <v>REYES SERRANO MATIAS ANDRES</v>
      </c>
      <c r="C2360" s="112" t="str">
        <f>'Informe Kelly'!E2354</f>
        <v>09.04.2011</v>
      </c>
      <c r="D2360" s="112" t="e">
        <f>VLOOKUP(A2360,Ingreso!K:P,6,FALSE)</f>
        <v>#N/A</v>
      </c>
      <c r="E2360" s="142" t="e">
        <f>(VLOOKUP(D2360,$D$2:$E$4,2,FALSE))-(IF('Informe Kelly'!H2354=$A$2,'Informe Kelly'!F2354,VLOOKUP(D2360,$D$2:$E$4,2,FALSE)))</f>
        <v>#N/A</v>
      </c>
      <c r="F2360" s="142" t="e">
        <f>IF('Informe Kelly'!H2354=$A$3,'Informe Kelly'!F2354,VLOOKUP(D2360,$D$2:$F$4,3,FALSE))-(VLOOKUP(D2360,$D$2:$F$4,3,FALSE))</f>
        <v>#N/A</v>
      </c>
      <c r="G2360" s="137" t="e">
        <f t="shared" si="40"/>
        <v>#N/A</v>
      </c>
    </row>
    <row r="2361" spans="1:7">
      <c r="A2361" s="112" t="str">
        <f>VLOOKUP('Informe Kelly'!A2355,Base!A:B,2,FALSE)</f>
        <v>20.342.651-8</v>
      </c>
      <c r="B2361" s="112" t="str">
        <f>VLOOKUP('Informe Kelly'!A2355,Base!A:G,7,FALSE)</f>
        <v>PEREZ SALAZAR CARLOS PATRICIO</v>
      </c>
      <c r="C2361" s="112" t="str">
        <f>'Informe Kelly'!E2355</f>
        <v>04.04.2011</v>
      </c>
      <c r="D2361" s="112" t="e">
        <f>VLOOKUP(A2361,Ingreso!K:P,6,FALSE)</f>
        <v>#N/A</v>
      </c>
      <c r="E2361" s="142" t="e">
        <f>(VLOOKUP(D2361,$D$2:$E$4,2,FALSE))-(IF('Informe Kelly'!H2355=$A$2,'Informe Kelly'!F2355,VLOOKUP(D2361,$D$2:$E$4,2,FALSE)))</f>
        <v>#N/A</v>
      </c>
      <c r="F2361" s="142" t="e">
        <f>IF('Informe Kelly'!H2355=$A$3,'Informe Kelly'!F2355,VLOOKUP(D2361,$D$2:$F$4,3,FALSE))-(VLOOKUP(D2361,$D$2:$F$4,3,FALSE))</f>
        <v>#N/A</v>
      </c>
      <c r="G2361" s="137" t="e">
        <f t="shared" si="40"/>
        <v>#N/A</v>
      </c>
    </row>
    <row r="2362" spans="1:7">
      <c r="A2362" s="112" t="str">
        <f>VLOOKUP('Informe Kelly'!A2356,Base!A:B,2,FALSE)</f>
        <v>20.342.651-8</v>
      </c>
      <c r="B2362" s="112" t="str">
        <f>VLOOKUP('Informe Kelly'!A2356,Base!A:G,7,FALSE)</f>
        <v>PEREZ SALAZAR CARLOS PATRICIO</v>
      </c>
      <c r="C2362" s="112" t="str">
        <f>'Informe Kelly'!E2356</f>
        <v>05.04.2011</v>
      </c>
      <c r="D2362" s="112" t="e">
        <f>VLOOKUP(A2362,Ingreso!K:P,6,FALSE)</f>
        <v>#N/A</v>
      </c>
      <c r="E2362" s="142" t="e">
        <f>(VLOOKUP(D2362,$D$2:$E$4,2,FALSE))-(IF('Informe Kelly'!H2356=$A$2,'Informe Kelly'!F2356,VLOOKUP(D2362,$D$2:$E$4,2,FALSE)))</f>
        <v>#N/A</v>
      </c>
      <c r="F2362" s="142" t="e">
        <f>IF('Informe Kelly'!H2356=$A$3,'Informe Kelly'!F2356,VLOOKUP(D2362,$D$2:$F$4,3,FALSE))-(VLOOKUP(D2362,$D$2:$F$4,3,FALSE))</f>
        <v>#N/A</v>
      </c>
      <c r="G2362" s="137" t="e">
        <f t="shared" si="40"/>
        <v>#N/A</v>
      </c>
    </row>
    <row r="2363" spans="1:7">
      <c r="A2363" s="112" t="str">
        <f>VLOOKUP('Informe Kelly'!A2357,Base!A:B,2,FALSE)</f>
        <v>20.342.651-8</v>
      </c>
      <c r="B2363" s="112" t="str">
        <f>VLOOKUP('Informe Kelly'!A2357,Base!A:G,7,FALSE)</f>
        <v>PEREZ SALAZAR CARLOS PATRICIO</v>
      </c>
      <c r="C2363" s="112" t="str">
        <f>'Informe Kelly'!E2357</f>
        <v>05.04.2011</v>
      </c>
      <c r="D2363" s="112" t="e">
        <f>VLOOKUP(A2363,Ingreso!K:P,6,FALSE)</f>
        <v>#N/A</v>
      </c>
      <c r="E2363" s="142" t="e">
        <f>(VLOOKUP(D2363,$D$2:$E$4,2,FALSE))-(IF('Informe Kelly'!H2357=$A$2,'Informe Kelly'!F2357,VLOOKUP(D2363,$D$2:$E$4,2,FALSE)))</f>
        <v>#N/A</v>
      </c>
      <c r="F2363" s="142" t="e">
        <f>IF('Informe Kelly'!H2357=$A$3,'Informe Kelly'!F2357,VLOOKUP(D2363,$D$2:$F$4,3,FALSE))-(VLOOKUP(D2363,$D$2:$F$4,3,FALSE))</f>
        <v>#N/A</v>
      </c>
      <c r="G2363" s="137" t="e">
        <f t="shared" si="40"/>
        <v>#N/A</v>
      </c>
    </row>
    <row r="2364" spans="1:7">
      <c r="A2364" s="112" t="str">
        <f>VLOOKUP('Informe Kelly'!A2358,Base!A:B,2,FALSE)</f>
        <v>20.342.651-8</v>
      </c>
      <c r="B2364" s="112" t="str">
        <f>VLOOKUP('Informe Kelly'!A2358,Base!A:G,7,FALSE)</f>
        <v>PEREZ SALAZAR CARLOS PATRICIO</v>
      </c>
      <c r="C2364" s="112" t="str">
        <f>'Informe Kelly'!E2358</f>
        <v>06.04.2011</v>
      </c>
      <c r="D2364" s="112" t="e">
        <f>VLOOKUP(A2364,Ingreso!K:P,6,FALSE)</f>
        <v>#N/A</v>
      </c>
      <c r="E2364" s="142" t="e">
        <f>(VLOOKUP(D2364,$D$2:$E$4,2,FALSE))-(IF('Informe Kelly'!H2358=$A$2,'Informe Kelly'!F2358,VLOOKUP(D2364,$D$2:$E$4,2,FALSE)))</f>
        <v>#N/A</v>
      </c>
      <c r="F2364" s="142" t="e">
        <f>IF('Informe Kelly'!H2358=$A$3,'Informe Kelly'!F2358,VLOOKUP(D2364,$D$2:$F$4,3,FALSE))-(VLOOKUP(D2364,$D$2:$F$4,3,FALSE))</f>
        <v>#N/A</v>
      </c>
      <c r="G2364" s="137" t="e">
        <f t="shared" si="40"/>
        <v>#N/A</v>
      </c>
    </row>
    <row r="2365" spans="1:7">
      <c r="A2365" s="112" t="str">
        <f>VLOOKUP('Informe Kelly'!A2359,Base!A:B,2,FALSE)</f>
        <v>20.342.651-8</v>
      </c>
      <c r="B2365" s="112" t="str">
        <f>VLOOKUP('Informe Kelly'!A2359,Base!A:G,7,FALSE)</f>
        <v>PEREZ SALAZAR CARLOS PATRICIO</v>
      </c>
      <c r="C2365" s="112" t="str">
        <f>'Informe Kelly'!E2359</f>
        <v>06.04.2011</v>
      </c>
      <c r="D2365" s="112" t="e">
        <f>VLOOKUP(A2365,Ingreso!K:P,6,FALSE)</f>
        <v>#N/A</v>
      </c>
      <c r="E2365" s="142" t="e">
        <f>(VLOOKUP(D2365,$D$2:$E$4,2,FALSE))-(IF('Informe Kelly'!H2359=$A$2,'Informe Kelly'!F2359,VLOOKUP(D2365,$D$2:$E$4,2,FALSE)))</f>
        <v>#N/A</v>
      </c>
      <c r="F2365" s="142" t="e">
        <f>IF('Informe Kelly'!H2359=$A$3,'Informe Kelly'!F2359,VLOOKUP(D2365,$D$2:$F$4,3,FALSE))-(VLOOKUP(D2365,$D$2:$F$4,3,FALSE))</f>
        <v>#N/A</v>
      </c>
      <c r="G2365" s="137" t="e">
        <f t="shared" si="40"/>
        <v>#N/A</v>
      </c>
    </row>
    <row r="2366" spans="1:7">
      <c r="A2366" s="112" t="str">
        <f>VLOOKUP('Informe Kelly'!A2360,Base!A:B,2,FALSE)</f>
        <v>20.342.651-8</v>
      </c>
      <c r="B2366" s="112" t="str">
        <f>VLOOKUP('Informe Kelly'!A2360,Base!A:G,7,FALSE)</f>
        <v>PEREZ SALAZAR CARLOS PATRICIO</v>
      </c>
      <c r="C2366" s="112" t="str">
        <f>'Informe Kelly'!E2360</f>
        <v>07.04.2011</v>
      </c>
      <c r="D2366" s="112" t="e">
        <f>VLOOKUP(A2366,Ingreso!K:P,6,FALSE)</f>
        <v>#N/A</v>
      </c>
      <c r="E2366" s="142" t="e">
        <f>(VLOOKUP(D2366,$D$2:$E$4,2,FALSE))-(IF('Informe Kelly'!H2360=$A$2,'Informe Kelly'!F2360,VLOOKUP(D2366,$D$2:$E$4,2,FALSE)))</f>
        <v>#N/A</v>
      </c>
      <c r="F2366" s="142" t="e">
        <f>IF('Informe Kelly'!H2360=$A$3,'Informe Kelly'!F2360,VLOOKUP(D2366,$D$2:$F$4,3,FALSE))-(VLOOKUP(D2366,$D$2:$F$4,3,FALSE))</f>
        <v>#N/A</v>
      </c>
      <c r="G2366" s="137" t="e">
        <f t="shared" si="40"/>
        <v>#N/A</v>
      </c>
    </row>
    <row r="2367" spans="1:7">
      <c r="A2367" s="112" t="str">
        <f>VLOOKUP('Informe Kelly'!A2361,Base!A:B,2,FALSE)</f>
        <v>20.342.651-8</v>
      </c>
      <c r="B2367" s="112" t="str">
        <f>VLOOKUP('Informe Kelly'!A2361,Base!A:G,7,FALSE)</f>
        <v>PEREZ SALAZAR CARLOS PATRICIO</v>
      </c>
      <c r="C2367" s="112" t="str">
        <f>'Informe Kelly'!E2361</f>
        <v>07.04.2011</v>
      </c>
      <c r="D2367" s="112" t="e">
        <f>VLOOKUP(A2367,Ingreso!K:P,6,FALSE)</f>
        <v>#N/A</v>
      </c>
      <c r="E2367" s="142" t="e">
        <f>(VLOOKUP(D2367,$D$2:$E$4,2,FALSE))-(IF('Informe Kelly'!H2361=$A$2,'Informe Kelly'!F2361,VLOOKUP(D2367,$D$2:$E$4,2,FALSE)))</f>
        <v>#N/A</v>
      </c>
      <c r="F2367" s="142" t="e">
        <f>IF('Informe Kelly'!H2361=$A$3,'Informe Kelly'!F2361,VLOOKUP(D2367,$D$2:$F$4,3,FALSE))-(VLOOKUP(D2367,$D$2:$F$4,3,FALSE))</f>
        <v>#N/A</v>
      </c>
      <c r="G2367" s="137" t="e">
        <f t="shared" si="40"/>
        <v>#N/A</v>
      </c>
    </row>
    <row r="2368" spans="1:7">
      <c r="A2368" s="112" t="str">
        <f>VLOOKUP('Informe Kelly'!A2362,Base!A:B,2,FALSE)</f>
        <v>20.342.651-8</v>
      </c>
      <c r="B2368" s="112" t="str">
        <f>VLOOKUP('Informe Kelly'!A2362,Base!A:G,7,FALSE)</f>
        <v>PEREZ SALAZAR CARLOS PATRICIO</v>
      </c>
      <c r="C2368" s="112" t="str">
        <f>'Informe Kelly'!E2362</f>
        <v>08.04.2011</v>
      </c>
      <c r="D2368" s="112" t="e">
        <f>VLOOKUP(A2368,Ingreso!K:P,6,FALSE)</f>
        <v>#N/A</v>
      </c>
      <c r="E2368" s="142" t="e">
        <f>(VLOOKUP(D2368,$D$2:$E$4,2,FALSE))-(IF('Informe Kelly'!H2362=$A$2,'Informe Kelly'!F2362,VLOOKUP(D2368,$D$2:$E$4,2,FALSE)))</f>
        <v>#N/A</v>
      </c>
      <c r="F2368" s="142" t="e">
        <f>IF('Informe Kelly'!H2362=$A$3,'Informe Kelly'!F2362,VLOOKUP(D2368,$D$2:$F$4,3,FALSE))-(VLOOKUP(D2368,$D$2:$F$4,3,FALSE))</f>
        <v>#N/A</v>
      </c>
      <c r="G2368" s="137" t="e">
        <f t="shared" si="40"/>
        <v>#N/A</v>
      </c>
    </row>
    <row r="2369" spans="1:7">
      <c r="A2369" s="112" t="str">
        <f>VLOOKUP('Informe Kelly'!A2363,Base!A:B,2,FALSE)</f>
        <v>20.342.651-8</v>
      </c>
      <c r="B2369" s="112" t="str">
        <f>VLOOKUP('Informe Kelly'!A2363,Base!A:G,7,FALSE)</f>
        <v>PEREZ SALAZAR CARLOS PATRICIO</v>
      </c>
      <c r="C2369" s="112" t="str">
        <f>'Informe Kelly'!E2363</f>
        <v>08.04.2011</v>
      </c>
      <c r="D2369" s="112" t="e">
        <f>VLOOKUP(A2369,Ingreso!K:P,6,FALSE)</f>
        <v>#N/A</v>
      </c>
      <c r="E2369" s="142" t="e">
        <f>(VLOOKUP(D2369,$D$2:$E$4,2,FALSE))-(IF('Informe Kelly'!H2363=$A$2,'Informe Kelly'!F2363,VLOOKUP(D2369,$D$2:$E$4,2,FALSE)))</f>
        <v>#N/A</v>
      </c>
      <c r="F2369" s="142" t="e">
        <f>IF('Informe Kelly'!H2363=$A$3,'Informe Kelly'!F2363,VLOOKUP(D2369,$D$2:$F$4,3,FALSE))-(VLOOKUP(D2369,$D$2:$F$4,3,FALSE))</f>
        <v>#N/A</v>
      </c>
      <c r="G2369" s="137" t="e">
        <f t="shared" si="40"/>
        <v>#N/A</v>
      </c>
    </row>
    <row r="2370" spans="1:7">
      <c r="A2370" s="112" t="str">
        <f>VLOOKUP('Informe Kelly'!A2364,Base!A:B,2,FALSE)</f>
        <v>20.342.651-8</v>
      </c>
      <c r="B2370" s="112" t="str">
        <f>VLOOKUP('Informe Kelly'!A2364,Base!A:G,7,FALSE)</f>
        <v>PEREZ SALAZAR CARLOS PATRICIO</v>
      </c>
      <c r="C2370" s="112" t="str">
        <f>'Informe Kelly'!E2364</f>
        <v>09.04.2011</v>
      </c>
      <c r="D2370" s="112" t="e">
        <f>VLOOKUP(A2370,Ingreso!K:P,6,FALSE)</f>
        <v>#N/A</v>
      </c>
      <c r="E2370" s="142" t="e">
        <f>(VLOOKUP(D2370,$D$2:$E$4,2,FALSE))-(IF('Informe Kelly'!H2364=$A$2,'Informe Kelly'!F2364,VLOOKUP(D2370,$D$2:$E$4,2,FALSE)))</f>
        <v>#N/A</v>
      </c>
      <c r="F2370" s="142" t="e">
        <f>IF('Informe Kelly'!H2364=$A$3,'Informe Kelly'!F2364,VLOOKUP(D2370,$D$2:$F$4,3,FALSE))-(VLOOKUP(D2370,$D$2:$F$4,3,FALSE))</f>
        <v>#N/A</v>
      </c>
      <c r="G2370" s="137" t="e">
        <f t="shared" si="40"/>
        <v>#N/A</v>
      </c>
    </row>
    <row r="2371" spans="1:7">
      <c r="A2371" s="112" t="str">
        <f>VLOOKUP('Informe Kelly'!A2365,Base!A:B,2,FALSE)</f>
        <v>21.318.186-6</v>
      </c>
      <c r="B2371" s="112" t="str">
        <f>VLOOKUP('Informe Kelly'!A2365,Base!A:G,7,FALSE)</f>
        <v>DONOSO ROSAS CLAUDIO ALBERTO</v>
      </c>
      <c r="C2371" s="112" t="str">
        <f>'Informe Kelly'!E2365</f>
        <v>04.04.2011</v>
      </c>
      <c r="D2371" s="112" t="e">
        <f>VLOOKUP(A2371,Ingreso!K:P,6,FALSE)</f>
        <v>#N/A</v>
      </c>
      <c r="E2371" s="142" t="e">
        <f>(VLOOKUP(D2371,$D$2:$E$4,2,FALSE))-(IF('Informe Kelly'!H2365=$A$2,'Informe Kelly'!F2365,VLOOKUP(D2371,$D$2:$E$4,2,FALSE)))</f>
        <v>#N/A</v>
      </c>
      <c r="F2371" s="142" t="e">
        <f>IF('Informe Kelly'!H2365=$A$3,'Informe Kelly'!F2365,VLOOKUP(D2371,$D$2:$F$4,3,FALSE))-(VLOOKUP(D2371,$D$2:$F$4,3,FALSE))</f>
        <v>#N/A</v>
      </c>
      <c r="G2371" s="137" t="e">
        <f t="shared" si="40"/>
        <v>#N/A</v>
      </c>
    </row>
    <row r="2372" spans="1:7">
      <c r="A2372" s="112" t="str">
        <f>VLOOKUP('Informe Kelly'!A2366,Base!A:B,2,FALSE)</f>
        <v>21.318.186-6</v>
      </c>
      <c r="B2372" s="112" t="str">
        <f>VLOOKUP('Informe Kelly'!A2366,Base!A:G,7,FALSE)</f>
        <v>DONOSO ROSAS CLAUDIO ALBERTO</v>
      </c>
      <c r="C2372" s="112" t="str">
        <f>'Informe Kelly'!E2366</f>
        <v>04.04.2011</v>
      </c>
      <c r="D2372" s="112" t="e">
        <f>VLOOKUP(A2372,Ingreso!K:P,6,FALSE)</f>
        <v>#N/A</v>
      </c>
      <c r="E2372" s="142" t="e">
        <f>(VLOOKUP(D2372,$D$2:$E$4,2,FALSE))-(IF('Informe Kelly'!H2366=$A$2,'Informe Kelly'!F2366,VLOOKUP(D2372,$D$2:$E$4,2,FALSE)))</f>
        <v>#N/A</v>
      </c>
      <c r="F2372" s="142" t="e">
        <f>IF('Informe Kelly'!H2366=$A$3,'Informe Kelly'!F2366,VLOOKUP(D2372,$D$2:$F$4,3,FALSE))-(VLOOKUP(D2372,$D$2:$F$4,3,FALSE))</f>
        <v>#N/A</v>
      </c>
      <c r="G2372" s="137" t="e">
        <f t="shared" si="40"/>
        <v>#N/A</v>
      </c>
    </row>
    <row r="2373" spans="1:7">
      <c r="A2373" s="112" t="str">
        <f>VLOOKUP('Informe Kelly'!A2367,Base!A:B,2,FALSE)</f>
        <v>21.318.186-6</v>
      </c>
      <c r="B2373" s="112" t="str">
        <f>VLOOKUP('Informe Kelly'!A2367,Base!A:G,7,FALSE)</f>
        <v>DONOSO ROSAS CLAUDIO ALBERTO</v>
      </c>
      <c r="C2373" s="112" t="str">
        <f>'Informe Kelly'!E2367</f>
        <v>05.04.2011</v>
      </c>
      <c r="D2373" s="112" t="e">
        <f>VLOOKUP(A2373,Ingreso!K:P,6,FALSE)</f>
        <v>#N/A</v>
      </c>
      <c r="E2373" s="142" t="e">
        <f>(VLOOKUP(D2373,$D$2:$E$4,2,FALSE))-(IF('Informe Kelly'!H2367=$A$2,'Informe Kelly'!F2367,VLOOKUP(D2373,$D$2:$E$4,2,FALSE)))</f>
        <v>#N/A</v>
      </c>
      <c r="F2373" s="142" t="e">
        <f>IF('Informe Kelly'!H2367=$A$3,'Informe Kelly'!F2367,VLOOKUP(D2373,$D$2:$F$4,3,FALSE))-(VLOOKUP(D2373,$D$2:$F$4,3,FALSE))</f>
        <v>#N/A</v>
      </c>
      <c r="G2373" s="137" t="e">
        <f t="shared" si="40"/>
        <v>#N/A</v>
      </c>
    </row>
    <row r="2374" spans="1:7">
      <c r="A2374" s="112" t="str">
        <f>VLOOKUP('Informe Kelly'!A2368,Base!A:B,2,FALSE)</f>
        <v>21.318.186-6</v>
      </c>
      <c r="B2374" s="112" t="str">
        <f>VLOOKUP('Informe Kelly'!A2368,Base!A:G,7,FALSE)</f>
        <v>DONOSO ROSAS CLAUDIO ALBERTO</v>
      </c>
      <c r="C2374" s="112" t="str">
        <f>'Informe Kelly'!E2368</f>
        <v>05.04.2011</v>
      </c>
      <c r="D2374" s="112" t="e">
        <f>VLOOKUP(A2374,Ingreso!K:P,6,FALSE)</f>
        <v>#N/A</v>
      </c>
      <c r="E2374" s="142" t="e">
        <f>(VLOOKUP(D2374,$D$2:$E$4,2,FALSE))-(IF('Informe Kelly'!H2368=$A$2,'Informe Kelly'!F2368,VLOOKUP(D2374,$D$2:$E$4,2,FALSE)))</f>
        <v>#N/A</v>
      </c>
      <c r="F2374" s="142" t="e">
        <f>IF('Informe Kelly'!H2368=$A$3,'Informe Kelly'!F2368,VLOOKUP(D2374,$D$2:$F$4,3,FALSE))-(VLOOKUP(D2374,$D$2:$F$4,3,FALSE))</f>
        <v>#N/A</v>
      </c>
      <c r="G2374" s="137" t="e">
        <f t="shared" si="40"/>
        <v>#N/A</v>
      </c>
    </row>
    <row r="2375" spans="1:7">
      <c r="A2375" s="112" t="str">
        <f>VLOOKUP('Informe Kelly'!A2369,Base!A:B,2,FALSE)</f>
        <v>21.318.186-6</v>
      </c>
      <c r="B2375" s="112" t="str">
        <f>VLOOKUP('Informe Kelly'!A2369,Base!A:G,7,FALSE)</f>
        <v>DONOSO ROSAS CLAUDIO ALBERTO</v>
      </c>
      <c r="C2375" s="112" t="str">
        <f>'Informe Kelly'!E2369</f>
        <v>06.04.2011</v>
      </c>
      <c r="D2375" s="112" t="e">
        <f>VLOOKUP(A2375,Ingreso!K:P,6,FALSE)</f>
        <v>#N/A</v>
      </c>
      <c r="E2375" s="142" t="e">
        <f>(VLOOKUP(D2375,$D$2:$E$4,2,FALSE))-(IF('Informe Kelly'!H2369=$A$2,'Informe Kelly'!F2369,VLOOKUP(D2375,$D$2:$E$4,2,FALSE)))</f>
        <v>#N/A</v>
      </c>
      <c r="F2375" s="142" t="e">
        <f>IF('Informe Kelly'!H2369=$A$3,'Informe Kelly'!F2369,VLOOKUP(D2375,$D$2:$F$4,3,FALSE))-(VLOOKUP(D2375,$D$2:$F$4,3,FALSE))</f>
        <v>#N/A</v>
      </c>
      <c r="G2375" s="137" t="e">
        <f t="shared" si="40"/>
        <v>#N/A</v>
      </c>
    </row>
    <row r="2376" spans="1:7">
      <c r="A2376" s="112" t="str">
        <f>VLOOKUP('Informe Kelly'!A2370,Base!A:B,2,FALSE)</f>
        <v>21.318.186-6</v>
      </c>
      <c r="B2376" s="112" t="str">
        <f>VLOOKUP('Informe Kelly'!A2370,Base!A:G,7,FALSE)</f>
        <v>DONOSO ROSAS CLAUDIO ALBERTO</v>
      </c>
      <c r="C2376" s="112" t="str">
        <f>'Informe Kelly'!E2370</f>
        <v>06.04.2011</v>
      </c>
      <c r="D2376" s="112" t="e">
        <f>VLOOKUP(A2376,Ingreso!K:P,6,FALSE)</f>
        <v>#N/A</v>
      </c>
      <c r="E2376" s="142" t="e">
        <f>(VLOOKUP(D2376,$D$2:$E$4,2,FALSE))-(IF('Informe Kelly'!H2370=$A$2,'Informe Kelly'!F2370,VLOOKUP(D2376,$D$2:$E$4,2,FALSE)))</f>
        <v>#N/A</v>
      </c>
      <c r="F2376" s="142" t="e">
        <f>IF('Informe Kelly'!H2370=$A$3,'Informe Kelly'!F2370,VLOOKUP(D2376,$D$2:$F$4,3,FALSE))-(VLOOKUP(D2376,$D$2:$F$4,3,FALSE))</f>
        <v>#N/A</v>
      </c>
      <c r="G2376" s="137" t="e">
        <f t="shared" si="40"/>
        <v>#N/A</v>
      </c>
    </row>
    <row r="2377" spans="1:7">
      <c r="A2377" s="112" t="str">
        <f>VLOOKUP('Informe Kelly'!A2371,Base!A:B,2,FALSE)</f>
        <v>21.318.186-6</v>
      </c>
      <c r="B2377" s="112" t="str">
        <f>VLOOKUP('Informe Kelly'!A2371,Base!A:G,7,FALSE)</f>
        <v>DONOSO ROSAS CLAUDIO ALBERTO</v>
      </c>
      <c r="C2377" s="112" t="str">
        <f>'Informe Kelly'!E2371</f>
        <v>07.04.2011</v>
      </c>
      <c r="D2377" s="112" t="e">
        <f>VLOOKUP(A2377,Ingreso!K:P,6,FALSE)</f>
        <v>#N/A</v>
      </c>
      <c r="E2377" s="142" t="e">
        <f>(VLOOKUP(D2377,$D$2:$E$4,2,FALSE))-(IF('Informe Kelly'!H2371=$A$2,'Informe Kelly'!F2371,VLOOKUP(D2377,$D$2:$E$4,2,FALSE)))</f>
        <v>#N/A</v>
      </c>
      <c r="F2377" s="142" t="e">
        <f>IF('Informe Kelly'!H2371=$A$3,'Informe Kelly'!F2371,VLOOKUP(D2377,$D$2:$F$4,3,FALSE))-(VLOOKUP(D2377,$D$2:$F$4,3,FALSE))</f>
        <v>#N/A</v>
      </c>
      <c r="G2377" s="137" t="e">
        <f t="shared" ref="G2377:G2440" si="41">IF(E2377="",IF(F2377&lt;0.0409722222222222,0,E2377),IF(E2377&lt;0.0409722222222222,0,E2377))</f>
        <v>#N/A</v>
      </c>
    </row>
    <row r="2378" spans="1:7">
      <c r="A2378" s="112" t="str">
        <f>VLOOKUP('Informe Kelly'!A2372,Base!A:B,2,FALSE)</f>
        <v>21.318.186-6</v>
      </c>
      <c r="B2378" s="112" t="str">
        <f>VLOOKUP('Informe Kelly'!A2372,Base!A:G,7,FALSE)</f>
        <v>DONOSO ROSAS CLAUDIO ALBERTO</v>
      </c>
      <c r="C2378" s="112" t="str">
        <f>'Informe Kelly'!E2372</f>
        <v>07.04.2011</v>
      </c>
      <c r="D2378" s="112" t="e">
        <f>VLOOKUP(A2378,Ingreso!K:P,6,FALSE)</f>
        <v>#N/A</v>
      </c>
      <c r="E2378" s="142" t="e">
        <f>(VLOOKUP(D2378,$D$2:$E$4,2,FALSE))-(IF('Informe Kelly'!H2372=$A$2,'Informe Kelly'!F2372,VLOOKUP(D2378,$D$2:$E$4,2,FALSE)))</f>
        <v>#N/A</v>
      </c>
      <c r="F2378" s="142" t="e">
        <f>IF('Informe Kelly'!H2372=$A$3,'Informe Kelly'!F2372,VLOOKUP(D2378,$D$2:$F$4,3,FALSE))-(VLOOKUP(D2378,$D$2:$F$4,3,FALSE))</f>
        <v>#N/A</v>
      </c>
      <c r="G2378" s="137" t="e">
        <f t="shared" si="41"/>
        <v>#N/A</v>
      </c>
    </row>
    <row r="2379" spans="1:7">
      <c r="A2379" s="112" t="str">
        <f>VLOOKUP('Informe Kelly'!A2373,Base!A:B,2,FALSE)</f>
        <v>21.318.186-6</v>
      </c>
      <c r="B2379" s="112" t="str">
        <f>VLOOKUP('Informe Kelly'!A2373,Base!A:G,7,FALSE)</f>
        <v>DONOSO ROSAS CLAUDIO ALBERTO</v>
      </c>
      <c r="C2379" s="112" t="str">
        <f>'Informe Kelly'!E2373</f>
        <v>08.04.2011</v>
      </c>
      <c r="D2379" s="112" t="e">
        <f>VLOOKUP(A2379,Ingreso!K:P,6,FALSE)</f>
        <v>#N/A</v>
      </c>
      <c r="E2379" s="142" t="e">
        <f>(VLOOKUP(D2379,$D$2:$E$4,2,FALSE))-(IF('Informe Kelly'!H2373=$A$2,'Informe Kelly'!F2373,VLOOKUP(D2379,$D$2:$E$4,2,FALSE)))</f>
        <v>#N/A</v>
      </c>
      <c r="F2379" s="142" t="e">
        <f>IF('Informe Kelly'!H2373=$A$3,'Informe Kelly'!F2373,VLOOKUP(D2379,$D$2:$F$4,3,FALSE))-(VLOOKUP(D2379,$D$2:$F$4,3,FALSE))</f>
        <v>#N/A</v>
      </c>
      <c r="G2379" s="137" t="e">
        <f t="shared" si="41"/>
        <v>#N/A</v>
      </c>
    </row>
    <row r="2380" spans="1:7">
      <c r="A2380" s="112" t="str">
        <f>VLOOKUP('Informe Kelly'!A2374,Base!A:B,2,FALSE)</f>
        <v>21.318.186-6</v>
      </c>
      <c r="B2380" s="112" t="str">
        <f>VLOOKUP('Informe Kelly'!A2374,Base!A:G,7,FALSE)</f>
        <v>DONOSO ROSAS CLAUDIO ALBERTO</v>
      </c>
      <c r="C2380" s="112" t="str">
        <f>'Informe Kelly'!E2374</f>
        <v>08.04.2011</v>
      </c>
      <c r="D2380" s="112" t="e">
        <f>VLOOKUP(A2380,Ingreso!K:P,6,FALSE)</f>
        <v>#N/A</v>
      </c>
      <c r="E2380" s="142" t="e">
        <f>(VLOOKUP(D2380,$D$2:$E$4,2,FALSE))-(IF('Informe Kelly'!H2374=$A$2,'Informe Kelly'!F2374,VLOOKUP(D2380,$D$2:$E$4,2,FALSE)))</f>
        <v>#N/A</v>
      </c>
      <c r="F2380" s="142" t="e">
        <f>IF('Informe Kelly'!H2374=$A$3,'Informe Kelly'!F2374,VLOOKUP(D2380,$D$2:$F$4,3,FALSE))-(VLOOKUP(D2380,$D$2:$F$4,3,FALSE))</f>
        <v>#N/A</v>
      </c>
      <c r="G2380" s="137" t="e">
        <f t="shared" si="41"/>
        <v>#N/A</v>
      </c>
    </row>
    <row r="2381" spans="1:7">
      <c r="A2381" s="112" t="str">
        <f>VLOOKUP('Informe Kelly'!A2375,Base!A:B,2,FALSE)</f>
        <v>21.318.186-6</v>
      </c>
      <c r="B2381" s="112" t="str">
        <f>VLOOKUP('Informe Kelly'!A2375,Base!A:G,7,FALSE)</f>
        <v>DONOSO ROSAS CLAUDIO ALBERTO</v>
      </c>
      <c r="C2381" s="112" t="str">
        <f>'Informe Kelly'!E2375</f>
        <v>09.04.2011</v>
      </c>
      <c r="D2381" s="112" t="e">
        <f>VLOOKUP(A2381,Ingreso!K:P,6,FALSE)</f>
        <v>#N/A</v>
      </c>
      <c r="E2381" s="142" t="e">
        <f>(VLOOKUP(D2381,$D$2:$E$4,2,FALSE))-(IF('Informe Kelly'!H2375=$A$2,'Informe Kelly'!F2375,VLOOKUP(D2381,$D$2:$E$4,2,FALSE)))</f>
        <v>#N/A</v>
      </c>
      <c r="F2381" s="142" t="e">
        <f>IF('Informe Kelly'!H2375=$A$3,'Informe Kelly'!F2375,VLOOKUP(D2381,$D$2:$F$4,3,FALSE))-(VLOOKUP(D2381,$D$2:$F$4,3,FALSE))</f>
        <v>#N/A</v>
      </c>
      <c r="G2381" s="137" t="e">
        <f t="shared" si="41"/>
        <v>#N/A</v>
      </c>
    </row>
    <row r="2382" spans="1:7">
      <c r="A2382" s="112" t="str">
        <f>VLOOKUP('Informe Kelly'!A2376,Base!A:B,2,FALSE)</f>
        <v>21.318.186-6</v>
      </c>
      <c r="B2382" s="112" t="str">
        <f>VLOOKUP('Informe Kelly'!A2376,Base!A:G,7,FALSE)</f>
        <v>DONOSO ROSAS CLAUDIO ALBERTO</v>
      </c>
      <c r="C2382" s="112" t="str">
        <f>'Informe Kelly'!E2376</f>
        <v>09.04.2011</v>
      </c>
      <c r="D2382" s="112" t="e">
        <f>VLOOKUP(A2382,Ingreso!K:P,6,FALSE)</f>
        <v>#N/A</v>
      </c>
      <c r="E2382" s="142" t="e">
        <f>(VLOOKUP(D2382,$D$2:$E$4,2,FALSE))-(IF('Informe Kelly'!H2376=$A$2,'Informe Kelly'!F2376,VLOOKUP(D2382,$D$2:$E$4,2,FALSE)))</f>
        <v>#N/A</v>
      </c>
      <c r="F2382" s="142" t="e">
        <f>IF('Informe Kelly'!H2376=$A$3,'Informe Kelly'!F2376,VLOOKUP(D2382,$D$2:$F$4,3,FALSE))-(VLOOKUP(D2382,$D$2:$F$4,3,FALSE))</f>
        <v>#N/A</v>
      </c>
      <c r="G2382" s="137" t="e">
        <f t="shared" si="41"/>
        <v>#N/A</v>
      </c>
    </row>
    <row r="2383" spans="1:7">
      <c r="A2383" s="112" t="str">
        <f>VLOOKUP('Informe Kelly'!A2377,Base!A:B,2,FALSE)</f>
        <v>21.516.766-6</v>
      </c>
      <c r="B2383" s="112" t="str">
        <f>VLOOKUP('Informe Kelly'!A2377,Base!A:G,7,FALSE)</f>
        <v>VALDEZ WERNLI ARIEL LUIS</v>
      </c>
      <c r="C2383" s="112" t="str">
        <f>'Informe Kelly'!E2377</f>
        <v>05.04.2011</v>
      </c>
      <c r="D2383" s="112" t="e">
        <f>VLOOKUP(A2383,Ingreso!K:P,6,FALSE)</f>
        <v>#N/A</v>
      </c>
      <c r="E2383" s="142" t="e">
        <f>(VLOOKUP(D2383,$D$2:$E$4,2,FALSE))-(IF('Informe Kelly'!H2377=$A$2,'Informe Kelly'!F2377,VLOOKUP(D2383,$D$2:$E$4,2,FALSE)))</f>
        <v>#N/A</v>
      </c>
      <c r="F2383" s="142" t="e">
        <f>IF('Informe Kelly'!H2377=$A$3,'Informe Kelly'!F2377,VLOOKUP(D2383,$D$2:$F$4,3,FALSE))-(VLOOKUP(D2383,$D$2:$F$4,3,FALSE))</f>
        <v>#N/A</v>
      </c>
      <c r="G2383" s="137" t="e">
        <f t="shared" si="41"/>
        <v>#N/A</v>
      </c>
    </row>
    <row r="2384" spans="1:7">
      <c r="A2384" s="112" t="str">
        <f>VLOOKUP('Informe Kelly'!A2378,Base!A:B,2,FALSE)</f>
        <v>21.516.766-6</v>
      </c>
      <c r="B2384" s="112" t="str">
        <f>VLOOKUP('Informe Kelly'!A2378,Base!A:G,7,FALSE)</f>
        <v>VALDEZ WERNLI ARIEL LUIS</v>
      </c>
      <c r="C2384" s="112" t="str">
        <f>'Informe Kelly'!E2378</f>
        <v>06.04.2011</v>
      </c>
      <c r="D2384" s="112" t="e">
        <f>VLOOKUP(A2384,Ingreso!K:P,6,FALSE)</f>
        <v>#N/A</v>
      </c>
      <c r="E2384" s="142" t="e">
        <f>(VLOOKUP(D2384,$D$2:$E$4,2,FALSE))-(IF('Informe Kelly'!H2378=$A$2,'Informe Kelly'!F2378,VLOOKUP(D2384,$D$2:$E$4,2,FALSE)))</f>
        <v>#N/A</v>
      </c>
      <c r="F2384" s="142" t="e">
        <f>IF('Informe Kelly'!H2378=$A$3,'Informe Kelly'!F2378,VLOOKUP(D2384,$D$2:$F$4,3,FALSE))-(VLOOKUP(D2384,$D$2:$F$4,3,FALSE))</f>
        <v>#N/A</v>
      </c>
      <c r="G2384" s="137" t="e">
        <f t="shared" si="41"/>
        <v>#N/A</v>
      </c>
    </row>
    <row r="2385" spans="1:7">
      <c r="A2385" s="112" t="str">
        <f>VLOOKUP('Informe Kelly'!A2379,Base!A:B,2,FALSE)</f>
        <v>21.516.766-6</v>
      </c>
      <c r="B2385" s="112" t="str">
        <f>VLOOKUP('Informe Kelly'!A2379,Base!A:G,7,FALSE)</f>
        <v>VALDEZ WERNLI ARIEL LUIS</v>
      </c>
      <c r="C2385" s="112" t="str">
        <f>'Informe Kelly'!E2379</f>
        <v>06.04.2011</v>
      </c>
      <c r="D2385" s="112" t="e">
        <f>VLOOKUP(A2385,Ingreso!K:P,6,FALSE)</f>
        <v>#N/A</v>
      </c>
      <c r="E2385" s="142" t="e">
        <f>(VLOOKUP(D2385,$D$2:$E$4,2,FALSE))-(IF('Informe Kelly'!H2379=$A$2,'Informe Kelly'!F2379,VLOOKUP(D2385,$D$2:$E$4,2,FALSE)))</f>
        <v>#N/A</v>
      </c>
      <c r="F2385" s="142" t="e">
        <f>IF('Informe Kelly'!H2379=$A$3,'Informe Kelly'!F2379,VLOOKUP(D2385,$D$2:$F$4,3,FALSE))-(VLOOKUP(D2385,$D$2:$F$4,3,FALSE))</f>
        <v>#N/A</v>
      </c>
      <c r="G2385" s="137" t="e">
        <f t="shared" si="41"/>
        <v>#N/A</v>
      </c>
    </row>
    <row r="2386" spans="1:7">
      <c r="A2386" s="112" t="str">
        <f>VLOOKUP('Informe Kelly'!A2380,Base!A:B,2,FALSE)</f>
        <v>21.516.766-6</v>
      </c>
      <c r="B2386" s="112" t="str">
        <f>VLOOKUP('Informe Kelly'!A2380,Base!A:G,7,FALSE)</f>
        <v>VALDEZ WERNLI ARIEL LUIS</v>
      </c>
      <c r="C2386" s="112" t="str">
        <f>'Informe Kelly'!E2380</f>
        <v>07.04.2011</v>
      </c>
      <c r="D2386" s="112" t="e">
        <f>VLOOKUP(A2386,Ingreso!K:P,6,FALSE)</f>
        <v>#N/A</v>
      </c>
      <c r="E2386" s="142" t="e">
        <f>(VLOOKUP(D2386,$D$2:$E$4,2,FALSE))-(IF('Informe Kelly'!H2380=$A$2,'Informe Kelly'!F2380,VLOOKUP(D2386,$D$2:$E$4,2,FALSE)))</f>
        <v>#N/A</v>
      </c>
      <c r="F2386" s="142" t="e">
        <f>IF('Informe Kelly'!H2380=$A$3,'Informe Kelly'!F2380,VLOOKUP(D2386,$D$2:$F$4,3,FALSE))-(VLOOKUP(D2386,$D$2:$F$4,3,FALSE))</f>
        <v>#N/A</v>
      </c>
      <c r="G2386" s="137" t="e">
        <f t="shared" si="41"/>
        <v>#N/A</v>
      </c>
    </row>
    <row r="2387" spans="1:7">
      <c r="A2387" s="112" t="str">
        <f>VLOOKUP('Informe Kelly'!A2381,Base!A:B,2,FALSE)</f>
        <v>21.516.766-6</v>
      </c>
      <c r="B2387" s="112" t="str">
        <f>VLOOKUP('Informe Kelly'!A2381,Base!A:G,7,FALSE)</f>
        <v>VALDEZ WERNLI ARIEL LUIS</v>
      </c>
      <c r="C2387" s="112" t="str">
        <f>'Informe Kelly'!E2381</f>
        <v>07.04.2011</v>
      </c>
      <c r="D2387" s="112" t="e">
        <f>VLOOKUP(A2387,Ingreso!K:P,6,FALSE)</f>
        <v>#N/A</v>
      </c>
      <c r="E2387" s="142" t="e">
        <f>(VLOOKUP(D2387,$D$2:$E$4,2,FALSE))-(IF('Informe Kelly'!H2381=$A$2,'Informe Kelly'!F2381,VLOOKUP(D2387,$D$2:$E$4,2,FALSE)))</f>
        <v>#N/A</v>
      </c>
      <c r="F2387" s="142" t="e">
        <f>IF('Informe Kelly'!H2381=$A$3,'Informe Kelly'!F2381,VLOOKUP(D2387,$D$2:$F$4,3,FALSE))-(VLOOKUP(D2387,$D$2:$F$4,3,FALSE))</f>
        <v>#N/A</v>
      </c>
      <c r="G2387" s="137" t="e">
        <f t="shared" si="41"/>
        <v>#N/A</v>
      </c>
    </row>
    <row r="2388" spans="1:7">
      <c r="A2388" s="112" t="str">
        <f>VLOOKUP('Informe Kelly'!A2382,Base!A:B,2,FALSE)</f>
        <v>21.516.766-6</v>
      </c>
      <c r="B2388" s="112" t="str">
        <f>VLOOKUP('Informe Kelly'!A2382,Base!A:G,7,FALSE)</f>
        <v>VALDEZ WERNLI ARIEL LUIS</v>
      </c>
      <c r="C2388" s="112" t="str">
        <f>'Informe Kelly'!E2382</f>
        <v>08.04.2011</v>
      </c>
      <c r="D2388" s="112" t="e">
        <f>VLOOKUP(A2388,Ingreso!K:P,6,FALSE)</f>
        <v>#N/A</v>
      </c>
      <c r="E2388" s="142" t="e">
        <f>(VLOOKUP(D2388,$D$2:$E$4,2,FALSE))-(IF('Informe Kelly'!H2382=$A$2,'Informe Kelly'!F2382,VLOOKUP(D2388,$D$2:$E$4,2,FALSE)))</f>
        <v>#N/A</v>
      </c>
      <c r="F2388" s="142" t="e">
        <f>IF('Informe Kelly'!H2382=$A$3,'Informe Kelly'!F2382,VLOOKUP(D2388,$D$2:$F$4,3,FALSE))-(VLOOKUP(D2388,$D$2:$F$4,3,FALSE))</f>
        <v>#N/A</v>
      </c>
      <c r="G2388" s="137" t="e">
        <f t="shared" si="41"/>
        <v>#N/A</v>
      </c>
    </row>
    <row r="2389" spans="1:7">
      <c r="A2389" s="112" t="str">
        <f>VLOOKUP('Informe Kelly'!A2383,Base!A:B,2,FALSE)</f>
        <v>21.516.766-6</v>
      </c>
      <c r="B2389" s="112" t="str">
        <f>VLOOKUP('Informe Kelly'!A2383,Base!A:G,7,FALSE)</f>
        <v>VALDEZ WERNLI ARIEL LUIS</v>
      </c>
      <c r="C2389" s="112" t="str">
        <f>'Informe Kelly'!E2383</f>
        <v>08.04.2011</v>
      </c>
      <c r="D2389" s="112" t="e">
        <f>VLOOKUP(A2389,Ingreso!K:P,6,FALSE)</f>
        <v>#N/A</v>
      </c>
      <c r="E2389" s="142" t="e">
        <f>(VLOOKUP(D2389,$D$2:$E$4,2,FALSE))-(IF('Informe Kelly'!H2383=$A$2,'Informe Kelly'!F2383,VLOOKUP(D2389,$D$2:$E$4,2,FALSE)))</f>
        <v>#N/A</v>
      </c>
      <c r="F2389" s="142" t="e">
        <f>IF('Informe Kelly'!H2383=$A$3,'Informe Kelly'!F2383,VLOOKUP(D2389,$D$2:$F$4,3,FALSE))-(VLOOKUP(D2389,$D$2:$F$4,3,FALSE))</f>
        <v>#N/A</v>
      </c>
      <c r="G2389" s="137" t="e">
        <f t="shared" si="41"/>
        <v>#N/A</v>
      </c>
    </row>
    <row r="2390" spans="1:7">
      <c r="A2390" s="112" t="str">
        <f>VLOOKUP('Informe Kelly'!A2384,Base!A:B,2,FALSE)</f>
        <v>21.516.766-6</v>
      </c>
      <c r="B2390" s="112" t="str">
        <f>VLOOKUP('Informe Kelly'!A2384,Base!A:G,7,FALSE)</f>
        <v>VALDEZ WERNLI ARIEL LUIS</v>
      </c>
      <c r="C2390" s="112" t="str">
        <f>'Informe Kelly'!E2384</f>
        <v>09.04.2011</v>
      </c>
      <c r="D2390" s="112" t="e">
        <f>VLOOKUP(A2390,Ingreso!K:P,6,FALSE)</f>
        <v>#N/A</v>
      </c>
      <c r="E2390" s="142" t="e">
        <f>(VLOOKUP(D2390,$D$2:$E$4,2,FALSE))-(IF('Informe Kelly'!H2384=$A$2,'Informe Kelly'!F2384,VLOOKUP(D2390,$D$2:$E$4,2,FALSE)))</f>
        <v>#N/A</v>
      </c>
      <c r="F2390" s="142" t="e">
        <f>IF('Informe Kelly'!H2384=$A$3,'Informe Kelly'!F2384,VLOOKUP(D2390,$D$2:$F$4,3,FALSE))-(VLOOKUP(D2390,$D$2:$F$4,3,FALSE))</f>
        <v>#N/A</v>
      </c>
      <c r="G2390" s="137" t="e">
        <f t="shared" si="41"/>
        <v>#N/A</v>
      </c>
    </row>
    <row r="2391" spans="1:7">
      <c r="A2391" s="112" t="str">
        <f>VLOOKUP('Informe Kelly'!A2385,Base!A:B,2,FALSE)</f>
        <v>22.637.242-3</v>
      </c>
      <c r="B2391" s="112" t="str">
        <f>VLOOKUP('Informe Kelly'!A2385,Base!A:G,7,FALSE)</f>
        <v>ALVAREZ CONTRERAS MARISOL</v>
      </c>
      <c r="C2391" s="112" t="str">
        <f>'Informe Kelly'!E2385</f>
        <v>04.04.2011</v>
      </c>
      <c r="D2391" s="112" t="e">
        <f>VLOOKUP(A2391,Ingreso!K:P,6,FALSE)</f>
        <v>#N/A</v>
      </c>
      <c r="E2391" s="142" t="e">
        <f>(VLOOKUP(D2391,$D$2:$E$4,2,FALSE))-(IF('Informe Kelly'!H2385=$A$2,'Informe Kelly'!F2385,VLOOKUP(D2391,$D$2:$E$4,2,FALSE)))</f>
        <v>#N/A</v>
      </c>
      <c r="F2391" s="142" t="e">
        <f>IF('Informe Kelly'!H2385=$A$3,'Informe Kelly'!F2385,VLOOKUP(D2391,$D$2:$F$4,3,FALSE))-(VLOOKUP(D2391,$D$2:$F$4,3,FALSE))</f>
        <v>#N/A</v>
      </c>
      <c r="G2391" s="137" t="e">
        <f t="shared" si="41"/>
        <v>#N/A</v>
      </c>
    </row>
    <row r="2392" spans="1:7">
      <c r="A2392" s="112" t="str">
        <f>VLOOKUP('Informe Kelly'!A2386,Base!A:B,2,FALSE)</f>
        <v>22.637.242-3</v>
      </c>
      <c r="B2392" s="112" t="str">
        <f>VLOOKUP('Informe Kelly'!A2386,Base!A:G,7,FALSE)</f>
        <v>ALVAREZ CONTRERAS MARISOL</v>
      </c>
      <c r="C2392" s="112" t="str">
        <f>'Informe Kelly'!E2386</f>
        <v>04.04.2011</v>
      </c>
      <c r="D2392" s="112" t="e">
        <f>VLOOKUP(A2392,Ingreso!K:P,6,FALSE)</f>
        <v>#N/A</v>
      </c>
      <c r="E2392" s="142" t="e">
        <f>(VLOOKUP(D2392,$D$2:$E$4,2,FALSE))-(IF('Informe Kelly'!H2386=$A$2,'Informe Kelly'!F2386,VLOOKUP(D2392,$D$2:$E$4,2,FALSE)))</f>
        <v>#N/A</v>
      </c>
      <c r="F2392" s="142" t="e">
        <f>IF('Informe Kelly'!H2386=$A$3,'Informe Kelly'!F2386,VLOOKUP(D2392,$D$2:$F$4,3,FALSE))-(VLOOKUP(D2392,$D$2:$F$4,3,FALSE))</f>
        <v>#N/A</v>
      </c>
      <c r="G2392" s="137" t="e">
        <f t="shared" si="41"/>
        <v>#N/A</v>
      </c>
    </row>
    <row r="2393" spans="1:7">
      <c r="A2393" s="112" t="str">
        <f>VLOOKUP('Informe Kelly'!A2387,Base!A:B,2,FALSE)</f>
        <v>22.637.242-3</v>
      </c>
      <c r="B2393" s="112" t="str">
        <f>VLOOKUP('Informe Kelly'!A2387,Base!A:G,7,FALSE)</f>
        <v>ALVAREZ CONTRERAS MARISOL</v>
      </c>
      <c r="C2393" s="112" t="str">
        <f>'Informe Kelly'!E2387</f>
        <v>05.04.2011</v>
      </c>
      <c r="D2393" s="112" t="e">
        <f>VLOOKUP(A2393,Ingreso!K:P,6,FALSE)</f>
        <v>#N/A</v>
      </c>
      <c r="E2393" s="142" t="e">
        <f>(VLOOKUP(D2393,$D$2:$E$4,2,FALSE))-(IF('Informe Kelly'!H2387=$A$2,'Informe Kelly'!F2387,VLOOKUP(D2393,$D$2:$E$4,2,FALSE)))</f>
        <v>#N/A</v>
      </c>
      <c r="F2393" s="142" t="e">
        <f>IF('Informe Kelly'!H2387=$A$3,'Informe Kelly'!F2387,VLOOKUP(D2393,$D$2:$F$4,3,FALSE))-(VLOOKUP(D2393,$D$2:$F$4,3,FALSE))</f>
        <v>#N/A</v>
      </c>
      <c r="G2393" s="137" t="e">
        <f t="shared" si="41"/>
        <v>#N/A</v>
      </c>
    </row>
    <row r="2394" spans="1:7">
      <c r="A2394" s="112" t="str">
        <f>VLOOKUP('Informe Kelly'!A2388,Base!A:B,2,FALSE)</f>
        <v>22.637.242-3</v>
      </c>
      <c r="B2394" s="112" t="str">
        <f>VLOOKUP('Informe Kelly'!A2388,Base!A:G,7,FALSE)</f>
        <v>ALVAREZ CONTRERAS MARISOL</v>
      </c>
      <c r="C2394" s="112" t="str">
        <f>'Informe Kelly'!E2388</f>
        <v>05.04.2011</v>
      </c>
      <c r="D2394" s="112" t="e">
        <f>VLOOKUP(A2394,Ingreso!K:P,6,FALSE)</f>
        <v>#N/A</v>
      </c>
      <c r="E2394" s="142" t="e">
        <f>(VLOOKUP(D2394,$D$2:$E$4,2,FALSE))-(IF('Informe Kelly'!H2388=$A$2,'Informe Kelly'!F2388,VLOOKUP(D2394,$D$2:$E$4,2,FALSE)))</f>
        <v>#N/A</v>
      </c>
      <c r="F2394" s="142" t="e">
        <f>IF('Informe Kelly'!H2388=$A$3,'Informe Kelly'!F2388,VLOOKUP(D2394,$D$2:$F$4,3,FALSE))-(VLOOKUP(D2394,$D$2:$F$4,3,FALSE))</f>
        <v>#N/A</v>
      </c>
      <c r="G2394" s="137" t="e">
        <f t="shared" si="41"/>
        <v>#N/A</v>
      </c>
    </row>
    <row r="2395" spans="1:7">
      <c r="A2395" s="112" t="str">
        <f>VLOOKUP('Informe Kelly'!A2389,Base!A:B,2,FALSE)</f>
        <v>22.637.242-3</v>
      </c>
      <c r="B2395" s="112" t="str">
        <f>VLOOKUP('Informe Kelly'!A2389,Base!A:G,7,FALSE)</f>
        <v>ALVAREZ CONTRERAS MARISOL</v>
      </c>
      <c r="C2395" s="112" t="str">
        <f>'Informe Kelly'!E2389</f>
        <v>06.04.2011</v>
      </c>
      <c r="D2395" s="112" t="e">
        <f>VLOOKUP(A2395,Ingreso!K:P,6,FALSE)</f>
        <v>#N/A</v>
      </c>
      <c r="E2395" s="142" t="e">
        <f>(VLOOKUP(D2395,$D$2:$E$4,2,FALSE))-(IF('Informe Kelly'!H2389=$A$2,'Informe Kelly'!F2389,VLOOKUP(D2395,$D$2:$E$4,2,FALSE)))</f>
        <v>#N/A</v>
      </c>
      <c r="F2395" s="142" t="e">
        <f>IF('Informe Kelly'!H2389=$A$3,'Informe Kelly'!F2389,VLOOKUP(D2395,$D$2:$F$4,3,FALSE))-(VLOOKUP(D2395,$D$2:$F$4,3,FALSE))</f>
        <v>#N/A</v>
      </c>
      <c r="G2395" s="137" t="e">
        <f t="shared" si="41"/>
        <v>#N/A</v>
      </c>
    </row>
    <row r="2396" spans="1:7">
      <c r="A2396" s="112" t="str">
        <f>VLOOKUP('Informe Kelly'!A2390,Base!A:B,2,FALSE)</f>
        <v>22.637.242-3</v>
      </c>
      <c r="B2396" s="112" t="str">
        <f>VLOOKUP('Informe Kelly'!A2390,Base!A:G,7,FALSE)</f>
        <v>ALVAREZ CONTRERAS MARISOL</v>
      </c>
      <c r="C2396" s="112" t="str">
        <f>'Informe Kelly'!E2390</f>
        <v>06.04.2011</v>
      </c>
      <c r="D2396" s="112" t="e">
        <f>VLOOKUP(A2396,Ingreso!K:P,6,FALSE)</f>
        <v>#N/A</v>
      </c>
      <c r="E2396" s="142" t="e">
        <f>(VLOOKUP(D2396,$D$2:$E$4,2,FALSE))-(IF('Informe Kelly'!H2390=$A$2,'Informe Kelly'!F2390,VLOOKUP(D2396,$D$2:$E$4,2,FALSE)))</f>
        <v>#N/A</v>
      </c>
      <c r="F2396" s="142" t="e">
        <f>IF('Informe Kelly'!H2390=$A$3,'Informe Kelly'!F2390,VLOOKUP(D2396,$D$2:$F$4,3,FALSE))-(VLOOKUP(D2396,$D$2:$F$4,3,FALSE))</f>
        <v>#N/A</v>
      </c>
      <c r="G2396" s="137" t="e">
        <f t="shared" si="41"/>
        <v>#N/A</v>
      </c>
    </row>
    <row r="2397" spans="1:7">
      <c r="A2397" s="112" t="str">
        <f>VLOOKUP('Informe Kelly'!A2391,Base!A:B,2,FALSE)</f>
        <v>22.637.242-3</v>
      </c>
      <c r="B2397" s="112" t="str">
        <f>VLOOKUP('Informe Kelly'!A2391,Base!A:G,7,FALSE)</f>
        <v>ALVAREZ CONTRERAS MARISOL</v>
      </c>
      <c r="C2397" s="112" t="str">
        <f>'Informe Kelly'!E2391</f>
        <v>07.04.2011</v>
      </c>
      <c r="D2397" s="112" t="e">
        <f>VLOOKUP(A2397,Ingreso!K:P,6,FALSE)</f>
        <v>#N/A</v>
      </c>
      <c r="E2397" s="142" t="e">
        <f>(VLOOKUP(D2397,$D$2:$E$4,2,FALSE))-(IF('Informe Kelly'!H2391=$A$2,'Informe Kelly'!F2391,VLOOKUP(D2397,$D$2:$E$4,2,FALSE)))</f>
        <v>#N/A</v>
      </c>
      <c r="F2397" s="142" t="e">
        <f>IF('Informe Kelly'!H2391=$A$3,'Informe Kelly'!F2391,VLOOKUP(D2397,$D$2:$F$4,3,FALSE))-(VLOOKUP(D2397,$D$2:$F$4,3,FALSE))</f>
        <v>#N/A</v>
      </c>
      <c r="G2397" s="137" t="e">
        <f t="shared" si="41"/>
        <v>#N/A</v>
      </c>
    </row>
    <row r="2398" spans="1:7">
      <c r="A2398" s="112" t="str">
        <f>VLOOKUP('Informe Kelly'!A2392,Base!A:B,2,FALSE)</f>
        <v>22.637.242-3</v>
      </c>
      <c r="B2398" s="112" t="str">
        <f>VLOOKUP('Informe Kelly'!A2392,Base!A:G,7,FALSE)</f>
        <v>ALVAREZ CONTRERAS MARISOL</v>
      </c>
      <c r="C2398" s="112" t="str">
        <f>'Informe Kelly'!E2392</f>
        <v>07.04.2011</v>
      </c>
      <c r="D2398" s="112" t="e">
        <f>VLOOKUP(A2398,Ingreso!K:P,6,FALSE)</f>
        <v>#N/A</v>
      </c>
      <c r="E2398" s="142" t="e">
        <f>(VLOOKUP(D2398,$D$2:$E$4,2,FALSE))-(IF('Informe Kelly'!H2392=$A$2,'Informe Kelly'!F2392,VLOOKUP(D2398,$D$2:$E$4,2,FALSE)))</f>
        <v>#N/A</v>
      </c>
      <c r="F2398" s="142" t="e">
        <f>IF('Informe Kelly'!H2392=$A$3,'Informe Kelly'!F2392,VLOOKUP(D2398,$D$2:$F$4,3,FALSE))-(VLOOKUP(D2398,$D$2:$F$4,3,FALSE))</f>
        <v>#N/A</v>
      </c>
      <c r="G2398" s="137" t="e">
        <f t="shared" si="41"/>
        <v>#N/A</v>
      </c>
    </row>
    <row r="2399" spans="1:7">
      <c r="A2399" s="112" t="str">
        <f>VLOOKUP('Informe Kelly'!A2393,Base!A:B,2,FALSE)</f>
        <v>22.637.242-3</v>
      </c>
      <c r="B2399" s="112" t="str">
        <f>VLOOKUP('Informe Kelly'!A2393,Base!A:G,7,FALSE)</f>
        <v>ALVAREZ CONTRERAS MARISOL</v>
      </c>
      <c r="C2399" s="112" t="str">
        <f>'Informe Kelly'!E2393</f>
        <v>08.04.2011</v>
      </c>
      <c r="D2399" s="112" t="e">
        <f>VLOOKUP(A2399,Ingreso!K:P,6,FALSE)</f>
        <v>#N/A</v>
      </c>
      <c r="E2399" s="142" t="e">
        <f>(VLOOKUP(D2399,$D$2:$E$4,2,FALSE))-(IF('Informe Kelly'!H2393=$A$2,'Informe Kelly'!F2393,VLOOKUP(D2399,$D$2:$E$4,2,FALSE)))</f>
        <v>#N/A</v>
      </c>
      <c r="F2399" s="142" t="e">
        <f>IF('Informe Kelly'!H2393=$A$3,'Informe Kelly'!F2393,VLOOKUP(D2399,$D$2:$F$4,3,FALSE))-(VLOOKUP(D2399,$D$2:$F$4,3,FALSE))</f>
        <v>#N/A</v>
      </c>
      <c r="G2399" s="137" t="e">
        <f t="shared" si="41"/>
        <v>#N/A</v>
      </c>
    </row>
    <row r="2400" spans="1:7">
      <c r="A2400" s="112" t="str">
        <f>VLOOKUP('Informe Kelly'!A2394,Base!A:B,2,FALSE)</f>
        <v>22.637.242-3</v>
      </c>
      <c r="B2400" s="112" t="str">
        <f>VLOOKUP('Informe Kelly'!A2394,Base!A:G,7,FALSE)</f>
        <v>ALVAREZ CONTRERAS MARISOL</v>
      </c>
      <c r="C2400" s="112" t="str">
        <f>'Informe Kelly'!E2394</f>
        <v>08.04.2011</v>
      </c>
      <c r="D2400" s="112" t="e">
        <f>VLOOKUP(A2400,Ingreso!K:P,6,FALSE)</f>
        <v>#N/A</v>
      </c>
      <c r="E2400" s="142" t="e">
        <f>(VLOOKUP(D2400,$D$2:$E$4,2,FALSE))-(IF('Informe Kelly'!H2394=$A$2,'Informe Kelly'!F2394,VLOOKUP(D2400,$D$2:$E$4,2,FALSE)))</f>
        <v>#N/A</v>
      </c>
      <c r="F2400" s="142" t="e">
        <f>IF('Informe Kelly'!H2394=$A$3,'Informe Kelly'!F2394,VLOOKUP(D2400,$D$2:$F$4,3,FALSE))-(VLOOKUP(D2400,$D$2:$F$4,3,FALSE))</f>
        <v>#N/A</v>
      </c>
      <c r="G2400" s="137" t="e">
        <f t="shared" si="41"/>
        <v>#N/A</v>
      </c>
    </row>
    <row r="2401" spans="1:7">
      <c r="A2401" s="112" t="e">
        <f>VLOOKUP('Informe Kelly'!A2395,Base!A:B,2,FALSE)</f>
        <v>#N/A</v>
      </c>
      <c r="B2401" s="112" t="e">
        <f>VLOOKUP('Informe Kelly'!A2395,Base!A:G,7,FALSE)</f>
        <v>#N/A</v>
      </c>
      <c r="C2401" s="112">
        <f>'Informe Kelly'!E2395</f>
        <v>0</v>
      </c>
      <c r="D2401" s="112" t="e">
        <f>VLOOKUP(A2401,Ingreso!K:P,6,FALSE)</f>
        <v>#N/A</v>
      </c>
      <c r="E2401" s="142" t="e">
        <f>(VLOOKUP(D2401,$D$2:$E$4,2,FALSE))-(IF('Informe Kelly'!H2395=$A$2,'Informe Kelly'!F2395,VLOOKUP(D2401,$D$2:$E$4,2,FALSE)))</f>
        <v>#N/A</v>
      </c>
      <c r="F2401" s="142" t="e">
        <f>IF('Informe Kelly'!H2395=$A$3,'Informe Kelly'!F2395,VLOOKUP(D2401,$D$2:$F$4,3,FALSE))-(VLOOKUP(D2401,$D$2:$F$4,3,FALSE))</f>
        <v>#N/A</v>
      </c>
      <c r="G2401" s="137" t="e">
        <f t="shared" si="41"/>
        <v>#N/A</v>
      </c>
    </row>
    <row r="2402" spans="1:7">
      <c r="A2402" s="112" t="e">
        <f>VLOOKUP('Informe Kelly'!A2396,Base!A:B,2,FALSE)</f>
        <v>#N/A</v>
      </c>
      <c r="B2402" s="112" t="e">
        <f>VLOOKUP('Informe Kelly'!A2396,Base!A:G,7,FALSE)</f>
        <v>#N/A</v>
      </c>
      <c r="C2402" s="112">
        <f>'Informe Kelly'!E2396</f>
        <v>0</v>
      </c>
      <c r="D2402" s="112" t="e">
        <f>VLOOKUP(A2402,Ingreso!K:P,6,FALSE)</f>
        <v>#N/A</v>
      </c>
      <c r="E2402" s="142" t="e">
        <f>(VLOOKUP(D2402,$D$2:$E$4,2,FALSE))-(IF('Informe Kelly'!H2396=$A$2,'Informe Kelly'!F2396,VLOOKUP(D2402,$D$2:$E$4,2,FALSE)))</f>
        <v>#N/A</v>
      </c>
      <c r="F2402" s="142" t="e">
        <f>IF('Informe Kelly'!H2396=$A$3,'Informe Kelly'!F2396,VLOOKUP(D2402,$D$2:$F$4,3,FALSE))-(VLOOKUP(D2402,$D$2:$F$4,3,FALSE))</f>
        <v>#N/A</v>
      </c>
      <c r="G2402" s="137" t="e">
        <f t="shared" si="41"/>
        <v>#N/A</v>
      </c>
    </row>
    <row r="2403" spans="1:7">
      <c r="A2403" s="112" t="e">
        <f>VLOOKUP('Informe Kelly'!A2397,Base!A:B,2,FALSE)</f>
        <v>#N/A</v>
      </c>
      <c r="B2403" s="112" t="e">
        <f>VLOOKUP('Informe Kelly'!A2397,Base!A:G,7,FALSE)</f>
        <v>#N/A</v>
      </c>
      <c r="C2403" s="112">
        <f>'Informe Kelly'!E2397</f>
        <v>0</v>
      </c>
      <c r="D2403" s="112" t="e">
        <f>VLOOKUP(A2403,Ingreso!K:P,6,FALSE)</f>
        <v>#N/A</v>
      </c>
      <c r="E2403" s="142" t="e">
        <f>(VLOOKUP(D2403,$D$2:$E$4,2,FALSE))-(IF('Informe Kelly'!H2397=$A$2,'Informe Kelly'!F2397,VLOOKUP(D2403,$D$2:$E$4,2,FALSE)))</f>
        <v>#N/A</v>
      </c>
      <c r="F2403" s="142" t="e">
        <f>IF('Informe Kelly'!H2397=$A$3,'Informe Kelly'!F2397,VLOOKUP(D2403,$D$2:$F$4,3,FALSE))-(VLOOKUP(D2403,$D$2:$F$4,3,FALSE))</f>
        <v>#N/A</v>
      </c>
      <c r="G2403" s="137" t="e">
        <f t="shared" si="41"/>
        <v>#N/A</v>
      </c>
    </row>
    <row r="2404" spans="1:7">
      <c r="A2404" s="112" t="e">
        <f>VLOOKUP('Informe Kelly'!A2398,Base!A:B,2,FALSE)</f>
        <v>#N/A</v>
      </c>
      <c r="B2404" s="112" t="e">
        <f>VLOOKUP('Informe Kelly'!A2398,Base!A:G,7,FALSE)</f>
        <v>#N/A</v>
      </c>
      <c r="C2404" s="112">
        <f>'Informe Kelly'!E2398</f>
        <v>0</v>
      </c>
      <c r="D2404" s="112" t="e">
        <f>VLOOKUP(A2404,Ingreso!K:P,6,FALSE)</f>
        <v>#N/A</v>
      </c>
      <c r="E2404" s="142" t="e">
        <f>(VLOOKUP(D2404,$D$2:$E$4,2,FALSE))-(IF('Informe Kelly'!H2398=$A$2,'Informe Kelly'!F2398,VLOOKUP(D2404,$D$2:$E$4,2,FALSE)))</f>
        <v>#N/A</v>
      </c>
      <c r="F2404" s="142" t="e">
        <f>IF('Informe Kelly'!H2398=$A$3,'Informe Kelly'!F2398,VLOOKUP(D2404,$D$2:$F$4,3,FALSE))-(VLOOKUP(D2404,$D$2:$F$4,3,FALSE))</f>
        <v>#N/A</v>
      </c>
      <c r="G2404" s="137" t="e">
        <f t="shared" si="41"/>
        <v>#N/A</v>
      </c>
    </row>
    <row r="2405" spans="1:7">
      <c r="A2405" s="112" t="e">
        <f>VLOOKUP('Informe Kelly'!A2399,Base!A:B,2,FALSE)</f>
        <v>#N/A</v>
      </c>
      <c r="B2405" s="112" t="e">
        <f>VLOOKUP('Informe Kelly'!A2399,Base!A:G,7,FALSE)</f>
        <v>#N/A</v>
      </c>
      <c r="C2405" s="112">
        <f>'Informe Kelly'!E2399</f>
        <v>0</v>
      </c>
      <c r="D2405" s="112" t="e">
        <f>VLOOKUP(A2405,Ingreso!K:P,6,FALSE)</f>
        <v>#N/A</v>
      </c>
      <c r="E2405" s="142" t="e">
        <f>(VLOOKUP(D2405,$D$2:$E$4,2,FALSE))-(IF('Informe Kelly'!H2399=$A$2,'Informe Kelly'!F2399,VLOOKUP(D2405,$D$2:$E$4,2,FALSE)))</f>
        <v>#N/A</v>
      </c>
      <c r="F2405" s="142" t="e">
        <f>IF('Informe Kelly'!H2399=$A$3,'Informe Kelly'!F2399,VLOOKUP(D2405,$D$2:$F$4,3,FALSE))-(VLOOKUP(D2405,$D$2:$F$4,3,FALSE))</f>
        <v>#N/A</v>
      </c>
      <c r="G2405" s="137" t="e">
        <f t="shared" si="41"/>
        <v>#N/A</v>
      </c>
    </row>
    <row r="2406" spans="1:7">
      <c r="A2406" s="112" t="e">
        <f>VLOOKUP('Informe Kelly'!A2400,Base!A:B,2,FALSE)</f>
        <v>#N/A</v>
      </c>
      <c r="B2406" s="112" t="e">
        <f>VLOOKUP('Informe Kelly'!A2400,Base!A:G,7,FALSE)</f>
        <v>#N/A</v>
      </c>
      <c r="C2406" s="112">
        <f>'Informe Kelly'!E2400</f>
        <v>0</v>
      </c>
      <c r="D2406" s="112" t="e">
        <f>VLOOKUP(A2406,Ingreso!K:P,6,FALSE)</f>
        <v>#N/A</v>
      </c>
      <c r="E2406" s="142" t="e">
        <f>(VLOOKUP(D2406,$D$2:$E$4,2,FALSE))-(IF('Informe Kelly'!H2400=$A$2,'Informe Kelly'!F2400,VLOOKUP(D2406,$D$2:$E$4,2,FALSE)))</f>
        <v>#N/A</v>
      </c>
      <c r="F2406" s="142" t="e">
        <f>IF('Informe Kelly'!H2400=$A$3,'Informe Kelly'!F2400,VLOOKUP(D2406,$D$2:$F$4,3,FALSE))-(VLOOKUP(D2406,$D$2:$F$4,3,FALSE))</f>
        <v>#N/A</v>
      </c>
      <c r="G2406" s="137" t="e">
        <f t="shared" si="41"/>
        <v>#N/A</v>
      </c>
    </row>
    <row r="2407" spans="1:7">
      <c r="A2407" s="112" t="e">
        <f>VLOOKUP('Informe Kelly'!A2401,Base!A:B,2,FALSE)</f>
        <v>#N/A</v>
      </c>
      <c r="B2407" s="112" t="e">
        <f>VLOOKUP('Informe Kelly'!A2401,Base!A:G,7,FALSE)</f>
        <v>#N/A</v>
      </c>
      <c r="C2407" s="112">
        <f>'Informe Kelly'!E2401</f>
        <v>0</v>
      </c>
      <c r="D2407" s="112" t="e">
        <f>VLOOKUP(A2407,Ingreso!K:P,6,FALSE)</f>
        <v>#N/A</v>
      </c>
      <c r="E2407" s="142" t="e">
        <f>(VLOOKUP(D2407,$D$2:$E$4,2,FALSE))-(IF('Informe Kelly'!H2401=$A$2,'Informe Kelly'!F2401,VLOOKUP(D2407,$D$2:$E$4,2,FALSE)))</f>
        <v>#N/A</v>
      </c>
      <c r="F2407" s="142" t="e">
        <f>IF('Informe Kelly'!H2401=$A$3,'Informe Kelly'!F2401,VLOOKUP(D2407,$D$2:$F$4,3,FALSE))-(VLOOKUP(D2407,$D$2:$F$4,3,FALSE))</f>
        <v>#N/A</v>
      </c>
      <c r="G2407" s="137" t="e">
        <f t="shared" si="41"/>
        <v>#N/A</v>
      </c>
    </row>
    <row r="2408" spans="1:7">
      <c r="A2408" s="112" t="e">
        <f>VLOOKUP('Informe Kelly'!A2402,Base!A:B,2,FALSE)</f>
        <v>#N/A</v>
      </c>
      <c r="B2408" s="112" t="e">
        <f>VLOOKUP('Informe Kelly'!A2402,Base!A:G,7,FALSE)</f>
        <v>#N/A</v>
      </c>
      <c r="C2408" s="112">
        <f>'Informe Kelly'!E2402</f>
        <v>0</v>
      </c>
      <c r="D2408" s="112" t="e">
        <f>VLOOKUP(A2408,Ingreso!K:P,6,FALSE)</f>
        <v>#N/A</v>
      </c>
      <c r="E2408" s="142" t="e">
        <f>(VLOOKUP(D2408,$D$2:$E$4,2,FALSE))-(IF('Informe Kelly'!H2402=$A$2,'Informe Kelly'!F2402,VLOOKUP(D2408,$D$2:$E$4,2,FALSE)))</f>
        <v>#N/A</v>
      </c>
      <c r="F2408" s="142" t="e">
        <f>IF('Informe Kelly'!H2402=$A$3,'Informe Kelly'!F2402,VLOOKUP(D2408,$D$2:$F$4,3,FALSE))-(VLOOKUP(D2408,$D$2:$F$4,3,FALSE))</f>
        <v>#N/A</v>
      </c>
      <c r="G2408" s="137" t="e">
        <f t="shared" si="41"/>
        <v>#N/A</v>
      </c>
    </row>
    <row r="2409" spans="1:7">
      <c r="A2409" s="112" t="e">
        <f>VLOOKUP('Informe Kelly'!A2403,Base!A:B,2,FALSE)</f>
        <v>#N/A</v>
      </c>
      <c r="B2409" s="112" t="e">
        <f>VLOOKUP('Informe Kelly'!A2403,Base!A:G,7,FALSE)</f>
        <v>#N/A</v>
      </c>
      <c r="C2409" s="112">
        <f>'Informe Kelly'!E2403</f>
        <v>0</v>
      </c>
      <c r="D2409" s="112" t="e">
        <f>VLOOKUP(A2409,Ingreso!K:P,6,FALSE)</f>
        <v>#N/A</v>
      </c>
      <c r="E2409" s="142" t="e">
        <f>(VLOOKUP(D2409,$D$2:$E$4,2,FALSE))-(IF('Informe Kelly'!H2403=$A$2,'Informe Kelly'!F2403,VLOOKUP(D2409,$D$2:$E$4,2,FALSE)))</f>
        <v>#N/A</v>
      </c>
      <c r="F2409" s="142" t="e">
        <f>IF('Informe Kelly'!H2403=$A$3,'Informe Kelly'!F2403,VLOOKUP(D2409,$D$2:$F$4,3,FALSE))-(VLOOKUP(D2409,$D$2:$F$4,3,FALSE))</f>
        <v>#N/A</v>
      </c>
      <c r="G2409" s="137" t="e">
        <f t="shared" si="41"/>
        <v>#N/A</v>
      </c>
    </row>
    <row r="2410" spans="1:7">
      <c r="A2410" s="112" t="e">
        <f>VLOOKUP('Informe Kelly'!A2404,Base!A:B,2,FALSE)</f>
        <v>#N/A</v>
      </c>
      <c r="B2410" s="112" t="e">
        <f>VLOOKUP('Informe Kelly'!A2404,Base!A:G,7,FALSE)</f>
        <v>#N/A</v>
      </c>
      <c r="C2410" s="112">
        <f>'Informe Kelly'!E2404</f>
        <v>0</v>
      </c>
      <c r="D2410" s="112" t="e">
        <f>VLOOKUP(A2410,Ingreso!K:P,6,FALSE)</f>
        <v>#N/A</v>
      </c>
      <c r="E2410" s="142" t="e">
        <f>(VLOOKUP(D2410,$D$2:$E$4,2,FALSE))-(IF('Informe Kelly'!H2404=$A$2,'Informe Kelly'!F2404,VLOOKUP(D2410,$D$2:$E$4,2,FALSE)))</f>
        <v>#N/A</v>
      </c>
      <c r="F2410" s="142" t="e">
        <f>IF('Informe Kelly'!H2404=$A$3,'Informe Kelly'!F2404,VLOOKUP(D2410,$D$2:$F$4,3,FALSE))-(VLOOKUP(D2410,$D$2:$F$4,3,FALSE))</f>
        <v>#N/A</v>
      </c>
      <c r="G2410" s="137" t="e">
        <f t="shared" si="41"/>
        <v>#N/A</v>
      </c>
    </row>
    <row r="2411" spans="1:7">
      <c r="A2411" s="112" t="e">
        <f>VLOOKUP('Informe Kelly'!A2405,Base!A:B,2,FALSE)</f>
        <v>#N/A</v>
      </c>
      <c r="B2411" s="112" t="e">
        <f>VLOOKUP('Informe Kelly'!A2405,Base!A:G,7,FALSE)</f>
        <v>#N/A</v>
      </c>
      <c r="C2411" s="112">
        <f>'Informe Kelly'!E2405</f>
        <v>0</v>
      </c>
      <c r="D2411" s="112" t="e">
        <f>VLOOKUP(A2411,Ingreso!K:P,6,FALSE)</f>
        <v>#N/A</v>
      </c>
      <c r="E2411" s="142" t="e">
        <f>(VLOOKUP(D2411,$D$2:$E$4,2,FALSE))-(IF('Informe Kelly'!H2405=$A$2,'Informe Kelly'!F2405,VLOOKUP(D2411,$D$2:$E$4,2,FALSE)))</f>
        <v>#N/A</v>
      </c>
      <c r="F2411" s="142" t="e">
        <f>IF('Informe Kelly'!H2405=$A$3,'Informe Kelly'!F2405,VLOOKUP(D2411,$D$2:$F$4,3,FALSE))-(VLOOKUP(D2411,$D$2:$F$4,3,FALSE))</f>
        <v>#N/A</v>
      </c>
      <c r="G2411" s="137" t="e">
        <f t="shared" si="41"/>
        <v>#N/A</v>
      </c>
    </row>
    <row r="2412" spans="1:7">
      <c r="A2412" s="112" t="e">
        <f>VLOOKUP('Informe Kelly'!A2406,Base!A:B,2,FALSE)</f>
        <v>#N/A</v>
      </c>
      <c r="B2412" s="112" t="e">
        <f>VLOOKUP('Informe Kelly'!A2406,Base!A:G,7,FALSE)</f>
        <v>#N/A</v>
      </c>
      <c r="C2412" s="112">
        <f>'Informe Kelly'!E2406</f>
        <v>0</v>
      </c>
      <c r="D2412" s="112" t="e">
        <f>VLOOKUP(A2412,Ingreso!K:P,6,FALSE)</f>
        <v>#N/A</v>
      </c>
      <c r="E2412" s="142" t="e">
        <f>(VLOOKUP(D2412,$D$2:$E$4,2,FALSE))-(IF('Informe Kelly'!H2406=$A$2,'Informe Kelly'!F2406,VLOOKUP(D2412,$D$2:$E$4,2,FALSE)))</f>
        <v>#N/A</v>
      </c>
      <c r="F2412" s="142" t="e">
        <f>IF('Informe Kelly'!H2406=$A$3,'Informe Kelly'!F2406,VLOOKUP(D2412,$D$2:$F$4,3,FALSE))-(VLOOKUP(D2412,$D$2:$F$4,3,FALSE))</f>
        <v>#N/A</v>
      </c>
      <c r="G2412" s="137" t="e">
        <f t="shared" si="41"/>
        <v>#N/A</v>
      </c>
    </row>
    <row r="2413" spans="1:7">
      <c r="A2413" s="112" t="e">
        <f>VLOOKUP('Informe Kelly'!A2407,Base!A:B,2,FALSE)</f>
        <v>#N/A</v>
      </c>
      <c r="B2413" s="112" t="e">
        <f>VLOOKUP('Informe Kelly'!A2407,Base!A:G,7,FALSE)</f>
        <v>#N/A</v>
      </c>
      <c r="C2413" s="112">
        <f>'Informe Kelly'!E2407</f>
        <v>0</v>
      </c>
      <c r="D2413" s="112" t="e">
        <f>VLOOKUP(A2413,Ingreso!K:P,6,FALSE)</f>
        <v>#N/A</v>
      </c>
      <c r="E2413" s="142" t="e">
        <f>(VLOOKUP(D2413,$D$2:$E$4,2,FALSE))-(IF('Informe Kelly'!H2407=$A$2,'Informe Kelly'!F2407,VLOOKUP(D2413,$D$2:$E$4,2,FALSE)))</f>
        <v>#N/A</v>
      </c>
      <c r="F2413" s="142" t="e">
        <f>IF('Informe Kelly'!H2407=$A$3,'Informe Kelly'!F2407,VLOOKUP(D2413,$D$2:$F$4,3,FALSE))-(VLOOKUP(D2413,$D$2:$F$4,3,FALSE))</f>
        <v>#N/A</v>
      </c>
      <c r="G2413" s="137" t="e">
        <f t="shared" si="41"/>
        <v>#N/A</v>
      </c>
    </row>
    <row r="2414" spans="1:7">
      <c r="A2414" s="112" t="e">
        <f>VLOOKUP('Informe Kelly'!A2408,Base!A:B,2,FALSE)</f>
        <v>#N/A</v>
      </c>
      <c r="B2414" s="112" t="e">
        <f>VLOOKUP('Informe Kelly'!A2408,Base!A:G,7,FALSE)</f>
        <v>#N/A</v>
      </c>
      <c r="C2414" s="112">
        <f>'Informe Kelly'!E2408</f>
        <v>0</v>
      </c>
      <c r="D2414" s="112" t="e">
        <f>VLOOKUP(A2414,Ingreso!K:P,6,FALSE)</f>
        <v>#N/A</v>
      </c>
      <c r="E2414" s="142" t="e">
        <f>(VLOOKUP(D2414,$D$2:$E$4,2,FALSE))-(IF('Informe Kelly'!H2408=$A$2,'Informe Kelly'!F2408,VLOOKUP(D2414,$D$2:$E$4,2,FALSE)))</f>
        <v>#N/A</v>
      </c>
      <c r="F2414" s="142" t="e">
        <f>IF('Informe Kelly'!H2408=$A$3,'Informe Kelly'!F2408,VLOOKUP(D2414,$D$2:$F$4,3,FALSE))-(VLOOKUP(D2414,$D$2:$F$4,3,FALSE))</f>
        <v>#N/A</v>
      </c>
      <c r="G2414" s="137" t="e">
        <f t="shared" si="41"/>
        <v>#N/A</v>
      </c>
    </row>
    <row r="2415" spans="1:7">
      <c r="A2415" s="112" t="e">
        <f>VLOOKUP('Informe Kelly'!A2409,Base!A:B,2,FALSE)</f>
        <v>#N/A</v>
      </c>
      <c r="B2415" s="112" t="e">
        <f>VLOOKUP('Informe Kelly'!A2409,Base!A:G,7,FALSE)</f>
        <v>#N/A</v>
      </c>
      <c r="C2415" s="112">
        <f>'Informe Kelly'!E2409</f>
        <v>0</v>
      </c>
      <c r="D2415" s="112" t="e">
        <f>VLOOKUP(A2415,Ingreso!K:P,6,FALSE)</f>
        <v>#N/A</v>
      </c>
      <c r="E2415" s="142" t="e">
        <f>(VLOOKUP(D2415,$D$2:$E$4,2,FALSE))-(IF('Informe Kelly'!H2409=$A$2,'Informe Kelly'!F2409,VLOOKUP(D2415,$D$2:$E$4,2,FALSE)))</f>
        <v>#N/A</v>
      </c>
      <c r="F2415" s="142" t="e">
        <f>IF('Informe Kelly'!H2409=$A$3,'Informe Kelly'!F2409,VLOOKUP(D2415,$D$2:$F$4,3,FALSE))-(VLOOKUP(D2415,$D$2:$F$4,3,FALSE))</f>
        <v>#N/A</v>
      </c>
      <c r="G2415" s="137" t="e">
        <f t="shared" si="41"/>
        <v>#N/A</v>
      </c>
    </row>
    <row r="2416" spans="1:7">
      <c r="A2416" s="112" t="e">
        <f>VLOOKUP('Informe Kelly'!A2410,Base!A:B,2,FALSE)</f>
        <v>#N/A</v>
      </c>
      <c r="B2416" s="112" t="e">
        <f>VLOOKUP('Informe Kelly'!A2410,Base!A:G,7,FALSE)</f>
        <v>#N/A</v>
      </c>
      <c r="C2416" s="112">
        <f>'Informe Kelly'!E2410</f>
        <v>0</v>
      </c>
      <c r="D2416" s="112" t="e">
        <f>VLOOKUP(A2416,Ingreso!K:P,6,FALSE)</f>
        <v>#N/A</v>
      </c>
      <c r="E2416" s="142" t="e">
        <f>(VLOOKUP(D2416,$D$2:$E$4,2,FALSE))-(IF('Informe Kelly'!H2410=$A$2,'Informe Kelly'!F2410,VLOOKUP(D2416,$D$2:$E$4,2,FALSE)))</f>
        <v>#N/A</v>
      </c>
      <c r="F2416" s="142" t="e">
        <f>IF('Informe Kelly'!H2410=$A$3,'Informe Kelly'!F2410,VLOOKUP(D2416,$D$2:$F$4,3,FALSE))-(VLOOKUP(D2416,$D$2:$F$4,3,FALSE))</f>
        <v>#N/A</v>
      </c>
      <c r="G2416" s="137" t="e">
        <f t="shared" si="41"/>
        <v>#N/A</v>
      </c>
    </row>
    <row r="2417" spans="1:7">
      <c r="A2417" s="112" t="e">
        <f>VLOOKUP('Informe Kelly'!A2411,Base!A:B,2,FALSE)</f>
        <v>#N/A</v>
      </c>
      <c r="B2417" s="112" t="e">
        <f>VLOOKUP('Informe Kelly'!A2411,Base!A:G,7,FALSE)</f>
        <v>#N/A</v>
      </c>
      <c r="C2417" s="112">
        <f>'Informe Kelly'!E2411</f>
        <v>0</v>
      </c>
      <c r="D2417" s="112" t="e">
        <f>VLOOKUP(A2417,Ingreso!K:P,6,FALSE)</f>
        <v>#N/A</v>
      </c>
      <c r="E2417" s="142" t="e">
        <f>(VLOOKUP(D2417,$D$2:$E$4,2,FALSE))-(IF('Informe Kelly'!H2411=$A$2,'Informe Kelly'!F2411,VLOOKUP(D2417,$D$2:$E$4,2,FALSE)))</f>
        <v>#N/A</v>
      </c>
      <c r="F2417" s="142" t="e">
        <f>IF('Informe Kelly'!H2411=$A$3,'Informe Kelly'!F2411,VLOOKUP(D2417,$D$2:$F$4,3,FALSE))-(VLOOKUP(D2417,$D$2:$F$4,3,FALSE))</f>
        <v>#N/A</v>
      </c>
      <c r="G2417" s="137" t="e">
        <f t="shared" si="41"/>
        <v>#N/A</v>
      </c>
    </row>
    <row r="2418" spans="1:7">
      <c r="A2418" s="112" t="e">
        <f>VLOOKUP('Informe Kelly'!A2412,Base!A:B,2,FALSE)</f>
        <v>#N/A</v>
      </c>
      <c r="B2418" s="112" t="e">
        <f>VLOOKUP('Informe Kelly'!A2412,Base!A:G,7,FALSE)</f>
        <v>#N/A</v>
      </c>
      <c r="C2418" s="112">
        <f>'Informe Kelly'!E2412</f>
        <v>0</v>
      </c>
      <c r="D2418" s="112" t="e">
        <f>VLOOKUP(A2418,Ingreso!K:P,6,FALSE)</f>
        <v>#N/A</v>
      </c>
      <c r="E2418" s="142" t="e">
        <f>(VLOOKUP(D2418,$D$2:$E$4,2,FALSE))-(IF('Informe Kelly'!H2412=$A$2,'Informe Kelly'!F2412,VLOOKUP(D2418,$D$2:$E$4,2,FALSE)))</f>
        <v>#N/A</v>
      </c>
      <c r="F2418" s="142" t="e">
        <f>IF('Informe Kelly'!H2412=$A$3,'Informe Kelly'!F2412,VLOOKUP(D2418,$D$2:$F$4,3,FALSE))-(VLOOKUP(D2418,$D$2:$F$4,3,FALSE))</f>
        <v>#N/A</v>
      </c>
      <c r="G2418" s="137" t="e">
        <f t="shared" si="41"/>
        <v>#N/A</v>
      </c>
    </row>
    <row r="2419" spans="1:7">
      <c r="A2419" s="112" t="e">
        <f>VLOOKUP('Informe Kelly'!A2413,Base!A:B,2,FALSE)</f>
        <v>#N/A</v>
      </c>
      <c r="B2419" s="112" t="e">
        <f>VLOOKUP('Informe Kelly'!A2413,Base!A:G,7,FALSE)</f>
        <v>#N/A</v>
      </c>
      <c r="C2419" s="112">
        <f>'Informe Kelly'!E2413</f>
        <v>0</v>
      </c>
      <c r="D2419" s="112" t="e">
        <f>VLOOKUP(A2419,Ingreso!K:P,6,FALSE)</f>
        <v>#N/A</v>
      </c>
      <c r="E2419" s="142" t="e">
        <f>(VLOOKUP(D2419,$D$2:$E$4,2,FALSE))-(IF('Informe Kelly'!H2413=$A$2,'Informe Kelly'!F2413,VLOOKUP(D2419,$D$2:$E$4,2,FALSE)))</f>
        <v>#N/A</v>
      </c>
      <c r="F2419" s="142" t="e">
        <f>IF('Informe Kelly'!H2413=$A$3,'Informe Kelly'!F2413,VLOOKUP(D2419,$D$2:$F$4,3,FALSE))-(VLOOKUP(D2419,$D$2:$F$4,3,FALSE))</f>
        <v>#N/A</v>
      </c>
      <c r="G2419" s="137" t="e">
        <f t="shared" si="41"/>
        <v>#N/A</v>
      </c>
    </row>
    <row r="2420" spans="1:7">
      <c r="A2420" s="112" t="e">
        <f>VLOOKUP('Informe Kelly'!A2414,Base!A:B,2,FALSE)</f>
        <v>#N/A</v>
      </c>
      <c r="B2420" s="112" t="e">
        <f>VLOOKUP('Informe Kelly'!A2414,Base!A:G,7,FALSE)</f>
        <v>#N/A</v>
      </c>
      <c r="C2420" s="112">
        <f>'Informe Kelly'!E2414</f>
        <v>0</v>
      </c>
      <c r="D2420" s="112" t="e">
        <f>VLOOKUP(A2420,Ingreso!K:P,6,FALSE)</f>
        <v>#N/A</v>
      </c>
      <c r="E2420" s="142" t="e">
        <f>(VLOOKUP(D2420,$D$2:$E$4,2,FALSE))-(IF('Informe Kelly'!H2414=$A$2,'Informe Kelly'!F2414,VLOOKUP(D2420,$D$2:$E$4,2,FALSE)))</f>
        <v>#N/A</v>
      </c>
      <c r="F2420" s="142" t="e">
        <f>IF('Informe Kelly'!H2414=$A$3,'Informe Kelly'!F2414,VLOOKUP(D2420,$D$2:$F$4,3,FALSE))-(VLOOKUP(D2420,$D$2:$F$4,3,FALSE))</f>
        <v>#N/A</v>
      </c>
      <c r="G2420" s="137" t="e">
        <f t="shared" si="41"/>
        <v>#N/A</v>
      </c>
    </row>
    <row r="2421" spans="1:7">
      <c r="A2421" s="112" t="e">
        <f>VLOOKUP('Informe Kelly'!A2415,Base!A:B,2,FALSE)</f>
        <v>#N/A</v>
      </c>
      <c r="B2421" s="112" t="e">
        <f>VLOOKUP('Informe Kelly'!A2415,Base!A:G,7,FALSE)</f>
        <v>#N/A</v>
      </c>
      <c r="C2421" s="112">
        <f>'Informe Kelly'!E2415</f>
        <v>0</v>
      </c>
      <c r="D2421" s="112" t="e">
        <f>VLOOKUP(A2421,Ingreso!K:P,6,FALSE)</f>
        <v>#N/A</v>
      </c>
      <c r="E2421" s="142" t="e">
        <f>(VLOOKUP(D2421,$D$2:$E$4,2,FALSE))-(IF('Informe Kelly'!H2415=$A$2,'Informe Kelly'!F2415,VLOOKUP(D2421,$D$2:$E$4,2,FALSE)))</f>
        <v>#N/A</v>
      </c>
      <c r="F2421" s="142" t="e">
        <f>IF('Informe Kelly'!H2415=$A$3,'Informe Kelly'!F2415,VLOOKUP(D2421,$D$2:$F$4,3,FALSE))-(VLOOKUP(D2421,$D$2:$F$4,3,FALSE))</f>
        <v>#N/A</v>
      </c>
      <c r="G2421" s="137" t="e">
        <f t="shared" si="41"/>
        <v>#N/A</v>
      </c>
    </row>
    <row r="2422" spans="1:7">
      <c r="A2422" s="112" t="e">
        <f>VLOOKUP('Informe Kelly'!A2416,Base!A:B,2,FALSE)</f>
        <v>#N/A</v>
      </c>
      <c r="B2422" s="112" t="e">
        <f>VLOOKUP('Informe Kelly'!A2416,Base!A:G,7,FALSE)</f>
        <v>#N/A</v>
      </c>
      <c r="C2422" s="112">
        <f>'Informe Kelly'!E2416</f>
        <v>0</v>
      </c>
      <c r="D2422" s="112" t="e">
        <f>VLOOKUP(A2422,Ingreso!K:P,6,FALSE)</f>
        <v>#N/A</v>
      </c>
      <c r="E2422" s="142" t="e">
        <f>(VLOOKUP(D2422,$D$2:$E$4,2,FALSE))-(IF('Informe Kelly'!H2416=$A$2,'Informe Kelly'!F2416,VLOOKUP(D2422,$D$2:$E$4,2,FALSE)))</f>
        <v>#N/A</v>
      </c>
      <c r="F2422" s="142" t="e">
        <f>IF('Informe Kelly'!H2416=$A$3,'Informe Kelly'!F2416,VLOOKUP(D2422,$D$2:$F$4,3,FALSE))-(VLOOKUP(D2422,$D$2:$F$4,3,FALSE))</f>
        <v>#N/A</v>
      </c>
      <c r="G2422" s="137" t="e">
        <f t="shared" si="41"/>
        <v>#N/A</v>
      </c>
    </row>
    <row r="2423" spans="1:7">
      <c r="A2423" s="112" t="e">
        <f>VLOOKUP('Informe Kelly'!A2417,Base!A:B,2,FALSE)</f>
        <v>#N/A</v>
      </c>
      <c r="B2423" s="112" t="e">
        <f>VLOOKUP('Informe Kelly'!A2417,Base!A:G,7,FALSE)</f>
        <v>#N/A</v>
      </c>
      <c r="C2423" s="112">
        <f>'Informe Kelly'!E2417</f>
        <v>0</v>
      </c>
      <c r="D2423" s="112" t="e">
        <f>VLOOKUP(A2423,Ingreso!K:P,6,FALSE)</f>
        <v>#N/A</v>
      </c>
      <c r="E2423" s="142" t="e">
        <f>(VLOOKUP(D2423,$D$2:$E$4,2,FALSE))-(IF('Informe Kelly'!H2417=$A$2,'Informe Kelly'!F2417,VLOOKUP(D2423,$D$2:$E$4,2,FALSE)))</f>
        <v>#N/A</v>
      </c>
      <c r="F2423" s="142" t="e">
        <f>IF('Informe Kelly'!H2417=$A$3,'Informe Kelly'!F2417,VLOOKUP(D2423,$D$2:$F$4,3,FALSE))-(VLOOKUP(D2423,$D$2:$F$4,3,FALSE))</f>
        <v>#N/A</v>
      </c>
      <c r="G2423" s="137" t="e">
        <f t="shared" si="41"/>
        <v>#N/A</v>
      </c>
    </row>
    <row r="2424" spans="1:7">
      <c r="A2424" s="112" t="e">
        <f>VLOOKUP('Informe Kelly'!A2418,Base!A:B,2,FALSE)</f>
        <v>#N/A</v>
      </c>
      <c r="B2424" s="112" t="e">
        <f>VLOOKUP('Informe Kelly'!A2418,Base!A:G,7,FALSE)</f>
        <v>#N/A</v>
      </c>
      <c r="C2424" s="112">
        <f>'Informe Kelly'!E2418</f>
        <v>0</v>
      </c>
      <c r="D2424" s="112" t="e">
        <f>VLOOKUP(A2424,Ingreso!K:P,6,FALSE)</f>
        <v>#N/A</v>
      </c>
      <c r="E2424" s="142" t="e">
        <f>(VLOOKUP(D2424,$D$2:$E$4,2,FALSE))-(IF('Informe Kelly'!H2418=$A$2,'Informe Kelly'!F2418,VLOOKUP(D2424,$D$2:$E$4,2,FALSE)))</f>
        <v>#N/A</v>
      </c>
      <c r="F2424" s="142" t="e">
        <f>IF('Informe Kelly'!H2418=$A$3,'Informe Kelly'!F2418,VLOOKUP(D2424,$D$2:$F$4,3,FALSE))-(VLOOKUP(D2424,$D$2:$F$4,3,FALSE))</f>
        <v>#N/A</v>
      </c>
      <c r="G2424" s="137" t="e">
        <f t="shared" si="41"/>
        <v>#N/A</v>
      </c>
    </row>
    <row r="2425" spans="1:7">
      <c r="A2425" s="112" t="e">
        <f>VLOOKUP('Informe Kelly'!A2419,Base!A:B,2,FALSE)</f>
        <v>#N/A</v>
      </c>
      <c r="B2425" s="112" t="e">
        <f>VLOOKUP('Informe Kelly'!A2419,Base!A:G,7,FALSE)</f>
        <v>#N/A</v>
      </c>
      <c r="C2425" s="112">
        <f>'Informe Kelly'!E2419</f>
        <v>0</v>
      </c>
      <c r="D2425" s="112" t="e">
        <f>VLOOKUP(A2425,Ingreso!K:P,6,FALSE)</f>
        <v>#N/A</v>
      </c>
      <c r="E2425" s="142" t="e">
        <f>(VLOOKUP(D2425,$D$2:$E$4,2,FALSE))-(IF('Informe Kelly'!H2419=$A$2,'Informe Kelly'!F2419,VLOOKUP(D2425,$D$2:$E$4,2,FALSE)))</f>
        <v>#N/A</v>
      </c>
      <c r="F2425" s="142" t="e">
        <f>IF('Informe Kelly'!H2419=$A$3,'Informe Kelly'!F2419,VLOOKUP(D2425,$D$2:$F$4,3,FALSE))-(VLOOKUP(D2425,$D$2:$F$4,3,FALSE))</f>
        <v>#N/A</v>
      </c>
      <c r="G2425" s="137" t="e">
        <f t="shared" si="41"/>
        <v>#N/A</v>
      </c>
    </row>
    <row r="2426" spans="1:7">
      <c r="A2426" s="112" t="e">
        <f>VLOOKUP('Informe Kelly'!A2420,Base!A:B,2,FALSE)</f>
        <v>#N/A</v>
      </c>
      <c r="B2426" s="112" t="e">
        <f>VLOOKUP('Informe Kelly'!A2420,Base!A:G,7,FALSE)</f>
        <v>#N/A</v>
      </c>
      <c r="C2426" s="112">
        <f>'Informe Kelly'!E2420</f>
        <v>0</v>
      </c>
      <c r="D2426" s="112" t="e">
        <f>VLOOKUP(A2426,Ingreso!K:P,6,FALSE)</f>
        <v>#N/A</v>
      </c>
      <c r="E2426" s="142" t="e">
        <f>(VLOOKUP(D2426,$D$2:$E$4,2,FALSE))-(IF('Informe Kelly'!H2420=$A$2,'Informe Kelly'!F2420,VLOOKUP(D2426,$D$2:$E$4,2,FALSE)))</f>
        <v>#N/A</v>
      </c>
      <c r="F2426" s="142" t="e">
        <f>IF('Informe Kelly'!H2420=$A$3,'Informe Kelly'!F2420,VLOOKUP(D2426,$D$2:$F$4,3,FALSE))-(VLOOKUP(D2426,$D$2:$F$4,3,FALSE))</f>
        <v>#N/A</v>
      </c>
      <c r="G2426" s="137" t="e">
        <f t="shared" si="41"/>
        <v>#N/A</v>
      </c>
    </row>
    <row r="2427" spans="1:7">
      <c r="A2427" s="112" t="e">
        <f>VLOOKUP('Informe Kelly'!A2421,Base!A:B,2,FALSE)</f>
        <v>#N/A</v>
      </c>
      <c r="B2427" s="112" t="e">
        <f>VLOOKUP('Informe Kelly'!A2421,Base!A:G,7,FALSE)</f>
        <v>#N/A</v>
      </c>
      <c r="C2427" s="112">
        <f>'Informe Kelly'!E2421</f>
        <v>0</v>
      </c>
      <c r="D2427" s="112" t="e">
        <f>VLOOKUP(A2427,Ingreso!K:P,6,FALSE)</f>
        <v>#N/A</v>
      </c>
      <c r="E2427" s="142" t="e">
        <f>(VLOOKUP(D2427,$D$2:$E$4,2,FALSE))-(IF('Informe Kelly'!H2421=$A$2,'Informe Kelly'!F2421,VLOOKUP(D2427,$D$2:$E$4,2,FALSE)))</f>
        <v>#N/A</v>
      </c>
      <c r="F2427" s="142" t="e">
        <f>IF('Informe Kelly'!H2421=$A$3,'Informe Kelly'!F2421,VLOOKUP(D2427,$D$2:$F$4,3,FALSE))-(VLOOKUP(D2427,$D$2:$F$4,3,FALSE))</f>
        <v>#N/A</v>
      </c>
      <c r="G2427" s="137" t="e">
        <f t="shared" si="41"/>
        <v>#N/A</v>
      </c>
    </row>
    <row r="2428" spans="1:7">
      <c r="A2428" s="112" t="e">
        <f>VLOOKUP('Informe Kelly'!A2422,Base!A:B,2,FALSE)</f>
        <v>#N/A</v>
      </c>
      <c r="B2428" s="112" t="e">
        <f>VLOOKUP('Informe Kelly'!A2422,Base!A:G,7,FALSE)</f>
        <v>#N/A</v>
      </c>
      <c r="C2428" s="112">
        <f>'Informe Kelly'!E2422</f>
        <v>0</v>
      </c>
      <c r="D2428" s="112" t="e">
        <f>VLOOKUP(A2428,Ingreso!K:P,6,FALSE)</f>
        <v>#N/A</v>
      </c>
      <c r="E2428" s="142" t="e">
        <f>(VLOOKUP(D2428,$D$2:$E$4,2,FALSE))-(IF('Informe Kelly'!H2422=$A$2,'Informe Kelly'!F2422,VLOOKUP(D2428,$D$2:$E$4,2,FALSE)))</f>
        <v>#N/A</v>
      </c>
      <c r="F2428" s="142" t="e">
        <f>IF('Informe Kelly'!H2422=$A$3,'Informe Kelly'!F2422,VLOOKUP(D2428,$D$2:$F$4,3,FALSE))-(VLOOKUP(D2428,$D$2:$F$4,3,FALSE))</f>
        <v>#N/A</v>
      </c>
      <c r="G2428" s="137" t="e">
        <f t="shared" si="41"/>
        <v>#N/A</v>
      </c>
    </row>
    <row r="2429" spans="1:7">
      <c r="A2429" s="112" t="e">
        <f>VLOOKUP('Informe Kelly'!A2423,Base!A:B,2,FALSE)</f>
        <v>#N/A</v>
      </c>
      <c r="B2429" s="112" t="e">
        <f>VLOOKUP('Informe Kelly'!A2423,Base!A:G,7,FALSE)</f>
        <v>#N/A</v>
      </c>
      <c r="C2429" s="112">
        <f>'Informe Kelly'!E2423</f>
        <v>0</v>
      </c>
      <c r="D2429" s="112" t="e">
        <f>VLOOKUP(A2429,Ingreso!K:P,6,FALSE)</f>
        <v>#N/A</v>
      </c>
      <c r="E2429" s="142" t="e">
        <f>(VLOOKUP(D2429,$D$2:$E$4,2,FALSE))-(IF('Informe Kelly'!H2423=$A$2,'Informe Kelly'!F2423,VLOOKUP(D2429,$D$2:$E$4,2,FALSE)))</f>
        <v>#N/A</v>
      </c>
      <c r="F2429" s="142" t="e">
        <f>IF('Informe Kelly'!H2423=$A$3,'Informe Kelly'!F2423,VLOOKUP(D2429,$D$2:$F$4,3,FALSE))-(VLOOKUP(D2429,$D$2:$F$4,3,FALSE))</f>
        <v>#N/A</v>
      </c>
      <c r="G2429" s="137" t="e">
        <f t="shared" si="41"/>
        <v>#N/A</v>
      </c>
    </row>
    <row r="2430" spans="1:7">
      <c r="A2430" s="112" t="e">
        <f>VLOOKUP('Informe Kelly'!A2424,Base!A:B,2,FALSE)</f>
        <v>#N/A</v>
      </c>
      <c r="B2430" s="112" t="e">
        <f>VLOOKUP('Informe Kelly'!A2424,Base!A:G,7,FALSE)</f>
        <v>#N/A</v>
      </c>
      <c r="C2430" s="112">
        <f>'Informe Kelly'!E2424</f>
        <v>0</v>
      </c>
      <c r="D2430" s="112" t="e">
        <f>VLOOKUP(A2430,Ingreso!K:P,6,FALSE)</f>
        <v>#N/A</v>
      </c>
      <c r="E2430" s="142" t="e">
        <f>(VLOOKUP(D2430,$D$2:$E$4,2,FALSE))-(IF('Informe Kelly'!H2424=$A$2,'Informe Kelly'!F2424,VLOOKUP(D2430,$D$2:$E$4,2,FALSE)))</f>
        <v>#N/A</v>
      </c>
      <c r="F2430" s="142" t="e">
        <f>IF('Informe Kelly'!H2424=$A$3,'Informe Kelly'!F2424,VLOOKUP(D2430,$D$2:$F$4,3,FALSE))-(VLOOKUP(D2430,$D$2:$F$4,3,FALSE))</f>
        <v>#N/A</v>
      </c>
      <c r="G2430" s="137" t="e">
        <f t="shared" si="41"/>
        <v>#N/A</v>
      </c>
    </row>
    <row r="2431" spans="1:7">
      <c r="A2431" s="112" t="e">
        <f>VLOOKUP('Informe Kelly'!A2425,Base!A:B,2,FALSE)</f>
        <v>#N/A</v>
      </c>
      <c r="B2431" s="112" t="e">
        <f>VLOOKUP('Informe Kelly'!A2425,Base!A:G,7,FALSE)</f>
        <v>#N/A</v>
      </c>
      <c r="C2431" s="112">
        <f>'Informe Kelly'!E2425</f>
        <v>0</v>
      </c>
      <c r="D2431" s="112" t="e">
        <f>VLOOKUP(A2431,Ingreso!K:P,6,FALSE)</f>
        <v>#N/A</v>
      </c>
      <c r="E2431" s="142" t="e">
        <f>(VLOOKUP(D2431,$D$2:$E$4,2,FALSE))-(IF('Informe Kelly'!H2425=$A$2,'Informe Kelly'!F2425,VLOOKUP(D2431,$D$2:$E$4,2,FALSE)))</f>
        <v>#N/A</v>
      </c>
      <c r="F2431" s="142" t="e">
        <f>IF('Informe Kelly'!H2425=$A$3,'Informe Kelly'!F2425,VLOOKUP(D2431,$D$2:$F$4,3,FALSE))-(VLOOKUP(D2431,$D$2:$F$4,3,FALSE))</f>
        <v>#N/A</v>
      </c>
      <c r="G2431" s="137" t="e">
        <f t="shared" si="41"/>
        <v>#N/A</v>
      </c>
    </row>
    <row r="2432" spans="1:7">
      <c r="A2432" s="112" t="e">
        <f>VLOOKUP('Informe Kelly'!A2426,Base!A:B,2,FALSE)</f>
        <v>#N/A</v>
      </c>
      <c r="B2432" s="112" t="e">
        <f>VLOOKUP('Informe Kelly'!A2426,Base!A:G,7,FALSE)</f>
        <v>#N/A</v>
      </c>
      <c r="C2432" s="112">
        <f>'Informe Kelly'!E2426</f>
        <v>0</v>
      </c>
      <c r="D2432" s="112" t="e">
        <f>VLOOKUP(A2432,Ingreso!K:P,6,FALSE)</f>
        <v>#N/A</v>
      </c>
      <c r="E2432" s="142" t="e">
        <f>(VLOOKUP(D2432,$D$2:$E$4,2,FALSE))-(IF('Informe Kelly'!H2426=$A$2,'Informe Kelly'!F2426,VLOOKUP(D2432,$D$2:$E$4,2,FALSE)))</f>
        <v>#N/A</v>
      </c>
      <c r="F2432" s="142" t="e">
        <f>IF('Informe Kelly'!H2426=$A$3,'Informe Kelly'!F2426,VLOOKUP(D2432,$D$2:$F$4,3,FALSE))-(VLOOKUP(D2432,$D$2:$F$4,3,FALSE))</f>
        <v>#N/A</v>
      </c>
      <c r="G2432" s="137" t="e">
        <f t="shared" si="41"/>
        <v>#N/A</v>
      </c>
    </row>
    <row r="2433" spans="1:7">
      <c r="A2433" s="112" t="e">
        <f>VLOOKUP('Informe Kelly'!A2427,Base!A:B,2,FALSE)</f>
        <v>#N/A</v>
      </c>
      <c r="B2433" s="112" t="e">
        <f>VLOOKUP('Informe Kelly'!A2427,Base!A:G,7,FALSE)</f>
        <v>#N/A</v>
      </c>
      <c r="C2433" s="112">
        <f>'Informe Kelly'!E2427</f>
        <v>0</v>
      </c>
      <c r="D2433" s="112" t="e">
        <f>VLOOKUP(A2433,Ingreso!K:P,6,FALSE)</f>
        <v>#N/A</v>
      </c>
      <c r="E2433" s="142" t="e">
        <f>(VLOOKUP(D2433,$D$2:$E$4,2,FALSE))-(IF('Informe Kelly'!H2427=$A$2,'Informe Kelly'!F2427,VLOOKUP(D2433,$D$2:$E$4,2,FALSE)))</f>
        <v>#N/A</v>
      </c>
      <c r="F2433" s="142" t="e">
        <f>IF('Informe Kelly'!H2427=$A$3,'Informe Kelly'!F2427,VLOOKUP(D2433,$D$2:$F$4,3,FALSE))-(VLOOKUP(D2433,$D$2:$F$4,3,FALSE))</f>
        <v>#N/A</v>
      </c>
      <c r="G2433" s="137" t="e">
        <f t="shared" si="41"/>
        <v>#N/A</v>
      </c>
    </row>
    <row r="2434" spans="1:7">
      <c r="A2434" s="112" t="e">
        <f>VLOOKUP('Informe Kelly'!A2428,Base!A:B,2,FALSE)</f>
        <v>#N/A</v>
      </c>
      <c r="B2434" s="112" t="e">
        <f>VLOOKUP('Informe Kelly'!A2428,Base!A:G,7,FALSE)</f>
        <v>#N/A</v>
      </c>
      <c r="C2434" s="112">
        <f>'Informe Kelly'!E2428</f>
        <v>0</v>
      </c>
      <c r="D2434" s="112" t="e">
        <f>VLOOKUP(A2434,Ingreso!K:P,6,FALSE)</f>
        <v>#N/A</v>
      </c>
      <c r="E2434" s="142" t="e">
        <f>(VLOOKUP(D2434,$D$2:$E$4,2,FALSE))-(IF('Informe Kelly'!H2428=$A$2,'Informe Kelly'!F2428,VLOOKUP(D2434,$D$2:$E$4,2,FALSE)))</f>
        <v>#N/A</v>
      </c>
      <c r="F2434" s="142" t="e">
        <f>IF('Informe Kelly'!H2428=$A$3,'Informe Kelly'!F2428,VLOOKUP(D2434,$D$2:$F$4,3,FALSE))-(VLOOKUP(D2434,$D$2:$F$4,3,FALSE))</f>
        <v>#N/A</v>
      </c>
      <c r="G2434" s="137" t="e">
        <f t="shared" si="41"/>
        <v>#N/A</v>
      </c>
    </row>
    <row r="2435" spans="1:7">
      <c r="A2435" s="112" t="e">
        <f>VLOOKUP('Informe Kelly'!A2429,Base!A:B,2,FALSE)</f>
        <v>#N/A</v>
      </c>
      <c r="B2435" s="112" t="e">
        <f>VLOOKUP('Informe Kelly'!A2429,Base!A:G,7,FALSE)</f>
        <v>#N/A</v>
      </c>
      <c r="C2435" s="112">
        <f>'Informe Kelly'!E2429</f>
        <v>0</v>
      </c>
      <c r="D2435" s="112" t="e">
        <f>VLOOKUP(A2435,Ingreso!K:P,6,FALSE)</f>
        <v>#N/A</v>
      </c>
      <c r="E2435" s="142" t="e">
        <f>(VLOOKUP(D2435,$D$2:$E$4,2,FALSE))-(IF('Informe Kelly'!H2429=$A$2,'Informe Kelly'!F2429,VLOOKUP(D2435,$D$2:$E$4,2,FALSE)))</f>
        <v>#N/A</v>
      </c>
      <c r="F2435" s="142" t="e">
        <f>IF('Informe Kelly'!H2429=$A$3,'Informe Kelly'!F2429,VLOOKUP(D2435,$D$2:$F$4,3,FALSE))-(VLOOKUP(D2435,$D$2:$F$4,3,FALSE))</f>
        <v>#N/A</v>
      </c>
      <c r="G2435" s="137" t="e">
        <f t="shared" si="41"/>
        <v>#N/A</v>
      </c>
    </row>
    <row r="2436" spans="1:7">
      <c r="A2436" s="112" t="e">
        <f>VLOOKUP('Informe Kelly'!A2430,Base!A:B,2,FALSE)</f>
        <v>#N/A</v>
      </c>
      <c r="B2436" s="112" t="e">
        <f>VLOOKUP('Informe Kelly'!A2430,Base!A:G,7,FALSE)</f>
        <v>#N/A</v>
      </c>
      <c r="C2436" s="112">
        <f>'Informe Kelly'!E2430</f>
        <v>0</v>
      </c>
      <c r="D2436" s="112" t="e">
        <f>VLOOKUP(A2436,Ingreso!K:P,6,FALSE)</f>
        <v>#N/A</v>
      </c>
      <c r="E2436" s="142" t="e">
        <f>(VLOOKUP(D2436,$D$2:$E$4,2,FALSE))-(IF('Informe Kelly'!H2430=$A$2,'Informe Kelly'!F2430,VLOOKUP(D2436,$D$2:$E$4,2,FALSE)))</f>
        <v>#N/A</v>
      </c>
      <c r="F2436" s="142" t="e">
        <f>IF('Informe Kelly'!H2430=$A$3,'Informe Kelly'!F2430,VLOOKUP(D2436,$D$2:$F$4,3,FALSE))-(VLOOKUP(D2436,$D$2:$F$4,3,FALSE))</f>
        <v>#N/A</v>
      </c>
      <c r="G2436" s="137" t="e">
        <f t="shared" si="41"/>
        <v>#N/A</v>
      </c>
    </row>
    <row r="2437" spans="1:7">
      <c r="A2437" s="112" t="e">
        <f>VLOOKUP('Informe Kelly'!A2431,Base!A:B,2,FALSE)</f>
        <v>#N/A</v>
      </c>
      <c r="B2437" s="112" t="e">
        <f>VLOOKUP('Informe Kelly'!A2431,Base!A:G,7,FALSE)</f>
        <v>#N/A</v>
      </c>
      <c r="C2437" s="112">
        <f>'Informe Kelly'!E2431</f>
        <v>0</v>
      </c>
      <c r="D2437" s="112" t="e">
        <f>VLOOKUP(A2437,Ingreso!K:P,6,FALSE)</f>
        <v>#N/A</v>
      </c>
      <c r="E2437" s="142" t="e">
        <f>(VLOOKUP(D2437,$D$2:$E$4,2,FALSE))-(IF('Informe Kelly'!H2431=$A$2,'Informe Kelly'!F2431,VLOOKUP(D2437,$D$2:$E$4,2,FALSE)))</f>
        <v>#N/A</v>
      </c>
      <c r="F2437" s="142" t="e">
        <f>IF('Informe Kelly'!H2431=$A$3,'Informe Kelly'!F2431,VLOOKUP(D2437,$D$2:$F$4,3,FALSE))-(VLOOKUP(D2437,$D$2:$F$4,3,FALSE))</f>
        <v>#N/A</v>
      </c>
      <c r="G2437" s="137" t="e">
        <f t="shared" si="41"/>
        <v>#N/A</v>
      </c>
    </row>
    <row r="2438" spans="1:7">
      <c r="A2438" s="112" t="e">
        <f>VLOOKUP('Informe Kelly'!A2432,Base!A:B,2,FALSE)</f>
        <v>#N/A</v>
      </c>
      <c r="B2438" s="112" t="e">
        <f>VLOOKUP('Informe Kelly'!A2432,Base!A:G,7,FALSE)</f>
        <v>#N/A</v>
      </c>
      <c r="C2438" s="112">
        <f>'Informe Kelly'!E2432</f>
        <v>0</v>
      </c>
      <c r="D2438" s="112" t="e">
        <f>VLOOKUP(A2438,Ingreso!K:P,6,FALSE)</f>
        <v>#N/A</v>
      </c>
      <c r="E2438" s="142" t="e">
        <f>(VLOOKUP(D2438,$D$2:$E$4,2,FALSE))-(IF('Informe Kelly'!H2432=$A$2,'Informe Kelly'!F2432,VLOOKUP(D2438,$D$2:$E$4,2,FALSE)))</f>
        <v>#N/A</v>
      </c>
      <c r="F2438" s="142" t="e">
        <f>IF('Informe Kelly'!H2432=$A$3,'Informe Kelly'!F2432,VLOOKUP(D2438,$D$2:$F$4,3,FALSE))-(VLOOKUP(D2438,$D$2:$F$4,3,FALSE))</f>
        <v>#N/A</v>
      </c>
      <c r="G2438" s="137" t="e">
        <f t="shared" si="41"/>
        <v>#N/A</v>
      </c>
    </row>
    <row r="2439" spans="1:7">
      <c r="A2439" s="112" t="e">
        <f>VLOOKUP('Informe Kelly'!A2433,Base!A:B,2,FALSE)</f>
        <v>#N/A</v>
      </c>
      <c r="B2439" s="112" t="e">
        <f>VLOOKUP('Informe Kelly'!A2433,Base!A:G,7,FALSE)</f>
        <v>#N/A</v>
      </c>
      <c r="C2439" s="112">
        <f>'Informe Kelly'!E2433</f>
        <v>0</v>
      </c>
      <c r="D2439" s="112" t="e">
        <f>VLOOKUP(A2439,Ingreso!K:P,6,FALSE)</f>
        <v>#N/A</v>
      </c>
      <c r="E2439" s="142" t="e">
        <f>(VLOOKUP(D2439,$D$2:$E$4,2,FALSE))-(IF('Informe Kelly'!H2433=$A$2,'Informe Kelly'!F2433,VLOOKUP(D2439,$D$2:$E$4,2,FALSE)))</f>
        <v>#N/A</v>
      </c>
      <c r="F2439" s="142" t="e">
        <f>IF('Informe Kelly'!H2433=$A$3,'Informe Kelly'!F2433,VLOOKUP(D2439,$D$2:$F$4,3,FALSE))-(VLOOKUP(D2439,$D$2:$F$4,3,FALSE))</f>
        <v>#N/A</v>
      </c>
      <c r="G2439" s="137" t="e">
        <f t="shared" si="41"/>
        <v>#N/A</v>
      </c>
    </row>
    <row r="2440" spans="1:7">
      <c r="A2440" s="112" t="e">
        <f>VLOOKUP('Informe Kelly'!A2434,Base!A:B,2,FALSE)</f>
        <v>#N/A</v>
      </c>
      <c r="B2440" s="112" t="e">
        <f>VLOOKUP('Informe Kelly'!A2434,Base!A:G,7,FALSE)</f>
        <v>#N/A</v>
      </c>
      <c r="C2440" s="112">
        <f>'Informe Kelly'!E2434</f>
        <v>0</v>
      </c>
      <c r="D2440" s="112" t="e">
        <f>VLOOKUP(A2440,Ingreso!K:P,6,FALSE)</f>
        <v>#N/A</v>
      </c>
      <c r="E2440" s="142" t="e">
        <f>(VLOOKUP(D2440,$D$2:$E$4,2,FALSE))-(IF('Informe Kelly'!H2434=$A$2,'Informe Kelly'!F2434,VLOOKUP(D2440,$D$2:$E$4,2,FALSE)))</f>
        <v>#N/A</v>
      </c>
      <c r="F2440" s="142" t="e">
        <f>IF('Informe Kelly'!H2434=$A$3,'Informe Kelly'!F2434,VLOOKUP(D2440,$D$2:$F$4,3,FALSE))-(VLOOKUP(D2440,$D$2:$F$4,3,FALSE))</f>
        <v>#N/A</v>
      </c>
      <c r="G2440" s="137" t="e">
        <f t="shared" si="41"/>
        <v>#N/A</v>
      </c>
    </row>
    <row r="2441" spans="1:7">
      <c r="A2441" s="112" t="e">
        <f>VLOOKUP('Informe Kelly'!A2435,Base!A:B,2,FALSE)</f>
        <v>#N/A</v>
      </c>
      <c r="B2441" s="112" t="e">
        <f>VLOOKUP('Informe Kelly'!A2435,Base!A:G,7,FALSE)</f>
        <v>#N/A</v>
      </c>
      <c r="C2441" s="112">
        <f>'Informe Kelly'!E2435</f>
        <v>0</v>
      </c>
      <c r="D2441" s="112" t="e">
        <f>VLOOKUP(A2441,Ingreso!K:P,6,FALSE)</f>
        <v>#N/A</v>
      </c>
      <c r="E2441" s="142" t="e">
        <f>(VLOOKUP(D2441,$D$2:$E$4,2,FALSE))-(IF('Informe Kelly'!H2435=$A$2,'Informe Kelly'!F2435,VLOOKUP(D2441,$D$2:$E$4,2,FALSE)))</f>
        <v>#N/A</v>
      </c>
      <c r="F2441" s="142" t="e">
        <f>IF('Informe Kelly'!H2435=$A$3,'Informe Kelly'!F2435,VLOOKUP(D2441,$D$2:$F$4,3,FALSE))-(VLOOKUP(D2441,$D$2:$F$4,3,FALSE))</f>
        <v>#N/A</v>
      </c>
      <c r="G2441" s="137" t="e">
        <f t="shared" ref="G2441:G2504" si="42">IF(E2441="",IF(F2441&lt;0.0409722222222222,0,E2441),IF(E2441&lt;0.0409722222222222,0,E2441))</f>
        <v>#N/A</v>
      </c>
    </row>
    <row r="2442" spans="1:7">
      <c r="A2442" s="112" t="e">
        <f>VLOOKUP('Informe Kelly'!A2436,Base!A:B,2,FALSE)</f>
        <v>#N/A</v>
      </c>
      <c r="B2442" s="112" t="e">
        <f>VLOOKUP('Informe Kelly'!A2436,Base!A:G,7,FALSE)</f>
        <v>#N/A</v>
      </c>
      <c r="C2442" s="112">
        <f>'Informe Kelly'!E2436</f>
        <v>0</v>
      </c>
      <c r="D2442" s="112" t="e">
        <f>VLOOKUP(A2442,Ingreso!K:P,6,FALSE)</f>
        <v>#N/A</v>
      </c>
      <c r="E2442" s="142" t="e">
        <f>(VLOOKUP(D2442,$D$2:$E$4,2,FALSE))-(IF('Informe Kelly'!H2436=$A$2,'Informe Kelly'!F2436,VLOOKUP(D2442,$D$2:$E$4,2,FALSE)))</f>
        <v>#N/A</v>
      </c>
      <c r="F2442" s="142" t="e">
        <f>IF('Informe Kelly'!H2436=$A$3,'Informe Kelly'!F2436,VLOOKUP(D2442,$D$2:$F$4,3,FALSE))-(VLOOKUP(D2442,$D$2:$F$4,3,FALSE))</f>
        <v>#N/A</v>
      </c>
      <c r="G2442" s="137" t="e">
        <f t="shared" si="42"/>
        <v>#N/A</v>
      </c>
    </row>
    <row r="2443" spans="1:7">
      <c r="A2443" s="112" t="e">
        <f>VLOOKUP('Informe Kelly'!A2437,Base!A:B,2,FALSE)</f>
        <v>#N/A</v>
      </c>
      <c r="B2443" s="112" t="e">
        <f>VLOOKUP('Informe Kelly'!A2437,Base!A:G,7,FALSE)</f>
        <v>#N/A</v>
      </c>
      <c r="C2443" s="112">
        <f>'Informe Kelly'!E2437</f>
        <v>0</v>
      </c>
      <c r="D2443" s="112" t="e">
        <f>VLOOKUP(A2443,Ingreso!K:P,6,FALSE)</f>
        <v>#N/A</v>
      </c>
      <c r="E2443" s="142" t="e">
        <f>(VLOOKUP(D2443,$D$2:$E$4,2,FALSE))-(IF('Informe Kelly'!H2437=$A$2,'Informe Kelly'!F2437,VLOOKUP(D2443,$D$2:$E$4,2,FALSE)))</f>
        <v>#N/A</v>
      </c>
      <c r="F2443" s="142" t="e">
        <f>IF('Informe Kelly'!H2437=$A$3,'Informe Kelly'!F2437,VLOOKUP(D2443,$D$2:$F$4,3,FALSE))-(VLOOKUP(D2443,$D$2:$F$4,3,FALSE))</f>
        <v>#N/A</v>
      </c>
      <c r="G2443" s="137" t="e">
        <f t="shared" si="42"/>
        <v>#N/A</v>
      </c>
    </row>
    <row r="2444" spans="1:7">
      <c r="A2444" s="112" t="e">
        <f>VLOOKUP('Informe Kelly'!A2438,Base!A:B,2,FALSE)</f>
        <v>#N/A</v>
      </c>
      <c r="B2444" s="112" t="e">
        <f>VLOOKUP('Informe Kelly'!A2438,Base!A:G,7,FALSE)</f>
        <v>#N/A</v>
      </c>
      <c r="C2444" s="112">
        <f>'Informe Kelly'!E2438</f>
        <v>0</v>
      </c>
      <c r="D2444" s="112" t="e">
        <f>VLOOKUP(A2444,Ingreso!K:P,6,FALSE)</f>
        <v>#N/A</v>
      </c>
      <c r="E2444" s="142" t="e">
        <f>(VLOOKUP(D2444,$D$2:$E$4,2,FALSE))-(IF('Informe Kelly'!H2438=$A$2,'Informe Kelly'!F2438,VLOOKUP(D2444,$D$2:$E$4,2,FALSE)))</f>
        <v>#N/A</v>
      </c>
      <c r="F2444" s="142" t="e">
        <f>IF('Informe Kelly'!H2438=$A$3,'Informe Kelly'!F2438,VLOOKUP(D2444,$D$2:$F$4,3,FALSE))-(VLOOKUP(D2444,$D$2:$F$4,3,FALSE))</f>
        <v>#N/A</v>
      </c>
      <c r="G2444" s="137" t="e">
        <f t="shared" si="42"/>
        <v>#N/A</v>
      </c>
    </row>
    <row r="2445" spans="1:7">
      <c r="A2445" s="112" t="e">
        <f>VLOOKUP('Informe Kelly'!A2439,Base!A:B,2,FALSE)</f>
        <v>#N/A</v>
      </c>
      <c r="B2445" s="112" t="e">
        <f>VLOOKUP('Informe Kelly'!A2439,Base!A:G,7,FALSE)</f>
        <v>#N/A</v>
      </c>
      <c r="C2445" s="112">
        <f>'Informe Kelly'!E2439</f>
        <v>0</v>
      </c>
      <c r="D2445" s="112" t="e">
        <f>VLOOKUP(A2445,Ingreso!K:P,6,FALSE)</f>
        <v>#N/A</v>
      </c>
      <c r="E2445" s="142" t="e">
        <f>(VLOOKUP(D2445,$D$2:$E$4,2,FALSE))-(IF('Informe Kelly'!H2439=$A$2,'Informe Kelly'!F2439,VLOOKUP(D2445,$D$2:$E$4,2,FALSE)))</f>
        <v>#N/A</v>
      </c>
      <c r="F2445" s="142" t="e">
        <f>IF('Informe Kelly'!H2439=$A$3,'Informe Kelly'!F2439,VLOOKUP(D2445,$D$2:$F$4,3,FALSE))-(VLOOKUP(D2445,$D$2:$F$4,3,FALSE))</f>
        <v>#N/A</v>
      </c>
      <c r="G2445" s="137" t="e">
        <f t="shared" si="42"/>
        <v>#N/A</v>
      </c>
    </row>
    <row r="2446" spans="1:7">
      <c r="A2446" s="112" t="e">
        <f>VLOOKUP('Informe Kelly'!A2440,Base!A:B,2,FALSE)</f>
        <v>#N/A</v>
      </c>
      <c r="B2446" s="112" t="e">
        <f>VLOOKUP('Informe Kelly'!A2440,Base!A:G,7,FALSE)</f>
        <v>#N/A</v>
      </c>
      <c r="C2446" s="112">
        <f>'Informe Kelly'!E2440</f>
        <v>0</v>
      </c>
      <c r="D2446" s="112" t="e">
        <f>VLOOKUP(A2446,Ingreso!K:P,6,FALSE)</f>
        <v>#N/A</v>
      </c>
      <c r="E2446" s="142" t="e">
        <f>(VLOOKUP(D2446,$D$2:$E$4,2,FALSE))-(IF('Informe Kelly'!H2440=$A$2,'Informe Kelly'!F2440,VLOOKUP(D2446,$D$2:$E$4,2,FALSE)))</f>
        <v>#N/A</v>
      </c>
      <c r="F2446" s="142" t="e">
        <f>IF('Informe Kelly'!H2440=$A$3,'Informe Kelly'!F2440,VLOOKUP(D2446,$D$2:$F$4,3,FALSE))-(VLOOKUP(D2446,$D$2:$F$4,3,FALSE))</f>
        <v>#N/A</v>
      </c>
      <c r="G2446" s="137" t="e">
        <f t="shared" si="42"/>
        <v>#N/A</v>
      </c>
    </row>
    <row r="2447" spans="1:7">
      <c r="A2447" s="112" t="e">
        <f>VLOOKUP('Informe Kelly'!A2441,Base!A:B,2,FALSE)</f>
        <v>#N/A</v>
      </c>
      <c r="B2447" s="112" t="e">
        <f>VLOOKUP('Informe Kelly'!A2441,Base!A:G,7,FALSE)</f>
        <v>#N/A</v>
      </c>
      <c r="C2447" s="112">
        <f>'Informe Kelly'!E2441</f>
        <v>0</v>
      </c>
      <c r="D2447" s="112" t="e">
        <f>VLOOKUP(A2447,Ingreso!K:P,6,FALSE)</f>
        <v>#N/A</v>
      </c>
      <c r="E2447" s="142" t="e">
        <f>(VLOOKUP(D2447,$D$2:$E$4,2,FALSE))-(IF('Informe Kelly'!H2441=$A$2,'Informe Kelly'!F2441,VLOOKUP(D2447,$D$2:$E$4,2,FALSE)))</f>
        <v>#N/A</v>
      </c>
      <c r="F2447" s="142" t="e">
        <f>IF('Informe Kelly'!H2441=$A$3,'Informe Kelly'!F2441,VLOOKUP(D2447,$D$2:$F$4,3,FALSE))-(VLOOKUP(D2447,$D$2:$F$4,3,FALSE))</f>
        <v>#N/A</v>
      </c>
      <c r="G2447" s="137" t="e">
        <f t="shared" si="42"/>
        <v>#N/A</v>
      </c>
    </row>
    <row r="2448" spans="1:7">
      <c r="A2448" s="112" t="e">
        <f>VLOOKUP('Informe Kelly'!A2442,Base!A:B,2,FALSE)</f>
        <v>#N/A</v>
      </c>
      <c r="B2448" s="112" t="e">
        <f>VLOOKUP('Informe Kelly'!A2442,Base!A:G,7,FALSE)</f>
        <v>#N/A</v>
      </c>
      <c r="C2448" s="112">
        <f>'Informe Kelly'!E2442</f>
        <v>0</v>
      </c>
      <c r="D2448" s="112" t="e">
        <f>VLOOKUP(A2448,Ingreso!K:P,6,FALSE)</f>
        <v>#N/A</v>
      </c>
      <c r="E2448" s="142" t="e">
        <f>(VLOOKUP(D2448,$D$2:$E$4,2,FALSE))-(IF('Informe Kelly'!H2442=$A$2,'Informe Kelly'!F2442,VLOOKUP(D2448,$D$2:$E$4,2,FALSE)))</f>
        <v>#N/A</v>
      </c>
      <c r="F2448" s="142" t="e">
        <f>IF('Informe Kelly'!H2442=$A$3,'Informe Kelly'!F2442,VLOOKUP(D2448,$D$2:$F$4,3,FALSE))-(VLOOKUP(D2448,$D$2:$F$4,3,FALSE))</f>
        <v>#N/A</v>
      </c>
      <c r="G2448" s="137" t="e">
        <f t="shared" si="42"/>
        <v>#N/A</v>
      </c>
    </row>
    <row r="2449" spans="1:7">
      <c r="A2449" s="112" t="e">
        <f>VLOOKUP('Informe Kelly'!A2443,Base!A:B,2,FALSE)</f>
        <v>#N/A</v>
      </c>
      <c r="B2449" s="112" t="e">
        <f>VLOOKUP('Informe Kelly'!A2443,Base!A:G,7,FALSE)</f>
        <v>#N/A</v>
      </c>
      <c r="C2449" s="112">
        <f>'Informe Kelly'!E2443</f>
        <v>0</v>
      </c>
      <c r="D2449" s="112" t="e">
        <f>VLOOKUP(A2449,Ingreso!K:P,6,FALSE)</f>
        <v>#N/A</v>
      </c>
      <c r="E2449" s="142" t="e">
        <f>(VLOOKUP(D2449,$D$2:$E$4,2,FALSE))-(IF('Informe Kelly'!H2443=$A$2,'Informe Kelly'!F2443,VLOOKUP(D2449,$D$2:$E$4,2,FALSE)))</f>
        <v>#N/A</v>
      </c>
      <c r="F2449" s="142" t="e">
        <f>IF('Informe Kelly'!H2443=$A$3,'Informe Kelly'!F2443,VLOOKUP(D2449,$D$2:$F$4,3,FALSE))-(VLOOKUP(D2449,$D$2:$F$4,3,FALSE))</f>
        <v>#N/A</v>
      </c>
      <c r="G2449" s="137" t="e">
        <f t="shared" si="42"/>
        <v>#N/A</v>
      </c>
    </row>
    <row r="2450" spans="1:7">
      <c r="A2450" s="112" t="e">
        <f>VLOOKUP('Informe Kelly'!A2444,Base!A:B,2,FALSE)</f>
        <v>#N/A</v>
      </c>
      <c r="B2450" s="112" t="e">
        <f>VLOOKUP('Informe Kelly'!A2444,Base!A:G,7,FALSE)</f>
        <v>#N/A</v>
      </c>
      <c r="C2450" s="112">
        <f>'Informe Kelly'!E2444</f>
        <v>0</v>
      </c>
      <c r="D2450" s="112" t="e">
        <f>VLOOKUP(A2450,Ingreso!K:P,6,FALSE)</f>
        <v>#N/A</v>
      </c>
      <c r="E2450" s="142" t="e">
        <f>(VLOOKUP(D2450,$D$2:$E$4,2,FALSE))-(IF('Informe Kelly'!H2444=$A$2,'Informe Kelly'!F2444,VLOOKUP(D2450,$D$2:$E$4,2,FALSE)))</f>
        <v>#N/A</v>
      </c>
      <c r="F2450" s="142" t="e">
        <f>IF('Informe Kelly'!H2444=$A$3,'Informe Kelly'!F2444,VLOOKUP(D2450,$D$2:$F$4,3,FALSE))-(VLOOKUP(D2450,$D$2:$F$4,3,FALSE))</f>
        <v>#N/A</v>
      </c>
      <c r="G2450" s="137" t="e">
        <f t="shared" si="42"/>
        <v>#N/A</v>
      </c>
    </row>
    <row r="2451" spans="1:7">
      <c r="A2451" s="112" t="e">
        <f>VLOOKUP('Informe Kelly'!A2445,Base!A:B,2,FALSE)</f>
        <v>#N/A</v>
      </c>
      <c r="B2451" s="112" t="e">
        <f>VLOOKUP('Informe Kelly'!A2445,Base!A:G,7,FALSE)</f>
        <v>#N/A</v>
      </c>
      <c r="C2451" s="112">
        <f>'Informe Kelly'!E2445</f>
        <v>0</v>
      </c>
      <c r="D2451" s="112" t="e">
        <f>VLOOKUP(A2451,Ingreso!K:P,6,FALSE)</f>
        <v>#N/A</v>
      </c>
      <c r="E2451" s="142" t="e">
        <f>(VLOOKUP(D2451,$D$2:$E$4,2,FALSE))-(IF('Informe Kelly'!H2445=$A$2,'Informe Kelly'!F2445,VLOOKUP(D2451,$D$2:$E$4,2,FALSE)))</f>
        <v>#N/A</v>
      </c>
      <c r="F2451" s="142" t="e">
        <f>IF('Informe Kelly'!H2445=$A$3,'Informe Kelly'!F2445,VLOOKUP(D2451,$D$2:$F$4,3,FALSE))-(VLOOKUP(D2451,$D$2:$F$4,3,FALSE))</f>
        <v>#N/A</v>
      </c>
      <c r="G2451" s="137" t="e">
        <f t="shared" si="42"/>
        <v>#N/A</v>
      </c>
    </row>
    <row r="2452" spans="1:7">
      <c r="A2452" s="112" t="e">
        <f>VLOOKUP('Informe Kelly'!A2446,Base!A:B,2,FALSE)</f>
        <v>#N/A</v>
      </c>
      <c r="B2452" s="112" t="e">
        <f>VLOOKUP('Informe Kelly'!A2446,Base!A:G,7,FALSE)</f>
        <v>#N/A</v>
      </c>
      <c r="C2452" s="112">
        <f>'Informe Kelly'!E2446</f>
        <v>0</v>
      </c>
      <c r="D2452" s="112" t="e">
        <f>VLOOKUP(A2452,Ingreso!K:P,6,FALSE)</f>
        <v>#N/A</v>
      </c>
      <c r="E2452" s="142" t="e">
        <f>(VLOOKUP(D2452,$D$2:$E$4,2,FALSE))-(IF('Informe Kelly'!H2446=$A$2,'Informe Kelly'!F2446,VLOOKUP(D2452,$D$2:$E$4,2,FALSE)))</f>
        <v>#N/A</v>
      </c>
      <c r="F2452" s="142" t="e">
        <f>IF('Informe Kelly'!H2446=$A$3,'Informe Kelly'!F2446,VLOOKUP(D2452,$D$2:$F$4,3,FALSE))-(VLOOKUP(D2452,$D$2:$F$4,3,FALSE))</f>
        <v>#N/A</v>
      </c>
      <c r="G2452" s="137" t="e">
        <f t="shared" si="42"/>
        <v>#N/A</v>
      </c>
    </row>
    <row r="2453" spans="1:7">
      <c r="A2453" s="112" t="e">
        <f>VLOOKUP('Informe Kelly'!A2447,Base!A:B,2,FALSE)</f>
        <v>#N/A</v>
      </c>
      <c r="B2453" s="112" t="e">
        <f>VLOOKUP('Informe Kelly'!A2447,Base!A:G,7,FALSE)</f>
        <v>#N/A</v>
      </c>
      <c r="C2453" s="112">
        <f>'Informe Kelly'!E2447</f>
        <v>0</v>
      </c>
      <c r="D2453" s="112" t="e">
        <f>VLOOKUP(A2453,Ingreso!K:P,6,FALSE)</f>
        <v>#N/A</v>
      </c>
      <c r="E2453" s="142" t="e">
        <f>(VLOOKUP(D2453,$D$2:$E$4,2,FALSE))-(IF('Informe Kelly'!H2447=$A$2,'Informe Kelly'!F2447,VLOOKUP(D2453,$D$2:$E$4,2,FALSE)))</f>
        <v>#N/A</v>
      </c>
      <c r="F2453" s="142" t="e">
        <f>IF('Informe Kelly'!H2447=$A$3,'Informe Kelly'!F2447,VLOOKUP(D2453,$D$2:$F$4,3,FALSE))-(VLOOKUP(D2453,$D$2:$F$4,3,FALSE))</f>
        <v>#N/A</v>
      </c>
      <c r="G2453" s="137" t="e">
        <f t="shared" si="42"/>
        <v>#N/A</v>
      </c>
    </row>
    <row r="2454" spans="1:7">
      <c r="A2454" s="112" t="e">
        <f>VLOOKUP('Informe Kelly'!A2448,Base!A:B,2,FALSE)</f>
        <v>#N/A</v>
      </c>
      <c r="B2454" s="112" t="e">
        <f>VLOOKUP('Informe Kelly'!A2448,Base!A:G,7,FALSE)</f>
        <v>#N/A</v>
      </c>
      <c r="C2454" s="112">
        <f>'Informe Kelly'!E2448</f>
        <v>0</v>
      </c>
      <c r="D2454" s="112" t="e">
        <f>VLOOKUP(A2454,Ingreso!K:P,6,FALSE)</f>
        <v>#N/A</v>
      </c>
      <c r="E2454" s="142" t="e">
        <f>(VLOOKUP(D2454,$D$2:$E$4,2,FALSE))-(IF('Informe Kelly'!H2448=$A$2,'Informe Kelly'!F2448,VLOOKUP(D2454,$D$2:$E$4,2,FALSE)))</f>
        <v>#N/A</v>
      </c>
      <c r="F2454" s="142" t="e">
        <f>IF('Informe Kelly'!H2448=$A$3,'Informe Kelly'!F2448,VLOOKUP(D2454,$D$2:$F$4,3,FALSE))-(VLOOKUP(D2454,$D$2:$F$4,3,FALSE))</f>
        <v>#N/A</v>
      </c>
      <c r="G2454" s="137" t="e">
        <f t="shared" si="42"/>
        <v>#N/A</v>
      </c>
    </row>
    <row r="2455" spans="1:7">
      <c r="A2455" s="112" t="e">
        <f>VLOOKUP('Informe Kelly'!A2449,Base!A:B,2,FALSE)</f>
        <v>#N/A</v>
      </c>
      <c r="B2455" s="112" t="e">
        <f>VLOOKUP('Informe Kelly'!A2449,Base!A:G,7,FALSE)</f>
        <v>#N/A</v>
      </c>
      <c r="C2455" s="112">
        <f>'Informe Kelly'!E2449</f>
        <v>0</v>
      </c>
      <c r="D2455" s="112" t="e">
        <f>VLOOKUP(A2455,Ingreso!K:P,6,FALSE)</f>
        <v>#N/A</v>
      </c>
      <c r="E2455" s="142" t="e">
        <f>(VLOOKUP(D2455,$D$2:$E$4,2,FALSE))-(IF('Informe Kelly'!H2449=$A$2,'Informe Kelly'!F2449,VLOOKUP(D2455,$D$2:$E$4,2,FALSE)))</f>
        <v>#N/A</v>
      </c>
      <c r="F2455" s="142" t="e">
        <f>IF('Informe Kelly'!H2449=$A$3,'Informe Kelly'!F2449,VLOOKUP(D2455,$D$2:$F$4,3,FALSE))-(VLOOKUP(D2455,$D$2:$F$4,3,FALSE))</f>
        <v>#N/A</v>
      </c>
      <c r="G2455" s="137" t="e">
        <f t="shared" si="42"/>
        <v>#N/A</v>
      </c>
    </row>
    <row r="2456" spans="1:7">
      <c r="A2456" s="112" t="e">
        <f>VLOOKUP('Informe Kelly'!A2450,Base!A:B,2,FALSE)</f>
        <v>#N/A</v>
      </c>
      <c r="B2456" s="112" t="e">
        <f>VLOOKUP('Informe Kelly'!A2450,Base!A:G,7,FALSE)</f>
        <v>#N/A</v>
      </c>
      <c r="C2456" s="112">
        <f>'Informe Kelly'!E2450</f>
        <v>0</v>
      </c>
      <c r="D2456" s="112" t="e">
        <f>VLOOKUP(A2456,Ingreso!K:P,6,FALSE)</f>
        <v>#N/A</v>
      </c>
      <c r="E2456" s="142" t="e">
        <f>(VLOOKUP(D2456,$D$2:$E$4,2,FALSE))-(IF('Informe Kelly'!H2450=$A$2,'Informe Kelly'!F2450,VLOOKUP(D2456,$D$2:$E$4,2,FALSE)))</f>
        <v>#N/A</v>
      </c>
      <c r="F2456" s="142" t="e">
        <f>IF('Informe Kelly'!H2450=$A$3,'Informe Kelly'!F2450,VLOOKUP(D2456,$D$2:$F$4,3,FALSE))-(VLOOKUP(D2456,$D$2:$F$4,3,FALSE))</f>
        <v>#N/A</v>
      </c>
      <c r="G2456" s="137" t="e">
        <f t="shared" si="42"/>
        <v>#N/A</v>
      </c>
    </row>
    <row r="2457" spans="1:7">
      <c r="A2457" s="112" t="e">
        <f>VLOOKUP('Informe Kelly'!A2451,Base!A:B,2,FALSE)</f>
        <v>#N/A</v>
      </c>
      <c r="B2457" s="112" t="e">
        <f>VLOOKUP('Informe Kelly'!A2451,Base!A:G,7,FALSE)</f>
        <v>#N/A</v>
      </c>
      <c r="C2457" s="112">
        <f>'Informe Kelly'!E2451</f>
        <v>0</v>
      </c>
      <c r="D2457" s="112" t="e">
        <f>VLOOKUP(A2457,Ingreso!K:P,6,FALSE)</f>
        <v>#N/A</v>
      </c>
      <c r="E2457" s="142" t="e">
        <f>(VLOOKUP(D2457,$D$2:$E$4,2,FALSE))-(IF('Informe Kelly'!H2451=$A$2,'Informe Kelly'!F2451,VLOOKUP(D2457,$D$2:$E$4,2,FALSE)))</f>
        <v>#N/A</v>
      </c>
      <c r="F2457" s="142" t="e">
        <f>IF('Informe Kelly'!H2451=$A$3,'Informe Kelly'!F2451,VLOOKUP(D2457,$D$2:$F$4,3,FALSE))-(VLOOKUP(D2457,$D$2:$F$4,3,FALSE))</f>
        <v>#N/A</v>
      </c>
      <c r="G2457" s="137" t="e">
        <f t="shared" si="42"/>
        <v>#N/A</v>
      </c>
    </row>
    <row r="2458" spans="1:7">
      <c r="A2458" s="112" t="e">
        <f>VLOOKUP('Informe Kelly'!A2452,Base!A:B,2,FALSE)</f>
        <v>#N/A</v>
      </c>
      <c r="B2458" s="112" t="e">
        <f>VLOOKUP('Informe Kelly'!A2452,Base!A:G,7,FALSE)</f>
        <v>#N/A</v>
      </c>
      <c r="C2458" s="112">
        <f>'Informe Kelly'!E2452</f>
        <v>0</v>
      </c>
      <c r="D2458" s="112" t="e">
        <f>VLOOKUP(A2458,Ingreso!K:P,6,FALSE)</f>
        <v>#N/A</v>
      </c>
      <c r="E2458" s="142" t="e">
        <f>(VLOOKUP(D2458,$D$2:$E$4,2,FALSE))-(IF('Informe Kelly'!H2452=$A$2,'Informe Kelly'!F2452,VLOOKUP(D2458,$D$2:$E$4,2,FALSE)))</f>
        <v>#N/A</v>
      </c>
      <c r="F2458" s="142" t="e">
        <f>IF('Informe Kelly'!H2452=$A$3,'Informe Kelly'!F2452,VLOOKUP(D2458,$D$2:$F$4,3,FALSE))-(VLOOKUP(D2458,$D$2:$F$4,3,FALSE))</f>
        <v>#N/A</v>
      </c>
      <c r="G2458" s="137" t="e">
        <f t="shared" si="42"/>
        <v>#N/A</v>
      </c>
    </row>
    <row r="2459" spans="1:7">
      <c r="A2459" s="112" t="e">
        <f>VLOOKUP('Informe Kelly'!A2453,Base!A:B,2,FALSE)</f>
        <v>#N/A</v>
      </c>
      <c r="B2459" s="112" t="e">
        <f>VLOOKUP('Informe Kelly'!A2453,Base!A:G,7,FALSE)</f>
        <v>#N/A</v>
      </c>
      <c r="C2459" s="112">
        <f>'Informe Kelly'!E2453</f>
        <v>0</v>
      </c>
      <c r="D2459" s="112" t="e">
        <f>VLOOKUP(A2459,Ingreso!K:P,6,FALSE)</f>
        <v>#N/A</v>
      </c>
      <c r="E2459" s="142" t="e">
        <f>(VLOOKUP(D2459,$D$2:$E$4,2,FALSE))-(IF('Informe Kelly'!H2453=$A$2,'Informe Kelly'!F2453,VLOOKUP(D2459,$D$2:$E$4,2,FALSE)))</f>
        <v>#N/A</v>
      </c>
      <c r="F2459" s="142" t="e">
        <f>IF('Informe Kelly'!H2453=$A$3,'Informe Kelly'!F2453,VLOOKUP(D2459,$D$2:$F$4,3,FALSE))-(VLOOKUP(D2459,$D$2:$F$4,3,FALSE))</f>
        <v>#N/A</v>
      </c>
      <c r="G2459" s="137" t="e">
        <f t="shared" si="42"/>
        <v>#N/A</v>
      </c>
    </row>
    <row r="2460" spans="1:7">
      <c r="A2460" s="112" t="e">
        <f>VLOOKUP('Informe Kelly'!A2454,Base!A:B,2,FALSE)</f>
        <v>#N/A</v>
      </c>
      <c r="B2460" s="112" t="e">
        <f>VLOOKUP('Informe Kelly'!A2454,Base!A:G,7,FALSE)</f>
        <v>#N/A</v>
      </c>
      <c r="C2460" s="112">
        <f>'Informe Kelly'!E2454</f>
        <v>0</v>
      </c>
      <c r="D2460" s="112" t="e">
        <f>VLOOKUP(A2460,Ingreso!K:P,6,FALSE)</f>
        <v>#N/A</v>
      </c>
      <c r="E2460" s="142" t="e">
        <f>(VLOOKUP(D2460,$D$2:$E$4,2,FALSE))-(IF('Informe Kelly'!H2454=$A$2,'Informe Kelly'!F2454,VLOOKUP(D2460,$D$2:$E$4,2,FALSE)))</f>
        <v>#N/A</v>
      </c>
      <c r="F2460" s="142" t="e">
        <f>IF('Informe Kelly'!H2454=$A$3,'Informe Kelly'!F2454,VLOOKUP(D2460,$D$2:$F$4,3,FALSE))-(VLOOKUP(D2460,$D$2:$F$4,3,FALSE))</f>
        <v>#N/A</v>
      </c>
      <c r="G2460" s="137" t="e">
        <f t="shared" si="42"/>
        <v>#N/A</v>
      </c>
    </row>
    <row r="2461" spans="1:7">
      <c r="A2461" s="112" t="e">
        <f>VLOOKUP('Informe Kelly'!A2455,Base!A:B,2,FALSE)</f>
        <v>#N/A</v>
      </c>
      <c r="B2461" s="112" t="e">
        <f>VLOOKUP('Informe Kelly'!A2455,Base!A:G,7,FALSE)</f>
        <v>#N/A</v>
      </c>
      <c r="C2461" s="112">
        <f>'Informe Kelly'!E2455</f>
        <v>0</v>
      </c>
      <c r="D2461" s="112" t="e">
        <f>VLOOKUP(A2461,Ingreso!K:P,6,FALSE)</f>
        <v>#N/A</v>
      </c>
      <c r="E2461" s="142" t="e">
        <f>(VLOOKUP(D2461,$D$2:$E$4,2,FALSE))-(IF('Informe Kelly'!H2455=$A$2,'Informe Kelly'!F2455,VLOOKUP(D2461,$D$2:$E$4,2,FALSE)))</f>
        <v>#N/A</v>
      </c>
      <c r="F2461" s="142" t="e">
        <f>IF('Informe Kelly'!H2455=$A$3,'Informe Kelly'!F2455,VLOOKUP(D2461,$D$2:$F$4,3,FALSE))-(VLOOKUP(D2461,$D$2:$F$4,3,FALSE))</f>
        <v>#N/A</v>
      </c>
      <c r="G2461" s="137" t="e">
        <f t="shared" si="42"/>
        <v>#N/A</v>
      </c>
    </row>
    <row r="2462" spans="1:7">
      <c r="A2462" s="112" t="e">
        <f>VLOOKUP('Informe Kelly'!A2456,Base!A:B,2,FALSE)</f>
        <v>#N/A</v>
      </c>
      <c r="B2462" s="112" t="e">
        <f>VLOOKUP('Informe Kelly'!A2456,Base!A:G,7,FALSE)</f>
        <v>#N/A</v>
      </c>
      <c r="C2462" s="112">
        <f>'Informe Kelly'!E2456</f>
        <v>0</v>
      </c>
      <c r="D2462" s="112" t="e">
        <f>VLOOKUP(A2462,Ingreso!K:P,6,FALSE)</f>
        <v>#N/A</v>
      </c>
      <c r="E2462" s="142" t="e">
        <f>(VLOOKUP(D2462,$D$2:$E$4,2,FALSE))-(IF('Informe Kelly'!H2456=$A$2,'Informe Kelly'!F2456,VLOOKUP(D2462,$D$2:$E$4,2,FALSE)))</f>
        <v>#N/A</v>
      </c>
      <c r="F2462" s="142" t="e">
        <f>IF('Informe Kelly'!H2456=$A$3,'Informe Kelly'!F2456,VLOOKUP(D2462,$D$2:$F$4,3,FALSE))-(VLOOKUP(D2462,$D$2:$F$4,3,FALSE))</f>
        <v>#N/A</v>
      </c>
      <c r="G2462" s="137" t="e">
        <f t="shared" si="42"/>
        <v>#N/A</v>
      </c>
    </row>
    <row r="2463" spans="1:7">
      <c r="A2463" s="112" t="e">
        <f>VLOOKUP('Informe Kelly'!A2457,Base!A:B,2,FALSE)</f>
        <v>#N/A</v>
      </c>
      <c r="B2463" s="112" t="e">
        <f>VLOOKUP('Informe Kelly'!A2457,Base!A:G,7,FALSE)</f>
        <v>#N/A</v>
      </c>
      <c r="C2463" s="112">
        <f>'Informe Kelly'!E2457</f>
        <v>0</v>
      </c>
      <c r="D2463" s="112" t="e">
        <f>VLOOKUP(A2463,Ingreso!K:P,6,FALSE)</f>
        <v>#N/A</v>
      </c>
      <c r="E2463" s="142" t="e">
        <f>(VLOOKUP(D2463,$D$2:$E$4,2,FALSE))-(IF('Informe Kelly'!H2457=$A$2,'Informe Kelly'!F2457,VLOOKUP(D2463,$D$2:$E$4,2,FALSE)))</f>
        <v>#N/A</v>
      </c>
      <c r="F2463" s="142" t="e">
        <f>IF('Informe Kelly'!H2457=$A$3,'Informe Kelly'!F2457,VLOOKUP(D2463,$D$2:$F$4,3,FALSE))-(VLOOKUP(D2463,$D$2:$F$4,3,FALSE))</f>
        <v>#N/A</v>
      </c>
      <c r="G2463" s="137" t="e">
        <f t="shared" si="42"/>
        <v>#N/A</v>
      </c>
    </row>
    <row r="2464" spans="1:7">
      <c r="A2464" s="112" t="e">
        <f>VLOOKUP('Informe Kelly'!A2458,Base!A:B,2,FALSE)</f>
        <v>#N/A</v>
      </c>
      <c r="B2464" s="112" t="e">
        <f>VLOOKUP('Informe Kelly'!A2458,Base!A:G,7,FALSE)</f>
        <v>#N/A</v>
      </c>
      <c r="C2464" s="112">
        <f>'Informe Kelly'!E2458</f>
        <v>0</v>
      </c>
      <c r="D2464" s="112" t="e">
        <f>VLOOKUP(A2464,Ingreso!K:P,6,FALSE)</f>
        <v>#N/A</v>
      </c>
      <c r="E2464" s="142" t="e">
        <f>(VLOOKUP(D2464,$D$2:$E$4,2,FALSE))-(IF('Informe Kelly'!H2458=$A$2,'Informe Kelly'!F2458,VLOOKUP(D2464,$D$2:$E$4,2,FALSE)))</f>
        <v>#N/A</v>
      </c>
      <c r="F2464" s="142" t="e">
        <f>IF('Informe Kelly'!H2458=$A$3,'Informe Kelly'!F2458,VLOOKUP(D2464,$D$2:$F$4,3,FALSE))-(VLOOKUP(D2464,$D$2:$F$4,3,FALSE))</f>
        <v>#N/A</v>
      </c>
      <c r="G2464" s="137" t="e">
        <f t="shared" si="42"/>
        <v>#N/A</v>
      </c>
    </row>
    <row r="2465" spans="1:7">
      <c r="A2465" s="112" t="e">
        <f>VLOOKUP('Informe Kelly'!A2459,Base!A:B,2,FALSE)</f>
        <v>#N/A</v>
      </c>
      <c r="B2465" s="112" t="e">
        <f>VLOOKUP('Informe Kelly'!A2459,Base!A:G,7,FALSE)</f>
        <v>#N/A</v>
      </c>
      <c r="C2465" s="112">
        <f>'Informe Kelly'!E2459</f>
        <v>0</v>
      </c>
      <c r="D2465" s="112" t="e">
        <f>VLOOKUP(A2465,Ingreso!K:P,6,FALSE)</f>
        <v>#N/A</v>
      </c>
      <c r="E2465" s="142" t="e">
        <f>(VLOOKUP(D2465,$D$2:$E$4,2,FALSE))-(IF('Informe Kelly'!H2459=$A$2,'Informe Kelly'!F2459,VLOOKUP(D2465,$D$2:$E$4,2,FALSE)))</f>
        <v>#N/A</v>
      </c>
      <c r="F2465" s="142" t="e">
        <f>IF('Informe Kelly'!H2459=$A$3,'Informe Kelly'!F2459,VLOOKUP(D2465,$D$2:$F$4,3,FALSE))-(VLOOKUP(D2465,$D$2:$F$4,3,FALSE))</f>
        <v>#N/A</v>
      </c>
      <c r="G2465" s="137" t="e">
        <f t="shared" si="42"/>
        <v>#N/A</v>
      </c>
    </row>
    <row r="2466" spans="1:7">
      <c r="A2466" s="112" t="e">
        <f>VLOOKUP('Informe Kelly'!A2460,Base!A:B,2,FALSE)</f>
        <v>#N/A</v>
      </c>
      <c r="B2466" s="112" t="e">
        <f>VLOOKUP('Informe Kelly'!A2460,Base!A:G,7,FALSE)</f>
        <v>#N/A</v>
      </c>
      <c r="C2466" s="112">
        <f>'Informe Kelly'!E2460</f>
        <v>0</v>
      </c>
      <c r="D2466" s="112" t="e">
        <f>VLOOKUP(A2466,Ingreso!K:P,6,FALSE)</f>
        <v>#N/A</v>
      </c>
      <c r="E2466" s="142" t="e">
        <f>(VLOOKUP(D2466,$D$2:$E$4,2,FALSE))-(IF('Informe Kelly'!H2460=$A$2,'Informe Kelly'!F2460,VLOOKUP(D2466,$D$2:$E$4,2,FALSE)))</f>
        <v>#N/A</v>
      </c>
      <c r="F2466" s="142" t="e">
        <f>IF('Informe Kelly'!H2460=$A$3,'Informe Kelly'!F2460,VLOOKUP(D2466,$D$2:$F$4,3,FALSE))-(VLOOKUP(D2466,$D$2:$F$4,3,FALSE))</f>
        <v>#N/A</v>
      </c>
      <c r="G2466" s="137" t="e">
        <f t="shared" si="42"/>
        <v>#N/A</v>
      </c>
    </row>
    <row r="2467" spans="1:7">
      <c r="A2467" s="112" t="e">
        <f>VLOOKUP('Informe Kelly'!A2461,Base!A:B,2,FALSE)</f>
        <v>#N/A</v>
      </c>
      <c r="B2467" s="112" t="e">
        <f>VLOOKUP('Informe Kelly'!A2461,Base!A:G,7,FALSE)</f>
        <v>#N/A</v>
      </c>
      <c r="C2467" s="112">
        <f>'Informe Kelly'!E2461</f>
        <v>0</v>
      </c>
      <c r="D2467" s="112" t="e">
        <f>VLOOKUP(A2467,Ingreso!K:P,6,FALSE)</f>
        <v>#N/A</v>
      </c>
      <c r="E2467" s="142" t="e">
        <f>(VLOOKUP(D2467,$D$2:$E$4,2,FALSE))-(IF('Informe Kelly'!H2461=$A$2,'Informe Kelly'!F2461,VLOOKUP(D2467,$D$2:$E$4,2,FALSE)))</f>
        <v>#N/A</v>
      </c>
      <c r="F2467" s="142" t="e">
        <f>IF('Informe Kelly'!H2461=$A$3,'Informe Kelly'!F2461,VLOOKUP(D2467,$D$2:$F$4,3,FALSE))-(VLOOKUP(D2467,$D$2:$F$4,3,FALSE))</f>
        <v>#N/A</v>
      </c>
      <c r="G2467" s="137" t="e">
        <f t="shared" si="42"/>
        <v>#N/A</v>
      </c>
    </row>
    <row r="2468" spans="1:7">
      <c r="A2468" s="112" t="e">
        <f>VLOOKUP('Informe Kelly'!A2462,Base!A:B,2,FALSE)</f>
        <v>#N/A</v>
      </c>
      <c r="B2468" s="112" t="e">
        <f>VLOOKUP('Informe Kelly'!A2462,Base!A:G,7,FALSE)</f>
        <v>#N/A</v>
      </c>
      <c r="C2468" s="112">
        <f>'Informe Kelly'!E2462</f>
        <v>0</v>
      </c>
      <c r="D2468" s="112" t="e">
        <f>VLOOKUP(A2468,Ingreso!K:P,6,FALSE)</f>
        <v>#N/A</v>
      </c>
      <c r="E2468" s="142" t="e">
        <f>(VLOOKUP(D2468,$D$2:$E$4,2,FALSE))-(IF('Informe Kelly'!H2462=$A$2,'Informe Kelly'!F2462,VLOOKUP(D2468,$D$2:$E$4,2,FALSE)))</f>
        <v>#N/A</v>
      </c>
      <c r="F2468" s="142" t="e">
        <f>IF('Informe Kelly'!H2462=$A$3,'Informe Kelly'!F2462,VLOOKUP(D2468,$D$2:$F$4,3,FALSE))-(VLOOKUP(D2468,$D$2:$F$4,3,FALSE))</f>
        <v>#N/A</v>
      </c>
      <c r="G2468" s="137" t="e">
        <f t="shared" si="42"/>
        <v>#N/A</v>
      </c>
    </row>
    <row r="2469" spans="1:7">
      <c r="A2469" s="112" t="e">
        <f>VLOOKUP('Informe Kelly'!A2463,Base!A:B,2,FALSE)</f>
        <v>#N/A</v>
      </c>
      <c r="B2469" s="112" t="e">
        <f>VLOOKUP('Informe Kelly'!A2463,Base!A:G,7,FALSE)</f>
        <v>#N/A</v>
      </c>
      <c r="C2469" s="112">
        <f>'Informe Kelly'!E2463</f>
        <v>0</v>
      </c>
      <c r="D2469" s="112" t="e">
        <f>VLOOKUP(A2469,Ingreso!K:P,6,FALSE)</f>
        <v>#N/A</v>
      </c>
      <c r="E2469" s="142" t="e">
        <f>(VLOOKUP(D2469,$D$2:$E$4,2,FALSE))-(IF('Informe Kelly'!H2463=$A$2,'Informe Kelly'!F2463,VLOOKUP(D2469,$D$2:$E$4,2,FALSE)))</f>
        <v>#N/A</v>
      </c>
      <c r="F2469" s="142" t="e">
        <f>IF('Informe Kelly'!H2463=$A$3,'Informe Kelly'!F2463,VLOOKUP(D2469,$D$2:$F$4,3,FALSE))-(VLOOKUP(D2469,$D$2:$F$4,3,FALSE))</f>
        <v>#N/A</v>
      </c>
      <c r="G2469" s="137" t="e">
        <f t="shared" si="42"/>
        <v>#N/A</v>
      </c>
    </row>
    <row r="2470" spans="1:7">
      <c r="A2470" s="112" t="e">
        <f>VLOOKUP('Informe Kelly'!A2464,Base!A:B,2,FALSE)</f>
        <v>#N/A</v>
      </c>
      <c r="B2470" s="112" t="e">
        <f>VLOOKUP('Informe Kelly'!A2464,Base!A:G,7,FALSE)</f>
        <v>#N/A</v>
      </c>
      <c r="C2470" s="112">
        <f>'Informe Kelly'!E2464</f>
        <v>0</v>
      </c>
      <c r="D2470" s="112" t="e">
        <f>VLOOKUP(A2470,Ingreso!K:P,6,FALSE)</f>
        <v>#N/A</v>
      </c>
      <c r="E2470" s="142" t="e">
        <f>(VLOOKUP(D2470,$D$2:$E$4,2,FALSE))-(IF('Informe Kelly'!H2464=$A$2,'Informe Kelly'!F2464,VLOOKUP(D2470,$D$2:$E$4,2,FALSE)))</f>
        <v>#N/A</v>
      </c>
      <c r="F2470" s="142" t="e">
        <f>IF('Informe Kelly'!H2464=$A$3,'Informe Kelly'!F2464,VLOOKUP(D2470,$D$2:$F$4,3,FALSE))-(VLOOKUP(D2470,$D$2:$F$4,3,FALSE))</f>
        <v>#N/A</v>
      </c>
      <c r="G2470" s="137" t="e">
        <f t="shared" si="42"/>
        <v>#N/A</v>
      </c>
    </row>
    <row r="2471" spans="1:7">
      <c r="A2471" s="112" t="e">
        <f>VLOOKUP('Informe Kelly'!A2465,Base!A:B,2,FALSE)</f>
        <v>#N/A</v>
      </c>
      <c r="B2471" s="112" t="e">
        <f>VLOOKUP('Informe Kelly'!A2465,Base!A:G,7,FALSE)</f>
        <v>#N/A</v>
      </c>
      <c r="C2471" s="112">
        <f>'Informe Kelly'!E2465</f>
        <v>0</v>
      </c>
      <c r="D2471" s="112" t="e">
        <f>VLOOKUP(A2471,Ingreso!K:P,6,FALSE)</f>
        <v>#N/A</v>
      </c>
      <c r="E2471" s="142" t="e">
        <f>(VLOOKUP(D2471,$D$2:$E$4,2,FALSE))-(IF('Informe Kelly'!H2465=$A$2,'Informe Kelly'!F2465,VLOOKUP(D2471,$D$2:$E$4,2,FALSE)))</f>
        <v>#N/A</v>
      </c>
      <c r="F2471" s="142" t="e">
        <f>IF('Informe Kelly'!H2465=$A$3,'Informe Kelly'!F2465,VLOOKUP(D2471,$D$2:$F$4,3,FALSE))-(VLOOKUP(D2471,$D$2:$F$4,3,FALSE))</f>
        <v>#N/A</v>
      </c>
      <c r="G2471" s="137" t="e">
        <f t="shared" si="42"/>
        <v>#N/A</v>
      </c>
    </row>
    <row r="2472" spans="1:7">
      <c r="A2472" s="112" t="e">
        <f>VLOOKUP('Informe Kelly'!A2466,Base!A:B,2,FALSE)</f>
        <v>#N/A</v>
      </c>
      <c r="B2472" s="112" t="e">
        <f>VLOOKUP('Informe Kelly'!A2466,Base!A:G,7,FALSE)</f>
        <v>#N/A</v>
      </c>
      <c r="C2472" s="112">
        <f>'Informe Kelly'!E2466</f>
        <v>0</v>
      </c>
      <c r="D2472" s="112" t="e">
        <f>VLOOKUP(A2472,Ingreso!K:P,6,FALSE)</f>
        <v>#N/A</v>
      </c>
      <c r="E2472" s="142" t="e">
        <f>(VLOOKUP(D2472,$D$2:$E$4,2,FALSE))-(IF('Informe Kelly'!H2466=$A$2,'Informe Kelly'!F2466,VLOOKUP(D2472,$D$2:$E$4,2,FALSE)))</f>
        <v>#N/A</v>
      </c>
      <c r="F2472" s="142" t="e">
        <f>IF('Informe Kelly'!H2466=$A$3,'Informe Kelly'!F2466,VLOOKUP(D2472,$D$2:$F$4,3,FALSE))-(VLOOKUP(D2472,$D$2:$F$4,3,FALSE))</f>
        <v>#N/A</v>
      </c>
      <c r="G2472" s="137" t="e">
        <f t="shared" si="42"/>
        <v>#N/A</v>
      </c>
    </row>
    <row r="2473" spans="1:7">
      <c r="A2473" s="112" t="e">
        <f>VLOOKUP('Informe Kelly'!A2467,Base!A:B,2,FALSE)</f>
        <v>#N/A</v>
      </c>
      <c r="B2473" s="112" t="e">
        <f>VLOOKUP('Informe Kelly'!A2467,Base!A:G,7,FALSE)</f>
        <v>#N/A</v>
      </c>
      <c r="C2473" s="112">
        <f>'Informe Kelly'!E2467</f>
        <v>0</v>
      </c>
      <c r="D2473" s="112" t="e">
        <f>VLOOKUP(A2473,Ingreso!K:P,6,FALSE)</f>
        <v>#N/A</v>
      </c>
      <c r="E2473" s="142" t="e">
        <f>(VLOOKUP(D2473,$D$2:$E$4,2,FALSE))-(IF('Informe Kelly'!H2467=$A$2,'Informe Kelly'!F2467,VLOOKUP(D2473,$D$2:$E$4,2,FALSE)))</f>
        <v>#N/A</v>
      </c>
      <c r="F2473" s="142" t="e">
        <f>IF('Informe Kelly'!H2467=$A$3,'Informe Kelly'!F2467,VLOOKUP(D2473,$D$2:$F$4,3,FALSE))-(VLOOKUP(D2473,$D$2:$F$4,3,FALSE))</f>
        <v>#N/A</v>
      </c>
      <c r="G2473" s="137" t="e">
        <f t="shared" si="42"/>
        <v>#N/A</v>
      </c>
    </row>
    <row r="2474" spans="1:7">
      <c r="A2474" s="112" t="e">
        <f>VLOOKUP('Informe Kelly'!A2468,Base!A:B,2,FALSE)</f>
        <v>#N/A</v>
      </c>
      <c r="B2474" s="112" t="e">
        <f>VLOOKUP('Informe Kelly'!A2468,Base!A:G,7,FALSE)</f>
        <v>#N/A</v>
      </c>
      <c r="C2474" s="112">
        <f>'Informe Kelly'!E2468</f>
        <v>0</v>
      </c>
      <c r="D2474" s="112" t="e">
        <f>VLOOKUP(A2474,Ingreso!K:P,6,FALSE)</f>
        <v>#N/A</v>
      </c>
      <c r="E2474" s="142" t="e">
        <f>(VLOOKUP(D2474,$D$2:$E$4,2,FALSE))-(IF('Informe Kelly'!H2468=$A$2,'Informe Kelly'!F2468,VLOOKUP(D2474,$D$2:$E$4,2,FALSE)))</f>
        <v>#N/A</v>
      </c>
      <c r="F2474" s="142" t="e">
        <f>IF('Informe Kelly'!H2468=$A$3,'Informe Kelly'!F2468,VLOOKUP(D2474,$D$2:$F$4,3,FALSE))-(VLOOKUP(D2474,$D$2:$F$4,3,FALSE))</f>
        <v>#N/A</v>
      </c>
      <c r="G2474" s="137" t="e">
        <f t="shared" si="42"/>
        <v>#N/A</v>
      </c>
    </row>
    <row r="2475" spans="1:7">
      <c r="A2475" s="112" t="e">
        <f>VLOOKUP('Informe Kelly'!A2469,Base!A:B,2,FALSE)</f>
        <v>#N/A</v>
      </c>
      <c r="B2475" s="112" t="e">
        <f>VLOOKUP('Informe Kelly'!A2469,Base!A:G,7,FALSE)</f>
        <v>#N/A</v>
      </c>
      <c r="C2475" s="112">
        <f>'Informe Kelly'!E2469</f>
        <v>0</v>
      </c>
      <c r="D2475" s="112" t="e">
        <f>VLOOKUP(A2475,Ingreso!K:P,6,FALSE)</f>
        <v>#N/A</v>
      </c>
      <c r="E2475" s="142" t="e">
        <f>(VLOOKUP(D2475,$D$2:$E$4,2,FALSE))-(IF('Informe Kelly'!H2469=$A$2,'Informe Kelly'!F2469,VLOOKUP(D2475,$D$2:$E$4,2,FALSE)))</f>
        <v>#N/A</v>
      </c>
      <c r="F2475" s="142" t="e">
        <f>IF('Informe Kelly'!H2469=$A$3,'Informe Kelly'!F2469,VLOOKUP(D2475,$D$2:$F$4,3,FALSE))-(VLOOKUP(D2475,$D$2:$F$4,3,FALSE))</f>
        <v>#N/A</v>
      </c>
      <c r="G2475" s="137" t="e">
        <f t="shared" si="42"/>
        <v>#N/A</v>
      </c>
    </row>
    <row r="2476" spans="1:7">
      <c r="A2476" s="112" t="e">
        <f>VLOOKUP('Informe Kelly'!A2470,Base!A:B,2,FALSE)</f>
        <v>#N/A</v>
      </c>
      <c r="B2476" s="112" t="e">
        <f>VLOOKUP('Informe Kelly'!A2470,Base!A:G,7,FALSE)</f>
        <v>#N/A</v>
      </c>
      <c r="C2476" s="112">
        <f>'Informe Kelly'!E2470</f>
        <v>0</v>
      </c>
      <c r="D2476" s="112" t="e">
        <f>VLOOKUP(A2476,Ingreso!K:P,6,FALSE)</f>
        <v>#N/A</v>
      </c>
      <c r="E2476" s="142" t="e">
        <f>(VLOOKUP(D2476,$D$2:$E$4,2,FALSE))-(IF('Informe Kelly'!H2470=$A$2,'Informe Kelly'!F2470,VLOOKUP(D2476,$D$2:$E$4,2,FALSE)))</f>
        <v>#N/A</v>
      </c>
      <c r="F2476" s="142" t="e">
        <f>IF('Informe Kelly'!H2470=$A$3,'Informe Kelly'!F2470,VLOOKUP(D2476,$D$2:$F$4,3,FALSE))-(VLOOKUP(D2476,$D$2:$F$4,3,FALSE))</f>
        <v>#N/A</v>
      </c>
      <c r="G2476" s="137" t="e">
        <f t="shared" si="42"/>
        <v>#N/A</v>
      </c>
    </row>
    <row r="2477" spans="1:7">
      <c r="A2477" s="112" t="e">
        <f>VLOOKUP('Informe Kelly'!A2471,Base!A:B,2,FALSE)</f>
        <v>#N/A</v>
      </c>
      <c r="B2477" s="112" t="e">
        <f>VLOOKUP('Informe Kelly'!A2471,Base!A:G,7,FALSE)</f>
        <v>#N/A</v>
      </c>
      <c r="C2477" s="112">
        <f>'Informe Kelly'!E2471</f>
        <v>0</v>
      </c>
      <c r="D2477" s="112" t="e">
        <f>VLOOKUP(A2477,Ingreso!K:P,6,FALSE)</f>
        <v>#N/A</v>
      </c>
      <c r="E2477" s="142" t="e">
        <f>(VLOOKUP(D2477,$D$2:$E$4,2,FALSE))-(IF('Informe Kelly'!H2471=$A$2,'Informe Kelly'!F2471,VLOOKUP(D2477,$D$2:$E$4,2,FALSE)))</f>
        <v>#N/A</v>
      </c>
      <c r="F2477" s="142" t="e">
        <f>IF('Informe Kelly'!H2471=$A$3,'Informe Kelly'!F2471,VLOOKUP(D2477,$D$2:$F$4,3,FALSE))-(VLOOKUP(D2477,$D$2:$F$4,3,FALSE))</f>
        <v>#N/A</v>
      </c>
      <c r="G2477" s="137" t="e">
        <f t="shared" si="42"/>
        <v>#N/A</v>
      </c>
    </row>
    <row r="2478" spans="1:7">
      <c r="A2478" s="112" t="e">
        <f>VLOOKUP('Informe Kelly'!A2472,Base!A:B,2,FALSE)</f>
        <v>#N/A</v>
      </c>
      <c r="B2478" s="112" t="e">
        <f>VLOOKUP('Informe Kelly'!A2472,Base!A:G,7,FALSE)</f>
        <v>#N/A</v>
      </c>
      <c r="C2478" s="112">
        <f>'Informe Kelly'!E2472</f>
        <v>0</v>
      </c>
      <c r="D2478" s="112" t="e">
        <f>VLOOKUP(A2478,Ingreso!K:P,6,FALSE)</f>
        <v>#N/A</v>
      </c>
      <c r="E2478" s="142" t="e">
        <f>(VLOOKUP(D2478,$D$2:$E$4,2,FALSE))-(IF('Informe Kelly'!H2472=$A$2,'Informe Kelly'!F2472,VLOOKUP(D2478,$D$2:$E$4,2,FALSE)))</f>
        <v>#N/A</v>
      </c>
      <c r="F2478" s="142" t="e">
        <f>IF('Informe Kelly'!H2472=$A$3,'Informe Kelly'!F2472,VLOOKUP(D2478,$D$2:$F$4,3,FALSE))-(VLOOKUP(D2478,$D$2:$F$4,3,FALSE))</f>
        <v>#N/A</v>
      </c>
      <c r="G2478" s="137" t="e">
        <f t="shared" si="42"/>
        <v>#N/A</v>
      </c>
    </row>
    <row r="2479" spans="1:7">
      <c r="A2479" s="112" t="e">
        <f>VLOOKUP('Informe Kelly'!A2473,Base!A:B,2,FALSE)</f>
        <v>#N/A</v>
      </c>
      <c r="B2479" s="112" t="e">
        <f>VLOOKUP('Informe Kelly'!A2473,Base!A:G,7,FALSE)</f>
        <v>#N/A</v>
      </c>
      <c r="C2479" s="112">
        <f>'Informe Kelly'!E2473</f>
        <v>0</v>
      </c>
      <c r="D2479" s="112" t="e">
        <f>VLOOKUP(A2479,Ingreso!K:P,6,FALSE)</f>
        <v>#N/A</v>
      </c>
      <c r="E2479" s="142" t="e">
        <f>(VLOOKUP(D2479,$D$2:$E$4,2,FALSE))-(IF('Informe Kelly'!H2473=$A$2,'Informe Kelly'!F2473,VLOOKUP(D2479,$D$2:$E$4,2,FALSE)))</f>
        <v>#N/A</v>
      </c>
      <c r="F2479" s="142" t="e">
        <f>IF('Informe Kelly'!H2473=$A$3,'Informe Kelly'!F2473,VLOOKUP(D2479,$D$2:$F$4,3,FALSE))-(VLOOKUP(D2479,$D$2:$F$4,3,FALSE))</f>
        <v>#N/A</v>
      </c>
      <c r="G2479" s="137" t="e">
        <f t="shared" si="42"/>
        <v>#N/A</v>
      </c>
    </row>
    <row r="2480" spans="1:7">
      <c r="A2480" s="112" t="e">
        <f>VLOOKUP('Informe Kelly'!A2474,Base!A:B,2,FALSE)</f>
        <v>#N/A</v>
      </c>
      <c r="B2480" s="112" t="e">
        <f>VLOOKUP('Informe Kelly'!A2474,Base!A:G,7,FALSE)</f>
        <v>#N/A</v>
      </c>
      <c r="C2480" s="112">
        <f>'Informe Kelly'!E2474</f>
        <v>0</v>
      </c>
      <c r="D2480" s="112" t="e">
        <f>VLOOKUP(A2480,Ingreso!K:P,6,FALSE)</f>
        <v>#N/A</v>
      </c>
      <c r="E2480" s="142" t="e">
        <f>(VLOOKUP(D2480,$D$2:$E$4,2,FALSE))-(IF('Informe Kelly'!H2474=$A$2,'Informe Kelly'!F2474,VLOOKUP(D2480,$D$2:$E$4,2,FALSE)))</f>
        <v>#N/A</v>
      </c>
      <c r="F2480" s="142" t="e">
        <f>IF('Informe Kelly'!H2474=$A$3,'Informe Kelly'!F2474,VLOOKUP(D2480,$D$2:$F$4,3,FALSE))-(VLOOKUP(D2480,$D$2:$F$4,3,FALSE))</f>
        <v>#N/A</v>
      </c>
      <c r="G2480" s="137" t="e">
        <f t="shared" si="42"/>
        <v>#N/A</v>
      </c>
    </row>
    <row r="2481" spans="1:7">
      <c r="A2481" s="112" t="e">
        <f>VLOOKUP('Informe Kelly'!A2475,Base!A:B,2,FALSE)</f>
        <v>#N/A</v>
      </c>
      <c r="B2481" s="112" t="e">
        <f>VLOOKUP('Informe Kelly'!A2475,Base!A:G,7,FALSE)</f>
        <v>#N/A</v>
      </c>
      <c r="C2481" s="112">
        <f>'Informe Kelly'!E2475</f>
        <v>0</v>
      </c>
      <c r="D2481" s="112" t="e">
        <f>VLOOKUP(A2481,Ingreso!K:P,6,FALSE)</f>
        <v>#N/A</v>
      </c>
      <c r="E2481" s="142" t="e">
        <f>(VLOOKUP(D2481,$D$2:$E$4,2,FALSE))-(IF('Informe Kelly'!H2475=$A$2,'Informe Kelly'!F2475,VLOOKUP(D2481,$D$2:$E$4,2,FALSE)))</f>
        <v>#N/A</v>
      </c>
      <c r="F2481" s="142" t="e">
        <f>IF('Informe Kelly'!H2475=$A$3,'Informe Kelly'!F2475,VLOOKUP(D2481,$D$2:$F$4,3,FALSE))-(VLOOKUP(D2481,$D$2:$F$4,3,FALSE))</f>
        <v>#N/A</v>
      </c>
      <c r="G2481" s="137" t="e">
        <f t="shared" si="42"/>
        <v>#N/A</v>
      </c>
    </row>
    <row r="2482" spans="1:7">
      <c r="A2482" s="112" t="e">
        <f>VLOOKUP('Informe Kelly'!A2476,Base!A:B,2,FALSE)</f>
        <v>#N/A</v>
      </c>
      <c r="B2482" s="112" t="e">
        <f>VLOOKUP('Informe Kelly'!A2476,Base!A:G,7,FALSE)</f>
        <v>#N/A</v>
      </c>
      <c r="C2482" s="112">
        <f>'Informe Kelly'!E2476</f>
        <v>0</v>
      </c>
      <c r="D2482" s="112" t="e">
        <f>VLOOKUP(A2482,Ingreso!K:P,6,FALSE)</f>
        <v>#N/A</v>
      </c>
      <c r="E2482" s="142" t="e">
        <f>(VLOOKUP(D2482,$D$2:$E$4,2,FALSE))-(IF('Informe Kelly'!H2476=$A$2,'Informe Kelly'!F2476,VLOOKUP(D2482,$D$2:$E$4,2,FALSE)))</f>
        <v>#N/A</v>
      </c>
      <c r="F2482" s="142" t="e">
        <f>IF('Informe Kelly'!H2476=$A$3,'Informe Kelly'!F2476,VLOOKUP(D2482,$D$2:$F$4,3,FALSE))-(VLOOKUP(D2482,$D$2:$F$4,3,FALSE))</f>
        <v>#N/A</v>
      </c>
      <c r="G2482" s="137" t="e">
        <f t="shared" si="42"/>
        <v>#N/A</v>
      </c>
    </row>
    <row r="2483" spans="1:7">
      <c r="A2483" s="112" t="e">
        <f>VLOOKUP('Informe Kelly'!A2477,Base!A:B,2,FALSE)</f>
        <v>#N/A</v>
      </c>
      <c r="B2483" s="112" t="e">
        <f>VLOOKUP('Informe Kelly'!A2477,Base!A:G,7,FALSE)</f>
        <v>#N/A</v>
      </c>
      <c r="C2483" s="112">
        <f>'Informe Kelly'!E2477</f>
        <v>0</v>
      </c>
      <c r="D2483" s="112" t="e">
        <f>VLOOKUP(A2483,Ingreso!K:P,6,FALSE)</f>
        <v>#N/A</v>
      </c>
      <c r="E2483" s="142" t="e">
        <f>(VLOOKUP(D2483,$D$2:$E$4,2,FALSE))-(IF('Informe Kelly'!H2477=$A$2,'Informe Kelly'!F2477,VLOOKUP(D2483,$D$2:$E$4,2,FALSE)))</f>
        <v>#N/A</v>
      </c>
      <c r="F2483" s="142" t="e">
        <f>IF('Informe Kelly'!H2477=$A$3,'Informe Kelly'!F2477,VLOOKUP(D2483,$D$2:$F$4,3,FALSE))-(VLOOKUP(D2483,$D$2:$F$4,3,FALSE))</f>
        <v>#N/A</v>
      </c>
      <c r="G2483" s="137" t="e">
        <f t="shared" si="42"/>
        <v>#N/A</v>
      </c>
    </row>
    <row r="2484" spans="1:7">
      <c r="A2484" s="112" t="e">
        <f>VLOOKUP('Informe Kelly'!A2478,Base!A:B,2,FALSE)</f>
        <v>#N/A</v>
      </c>
      <c r="B2484" s="112" t="e">
        <f>VLOOKUP('Informe Kelly'!A2478,Base!A:G,7,FALSE)</f>
        <v>#N/A</v>
      </c>
      <c r="C2484" s="112">
        <f>'Informe Kelly'!E2478</f>
        <v>0</v>
      </c>
      <c r="D2484" s="112" t="e">
        <f>VLOOKUP(A2484,Ingreso!K:P,6,FALSE)</f>
        <v>#N/A</v>
      </c>
      <c r="E2484" s="142" t="e">
        <f>(VLOOKUP(D2484,$D$2:$E$4,2,FALSE))-(IF('Informe Kelly'!H2478=$A$2,'Informe Kelly'!F2478,VLOOKUP(D2484,$D$2:$E$4,2,FALSE)))</f>
        <v>#N/A</v>
      </c>
      <c r="F2484" s="142" t="e">
        <f>IF('Informe Kelly'!H2478=$A$3,'Informe Kelly'!F2478,VLOOKUP(D2484,$D$2:$F$4,3,FALSE))-(VLOOKUP(D2484,$D$2:$F$4,3,FALSE))</f>
        <v>#N/A</v>
      </c>
      <c r="G2484" s="137" t="e">
        <f t="shared" si="42"/>
        <v>#N/A</v>
      </c>
    </row>
    <row r="2485" spans="1:7">
      <c r="A2485" s="112" t="e">
        <f>VLOOKUP('Informe Kelly'!A2479,Base!A:B,2,FALSE)</f>
        <v>#N/A</v>
      </c>
      <c r="B2485" s="112" t="e">
        <f>VLOOKUP('Informe Kelly'!A2479,Base!A:G,7,FALSE)</f>
        <v>#N/A</v>
      </c>
      <c r="C2485" s="112">
        <f>'Informe Kelly'!E2479</f>
        <v>0</v>
      </c>
      <c r="D2485" s="112" t="e">
        <f>VLOOKUP(A2485,Ingreso!K:P,6,FALSE)</f>
        <v>#N/A</v>
      </c>
      <c r="E2485" s="142" t="e">
        <f>(VLOOKUP(D2485,$D$2:$E$4,2,FALSE))-(IF('Informe Kelly'!H2479=$A$2,'Informe Kelly'!F2479,VLOOKUP(D2485,$D$2:$E$4,2,FALSE)))</f>
        <v>#N/A</v>
      </c>
      <c r="F2485" s="142" t="e">
        <f>IF('Informe Kelly'!H2479=$A$3,'Informe Kelly'!F2479,VLOOKUP(D2485,$D$2:$F$4,3,FALSE))-(VLOOKUP(D2485,$D$2:$F$4,3,FALSE))</f>
        <v>#N/A</v>
      </c>
      <c r="G2485" s="137" t="e">
        <f t="shared" si="42"/>
        <v>#N/A</v>
      </c>
    </row>
    <row r="2486" spans="1:7">
      <c r="A2486" s="112" t="e">
        <f>VLOOKUP('Informe Kelly'!A2480,Base!A:B,2,FALSE)</f>
        <v>#N/A</v>
      </c>
      <c r="B2486" s="112" t="e">
        <f>VLOOKUP('Informe Kelly'!A2480,Base!A:G,7,FALSE)</f>
        <v>#N/A</v>
      </c>
      <c r="C2486" s="112">
        <f>'Informe Kelly'!E2480</f>
        <v>0</v>
      </c>
      <c r="D2486" s="112" t="e">
        <f>VLOOKUP(A2486,Ingreso!K:P,6,FALSE)</f>
        <v>#N/A</v>
      </c>
      <c r="E2486" s="142" t="e">
        <f>(VLOOKUP(D2486,$D$2:$E$4,2,FALSE))-(IF('Informe Kelly'!H2480=$A$2,'Informe Kelly'!F2480,VLOOKUP(D2486,$D$2:$E$4,2,FALSE)))</f>
        <v>#N/A</v>
      </c>
      <c r="F2486" s="142" t="e">
        <f>IF('Informe Kelly'!H2480=$A$3,'Informe Kelly'!F2480,VLOOKUP(D2486,$D$2:$F$4,3,FALSE))-(VLOOKUP(D2486,$D$2:$F$4,3,FALSE))</f>
        <v>#N/A</v>
      </c>
      <c r="G2486" s="137" t="e">
        <f t="shared" si="42"/>
        <v>#N/A</v>
      </c>
    </row>
    <row r="2487" spans="1:7">
      <c r="A2487" s="112" t="e">
        <f>VLOOKUP('Informe Kelly'!A2481,Base!A:B,2,FALSE)</f>
        <v>#N/A</v>
      </c>
      <c r="B2487" s="112" t="e">
        <f>VLOOKUP('Informe Kelly'!A2481,Base!A:G,7,FALSE)</f>
        <v>#N/A</v>
      </c>
      <c r="C2487" s="112">
        <f>'Informe Kelly'!E2481</f>
        <v>0</v>
      </c>
      <c r="D2487" s="112" t="e">
        <f>VLOOKUP(A2487,Ingreso!K:P,6,FALSE)</f>
        <v>#N/A</v>
      </c>
      <c r="E2487" s="142" t="e">
        <f>(VLOOKUP(D2487,$D$2:$E$4,2,FALSE))-(IF('Informe Kelly'!H2481=$A$2,'Informe Kelly'!F2481,VLOOKUP(D2487,$D$2:$E$4,2,FALSE)))</f>
        <v>#N/A</v>
      </c>
      <c r="F2487" s="142" t="e">
        <f>IF('Informe Kelly'!H2481=$A$3,'Informe Kelly'!F2481,VLOOKUP(D2487,$D$2:$F$4,3,FALSE))-(VLOOKUP(D2487,$D$2:$F$4,3,FALSE))</f>
        <v>#N/A</v>
      </c>
      <c r="G2487" s="137" t="e">
        <f t="shared" si="42"/>
        <v>#N/A</v>
      </c>
    </row>
    <row r="2488" spans="1:7">
      <c r="A2488" s="112" t="e">
        <f>VLOOKUP('Informe Kelly'!A2482,Base!A:B,2,FALSE)</f>
        <v>#N/A</v>
      </c>
      <c r="B2488" s="112" t="e">
        <f>VLOOKUP('Informe Kelly'!A2482,Base!A:G,7,FALSE)</f>
        <v>#N/A</v>
      </c>
      <c r="C2488" s="112">
        <f>'Informe Kelly'!E2482</f>
        <v>0</v>
      </c>
      <c r="D2488" s="112" t="e">
        <f>VLOOKUP(A2488,Ingreso!K:P,6,FALSE)</f>
        <v>#N/A</v>
      </c>
      <c r="E2488" s="142" t="e">
        <f>(VLOOKUP(D2488,$D$2:$E$4,2,FALSE))-(IF('Informe Kelly'!H2482=$A$2,'Informe Kelly'!F2482,VLOOKUP(D2488,$D$2:$E$4,2,FALSE)))</f>
        <v>#N/A</v>
      </c>
      <c r="F2488" s="142" t="e">
        <f>IF('Informe Kelly'!H2482=$A$3,'Informe Kelly'!F2482,VLOOKUP(D2488,$D$2:$F$4,3,FALSE))-(VLOOKUP(D2488,$D$2:$F$4,3,FALSE))</f>
        <v>#N/A</v>
      </c>
      <c r="G2488" s="137" t="e">
        <f t="shared" si="42"/>
        <v>#N/A</v>
      </c>
    </row>
    <row r="2489" spans="1:7">
      <c r="A2489" s="112" t="e">
        <f>VLOOKUP('Informe Kelly'!A2483,Base!A:B,2,FALSE)</f>
        <v>#N/A</v>
      </c>
      <c r="B2489" s="112" t="e">
        <f>VLOOKUP('Informe Kelly'!A2483,Base!A:G,7,FALSE)</f>
        <v>#N/A</v>
      </c>
      <c r="C2489" s="112">
        <f>'Informe Kelly'!E2483</f>
        <v>0</v>
      </c>
      <c r="D2489" s="112" t="e">
        <f>VLOOKUP(A2489,Ingreso!K:P,6,FALSE)</f>
        <v>#N/A</v>
      </c>
      <c r="E2489" s="142" t="e">
        <f>(VLOOKUP(D2489,$D$2:$E$4,2,FALSE))-(IF('Informe Kelly'!H2483=$A$2,'Informe Kelly'!F2483,VLOOKUP(D2489,$D$2:$E$4,2,FALSE)))</f>
        <v>#N/A</v>
      </c>
      <c r="F2489" s="142" t="e">
        <f>IF('Informe Kelly'!H2483=$A$3,'Informe Kelly'!F2483,VLOOKUP(D2489,$D$2:$F$4,3,FALSE))-(VLOOKUP(D2489,$D$2:$F$4,3,FALSE))</f>
        <v>#N/A</v>
      </c>
      <c r="G2489" s="137" t="e">
        <f t="shared" si="42"/>
        <v>#N/A</v>
      </c>
    </row>
    <row r="2490" spans="1:7">
      <c r="A2490" s="112" t="e">
        <f>VLOOKUP('Informe Kelly'!A2484,Base!A:B,2,FALSE)</f>
        <v>#N/A</v>
      </c>
      <c r="B2490" s="112" t="e">
        <f>VLOOKUP('Informe Kelly'!A2484,Base!A:G,7,FALSE)</f>
        <v>#N/A</v>
      </c>
      <c r="C2490" s="112">
        <f>'Informe Kelly'!E2484</f>
        <v>0</v>
      </c>
      <c r="D2490" s="112" t="e">
        <f>VLOOKUP(A2490,Ingreso!K:P,6,FALSE)</f>
        <v>#N/A</v>
      </c>
      <c r="E2490" s="142" t="e">
        <f>(VLOOKUP(D2490,$D$2:$E$4,2,FALSE))-(IF('Informe Kelly'!H2484=$A$2,'Informe Kelly'!F2484,VLOOKUP(D2490,$D$2:$E$4,2,FALSE)))</f>
        <v>#N/A</v>
      </c>
      <c r="F2490" s="142" t="e">
        <f>IF('Informe Kelly'!H2484=$A$3,'Informe Kelly'!F2484,VLOOKUP(D2490,$D$2:$F$4,3,FALSE))-(VLOOKUP(D2490,$D$2:$F$4,3,FALSE))</f>
        <v>#N/A</v>
      </c>
      <c r="G2490" s="137" t="e">
        <f t="shared" si="42"/>
        <v>#N/A</v>
      </c>
    </row>
    <row r="2491" spans="1:7">
      <c r="A2491" s="112" t="e">
        <f>VLOOKUP('Informe Kelly'!A2485,Base!A:B,2,FALSE)</f>
        <v>#N/A</v>
      </c>
      <c r="B2491" s="112" t="e">
        <f>VLOOKUP('Informe Kelly'!A2485,Base!A:G,7,FALSE)</f>
        <v>#N/A</v>
      </c>
      <c r="C2491" s="112">
        <f>'Informe Kelly'!E2485</f>
        <v>0</v>
      </c>
      <c r="D2491" s="112" t="e">
        <f>VLOOKUP(A2491,Ingreso!K:P,6,FALSE)</f>
        <v>#N/A</v>
      </c>
      <c r="E2491" s="142" t="e">
        <f>(VLOOKUP(D2491,$D$2:$E$4,2,FALSE))-(IF('Informe Kelly'!H2485=$A$2,'Informe Kelly'!F2485,VLOOKUP(D2491,$D$2:$E$4,2,FALSE)))</f>
        <v>#N/A</v>
      </c>
      <c r="F2491" s="142" t="e">
        <f>IF('Informe Kelly'!H2485=$A$3,'Informe Kelly'!F2485,VLOOKUP(D2491,$D$2:$F$4,3,FALSE))-(VLOOKUP(D2491,$D$2:$F$4,3,FALSE))</f>
        <v>#N/A</v>
      </c>
      <c r="G2491" s="137" t="e">
        <f t="shared" si="42"/>
        <v>#N/A</v>
      </c>
    </row>
    <row r="2492" spans="1:7">
      <c r="A2492" s="112" t="e">
        <f>VLOOKUP('Informe Kelly'!A2486,Base!A:B,2,FALSE)</f>
        <v>#N/A</v>
      </c>
      <c r="B2492" s="112" t="e">
        <f>VLOOKUP('Informe Kelly'!A2486,Base!A:G,7,FALSE)</f>
        <v>#N/A</v>
      </c>
      <c r="C2492" s="112">
        <f>'Informe Kelly'!E2486</f>
        <v>0</v>
      </c>
      <c r="D2492" s="112" t="e">
        <f>VLOOKUP(A2492,Ingreso!K:P,6,FALSE)</f>
        <v>#N/A</v>
      </c>
      <c r="E2492" s="142" t="e">
        <f>(VLOOKUP(D2492,$D$2:$E$4,2,FALSE))-(IF('Informe Kelly'!H2486=$A$2,'Informe Kelly'!F2486,VLOOKUP(D2492,$D$2:$E$4,2,FALSE)))</f>
        <v>#N/A</v>
      </c>
      <c r="F2492" s="142" t="e">
        <f>IF('Informe Kelly'!H2486=$A$3,'Informe Kelly'!F2486,VLOOKUP(D2492,$D$2:$F$4,3,FALSE))-(VLOOKUP(D2492,$D$2:$F$4,3,FALSE))</f>
        <v>#N/A</v>
      </c>
      <c r="G2492" s="137" t="e">
        <f t="shared" si="42"/>
        <v>#N/A</v>
      </c>
    </row>
    <row r="2493" spans="1:7">
      <c r="A2493" s="112" t="e">
        <f>VLOOKUP('Informe Kelly'!A2487,Base!A:B,2,FALSE)</f>
        <v>#N/A</v>
      </c>
      <c r="B2493" s="112" t="e">
        <f>VLOOKUP('Informe Kelly'!A2487,Base!A:G,7,FALSE)</f>
        <v>#N/A</v>
      </c>
      <c r="C2493" s="112">
        <f>'Informe Kelly'!E2487</f>
        <v>0</v>
      </c>
      <c r="D2493" s="112" t="e">
        <f>VLOOKUP(A2493,Ingreso!K:P,6,FALSE)</f>
        <v>#N/A</v>
      </c>
      <c r="E2493" s="142" t="e">
        <f>(VLOOKUP(D2493,$D$2:$E$4,2,FALSE))-(IF('Informe Kelly'!H2487=$A$2,'Informe Kelly'!F2487,VLOOKUP(D2493,$D$2:$E$4,2,FALSE)))</f>
        <v>#N/A</v>
      </c>
      <c r="F2493" s="142" t="e">
        <f>IF('Informe Kelly'!H2487=$A$3,'Informe Kelly'!F2487,VLOOKUP(D2493,$D$2:$F$4,3,FALSE))-(VLOOKUP(D2493,$D$2:$F$4,3,FALSE))</f>
        <v>#N/A</v>
      </c>
      <c r="G2493" s="137" t="e">
        <f t="shared" si="42"/>
        <v>#N/A</v>
      </c>
    </row>
    <row r="2494" spans="1:7">
      <c r="A2494" s="112" t="e">
        <f>VLOOKUP('Informe Kelly'!A2488,Base!A:B,2,FALSE)</f>
        <v>#N/A</v>
      </c>
      <c r="B2494" s="112" t="e">
        <f>VLOOKUP('Informe Kelly'!A2488,Base!A:G,7,FALSE)</f>
        <v>#N/A</v>
      </c>
      <c r="C2494" s="112">
        <f>'Informe Kelly'!E2488</f>
        <v>0</v>
      </c>
      <c r="D2494" s="112" t="e">
        <f>VLOOKUP(A2494,Ingreso!K:P,6,FALSE)</f>
        <v>#N/A</v>
      </c>
      <c r="E2494" s="142" t="e">
        <f>(VLOOKUP(D2494,$D$2:$E$4,2,FALSE))-(IF('Informe Kelly'!H2488=$A$2,'Informe Kelly'!F2488,VLOOKUP(D2494,$D$2:$E$4,2,FALSE)))</f>
        <v>#N/A</v>
      </c>
      <c r="F2494" s="142" t="e">
        <f>IF('Informe Kelly'!H2488=$A$3,'Informe Kelly'!F2488,VLOOKUP(D2494,$D$2:$F$4,3,FALSE))-(VLOOKUP(D2494,$D$2:$F$4,3,FALSE))</f>
        <v>#N/A</v>
      </c>
      <c r="G2494" s="137" t="e">
        <f t="shared" si="42"/>
        <v>#N/A</v>
      </c>
    </row>
    <row r="2495" spans="1:7">
      <c r="A2495" s="112" t="e">
        <f>VLOOKUP('Informe Kelly'!A2489,Base!A:B,2,FALSE)</f>
        <v>#N/A</v>
      </c>
      <c r="B2495" s="112" t="e">
        <f>VLOOKUP('Informe Kelly'!A2489,Base!A:G,7,FALSE)</f>
        <v>#N/A</v>
      </c>
      <c r="C2495" s="112">
        <f>'Informe Kelly'!E2489</f>
        <v>0</v>
      </c>
      <c r="D2495" s="112" t="e">
        <f>VLOOKUP(A2495,Ingreso!K:P,6,FALSE)</f>
        <v>#N/A</v>
      </c>
      <c r="E2495" s="142" t="e">
        <f>(VLOOKUP(D2495,$D$2:$E$4,2,FALSE))-(IF('Informe Kelly'!H2489=$A$2,'Informe Kelly'!F2489,VLOOKUP(D2495,$D$2:$E$4,2,FALSE)))</f>
        <v>#N/A</v>
      </c>
      <c r="F2495" s="142" t="e">
        <f>IF('Informe Kelly'!H2489=$A$3,'Informe Kelly'!F2489,VLOOKUP(D2495,$D$2:$F$4,3,FALSE))-(VLOOKUP(D2495,$D$2:$F$4,3,FALSE))</f>
        <v>#N/A</v>
      </c>
      <c r="G2495" s="137" t="e">
        <f t="shared" si="42"/>
        <v>#N/A</v>
      </c>
    </row>
    <row r="2496" spans="1:7">
      <c r="A2496" s="112" t="e">
        <f>VLOOKUP('Informe Kelly'!A2490,Base!A:B,2,FALSE)</f>
        <v>#N/A</v>
      </c>
      <c r="B2496" s="112" t="e">
        <f>VLOOKUP('Informe Kelly'!A2490,Base!A:G,7,FALSE)</f>
        <v>#N/A</v>
      </c>
      <c r="C2496" s="112">
        <f>'Informe Kelly'!E2490</f>
        <v>0</v>
      </c>
      <c r="D2496" s="112" t="e">
        <f>VLOOKUP(A2496,Ingreso!K:P,6,FALSE)</f>
        <v>#N/A</v>
      </c>
      <c r="E2496" s="142" t="e">
        <f>(VLOOKUP(D2496,$D$2:$E$4,2,FALSE))-(IF('Informe Kelly'!H2490=$A$2,'Informe Kelly'!F2490,VLOOKUP(D2496,$D$2:$E$4,2,FALSE)))</f>
        <v>#N/A</v>
      </c>
      <c r="F2496" s="142" t="e">
        <f>IF('Informe Kelly'!H2490=$A$3,'Informe Kelly'!F2490,VLOOKUP(D2496,$D$2:$F$4,3,FALSE))-(VLOOKUP(D2496,$D$2:$F$4,3,FALSE))</f>
        <v>#N/A</v>
      </c>
      <c r="G2496" s="137" t="e">
        <f t="shared" si="42"/>
        <v>#N/A</v>
      </c>
    </row>
    <row r="2497" spans="1:7">
      <c r="A2497" s="112" t="e">
        <f>VLOOKUP('Informe Kelly'!A2491,Base!A:B,2,FALSE)</f>
        <v>#N/A</v>
      </c>
      <c r="B2497" s="112" t="e">
        <f>VLOOKUP('Informe Kelly'!A2491,Base!A:G,7,FALSE)</f>
        <v>#N/A</v>
      </c>
      <c r="C2497" s="112">
        <f>'Informe Kelly'!E2491</f>
        <v>0</v>
      </c>
      <c r="D2497" s="112" t="e">
        <f>VLOOKUP(A2497,Ingreso!K:P,6,FALSE)</f>
        <v>#N/A</v>
      </c>
      <c r="E2497" s="142" t="e">
        <f>(VLOOKUP(D2497,$D$2:$E$4,2,FALSE))-(IF('Informe Kelly'!H2491=$A$2,'Informe Kelly'!F2491,VLOOKUP(D2497,$D$2:$E$4,2,FALSE)))</f>
        <v>#N/A</v>
      </c>
      <c r="F2497" s="142" t="e">
        <f>IF('Informe Kelly'!H2491=$A$3,'Informe Kelly'!F2491,VLOOKUP(D2497,$D$2:$F$4,3,FALSE))-(VLOOKUP(D2497,$D$2:$F$4,3,FALSE))</f>
        <v>#N/A</v>
      </c>
      <c r="G2497" s="137" t="e">
        <f t="shared" si="42"/>
        <v>#N/A</v>
      </c>
    </row>
    <row r="2498" spans="1:7">
      <c r="A2498" s="112" t="e">
        <f>VLOOKUP('Informe Kelly'!A2492,Base!A:B,2,FALSE)</f>
        <v>#N/A</v>
      </c>
      <c r="B2498" s="112" t="e">
        <f>VLOOKUP('Informe Kelly'!A2492,Base!A:G,7,FALSE)</f>
        <v>#N/A</v>
      </c>
      <c r="C2498" s="112">
        <f>'Informe Kelly'!E2492</f>
        <v>0</v>
      </c>
      <c r="D2498" s="112" t="e">
        <f>VLOOKUP(A2498,Ingreso!K:P,6,FALSE)</f>
        <v>#N/A</v>
      </c>
      <c r="E2498" s="142" t="e">
        <f>(VLOOKUP(D2498,$D$2:$E$4,2,FALSE))-(IF('Informe Kelly'!H2492=$A$2,'Informe Kelly'!F2492,VLOOKUP(D2498,$D$2:$E$4,2,FALSE)))</f>
        <v>#N/A</v>
      </c>
      <c r="F2498" s="142" t="e">
        <f>IF('Informe Kelly'!H2492=$A$3,'Informe Kelly'!F2492,VLOOKUP(D2498,$D$2:$F$4,3,FALSE))-(VLOOKUP(D2498,$D$2:$F$4,3,FALSE))</f>
        <v>#N/A</v>
      </c>
      <c r="G2498" s="137" t="e">
        <f t="shared" si="42"/>
        <v>#N/A</v>
      </c>
    </row>
    <row r="2499" spans="1:7">
      <c r="A2499" s="112" t="e">
        <f>VLOOKUP('Informe Kelly'!A2493,Base!A:B,2,FALSE)</f>
        <v>#N/A</v>
      </c>
      <c r="B2499" s="112" t="e">
        <f>VLOOKUP('Informe Kelly'!A2493,Base!A:G,7,FALSE)</f>
        <v>#N/A</v>
      </c>
      <c r="C2499" s="112">
        <f>'Informe Kelly'!E2493</f>
        <v>0</v>
      </c>
      <c r="D2499" s="112" t="e">
        <f>VLOOKUP(A2499,Ingreso!K:P,6,FALSE)</f>
        <v>#N/A</v>
      </c>
      <c r="E2499" s="142" t="e">
        <f>(VLOOKUP(D2499,$D$2:$E$4,2,FALSE))-(IF('Informe Kelly'!H2493=$A$2,'Informe Kelly'!F2493,VLOOKUP(D2499,$D$2:$E$4,2,FALSE)))</f>
        <v>#N/A</v>
      </c>
      <c r="F2499" s="142" t="e">
        <f>IF('Informe Kelly'!H2493=$A$3,'Informe Kelly'!F2493,VLOOKUP(D2499,$D$2:$F$4,3,FALSE))-(VLOOKUP(D2499,$D$2:$F$4,3,FALSE))</f>
        <v>#N/A</v>
      </c>
      <c r="G2499" s="137" t="e">
        <f t="shared" si="42"/>
        <v>#N/A</v>
      </c>
    </row>
    <row r="2500" spans="1:7">
      <c r="A2500" s="112" t="e">
        <f>VLOOKUP('Informe Kelly'!A2494,Base!A:B,2,FALSE)</f>
        <v>#N/A</v>
      </c>
      <c r="B2500" s="112" t="e">
        <f>VLOOKUP('Informe Kelly'!A2494,Base!A:G,7,FALSE)</f>
        <v>#N/A</v>
      </c>
      <c r="C2500" s="112">
        <f>'Informe Kelly'!E2494</f>
        <v>0</v>
      </c>
      <c r="D2500" s="112" t="e">
        <f>VLOOKUP(A2500,Ingreso!K:P,6,FALSE)</f>
        <v>#N/A</v>
      </c>
      <c r="E2500" s="142" t="e">
        <f>(VLOOKUP(D2500,$D$2:$E$4,2,FALSE))-(IF('Informe Kelly'!H2494=$A$2,'Informe Kelly'!F2494,VLOOKUP(D2500,$D$2:$E$4,2,FALSE)))</f>
        <v>#N/A</v>
      </c>
      <c r="F2500" s="142" t="e">
        <f>IF('Informe Kelly'!H2494=$A$3,'Informe Kelly'!F2494,VLOOKUP(D2500,$D$2:$F$4,3,FALSE))-(VLOOKUP(D2500,$D$2:$F$4,3,FALSE))</f>
        <v>#N/A</v>
      </c>
      <c r="G2500" s="137" t="e">
        <f t="shared" si="42"/>
        <v>#N/A</v>
      </c>
    </row>
    <row r="2501" spans="1:7">
      <c r="A2501" s="112" t="e">
        <f>VLOOKUP('Informe Kelly'!A2495,Base!A:B,2,FALSE)</f>
        <v>#N/A</v>
      </c>
      <c r="B2501" s="112" t="e">
        <f>VLOOKUP('Informe Kelly'!A2495,Base!A:G,7,FALSE)</f>
        <v>#N/A</v>
      </c>
      <c r="C2501" s="112">
        <f>'Informe Kelly'!E2495</f>
        <v>0</v>
      </c>
      <c r="D2501" s="112" t="e">
        <f>VLOOKUP(A2501,Ingreso!K:P,6,FALSE)</f>
        <v>#N/A</v>
      </c>
      <c r="E2501" s="142" t="e">
        <f>(VLOOKUP(D2501,$D$2:$E$4,2,FALSE))-(IF('Informe Kelly'!H2495=$A$2,'Informe Kelly'!F2495,VLOOKUP(D2501,$D$2:$E$4,2,FALSE)))</f>
        <v>#N/A</v>
      </c>
      <c r="F2501" s="142" t="e">
        <f>IF('Informe Kelly'!H2495=$A$3,'Informe Kelly'!F2495,VLOOKUP(D2501,$D$2:$F$4,3,FALSE))-(VLOOKUP(D2501,$D$2:$F$4,3,FALSE))</f>
        <v>#N/A</v>
      </c>
      <c r="G2501" s="137" t="e">
        <f t="shared" si="42"/>
        <v>#N/A</v>
      </c>
    </row>
    <row r="2502" spans="1:7">
      <c r="A2502" s="112" t="e">
        <f>VLOOKUP('Informe Kelly'!A2496,Base!A:B,2,FALSE)</f>
        <v>#N/A</v>
      </c>
      <c r="B2502" s="112" t="e">
        <f>VLOOKUP('Informe Kelly'!A2496,Base!A:G,7,FALSE)</f>
        <v>#N/A</v>
      </c>
      <c r="C2502" s="112">
        <f>'Informe Kelly'!E2496</f>
        <v>0</v>
      </c>
      <c r="D2502" s="112" t="e">
        <f>VLOOKUP(A2502,Ingreso!K:P,6,FALSE)</f>
        <v>#N/A</v>
      </c>
      <c r="E2502" s="142" t="e">
        <f>(VLOOKUP(D2502,$D$2:$E$4,2,FALSE))-(IF('Informe Kelly'!H2496=$A$2,'Informe Kelly'!F2496,VLOOKUP(D2502,$D$2:$E$4,2,FALSE)))</f>
        <v>#N/A</v>
      </c>
      <c r="F2502" s="142" t="e">
        <f>IF('Informe Kelly'!H2496=$A$3,'Informe Kelly'!F2496,VLOOKUP(D2502,$D$2:$F$4,3,FALSE))-(VLOOKUP(D2502,$D$2:$F$4,3,FALSE))</f>
        <v>#N/A</v>
      </c>
      <c r="G2502" s="137" t="e">
        <f t="shared" si="42"/>
        <v>#N/A</v>
      </c>
    </row>
    <row r="2503" spans="1:7">
      <c r="A2503" s="112" t="e">
        <f>VLOOKUP('Informe Kelly'!A2497,Base!A:B,2,FALSE)</f>
        <v>#N/A</v>
      </c>
      <c r="B2503" s="112" t="e">
        <f>VLOOKUP('Informe Kelly'!A2497,Base!A:G,7,FALSE)</f>
        <v>#N/A</v>
      </c>
      <c r="C2503" s="112">
        <f>'Informe Kelly'!E2497</f>
        <v>0</v>
      </c>
      <c r="D2503" s="112" t="e">
        <f>VLOOKUP(A2503,Ingreso!K:P,6,FALSE)</f>
        <v>#N/A</v>
      </c>
      <c r="E2503" s="142" t="e">
        <f>(VLOOKUP(D2503,$D$2:$E$4,2,FALSE))-(IF('Informe Kelly'!H2497=$A$2,'Informe Kelly'!F2497,VLOOKUP(D2503,$D$2:$E$4,2,FALSE)))</f>
        <v>#N/A</v>
      </c>
      <c r="F2503" s="142" t="e">
        <f>IF('Informe Kelly'!H2497=$A$3,'Informe Kelly'!F2497,VLOOKUP(D2503,$D$2:$F$4,3,FALSE))-(VLOOKUP(D2503,$D$2:$F$4,3,FALSE))</f>
        <v>#N/A</v>
      </c>
      <c r="G2503" s="137" t="e">
        <f t="shared" si="42"/>
        <v>#N/A</v>
      </c>
    </row>
    <row r="2504" spans="1:7">
      <c r="A2504" s="112" t="e">
        <f>VLOOKUP('Informe Kelly'!A2498,Base!A:B,2,FALSE)</f>
        <v>#N/A</v>
      </c>
      <c r="B2504" s="112" t="e">
        <f>VLOOKUP('Informe Kelly'!A2498,Base!A:G,7,FALSE)</f>
        <v>#N/A</v>
      </c>
      <c r="C2504" s="112">
        <f>'Informe Kelly'!E2498</f>
        <v>0</v>
      </c>
      <c r="D2504" s="112" t="e">
        <f>VLOOKUP(A2504,Ingreso!K:P,6,FALSE)</f>
        <v>#N/A</v>
      </c>
      <c r="E2504" s="142" t="e">
        <f>(VLOOKUP(D2504,$D$2:$E$4,2,FALSE))-(IF('Informe Kelly'!H2498=$A$2,'Informe Kelly'!F2498,VLOOKUP(D2504,$D$2:$E$4,2,FALSE)))</f>
        <v>#N/A</v>
      </c>
      <c r="F2504" s="142" t="e">
        <f>IF('Informe Kelly'!H2498=$A$3,'Informe Kelly'!F2498,VLOOKUP(D2504,$D$2:$F$4,3,FALSE))-(VLOOKUP(D2504,$D$2:$F$4,3,FALSE))</f>
        <v>#N/A</v>
      </c>
      <c r="G2504" s="137" t="e">
        <f t="shared" si="42"/>
        <v>#N/A</v>
      </c>
    </row>
    <row r="2505" spans="1:7">
      <c r="A2505" s="112" t="e">
        <f>VLOOKUP('Informe Kelly'!A2499,Base!A:B,2,FALSE)</f>
        <v>#N/A</v>
      </c>
      <c r="B2505" s="112" t="e">
        <f>VLOOKUP('Informe Kelly'!A2499,Base!A:G,7,FALSE)</f>
        <v>#N/A</v>
      </c>
      <c r="C2505" s="112">
        <f>'Informe Kelly'!E2499</f>
        <v>0</v>
      </c>
      <c r="D2505" s="112" t="e">
        <f>VLOOKUP(A2505,Ingreso!K:P,6,FALSE)</f>
        <v>#N/A</v>
      </c>
      <c r="E2505" s="142" t="e">
        <f>(VLOOKUP(D2505,$D$2:$E$4,2,FALSE))-(IF('Informe Kelly'!H2499=$A$2,'Informe Kelly'!F2499,VLOOKUP(D2505,$D$2:$E$4,2,FALSE)))</f>
        <v>#N/A</v>
      </c>
      <c r="F2505" s="142" t="e">
        <f>IF('Informe Kelly'!H2499=$A$3,'Informe Kelly'!F2499,VLOOKUP(D2505,$D$2:$F$4,3,FALSE))-(VLOOKUP(D2505,$D$2:$F$4,3,FALSE))</f>
        <v>#N/A</v>
      </c>
      <c r="G2505" s="137" t="e">
        <f t="shared" ref="G2505:G2568" si="43">IF(E2505="",IF(F2505&lt;0.0409722222222222,0,E2505),IF(E2505&lt;0.0409722222222222,0,E2505))</f>
        <v>#N/A</v>
      </c>
    </row>
    <row r="2506" spans="1:7">
      <c r="A2506" s="112" t="e">
        <f>VLOOKUP('Informe Kelly'!A2500,Base!A:B,2,FALSE)</f>
        <v>#N/A</v>
      </c>
      <c r="B2506" s="112" t="e">
        <f>VLOOKUP('Informe Kelly'!A2500,Base!A:G,7,FALSE)</f>
        <v>#N/A</v>
      </c>
      <c r="C2506" s="112">
        <f>'Informe Kelly'!E2500</f>
        <v>0</v>
      </c>
      <c r="D2506" s="112" t="e">
        <f>VLOOKUP(A2506,Ingreso!K:P,6,FALSE)</f>
        <v>#N/A</v>
      </c>
      <c r="E2506" s="142" t="e">
        <f>(VLOOKUP(D2506,$D$2:$E$4,2,FALSE))-(IF('Informe Kelly'!H2500=$A$2,'Informe Kelly'!F2500,VLOOKUP(D2506,$D$2:$E$4,2,FALSE)))</f>
        <v>#N/A</v>
      </c>
      <c r="F2506" s="142" t="e">
        <f>IF('Informe Kelly'!H2500=$A$3,'Informe Kelly'!F2500,VLOOKUP(D2506,$D$2:$F$4,3,FALSE))-(VLOOKUP(D2506,$D$2:$F$4,3,FALSE))</f>
        <v>#N/A</v>
      </c>
      <c r="G2506" s="137" t="e">
        <f t="shared" si="43"/>
        <v>#N/A</v>
      </c>
    </row>
    <row r="2507" spans="1:7">
      <c r="A2507" s="112" t="e">
        <f>VLOOKUP('Informe Kelly'!A2501,Base!A:B,2,FALSE)</f>
        <v>#N/A</v>
      </c>
      <c r="B2507" s="112" t="e">
        <f>VLOOKUP('Informe Kelly'!A2501,Base!A:G,7,FALSE)</f>
        <v>#N/A</v>
      </c>
      <c r="C2507" s="112">
        <f>'Informe Kelly'!E2501</f>
        <v>0</v>
      </c>
      <c r="D2507" s="112" t="e">
        <f>VLOOKUP(A2507,Ingreso!K:P,6,FALSE)</f>
        <v>#N/A</v>
      </c>
      <c r="E2507" s="142" t="e">
        <f>(VLOOKUP(D2507,$D$2:$E$4,2,FALSE))-(IF('Informe Kelly'!H2501=$A$2,'Informe Kelly'!F2501,VLOOKUP(D2507,$D$2:$E$4,2,FALSE)))</f>
        <v>#N/A</v>
      </c>
      <c r="F2507" s="142" t="e">
        <f>IF('Informe Kelly'!H2501=$A$3,'Informe Kelly'!F2501,VLOOKUP(D2507,$D$2:$F$4,3,FALSE))-(VLOOKUP(D2507,$D$2:$F$4,3,FALSE))</f>
        <v>#N/A</v>
      </c>
      <c r="G2507" s="137" t="e">
        <f t="shared" si="43"/>
        <v>#N/A</v>
      </c>
    </row>
    <row r="2508" spans="1:7">
      <c r="A2508" s="112" t="e">
        <f>VLOOKUP('Informe Kelly'!A2502,Base!A:B,2,FALSE)</f>
        <v>#N/A</v>
      </c>
      <c r="B2508" s="112" t="e">
        <f>VLOOKUP('Informe Kelly'!A2502,Base!A:G,7,FALSE)</f>
        <v>#N/A</v>
      </c>
      <c r="C2508" s="112">
        <f>'Informe Kelly'!E2502</f>
        <v>0</v>
      </c>
      <c r="D2508" s="112" t="e">
        <f>VLOOKUP(A2508,Ingreso!K:P,6,FALSE)</f>
        <v>#N/A</v>
      </c>
      <c r="E2508" s="142" t="e">
        <f>(VLOOKUP(D2508,$D$2:$E$4,2,FALSE))-(IF('Informe Kelly'!H2502=$A$2,'Informe Kelly'!F2502,VLOOKUP(D2508,$D$2:$E$4,2,FALSE)))</f>
        <v>#N/A</v>
      </c>
      <c r="F2508" s="142" t="e">
        <f>IF('Informe Kelly'!H2502=$A$3,'Informe Kelly'!F2502,VLOOKUP(D2508,$D$2:$F$4,3,FALSE))-(VLOOKUP(D2508,$D$2:$F$4,3,FALSE))</f>
        <v>#N/A</v>
      </c>
      <c r="G2508" s="137" t="e">
        <f t="shared" si="43"/>
        <v>#N/A</v>
      </c>
    </row>
    <row r="2509" spans="1:7">
      <c r="A2509" s="112" t="e">
        <f>VLOOKUP('Informe Kelly'!A2503,Base!A:B,2,FALSE)</f>
        <v>#N/A</v>
      </c>
      <c r="B2509" s="112" t="e">
        <f>VLOOKUP('Informe Kelly'!A2503,Base!A:G,7,FALSE)</f>
        <v>#N/A</v>
      </c>
      <c r="C2509" s="112">
        <f>'Informe Kelly'!E2503</f>
        <v>0</v>
      </c>
      <c r="D2509" s="112" t="e">
        <f>VLOOKUP(A2509,Ingreso!K:P,6,FALSE)</f>
        <v>#N/A</v>
      </c>
      <c r="E2509" s="142" t="e">
        <f>(VLOOKUP(D2509,$D$2:$E$4,2,FALSE))-(IF('Informe Kelly'!H2503=$A$2,'Informe Kelly'!F2503,VLOOKUP(D2509,$D$2:$E$4,2,FALSE)))</f>
        <v>#N/A</v>
      </c>
      <c r="F2509" s="142" t="e">
        <f>IF('Informe Kelly'!H2503=$A$3,'Informe Kelly'!F2503,VLOOKUP(D2509,$D$2:$F$4,3,FALSE))-(VLOOKUP(D2509,$D$2:$F$4,3,FALSE))</f>
        <v>#N/A</v>
      </c>
      <c r="G2509" s="137" t="e">
        <f t="shared" si="43"/>
        <v>#N/A</v>
      </c>
    </row>
    <row r="2510" spans="1:7">
      <c r="A2510" s="112" t="e">
        <f>VLOOKUP('Informe Kelly'!A2504,Base!A:B,2,FALSE)</f>
        <v>#N/A</v>
      </c>
      <c r="B2510" s="112" t="e">
        <f>VLOOKUP('Informe Kelly'!A2504,Base!A:G,7,FALSE)</f>
        <v>#N/A</v>
      </c>
      <c r="C2510" s="112">
        <f>'Informe Kelly'!E2504</f>
        <v>0</v>
      </c>
      <c r="D2510" s="112" t="e">
        <f>VLOOKUP(A2510,Ingreso!K:P,6,FALSE)</f>
        <v>#N/A</v>
      </c>
      <c r="E2510" s="142" t="e">
        <f>(VLOOKUP(D2510,$D$2:$E$4,2,FALSE))-(IF('Informe Kelly'!H2504=$A$2,'Informe Kelly'!F2504,VLOOKUP(D2510,$D$2:$E$4,2,FALSE)))</f>
        <v>#N/A</v>
      </c>
      <c r="F2510" s="142" t="e">
        <f>IF('Informe Kelly'!H2504=$A$3,'Informe Kelly'!F2504,VLOOKUP(D2510,$D$2:$F$4,3,FALSE))-(VLOOKUP(D2510,$D$2:$F$4,3,FALSE))</f>
        <v>#N/A</v>
      </c>
      <c r="G2510" s="137" t="e">
        <f t="shared" si="43"/>
        <v>#N/A</v>
      </c>
    </row>
    <row r="2511" spans="1:7">
      <c r="A2511" s="112" t="e">
        <f>VLOOKUP('Informe Kelly'!A2505,Base!A:B,2,FALSE)</f>
        <v>#N/A</v>
      </c>
      <c r="B2511" s="112" t="e">
        <f>VLOOKUP('Informe Kelly'!A2505,Base!A:G,7,FALSE)</f>
        <v>#N/A</v>
      </c>
      <c r="C2511" s="112">
        <f>'Informe Kelly'!E2505</f>
        <v>0</v>
      </c>
      <c r="D2511" s="112" t="e">
        <f>VLOOKUP(A2511,Ingreso!K:P,6,FALSE)</f>
        <v>#N/A</v>
      </c>
      <c r="E2511" s="142" t="e">
        <f>(VLOOKUP(D2511,$D$2:$E$4,2,FALSE))-(IF('Informe Kelly'!H2505=$A$2,'Informe Kelly'!F2505,VLOOKUP(D2511,$D$2:$E$4,2,FALSE)))</f>
        <v>#N/A</v>
      </c>
      <c r="F2511" s="142" t="e">
        <f>IF('Informe Kelly'!H2505=$A$3,'Informe Kelly'!F2505,VLOOKUP(D2511,$D$2:$F$4,3,FALSE))-(VLOOKUP(D2511,$D$2:$F$4,3,FALSE))</f>
        <v>#N/A</v>
      </c>
      <c r="G2511" s="137" t="e">
        <f t="shared" si="43"/>
        <v>#N/A</v>
      </c>
    </row>
    <row r="2512" spans="1:7">
      <c r="A2512" s="112" t="e">
        <f>VLOOKUP('Informe Kelly'!A2506,Base!A:B,2,FALSE)</f>
        <v>#N/A</v>
      </c>
      <c r="B2512" s="112" t="e">
        <f>VLOOKUP('Informe Kelly'!A2506,Base!A:G,7,FALSE)</f>
        <v>#N/A</v>
      </c>
      <c r="C2512" s="112">
        <f>'Informe Kelly'!E2506</f>
        <v>0</v>
      </c>
      <c r="D2512" s="112" t="e">
        <f>VLOOKUP(A2512,Ingreso!K:P,6,FALSE)</f>
        <v>#N/A</v>
      </c>
      <c r="E2512" s="142" t="e">
        <f>(VLOOKUP(D2512,$D$2:$E$4,2,FALSE))-(IF('Informe Kelly'!H2506=$A$2,'Informe Kelly'!F2506,VLOOKUP(D2512,$D$2:$E$4,2,FALSE)))</f>
        <v>#N/A</v>
      </c>
      <c r="F2512" s="142" t="e">
        <f>IF('Informe Kelly'!H2506=$A$3,'Informe Kelly'!F2506,VLOOKUP(D2512,$D$2:$F$4,3,FALSE))-(VLOOKUP(D2512,$D$2:$F$4,3,FALSE))</f>
        <v>#N/A</v>
      </c>
      <c r="G2512" s="137" t="e">
        <f t="shared" si="43"/>
        <v>#N/A</v>
      </c>
    </row>
    <row r="2513" spans="1:7">
      <c r="A2513" s="112" t="e">
        <f>VLOOKUP('Informe Kelly'!A2507,Base!A:B,2,FALSE)</f>
        <v>#N/A</v>
      </c>
      <c r="B2513" s="112" t="e">
        <f>VLOOKUP('Informe Kelly'!A2507,Base!A:G,7,FALSE)</f>
        <v>#N/A</v>
      </c>
      <c r="C2513" s="112">
        <f>'Informe Kelly'!E2507</f>
        <v>0</v>
      </c>
      <c r="D2513" s="112" t="e">
        <f>VLOOKUP(A2513,Ingreso!K:P,6,FALSE)</f>
        <v>#N/A</v>
      </c>
      <c r="E2513" s="142" t="e">
        <f>(VLOOKUP(D2513,$D$2:$E$4,2,FALSE))-(IF('Informe Kelly'!H2507=$A$2,'Informe Kelly'!F2507,VLOOKUP(D2513,$D$2:$E$4,2,FALSE)))</f>
        <v>#N/A</v>
      </c>
      <c r="F2513" s="142" t="e">
        <f>IF('Informe Kelly'!H2507=$A$3,'Informe Kelly'!F2507,VLOOKUP(D2513,$D$2:$F$4,3,FALSE))-(VLOOKUP(D2513,$D$2:$F$4,3,FALSE))</f>
        <v>#N/A</v>
      </c>
      <c r="G2513" s="137" t="e">
        <f t="shared" si="43"/>
        <v>#N/A</v>
      </c>
    </row>
    <row r="2514" spans="1:7">
      <c r="A2514" s="112" t="e">
        <f>VLOOKUP('Informe Kelly'!A2508,Base!A:B,2,FALSE)</f>
        <v>#N/A</v>
      </c>
      <c r="B2514" s="112" t="e">
        <f>VLOOKUP('Informe Kelly'!A2508,Base!A:G,7,FALSE)</f>
        <v>#N/A</v>
      </c>
      <c r="C2514" s="112">
        <f>'Informe Kelly'!E2508</f>
        <v>0</v>
      </c>
      <c r="D2514" s="112" t="e">
        <f>VLOOKUP(A2514,Ingreso!K:P,6,FALSE)</f>
        <v>#N/A</v>
      </c>
      <c r="E2514" s="142" t="e">
        <f>(VLOOKUP(D2514,$D$2:$E$4,2,FALSE))-(IF('Informe Kelly'!H2508=$A$2,'Informe Kelly'!F2508,VLOOKUP(D2514,$D$2:$E$4,2,FALSE)))</f>
        <v>#N/A</v>
      </c>
      <c r="F2514" s="142" t="e">
        <f>IF('Informe Kelly'!H2508=$A$3,'Informe Kelly'!F2508,VLOOKUP(D2514,$D$2:$F$4,3,FALSE))-(VLOOKUP(D2514,$D$2:$F$4,3,FALSE))</f>
        <v>#N/A</v>
      </c>
      <c r="G2514" s="137" t="e">
        <f t="shared" si="43"/>
        <v>#N/A</v>
      </c>
    </row>
    <row r="2515" spans="1:7">
      <c r="A2515" s="112" t="e">
        <f>VLOOKUP('Informe Kelly'!A2509,Base!A:B,2,FALSE)</f>
        <v>#N/A</v>
      </c>
      <c r="B2515" s="112" t="e">
        <f>VLOOKUP('Informe Kelly'!A2509,Base!A:G,7,FALSE)</f>
        <v>#N/A</v>
      </c>
      <c r="C2515" s="112">
        <f>'Informe Kelly'!E2509</f>
        <v>0</v>
      </c>
      <c r="D2515" s="112" t="e">
        <f>VLOOKUP(A2515,Ingreso!K:P,6,FALSE)</f>
        <v>#N/A</v>
      </c>
      <c r="E2515" s="142" t="e">
        <f>(VLOOKUP(D2515,$D$2:$E$4,2,FALSE))-(IF('Informe Kelly'!H2509=$A$2,'Informe Kelly'!F2509,VLOOKUP(D2515,$D$2:$E$4,2,FALSE)))</f>
        <v>#N/A</v>
      </c>
      <c r="F2515" s="142" t="e">
        <f>IF('Informe Kelly'!H2509=$A$3,'Informe Kelly'!F2509,VLOOKUP(D2515,$D$2:$F$4,3,FALSE))-(VLOOKUP(D2515,$D$2:$F$4,3,FALSE))</f>
        <v>#N/A</v>
      </c>
      <c r="G2515" s="137" t="e">
        <f t="shared" si="43"/>
        <v>#N/A</v>
      </c>
    </row>
    <row r="2516" spans="1:7">
      <c r="A2516" s="112" t="e">
        <f>VLOOKUP('Informe Kelly'!A2510,Base!A:B,2,FALSE)</f>
        <v>#N/A</v>
      </c>
      <c r="B2516" s="112" t="e">
        <f>VLOOKUP('Informe Kelly'!A2510,Base!A:G,7,FALSE)</f>
        <v>#N/A</v>
      </c>
      <c r="C2516" s="112">
        <f>'Informe Kelly'!E2510</f>
        <v>0</v>
      </c>
      <c r="D2516" s="112" t="e">
        <f>VLOOKUP(A2516,Ingreso!K:P,6,FALSE)</f>
        <v>#N/A</v>
      </c>
      <c r="E2516" s="142" t="e">
        <f>(VLOOKUP(D2516,$D$2:$E$4,2,FALSE))-(IF('Informe Kelly'!H2510=$A$2,'Informe Kelly'!F2510,VLOOKUP(D2516,$D$2:$E$4,2,FALSE)))</f>
        <v>#N/A</v>
      </c>
      <c r="F2516" s="142" t="e">
        <f>IF('Informe Kelly'!H2510=$A$3,'Informe Kelly'!F2510,VLOOKUP(D2516,$D$2:$F$4,3,FALSE))-(VLOOKUP(D2516,$D$2:$F$4,3,FALSE))</f>
        <v>#N/A</v>
      </c>
      <c r="G2516" s="137" t="e">
        <f t="shared" si="43"/>
        <v>#N/A</v>
      </c>
    </row>
    <row r="2517" spans="1:7">
      <c r="A2517" s="112" t="e">
        <f>VLOOKUP('Informe Kelly'!A2511,Base!A:B,2,FALSE)</f>
        <v>#N/A</v>
      </c>
      <c r="B2517" s="112" t="e">
        <f>VLOOKUP('Informe Kelly'!A2511,Base!A:G,7,FALSE)</f>
        <v>#N/A</v>
      </c>
      <c r="C2517" s="112">
        <f>'Informe Kelly'!E2511</f>
        <v>0</v>
      </c>
      <c r="D2517" s="112" t="e">
        <f>VLOOKUP(A2517,Ingreso!K:P,6,FALSE)</f>
        <v>#N/A</v>
      </c>
      <c r="E2517" s="142" t="e">
        <f>(VLOOKUP(D2517,$D$2:$E$4,2,FALSE))-(IF('Informe Kelly'!H2511=$A$2,'Informe Kelly'!F2511,VLOOKUP(D2517,$D$2:$E$4,2,FALSE)))</f>
        <v>#N/A</v>
      </c>
      <c r="F2517" s="142" t="e">
        <f>IF('Informe Kelly'!H2511=$A$3,'Informe Kelly'!F2511,VLOOKUP(D2517,$D$2:$F$4,3,FALSE))-(VLOOKUP(D2517,$D$2:$F$4,3,FALSE))</f>
        <v>#N/A</v>
      </c>
      <c r="G2517" s="137" t="e">
        <f t="shared" si="43"/>
        <v>#N/A</v>
      </c>
    </row>
    <row r="2518" spans="1:7">
      <c r="A2518" s="112" t="e">
        <f>VLOOKUP('Informe Kelly'!A2512,Base!A:B,2,FALSE)</f>
        <v>#N/A</v>
      </c>
      <c r="B2518" s="112" t="e">
        <f>VLOOKUP('Informe Kelly'!A2512,Base!A:G,7,FALSE)</f>
        <v>#N/A</v>
      </c>
      <c r="C2518" s="112">
        <f>'Informe Kelly'!E2512</f>
        <v>0</v>
      </c>
      <c r="D2518" s="112" t="e">
        <f>VLOOKUP(A2518,Ingreso!K:P,6,FALSE)</f>
        <v>#N/A</v>
      </c>
      <c r="E2518" s="142" t="e">
        <f>(VLOOKUP(D2518,$D$2:$E$4,2,FALSE))-(IF('Informe Kelly'!H2512=$A$2,'Informe Kelly'!F2512,VLOOKUP(D2518,$D$2:$E$4,2,FALSE)))</f>
        <v>#N/A</v>
      </c>
      <c r="F2518" s="142" t="e">
        <f>IF('Informe Kelly'!H2512=$A$3,'Informe Kelly'!F2512,VLOOKUP(D2518,$D$2:$F$4,3,FALSE))-(VLOOKUP(D2518,$D$2:$F$4,3,FALSE))</f>
        <v>#N/A</v>
      </c>
      <c r="G2518" s="137" t="e">
        <f t="shared" si="43"/>
        <v>#N/A</v>
      </c>
    </row>
    <row r="2519" spans="1:7">
      <c r="A2519" s="112" t="e">
        <f>VLOOKUP('Informe Kelly'!A2513,Base!A:B,2,FALSE)</f>
        <v>#N/A</v>
      </c>
      <c r="B2519" s="112" t="e">
        <f>VLOOKUP('Informe Kelly'!A2513,Base!A:G,7,FALSE)</f>
        <v>#N/A</v>
      </c>
      <c r="C2519" s="112">
        <f>'Informe Kelly'!E2513</f>
        <v>0</v>
      </c>
      <c r="D2519" s="112" t="e">
        <f>VLOOKUP(A2519,Ingreso!K:P,6,FALSE)</f>
        <v>#N/A</v>
      </c>
      <c r="E2519" s="142" t="e">
        <f>(VLOOKUP(D2519,$D$2:$E$4,2,FALSE))-(IF('Informe Kelly'!H2513=$A$2,'Informe Kelly'!F2513,VLOOKUP(D2519,$D$2:$E$4,2,FALSE)))</f>
        <v>#N/A</v>
      </c>
      <c r="F2519" s="142" t="e">
        <f>IF('Informe Kelly'!H2513=$A$3,'Informe Kelly'!F2513,VLOOKUP(D2519,$D$2:$F$4,3,FALSE))-(VLOOKUP(D2519,$D$2:$F$4,3,FALSE))</f>
        <v>#N/A</v>
      </c>
      <c r="G2519" s="137" t="e">
        <f t="shared" si="43"/>
        <v>#N/A</v>
      </c>
    </row>
    <row r="2520" spans="1:7">
      <c r="A2520" s="112" t="e">
        <f>VLOOKUP('Informe Kelly'!A2514,Base!A:B,2,FALSE)</f>
        <v>#N/A</v>
      </c>
      <c r="B2520" s="112" t="e">
        <f>VLOOKUP('Informe Kelly'!A2514,Base!A:G,7,FALSE)</f>
        <v>#N/A</v>
      </c>
      <c r="C2520" s="112">
        <f>'Informe Kelly'!E2514</f>
        <v>0</v>
      </c>
      <c r="D2520" s="112" t="e">
        <f>VLOOKUP(A2520,Ingreso!K:P,6,FALSE)</f>
        <v>#N/A</v>
      </c>
      <c r="E2520" s="142" t="e">
        <f>(VLOOKUP(D2520,$D$2:$E$4,2,FALSE))-(IF('Informe Kelly'!H2514=$A$2,'Informe Kelly'!F2514,VLOOKUP(D2520,$D$2:$E$4,2,FALSE)))</f>
        <v>#N/A</v>
      </c>
      <c r="F2520" s="142" t="e">
        <f>IF('Informe Kelly'!H2514=$A$3,'Informe Kelly'!F2514,VLOOKUP(D2520,$D$2:$F$4,3,FALSE))-(VLOOKUP(D2520,$D$2:$F$4,3,FALSE))</f>
        <v>#N/A</v>
      </c>
      <c r="G2520" s="137" t="e">
        <f t="shared" si="43"/>
        <v>#N/A</v>
      </c>
    </row>
    <row r="2521" spans="1:7">
      <c r="A2521" s="112" t="e">
        <f>VLOOKUP('Informe Kelly'!A2515,Base!A:B,2,FALSE)</f>
        <v>#N/A</v>
      </c>
      <c r="B2521" s="112" t="e">
        <f>VLOOKUP('Informe Kelly'!A2515,Base!A:G,7,FALSE)</f>
        <v>#N/A</v>
      </c>
      <c r="C2521" s="112">
        <f>'Informe Kelly'!E2515</f>
        <v>0</v>
      </c>
      <c r="D2521" s="112" t="e">
        <f>VLOOKUP(A2521,Ingreso!K:P,6,FALSE)</f>
        <v>#N/A</v>
      </c>
      <c r="E2521" s="142" t="e">
        <f>(VLOOKUP(D2521,$D$2:$E$4,2,FALSE))-(IF('Informe Kelly'!H2515=$A$2,'Informe Kelly'!F2515,VLOOKUP(D2521,$D$2:$E$4,2,FALSE)))</f>
        <v>#N/A</v>
      </c>
      <c r="F2521" s="142" t="e">
        <f>IF('Informe Kelly'!H2515=$A$3,'Informe Kelly'!F2515,VLOOKUP(D2521,$D$2:$F$4,3,FALSE))-(VLOOKUP(D2521,$D$2:$F$4,3,FALSE))</f>
        <v>#N/A</v>
      </c>
      <c r="G2521" s="137" t="e">
        <f t="shared" si="43"/>
        <v>#N/A</v>
      </c>
    </row>
    <row r="2522" spans="1:7">
      <c r="A2522" s="112" t="e">
        <f>VLOOKUP('Informe Kelly'!A2516,Base!A:B,2,FALSE)</f>
        <v>#N/A</v>
      </c>
      <c r="B2522" s="112" t="e">
        <f>VLOOKUP('Informe Kelly'!A2516,Base!A:G,7,FALSE)</f>
        <v>#N/A</v>
      </c>
      <c r="C2522" s="112">
        <f>'Informe Kelly'!E2516</f>
        <v>0</v>
      </c>
      <c r="D2522" s="112" t="e">
        <f>VLOOKUP(A2522,Ingreso!K:P,6,FALSE)</f>
        <v>#N/A</v>
      </c>
      <c r="E2522" s="142" t="e">
        <f>(VLOOKUP(D2522,$D$2:$E$4,2,FALSE))-(IF('Informe Kelly'!H2516=$A$2,'Informe Kelly'!F2516,VLOOKUP(D2522,$D$2:$E$4,2,FALSE)))</f>
        <v>#N/A</v>
      </c>
      <c r="F2522" s="142" t="e">
        <f>IF('Informe Kelly'!H2516=$A$3,'Informe Kelly'!F2516,VLOOKUP(D2522,$D$2:$F$4,3,FALSE))-(VLOOKUP(D2522,$D$2:$F$4,3,FALSE))</f>
        <v>#N/A</v>
      </c>
      <c r="G2522" s="137" t="e">
        <f t="shared" si="43"/>
        <v>#N/A</v>
      </c>
    </row>
    <row r="2523" spans="1:7">
      <c r="A2523" s="112" t="e">
        <f>VLOOKUP('Informe Kelly'!A2517,Base!A:B,2,FALSE)</f>
        <v>#N/A</v>
      </c>
      <c r="B2523" s="112" t="e">
        <f>VLOOKUP('Informe Kelly'!A2517,Base!A:G,7,FALSE)</f>
        <v>#N/A</v>
      </c>
      <c r="C2523" s="112">
        <f>'Informe Kelly'!E2517</f>
        <v>0</v>
      </c>
      <c r="D2523" s="112" t="e">
        <f>VLOOKUP(A2523,Ingreso!K:P,6,FALSE)</f>
        <v>#N/A</v>
      </c>
      <c r="E2523" s="142" t="e">
        <f>(VLOOKUP(D2523,$D$2:$E$4,2,FALSE))-(IF('Informe Kelly'!H2517=$A$2,'Informe Kelly'!F2517,VLOOKUP(D2523,$D$2:$E$4,2,FALSE)))</f>
        <v>#N/A</v>
      </c>
      <c r="F2523" s="142" t="e">
        <f>IF('Informe Kelly'!H2517=$A$3,'Informe Kelly'!F2517,VLOOKUP(D2523,$D$2:$F$4,3,FALSE))-(VLOOKUP(D2523,$D$2:$F$4,3,FALSE))</f>
        <v>#N/A</v>
      </c>
      <c r="G2523" s="137" t="e">
        <f t="shared" si="43"/>
        <v>#N/A</v>
      </c>
    </row>
    <row r="2524" spans="1:7">
      <c r="A2524" s="112" t="e">
        <f>VLOOKUP('Informe Kelly'!A2518,Base!A:B,2,FALSE)</f>
        <v>#N/A</v>
      </c>
      <c r="B2524" s="112" t="e">
        <f>VLOOKUP('Informe Kelly'!A2518,Base!A:G,7,FALSE)</f>
        <v>#N/A</v>
      </c>
      <c r="C2524" s="112">
        <f>'Informe Kelly'!E2518</f>
        <v>0</v>
      </c>
      <c r="D2524" s="112" t="e">
        <f>VLOOKUP(A2524,Ingreso!K:P,6,FALSE)</f>
        <v>#N/A</v>
      </c>
      <c r="E2524" s="142" t="e">
        <f>(VLOOKUP(D2524,$D$2:$E$4,2,FALSE))-(IF('Informe Kelly'!H2518=$A$2,'Informe Kelly'!F2518,VLOOKUP(D2524,$D$2:$E$4,2,FALSE)))</f>
        <v>#N/A</v>
      </c>
      <c r="F2524" s="142" t="e">
        <f>IF('Informe Kelly'!H2518=$A$3,'Informe Kelly'!F2518,VLOOKUP(D2524,$D$2:$F$4,3,FALSE))-(VLOOKUP(D2524,$D$2:$F$4,3,FALSE))</f>
        <v>#N/A</v>
      </c>
      <c r="G2524" s="137" t="e">
        <f t="shared" si="43"/>
        <v>#N/A</v>
      </c>
    </row>
    <row r="2525" spans="1:7">
      <c r="A2525" s="112" t="e">
        <f>VLOOKUP('Informe Kelly'!A2519,Base!A:B,2,FALSE)</f>
        <v>#N/A</v>
      </c>
      <c r="B2525" s="112" t="e">
        <f>VLOOKUP('Informe Kelly'!A2519,Base!A:G,7,FALSE)</f>
        <v>#N/A</v>
      </c>
      <c r="C2525" s="112">
        <f>'Informe Kelly'!E2519</f>
        <v>0</v>
      </c>
      <c r="D2525" s="112" t="e">
        <f>VLOOKUP(A2525,Ingreso!K:P,6,FALSE)</f>
        <v>#N/A</v>
      </c>
      <c r="E2525" s="142" t="e">
        <f>(VLOOKUP(D2525,$D$2:$E$4,2,FALSE))-(IF('Informe Kelly'!H2519=$A$2,'Informe Kelly'!F2519,VLOOKUP(D2525,$D$2:$E$4,2,FALSE)))</f>
        <v>#N/A</v>
      </c>
      <c r="F2525" s="142" t="e">
        <f>IF('Informe Kelly'!H2519=$A$3,'Informe Kelly'!F2519,VLOOKUP(D2525,$D$2:$F$4,3,FALSE))-(VLOOKUP(D2525,$D$2:$F$4,3,FALSE))</f>
        <v>#N/A</v>
      </c>
      <c r="G2525" s="137" t="e">
        <f t="shared" si="43"/>
        <v>#N/A</v>
      </c>
    </row>
    <row r="2526" spans="1:7">
      <c r="A2526" s="112" t="e">
        <f>VLOOKUP('Informe Kelly'!A2520,Base!A:B,2,FALSE)</f>
        <v>#N/A</v>
      </c>
      <c r="B2526" s="112" t="e">
        <f>VLOOKUP('Informe Kelly'!A2520,Base!A:G,7,FALSE)</f>
        <v>#N/A</v>
      </c>
      <c r="C2526" s="112">
        <f>'Informe Kelly'!E2520</f>
        <v>0</v>
      </c>
      <c r="D2526" s="112" t="e">
        <f>VLOOKUP(A2526,Ingreso!K:P,6,FALSE)</f>
        <v>#N/A</v>
      </c>
      <c r="E2526" s="142" t="e">
        <f>(VLOOKUP(D2526,$D$2:$E$4,2,FALSE))-(IF('Informe Kelly'!H2520=$A$2,'Informe Kelly'!F2520,VLOOKUP(D2526,$D$2:$E$4,2,FALSE)))</f>
        <v>#N/A</v>
      </c>
      <c r="F2526" s="142" t="e">
        <f>IF('Informe Kelly'!H2520=$A$3,'Informe Kelly'!F2520,VLOOKUP(D2526,$D$2:$F$4,3,FALSE))-(VLOOKUP(D2526,$D$2:$F$4,3,FALSE))</f>
        <v>#N/A</v>
      </c>
      <c r="G2526" s="137" t="e">
        <f t="shared" si="43"/>
        <v>#N/A</v>
      </c>
    </row>
    <row r="2527" spans="1:7">
      <c r="A2527" s="112" t="e">
        <f>VLOOKUP('Informe Kelly'!A2521,Base!A:B,2,FALSE)</f>
        <v>#N/A</v>
      </c>
      <c r="B2527" s="112" t="e">
        <f>VLOOKUP('Informe Kelly'!A2521,Base!A:G,7,FALSE)</f>
        <v>#N/A</v>
      </c>
      <c r="C2527" s="112">
        <f>'Informe Kelly'!E2521</f>
        <v>0</v>
      </c>
      <c r="D2527" s="112" t="e">
        <f>VLOOKUP(A2527,Ingreso!K:P,6,FALSE)</f>
        <v>#N/A</v>
      </c>
      <c r="E2527" s="142" t="e">
        <f>(VLOOKUP(D2527,$D$2:$E$4,2,FALSE))-(IF('Informe Kelly'!H2521=$A$2,'Informe Kelly'!F2521,VLOOKUP(D2527,$D$2:$E$4,2,FALSE)))</f>
        <v>#N/A</v>
      </c>
      <c r="F2527" s="142" t="e">
        <f>IF('Informe Kelly'!H2521=$A$3,'Informe Kelly'!F2521,VLOOKUP(D2527,$D$2:$F$4,3,FALSE))-(VLOOKUP(D2527,$D$2:$F$4,3,FALSE))</f>
        <v>#N/A</v>
      </c>
      <c r="G2527" s="137" t="e">
        <f t="shared" si="43"/>
        <v>#N/A</v>
      </c>
    </row>
    <row r="2528" spans="1:7">
      <c r="A2528" s="112" t="e">
        <f>VLOOKUP('Informe Kelly'!A2522,Base!A:B,2,FALSE)</f>
        <v>#N/A</v>
      </c>
      <c r="B2528" s="112" t="e">
        <f>VLOOKUP('Informe Kelly'!A2522,Base!A:G,7,FALSE)</f>
        <v>#N/A</v>
      </c>
      <c r="C2528" s="112">
        <f>'Informe Kelly'!E2522</f>
        <v>0</v>
      </c>
      <c r="D2528" s="112" t="e">
        <f>VLOOKUP(A2528,Ingreso!K:P,6,FALSE)</f>
        <v>#N/A</v>
      </c>
      <c r="E2528" s="142" t="e">
        <f>(VLOOKUP(D2528,$D$2:$E$4,2,FALSE))-(IF('Informe Kelly'!H2522=$A$2,'Informe Kelly'!F2522,VLOOKUP(D2528,$D$2:$E$4,2,FALSE)))</f>
        <v>#N/A</v>
      </c>
      <c r="F2528" s="142" t="e">
        <f>IF('Informe Kelly'!H2522=$A$3,'Informe Kelly'!F2522,VLOOKUP(D2528,$D$2:$F$4,3,FALSE))-(VLOOKUP(D2528,$D$2:$F$4,3,FALSE))</f>
        <v>#N/A</v>
      </c>
      <c r="G2528" s="137" t="e">
        <f t="shared" si="43"/>
        <v>#N/A</v>
      </c>
    </row>
    <row r="2529" spans="1:7">
      <c r="A2529" s="112" t="e">
        <f>VLOOKUP('Informe Kelly'!A2523,Base!A:B,2,FALSE)</f>
        <v>#N/A</v>
      </c>
      <c r="B2529" s="112" t="e">
        <f>VLOOKUP('Informe Kelly'!A2523,Base!A:G,7,FALSE)</f>
        <v>#N/A</v>
      </c>
      <c r="C2529" s="112">
        <f>'Informe Kelly'!E2523</f>
        <v>0</v>
      </c>
      <c r="D2529" s="112" t="e">
        <f>VLOOKUP(A2529,Ingreso!K:P,6,FALSE)</f>
        <v>#N/A</v>
      </c>
      <c r="E2529" s="142" t="e">
        <f>(VLOOKUP(D2529,$D$2:$E$4,2,FALSE))-(IF('Informe Kelly'!H2523=$A$2,'Informe Kelly'!F2523,VLOOKUP(D2529,$D$2:$E$4,2,FALSE)))</f>
        <v>#N/A</v>
      </c>
      <c r="F2529" s="142" t="e">
        <f>IF('Informe Kelly'!H2523=$A$3,'Informe Kelly'!F2523,VLOOKUP(D2529,$D$2:$F$4,3,FALSE))-(VLOOKUP(D2529,$D$2:$F$4,3,FALSE))</f>
        <v>#N/A</v>
      </c>
      <c r="G2529" s="137" t="e">
        <f t="shared" si="43"/>
        <v>#N/A</v>
      </c>
    </row>
    <row r="2530" spans="1:7">
      <c r="A2530" s="112" t="e">
        <f>VLOOKUP('Informe Kelly'!A2524,Base!A:B,2,FALSE)</f>
        <v>#N/A</v>
      </c>
      <c r="B2530" s="112" t="e">
        <f>VLOOKUP('Informe Kelly'!A2524,Base!A:G,7,FALSE)</f>
        <v>#N/A</v>
      </c>
      <c r="C2530" s="112">
        <f>'Informe Kelly'!E2524</f>
        <v>0</v>
      </c>
      <c r="D2530" s="112" t="e">
        <f>VLOOKUP(A2530,Ingreso!K:P,6,FALSE)</f>
        <v>#N/A</v>
      </c>
      <c r="E2530" s="142" t="e">
        <f>(VLOOKUP(D2530,$D$2:$E$4,2,FALSE))-(IF('Informe Kelly'!H2524=$A$2,'Informe Kelly'!F2524,VLOOKUP(D2530,$D$2:$E$4,2,FALSE)))</f>
        <v>#N/A</v>
      </c>
      <c r="F2530" s="142" t="e">
        <f>IF('Informe Kelly'!H2524=$A$3,'Informe Kelly'!F2524,VLOOKUP(D2530,$D$2:$F$4,3,FALSE))-(VLOOKUP(D2530,$D$2:$F$4,3,FALSE))</f>
        <v>#N/A</v>
      </c>
      <c r="G2530" s="137" t="e">
        <f t="shared" si="43"/>
        <v>#N/A</v>
      </c>
    </row>
    <row r="2531" spans="1:7">
      <c r="A2531" s="112" t="e">
        <f>VLOOKUP('Informe Kelly'!A2525,Base!A:B,2,FALSE)</f>
        <v>#N/A</v>
      </c>
      <c r="B2531" s="112" t="e">
        <f>VLOOKUP('Informe Kelly'!A2525,Base!A:G,7,FALSE)</f>
        <v>#N/A</v>
      </c>
      <c r="C2531" s="112">
        <f>'Informe Kelly'!E2525</f>
        <v>0</v>
      </c>
      <c r="D2531" s="112" t="e">
        <f>VLOOKUP(A2531,Ingreso!K:P,6,FALSE)</f>
        <v>#N/A</v>
      </c>
      <c r="E2531" s="142" t="e">
        <f>(VLOOKUP(D2531,$D$2:$E$4,2,FALSE))-(IF('Informe Kelly'!H2525=$A$2,'Informe Kelly'!F2525,VLOOKUP(D2531,$D$2:$E$4,2,FALSE)))</f>
        <v>#N/A</v>
      </c>
      <c r="F2531" s="142" t="e">
        <f>IF('Informe Kelly'!H2525=$A$3,'Informe Kelly'!F2525,VLOOKUP(D2531,$D$2:$F$4,3,FALSE))-(VLOOKUP(D2531,$D$2:$F$4,3,FALSE))</f>
        <v>#N/A</v>
      </c>
      <c r="G2531" s="137" t="e">
        <f t="shared" si="43"/>
        <v>#N/A</v>
      </c>
    </row>
    <row r="2532" spans="1:7">
      <c r="A2532" s="112" t="e">
        <f>VLOOKUP('Informe Kelly'!A2526,Base!A:B,2,FALSE)</f>
        <v>#N/A</v>
      </c>
      <c r="B2532" s="112" t="e">
        <f>VLOOKUP('Informe Kelly'!A2526,Base!A:G,7,FALSE)</f>
        <v>#N/A</v>
      </c>
      <c r="C2532" s="112">
        <f>'Informe Kelly'!E2526</f>
        <v>0</v>
      </c>
      <c r="D2532" s="112" t="e">
        <f>VLOOKUP(A2532,Ingreso!K:P,6,FALSE)</f>
        <v>#N/A</v>
      </c>
      <c r="E2532" s="142" t="e">
        <f>(VLOOKUP(D2532,$D$2:$E$4,2,FALSE))-(IF('Informe Kelly'!H2526=$A$2,'Informe Kelly'!F2526,VLOOKUP(D2532,$D$2:$E$4,2,FALSE)))</f>
        <v>#N/A</v>
      </c>
      <c r="F2532" s="142" t="e">
        <f>IF('Informe Kelly'!H2526=$A$3,'Informe Kelly'!F2526,VLOOKUP(D2532,$D$2:$F$4,3,FALSE))-(VLOOKUP(D2532,$D$2:$F$4,3,FALSE))</f>
        <v>#N/A</v>
      </c>
      <c r="G2532" s="137" t="e">
        <f t="shared" si="43"/>
        <v>#N/A</v>
      </c>
    </row>
    <row r="2533" spans="1:7">
      <c r="A2533" s="112" t="e">
        <f>VLOOKUP('Informe Kelly'!A2527,Base!A:B,2,FALSE)</f>
        <v>#N/A</v>
      </c>
      <c r="B2533" s="112" t="e">
        <f>VLOOKUP('Informe Kelly'!A2527,Base!A:G,7,FALSE)</f>
        <v>#N/A</v>
      </c>
      <c r="C2533" s="112">
        <f>'Informe Kelly'!E2527</f>
        <v>0</v>
      </c>
      <c r="D2533" s="112" t="e">
        <f>VLOOKUP(A2533,Ingreso!K:P,6,FALSE)</f>
        <v>#N/A</v>
      </c>
      <c r="E2533" s="142" t="e">
        <f>(VLOOKUP(D2533,$D$2:$E$4,2,FALSE))-(IF('Informe Kelly'!H2527=$A$2,'Informe Kelly'!F2527,VLOOKUP(D2533,$D$2:$E$4,2,FALSE)))</f>
        <v>#N/A</v>
      </c>
      <c r="F2533" s="142" t="e">
        <f>IF('Informe Kelly'!H2527=$A$3,'Informe Kelly'!F2527,VLOOKUP(D2533,$D$2:$F$4,3,FALSE))-(VLOOKUP(D2533,$D$2:$F$4,3,FALSE))</f>
        <v>#N/A</v>
      </c>
      <c r="G2533" s="137" t="e">
        <f t="shared" si="43"/>
        <v>#N/A</v>
      </c>
    </row>
    <row r="2534" spans="1:7">
      <c r="A2534" s="112" t="e">
        <f>VLOOKUP('Informe Kelly'!A2528,Base!A:B,2,FALSE)</f>
        <v>#N/A</v>
      </c>
      <c r="B2534" s="112" t="e">
        <f>VLOOKUP('Informe Kelly'!A2528,Base!A:G,7,FALSE)</f>
        <v>#N/A</v>
      </c>
      <c r="C2534" s="112">
        <f>'Informe Kelly'!E2528</f>
        <v>0</v>
      </c>
      <c r="D2534" s="112" t="e">
        <f>VLOOKUP(A2534,Ingreso!K:P,6,FALSE)</f>
        <v>#N/A</v>
      </c>
      <c r="E2534" s="142" t="e">
        <f>(VLOOKUP(D2534,$D$2:$E$4,2,FALSE))-(IF('Informe Kelly'!H2528=$A$2,'Informe Kelly'!F2528,VLOOKUP(D2534,$D$2:$E$4,2,FALSE)))</f>
        <v>#N/A</v>
      </c>
      <c r="F2534" s="142" t="e">
        <f>IF('Informe Kelly'!H2528=$A$3,'Informe Kelly'!F2528,VLOOKUP(D2534,$D$2:$F$4,3,FALSE))-(VLOOKUP(D2534,$D$2:$F$4,3,FALSE))</f>
        <v>#N/A</v>
      </c>
      <c r="G2534" s="137" t="e">
        <f t="shared" si="43"/>
        <v>#N/A</v>
      </c>
    </row>
    <row r="2535" spans="1:7">
      <c r="A2535" s="112" t="e">
        <f>VLOOKUP('Informe Kelly'!A2529,Base!A:B,2,FALSE)</f>
        <v>#N/A</v>
      </c>
      <c r="B2535" s="112" t="e">
        <f>VLOOKUP('Informe Kelly'!A2529,Base!A:G,7,FALSE)</f>
        <v>#N/A</v>
      </c>
      <c r="C2535" s="112">
        <f>'Informe Kelly'!E2529</f>
        <v>0</v>
      </c>
      <c r="D2535" s="112" t="e">
        <f>VLOOKUP(A2535,Ingreso!K:P,6,FALSE)</f>
        <v>#N/A</v>
      </c>
      <c r="E2535" s="142" t="e">
        <f>(VLOOKUP(D2535,$D$2:$E$4,2,FALSE))-(IF('Informe Kelly'!H2529=$A$2,'Informe Kelly'!F2529,VLOOKUP(D2535,$D$2:$E$4,2,FALSE)))</f>
        <v>#N/A</v>
      </c>
      <c r="F2535" s="142" t="e">
        <f>IF('Informe Kelly'!H2529=$A$3,'Informe Kelly'!F2529,VLOOKUP(D2535,$D$2:$F$4,3,FALSE))-(VLOOKUP(D2535,$D$2:$F$4,3,FALSE))</f>
        <v>#N/A</v>
      </c>
      <c r="G2535" s="137" t="e">
        <f t="shared" si="43"/>
        <v>#N/A</v>
      </c>
    </row>
    <row r="2536" spans="1:7">
      <c r="A2536" s="112" t="e">
        <f>VLOOKUP('Informe Kelly'!A2530,Base!A:B,2,FALSE)</f>
        <v>#N/A</v>
      </c>
      <c r="B2536" s="112" t="e">
        <f>VLOOKUP('Informe Kelly'!A2530,Base!A:G,7,FALSE)</f>
        <v>#N/A</v>
      </c>
      <c r="C2536" s="112">
        <f>'Informe Kelly'!E2530</f>
        <v>0</v>
      </c>
      <c r="D2536" s="112" t="e">
        <f>VLOOKUP(A2536,Ingreso!K:P,6,FALSE)</f>
        <v>#N/A</v>
      </c>
      <c r="E2536" s="142" t="e">
        <f>(VLOOKUP(D2536,$D$2:$E$4,2,FALSE))-(IF('Informe Kelly'!H2530=$A$2,'Informe Kelly'!F2530,VLOOKUP(D2536,$D$2:$E$4,2,FALSE)))</f>
        <v>#N/A</v>
      </c>
      <c r="F2536" s="142" t="e">
        <f>IF('Informe Kelly'!H2530=$A$3,'Informe Kelly'!F2530,VLOOKUP(D2536,$D$2:$F$4,3,FALSE))-(VLOOKUP(D2536,$D$2:$F$4,3,FALSE))</f>
        <v>#N/A</v>
      </c>
      <c r="G2536" s="137" t="e">
        <f t="shared" si="43"/>
        <v>#N/A</v>
      </c>
    </row>
    <row r="2537" spans="1:7">
      <c r="A2537" s="112" t="e">
        <f>VLOOKUP('Informe Kelly'!A2531,Base!A:B,2,FALSE)</f>
        <v>#N/A</v>
      </c>
      <c r="B2537" s="112" t="e">
        <f>VLOOKUP('Informe Kelly'!A2531,Base!A:G,7,FALSE)</f>
        <v>#N/A</v>
      </c>
      <c r="C2537" s="112">
        <f>'Informe Kelly'!E2531</f>
        <v>0</v>
      </c>
      <c r="D2537" s="112" t="e">
        <f>VLOOKUP(A2537,Ingreso!K:P,6,FALSE)</f>
        <v>#N/A</v>
      </c>
      <c r="E2537" s="142" t="e">
        <f>(VLOOKUP(D2537,$D$2:$E$4,2,FALSE))-(IF('Informe Kelly'!H2531=$A$2,'Informe Kelly'!F2531,VLOOKUP(D2537,$D$2:$E$4,2,FALSE)))</f>
        <v>#N/A</v>
      </c>
      <c r="F2537" s="142" t="e">
        <f>IF('Informe Kelly'!H2531=$A$3,'Informe Kelly'!F2531,VLOOKUP(D2537,$D$2:$F$4,3,FALSE))-(VLOOKUP(D2537,$D$2:$F$4,3,FALSE))</f>
        <v>#N/A</v>
      </c>
      <c r="G2537" s="137" t="e">
        <f t="shared" si="43"/>
        <v>#N/A</v>
      </c>
    </row>
    <row r="2538" spans="1:7">
      <c r="A2538" s="112" t="e">
        <f>VLOOKUP('Informe Kelly'!A2532,Base!A:B,2,FALSE)</f>
        <v>#N/A</v>
      </c>
      <c r="B2538" s="112" t="e">
        <f>VLOOKUP('Informe Kelly'!A2532,Base!A:G,7,FALSE)</f>
        <v>#N/A</v>
      </c>
      <c r="C2538" s="112">
        <f>'Informe Kelly'!E2532</f>
        <v>0</v>
      </c>
      <c r="D2538" s="112" t="e">
        <f>VLOOKUP(A2538,Ingreso!K:P,6,FALSE)</f>
        <v>#N/A</v>
      </c>
      <c r="E2538" s="142" t="e">
        <f>(VLOOKUP(D2538,$D$2:$E$4,2,FALSE))-(IF('Informe Kelly'!H2532=$A$2,'Informe Kelly'!F2532,VLOOKUP(D2538,$D$2:$E$4,2,FALSE)))</f>
        <v>#N/A</v>
      </c>
      <c r="F2538" s="142" t="e">
        <f>IF('Informe Kelly'!H2532=$A$3,'Informe Kelly'!F2532,VLOOKUP(D2538,$D$2:$F$4,3,FALSE))-(VLOOKUP(D2538,$D$2:$F$4,3,FALSE))</f>
        <v>#N/A</v>
      </c>
      <c r="G2538" s="137" t="e">
        <f t="shared" si="43"/>
        <v>#N/A</v>
      </c>
    </row>
    <row r="2539" spans="1:7">
      <c r="A2539" s="112" t="e">
        <f>VLOOKUP('Informe Kelly'!A2533,Base!A:B,2,FALSE)</f>
        <v>#N/A</v>
      </c>
      <c r="B2539" s="112" t="e">
        <f>VLOOKUP('Informe Kelly'!A2533,Base!A:G,7,FALSE)</f>
        <v>#N/A</v>
      </c>
      <c r="C2539" s="112">
        <f>'Informe Kelly'!E2533</f>
        <v>0</v>
      </c>
      <c r="D2539" s="112" t="e">
        <f>VLOOKUP(A2539,Ingreso!K:P,6,FALSE)</f>
        <v>#N/A</v>
      </c>
      <c r="E2539" s="142" t="e">
        <f>(VLOOKUP(D2539,$D$2:$E$4,2,FALSE))-(IF('Informe Kelly'!H2533=$A$2,'Informe Kelly'!F2533,VLOOKUP(D2539,$D$2:$E$4,2,FALSE)))</f>
        <v>#N/A</v>
      </c>
      <c r="F2539" s="142" t="e">
        <f>IF('Informe Kelly'!H2533=$A$3,'Informe Kelly'!F2533,VLOOKUP(D2539,$D$2:$F$4,3,FALSE))-(VLOOKUP(D2539,$D$2:$F$4,3,FALSE))</f>
        <v>#N/A</v>
      </c>
      <c r="G2539" s="137" t="e">
        <f t="shared" si="43"/>
        <v>#N/A</v>
      </c>
    </row>
    <row r="2540" spans="1:7">
      <c r="A2540" s="112" t="e">
        <f>VLOOKUP('Informe Kelly'!A2534,Base!A:B,2,FALSE)</f>
        <v>#N/A</v>
      </c>
      <c r="B2540" s="112" t="e">
        <f>VLOOKUP('Informe Kelly'!A2534,Base!A:G,7,FALSE)</f>
        <v>#N/A</v>
      </c>
      <c r="C2540" s="112">
        <f>'Informe Kelly'!E2534</f>
        <v>0</v>
      </c>
      <c r="D2540" s="112" t="e">
        <f>VLOOKUP(A2540,Ingreso!K:P,6,FALSE)</f>
        <v>#N/A</v>
      </c>
      <c r="E2540" s="142" t="e">
        <f>(VLOOKUP(D2540,$D$2:$E$4,2,FALSE))-(IF('Informe Kelly'!H2534=$A$2,'Informe Kelly'!F2534,VLOOKUP(D2540,$D$2:$E$4,2,FALSE)))</f>
        <v>#N/A</v>
      </c>
      <c r="F2540" s="142" t="e">
        <f>IF('Informe Kelly'!H2534=$A$3,'Informe Kelly'!F2534,VLOOKUP(D2540,$D$2:$F$4,3,FALSE))-(VLOOKUP(D2540,$D$2:$F$4,3,FALSE))</f>
        <v>#N/A</v>
      </c>
      <c r="G2540" s="137" t="e">
        <f t="shared" si="43"/>
        <v>#N/A</v>
      </c>
    </row>
    <row r="2541" spans="1:7">
      <c r="A2541" s="112" t="e">
        <f>VLOOKUP('Informe Kelly'!A2535,Base!A:B,2,FALSE)</f>
        <v>#N/A</v>
      </c>
      <c r="B2541" s="112" t="e">
        <f>VLOOKUP('Informe Kelly'!A2535,Base!A:G,7,FALSE)</f>
        <v>#N/A</v>
      </c>
      <c r="C2541" s="112">
        <f>'Informe Kelly'!E2535</f>
        <v>0</v>
      </c>
      <c r="D2541" s="112" t="e">
        <f>VLOOKUP(A2541,Ingreso!K:P,6,FALSE)</f>
        <v>#N/A</v>
      </c>
      <c r="E2541" s="142" t="e">
        <f>(VLOOKUP(D2541,$D$2:$E$4,2,FALSE))-(IF('Informe Kelly'!H2535=$A$2,'Informe Kelly'!F2535,VLOOKUP(D2541,$D$2:$E$4,2,FALSE)))</f>
        <v>#N/A</v>
      </c>
      <c r="F2541" s="142" t="e">
        <f>IF('Informe Kelly'!H2535=$A$3,'Informe Kelly'!F2535,VLOOKUP(D2541,$D$2:$F$4,3,FALSE))-(VLOOKUP(D2541,$D$2:$F$4,3,FALSE))</f>
        <v>#N/A</v>
      </c>
      <c r="G2541" s="137" t="e">
        <f t="shared" si="43"/>
        <v>#N/A</v>
      </c>
    </row>
    <row r="2542" spans="1:7">
      <c r="A2542" s="112" t="e">
        <f>VLOOKUP('Informe Kelly'!A2536,Base!A:B,2,FALSE)</f>
        <v>#N/A</v>
      </c>
      <c r="B2542" s="112" t="e">
        <f>VLOOKUP('Informe Kelly'!A2536,Base!A:G,7,FALSE)</f>
        <v>#N/A</v>
      </c>
      <c r="C2542" s="112">
        <f>'Informe Kelly'!E2536</f>
        <v>0</v>
      </c>
      <c r="D2542" s="112" t="e">
        <f>VLOOKUP(A2542,Ingreso!K:P,6,FALSE)</f>
        <v>#N/A</v>
      </c>
      <c r="E2542" s="142" t="e">
        <f>(VLOOKUP(D2542,$D$2:$E$4,2,FALSE))-(IF('Informe Kelly'!H2536=$A$2,'Informe Kelly'!F2536,VLOOKUP(D2542,$D$2:$E$4,2,FALSE)))</f>
        <v>#N/A</v>
      </c>
      <c r="F2542" s="142" t="e">
        <f>IF('Informe Kelly'!H2536=$A$3,'Informe Kelly'!F2536,VLOOKUP(D2542,$D$2:$F$4,3,FALSE))-(VLOOKUP(D2542,$D$2:$F$4,3,FALSE))</f>
        <v>#N/A</v>
      </c>
      <c r="G2542" s="137" t="e">
        <f t="shared" si="43"/>
        <v>#N/A</v>
      </c>
    </row>
    <row r="2543" spans="1:7">
      <c r="A2543" s="112" t="e">
        <f>VLOOKUP('Informe Kelly'!A2537,Base!A:B,2,FALSE)</f>
        <v>#N/A</v>
      </c>
      <c r="B2543" s="112" t="e">
        <f>VLOOKUP('Informe Kelly'!A2537,Base!A:G,7,FALSE)</f>
        <v>#N/A</v>
      </c>
      <c r="C2543" s="112">
        <f>'Informe Kelly'!E2537</f>
        <v>0</v>
      </c>
      <c r="D2543" s="112" t="e">
        <f>VLOOKUP(A2543,Ingreso!K:P,6,FALSE)</f>
        <v>#N/A</v>
      </c>
      <c r="E2543" s="142" t="e">
        <f>(VLOOKUP(D2543,$D$2:$E$4,2,FALSE))-(IF('Informe Kelly'!H2537=$A$2,'Informe Kelly'!F2537,VLOOKUP(D2543,$D$2:$E$4,2,FALSE)))</f>
        <v>#N/A</v>
      </c>
      <c r="F2543" s="142" t="e">
        <f>IF('Informe Kelly'!H2537=$A$3,'Informe Kelly'!F2537,VLOOKUP(D2543,$D$2:$F$4,3,FALSE))-(VLOOKUP(D2543,$D$2:$F$4,3,FALSE))</f>
        <v>#N/A</v>
      </c>
      <c r="G2543" s="137" t="e">
        <f t="shared" si="43"/>
        <v>#N/A</v>
      </c>
    </row>
    <row r="2544" spans="1:7">
      <c r="A2544" s="112" t="e">
        <f>VLOOKUP('Informe Kelly'!A2538,Base!A:B,2,FALSE)</f>
        <v>#N/A</v>
      </c>
      <c r="B2544" s="112" t="e">
        <f>VLOOKUP('Informe Kelly'!A2538,Base!A:G,7,FALSE)</f>
        <v>#N/A</v>
      </c>
      <c r="C2544" s="112">
        <f>'Informe Kelly'!E2538</f>
        <v>0</v>
      </c>
      <c r="D2544" s="112" t="e">
        <f>VLOOKUP(A2544,Ingreso!K:P,6,FALSE)</f>
        <v>#N/A</v>
      </c>
      <c r="E2544" s="142" t="e">
        <f>(VLOOKUP(D2544,$D$2:$E$4,2,FALSE))-(IF('Informe Kelly'!H2538=$A$2,'Informe Kelly'!F2538,VLOOKUP(D2544,$D$2:$E$4,2,FALSE)))</f>
        <v>#N/A</v>
      </c>
      <c r="F2544" s="142" t="e">
        <f>IF('Informe Kelly'!H2538=$A$3,'Informe Kelly'!F2538,VLOOKUP(D2544,$D$2:$F$4,3,FALSE))-(VLOOKUP(D2544,$D$2:$F$4,3,FALSE))</f>
        <v>#N/A</v>
      </c>
      <c r="G2544" s="137" t="e">
        <f t="shared" si="43"/>
        <v>#N/A</v>
      </c>
    </row>
    <row r="2545" spans="1:7">
      <c r="A2545" s="112" t="e">
        <f>VLOOKUP('Informe Kelly'!A2539,Base!A:B,2,FALSE)</f>
        <v>#N/A</v>
      </c>
      <c r="B2545" s="112" t="e">
        <f>VLOOKUP('Informe Kelly'!A2539,Base!A:G,7,FALSE)</f>
        <v>#N/A</v>
      </c>
      <c r="C2545" s="112">
        <f>'Informe Kelly'!E2539</f>
        <v>0</v>
      </c>
      <c r="D2545" s="112" t="e">
        <f>VLOOKUP(A2545,Ingreso!K:P,6,FALSE)</f>
        <v>#N/A</v>
      </c>
      <c r="E2545" s="142" t="e">
        <f>(VLOOKUP(D2545,$D$2:$E$4,2,FALSE))-(IF('Informe Kelly'!H2539=$A$2,'Informe Kelly'!F2539,VLOOKUP(D2545,$D$2:$E$4,2,FALSE)))</f>
        <v>#N/A</v>
      </c>
      <c r="F2545" s="142" t="e">
        <f>IF('Informe Kelly'!H2539=$A$3,'Informe Kelly'!F2539,VLOOKUP(D2545,$D$2:$F$4,3,FALSE))-(VLOOKUP(D2545,$D$2:$F$4,3,FALSE))</f>
        <v>#N/A</v>
      </c>
      <c r="G2545" s="137" t="e">
        <f t="shared" si="43"/>
        <v>#N/A</v>
      </c>
    </row>
    <row r="2546" spans="1:7">
      <c r="A2546" s="112" t="e">
        <f>VLOOKUP('Informe Kelly'!A2540,Base!A:B,2,FALSE)</f>
        <v>#N/A</v>
      </c>
      <c r="B2546" s="112" t="e">
        <f>VLOOKUP('Informe Kelly'!A2540,Base!A:G,7,FALSE)</f>
        <v>#N/A</v>
      </c>
      <c r="C2546" s="112">
        <f>'Informe Kelly'!E2540</f>
        <v>0</v>
      </c>
      <c r="D2546" s="112" t="e">
        <f>VLOOKUP(A2546,Ingreso!K:P,6,FALSE)</f>
        <v>#N/A</v>
      </c>
      <c r="E2546" s="142" t="e">
        <f>(VLOOKUP(D2546,$D$2:$E$4,2,FALSE))-(IF('Informe Kelly'!H2540=$A$2,'Informe Kelly'!F2540,VLOOKUP(D2546,$D$2:$E$4,2,FALSE)))</f>
        <v>#N/A</v>
      </c>
      <c r="F2546" s="142" t="e">
        <f>IF('Informe Kelly'!H2540=$A$3,'Informe Kelly'!F2540,VLOOKUP(D2546,$D$2:$F$4,3,FALSE))-(VLOOKUP(D2546,$D$2:$F$4,3,FALSE))</f>
        <v>#N/A</v>
      </c>
      <c r="G2546" s="137" t="e">
        <f t="shared" si="43"/>
        <v>#N/A</v>
      </c>
    </row>
    <row r="2547" spans="1:7">
      <c r="A2547" s="112" t="e">
        <f>VLOOKUP('Informe Kelly'!A2541,Base!A:B,2,FALSE)</f>
        <v>#N/A</v>
      </c>
      <c r="B2547" s="112" t="e">
        <f>VLOOKUP('Informe Kelly'!A2541,Base!A:G,7,FALSE)</f>
        <v>#N/A</v>
      </c>
      <c r="C2547" s="112">
        <f>'Informe Kelly'!E2541</f>
        <v>0</v>
      </c>
      <c r="D2547" s="112" t="e">
        <f>VLOOKUP(A2547,Ingreso!K:P,6,FALSE)</f>
        <v>#N/A</v>
      </c>
      <c r="E2547" s="142" t="e">
        <f>(VLOOKUP(D2547,$D$2:$E$4,2,FALSE))-(IF('Informe Kelly'!H2541=$A$2,'Informe Kelly'!F2541,VLOOKUP(D2547,$D$2:$E$4,2,FALSE)))</f>
        <v>#N/A</v>
      </c>
      <c r="F2547" s="142" t="e">
        <f>IF('Informe Kelly'!H2541=$A$3,'Informe Kelly'!F2541,VLOOKUP(D2547,$D$2:$F$4,3,FALSE))-(VLOOKUP(D2547,$D$2:$F$4,3,FALSE))</f>
        <v>#N/A</v>
      </c>
      <c r="G2547" s="137" t="e">
        <f t="shared" si="43"/>
        <v>#N/A</v>
      </c>
    </row>
    <row r="2548" spans="1:7">
      <c r="A2548" s="112" t="e">
        <f>VLOOKUP('Informe Kelly'!A2542,Base!A:B,2,FALSE)</f>
        <v>#N/A</v>
      </c>
      <c r="B2548" s="112" t="e">
        <f>VLOOKUP('Informe Kelly'!A2542,Base!A:G,7,FALSE)</f>
        <v>#N/A</v>
      </c>
      <c r="C2548" s="112">
        <f>'Informe Kelly'!E2542</f>
        <v>0</v>
      </c>
      <c r="D2548" s="112" t="e">
        <f>VLOOKUP(A2548,Ingreso!K:P,6,FALSE)</f>
        <v>#N/A</v>
      </c>
      <c r="E2548" s="142" t="e">
        <f>(VLOOKUP(D2548,$D$2:$E$4,2,FALSE))-(IF('Informe Kelly'!H2542=$A$2,'Informe Kelly'!F2542,VLOOKUP(D2548,$D$2:$E$4,2,FALSE)))</f>
        <v>#N/A</v>
      </c>
      <c r="F2548" s="142" t="e">
        <f>IF('Informe Kelly'!H2542=$A$3,'Informe Kelly'!F2542,VLOOKUP(D2548,$D$2:$F$4,3,FALSE))-(VLOOKUP(D2548,$D$2:$F$4,3,FALSE))</f>
        <v>#N/A</v>
      </c>
      <c r="G2548" s="137" t="e">
        <f t="shared" si="43"/>
        <v>#N/A</v>
      </c>
    </row>
    <row r="2549" spans="1:7">
      <c r="A2549" s="112" t="e">
        <f>VLOOKUP('Informe Kelly'!A2543,Base!A:B,2,FALSE)</f>
        <v>#N/A</v>
      </c>
      <c r="B2549" s="112" t="e">
        <f>VLOOKUP('Informe Kelly'!A2543,Base!A:G,7,FALSE)</f>
        <v>#N/A</v>
      </c>
      <c r="C2549" s="112">
        <f>'Informe Kelly'!E2543</f>
        <v>0</v>
      </c>
      <c r="D2549" s="112" t="e">
        <f>VLOOKUP(A2549,Ingreso!K:P,6,FALSE)</f>
        <v>#N/A</v>
      </c>
      <c r="E2549" s="142" t="e">
        <f>(VLOOKUP(D2549,$D$2:$E$4,2,FALSE))-(IF('Informe Kelly'!H2543=$A$2,'Informe Kelly'!F2543,VLOOKUP(D2549,$D$2:$E$4,2,FALSE)))</f>
        <v>#N/A</v>
      </c>
      <c r="F2549" s="142" t="e">
        <f>IF('Informe Kelly'!H2543=$A$3,'Informe Kelly'!F2543,VLOOKUP(D2549,$D$2:$F$4,3,FALSE))-(VLOOKUP(D2549,$D$2:$F$4,3,FALSE))</f>
        <v>#N/A</v>
      </c>
      <c r="G2549" s="137" t="e">
        <f t="shared" si="43"/>
        <v>#N/A</v>
      </c>
    </row>
    <row r="2550" spans="1:7">
      <c r="A2550" s="112" t="e">
        <f>VLOOKUP('Informe Kelly'!A2544,Base!A:B,2,FALSE)</f>
        <v>#N/A</v>
      </c>
      <c r="B2550" s="112" t="e">
        <f>VLOOKUP('Informe Kelly'!A2544,Base!A:G,7,FALSE)</f>
        <v>#N/A</v>
      </c>
      <c r="C2550" s="112">
        <f>'Informe Kelly'!E2544</f>
        <v>0</v>
      </c>
      <c r="D2550" s="112" t="e">
        <f>VLOOKUP(A2550,Ingreso!K:P,6,FALSE)</f>
        <v>#N/A</v>
      </c>
      <c r="E2550" s="142" t="e">
        <f>(VLOOKUP(D2550,$D$2:$E$4,2,FALSE))-(IF('Informe Kelly'!H2544=$A$2,'Informe Kelly'!F2544,VLOOKUP(D2550,$D$2:$E$4,2,FALSE)))</f>
        <v>#N/A</v>
      </c>
      <c r="F2550" s="142" t="e">
        <f>IF('Informe Kelly'!H2544=$A$3,'Informe Kelly'!F2544,VLOOKUP(D2550,$D$2:$F$4,3,FALSE))-(VLOOKUP(D2550,$D$2:$F$4,3,FALSE))</f>
        <v>#N/A</v>
      </c>
      <c r="G2550" s="137" t="e">
        <f t="shared" si="43"/>
        <v>#N/A</v>
      </c>
    </row>
    <row r="2551" spans="1:7">
      <c r="A2551" s="112" t="e">
        <f>VLOOKUP('Informe Kelly'!A2545,Base!A:B,2,FALSE)</f>
        <v>#N/A</v>
      </c>
      <c r="B2551" s="112" t="e">
        <f>VLOOKUP('Informe Kelly'!A2545,Base!A:G,7,FALSE)</f>
        <v>#N/A</v>
      </c>
      <c r="C2551" s="112">
        <f>'Informe Kelly'!E2545</f>
        <v>0</v>
      </c>
      <c r="D2551" s="112" t="e">
        <f>VLOOKUP(A2551,Ingreso!K:P,6,FALSE)</f>
        <v>#N/A</v>
      </c>
      <c r="E2551" s="142" t="e">
        <f>(VLOOKUP(D2551,$D$2:$E$4,2,FALSE))-(IF('Informe Kelly'!H2545=$A$2,'Informe Kelly'!F2545,VLOOKUP(D2551,$D$2:$E$4,2,FALSE)))</f>
        <v>#N/A</v>
      </c>
      <c r="F2551" s="142" t="e">
        <f>IF('Informe Kelly'!H2545=$A$3,'Informe Kelly'!F2545,VLOOKUP(D2551,$D$2:$F$4,3,FALSE))-(VLOOKUP(D2551,$D$2:$F$4,3,FALSE))</f>
        <v>#N/A</v>
      </c>
      <c r="G2551" s="137" t="e">
        <f t="shared" si="43"/>
        <v>#N/A</v>
      </c>
    </row>
    <row r="2552" spans="1:7">
      <c r="A2552" s="112" t="e">
        <f>VLOOKUP('Informe Kelly'!A2546,Base!A:B,2,FALSE)</f>
        <v>#N/A</v>
      </c>
      <c r="B2552" s="112" t="e">
        <f>VLOOKUP('Informe Kelly'!A2546,Base!A:G,7,FALSE)</f>
        <v>#N/A</v>
      </c>
      <c r="C2552" s="112">
        <f>'Informe Kelly'!E2546</f>
        <v>0</v>
      </c>
      <c r="D2552" s="112" t="e">
        <f>VLOOKUP(A2552,Ingreso!K:P,6,FALSE)</f>
        <v>#N/A</v>
      </c>
      <c r="E2552" s="142" t="e">
        <f>(VLOOKUP(D2552,$D$2:$E$4,2,FALSE))-(IF('Informe Kelly'!H2546=$A$2,'Informe Kelly'!F2546,VLOOKUP(D2552,$D$2:$E$4,2,FALSE)))</f>
        <v>#N/A</v>
      </c>
      <c r="F2552" s="142" t="e">
        <f>IF('Informe Kelly'!H2546=$A$3,'Informe Kelly'!F2546,VLOOKUP(D2552,$D$2:$F$4,3,FALSE))-(VLOOKUP(D2552,$D$2:$F$4,3,FALSE))</f>
        <v>#N/A</v>
      </c>
      <c r="G2552" s="137" t="e">
        <f t="shared" si="43"/>
        <v>#N/A</v>
      </c>
    </row>
    <row r="2553" spans="1:7">
      <c r="A2553" s="112" t="e">
        <f>VLOOKUP('Informe Kelly'!A2547,Base!A:B,2,FALSE)</f>
        <v>#N/A</v>
      </c>
      <c r="B2553" s="112" t="e">
        <f>VLOOKUP('Informe Kelly'!A2547,Base!A:G,7,FALSE)</f>
        <v>#N/A</v>
      </c>
      <c r="C2553" s="112">
        <f>'Informe Kelly'!E2547</f>
        <v>0</v>
      </c>
      <c r="D2553" s="112" t="e">
        <f>VLOOKUP(A2553,Ingreso!K:P,6,FALSE)</f>
        <v>#N/A</v>
      </c>
      <c r="E2553" s="142" t="e">
        <f>(VLOOKUP(D2553,$D$2:$E$4,2,FALSE))-(IF('Informe Kelly'!H2547=$A$2,'Informe Kelly'!F2547,VLOOKUP(D2553,$D$2:$E$4,2,FALSE)))</f>
        <v>#N/A</v>
      </c>
      <c r="F2553" s="142" t="e">
        <f>IF('Informe Kelly'!H2547=$A$3,'Informe Kelly'!F2547,VLOOKUP(D2553,$D$2:$F$4,3,FALSE))-(VLOOKUP(D2553,$D$2:$F$4,3,FALSE))</f>
        <v>#N/A</v>
      </c>
      <c r="G2553" s="137" t="e">
        <f t="shared" si="43"/>
        <v>#N/A</v>
      </c>
    </row>
    <row r="2554" spans="1:7">
      <c r="A2554" s="112" t="e">
        <f>VLOOKUP('Informe Kelly'!A2548,Base!A:B,2,FALSE)</f>
        <v>#N/A</v>
      </c>
      <c r="B2554" s="112" t="e">
        <f>VLOOKUP('Informe Kelly'!A2548,Base!A:G,7,FALSE)</f>
        <v>#N/A</v>
      </c>
      <c r="C2554" s="112">
        <f>'Informe Kelly'!E2548</f>
        <v>0</v>
      </c>
      <c r="D2554" s="112" t="e">
        <f>VLOOKUP(A2554,Ingreso!K:P,6,FALSE)</f>
        <v>#N/A</v>
      </c>
      <c r="E2554" s="142" t="e">
        <f>(VLOOKUP(D2554,$D$2:$E$4,2,FALSE))-(IF('Informe Kelly'!H2548=$A$2,'Informe Kelly'!F2548,VLOOKUP(D2554,$D$2:$E$4,2,FALSE)))</f>
        <v>#N/A</v>
      </c>
      <c r="F2554" s="142" t="e">
        <f>IF('Informe Kelly'!H2548=$A$3,'Informe Kelly'!F2548,VLOOKUP(D2554,$D$2:$F$4,3,FALSE))-(VLOOKUP(D2554,$D$2:$F$4,3,FALSE))</f>
        <v>#N/A</v>
      </c>
      <c r="G2554" s="137" t="e">
        <f t="shared" si="43"/>
        <v>#N/A</v>
      </c>
    </row>
    <row r="2555" spans="1:7">
      <c r="A2555" s="112" t="e">
        <f>VLOOKUP('Informe Kelly'!A2549,Base!A:B,2,FALSE)</f>
        <v>#N/A</v>
      </c>
      <c r="B2555" s="112" t="e">
        <f>VLOOKUP('Informe Kelly'!A2549,Base!A:G,7,FALSE)</f>
        <v>#N/A</v>
      </c>
      <c r="C2555" s="112">
        <f>'Informe Kelly'!E2549</f>
        <v>0</v>
      </c>
      <c r="D2555" s="112" t="e">
        <f>VLOOKUP(A2555,Ingreso!K:P,6,FALSE)</f>
        <v>#N/A</v>
      </c>
      <c r="E2555" s="142" t="e">
        <f>(VLOOKUP(D2555,$D$2:$E$4,2,FALSE))-(IF('Informe Kelly'!H2549=$A$2,'Informe Kelly'!F2549,VLOOKUP(D2555,$D$2:$E$4,2,FALSE)))</f>
        <v>#N/A</v>
      </c>
      <c r="F2555" s="142" t="e">
        <f>IF('Informe Kelly'!H2549=$A$3,'Informe Kelly'!F2549,VLOOKUP(D2555,$D$2:$F$4,3,FALSE))-(VLOOKUP(D2555,$D$2:$F$4,3,FALSE))</f>
        <v>#N/A</v>
      </c>
      <c r="G2555" s="137" t="e">
        <f t="shared" si="43"/>
        <v>#N/A</v>
      </c>
    </row>
    <row r="2556" spans="1:7">
      <c r="A2556" s="112" t="e">
        <f>VLOOKUP('Informe Kelly'!A2550,Base!A:B,2,FALSE)</f>
        <v>#N/A</v>
      </c>
      <c r="B2556" s="112" t="e">
        <f>VLOOKUP('Informe Kelly'!A2550,Base!A:G,7,FALSE)</f>
        <v>#N/A</v>
      </c>
      <c r="C2556" s="112">
        <f>'Informe Kelly'!E2550</f>
        <v>0</v>
      </c>
      <c r="D2556" s="112" t="e">
        <f>VLOOKUP(A2556,Ingreso!K:P,6,FALSE)</f>
        <v>#N/A</v>
      </c>
      <c r="E2556" s="142" t="e">
        <f>(VLOOKUP(D2556,$D$2:$E$4,2,FALSE))-(IF('Informe Kelly'!H2550=$A$2,'Informe Kelly'!F2550,VLOOKUP(D2556,$D$2:$E$4,2,FALSE)))</f>
        <v>#N/A</v>
      </c>
      <c r="F2556" s="142" t="e">
        <f>IF('Informe Kelly'!H2550=$A$3,'Informe Kelly'!F2550,VLOOKUP(D2556,$D$2:$F$4,3,FALSE))-(VLOOKUP(D2556,$D$2:$F$4,3,FALSE))</f>
        <v>#N/A</v>
      </c>
      <c r="G2556" s="137" t="e">
        <f t="shared" si="43"/>
        <v>#N/A</v>
      </c>
    </row>
    <row r="2557" spans="1:7">
      <c r="A2557" s="112" t="e">
        <f>VLOOKUP('Informe Kelly'!A2551,Base!A:B,2,FALSE)</f>
        <v>#N/A</v>
      </c>
      <c r="B2557" s="112" t="e">
        <f>VLOOKUP('Informe Kelly'!A2551,Base!A:G,7,FALSE)</f>
        <v>#N/A</v>
      </c>
      <c r="C2557" s="112">
        <f>'Informe Kelly'!E2551</f>
        <v>0</v>
      </c>
      <c r="D2557" s="112" t="e">
        <f>VLOOKUP(A2557,Ingreso!K:P,6,FALSE)</f>
        <v>#N/A</v>
      </c>
      <c r="E2557" s="142" t="e">
        <f>(VLOOKUP(D2557,$D$2:$E$4,2,FALSE))-(IF('Informe Kelly'!H2551=$A$2,'Informe Kelly'!F2551,VLOOKUP(D2557,$D$2:$E$4,2,FALSE)))</f>
        <v>#N/A</v>
      </c>
      <c r="F2557" s="142" t="e">
        <f>IF('Informe Kelly'!H2551=$A$3,'Informe Kelly'!F2551,VLOOKUP(D2557,$D$2:$F$4,3,FALSE))-(VLOOKUP(D2557,$D$2:$F$4,3,FALSE))</f>
        <v>#N/A</v>
      </c>
      <c r="G2557" s="137" t="e">
        <f t="shared" si="43"/>
        <v>#N/A</v>
      </c>
    </row>
    <row r="2558" spans="1:7">
      <c r="A2558" s="112" t="e">
        <f>VLOOKUP('Informe Kelly'!A2552,Base!A:B,2,FALSE)</f>
        <v>#N/A</v>
      </c>
      <c r="B2558" s="112" t="e">
        <f>VLOOKUP('Informe Kelly'!A2552,Base!A:G,7,FALSE)</f>
        <v>#N/A</v>
      </c>
      <c r="C2558" s="112">
        <f>'Informe Kelly'!E2552</f>
        <v>0</v>
      </c>
      <c r="D2558" s="112" t="e">
        <f>VLOOKUP(A2558,Ingreso!K:P,6,FALSE)</f>
        <v>#N/A</v>
      </c>
      <c r="E2558" s="142" t="e">
        <f>(VLOOKUP(D2558,$D$2:$E$4,2,FALSE))-(IF('Informe Kelly'!H2552=$A$2,'Informe Kelly'!F2552,VLOOKUP(D2558,$D$2:$E$4,2,FALSE)))</f>
        <v>#N/A</v>
      </c>
      <c r="F2558" s="142" t="e">
        <f>IF('Informe Kelly'!H2552=$A$3,'Informe Kelly'!F2552,VLOOKUP(D2558,$D$2:$F$4,3,FALSE))-(VLOOKUP(D2558,$D$2:$F$4,3,FALSE))</f>
        <v>#N/A</v>
      </c>
      <c r="G2558" s="137" t="e">
        <f t="shared" si="43"/>
        <v>#N/A</v>
      </c>
    </row>
    <row r="2559" spans="1:7">
      <c r="A2559" s="112" t="e">
        <f>VLOOKUP('Informe Kelly'!A2553,Base!A:B,2,FALSE)</f>
        <v>#N/A</v>
      </c>
      <c r="B2559" s="112" t="e">
        <f>VLOOKUP('Informe Kelly'!A2553,Base!A:G,7,FALSE)</f>
        <v>#N/A</v>
      </c>
      <c r="C2559" s="112">
        <f>'Informe Kelly'!E2553</f>
        <v>0</v>
      </c>
      <c r="D2559" s="112" t="e">
        <f>VLOOKUP(A2559,Ingreso!K:P,6,FALSE)</f>
        <v>#N/A</v>
      </c>
      <c r="E2559" s="142" t="e">
        <f>(VLOOKUP(D2559,$D$2:$E$4,2,FALSE))-(IF('Informe Kelly'!H2553=$A$2,'Informe Kelly'!F2553,VLOOKUP(D2559,$D$2:$E$4,2,FALSE)))</f>
        <v>#N/A</v>
      </c>
      <c r="F2559" s="142" t="e">
        <f>IF('Informe Kelly'!H2553=$A$3,'Informe Kelly'!F2553,VLOOKUP(D2559,$D$2:$F$4,3,FALSE))-(VLOOKUP(D2559,$D$2:$F$4,3,FALSE))</f>
        <v>#N/A</v>
      </c>
      <c r="G2559" s="137" t="e">
        <f t="shared" si="43"/>
        <v>#N/A</v>
      </c>
    </row>
    <row r="2560" spans="1:7">
      <c r="A2560" s="112" t="e">
        <f>VLOOKUP('Informe Kelly'!A2554,Base!A:B,2,FALSE)</f>
        <v>#N/A</v>
      </c>
      <c r="B2560" s="112" t="e">
        <f>VLOOKUP('Informe Kelly'!A2554,Base!A:G,7,FALSE)</f>
        <v>#N/A</v>
      </c>
      <c r="C2560" s="112">
        <f>'Informe Kelly'!E2554</f>
        <v>0</v>
      </c>
      <c r="D2560" s="112" t="e">
        <f>VLOOKUP(A2560,Ingreso!K:P,6,FALSE)</f>
        <v>#N/A</v>
      </c>
      <c r="E2560" s="142" t="e">
        <f>(VLOOKUP(D2560,$D$2:$E$4,2,FALSE))-(IF('Informe Kelly'!H2554=$A$2,'Informe Kelly'!F2554,VLOOKUP(D2560,$D$2:$E$4,2,FALSE)))</f>
        <v>#N/A</v>
      </c>
      <c r="F2560" s="142" t="e">
        <f>IF('Informe Kelly'!H2554=$A$3,'Informe Kelly'!F2554,VLOOKUP(D2560,$D$2:$F$4,3,FALSE))-(VLOOKUP(D2560,$D$2:$F$4,3,FALSE))</f>
        <v>#N/A</v>
      </c>
      <c r="G2560" s="137" t="e">
        <f t="shared" si="43"/>
        <v>#N/A</v>
      </c>
    </row>
    <row r="2561" spans="1:7">
      <c r="A2561" s="112" t="e">
        <f>VLOOKUP('Informe Kelly'!A2555,Base!A:B,2,FALSE)</f>
        <v>#N/A</v>
      </c>
      <c r="B2561" s="112" t="e">
        <f>VLOOKUP('Informe Kelly'!A2555,Base!A:G,7,FALSE)</f>
        <v>#N/A</v>
      </c>
      <c r="C2561" s="112">
        <f>'Informe Kelly'!E2555</f>
        <v>0</v>
      </c>
      <c r="D2561" s="112" t="e">
        <f>VLOOKUP(A2561,Ingreso!K:P,6,FALSE)</f>
        <v>#N/A</v>
      </c>
      <c r="E2561" s="142" t="e">
        <f>(VLOOKUP(D2561,$D$2:$E$4,2,FALSE))-(IF('Informe Kelly'!H2555=$A$2,'Informe Kelly'!F2555,VLOOKUP(D2561,$D$2:$E$4,2,FALSE)))</f>
        <v>#N/A</v>
      </c>
      <c r="F2561" s="142" t="e">
        <f>IF('Informe Kelly'!H2555=$A$3,'Informe Kelly'!F2555,VLOOKUP(D2561,$D$2:$F$4,3,FALSE))-(VLOOKUP(D2561,$D$2:$F$4,3,FALSE))</f>
        <v>#N/A</v>
      </c>
      <c r="G2561" s="137" t="e">
        <f t="shared" si="43"/>
        <v>#N/A</v>
      </c>
    </row>
    <row r="2562" spans="1:7">
      <c r="A2562" s="112" t="e">
        <f>VLOOKUP('Informe Kelly'!A2556,Base!A:B,2,FALSE)</f>
        <v>#N/A</v>
      </c>
      <c r="B2562" s="112" t="e">
        <f>VLOOKUP('Informe Kelly'!A2556,Base!A:G,7,FALSE)</f>
        <v>#N/A</v>
      </c>
      <c r="C2562" s="112">
        <f>'Informe Kelly'!E2556</f>
        <v>0</v>
      </c>
      <c r="D2562" s="112" t="e">
        <f>VLOOKUP(A2562,Ingreso!K:P,6,FALSE)</f>
        <v>#N/A</v>
      </c>
      <c r="E2562" s="142" t="e">
        <f>(VLOOKUP(D2562,$D$2:$E$4,2,FALSE))-(IF('Informe Kelly'!H2556=$A$2,'Informe Kelly'!F2556,VLOOKUP(D2562,$D$2:$E$4,2,FALSE)))</f>
        <v>#N/A</v>
      </c>
      <c r="F2562" s="142" t="e">
        <f>IF('Informe Kelly'!H2556=$A$3,'Informe Kelly'!F2556,VLOOKUP(D2562,$D$2:$F$4,3,FALSE))-(VLOOKUP(D2562,$D$2:$F$4,3,FALSE))</f>
        <v>#N/A</v>
      </c>
      <c r="G2562" s="137" t="e">
        <f t="shared" si="43"/>
        <v>#N/A</v>
      </c>
    </row>
    <row r="2563" spans="1:7">
      <c r="A2563" s="112" t="e">
        <f>VLOOKUP('Informe Kelly'!A2557,Base!A:B,2,FALSE)</f>
        <v>#N/A</v>
      </c>
      <c r="B2563" s="112" t="e">
        <f>VLOOKUP('Informe Kelly'!A2557,Base!A:G,7,FALSE)</f>
        <v>#N/A</v>
      </c>
      <c r="C2563" s="112">
        <f>'Informe Kelly'!E2557</f>
        <v>0</v>
      </c>
      <c r="D2563" s="112" t="e">
        <f>VLOOKUP(A2563,Ingreso!K:P,6,FALSE)</f>
        <v>#N/A</v>
      </c>
      <c r="E2563" s="142" t="e">
        <f>(VLOOKUP(D2563,$D$2:$E$4,2,FALSE))-(IF('Informe Kelly'!H2557=$A$2,'Informe Kelly'!F2557,VLOOKUP(D2563,$D$2:$E$4,2,FALSE)))</f>
        <v>#N/A</v>
      </c>
      <c r="F2563" s="142" t="e">
        <f>IF('Informe Kelly'!H2557=$A$3,'Informe Kelly'!F2557,VLOOKUP(D2563,$D$2:$F$4,3,FALSE))-(VLOOKUP(D2563,$D$2:$F$4,3,FALSE))</f>
        <v>#N/A</v>
      </c>
      <c r="G2563" s="137" t="e">
        <f t="shared" si="43"/>
        <v>#N/A</v>
      </c>
    </row>
    <row r="2564" spans="1:7">
      <c r="A2564" s="112" t="e">
        <f>VLOOKUP('Informe Kelly'!A2558,Base!A:B,2,FALSE)</f>
        <v>#N/A</v>
      </c>
      <c r="B2564" s="112" t="e">
        <f>VLOOKUP('Informe Kelly'!A2558,Base!A:G,7,FALSE)</f>
        <v>#N/A</v>
      </c>
      <c r="C2564" s="112">
        <f>'Informe Kelly'!E2558</f>
        <v>0</v>
      </c>
      <c r="D2564" s="112" t="e">
        <f>VLOOKUP(A2564,Ingreso!K:P,6,FALSE)</f>
        <v>#N/A</v>
      </c>
      <c r="E2564" s="142" t="e">
        <f>(VLOOKUP(D2564,$D$2:$E$4,2,FALSE))-(IF('Informe Kelly'!H2558=$A$2,'Informe Kelly'!F2558,VLOOKUP(D2564,$D$2:$E$4,2,FALSE)))</f>
        <v>#N/A</v>
      </c>
      <c r="F2564" s="142" t="e">
        <f>IF('Informe Kelly'!H2558=$A$3,'Informe Kelly'!F2558,VLOOKUP(D2564,$D$2:$F$4,3,FALSE))-(VLOOKUP(D2564,$D$2:$F$4,3,FALSE))</f>
        <v>#N/A</v>
      </c>
      <c r="G2564" s="137" t="e">
        <f t="shared" si="43"/>
        <v>#N/A</v>
      </c>
    </row>
    <row r="2565" spans="1:7">
      <c r="A2565" s="112" t="e">
        <f>VLOOKUP('Informe Kelly'!A2559,Base!A:B,2,FALSE)</f>
        <v>#N/A</v>
      </c>
      <c r="B2565" s="112" t="e">
        <f>VLOOKUP('Informe Kelly'!A2559,Base!A:G,7,FALSE)</f>
        <v>#N/A</v>
      </c>
      <c r="C2565" s="112">
        <f>'Informe Kelly'!E2559</f>
        <v>0</v>
      </c>
      <c r="D2565" s="112" t="e">
        <f>VLOOKUP(A2565,Ingreso!K:P,6,FALSE)</f>
        <v>#N/A</v>
      </c>
      <c r="E2565" s="142" t="e">
        <f>(VLOOKUP(D2565,$D$2:$E$4,2,FALSE))-(IF('Informe Kelly'!H2559=$A$2,'Informe Kelly'!F2559,VLOOKUP(D2565,$D$2:$E$4,2,FALSE)))</f>
        <v>#N/A</v>
      </c>
      <c r="F2565" s="142" t="e">
        <f>IF('Informe Kelly'!H2559=$A$3,'Informe Kelly'!F2559,VLOOKUP(D2565,$D$2:$F$4,3,FALSE))-(VLOOKUP(D2565,$D$2:$F$4,3,FALSE))</f>
        <v>#N/A</v>
      </c>
      <c r="G2565" s="137" t="e">
        <f t="shared" si="43"/>
        <v>#N/A</v>
      </c>
    </row>
    <row r="2566" spans="1:7">
      <c r="A2566" s="112" t="e">
        <f>VLOOKUP('Informe Kelly'!A2560,Base!A:B,2,FALSE)</f>
        <v>#N/A</v>
      </c>
      <c r="B2566" s="112" t="e">
        <f>VLOOKUP('Informe Kelly'!A2560,Base!A:G,7,FALSE)</f>
        <v>#N/A</v>
      </c>
      <c r="C2566" s="112">
        <f>'Informe Kelly'!E2560</f>
        <v>0</v>
      </c>
      <c r="D2566" s="112" t="e">
        <f>VLOOKUP(A2566,Ingreso!K:P,6,FALSE)</f>
        <v>#N/A</v>
      </c>
      <c r="E2566" s="142" t="e">
        <f>(VLOOKUP(D2566,$D$2:$E$4,2,FALSE))-(IF('Informe Kelly'!H2560=$A$2,'Informe Kelly'!F2560,VLOOKUP(D2566,$D$2:$E$4,2,FALSE)))</f>
        <v>#N/A</v>
      </c>
      <c r="F2566" s="142" t="e">
        <f>IF('Informe Kelly'!H2560=$A$3,'Informe Kelly'!F2560,VLOOKUP(D2566,$D$2:$F$4,3,FALSE))-(VLOOKUP(D2566,$D$2:$F$4,3,FALSE))</f>
        <v>#N/A</v>
      </c>
      <c r="G2566" s="137" t="e">
        <f t="shared" si="43"/>
        <v>#N/A</v>
      </c>
    </row>
    <row r="2567" spans="1:7">
      <c r="A2567" s="112" t="e">
        <f>VLOOKUP('Informe Kelly'!A2561,Base!A:B,2,FALSE)</f>
        <v>#N/A</v>
      </c>
      <c r="B2567" s="112" t="e">
        <f>VLOOKUP('Informe Kelly'!A2561,Base!A:G,7,FALSE)</f>
        <v>#N/A</v>
      </c>
      <c r="C2567" s="112">
        <f>'Informe Kelly'!E2561</f>
        <v>0</v>
      </c>
      <c r="D2567" s="112" t="e">
        <f>VLOOKUP(A2567,Ingreso!K:P,6,FALSE)</f>
        <v>#N/A</v>
      </c>
      <c r="E2567" s="142" t="e">
        <f>(VLOOKUP(D2567,$D$2:$E$4,2,FALSE))-(IF('Informe Kelly'!H2561=$A$2,'Informe Kelly'!F2561,VLOOKUP(D2567,$D$2:$E$4,2,FALSE)))</f>
        <v>#N/A</v>
      </c>
      <c r="F2567" s="142" t="e">
        <f>IF('Informe Kelly'!H2561=$A$3,'Informe Kelly'!F2561,VLOOKUP(D2567,$D$2:$F$4,3,FALSE))-(VLOOKUP(D2567,$D$2:$F$4,3,FALSE))</f>
        <v>#N/A</v>
      </c>
      <c r="G2567" s="137" t="e">
        <f t="shared" si="43"/>
        <v>#N/A</v>
      </c>
    </row>
    <row r="2568" spans="1:7">
      <c r="A2568" s="112" t="e">
        <f>VLOOKUP('Informe Kelly'!A2562,Base!A:B,2,FALSE)</f>
        <v>#N/A</v>
      </c>
      <c r="B2568" s="112" t="e">
        <f>VLOOKUP('Informe Kelly'!A2562,Base!A:G,7,FALSE)</f>
        <v>#N/A</v>
      </c>
      <c r="C2568" s="112">
        <f>'Informe Kelly'!E2562</f>
        <v>0</v>
      </c>
      <c r="D2568" s="112" t="e">
        <f>VLOOKUP(A2568,Ingreso!K:P,6,FALSE)</f>
        <v>#N/A</v>
      </c>
      <c r="E2568" s="142" t="e">
        <f>(VLOOKUP(D2568,$D$2:$E$4,2,FALSE))-(IF('Informe Kelly'!H2562=$A$2,'Informe Kelly'!F2562,VLOOKUP(D2568,$D$2:$E$4,2,FALSE)))</f>
        <v>#N/A</v>
      </c>
      <c r="F2568" s="142" t="e">
        <f>IF('Informe Kelly'!H2562=$A$3,'Informe Kelly'!F2562,VLOOKUP(D2568,$D$2:$F$4,3,FALSE))-(VLOOKUP(D2568,$D$2:$F$4,3,FALSE))</f>
        <v>#N/A</v>
      </c>
      <c r="G2568" s="137" t="e">
        <f t="shared" si="43"/>
        <v>#N/A</v>
      </c>
    </row>
    <row r="2569" spans="1:7">
      <c r="A2569" s="112" t="e">
        <f>VLOOKUP('Informe Kelly'!A2563,Base!A:B,2,FALSE)</f>
        <v>#N/A</v>
      </c>
      <c r="B2569" s="112" t="e">
        <f>VLOOKUP('Informe Kelly'!A2563,Base!A:G,7,FALSE)</f>
        <v>#N/A</v>
      </c>
      <c r="C2569" s="112">
        <f>'Informe Kelly'!E2563</f>
        <v>0</v>
      </c>
      <c r="D2569" s="112" t="e">
        <f>VLOOKUP(A2569,Ingreso!K:P,6,FALSE)</f>
        <v>#N/A</v>
      </c>
      <c r="E2569" s="142" t="e">
        <f>(VLOOKUP(D2569,$D$2:$E$4,2,FALSE))-(IF('Informe Kelly'!H2563=$A$2,'Informe Kelly'!F2563,VLOOKUP(D2569,$D$2:$E$4,2,FALSE)))</f>
        <v>#N/A</v>
      </c>
      <c r="F2569" s="142" t="e">
        <f>IF('Informe Kelly'!H2563=$A$3,'Informe Kelly'!F2563,VLOOKUP(D2569,$D$2:$F$4,3,FALSE))-(VLOOKUP(D2569,$D$2:$F$4,3,FALSE))</f>
        <v>#N/A</v>
      </c>
      <c r="G2569" s="137" t="e">
        <f t="shared" ref="G2569:G2632" si="44">IF(E2569="",IF(F2569&lt;0.0409722222222222,0,E2569),IF(E2569&lt;0.0409722222222222,0,E2569))</f>
        <v>#N/A</v>
      </c>
    </row>
    <row r="2570" spans="1:7">
      <c r="A2570" s="112" t="e">
        <f>VLOOKUP('Informe Kelly'!A2564,Base!A:B,2,FALSE)</f>
        <v>#N/A</v>
      </c>
      <c r="B2570" s="112" t="e">
        <f>VLOOKUP('Informe Kelly'!A2564,Base!A:G,7,FALSE)</f>
        <v>#N/A</v>
      </c>
      <c r="C2570" s="112">
        <f>'Informe Kelly'!E2564</f>
        <v>0</v>
      </c>
      <c r="D2570" s="112" t="e">
        <f>VLOOKUP(A2570,Ingreso!K:P,6,FALSE)</f>
        <v>#N/A</v>
      </c>
      <c r="E2570" s="142" t="e">
        <f>(VLOOKUP(D2570,$D$2:$E$4,2,FALSE))-(IF('Informe Kelly'!H2564=$A$2,'Informe Kelly'!F2564,VLOOKUP(D2570,$D$2:$E$4,2,FALSE)))</f>
        <v>#N/A</v>
      </c>
      <c r="F2570" s="142" t="e">
        <f>IF('Informe Kelly'!H2564=$A$3,'Informe Kelly'!F2564,VLOOKUP(D2570,$D$2:$F$4,3,FALSE))-(VLOOKUP(D2570,$D$2:$F$4,3,FALSE))</f>
        <v>#N/A</v>
      </c>
      <c r="G2570" s="137" t="e">
        <f t="shared" si="44"/>
        <v>#N/A</v>
      </c>
    </row>
    <row r="2571" spans="1:7">
      <c r="A2571" s="112" t="e">
        <f>VLOOKUP('Informe Kelly'!A2565,Base!A:B,2,FALSE)</f>
        <v>#N/A</v>
      </c>
      <c r="B2571" s="112" t="e">
        <f>VLOOKUP('Informe Kelly'!A2565,Base!A:G,7,FALSE)</f>
        <v>#N/A</v>
      </c>
      <c r="C2571" s="112">
        <f>'Informe Kelly'!E2565</f>
        <v>0</v>
      </c>
      <c r="D2571" s="112" t="e">
        <f>VLOOKUP(A2571,Ingreso!K:P,6,FALSE)</f>
        <v>#N/A</v>
      </c>
      <c r="E2571" s="142" t="e">
        <f>(VLOOKUP(D2571,$D$2:$E$4,2,FALSE))-(IF('Informe Kelly'!H2565=$A$2,'Informe Kelly'!F2565,VLOOKUP(D2571,$D$2:$E$4,2,FALSE)))</f>
        <v>#N/A</v>
      </c>
      <c r="F2571" s="142" t="e">
        <f>IF('Informe Kelly'!H2565=$A$3,'Informe Kelly'!F2565,VLOOKUP(D2571,$D$2:$F$4,3,FALSE))-(VLOOKUP(D2571,$D$2:$F$4,3,FALSE))</f>
        <v>#N/A</v>
      </c>
      <c r="G2571" s="137" t="e">
        <f t="shared" si="44"/>
        <v>#N/A</v>
      </c>
    </row>
    <row r="2572" spans="1:7">
      <c r="A2572" s="112" t="e">
        <f>VLOOKUP('Informe Kelly'!A2566,Base!A:B,2,FALSE)</f>
        <v>#N/A</v>
      </c>
      <c r="B2572" s="112" t="e">
        <f>VLOOKUP('Informe Kelly'!A2566,Base!A:G,7,FALSE)</f>
        <v>#N/A</v>
      </c>
      <c r="C2572" s="112">
        <f>'Informe Kelly'!E2566</f>
        <v>0</v>
      </c>
      <c r="D2572" s="112" t="e">
        <f>VLOOKUP(A2572,Ingreso!K:P,6,FALSE)</f>
        <v>#N/A</v>
      </c>
      <c r="E2572" s="142" t="e">
        <f>(VLOOKUP(D2572,$D$2:$E$4,2,FALSE))-(IF('Informe Kelly'!H2566=$A$2,'Informe Kelly'!F2566,VLOOKUP(D2572,$D$2:$E$4,2,FALSE)))</f>
        <v>#N/A</v>
      </c>
      <c r="F2572" s="142" t="e">
        <f>IF('Informe Kelly'!H2566=$A$3,'Informe Kelly'!F2566,VLOOKUP(D2572,$D$2:$F$4,3,FALSE))-(VLOOKUP(D2572,$D$2:$F$4,3,FALSE))</f>
        <v>#N/A</v>
      </c>
      <c r="G2572" s="137" t="e">
        <f t="shared" si="44"/>
        <v>#N/A</v>
      </c>
    </row>
    <row r="2573" spans="1:7">
      <c r="A2573" s="112" t="e">
        <f>VLOOKUP('Informe Kelly'!A2567,Base!A:B,2,FALSE)</f>
        <v>#N/A</v>
      </c>
      <c r="B2573" s="112" t="e">
        <f>VLOOKUP('Informe Kelly'!A2567,Base!A:G,7,FALSE)</f>
        <v>#N/A</v>
      </c>
      <c r="C2573" s="112">
        <f>'Informe Kelly'!E2567</f>
        <v>0</v>
      </c>
      <c r="D2573" s="112" t="e">
        <f>VLOOKUP(A2573,Ingreso!K:P,6,FALSE)</f>
        <v>#N/A</v>
      </c>
      <c r="E2573" s="142" t="e">
        <f>(VLOOKUP(D2573,$D$2:$E$4,2,FALSE))-(IF('Informe Kelly'!H2567=$A$2,'Informe Kelly'!F2567,VLOOKUP(D2573,$D$2:$E$4,2,FALSE)))</f>
        <v>#N/A</v>
      </c>
      <c r="F2573" s="142" t="e">
        <f>IF('Informe Kelly'!H2567=$A$3,'Informe Kelly'!F2567,VLOOKUP(D2573,$D$2:$F$4,3,FALSE))-(VLOOKUP(D2573,$D$2:$F$4,3,FALSE))</f>
        <v>#N/A</v>
      </c>
      <c r="G2573" s="137" t="e">
        <f t="shared" si="44"/>
        <v>#N/A</v>
      </c>
    </row>
    <row r="2574" spans="1:7">
      <c r="A2574" s="112" t="e">
        <f>VLOOKUP('Informe Kelly'!A2568,Base!A:B,2,FALSE)</f>
        <v>#N/A</v>
      </c>
      <c r="B2574" s="112" t="e">
        <f>VLOOKUP('Informe Kelly'!A2568,Base!A:G,7,FALSE)</f>
        <v>#N/A</v>
      </c>
      <c r="C2574" s="112">
        <f>'Informe Kelly'!E2568</f>
        <v>0</v>
      </c>
      <c r="D2574" s="112" t="e">
        <f>VLOOKUP(A2574,Ingreso!K:P,6,FALSE)</f>
        <v>#N/A</v>
      </c>
      <c r="E2574" s="142" t="e">
        <f>(VLOOKUP(D2574,$D$2:$E$4,2,FALSE))-(IF('Informe Kelly'!H2568=$A$2,'Informe Kelly'!F2568,VLOOKUP(D2574,$D$2:$E$4,2,FALSE)))</f>
        <v>#N/A</v>
      </c>
      <c r="F2574" s="142" t="e">
        <f>IF('Informe Kelly'!H2568=$A$3,'Informe Kelly'!F2568,VLOOKUP(D2574,$D$2:$F$4,3,FALSE))-(VLOOKUP(D2574,$D$2:$F$4,3,FALSE))</f>
        <v>#N/A</v>
      </c>
      <c r="G2574" s="137" t="e">
        <f t="shared" si="44"/>
        <v>#N/A</v>
      </c>
    </row>
    <row r="2575" spans="1:7">
      <c r="A2575" s="112" t="e">
        <f>VLOOKUP('Informe Kelly'!A2569,Base!A:B,2,FALSE)</f>
        <v>#N/A</v>
      </c>
      <c r="B2575" s="112" t="e">
        <f>VLOOKUP('Informe Kelly'!A2569,Base!A:G,7,FALSE)</f>
        <v>#N/A</v>
      </c>
      <c r="C2575" s="112">
        <f>'Informe Kelly'!E2569</f>
        <v>0</v>
      </c>
      <c r="D2575" s="112" t="e">
        <f>VLOOKUP(A2575,Ingreso!K:P,6,FALSE)</f>
        <v>#N/A</v>
      </c>
      <c r="E2575" s="142" t="e">
        <f>(VLOOKUP(D2575,$D$2:$E$4,2,FALSE))-(IF('Informe Kelly'!H2569=$A$2,'Informe Kelly'!F2569,VLOOKUP(D2575,$D$2:$E$4,2,FALSE)))</f>
        <v>#N/A</v>
      </c>
      <c r="F2575" s="142" t="e">
        <f>IF('Informe Kelly'!H2569=$A$3,'Informe Kelly'!F2569,VLOOKUP(D2575,$D$2:$F$4,3,FALSE))-(VLOOKUP(D2575,$D$2:$F$4,3,FALSE))</f>
        <v>#N/A</v>
      </c>
      <c r="G2575" s="137" t="e">
        <f t="shared" si="44"/>
        <v>#N/A</v>
      </c>
    </row>
    <row r="2576" spans="1:7">
      <c r="A2576" s="112" t="e">
        <f>VLOOKUP('Informe Kelly'!A2570,Base!A:B,2,FALSE)</f>
        <v>#N/A</v>
      </c>
      <c r="B2576" s="112" t="e">
        <f>VLOOKUP('Informe Kelly'!A2570,Base!A:G,7,FALSE)</f>
        <v>#N/A</v>
      </c>
      <c r="C2576" s="112">
        <f>'Informe Kelly'!E2570</f>
        <v>0</v>
      </c>
      <c r="D2576" s="112" t="e">
        <f>VLOOKUP(A2576,Ingreso!K:P,6,FALSE)</f>
        <v>#N/A</v>
      </c>
      <c r="E2576" s="142" t="e">
        <f>(VLOOKUP(D2576,$D$2:$E$4,2,FALSE))-(IF('Informe Kelly'!H2570=$A$2,'Informe Kelly'!F2570,VLOOKUP(D2576,$D$2:$E$4,2,FALSE)))</f>
        <v>#N/A</v>
      </c>
      <c r="F2576" s="142" t="e">
        <f>IF('Informe Kelly'!H2570=$A$3,'Informe Kelly'!F2570,VLOOKUP(D2576,$D$2:$F$4,3,FALSE))-(VLOOKUP(D2576,$D$2:$F$4,3,FALSE))</f>
        <v>#N/A</v>
      </c>
      <c r="G2576" s="137" t="e">
        <f t="shared" si="44"/>
        <v>#N/A</v>
      </c>
    </row>
    <row r="2577" spans="1:7">
      <c r="A2577" s="112" t="e">
        <f>VLOOKUP('Informe Kelly'!A2571,Base!A:B,2,FALSE)</f>
        <v>#N/A</v>
      </c>
      <c r="B2577" s="112" t="e">
        <f>VLOOKUP('Informe Kelly'!A2571,Base!A:G,7,FALSE)</f>
        <v>#N/A</v>
      </c>
      <c r="C2577" s="112">
        <f>'Informe Kelly'!E2571</f>
        <v>0</v>
      </c>
      <c r="D2577" s="112" t="e">
        <f>VLOOKUP(A2577,Ingreso!K:P,6,FALSE)</f>
        <v>#N/A</v>
      </c>
      <c r="E2577" s="142" t="e">
        <f>(VLOOKUP(D2577,$D$2:$E$4,2,FALSE))-(IF('Informe Kelly'!H2571=$A$2,'Informe Kelly'!F2571,VLOOKUP(D2577,$D$2:$E$4,2,FALSE)))</f>
        <v>#N/A</v>
      </c>
      <c r="F2577" s="142" t="e">
        <f>IF('Informe Kelly'!H2571=$A$3,'Informe Kelly'!F2571,VLOOKUP(D2577,$D$2:$F$4,3,FALSE))-(VLOOKUP(D2577,$D$2:$F$4,3,FALSE))</f>
        <v>#N/A</v>
      </c>
      <c r="G2577" s="137" t="e">
        <f t="shared" si="44"/>
        <v>#N/A</v>
      </c>
    </row>
    <row r="2578" spans="1:7">
      <c r="A2578" s="112" t="e">
        <f>VLOOKUP('Informe Kelly'!A2572,Base!A:B,2,FALSE)</f>
        <v>#N/A</v>
      </c>
      <c r="B2578" s="112" t="e">
        <f>VLOOKUP('Informe Kelly'!A2572,Base!A:G,7,FALSE)</f>
        <v>#N/A</v>
      </c>
      <c r="C2578" s="112">
        <f>'Informe Kelly'!E2572</f>
        <v>0</v>
      </c>
      <c r="D2578" s="112" t="e">
        <f>VLOOKUP(A2578,Ingreso!K:P,6,FALSE)</f>
        <v>#N/A</v>
      </c>
      <c r="E2578" s="142" t="e">
        <f>(VLOOKUP(D2578,$D$2:$E$4,2,FALSE))-(IF('Informe Kelly'!H2572=$A$2,'Informe Kelly'!F2572,VLOOKUP(D2578,$D$2:$E$4,2,FALSE)))</f>
        <v>#N/A</v>
      </c>
      <c r="F2578" s="142" t="e">
        <f>IF('Informe Kelly'!H2572=$A$3,'Informe Kelly'!F2572,VLOOKUP(D2578,$D$2:$F$4,3,FALSE))-(VLOOKUP(D2578,$D$2:$F$4,3,FALSE))</f>
        <v>#N/A</v>
      </c>
      <c r="G2578" s="137" t="e">
        <f t="shared" si="44"/>
        <v>#N/A</v>
      </c>
    </row>
    <row r="2579" spans="1:7">
      <c r="A2579" s="112" t="e">
        <f>VLOOKUP('Informe Kelly'!A2573,Base!A:B,2,FALSE)</f>
        <v>#N/A</v>
      </c>
      <c r="B2579" s="112" t="e">
        <f>VLOOKUP('Informe Kelly'!A2573,Base!A:G,7,FALSE)</f>
        <v>#N/A</v>
      </c>
      <c r="C2579" s="112">
        <f>'Informe Kelly'!E2573</f>
        <v>0</v>
      </c>
      <c r="D2579" s="112" t="e">
        <f>VLOOKUP(A2579,Ingreso!K:P,6,FALSE)</f>
        <v>#N/A</v>
      </c>
      <c r="E2579" s="142" t="e">
        <f>(VLOOKUP(D2579,$D$2:$E$4,2,FALSE))-(IF('Informe Kelly'!H2573=$A$2,'Informe Kelly'!F2573,VLOOKUP(D2579,$D$2:$E$4,2,FALSE)))</f>
        <v>#N/A</v>
      </c>
      <c r="F2579" s="142" t="e">
        <f>IF('Informe Kelly'!H2573=$A$3,'Informe Kelly'!F2573,VLOOKUP(D2579,$D$2:$F$4,3,FALSE))-(VLOOKUP(D2579,$D$2:$F$4,3,FALSE))</f>
        <v>#N/A</v>
      </c>
      <c r="G2579" s="137" t="e">
        <f t="shared" si="44"/>
        <v>#N/A</v>
      </c>
    </row>
    <row r="2580" spans="1:7">
      <c r="A2580" s="112" t="e">
        <f>VLOOKUP('Informe Kelly'!A2574,Base!A:B,2,FALSE)</f>
        <v>#N/A</v>
      </c>
      <c r="B2580" s="112" t="e">
        <f>VLOOKUP('Informe Kelly'!A2574,Base!A:G,7,FALSE)</f>
        <v>#N/A</v>
      </c>
      <c r="C2580" s="112">
        <f>'Informe Kelly'!E2574</f>
        <v>0</v>
      </c>
      <c r="D2580" s="112" t="e">
        <f>VLOOKUP(A2580,Ingreso!K:P,6,FALSE)</f>
        <v>#N/A</v>
      </c>
      <c r="E2580" s="142" t="e">
        <f>(VLOOKUP(D2580,$D$2:$E$4,2,FALSE))-(IF('Informe Kelly'!H2574=$A$2,'Informe Kelly'!F2574,VLOOKUP(D2580,$D$2:$E$4,2,FALSE)))</f>
        <v>#N/A</v>
      </c>
      <c r="F2580" s="142" t="e">
        <f>IF('Informe Kelly'!H2574=$A$3,'Informe Kelly'!F2574,VLOOKUP(D2580,$D$2:$F$4,3,FALSE))-(VLOOKUP(D2580,$D$2:$F$4,3,FALSE))</f>
        <v>#N/A</v>
      </c>
      <c r="G2580" s="137" t="e">
        <f t="shared" si="44"/>
        <v>#N/A</v>
      </c>
    </row>
    <row r="2581" spans="1:7">
      <c r="A2581" s="112" t="e">
        <f>VLOOKUP('Informe Kelly'!A2575,Base!A:B,2,FALSE)</f>
        <v>#N/A</v>
      </c>
      <c r="B2581" s="112" t="e">
        <f>VLOOKUP('Informe Kelly'!A2575,Base!A:G,7,FALSE)</f>
        <v>#N/A</v>
      </c>
      <c r="C2581" s="112">
        <f>'Informe Kelly'!E2575</f>
        <v>0</v>
      </c>
      <c r="D2581" s="112" t="e">
        <f>VLOOKUP(A2581,Ingreso!K:P,6,FALSE)</f>
        <v>#N/A</v>
      </c>
      <c r="E2581" s="142" t="e">
        <f>(VLOOKUP(D2581,$D$2:$E$4,2,FALSE))-(IF('Informe Kelly'!H2575=$A$2,'Informe Kelly'!F2575,VLOOKUP(D2581,$D$2:$E$4,2,FALSE)))</f>
        <v>#N/A</v>
      </c>
      <c r="F2581" s="142" t="e">
        <f>IF('Informe Kelly'!H2575=$A$3,'Informe Kelly'!F2575,VLOOKUP(D2581,$D$2:$F$4,3,FALSE))-(VLOOKUP(D2581,$D$2:$F$4,3,FALSE))</f>
        <v>#N/A</v>
      </c>
      <c r="G2581" s="137" t="e">
        <f t="shared" si="44"/>
        <v>#N/A</v>
      </c>
    </row>
    <row r="2582" spans="1:7">
      <c r="A2582" s="112" t="e">
        <f>VLOOKUP('Informe Kelly'!A2576,Base!A:B,2,FALSE)</f>
        <v>#N/A</v>
      </c>
      <c r="B2582" s="112" t="e">
        <f>VLOOKUP('Informe Kelly'!A2576,Base!A:G,7,FALSE)</f>
        <v>#N/A</v>
      </c>
      <c r="C2582" s="112">
        <f>'Informe Kelly'!E2576</f>
        <v>0</v>
      </c>
      <c r="D2582" s="112" t="e">
        <f>VLOOKUP(A2582,Ingreso!K:P,6,FALSE)</f>
        <v>#N/A</v>
      </c>
      <c r="E2582" s="142" t="e">
        <f>(VLOOKUP(D2582,$D$2:$E$4,2,FALSE))-(IF('Informe Kelly'!H2576=$A$2,'Informe Kelly'!F2576,VLOOKUP(D2582,$D$2:$E$4,2,FALSE)))</f>
        <v>#N/A</v>
      </c>
      <c r="F2582" s="142" t="e">
        <f>IF('Informe Kelly'!H2576=$A$3,'Informe Kelly'!F2576,VLOOKUP(D2582,$D$2:$F$4,3,FALSE))-(VLOOKUP(D2582,$D$2:$F$4,3,FALSE))</f>
        <v>#N/A</v>
      </c>
      <c r="G2582" s="137" t="e">
        <f t="shared" si="44"/>
        <v>#N/A</v>
      </c>
    </row>
    <row r="2583" spans="1:7">
      <c r="A2583" s="112" t="e">
        <f>VLOOKUP('Informe Kelly'!A2577,Base!A:B,2,FALSE)</f>
        <v>#N/A</v>
      </c>
      <c r="B2583" s="112" t="e">
        <f>VLOOKUP('Informe Kelly'!A2577,Base!A:G,7,FALSE)</f>
        <v>#N/A</v>
      </c>
      <c r="C2583" s="112">
        <f>'Informe Kelly'!E2577</f>
        <v>0</v>
      </c>
      <c r="D2583" s="112" t="e">
        <f>VLOOKUP(A2583,Ingreso!K:P,6,FALSE)</f>
        <v>#N/A</v>
      </c>
      <c r="E2583" s="142" t="e">
        <f>(VLOOKUP(D2583,$D$2:$E$4,2,FALSE))-(IF('Informe Kelly'!H2577=$A$2,'Informe Kelly'!F2577,VLOOKUP(D2583,$D$2:$E$4,2,FALSE)))</f>
        <v>#N/A</v>
      </c>
      <c r="F2583" s="142" t="e">
        <f>IF('Informe Kelly'!H2577=$A$3,'Informe Kelly'!F2577,VLOOKUP(D2583,$D$2:$F$4,3,FALSE))-(VLOOKUP(D2583,$D$2:$F$4,3,FALSE))</f>
        <v>#N/A</v>
      </c>
      <c r="G2583" s="137" t="e">
        <f t="shared" si="44"/>
        <v>#N/A</v>
      </c>
    </row>
    <row r="2584" spans="1:7">
      <c r="A2584" s="112" t="e">
        <f>VLOOKUP('Informe Kelly'!A2578,Base!A:B,2,FALSE)</f>
        <v>#N/A</v>
      </c>
      <c r="B2584" s="112" t="e">
        <f>VLOOKUP('Informe Kelly'!A2578,Base!A:G,7,FALSE)</f>
        <v>#N/A</v>
      </c>
      <c r="C2584" s="112">
        <f>'Informe Kelly'!E2578</f>
        <v>0</v>
      </c>
      <c r="D2584" s="112" t="e">
        <f>VLOOKUP(A2584,Ingreso!K:P,6,FALSE)</f>
        <v>#N/A</v>
      </c>
      <c r="E2584" s="142" t="e">
        <f>(VLOOKUP(D2584,$D$2:$E$4,2,FALSE))-(IF('Informe Kelly'!H2578=$A$2,'Informe Kelly'!F2578,VLOOKUP(D2584,$D$2:$E$4,2,FALSE)))</f>
        <v>#N/A</v>
      </c>
      <c r="F2584" s="142" t="e">
        <f>IF('Informe Kelly'!H2578=$A$3,'Informe Kelly'!F2578,VLOOKUP(D2584,$D$2:$F$4,3,FALSE))-(VLOOKUP(D2584,$D$2:$F$4,3,FALSE))</f>
        <v>#N/A</v>
      </c>
      <c r="G2584" s="137" t="e">
        <f t="shared" si="44"/>
        <v>#N/A</v>
      </c>
    </row>
    <row r="2585" spans="1:7">
      <c r="A2585" s="112" t="e">
        <f>VLOOKUP('Informe Kelly'!A2579,Base!A:B,2,FALSE)</f>
        <v>#N/A</v>
      </c>
      <c r="B2585" s="112" t="e">
        <f>VLOOKUP('Informe Kelly'!A2579,Base!A:G,7,FALSE)</f>
        <v>#N/A</v>
      </c>
      <c r="C2585" s="112">
        <f>'Informe Kelly'!E2579</f>
        <v>0</v>
      </c>
      <c r="D2585" s="112" t="e">
        <f>VLOOKUP(A2585,Ingreso!K:P,6,FALSE)</f>
        <v>#N/A</v>
      </c>
      <c r="E2585" s="142" t="e">
        <f>(VLOOKUP(D2585,$D$2:$E$4,2,FALSE))-(IF('Informe Kelly'!H2579=$A$2,'Informe Kelly'!F2579,VLOOKUP(D2585,$D$2:$E$4,2,FALSE)))</f>
        <v>#N/A</v>
      </c>
      <c r="F2585" s="142" t="e">
        <f>IF('Informe Kelly'!H2579=$A$3,'Informe Kelly'!F2579,VLOOKUP(D2585,$D$2:$F$4,3,FALSE))-(VLOOKUP(D2585,$D$2:$F$4,3,FALSE))</f>
        <v>#N/A</v>
      </c>
      <c r="G2585" s="137" t="e">
        <f t="shared" si="44"/>
        <v>#N/A</v>
      </c>
    </row>
    <row r="2586" spans="1:7">
      <c r="A2586" s="112" t="e">
        <f>VLOOKUP('Informe Kelly'!A2580,Base!A:B,2,FALSE)</f>
        <v>#N/A</v>
      </c>
      <c r="B2586" s="112" t="e">
        <f>VLOOKUP('Informe Kelly'!A2580,Base!A:G,7,FALSE)</f>
        <v>#N/A</v>
      </c>
      <c r="C2586" s="112">
        <f>'Informe Kelly'!E2580</f>
        <v>0</v>
      </c>
      <c r="D2586" s="112" t="e">
        <f>VLOOKUP(A2586,Ingreso!K:P,6,FALSE)</f>
        <v>#N/A</v>
      </c>
      <c r="E2586" s="142" t="e">
        <f>(VLOOKUP(D2586,$D$2:$E$4,2,FALSE))-(IF('Informe Kelly'!H2580=$A$2,'Informe Kelly'!F2580,VLOOKUP(D2586,$D$2:$E$4,2,FALSE)))</f>
        <v>#N/A</v>
      </c>
      <c r="F2586" s="142" t="e">
        <f>IF('Informe Kelly'!H2580=$A$3,'Informe Kelly'!F2580,VLOOKUP(D2586,$D$2:$F$4,3,FALSE))-(VLOOKUP(D2586,$D$2:$F$4,3,FALSE))</f>
        <v>#N/A</v>
      </c>
      <c r="G2586" s="137" t="e">
        <f t="shared" si="44"/>
        <v>#N/A</v>
      </c>
    </row>
    <row r="2587" spans="1:7">
      <c r="A2587" s="112" t="e">
        <f>VLOOKUP('Informe Kelly'!A2581,Base!A:B,2,FALSE)</f>
        <v>#N/A</v>
      </c>
      <c r="B2587" s="112" t="e">
        <f>VLOOKUP('Informe Kelly'!A2581,Base!A:G,7,FALSE)</f>
        <v>#N/A</v>
      </c>
      <c r="C2587" s="112">
        <f>'Informe Kelly'!E2581</f>
        <v>0</v>
      </c>
      <c r="D2587" s="112" t="e">
        <f>VLOOKUP(A2587,Ingreso!K:P,6,FALSE)</f>
        <v>#N/A</v>
      </c>
      <c r="E2587" s="142" t="e">
        <f>(VLOOKUP(D2587,$D$2:$E$4,2,FALSE))-(IF('Informe Kelly'!H2581=$A$2,'Informe Kelly'!F2581,VLOOKUP(D2587,$D$2:$E$4,2,FALSE)))</f>
        <v>#N/A</v>
      </c>
      <c r="F2587" s="142" t="e">
        <f>IF('Informe Kelly'!H2581=$A$3,'Informe Kelly'!F2581,VLOOKUP(D2587,$D$2:$F$4,3,FALSE))-(VLOOKUP(D2587,$D$2:$F$4,3,FALSE))</f>
        <v>#N/A</v>
      </c>
      <c r="G2587" s="137" t="e">
        <f t="shared" si="44"/>
        <v>#N/A</v>
      </c>
    </row>
    <row r="2588" spans="1:7">
      <c r="A2588" s="112" t="e">
        <f>VLOOKUP('Informe Kelly'!A2582,Base!A:B,2,FALSE)</f>
        <v>#N/A</v>
      </c>
      <c r="B2588" s="112" t="e">
        <f>VLOOKUP('Informe Kelly'!A2582,Base!A:G,7,FALSE)</f>
        <v>#N/A</v>
      </c>
      <c r="C2588" s="112">
        <f>'Informe Kelly'!E2582</f>
        <v>0</v>
      </c>
      <c r="D2588" s="112" t="e">
        <f>VLOOKUP(A2588,Ingreso!K:P,6,FALSE)</f>
        <v>#N/A</v>
      </c>
      <c r="E2588" s="142" t="e">
        <f>(VLOOKUP(D2588,$D$2:$E$4,2,FALSE))-(IF('Informe Kelly'!H2582=$A$2,'Informe Kelly'!F2582,VLOOKUP(D2588,$D$2:$E$4,2,FALSE)))</f>
        <v>#N/A</v>
      </c>
      <c r="F2588" s="142" t="e">
        <f>IF('Informe Kelly'!H2582=$A$3,'Informe Kelly'!F2582,VLOOKUP(D2588,$D$2:$F$4,3,FALSE))-(VLOOKUP(D2588,$D$2:$F$4,3,FALSE))</f>
        <v>#N/A</v>
      </c>
      <c r="G2588" s="137" t="e">
        <f t="shared" si="44"/>
        <v>#N/A</v>
      </c>
    </row>
    <row r="2589" spans="1:7">
      <c r="A2589" s="112" t="e">
        <f>VLOOKUP('Informe Kelly'!A2583,Base!A:B,2,FALSE)</f>
        <v>#N/A</v>
      </c>
      <c r="B2589" s="112" t="e">
        <f>VLOOKUP('Informe Kelly'!A2583,Base!A:G,7,FALSE)</f>
        <v>#N/A</v>
      </c>
      <c r="C2589" s="112">
        <f>'Informe Kelly'!E2583</f>
        <v>0</v>
      </c>
      <c r="D2589" s="112" t="e">
        <f>VLOOKUP(A2589,Ingreso!K:P,6,FALSE)</f>
        <v>#N/A</v>
      </c>
      <c r="E2589" s="142" t="e">
        <f>(VLOOKUP(D2589,$D$2:$E$4,2,FALSE))-(IF('Informe Kelly'!H2583=$A$2,'Informe Kelly'!F2583,VLOOKUP(D2589,$D$2:$E$4,2,FALSE)))</f>
        <v>#N/A</v>
      </c>
      <c r="F2589" s="142" t="e">
        <f>IF('Informe Kelly'!H2583=$A$3,'Informe Kelly'!F2583,VLOOKUP(D2589,$D$2:$F$4,3,FALSE))-(VLOOKUP(D2589,$D$2:$F$4,3,FALSE))</f>
        <v>#N/A</v>
      </c>
      <c r="G2589" s="137" t="e">
        <f t="shared" si="44"/>
        <v>#N/A</v>
      </c>
    </row>
    <row r="2590" spans="1:7">
      <c r="A2590" s="112" t="e">
        <f>VLOOKUP('Informe Kelly'!A2584,Base!A:B,2,FALSE)</f>
        <v>#N/A</v>
      </c>
      <c r="B2590" s="112" t="e">
        <f>VLOOKUP('Informe Kelly'!A2584,Base!A:G,7,FALSE)</f>
        <v>#N/A</v>
      </c>
      <c r="C2590" s="112">
        <f>'Informe Kelly'!E2584</f>
        <v>0</v>
      </c>
      <c r="D2590" s="112" t="e">
        <f>VLOOKUP(A2590,Ingreso!K:P,6,FALSE)</f>
        <v>#N/A</v>
      </c>
      <c r="E2590" s="142" t="e">
        <f>(VLOOKUP(D2590,$D$2:$E$4,2,FALSE))-(IF('Informe Kelly'!H2584=$A$2,'Informe Kelly'!F2584,VLOOKUP(D2590,$D$2:$E$4,2,FALSE)))</f>
        <v>#N/A</v>
      </c>
      <c r="F2590" s="142" t="e">
        <f>IF('Informe Kelly'!H2584=$A$3,'Informe Kelly'!F2584,VLOOKUP(D2590,$D$2:$F$4,3,FALSE))-(VLOOKUP(D2590,$D$2:$F$4,3,FALSE))</f>
        <v>#N/A</v>
      </c>
      <c r="G2590" s="137" t="e">
        <f t="shared" si="44"/>
        <v>#N/A</v>
      </c>
    </row>
    <row r="2591" spans="1:7">
      <c r="A2591" s="112" t="e">
        <f>VLOOKUP('Informe Kelly'!A2585,Base!A:B,2,FALSE)</f>
        <v>#N/A</v>
      </c>
      <c r="B2591" s="112" t="e">
        <f>VLOOKUP('Informe Kelly'!A2585,Base!A:G,7,FALSE)</f>
        <v>#N/A</v>
      </c>
      <c r="C2591" s="112">
        <f>'Informe Kelly'!E2585</f>
        <v>0</v>
      </c>
      <c r="D2591" s="112" t="e">
        <f>VLOOKUP(A2591,Ingreso!K:P,6,FALSE)</f>
        <v>#N/A</v>
      </c>
      <c r="E2591" s="142" t="e">
        <f>(VLOOKUP(D2591,$D$2:$E$4,2,FALSE))-(IF('Informe Kelly'!H2585=$A$2,'Informe Kelly'!F2585,VLOOKUP(D2591,$D$2:$E$4,2,FALSE)))</f>
        <v>#N/A</v>
      </c>
      <c r="F2591" s="142" t="e">
        <f>IF('Informe Kelly'!H2585=$A$3,'Informe Kelly'!F2585,VLOOKUP(D2591,$D$2:$F$4,3,FALSE))-(VLOOKUP(D2591,$D$2:$F$4,3,FALSE))</f>
        <v>#N/A</v>
      </c>
      <c r="G2591" s="137" t="e">
        <f t="shared" si="44"/>
        <v>#N/A</v>
      </c>
    </row>
    <row r="2592" spans="1:7">
      <c r="A2592" s="112" t="e">
        <f>VLOOKUP('Informe Kelly'!A2586,Base!A:B,2,FALSE)</f>
        <v>#N/A</v>
      </c>
      <c r="B2592" s="112" t="e">
        <f>VLOOKUP('Informe Kelly'!A2586,Base!A:G,7,FALSE)</f>
        <v>#N/A</v>
      </c>
      <c r="C2592" s="112">
        <f>'Informe Kelly'!E2586</f>
        <v>0</v>
      </c>
      <c r="D2592" s="112" t="e">
        <f>VLOOKUP(A2592,Ingreso!K:P,6,FALSE)</f>
        <v>#N/A</v>
      </c>
      <c r="E2592" s="142" t="e">
        <f>(VLOOKUP(D2592,$D$2:$E$4,2,FALSE))-(IF('Informe Kelly'!H2586=$A$2,'Informe Kelly'!F2586,VLOOKUP(D2592,$D$2:$E$4,2,FALSE)))</f>
        <v>#N/A</v>
      </c>
      <c r="F2592" s="142" t="e">
        <f>IF('Informe Kelly'!H2586=$A$3,'Informe Kelly'!F2586,VLOOKUP(D2592,$D$2:$F$4,3,FALSE))-(VLOOKUP(D2592,$D$2:$F$4,3,FALSE))</f>
        <v>#N/A</v>
      </c>
      <c r="G2592" s="137" t="e">
        <f t="shared" si="44"/>
        <v>#N/A</v>
      </c>
    </row>
    <row r="2593" spans="1:7">
      <c r="A2593" s="112" t="e">
        <f>VLOOKUP('Informe Kelly'!A2587,Base!A:B,2,FALSE)</f>
        <v>#N/A</v>
      </c>
      <c r="B2593" s="112" t="e">
        <f>VLOOKUP('Informe Kelly'!A2587,Base!A:G,7,FALSE)</f>
        <v>#N/A</v>
      </c>
      <c r="C2593" s="112">
        <f>'Informe Kelly'!E2587</f>
        <v>0</v>
      </c>
      <c r="D2593" s="112" t="e">
        <f>VLOOKUP(A2593,Ingreso!K:P,6,FALSE)</f>
        <v>#N/A</v>
      </c>
      <c r="E2593" s="142" t="e">
        <f>(VLOOKUP(D2593,$D$2:$E$4,2,FALSE))-(IF('Informe Kelly'!H2587=$A$2,'Informe Kelly'!F2587,VLOOKUP(D2593,$D$2:$E$4,2,FALSE)))</f>
        <v>#N/A</v>
      </c>
      <c r="F2593" s="142" t="e">
        <f>IF('Informe Kelly'!H2587=$A$3,'Informe Kelly'!F2587,VLOOKUP(D2593,$D$2:$F$4,3,FALSE))-(VLOOKUP(D2593,$D$2:$F$4,3,FALSE))</f>
        <v>#N/A</v>
      </c>
      <c r="G2593" s="137" t="e">
        <f t="shared" si="44"/>
        <v>#N/A</v>
      </c>
    </row>
    <row r="2594" spans="1:7">
      <c r="A2594" s="112" t="e">
        <f>VLOOKUP('Informe Kelly'!A2588,Base!A:B,2,FALSE)</f>
        <v>#N/A</v>
      </c>
      <c r="B2594" s="112" t="e">
        <f>VLOOKUP('Informe Kelly'!A2588,Base!A:G,7,FALSE)</f>
        <v>#N/A</v>
      </c>
      <c r="C2594" s="112">
        <f>'Informe Kelly'!E2588</f>
        <v>0</v>
      </c>
      <c r="D2594" s="112" t="e">
        <f>VLOOKUP(A2594,Ingreso!K:P,6,FALSE)</f>
        <v>#N/A</v>
      </c>
      <c r="E2594" s="142" t="e">
        <f>(VLOOKUP(D2594,$D$2:$E$4,2,FALSE))-(IF('Informe Kelly'!H2588=$A$2,'Informe Kelly'!F2588,VLOOKUP(D2594,$D$2:$E$4,2,FALSE)))</f>
        <v>#N/A</v>
      </c>
      <c r="F2594" s="142" t="e">
        <f>IF('Informe Kelly'!H2588=$A$3,'Informe Kelly'!F2588,VLOOKUP(D2594,$D$2:$F$4,3,FALSE))-(VLOOKUP(D2594,$D$2:$F$4,3,FALSE))</f>
        <v>#N/A</v>
      </c>
      <c r="G2594" s="137" t="e">
        <f t="shared" si="44"/>
        <v>#N/A</v>
      </c>
    </row>
    <row r="2595" spans="1:7">
      <c r="A2595" s="112" t="e">
        <f>VLOOKUP('Informe Kelly'!A2589,Base!A:B,2,FALSE)</f>
        <v>#N/A</v>
      </c>
      <c r="B2595" s="112" t="e">
        <f>VLOOKUP('Informe Kelly'!A2589,Base!A:G,7,FALSE)</f>
        <v>#N/A</v>
      </c>
      <c r="C2595" s="112">
        <f>'Informe Kelly'!E2589</f>
        <v>0</v>
      </c>
      <c r="D2595" s="112" t="e">
        <f>VLOOKUP(A2595,Ingreso!K:P,6,FALSE)</f>
        <v>#N/A</v>
      </c>
      <c r="E2595" s="142" t="e">
        <f>(VLOOKUP(D2595,$D$2:$E$4,2,FALSE))-(IF('Informe Kelly'!H2589=$A$2,'Informe Kelly'!F2589,VLOOKUP(D2595,$D$2:$E$4,2,FALSE)))</f>
        <v>#N/A</v>
      </c>
      <c r="F2595" s="142" t="e">
        <f>IF('Informe Kelly'!H2589=$A$3,'Informe Kelly'!F2589,VLOOKUP(D2595,$D$2:$F$4,3,FALSE))-(VLOOKUP(D2595,$D$2:$F$4,3,FALSE))</f>
        <v>#N/A</v>
      </c>
      <c r="G2595" s="137" t="e">
        <f t="shared" si="44"/>
        <v>#N/A</v>
      </c>
    </row>
    <row r="2596" spans="1:7">
      <c r="A2596" s="112" t="e">
        <f>VLOOKUP('Informe Kelly'!A2590,Base!A:B,2,FALSE)</f>
        <v>#N/A</v>
      </c>
      <c r="B2596" s="112" t="e">
        <f>VLOOKUP('Informe Kelly'!A2590,Base!A:G,7,FALSE)</f>
        <v>#N/A</v>
      </c>
      <c r="C2596" s="112">
        <f>'Informe Kelly'!E2590</f>
        <v>0</v>
      </c>
      <c r="D2596" s="112" t="e">
        <f>VLOOKUP(A2596,Ingreso!K:P,6,FALSE)</f>
        <v>#N/A</v>
      </c>
      <c r="E2596" s="142" t="e">
        <f>(VLOOKUP(D2596,$D$2:$E$4,2,FALSE))-(IF('Informe Kelly'!H2590=$A$2,'Informe Kelly'!F2590,VLOOKUP(D2596,$D$2:$E$4,2,FALSE)))</f>
        <v>#N/A</v>
      </c>
      <c r="F2596" s="142" t="e">
        <f>IF('Informe Kelly'!H2590=$A$3,'Informe Kelly'!F2590,VLOOKUP(D2596,$D$2:$F$4,3,FALSE))-(VLOOKUP(D2596,$D$2:$F$4,3,FALSE))</f>
        <v>#N/A</v>
      </c>
      <c r="G2596" s="137" t="e">
        <f t="shared" si="44"/>
        <v>#N/A</v>
      </c>
    </row>
    <row r="2597" spans="1:7">
      <c r="A2597" s="112" t="e">
        <f>VLOOKUP('Informe Kelly'!A2591,Base!A:B,2,FALSE)</f>
        <v>#N/A</v>
      </c>
      <c r="B2597" s="112" t="e">
        <f>VLOOKUP('Informe Kelly'!A2591,Base!A:G,7,FALSE)</f>
        <v>#N/A</v>
      </c>
      <c r="C2597" s="112">
        <f>'Informe Kelly'!E2591</f>
        <v>0</v>
      </c>
      <c r="D2597" s="112" t="e">
        <f>VLOOKUP(A2597,Ingreso!K:P,6,FALSE)</f>
        <v>#N/A</v>
      </c>
      <c r="E2597" s="142" t="e">
        <f>(VLOOKUP(D2597,$D$2:$E$4,2,FALSE))-(IF('Informe Kelly'!H2591=$A$2,'Informe Kelly'!F2591,VLOOKUP(D2597,$D$2:$E$4,2,FALSE)))</f>
        <v>#N/A</v>
      </c>
      <c r="F2597" s="142" t="e">
        <f>IF('Informe Kelly'!H2591=$A$3,'Informe Kelly'!F2591,VLOOKUP(D2597,$D$2:$F$4,3,FALSE))-(VLOOKUP(D2597,$D$2:$F$4,3,FALSE))</f>
        <v>#N/A</v>
      </c>
      <c r="G2597" s="137" t="e">
        <f t="shared" si="44"/>
        <v>#N/A</v>
      </c>
    </row>
    <row r="2598" spans="1:7">
      <c r="A2598" s="112" t="e">
        <f>VLOOKUP('Informe Kelly'!A2592,Base!A:B,2,FALSE)</f>
        <v>#N/A</v>
      </c>
      <c r="B2598" s="112" t="e">
        <f>VLOOKUP('Informe Kelly'!A2592,Base!A:G,7,FALSE)</f>
        <v>#N/A</v>
      </c>
      <c r="C2598" s="112">
        <f>'Informe Kelly'!E2592</f>
        <v>0</v>
      </c>
      <c r="D2598" s="112" t="e">
        <f>VLOOKUP(A2598,Ingreso!K:P,6,FALSE)</f>
        <v>#N/A</v>
      </c>
      <c r="E2598" s="142" t="e">
        <f>(VLOOKUP(D2598,$D$2:$E$4,2,FALSE))-(IF('Informe Kelly'!H2592=$A$2,'Informe Kelly'!F2592,VLOOKUP(D2598,$D$2:$E$4,2,FALSE)))</f>
        <v>#N/A</v>
      </c>
      <c r="F2598" s="142" t="e">
        <f>IF('Informe Kelly'!H2592=$A$3,'Informe Kelly'!F2592,VLOOKUP(D2598,$D$2:$F$4,3,FALSE))-(VLOOKUP(D2598,$D$2:$F$4,3,FALSE))</f>
        <v>#N/A</v>
      </c>
      <c r="G2598" s="137" t="e">
        <f t="shared" si="44"/>
        <v>#N/A</v>
      </c>
    </row>
    <row r="2599" spans="1:7">
      <c r="A2599" s="112" t="e">
        <f>VLOOKUP('Informe Kelly'!A2593,Base!A:B,2,FALSE)</f>
        <v>#N/A</v>
      </c>
      <c r="B2599" s="112" t="e">
        <f>VLOOKUP('Informe Kelly'!A2593,Base!A:G,7,FALSE)</f>
        <v>#N/A</v>
      </c>
      <c r="C2599" s="112">
        <f>'Informe Kelly'!E2593</f>
        <v>0</v>
      </c>
      <c r="D2599" s="112" t="e">
        <f>VLOOKUP(A2599,Ingreso!K:P,6,FALSE)</f>
        <v>#N/A</v>
      </c>
      <c r="E2599" s="142" t="e">
        <f>(VLOOKUP(D2599,$D$2:$E$4,2,FALSE))-(IF('Informe Kelly'!H2593=$A$2,'Informe Kelly'!F2593,VLOOKUP(D2599,$D$2:$E$4,2,FALSE)))</f>
        <v>#N/A</v>
      </c>
      <c r="F2599" s="142" t="e">
        <f>IF('Informe Kelly'!H2593=$A$3,'Informe Kelly'!F2593,VLOOKUP(D2599,$D$2:$F$4,3,FALSE))-(VLOOKUP(D2599,$D$2:$F$4,3,FALSE))</f>
        <v>#N/A</v>
      </c>
      <c r="G2599" s="137" t="e">
        <f t="shared" si="44"/>
        <v>#N/A</v>
      </c>
    </row>
    <row r="2600" spans="1:7">
      <c r="A2600" s="112" t="e">
        <f>VLOOKUP('Informe Kelly'!A2594,Base!A:B,2,FALSE)</f>
        <v>#N/A</v>
      </c>
      <c r="B2600" s="112" t="e">
        <f>VLOOKUP('Informe Kelly'!A2594,Base!A:G,7,FALSE)</f>
        <v>#N/A</v>
      </c>
      <c r="C2600" s="112">
        <f>'Informe Kelly'!E2594</f>
        <v>0</v>
      </c>
      <c r="D2600" s="112" t="e">
        <f>VLOOKUP(A2600,Ingreso!K:P,6,FALSE)</f>
        <v>#N/A</v>
      </c>
      <c r="E2600" s="142" t="e">
        <f>(VLOOKUP(D2600,$D$2:$E$4,2,FALSE))-(IF('Informe Kelly'!H2594=$A$2,'Informe Kelly'!F2594,VLOOKUP(D2600,$D$2:$E$4,2,FALSE)))</f>
        <v>#N/A</v>
      </c>
      <c r="F2600" s="142" t="e">
        <f>IF('Informe Kelly'!H2594=$A$3,'Informe Kelly'!F2594,VLOOKUP(D2600,$D$2:$F$4,3,FALSE))-(VLOOKUP(D2600,$D$2:$F$4,3,FALSE))</f>
        <v>#N/A</v>
      </c>
      <c r="G2600" s="137" t="e">
        <f t="shared" si="44"/>
        <v>#N/A</v>
      </c>
    </row>
    <row r="2601" spans="1:7">
      <c r="A2601" s="112" t="e">
        <f>VLOOKUP('Informe Kelly'!A2595,Base!A:B,2,FALSE)</f>
        <v>#N/A</v>
      </c>
      <c r="B2601" s="112" t="e">
        <f>VLOOKUP('Informe Kelly'!A2595,Base!A:G,7,FALSE)</f>
        <v>#N/A</v>
      </c>
      <c r="C2601" s="112">
        <f>'Informe Kelly'!E2595</f>
        <v>0</v>
      </c>
      <c r="D2601" s="112" t="e">
        <f>VLOOKUP(A2601,Ingreso!K:P,6,FALSE)</f>
        <v>#N/A</v>
      </c>
      <c r="E2601" s="142" t="e">
        <f>(VLOOKUP(D2601,$D$2:$E$4,2,FALSE))-(IF('Informe Kelly'!H2595=$A$2,'Informe Kelly'!F2595,VLOOKUP(D2601,$D$2:$E$4,2,FALSE)))</f>
        <v>#N/A</v>
      </c>
      <c r="F2601" s="142" t="e">
        <f>IF('Informe Kelly'!H2595=$A$3,'Informe Kelly'!F2595,VLOOKUP(D2601,$D$2:$F$4,3,FALSE))-(VLOOKUP(D2601,$D$2:$F$4,3,FALSE))</f>
        <v>#N/A</v>
      </c>
      <c r="G2601" s="137" t="e">
        <f t="shared" si="44"/>
        <v>#N/A</v>
      </c>
    </row>
    <row r="2602" spans="1:7">
      <c r="A2602" s="112" t="e">
        <f>VLOOKUP('Informe Kelly'!A2596,Base!A:B,2,FALSE)</f>
        <v>#N/A</v>
      </c>
      <c r="B2602" s="112" t="e">
        <f>VLOOKUP('Informe Kelly'!A2596,Base!A:G,7,FALSE)</f>
        <v>#N/A</v>
      </c>
      <c r="C2602" s="112">
        <f>'Informe Kelly'!E2596</f>
        <v>0</v>
      </c>
      <c r="D2602" s="112" t="e">
        <f>VLOOKUP(A2602,Ingreso!K:P,6,FALSE)</f>
        <v>#N/A</v>
      </c>
      <c r="E2602" s="142" t="e">
        <f>(VLOOKUP(D2602,$D$2:$E$4,2,FALSE))-(IF('Informe Kelly'!H2596=$A$2,'Informe Kelly'!F2596,VLOOKUP(D2602,$D$2:$E$4,2,FALSE)))</f>
        <v>#N/A</v>
      </c>
      <c r="F2602" s="142" t="e">
        <f>IF('Informe Kelly'!H2596=$A$3,'Informe Kelly'!F2596,VLOOKUP(D2602,$D$2:$F$4,3,FALSE))-(VLOOKUP(D2602,$D$2:$F$4,3,FALSE))</f>
        <v>#N/A</v>
      </c>
      <c r="G2602" s="137" t="e">
        <f t="shared" si="44"/>
        <v>#N/A</v>
      </c>
    </row>
    <row r="2603" spans="1:7">
      <c r="A2603" s="112" t="e">
        <f>VLOOKUP('Informe Kelly'!A2597,Base!A:B,2,FALSE)</f>
        <v>#N/A</v>
      </c>
      <c r="B2603" s="112" t="e">
        <f>VLOOKUP('Informe Kelly'!A2597,Base!A:G,7,FALSE)</f>
        <v>#N/A</v>
      </c>
      <c r="C2603" s="112">
        <f>'Informe Kelly'!E2597</f>
        <v>0</v>
      </c>
      <c r="D2603" s="112" t="e">
        <f>VLOOKUP(A2603,Ingreso!K:P,6,FALSE)</f>
        <v>#N/A</v>
      </c>
      <c r="E2603" s="142" t="e">
        <f>(VLOOKUP(D2603,$D$2:$E$4,2,FALSE))-(IF('Informe Kelly'!H2597=$A$2,'Informe Kelly'!F2597,VLOOKUP(D2603,$D$2:$E$4,2,FALSE)))</f>
        <v>#N/A</v>
      </c>
      <c r="F2603" s="142" t="e">
        <f>IF('Informe Kelly'!H2597=$A$3,'Informe Kelly'!F2597,VLOOKUP(D2603,$D$2:$F$4,3,FALSE))-(VLOOKUP(D2603,$D$2:$F$4,3,FALSE))</f>
        <v>#N/A</v>
      </c>
      <c r="G2603" s="137" t="e">
        <f t="shared" si="44"/>
        <v>#N/A</v>
      </c>
    </row>
    <row r="2604" spans="1:7">
      <c r="A2604" s="112" t="e">
        <f>VLOOKUP('Informe Kelly'!A2598,Base!A:B,2,FALSE)</f>
        <v>#N/A</v>
      </c>
      <c r="B2604" s="112" t="e">
        <f>VLOOKUP('Informe Kelly'!A2598,Base!A:G,7,FALSE)</f>
        <v>#N/A</v>
      </c>
      <c r="C2604" s="112">
        <f>'Informe Kelly'!E2598</f>
        <v>0</v>
      </c>
      <c r="D2604" s="112" t="e">
        <f>VLOOKUP(A2604,Ingreso!K:P,6,FALSE)</f>
        <v>#N/A</v>
      </c>
      <c r="E2604" s="142" t="e">
        <f>(VLOOKUP(D2604,$D$2:$E$4,2,FALSE))-(IF('Informe Kelly'!H2598=$A$2,'Informe Kelly'!F2598,VLOOKUP(D2604,$D$2:$E$4,2,FALSE)))</f>
        <v>#N/A</v>
      </c>
      <c r="F2604" s="142" t="e">
        <f>IF('Informe Kelly'!H2598=$A$3,'Informe Kelly'!F2598,VLOOKUP(D2604,$D$2:$F$4,3,FALSE))-(VLOOKUP(D2604,$D$2:$F$4,3,FALSE))</f>
        <v>#N/A</v>
      </c>
      <c r="G2604" s="137" t="e">
        <f t="shared" si="44"/>
        <v>#N/A</v>
      </c>
    </row>
    <row r="2605" spans="1:7">
      <c r="A2605" s="112" t="e">
        <f>VLOOKUP('Informe Kelly'!A2599,Base!A:B,2,FALSE)</f>
        <v>#N/A</v>
      </c>
      <c r="B2605" s="112" t="e">
        <f>VLOOKUP('Informe Kelly'!A2599,Base!A:G,7,FALSE)</f>
        <v>#N/A</v>
      </c>
      <c r="C2605" s="112">
        <f>'Informe Kelly'!E2599</f>
        <v>0</v>
      </c>
      <c r="D2605" s="112" t="e">
        <f>VLOOKUP(A2605,Ingreso!K:P,6,FALSE)</f>
        <v>#N/A</v>
      </c>
      <c r="E2605" s="142" t="e">
        <f>(VLOOKUP(D2605,$D$2:$E$4,2,FALSE))-(IF('Informe Kelly'!H2599=$A$2,'Informe Kelly'!F2599,VLOOKUP(D2605,$D$2:$E$4,2,FALSE)))</f>
        <v>#N/A</v>
      </c>
      <c r="F2605" s="142" t="e">
        <f>IF('Informe Kelly'!H2599=$A$3,'Informe Kelly'!F2599,VLOOKUP(D2605,$D$2:$F$4,3,FALSE))-(VLOOKUP(D2605,$D$2:$F$4,3,FALSE))</f>
        <v>#N/A</v>
      </c>
      <c r="G2605" s="137" t="e">
        <f t="shared" si="44"/>
        <v>#N/A</v>
      </c>
    </row>
    <row r="2606" spans="1:7">
      <c r="A2606" s="112" t="e">
        <f>VLOOKUP('Informe Kelly'!A2600,Base!A:B,2,FALSE)</f>
        <v>#N/A</v>
      </c>
      <c r="B2606" s="112" t="e">
        <f>VLOOKUP('Informe Kelly'!A2600,Base!A:G,7,FALSE)</f>
        <v>#N/A</v>
      </c>
      <c r="C2606" s="112">
        <f>'Informe Kelly'!E2600</f>
        <v>0</v>
      </c>
      <c r="D2606" s="112" t="e">
        <f>VLOOKUP(A2606,Ingreso!K:P,6,FALSE)</f>
        <v>#N/A</v>
      </c>
      <c r="E2606" s="142" t="e">
        <f>(VLOOKUP(D2606,$D$2:$E$4,2,FALSE))-(IF('Informe Kelly'!H2600=$A$2,'Informe Kelly'!F2600,VLOOKUP(D2606,$D$2:$E$4,2,FALSE)))</f>
        <v>#N/A</v>
      </c>
      <c r="F2606" s="142" t="e">
        <f>IF('Informe Kelly'!H2600=$A$3,'Informe Kelly'!F2600,VLOOKUP(D2606,$D$2:$F$4,3,FALSE))-(VLOOKUP(D2606,$D$2:$F$4,3,FALSE))</f>
        <v>#N/A</v>
      </c>
      <c r="G2606" s="137" t="e">
        <f t="shared" si="44"/>
        <v>#N/A</v>
      </c>
    </row>
    <row r="2607" spans="1:7">
      <c r="A2607" s="112" t="e">
        <f>VLOOKUP('Informe Kelly'!A2601,Base!A:B,2,FALSE)</f>
        <v>#N/A</v>
      </c>
      <c r="B2607" s="112" t="e">
        <f>VLOOKUP('Informe Kelly'!A2601,Base!A:G,7,FALSE)</f>
        <v>#N/A</v>
      </c>
      <c r="C2607" s="112">
        <f>'Informe Kelly'!E2601</f>
        <v>0</v>
      </c>
      <c r="D2607" s="112" t="e">
        <f>VLOOKUP(A2607,Ingreso!K:P,6,FALSE)</f>
        <v>#N/A</v>
      </c>
      <c r="E2607" s="142" t="e">
        <f>(VLOOKUP(D2607,$D$2:$E$4,2,FALSE))-(IF('Informe Kelly'!H2601=$A$2,'Informe Kelly'!F2601,VLOOKUP(D2607,$D$2:$E$4,2,FALSE)))</f>
        <v>#N/A</v>
      </c>
      <c r="F2607" s="142" t="e">
        <f>IF('Informe Kelly'!H2601=$A$3,'Informe Kelly'!F2601,VLOOKUP(D2607,$D$2:$F$4,3,FALSE))-(VLOOKUP(D2607,$D$2:$F$4,3,FALSE))</f>
        <v>#N/A</v>
      </c>
      <c r="G2607" s="137" t="e">
        <f t="shared" si="44"/>
        <v>#N/A</v>
      </c>
    </row>
    <row r="2608" spans="1:7">
      <c r="A2608" s="112" t="e">
        <f>VLOOKUP('Informe Kelly'!A2602,Base!A:B,2,FALSE)</f>
        <v>#N/A</v>
      </c>
      <c r="B2608" s="112" t="e">
        <f>VLOOKUP('Informe Kelly'!A2602,Base!A:G,7,FALSE)</f>
        <v>#N/A</v>
      </c>
      <c r="C2608" s="112">
        <f>'Informe Kelly'!E2602</f>
        <v>0</v>
      </c>
      <c r="D2608" s="112" t="e">
        <f>VLOOKUP(A2608,Ingreso!K:P,6,FALSE)</f>
        <v>#N/A</v>
      </c>
      <c r="E2608" s="142" t="e">
        <f>(VLOOKUP(D2608,$D$2:$E$4,2,FALSE))-(IF('Informe Kelly'!H2602=$A$2,'Informe Kelly'!F2602,VLOOKUP(D2608,$D$2:$E$4,2,FALSE)))</f>
        <v>#N/A</v>
      </c>
      <c r="F2608" s="142" t="e">
        <f>IF('Informe Kelly'!H2602=$A$3,'Informe Kelly'!F2602,VLOOKUP(D2608,$D$2:$F$4,3,FALSE))-(VLOOKUP(D2608,$D$2:$F$4,3,FALSE))</f>
        <v>#N/A</v>
      </c>
      <c r="G2608" s="137" t="e">
        <f t="shared" si="44"/>
        <v>#N/A</v>
      </c>
    </row>
    <row r="2609" spans="1:7">
      <c r="A2609" s="112" t="e">
        <f>VLOOKUP('Informe Kelly'!A2603,Base!A:B,2,FALSE)</f>
        <v>#N/A</v>
      </c>
      <c r="B2609" s="112" t="e">
        <f>VLOOKUP('Informe Kelly'!A2603,Base!A:G,7,FALSE)</f>
        <v>#N/A</v>
      </c>
      <c r="C2609" s="112">
        <f>'Informe Kelly'!E2603</f>
        <v>0</v>
      </c>
      <c r="D2609" s="112" t="e">
        <f>VLOOKUP(A2609,Ingreso!K:P,6,FALSE)</f>
        <v>#N/A</v>
      </c>
      <c r="E2609" s="142" t="e">
        <f>(VLOOKUP(D2609,$D$2:$E$4,2,FALSE))-(IF('Informe Kelly'!H2603=$A$2,'Informe Kelly'!F2603,VLOOKUP(D2609,$D$2:$E$4,2,FALSE)))</f>
        <v>#N/A</v>
      </c>
      <c r="F2609" s="142" t="e">
        <f>IF('Informe Kelly'!H2603=$A$3,'Informe Kelly'!F2603,VLOOKUP(D2609,$D$2:$F$4,3,FALSE))-(VLOOKUP(D2609,$D$2:$F$4,3,FALSE))</f>
        <v>#N/A</v>
      </c>
      <c r="G2609" s="137" t="e">
        <f t="shared" si="44"/>
        <v>#N/A</v>
      </c>
    </row>
    <row r="2610" spans="1:7">
      <c r="A2610" s="112" t="e">
        <f>VLOOKUP('Informe Kelly'!A2604,Base!A:B,2,FALSE)</f>
        <v>#N/A</v>
      </c>
      <c r="B2610" s="112" t="e">
        <f>VLOOKUP('Informe Kelly'!A2604,Base!A:G,7,FALSE)</f>
        <v>#N/A</v>
      </c>
      <c r="C2610" s="112">
        <f>'Informe Kelly'!E2604</f>
        <v>0</v>
      </c>
      <c r="D2610" s="112" t="e">
        <f>VLOOKUP(A2610,Ingreso!K:P,6,FALSE)</f>
        <v>#N/A</v>
      </c>
      <c r="E2610" s="142" t="e">
        <f>(VLOOKUP(D2610,$D$2:$E$4,2,FALSE))-(IF('Informe Kelly'!H2604=$A$2,'Informe Kelly'!F2604,VLOOKUP(D2610,$D$2:$E$4,2,FALSE)))</f>
        <v>#N/A</v>
      </c>
      <c r="F2610" s="142" t="e">
        <f>IF('Informe Kelly'!H2604=$A$3,'Informe Kelly'!F2604,VLOOKUP(D2610,$D$2:$F$4,3,FALSE))-(VLOOKUP(D2610,$D$2:$F$4,3,FALSE))</f>
        <v>#N/A</v>
      </c>
      <c r="G2610" s="137" t="e">
        <f t="shared" si="44"/>
        <v>#N/A</v>
      </c>
    </row>
    <row r="2611" spans="1:7">
      <c r="A2611" s="112" t="e">
        <f>VLOOKUP('Informe Kelly'!A2605,Base!A:B,2,FALSE)</f>
        <v>#N/A</v>
      </c>
      <c r="B2611" s="112" t="e">
        <f>VLOOKUP('Informe Kelly'!A2605,Base!A:G,7,FALSE)</f>
        <v>#N/A</v>
      </c>
      <c r="C2611" s="112">
        <f>'Informe Kelly'!E2605</f>
        <v>0</v>
      </c>
      <c r="D2611" s="112" t="e">
        <f>VLOOKUP(A2611,Ingreso!K:P,6,FALSE)</f>
        <v>#N/A</v>
      </c>
      <c r="E2611" s="142" t="e">
        <f>(VLOOKUP(D2611,$D$2:$E$4,2,FALSE))-(IF('Informe Kelly'!H2605=$A$2,'Informe Kelly'!F2605,VLOOKUP(D2611,$D$2:$E$4,2,FALSE)))</f>
        <v>#N/A</v>
      </c>
      <c r="F2611" s="142" t="e">
        <f>IF('Informe Kelly'!H2605=$A$3,'Informe Kelly'!F2605,VLOOKUP(D2611,$D$2:$F$4,3,FALSE))-(VLOOKUP(D2611,$D$2:$F$4,3,FALSE))</f>
        <v>#N/A</v>
      </c>
      <c r="G2611" s="137" t="e">
        <f t="shared" si="44"/>
        <v>#N/A</v>
      </c>
    </row>
    <row r="2612" spans="1:7">
      <c r="A2612" s="112" t="e">
        <f>VLOOKUP('Informe Kelly'!A2606,Base!A:B,2,FALSE)</f>
        <v>#N/A</v>
      </c>
      <c r="B2612" s="112" t="e">
        <f>VLOOKUP('Informe Kelly'!A2606,Base!A:G,7,FALSE)</f>
        <v>#N/A</v>
      </c>
      <c r="C2612" s="112">
        <f>'Informe Kelly'!E2606</f>
        <v>0</v>
      </c>
      <c r="D2612" s="112" t="e">
        <f>VLOOKUP(A2612,Ingreso!K:P,6,FALSE)</f>
        <v>#N/A</v>
      </c>
      <c r="E2612" s="142" t="e">
        <f>(VLOOKUP(D2612,$D$2:$E$4,2,FALSE))-(IF('Informe Kelly'!H2606=$A$2,'Informe Kelly'!F2606,VLOOKUP(D2612,$D$2:$E$4,2,FALSE)))</f>
        <v>#N/A</v>
      </c>
      <c r="F2612" s="142" t="e">
        <f>IF('Informe Kelly'!H2606=$A$3,'Informe Kelly'!F2606,VLOOKUP(D2612,$D$2:$F$4,3,FALSE))-(VLOOKUP(D2612,$D$2:$F$4,3,FALSE))</f>
        <v>#N/A</v>
      </c>
      <c r="G2612" s="137" t="e">
        <f t="shared" si="44"/>
        <v>#N/A</v>
      </c>
    </row>
    <row r="2613" spans="1:7">
      <c r="A2613" s="112" t="e">
        <f>VLOOKUP('Informe Kelly'!A2607,Base!A:B,2,FALSE)</f>
        <v>#N/A</v>
      </c>
      <c r="B2613" s="112" t="e">
        <f>VLOOKUP('Informe Kelly'!A2607,Base!A:G,7,FALSE)</f>
        <v>#N/A</v>
      </c>
      <c r="C2613" s="112">
        <f>'Informe Kelly'!E2607</f>
        <v>0</v>
      </c>
      <c r="D2613" s="112" t="e">
        <f>VLOOKUP(A2613,Ingreso!K:P,6,FALSE)</f>
        <v>#N/A</v>
      </c>
      <c r="E2613" s="142" t="e">
        <f>(VLOOKUP(D2613,$D$2:$E$4,2,FALSE))-(IF('Informe Kelly'!H2607=$A$2,'Informe Kelly'!F2607,VLOOKUP(D2613,$D$2:$E$4,2,FALSE)))</f>
        <v>#N/A</v>
      </c>
      <c r="F2613" s="142" t="e">
        <f>IF('Informe Kelly'!H2607=$A$3,'Informe Kelly'!F2607,VLOOKUP(D2613,$D$2:$F$4,3,FALSE))-(VLOOKUP(D2613,$D$2:$F$4,3,FALSE))</f>
        <v>#N/A</v>
      </c>
      <c r="G2613" s="137" t="e">
        <f t="shared" si="44"/>
        <v>#N/A</v>
      </c>
    </row>
    <row r="2614" spans="1:7">
      <c r="A2614" s="112" t="e">
        <f>VLOOKUP('Informe Kelly'!A2608,Base!A:B,2,FALSE)</f>
        <v>#N/A</v>
      </c>
      <c r="B2614" s="112" t="e">
        <f>VLOOKUP('Informe Kelly'!A2608,Base!A:G,7,FALSE)</f>
        <v>#N/A</v>
      </c>
      <c r="C2614" s="112">
        <f>'Informe Kelly'!E2608</f>
        <v>0</v>
      </c>
      <c r="D2614" s="112" t="e">
        <f>VLOOKUP(A2614,Ingreso!K:P,6,FALSE)</f>
        <v>#N/A</v>
      </c>
      <c r="E2614" s="142" t="e">
        <f>(VLOOKUP(D2614,$D$2:$E$4,2,FALSE))-(IF('Informe Kelly'!H2608=$A$2,'Informe Kelly'!F2608,VLOOKUP(D2614,$D$2:$E$4,2,FALSE)))</f>
        <v>#N/A</v>
      </c>
      <c r="F2614" s="142" t="e">
        <f>IF('Informe Kelly'!H2608=$A$3,'Informe Kelly'!F2608,VLOOKUP(D2614,$D$2:$F$4,3,FALSE))-(VLOOKUP(D2614,$D$2:$F$4,3,FALSE))</f>
        <v>#N/A</v>
      </c>
      <c r="G2614" s="137" t="e">
        <f t="shared" si="44"/>
        <v>#N/A</v>
      </c>
    </row>
    <row r="2615" spans="1:7">
      <c r="A2615" s="112" t="e">
        <f>VLOOKUP('Informe Kelly'!A2609,Base!A:B,2,FALSE)</f>
        <v>#N/A</v>
      </c>
      <c r="B2615" s="112" t="e">
        <f>VLOOKUP('Informe Kelly'!A2609,Base!A:G,7,FALSE)</f>
        <v>#N/A</v>
      </c>
      <c r="C2615" s="112">
        <f>'Informe Kelly'!E2609</f>
        <v>0</v>
      </c>
      <c r="D2615" s="112" t="e">
        <f>VLOOKUP(A2615,Ingreso!K:P,6,FALSE)</f>
        <v>#N/A</v>
      </c>
      <c r="E2615" s="142" t="e">
        <f>(VLOOKUP(D2615,$D$2:$E$4,2,FALSE))-(IF('Informe Kelly'!H2609=$A$2,'Informe Kelly'!F2609,VLOOKUP(D2615,$D$2:$E$4,2,FALSE)))</f>
        <v>#N/A</v>
      </c>
      <c r="F2615" s="142" t="e">
        <f>IF('Informe Kelly'!H2609=$A$3,'Informe Kelly'!F2609,VLOOKUP(D2615,$D$2:$F$4,3,FALSE))-(VLOOKUP(D2615,$D$2:$F$4,3,FALSE))</f>
        <v>#N/A</v>
      </c>
      <c r="G2615" s="137" t="e">
        <f t="shared" si="44"/>
        <v>#N/A</v>
      </c>
    </row>
    <row r="2616" spans="1:7">
      <c r="A2616" s="112" t="e">
        <f>VLOOKUP('Informe Kelly'!A2610,Base!A:B,2,FALSE)</f>
        <v>#N/A</v>
      </c>
      <c r="B2616" s="112" t="e">
        <f>VLOOKUP('Informe Kelly'!A2610,Base!A:G,7,FALSE)</f>
        <v>#N/A</v>
      </c>
      <c r="C2616" s="112">
        <f>'Informe Kelly'!E2610</f>
        <v>0</v>
      </c>
      <c r="D2616" s="112" t="e">
        <f>VLOOKUP(A2616,Ingreso!K:P,6,FALSE)</f>
        <v>#N/A</v>
      </c>
      <c r="E2616" s="142" t="e">
        <f>(VLOOKUP(D2616,$D$2:$E$4,2,FALSE))-(IF('Informe Kelly'!H2610=$A$2,'Informe Kelly'!F2610,VLOOKUP(D2616,$D$2:$E$4,2,FALSE)))</f>
        <v>#N/A</v>
      </c>
      <c r="F2616" s="142" t="e">
        <f>IF('Informe Kelly'!H2610=$A$3,'Informe Kelly'!F2610,VLOOKUP(D2616,$D$2:$F$4,3,FALSE))-(VLOOKUP(D2616,$D$2:$F$4,3,FALSE))</f>
        <v>#N/A</v>
      </c>
      <c r="G2616" s="137" t="e">
        <f t="shared" si="44"/>
        <v>#N/A</v>
      </c>
    </row>
    <row r="2617" spans="1:7">
      <c r="A2617" s="112" t="e">
        <f>VLOOKUP('Informe Kelly'!A2611,Base!A:B,2,FALSE)</f>
        <v>#N/A</v>
      </c>
      <c r="B2617" s="112" t="e">
        <f>VLOOKUP('Informe Kelly'!A2611,Base!A:G,7,FALSE)</f>
        <v>#N/A</v>
      </c>
      <c r="C2617" s="112">
        <f>'Informe Kelly'!E2611</f>
        <v>0</v>
      </c>
      <c r="D2617" s="112" t="e">
        <f>VLOOKUP(A2617,Ingreso!K:P,6,FALSE)</f>
        <v>#N/A</v>
      </c>
      <c r="E2617" s="142" t="e">
        <f>(VLOOKUP(D2617,$D$2:$E$4,2,FALSE))-(IF('Informe Kelly'!H2611=$A$2,'Informe Kelly'!F2611,VLOOKUP(D2617,$D$2:$E$4,2,FALSE)))</f>
        <v>#N/A</v>
      </c>
      <c r="F2617" s="142" t="e">
        <f>IF('Informe Kelly'!H2611=$A$3,'Informe Kelly'!F2611,VLOOKUP(D2617,$D$2:$F$4,3,FALSE))-(VLOOKUP(D2617,$D$2:$F$4,3,FALSE))</f>
        <v>#N/A</v>
      </c>
      <c r="G2617" s="137" t="e">
        <f t="shared" si="44"/>
        <v>#N/A</v>
      </c>
    </row>
    <row r="2618" spans="1:7">
      <c r="A2618" s="112" t="e">
        <f>VLOOKUP('Informe Kelly'!A2612,Base!A:B,2,FALSE)</f>
        <v>#N/A</v>
      </c>
      <c r="B2618" s="112" t="e">
        <f>VLOOKUP('Informe Kelly'!A2612,Base!A:G,7,FALSE)</f>
        <v>#N/A</v>
      </c>
      <c r="C2618" s="112">
        <f>'Informe Kelly'!E2612</f>
        <v>0</v>
      </c>
      <c r="D2618" s="112" t="e">
        <f>VLOOKUP(A2618,Ingreso!K:P,6,FALSE)</f>
        <v>#N/A</v>
      </c>
      <c r="E2618" s="142" t="e">
        <f>(VLOOKUP(D2618,$D$2:$E$4,2,FALSE))-(IF('Informe Kelly'!H2612=$A$2,'Informe Kelly'!F2612,VLOOKUP(D2618,$D$2:$E$4,2,FALSE)))</f>
        <v>#N/A</v>
      </c>
      <c r="F2618" s="142" t="e">
        <f>IF('Informe Kelly'!H2612=$A$3,'Informe Kelly'!F2612,VLOOKUP(D2618,$D$2:$F$4,3,FALSE))-(VLOOKUP(D2618,$D$2:$F$4,3,FALSE))</f>
        <v>#N/A</v>
      </c>
      <c r="G2618" s="137" t="e">
        <f t="shared" si="44"/>
        <v>#N/A</v>
      </c>
    </row>
    <row r="2619" spans="1:7">
      <c r="A2619" s="112" t="e">
        <f>VLOOKUP('Informe Kelly'!A2613,Base!A:B,2,FALSE)</f>
        <v>#N/A</v>
      </c>
      <c r="B2619" s="112" t="e">
        <f>VLOOKUP('Informe Kelly'!A2613,Base!A:G,7,FALSE)</f>
        <v>#N/A</v>
      </c>
      <c r="C2619" s="112">
        <f>'Informe Kelly'!E2613</f>
        <v>0</v>
      </c>
      <c r="D2619" s="112" t="e">
        <f>VLOOKUP(A2619,Ingreso!K:P,6,FALSE)</f>
        <v>#N/A</v>
      </c>
      <c r="E2619" s="142" t="e">
        <f>(VLOOKUP(D2619,$D$2:$E$4,2,FALSE))-(IF('Informe Kelly'!H2613=$A$2,'Informe Kelly'!F2613,VLOOKUP(D2619,$D$2:$E$4,2,FALSE)))</f>
        <v>#N/A</v>
      </c>
      <c r="F2619" s="142" t="e">
        <f>IF('Informe Kelly'!H2613=$A$3,'Informe Kelly'!F2613,VLOOKUP(D2619,$D$2:$F$4,3,FALSE))-(VLOOKUP(D2619,$D$2:$F$4,3,FALSE))</f>
        <v>#N/A</v>
      </c>
      <c r="G2619" s="137" t="e">
        <f t="shared" si="44"/>
        <v>#N/A</v>
      </c>
    </row>
    <row r="2620" spans="1:7">
      <c r="A2620" s="112" t="e">
        <f>VLOOKUP('Informe Kelly'!A2614,Base!A:B,2,FALSE)</f>
        <v>#N/A</v>
      </c>
      <c r="B2620" s="112" t="e">
        <f>VLOOKUP('Informe Kelly'!A2614,Base!A:G,7,FALSE)</f>
        <v>#N/A</v>
      </c>
      <c r="C2620" s="112">
        <f>'Informe Kelly'!E2614</f>
        <v>0</v>
      </c>
      <c r="D2620" s="112" t="e">
        <f>VLOOKUP(A2620,Ingreso!K:P,6,FALSE)</f>
        <v>#N/A</v>
      </c>
      <c r="E2620" s="142" t="e">
        <f>(VLOOKUP(D2620,$D$2:$E$4,2,FALSE))-(IF('Informe Kelly'!H2614=$A$2,'Informe Kelly'!F2614,VLOOKUP(D2620,$D$2:$E$4,2,FALSE)))</f>
        <v>#N/A</v>
      </c>
      <c r="F2620" s="142" t="e">
        <f>IF('Informe Kelly'!H2614=$A$3,'Informe Kelly'!F2614,VLOOKUP(D2620,$D$2:$F$4,3,FALSE))-(VLOOKUP(D2620,$D$2:$F$4,3,FALSE))</f>
        <v>#N/A</v>
      </c>
      <c r="G2620" s="137" t="e">
        <f t="shared" si="44"/>
        <v>#N/A</v>
      </c>
    </row>
    <row r="2621" spans="1:7">
      <c r="A2621" s="112" t="e">
        <f>VLOOKUP('Informe Kelly'!A2615,Base!A:B,2,FALSE)</f>
        <v>#N/A</v>
      </c>
      <c r="B2621" s="112" t="e">
        <f>VLOOKUP('Informe Kelly'!A2615,Base!A:G,7,FALSE)</f>
        <v>#N/A</v>
      </c>
      <c r="C2621" s="112">
        <f>'Informe Kelly'!E2615</f>
        <v>0</v>
      </c>
      <c r="D2621" s="112" t="e">
        <f>VLOOKUP(A2621,Ingreso!K:P,6,FALSE)</f>
        <v>#N/A</v>
      </c>
      <c r="E2621" s="142" t="e">
        <f>(VLOOKUP(D2621,$D$2:$E$4,2,FALSE))-(IF('Informe Kelly'!H2615=$A$2,'Informe Kelly'!F2615,VLOOKUP(D2621,$D$2:$E$4,2,FALSE)))</f>
        <v>#N/A</v>
      </c>
      <c r="F2621" s="142" t="e">
        <f>IF('Informe Kelly'!H2615=$A$3,'Informe Kelly'!F2615,VLOOKUP(D2621,$D$2:$F$4,3,FALSE))-(VLOOKUP(D2621,$D$2:$F$4,3,FALSE))</f>
        <v>#N/A</v>
      </c>
      <c r="G2621" s="137" t="e">
        <f t="shared" si="44"/>
        <v>#N/A</v>
      </c>
    </row>
    <row r="2622" spans="1:7">
      <c r="A2622" s="112" t="e">
        <f>VLOOKUP('Informe Kelly'!A2616,Base!A:B,2,FALSE)</f>
        <v>#N/A</v>
      </c>
      <c r="B2622" s="112" t="e">
        <f>VLOOKUP('Informe Kelly'!A2616,Base!A:G,7,FALSE)</f>
        <v>#N/A</v>
      </c>
      <c r="C2622" s="112">
        <f>'Informe Kelly'!E2616</f>
        <v>0</v>
      </c>
      <c r="D2622" s="112" t="e">
        <f>VLOOKUP(A2622,Ingreso!K:P,6,FALSE)</f>
        <v>#N/A</v>
      </c>
      <c r="E2622" s="142" t="e">
        <f>(VLOOKUP(D2622,$D$2:$E$4,2,FALSE))-(IF('Informe Kelly'!H2616=$A$2,'Informe Kelly'!F2616,VLOOKUP(D2622,$D$2:$E$4,2,FALSE)))</f>
        <v>#N/A</v>
      </c>
      <c r="F2622" s="142" t="e">
        <f>IF('Informe Kelly'!H2616=$A$3,'Informe Kelly'!F2616,VLOOKUP(D2622,$D$2:$F$4,3,FALSE))-(VLOOKUP(D2622,$D$2:$F$4,3,FALSE))</f>
        <v>#N/A</v>
      </c>
      <c r="G2622" s="137" t="e">
        <f t="shared" si="44"/>
        <v>#N/A</v>
      </c>
    </row>
    <row r="2623" spans="1:7">
      <c r="A2623" s="112" t="e">
        <f>VLOOKUP('Informe Kelly'!A2617,Base!A:B,2,FALSE)</f>
        <v>#N/A</v>
      </c>
      <c r="B2623" s="112" t="e">
        <f>VLOOKUP('Informe Kelly'!A2617,Base!A:G,7,FALSE)</f>
        <v>#N/A</v>
      </c>
      <c r="C2623" s="112">
        <f>'Informe Kelly'!E2617</f>
        <v>0</v>
      </c>
      <c r="D2623" s="112" t="e">
        <f>VLOOKUP(A2623,Ingreso!K:P,6,FALSE)</f>
        <v>#N/A</v>
      </c>
      <c r="E2623" s="142" t="e">
        <f>(VLOOKUP(D2623,$D$2:$E$4,2,FALSE))-(IF('Informe Kelly'!H2617=$A$2,'Informe Kelly'!F2617,VLOOKUP(D2623,$D$2:$E$4,2,FALSE)))</f>
        <v>#N/A</v>
      </c>
      <c r="F2623" s="142" t="e">
        <f>IF('Informe Kelly'!H2617=$A$3,'Informe Kelly'!F2617,VLOOKUP(D2623,$D$2:$F$4,3,FALSE))-(VLOOKUP(D2623,$D$2:$F$4,3,FALSE))</f>
        <v>#N/A</v>
      </c>
      <c r="G2623" s="137" t="e">
        <f t="shared" si="44"/>
        <v>#N/A</v>
      </c>
    </row>
    <row r="2624" spans="1:7">
      <c r="A2624" s="112" t="e">
        <f>VLOOKUP('Informe Kelly'!A2618,Base!A:B,2,FALSE)</f>
        <v>#N/A</v>
      </c>
      <c r="B2624" s="112" t="e">
        <f>VLOOKUP('Informe Kelly'!A2618,Base!A:G,7,FALSE)</f>
        <v>#N/A</v>
      </c>
      <c r="C2624" s="112">
        <f>'Informe Kelly'!E2618</f>
        <v>0</v>
      </c>
      <c r="D2624" s="112" t="e">
        <f>VLOOKUP(A2624,Ingreso!K:P,6,FALSE)</f>
        <v>#N/A</v>
      </c>
      <c r="E2624" s="142" t="e">
        <f>(VLOOKUP(D2624,$D$2:$E$4,2,FALSE))-(IF('Informe Kelly'!H2618=$A$2,'Informe Kelly'!F2618,VLOOKUP(D2624,$D$2:$E$4,2,FALSE)))</f>
        <v>#N/A</v>
      </c>
      <c r="F2624" s="142" t="e">
        <f>IF('Informe Kelly'!H2618=$A$3,'Informe Kelly'!F2618,VLOOKUP(D2624,$D$2:$F$4,3,FALSE))-(VLOOKUP(D2624,$D$2:$F$4,3,FALSE))</f>
        <v>#N/A</v>
      </c>
      <c r="G2624" s="137" t="e">
        <f t="shared" si="44"/>
        <v>#N/A</v>
      </c>
    </row>
    <row r="2625" spans="1:7">
      <c r="A2625" s="112" t="e">
        <f>VLOOKUP('Informe Kelly'!A2619,Base!A:B,2,FALSE)</f>
        <v>#N/A</v>
      </c>
      <c r="B2625" s="112" t="e">
        <f>VLOOKUP('Informe Kelly'!A2619,Base!A:G,7,FALSE)</f>
        <v>#N/A</v>
      </c>
      <c r="C2625" s="112">
        <f>'Informe Kelly'!E2619</f>
        <v>0</v>
      </c>
      <c r="D2625" s="112" t="e">
        <f>VLOOKUP(A2625,Ingreso!K:P,6,FALSE)</f>
        <v>#N/A</v>
      </c>
      <c r="E2625" s="142" t="e">
        <f>(VLOOKUP(D2625,$D$2:$E$4,2,FALSE))-(IF('Informe Kelly'!H2619=$A$2,'Informe Kelly'!F2619,VLOOKUP(D2625,$D$2:$E$4,2,FALSE)))</f>
        <v>#N/A</v>
      </c>
      <c r="F2625" s="142" t="e">
        <f>IF('Informe Kelly'!H2619=$A$3,'Informe Kelly'!F2619,VLOOKUP(D2625,$D$2:$F$4,3,FALSE))-(VLOOKUP(D2625,$D$2:$F$4,3,FALSE))</f>
        <v>#N/A</v>
      </c>
      <c r="G2625" s="137" t="e">
        <f t="shared" si="44"/>
        <v>#N/A</v>
      </c>
    </row>
    <row r="2626" spans="1:7">
      <c r="A2626" s="112" t="e">
        <f>VLOOKUP('Informe Kelly'!A2620,Base!A:B,2,FALSE)</f>
        <v>#N/A</v>
      </c>
      <c r="B2626" s="112" t="e">
        <f>VLOOKUP('Informe Kelly'!A2620,Base!A:G,7,FALSE)</f>
        <v>#N/A</v>
      </c>
      <c r="C2626" s="112">
        <f>'Informe Kelly'!E2620</f>
        <v>0</v>
      </c>
      <c r="D2626" s="112" t="e">
        <f>VLOOKUP(A2626,Ingreso!K:P,6,FALSE)</f>
        <v>#N/A</v>
      </c>
      <c r="E2626" s="142" t="e">
        <f>(VLOOKUP(D2626,$D$2:$E$4,2,FALSE))-(IF('Informe Kelly'!H2620=$A$2,'Informe Kelly'!F2620,VLOOKUP(D2626,$D$2:$E$4,2,FALSE)))</f>
        <v>#N/A</v>
      </c>
      <c r="F2626" s="142" t="e">
        <f>IF('Informe Kelly'!H2620=$A$3,'Informe Kelly'!F2620,VLOOKUP(D2626,$D$2:$F$4,3,FALSE))-(VLOOKUP(D2626,$D$2:$F$4,3,FALSE))</f>
        <v>#N/A</v>
      </c>
      <c r="G2626" s="137" t="e">
        <f t="shared" si="44"/>
        <v>#N/A</v>
      </c>
    </row>
    <row r="2627" spans="1:7">
      <c r="A2627" s="112" t="e">
        <f>VLOOKUP('Informe Kelly'!A2621,Base!A:B,2,FALSE)</f>
        <v>#N/A</v>
      </c>
      <c r="B2627" s="112" t="e">
        <f>VLOOKUP('Informe Kelly'!A2621,Base!A:G,7,FALSE)</f>
        <v>#N/A</v>
      </c>
      <c r="C2627" s="112">
        <f>'Informe Kelly'!E2621</f>
        <v>0</v>
      </c>
      <c r="D2627" s="112" t="e">
        <f>VLOOKUP(A2627,Ingreso!K:P,6,FALSE)</f>
        <v>#N/A</v>
      </c>
      <c r="E2627" s="142" t="e">
        <f>(VLOOKUP(D2627,$D$2:$E$4,2,FALSE))-(IF('Informe Kelly'!H2621=$A$2,'Informe Kelly'!F2621,VLOOKUP(D2627,$D$2:$E$4,2,FALSE)))</f>
        <v>#N/A</v>
      </c>
      <c r="F2627" s="142" t="e">
        <f>IF('Informe Kelly'!H2621=$A$3,'Informe Kelly'!F2621,VLOOKUP(D2627,$D$2:$F$4,3,FALSE))-(VLOOKUP(D2627,$D$2:$F$4,3,FALSE))</f>
        <v>#N/A</v>
      </c>
      <c r="G2627" s="137" t="e">
        <f t="shared" si="44"/>
        <v>#N/A</v>
      </c>
    </row>
    <row r="2628" spans="1:7">
      <c r="A2628" s="112" t="e">
        <f>VLOOKUP('Informe Kelly'!A2622,Base!A:B,2,FALSE)</f>
        <v>#N/A</v>
      </c>
      <c r="B2628" s="112" t="e">
        <f>VLOOKUP('Informe Kelly'!A2622,Base!A:G,7,FALSE)</f>
        <v>#N/A</v>
      </c>
      <c r="C2628" s="112">
        <f>'Informe Kelly'!E2622</f>
        <v>0</v>
      </c>
      <c r="D2628" s="112" t="e">
        <f>VLOOKUP(A2628,Ingreso!K:P,6,FALSE)</f>
        <v>#N/A</v>
      </c>
      <c r="E2628" s="142" t="e">
        <f>(VLOOKUP(D2628,$D$2:$E$4,2,FALSE))-(IF('Informe Kelly'!H2622=$A$2,'Informe Kelly'!F2622,VLOOKUP(D2628,$D$2:$E$4,2,FALSE)))</f>
        <v>#N/A</v>
      </c>
      <c r="F2628" s="142" t="e">
        <f>IF('Informe Kelly'!H2622=$A$3,'Informe Kelly'!F2622,VLOOKUP(D2628,$D$2:$F$4,3,FALSE))-(VLOOKUP(D2628,$D$2:$F$4,3,FALSE))</f>
        <v>#N/A</v>
      </c>
      <c r="G2628" s="137" t="e">
        <f t="shared" si="44"/>
        <v>#N/A</v>
      </c>
    </row>
    <row r="2629" spans="1:7">
      <c r="A2629" s="112" t="e">
        <f>VLOOKUP('Informe Kelly'!A2623,Base!A:B,2,FALSE)</f>
        <v>#N/A</v>
      </c>
      <c r="B2629" s="112" t="e">
        <f>VLOOKUP('Informe Kelly'!A2623,Base!A:G,7,FALSE)</f>
        <v>#N/A</v>
      </c>
      <c r="C2629" s="112">
        <f>'Informe Kelly'!E2623</f>
        <v>0</v>
      </c>
      <c r="D2629" s="112" t="e">
        <f>VLOOKUP(A2629,Ingreso!K:P,6,FALSE)</f>
        <v>#N/A</v>
      </c>
      <c r="E2629" s="142" t="e">
        <f>(VLOOKUP(D2629,$D$2:$E$4,2,FALSE))-(IF('Informe Kelly'!H2623=$A$2,'Informe Kelly'!F2623,VLOOKUP(D2629,$D$2:$E$4,2,FALSE)))</f>
        <v>#N/A</v>
      </c>
      <c r="F2629" s="142" t="e">
        <f>IF('Informe Kelly'!H2623=$A$3,'Informe Kelly'!F2623,VLOOKUP(D2629,$D$2:$F$4,3,FALSE))-(VLOOKUP(D2629,$D$2:$F$4,3,FALSE))</f>
        <v>#N/A</v>
      </c>
      <c r="G2629" s="137" t="e">
        <f t="shared" si="44"/>
        <v>#N/A</v>
      </c>
    </row>
    <row r="2630" spans="1:7">
      <c r="A2630" s="112" t="e">
        <f>VLOOKUP('Informe Kelly'!A2624,Base!A:B,2,FALSE)</f>
        <v>#N/A</v>
      </c>
      <c r="B2630" s="112" t="e">
        <f>VLOOKUP('Informe Kelly'!A2624,Base!A:G,7,FALSE)</f>
        <v>#N/A</v>
      </c>
      <c r="C2630" s="112">
        <f>'Informe Kelly'!E2624</f>
        <v>0</v>
      </c>
      <c r="D2630" s="112" t="e">
        <f>VLOOKUP(A2630,Ingreso!K:P,6,FALSE)</f>
        <v>#N/A</v>
      </c>
      <c r="E2630" s="142" t="e">
        <f>(VLOOKUP(D2630,$D$2:$E$4,2,FALSE))-(IF('Informe Kelly'!H2624=$A$2,'Informe Kelly'!F2624,VLOOKUP(D2630,$D$2:$E$4,2,FALSE)))</f>
        <v>#N/A</v>
      </c>
      <c r="F2630" s="142" t="e">
        <f>IF('Informe Kelly'!H2624=$A$3,'Informe Kelly'!F2624,VLOOKUP(D2630,$D$2:$F$4,3,FALSE))-(VLOOKUP(D2630,$D$2:$F$4,3,FALSE))</f>
        <v>#N/A</v>
      </c>
      <c r="G2630" s="137" t="e">
        <f t="shared" si="44"/>
        <v>#N/A</v>
      </c>
    </row>
    <row r="2631" spans="1:7">
      <c r="A2631" s="112" t="e">
        <f>VLOOKUP('Informe Kelly'!A2625,Base!A:B,2,FALSE)</f>
        <v>#N/A</v>
      </c>
      <c r="B2631" s="112" t="e">
        <f>VLOOKUP('Informe Kelly'!A2625,Base!A:G,7,FALSE)</f>
        <v>#N/A</v>
      </c>
      <c r="C2631" s="112">
        <f>'Informe Kelly'!E2625</f>
        <v>0</v>
      </c>
      <c r="D2631" s="112" t="e">
        <f>VLOOKUP(A2631,Ingreso!K:P,6,FALSE)</f>
        <v>#N/A</v>
      </c>
      <c r="E2631" s="142" t="e">
        <f>(VLOOKUP(D2631,$D$2:$E$4,2,FALSE))-(IF('Informe Kelly'!H2625=$A$2,'Informe Kelly'!F2625,VLOOKUP(D2631,$D$2:$E$4,2,FALSE)))</f>
        <v>#N/A</v>
      </c>
      <c r="F2631" s="142" t="e">
        <f>IF('Informe Kelly'!H2625=$A$3,'Informe Kelly'!F2625,VLOOKUP(D2631,$D$2:$F$4,3,FALSE))-(VLOOKUP(D2631,$D$2:$F$4,3,FALSE))</f>
        <v>#N/A</v>
      </c>
      <c r="G2631" s="137" t="e">
        <f t="shared" si="44"/>
        <v>#N/A</v>
      </c>
    </row>
    <row r="2632" spans="1:7">
      <c r="A2632" s="112" t="e">
        <f>VLOOKUP('Informe Kelly'!A2626,Base!A:B,2,FALSE)</f>
        <v>#N/A</v>
      </c>
      <c r="B2632" s="112" t="e">
        <f>VLOOKUP('Informe Kelly'!A2626,Base!A:G,7,FALSE)</f>
        <v>#N/A</v>
      </c>
      <c r="C2632" s="112">
        <f>'Informe Kelly'!E2626</f>
        <v>0</v>
      </c>
      <c r="D2632" s="112" t="e">
        <f>VLOOKUP(A2632,Ingreso!K:P,6,FALSE)</f>
        <v>#N/A</v>
      </c>
      <c r="E2632" s="142" t="e">
        <f>(VLOOKUP(D2632,$D$2:$E$4,2,FALSE))-(IF('Informe Kelly'!H2626=$A$2,'Informe Kelly'!F2626,VLOOKUP(D2632,$D$2:$E$4,2,FALSE)))</f>
        <v>#N/A</v>
      </c>
      <c r="F2632" s="142" t="e">
        <f>IF('Informe Kelly'!H2626=$A$3,'Informe Kelly'!F2626,VLOOKUP(D2632,$D$2:$F$4,3,FALSE))-(VLOOKUP(D2632,$D$2:$F$4,3,FALSE))</f>
        <v>#N/A</v>
      </c>
      <c r="G2632" s="137" t="e">
        <f t="shared" si="44"/>
        <v>#N/A</v>
      </c>
    </row>
    <row r="2633" spans="1:7">
      <c r="A2633" s="112" t="e">
        <f>VLOOKUP('Informe Kelly'!A2627,Base!A:B,2,FALSE)</f>
        <v>#N/A</v>
      </c>
      <c r="B2633" s="112" t="e">
        <f>VLOOKUP('Informe Kelly'!A2627,Base!A:G,7,FALSE)</f>
        <v>#N/A</v>
      </c>
      <c r="C2633" s="112">
        <f>'Informe Kelly'!E2627</f>
        <v>0</v>
      </c>
      <c r="D2633" s="112" t="e">
        <f>VLOOKUP(A2633,Ingreso!K:P,6,FALSE)</f>
        <v>#N/A</v>
      </c>
      <c r="E2633" s="142" t="e">
        <f>(VLOOKUP(D2633,$D$2:$E$4,2,FALSE))-(IF('Informe Kelly'!H2627=$A$2,'Informe Kelly'!F2627,VLOOKUP(D2633,$D$2:$E$4,2,FALSE)))</f>
        <v>#N/A</v>
      </c>
      <c r="F2633" s="142" t="e">
        <f>IF('Informe Kelly'!H2627=$A$3,'Informe Kelly'!F2627,VLOOKUP(D2633,$D$2:$F$4,3,FALSE))-(VLOOKUP(D2633,$D$2:$F$4,3,FALSE))</f>
        <v>#N/A</v>
      </c>
      <c r="G2633" s="137" t="e">
        <f t="shared" ref="G2633:G2696" si="45">IF(E2633="",IF(F2633&lt;0.0409722222222222,0,E2633),IF(E2633&lt;0.0409722222222222,0,E2633))</f>
        <v>#N/A</v>
      </c>
    </row>
    <row r="2634" spans="1:7">
      <c r="A2634" s="112" t="e">
        <f>VLOOKUP('Informe Kelly'!A2628,Base!A:B,2,FALSE)</f>
        <v>#N/A</v>
      </c>
      <c r="B2634" s="112" t="e">
        <f>VLOOKUP('Informe Kelly'!A2628,Base!A:G,7,FALSE)</f>
        <v>#N/A</v>
      </c>
      <c r="C2634" s="112">
        <f>'Informe Kelly'!E2628</f>
        <v>0</v>
      </c>
      <c r="D2634" s="112" t="e">
        <f>VLOOKUP(A2634,Ingreso!K:P,6,FALSE)</f>
        <v>#N/A</v>
      </c>
      <c r="E2634" s="142" t="e">
        <f>(VLOOKUP(D2634,$D$2:$E$4,2,FALSE))-(IF('Informe Kelly'!H2628=$A$2,'Informe Kelly'!F2628,VLOOKUP(D2634,$D$2:$E$4,2,FALSE)))</f>
        <v>#N/A</v>
      </c>
      <c r="F2634" s="142" t="e">
        <f>IF('Informe Kelly'!H2628=$A$3,'Informe Kelly'!F2628,VLOOKUP(D2634,$D$2:$F$4,3,FALSE))-(VLOOKUP(D2634,$D$2:$F$4,3,FALSE))</f>
        <v>#N/A</v>
      </c>
      <c r="G2634" s="137" t="e">
        <f t="shared" si="45"/>
        <v>#N/A</v>
      </c>
    </row>
    <row r="2635" spans="1:7">
      <c r="A2635" s="112" t="e">
        <f>VLOOKUP('Informe Kelly'!A2629,Base!A:B,2,FALSE)</f>
        <v>#N/A</v>
      </c>
      <c r="B2635" s="112" t="e">
        <f>VLOOKUP('Informe Kelly'!A2629,Base!A:G,7,FALSE)</f>
        <v>#N/A</v>
      </c>
      <c r="C2635" s="112">
        <f>'Informe Kelly'!E2629</f>
        <v>0</v>
      </c>
      <c r="D2635" s="112" t="e">
        <f>VLOOKUP(A2635,Ingreso!K:P,6,FALSE)</f>
        <v>#N/A</v>
      </c>
      <c r="E2635" s="142" t="e">
        <f>(VLOOKUP(D2635,$D$2:$E$4,2,FALSE))-(IF('Informe Kelly'!H2629=$A$2,'Informe Kelly'!F2629,VLOOKUP(D2635,$D$2:$E$4,2,FALSE)))</f>
        <v>#N/A</v>
      </c>
      <c r="F2635" s="142" t="e">
        <f>IF('Informe Kelly'!H2629=$A$3,'Informe Kelly'!F2629,VLOOKUP(D2635,$D$2:$F$4,3,FALSE))-(VLOOKUP(D2635,$D$2:$F$4,3,FALSE))</f>
        <v>#N/A</v>
      </c>
      <c r="G2635" s="137" t="e">
        <f t="shared" si="45"/>
        <v>#N/A</v>
      </c>
    </row>
    <row r="2636" spans="1:7">
      <c r="A2636" s="112" t="e">
        <f>VLOOKUP('Informe Kelly'!A2630,Base!A:B,2,FALSE)</f>
        <v>#N/A</v>
      </c>
      <c r="B2636" s="112" t="e">
        <f>VLOOKUP('Informe Kelly'!A2630,Base!A:G,7,FALSE)</f>
        <v>#N/A</v>
      </c>
      <c r="C2636" s="112">
        <f>'Informe Kelly'!E2630</f>
        <v>0</v>
      </c>
      <c r="D2636" s="112" t="e">
        <f>VLOOKUP(A2636,Ingreso!K:P,6,FALSE)</f>
        <v>#N/A</v>
      </c>
      <c r="E2636" s="142" t="e">
        <f>(VLOOKUP(D2636,$D$2:$E$4,2,FALSE))-(IF('Informe Kelly'!H2630=$A$2,'Informe Kelly'!F2630,VLOOKUP(D2636,$D$2:$E$4,2,FALSE)))</f>
        <v>#N/A</v>
      </c>
      <c r="F2636" s="142" t="e">
        <f>IF('Informe Kelly'!H2630=$A$3,'Informe Kelly'!F2630,VLOOKUP(D2636,$D$2:$F$4,3,FALSE))-(VLOOKUP(D2636,$D$2:$F$4,3,FALSE))</f>
        <v>#N/A</v>
      </c>
      <c r="G2636" s="137" t="e">
        <f t="shared" si="45"/>
        <v>#N/A</v>
      </c>
    </row>
    <row r="2637" spans="1:7">
      <c r="A2637" s="112" t="e">
        <f>VLOOKUP('Informe Kelly'!A2631,Base!A:B,2,FALSE)</f>
        <v>#N/A</v>
      </c>
      <c r="B2637" s="112" t="e">
        <f>VLOOKUP('Informe Kelly'!A2631,Base!A:G,7,FALSE)</f>
        <v>#N/A</v>
      </c>
      <c r="C2637" s="112">
        <f>'Informe Kelly'!E2631</f>
        <v>0</v>
      </c>
      <c r="D2637" s="112" t="e">
        <f>VLOOKUP(A2637,Ingreso!K:P,6,FALSE)</f>
        <v>#N/A</v>
      </c>
      <c r="E2637" s="142" t="e">
        <f>(VLOOKUP(D2637,$D$2:$E$4,2,FALSE))-(IF('Informe Kelly'!H2631=$A$2,'Informe Kelly'!F2631,VLOOKUP(D2637,$D$2:$E$4,2,FALSE)))</f>
        <v>#N/A</v>
      </c>
      <c r="F2637" s="142" t="e">
        <f>IF('Informe Kelly'!H2631=$A$3,'Informe Kelly'!F2631,VLOOKUP(D2637,$D$2:$F$4,3,FALSE))-(VLOOKUP(D2637,$D$2:$F$4,3,FALSE))</f>
        <v>#N/A</v>
      </c>
      <c r="G2637" s="137" t="e">
        <f t="shared" si="45"/>
        <v>#N/A</v>
      </c>
    </row>
    <row r="2638" spans="1:7">
      <c r="A2638" s="112" t="e">
        <f>VLOOKUP('Informe Kelly'!A2632,Base!A:B,2,FALSE)</f>
        <v>#N/A</v>
      </c>
      <c r="B2638" s="112" t="e">
        <f>VLOOKUP('Informe Kelly'!A2632,Base!A:G,7,FALSE)</f>
        <v>#N/A</v>
      </c>
      <c r="C2638" s="112">
        <f>'Informe Kelly'!E2632</f>
        <v>0</v>
      </c>
      <c r="D2638" s="112" t="e">
        <f>VLOOKUP(A2638,Ingreso!K:P,6,FALSE)</f>
        <v>#N/A</v>
      </c>
      <c r="E2638" s="142" t="e">
        <f>(VLOOKUP(D2638,$D$2:$E$4,2,FALSE))-(IF('Informe Kelly'!H2632=$A$2,'Informe Kelly'!F2632,VLOOKUP(D2638,$D$2:$E$4,2,FALSE)))</f>
        <v>#N/A</v>
      </c>
      <c r="F2638" s="142" t="e">
        <f>IF('Informe Kelly'!H2632=$A$3,'Informe Kelly'!F2632,VLOOKUP(D2638,$D$2:$F$4,3,FALSE))-(VLOOKUP(D2638,$D$2:$F$4,3,FALSE))</f>
        <v>#N/A</v>
      </c>
      <c r="G2638" s="137" t="e">
        <f t="shared" si="45"/>
        <v>#N/A</v>
      </c>
    </row>
    <row r="2639" spans="1:7">
      <c r="A2639" s="112" t="e">
        <f>VLOOKUP('Informe Kelly'!A2633,Base!A:B,2,FALSE)</f>
        <v>#N/A</v>
      </c>
      <c r="B2639" s="112" t="e">
        <f>VLOOKUP('Informe Kelly'!A2633,Base!A:G,7,FALSE)</f>
        <v>#N/A</v>
      </c>
      <c r="C2639" s="112">
        <f>'Informe Kelly'!E2633</f>
        <v>0</v>
      </c>
      <c r="D2639" s="112" t="e">
        <f>VLOOKUP(A2639,Ingreso!K:P,6,FALSE)</f>
        <v>#N/A</v>
      </c>
      <c r="E2639" s="142" t="e">
        <f>(VLOOKUP(D2639,$D$2:$E$4,2,FALSE))-(IF('Informe Kelly'!H2633=$A$2,'Informe Kelly'!F2633,VLOOKUP(D2639,$D$2:$E$4,2,FALSE)))</f>
        <v>#N/A</v>
      </c>
      <c r="F2639" s="142" t="e">
        <f>IF('Informe Kelly'!H2633=$A$3,'Informe Kelly'!F2633,VLOOKUP(D2639,$D$2:$F$4,3,FALSE))-(VLOOKUP(D2639,$D$2:$F$4,3,FALSE))</f>
        <v>#N/A</v>
      </c>
      <c r="G2639" s="137" t="e">
        <f t="shared" si="45"/>
        <v>#N/A</v>
      </c>
    </row>
    <row r="2640" spans="1:7">
      <c r="A2640" s="112" t="e">
        <f>VLOOKUP('Informe Kelly'!A2634,Base!A:B,2,FALSE)</f>
        <v>#N/A</v>
      </c>
      <c r="B2640" s="112" t="e">
        <f>VLOOKUP('Informe Kelly'!A2634,Base!A:G,7,FALSE)</f>
        <v>#N/A</v>
      </c>
      <c r="C2640" s="112">
        <f>'Informe Kelly'!E2634</f>
        <v>0</v>
      </c>
      <c r="D2640" s="112" t="e">
        <f>VLOOKUP(A2640,Ingreso!K:P,6,FALSE)</f>
        <v>#N/A</v>
      </c>
      <c r="E2640" s="142" t="e">
        <f>(VLOOKUP(D2640,$D$2:$E$4,2,FALSE))-(IF('Informe Kelly'!H2634=$A$2,'Informe Kelly'!F2634,VLOOKUP(D2640,$D$2:$E$4,2,FALSE)))</f>
        <v>#N/A</v>
      </c>
      <c r="F2640" s="142" t="e">
        <f>IF('Informe Kelly'!H2634=$A$3,'Informe Kelly'!F2634,VLOOKUP(D2640,$D$2:$F$4,3,FALSE))-(VLOOKUP(D2640,$D$2:$F$4,3,FALSE))</f>
        <v>#N/A</v>
      </c>
      <c r="G2640" s="137" t="e">
        <f t="shared" si="45"/>
        <v>#N/A</v>
      </c>
    </row>
    <row r="2641" spans="1:7">
      <c r="A2641" s="112" t="e">
        <f>VLOOKUP('Informe Kelly'!A2635,Base!A:B,2,FALSE)</f>
        <v>#N/A</v>
      </c>
      <c r="B2641" s="112" t="e">
        <f>VLOOKUP('Informe Kelly'!A2635,Base!A:G,7,FALSE)</f>
        <v>#N/A</v>
      </c>
      <c r="C2641" s="112">
        <f>'Informe Kelly'!E2635</f>
        <v>0</v>
      </c>
      <c r="D2641" s="112" t="e">
        <f>VLOOKUP(A2641,Ingreso!K:P,6,FALSE)</f>
        <v>#N/A</v>
      </c>
      <c r="E2641" s="142" t="e">
        <f>(VLOOKUP(D2641,$D$2:$E$4,2,FALSE))-(IF('Informe Kelly'!H2635=$A$2,'Informe Kelly'!F2635,VLOOKUP(D2641,$D$2:$E$4,2,FALSE)))</f>
        <v>#N/A</v>
      </c>
      <c r="F2641" s="142" t="e">
        <f>IF('Informe Kelly'!H2635=$A$3,'Informe Kelly'!F2635,VLOOKUP(D2641,$D$2:$F$4,3,FALSE))-(VLOOKUP(D2641,$D$2:$F$4,3,FALSE))</f>
        <v>#N/A</v>
      </c>
      <c r="G2641" s="137" t="e">
        <f t="shared" si="45"/>
        <v>#N/A</v>
      </c>
    </row>
    <row r="2642" spans="1:7">
      <c r="A2642" s="112" t="e">
        <f>VLOOKUP('Informe Kelly'!A2636,Base!A:B,2,FALSE)</f>
        <v>#N/A</v>
      </c>
      <c r="B2642" s="112" t="e">
        <f>VLOOKUP('Informe Kelly'!A2636,Base!A:G,7,FALSE)</f>
        <v>#N/A</v>
      </c>
      <c r="C2642" s="112">
        <f>'Informe Kelly'!E2636</f>
        <v>0</v>
      </c>
      <c r="D2642" s="112" t="e">
        <f>VLOOKUP(A2642,Ingreso!K:P,6,FALSE)</f>
        <v>#N/A</v>
      </c>
      <c r="E2642" s="142" t="e">
        <f>(VLOOKUP(D2642,$D$2:$E$4,2,FALSE))-(IF('Informe Kelly'!H2636=$A$2,'Informe Kelly'!F2636,VLOOKUP(D2642,$D$2:$E$4,2,FALSE)))</f>
        <v>#N/A</v>
      </c>
      <c r="F2642" s="142" t="e">
        <f>IF('Informe Kelly'!H2636=$A$3,'Informe Kelly'!F2636,VLOOKUP(D2642,$D$2:$F$4,3,FALSE))-(VLOOKUP(D2642,$D$2:$F$4,3,FALSE))</f>
        <v>#N/A</v>
      </c>
      <c r="G2642" s="137" t="e">
        <f t="shared" si="45"/>
        <v>#N/A</v>
      </c>
    </row>
    <row r="2643" spans="1:7">
      <c r="A2643" s="112" t="e">
        <f>VLOOKUP('Informe Kelly'!A2637,Base!A:B,2,FALSE)</f>
        <v>#N/A</v>
      </c>
      <c r="B2643" s="112" t="e">
        <f>VLOOKUP('Informe Kelly'!A2637,Base!A:G,7,FALSE)</f>
        <v>#N/A</v>
      </c>
      <c r="C2643" s="112">
        <f>'Informe Kelly'!E2637</f>
        <v>0</v>
      </c>
      <c r="D2643" s="112" t="e">
        <f>VLOOKUP(A2643,Ingreso!K:P,6,FALSE)</f>
        <v>#N/A</v>
      </c>
      <c r="E2643" s="142" t="e">
        <f>(VLOOKUP(D2643,$D$2:$E$4,2,FALSE))-(IF('Informe Kelly'!H2637=$A$2,'Informe Kelly'!F2637,VLOOKUP(D2643,$D$2:$E$4,2,FALSE)))</f>
        <v>#N/A</v>
      </c>
      <c r="F2643" s="142" t="e">
        <f>IF('Informe Kelly'!H2637=$A$3,'Informe Kelly'!F2637,VLOOKUP(D2643,$D$2:$F$4,3,FALSE))-(VLOOKUP(D2643,$D$2:$F$4,3,FALSE))</f>
        <v>#N/A</v>
      </c>
      <c r="G2643" s="137" t="e">
        <f t="shared" si="45"/>
        <v>#N/A</v>
      </c>
    </row>
    <row r="2644" spans="1:7">
      <c r="A2644" s="112" t="e">
        <f>VLOOKUP('Informe Kelly'!A2638,Base!A:B,2,FALSE)</f>
        <v>#N/A</v>
      </c>
      <c r="B2644" s="112" t="e">
        <f>VLOOKUP('Informe Kelly'!A2638,Base!A:G,7,FALSE)</f>
        <v>#N/A</v>
      </c>
      <c r="C2644" s="112">
        <f>'Informe Kelly'!E2638</f>
        <v>0</v>
      </c>
      <c r="D2644" s="112" t="e">
        <f>VLOOKUP(A2644,Ingreso!K:P,6,FALSE)</f>
        <v>#N/A</v>
      </c>
      <c r="E2644" s="142" t="e">
        <f>(VLOOKUP(D2644,$D$2:$E$4,2,FALSE))-(IF('Informe Kelly'!H2638=$A$2,'Informe Kelly'!F2638,VLOOKUP(D2644,$D$2:$E$4,2,FALSE)))</f>
        <v>#N/A</v>
      </c>
      <c r="F2644" s="142" t="e">
        <f>IF('Informe Kelly'!H2638=$A$3,'Informe Kelly'!F2638,VLOOKUP(D2644,$D$2:$F$4,3,FALSE))-(VLOOKUP(D2644,$D$2:$F$4,3,FALSE))</f>
        <v>#N/A</v>
      </c>
      <c r="G2644" s="137" t="e">
        <f t="shared" si="45"/>
        <v>#N/A</v>
      </c>
    </row>
    <row r="2645" spans="1:7">
      <c r="A2645" s="112" t="e">
        <f>VLOOKUP('Informe Kelly'!A2639,Base!A:B,2,FALSE)</f>
        <v>#N/A</v>
      </c>
      <c r="B2645" s="112" t="e">
        <f>VLOOKUP('Informe Kelly'!A2639,Base!A:G,7,FALSE)</f>
        <v>#N/A</v>
      </c>
      <c r="C2645" s="112">
        <f>'Informe Kelly'!E2639</f>
        <v>0</v>
      </c>
      <c r="D2645" s="112" t="e">
        <f>VLOOKUP(A2645,Ingreso!K:P,6,FALSE)</f>
        <v>#N/A</v>
      </c>
      <c r="E2645" s="142" t="e">
        <f>(VLOOKUP(D2645,$D$2:$E$4,2,FALSE))-(IF('Informe Kelly'!H2639=$A$2,'Informe Kelly'!F2639,VLOOKUP(D2645,$D$2:$E$4,2,FALSE)))</f>
        <v>#N/A</v>
      </c>
      <c r="F2645" s="142" t="e">
        <f>IF('Informe Kelly'!H2639=$A$3,'Informe Kelly'!F2639,VLOOKUP(D2645,$D$2:$F$4,3,FALSE))-(VLOOKUP(D2645,$D$2:$F$4,3,FALSE))</f>
        <v>#N/A</v>
      </c>
      <c r="G2645" s="137" t="e">
        <f t="shared" si="45"/>
        <v>#N/A</v>
      </c>
    </row>
    <row r="2646" spans="1:7">
      <c r="A2646" s="112" t="e">
        <f>VLOOKUP('Informe Kelly'!A2640,Base!A:B,2,FALSE)</f>
        <v>#N/A</v>
      </c>
      <c r="B2646" s="112" t="e">
        <f>VLOOKUP('Informe Kelly'!A2640,Base!A:G,7,FALSE)</f>
        <v>#N/A</v>
      </c>
      <c r="C2646" s="112">
        <f>'Informe Kelly'!E2640</f>
        <v>0</v>
      </c>
      <c r="D2646" s="112" t="e">
        <f>VLOOKUP(A2646,Ingreso!K:P,6,FALSE)</f>
        <v>#N/A</v>
      </c>
      <c r="E2646" s="142" t="e">
        <f>(VLOOKUP(D2646,$D$2:$E$4,2,FALSE))-(IF('Informe Kelly'!H2640=$A$2,'Informe Kelly'!F2640,VLOOKUP(D2646,$D$2:$E$4,2,FALSE)))</f>
        <v>#N/A</v>
      </c>
      <c r="F2646" s="142" t="e">
        <f>IF('Informe Kelly'!H2640=$A$3,'Informe Kelly'!F2640,VLOOKUP(D2646,$D$2:$F$4,3,FALSE))-(VLOOKUP(D2646,$D$2:$F$4,3,FALSE))</f>
        <v>#N/A</v>
      </c>
      <c r="G2646" s="137" t="e">
        <f t="shared" si="45"/>
        <v>#N/A</v>
      </c>
    </row>
    <row r="2647" spans="1:7">
      <c r="A2647" s="112" t="e">
        <f>VLOOKUP('Informe Kelly'!A2641,Base!A:B,2,FALSE)</f>
        <v>#N/A</v>
      </c>
      <c r="B2647" s="112" t="e">
        <f>VLOOKUP('Informe Kelly'!A2641,Base!A:G,7,FALSE)</f>
        <v>#N/A</v>
      </c>
      <c r="C2647" s="112">
        <f>'Informe Kelly'!E2641</f>
        <v>0</v>
      </c>
      <c r="D2647" s="112" t="e">
        <f>VLOOKUP(A2647,Ingreso!K:P,6,FALSE)</f>
        <v>#N/A</v>
      </c>
      <c r="E2647" s="142" t="e">
        <f>(VLOOKUP(D2647,$D$2:$E$4,2,FALSE))-(IF('Informe Kelly'!H2641=$A$2,'Informe Kelly'!F2641,VLOOKUP(D2647,$D$2:$E$4,2,FALSE)))</f>
        <v>#N/A</v>
      </c>
      <c r="F2647" s="142" t="e">
        <f>IF('Informe Kelly'!H2641=$A$3,'Informe Kelly'!F2641,VLOOKUP(D2647,$D$2:$F$4,3,FALSE))-(VLOOKUP(D2647,$D$2:$F$4,3,FALSE))</f>
        <v>#N/A</v>
      </c>
      <c r="G2647" s="137" t="e">
        <f t="shared" si="45"/>
        <v>#N/A</v>
      </c>
    </row>
    <row r="2648" spans="1:7">
      <c r="A2648" s="112" t="e">
        <f>VLOOKUP('Informe Kelly'!A2642,Base!A:B,2,FALSE)</f>
        <v>#N/A</v>
      </c>
      <c r="B2648" s="112" t="e">
        <f>VLOOKUP('Informe Kelly'!A2642,Base!A:G,7,FALSE)</f>
        <v>#N/A</v>
      </c>
      <c r="C2648" s="112">
        <f>'Informe Kelly'!E2642</f>
        <v>0</v>
      </c>
      <c r="D2648" s="112" t="e">
        <f>VLOOKUP(A2648,Ingreso!K:P,6,FALSE)</f>
        <v>#N/A</v>
      </c>
      <c r="E2648" s="142" t="e">
        <f>(VLOOKUP(D2648,$D$2:$E$4,2,FALSE))-(IF('Informe Kelly'!H2642=$A$2,'Informe Kelly'!F2642,VLOOKUP(D2648,$D$2:$E$4,2,FALSE)))</f>
        <v>#N/A</v>
      </c>
      <c r="F2648" s="142" t="e">
        <f>IF('Informe Kelly'!H2642=$A$3,'Informe Kelly'!F2642,VLOOKUP(D2648,$D$2:$F$4,3,FALSE))-(VLOOKUP(D2648,$D$2:$F$4,3,FALSE))</f>
        <v>#N/A</v>
      </c>
      <c r="G2648" s="137" t="e">
        <f t="shared" si="45"/>
        <v>#N/A</v>
      </c>
    </row>
    <row r="2649" spans="1:7">
      <c r="A2649" s="112" t="e">
        <f>VLOOKUP('Informe Kelly'!A2643,Base!A:B,2,FALSE)</f>
        <v>#N/A</v>
      </c>
      <c r="B2649" s="112" t="e">
        <f>VLOOKUP('Informe Kelly'!A2643,Base!A:G,7,FALSE)</f>
        <v>#N/A</v>
      </c>
      <c r="C2649" s="112">
        <f>'Informe Kelly'!E2643</f>
        <v>0</v>
      </c>
      <c r="D2649" s="112" t="e">
        <f>VLOOKUP(A2649,Ingreso!K:P,6,FALSE)</f>
        <v>#N/A</v>
      </c>
      <c r="E2649" s="142" t="e">
        <f>(VLOOKUP(D2649,$D$2:$E$4,2,FALSE))-(IF('Informe Kelly'!H2643=$A$2,'Informe Kelly'!F2643,VLOOKUP(D2649,$D$2:$E$4,2,FALSE)))</f>
        <v>#N/A</v>
      </c>
      <c r="F2649" s="142" t="e">
        <f>IF('Informe Kelly'!H2643=$A$3,'Informe Kelly'!F2643,VLOOKUP(D2649,$D$2:$F$4,3,FALSE))-(VLOOKUP(D2649,$D$2:$F$4,3,FALSE))</f>
        <v>#N/A</v>
      </c>
      <c r="G2649" s="137" t="e">
        <f t="shared" si="45"/>
        <v>#N/A</v>
      </c>
    </row>
    <row r="2650" spans="1:7">
      <c r="A2650" s="112" t="e">
        <f>VLOOKUP('Informe Kelly'!A2644,Base!A:B,2,FALSE)</f>
        <v>#N/A</v>
      </c>
      <c r="B2650" s="112" t="e">
        <f>VLOOKUP('Informe Kelly'!A2644,Base!A:G,7,FALSE)</f>
        <v>#N/A</v>
      </c>
      <c r="C2650" s="112">
        <f>'Informe Kelly'!E2644</f>
        <v>0</v>
      </c>
      <c r="D2650" s="112" t="e">
        <f>VLOOKUP(A2650,Ingreso!K:P,6,FALSE)</f>
        <v>#N/A</v>
      </c>
      <c r="E2650" s="142" t="e">
        <f>(VLOOKUP(D2650,$D$2:$E$4,2,FALSE))-(IF('Informe Kelly'!H2644=$A$2,'Informe Kelly'!F2644,VLOOKUP(D2650,$D$2:$E$4,2,FALSE)))</f>
        <v>#N/A</v>
      </c>
      <c r="F2650" s="142" t="e">
        <f>IF('Informe Kelly'!H2644=$A$3,'Informe Kelly'!F2644,VLOOKUP(D2650,$D$2:$F$4,3,FALSE))-(VLOOKUP(D2650,$D$2:$F$4,3,FALSE))</f>
        <v>#N/A</v>
      </c>
      <c r="G2650" s="137" t="e">
        <f t="shared" si="45"/>
        <v>#N/A</v>
      </c>
    </row>
    <row r="2651" spans="1:7">
      <c r="A2651" s="112" t="e">
        <f>VLOOKUP('Informe Kelly'!A2645,Base!A:B,2,FALSE)</f>
        <v>#N/A</v>
      </c>
      <c r="B2651" s="112" t="e">
        <f>VLOOKUP('Informe Kelly'!A2645,Base!A:G,7,FALSE)</f>
        <v>#N/A</v>
      </c>
      <c r="C2651" s="112">
        <f>'Informe Kelly'!E2645</f>
        <v>0</v>
      </c>
      <c r="D2651" s="112" t="e">
        <f>VLOOKUP(A2651,Ingreso!K:P,6,FALSE)</f>
        <v>#N/A</v>
      </c>
      <c r="E2651" s="142" t="e">
        <f>(VLOOKUP(D2651,$D$2:$E$4,2,FALSE))-(IF('Informe Kelly'!H2645=$A$2,'Informe Kelly'!F2645,VLOOKUP(D2651,$D$2:$E$4,2,FALSE)))</f>
        <v>#N/A</v>
      </c>
      <c r="F2651" s="142" t="e">
        <f>IF('Informe Kelly'!H2645=$A$3,'Informe Kelly'!F2645,VLOOKUP(D2651,$D$2:$F$4,3,FALSE))-(VLOOKUP(D2651,$D$2:$F$4,3,FALSE))</f>
        <v>#N/A</v>
      </c>
      <c r="G2651" s="137" t="e">
        <f t="shared" si="45"/>
        <v>#N/A</v>
      </c>
    </row>
    <row r="2652" spans="1:7">
      <c r="A2652" s="112" t="e">
        <f>VLOOKUP('Informe Kelly'!A2646,Base!A:B,2,FALSE)</f>
        <v>#N/A</v>
      </c>
      <c r="B2652" s="112" t="e">
        <f>VLOOKUP('Informe Kelly'!A2646,Base!A:G,7,FALSE)</f>
        <v>#N/A</v>
      </c>
      <c r="C2652" s="112">
        <f>'Informe Kelly'!E2646</f>
        <v>0</v>
      </c>
      <c r="D2652" s="112" t="e">
        <f>VLOOKUP(A2652,Ingreso!K:P,6,FALSE)</f>
        <v>#N/A</v>
      </c>
      <c r="E2652" s="142" t="e">
        <f>(VLOOKUP(D2652,$D$2:$E$4,2,FALSE))-(IF('Informe Kelly'!H2646=$A$2,'Informe Kelly'!F2646,VLOOKUP(D2652,$D$2:$E$4,2,FALSE)))</f>
        <v>#N/A</v>
      </c>
      <c r="F2652" s="142" t="e">
        <f>IF('Informe Kelly'!H2646=$A$3,'Informe Kelly'!F2646,VLOOKUP(D2652,$D$2:$F$4,3,FALSE))-(VLOOKUP(D2652,$D$2:$F$4,3,FALSE))</f>
        <v>#N/A</v>
      </c>
      <c r="G2652" s="137" t="e">
        <f t="shared" si="45"/>
        <v>#N/A</v>
      </c>
    </row>
    <row r="2653" spans="1:7">
      <c r="A2653" s="112" t="e">
        <f>VLOOKUP('Informe Kelly'!A2647,Base!A:B,2,FALSE)</f>
        <v>#N/A</v>
      </c>
      <c r="B2653" s="112" t="e">
        <f>VLOOKUP('Informe Kelly'!A2647,Base!A:G,7,FALSE)</f>
        <v>#N/A</v>
      </c>
      <c r="C2653" s="112">
        <f>'Informe Kelly'!E2647</f>
        <v>0</v>
      </c>
      <c r="D2653" s="112" t="e">
        <f>VLOOKUP(A2653,Ingreso!K:P,6,FALSE)</f>
        <v>#N/A</v>
      </c>
      <c r="E2653" s="142" t="e">
        <f>(VLOOKUP(D2653,$D$2:$E$4,2,FALSE))-(IF('Informe Kelly'!H2647=$A$2,'Informe Kelly'!F2647,VLOOKUP(D2653,$D$2:$E$4,2,FALSE)))</f>
        <v>#N/A</v>
      </c>
      <c r="F2653" s="142" t="e">
        <f>IF('Informe Kelly'!H2647=$A$3,'Informe Kelly'!F2647,VLOOKUP(D2653,$D$2:$F$4,3,FALSE))-(VLOOKUP(D2653,$D$2:$F$4,3,FALSE))</f>
        <v>#N/A</v>
      </c>
      <c r="G2653" s="137" t="e">
        <f t="shared" si="45"/>
        <v>#N/A</v>
      </c>
    </row>
    <row r="2654" spans="1:7">
      <c r="A2654" s="112" t="e">
        <f>VLOOKUP('Informe Kelly'!A2648,Base!A:B,2,FALSE)</f>
        <v>#N/A</v>
      </c>
      <c r="B2654" s="112" t="e">
        <f>VLOOKUP('Informe Kelly'!A2648,Base!A:G,7,FALSE)</f>
        <v>#N/A</v>
      </c>
      <c r="C2654" s="112">
        <f>'Informe Kelly'!E2648</f>
        <v>0</v>
      </c>
      <c r="D2654" s="112" t="e">
        <f>VLOOKUP(A2654,Ingreso!K:P,6,FALSE)</f>
        <v>#N/A</v>
      </c>
      <c r="E2654" s="142" t="e">
        <f>(VLOOKUP(D2654,$D$2:$E$4,2,FALSE))-(IF('Informe Kelly'!H2648=$A$2,'Informe Kelly'!F2648,VLOOKUP(D2654,$D$2:$E$4,2,FALSE)))</f>
        <v>#N/A</v>
      </c>
      <c r="F2654" s="142" t="e">
        <f>IF('Informe Kelly'!H2648=$A$3,'Informe Kelly'!F2648,VLOOKUP(D2654,$D$2:$F$4,3,FALSE))-(VLOOKUP(D2654,$D$2:$F$4,3,FALSE))</f>
        <v>#N/A</v>
      </c>
      <c r="G2654" s="137" t="e">
        <f t="shared" si="45"/>
        <v>#N/A</v>
      </c>
    </row>
    <row r="2655" spans="1:7">
      <c r="A2655" s="112" t="e">
        <f>VLOOKUP('Informe Kelly'!A2649,Base!A:B,2,FALSE)</f>
        <v>#N/A</v>
      </c>
      <c r="B2655" s="112" t="e">
        <f>VLOOKUP('Informe Kelly'!A2649,Base!A:G,7,FALSE)</f>
        <v>#N/A</v>
      </c>
      <c r="C2655" s="112">
        <f>'Informe Kelly'!E2649</f>
        <v>0</v>
      </c>
      <c r="D2655" s="112" t="e">
        <f>VLOOKUP(A2655,Ingreso!K:P,6,FALSE)</f>
        <v>#N/A</v>
      </c>
      <c r="E2655" s="142" t="e">
        <f>(VLOOKUP(D2655,$D$2:$E$4,2,FALSE))-(IF('Informe Kelly'!H2649=$A$2,'Informe Kelly'!F2649,VLOOKUP(D2655,$D$2:$E$4,2,FALSE)))</f>
        <v>#N/A</v>
      </c>
      <c r="F2655" s="142" t="e">
        <f>IF('Informe Kelly'!H2649=$A$3,'Informe Kelly'!F2649,VLOOKUP(D2655,$D$2:$F$4,3,FALSE))-(VLOOKUP(D2655,$D$2:$F$4,3,FALSE))</f>
        <v>#N/A</v>
      </c>
      <c r="G2655" s="137" t="e">
        <f t="shared" si="45"/>
        <v>#N/A</v>
      </c>
    </row>
    <row r="2656" spans="1:7">
      <c r="A2656" s="112" t="e">
        <f>VLOOKUP('Informe Kelly'!A2650,Base!A:B,2,FALSE)</f>
        <v>#N/A</v>
      </c>
      <c r="B2656" s="112" t="e">
        <f>VLOOKUP('Informe Kelly'!A2650,Base!A:G,7,FALSE)</f>
        <v>#N/A</v>
      </c>
      <c r="C2656" s="112">
        <f>'Informe Kelly'!E2650</f>
        <v>0</v>
      </c>
      <c r="D2656" s="112" t="e">
        <f>VLOOKUP(A2656,Ingreso!K:P,6,FALSE)</f>
        <v>#N/A</v>
      </c>
      <c r="E2656" s="142" t="e">
        <f>(VLOOKUP(D2656,$D$2:$E$4,2,FALSE))-(IF('Informe Kelly'!H2650=$A$2,'Informe Kelly'!F2650,VLOOKUP(D2656,$D$2:$E$4,2,FALSE)))</f>
        <v>#N/A</v>
      </c>
      <c r="F2656" s="142" t="e">
        <f>IF('Informe Kelly'!H2650=$A$3,'Informe Kelly'!F2650,VLOOKUP(D2656,$D$2:$F$4,3,FALSE))-(VLOOKUP(D2656,$D$2:$F$4,3,FALSE))</f>
        <v>#N/A</v>
      </c>
      <c r="G2656" s="137" t="e">
        <f t="shared" si="45"/>
        <v>#N/A</v>
      </c>
    </row>
    <row r="2657" spans="1:7">
      <c r="A2657" s="112" t="e">
        <f>VLOOKUP('Informe Kelly'!A2651,Base!A:B,2,FALSE)</f>
        <v>#N/A</v>
      </c>
      <c r="B2657" s="112" t="e">
        <f>VLOOKUP('Informe Kelly'!A2651,Base!A:G,7,FALSE)</f>
        <v>#N/A</v>
      </c>
      <c r="C2657" s="112">
        <f>'Informe Kelly'!E2651</f>
        <v>0</v>
      </c>
      <c r="D2657" s="112" t="e">
        <f>VLOOKUP(A2657,Ingreso!K:P,6,FALSE)</f>
        <v>#N/A</v>
      </c>
      <c r="E2657" s="142" t="e">
        <f>(VLOOKUP(D2657,$D$2:$E$4,2,FALSE))-(IF('Informe Kelly'!H2651=$A$2,'Informe Kelly'!F2651,VLOOKUP(D2657,$D$2:$E$4,2,FALSE)))</f>
        <v>#N/A</v>
      </c>
      <c r="F2657" s="142" t="e">
        <f>IF('Informe Kelly'!H2651=$A$3,'Informe Kelly'!F2651,VLOOKUP(D2657,$D$2:$F$4,3,FALSE))-(VLOOKUP(D2657,$D$2:$F$4,3,FALSE))</f>
        <v>#N/A</v>
      </c>
      <c r="G2657" s="137" t="e">
        <f t="shared" si="45"/>
        <v>#N/A</v>
      </c>
    </row>
    <row r="2658" spans="1:7">
      <c r="A2658" s="112" t="e">
        <f>VLOOKUP('Informe Kelly'!A2652,Base!A:B,2,FALSE)</f>
        <v>#N/A</v>
      </c>
      <c r="B2658" s="112" t="e">
        <f>VLOOKUP('Informe Kelly'!A2652,Base!A:G,7,FALSE)</f>
        <v>#N/A</v>
      </c>
      <c r="C2658" s="112">
        <f>'Informe Kelly'!E2652</f>
        <v>0</v>
      </c>
      <c r="D2658" s="112" t="e">
        <f>VLOOKUP(A2658,Ingreso!K:P,6,FALSE)</f>
        <v>#N/A</v>
      </c>
      <c r="E2658" s="142" t="e">
        <f>(VLOOKUP(D2658,$D$2:$E$4,2,FALSE))-(IF('Informe Kelly'!H2652=$A$2,'Informe Kelly'!F2652,VLOOKUP(D2658,$D$2:$E$4,2,FALSE)))</f>
        <v>#N/A</v>
      </c>
      <c r="F2658" s="142" t="e">
        <f>IF('Informe Kelly'!H2652=$A$3,'Informe Kelly'!F2652,VLOOKUP(D2658,$D$2:$F$4,3,FALSE))-(VLOOKUP(D2658,$D$2:$F$4,3,FALSE))</f>
        <v>#N/A</v>
      </c>
      <c r="G2658" s="137" t="e">
        <f t="shared" si="45"/>
        <v>#N/A</v>
      </c>
    </row>
    <row r="2659" spans="1:7">
      <c r="A2659" s="112" t="e">
        <f>VLOOKUP('Informe Kelly'!A2653,Base!A:B,2,FALSE)</f>
        <v>#N/A</v>
      </c>
      <c r="B2659" s="112" t="e">
        <f>VLOOKUP('Informe Kelly'!A2653,Base!A:G,7,FALSE)</f>
        <v>#N/A</v>
      </c>
      <c r="C2659" s="112">
        <f>'Informe Kelly'!E2653</f>
        <v>0</v>
      </c>
      <c r="D2659" s="112" t="e">
        <f>VLOOKUP(A2659,Ingreso!K:P,6,FALSE)</f>
        <v>#N/A</v>
      </c>
      <c r="E2659" s="142" t="e">
        <f>(VLOOKUP(D2659,$D$2:$E$4,2,FALSE))-(IF('Informe Kelly'!H2653=$A$2,'Informe Kelly'!F2653,VLOOKUP(D2659,$D$2:$E$4,2,FALSE)))</f>
        <v>#N/A</v>
      </c>
      <c r="F2659" s="142" t="e">
        <f>IF('Informe Kelly'!H2653=$A$3,'Informe Kelly'!F2653,VLOOKUP(D2659,$D$2:$F$4,3,FALSE))-(VLOOKUP(D2659,$D$2:$F$4,3,FALSE))</f>
        <v>#N/A</v>
      </c>
      <c r="G2659" s="137" t="e">
        <f t="shared" si="45"/>
        <v>#N/A</v>
      </c>
    </row>
    <row r="2660" spans="1:7">
      <c r="A2660" s="112" t="e">
        <f>VLOOKUP('Informe Kelly'!A2654,Base!A:B,2,FALSE)</f>
        <v>#N/A</v>
      </c>
      <c r="B2660" s="112" t="e">
        <f>VLOOKUP('Informe Kelly'!A2654,Base!A:G,7,FALSE)</f>
        <v>#N/A</v>
      </c>
      <c r="C2660" s="112">
        <f>'Informe Kelly'!E2654</f>
        <v>0</v>
      </c>
      <c r="D2660" s="112" t="e">
        <f>VLOOKUP(A2660,Ingreso!K:P,6,FALSE)</f>
        <v>#N/A</v>
      </c>
      <c r="E2660" s="142" t="e">
        <f>(VLOOKUP(D2660,$D$2:$E$4,2,FALSE))-(IF('Informe Kelly'!H2654=$A$2,'Informe Kelly'!F2654,VLOOKUP(D2660,$D$2:$E$4,2,FALSE)))</f>
        <v>#N/A</v>
      </c>
      <c r="F2660" s="142" t="e">
        <f>IF('Informe Kelly'!H2654=$A$3,'Informe Kelly'!F2654,VLOOKUP(D2660,$D$2:$F$4,3,FALSE))-(VLOOKUP(D2660,$D$2:$F$4,3,FALSE))</f>
        <v>#N/A</v>
      </c>
      <c r="G2660" s="137" t="e">
        <f t="shared" si="45"/>
        <v>#N/A</v>
      </c>
    </row>
    <row r="2661" spans="1:7">
      <c r="A2661" s="112" t="e">
        <f>VLOOKUP('Informe Kelly'!A2655,Base!A:B,2,FALSE)</f>
        <v>#N/A</v>
      </c>
      <c r="B2661" s="112" t="e">
        <f>VLOOKUP('Informe Kelly'!A2655,Base!A:G,7,FALSE)</f>
        <v>#N/A</v>
      </c>
      <c r="C2661" s="112">
        <f>'Informe Kelly'!E2655</f>
        <v>0</v>
      </c>
      <c r="D2661" s="112" t="e">
        <f>VLOOKUP(A2661,Ingreso!K:P,6,FALSE)</f>
        <v>#N/A</v>
      </c>
      <c r="E2661" s="142" t="e">
        <f>(VLOOKUP(D2661,$D$2:$E$4,2,FALSE))-(IF('Informe Kelly'!H2655=$A$2,'Informe Kelly'!F2655,VLOOKUP(D2661,$D$2:$E$4,2,FALSE)))</f>
        <v>#N/A</v>
      </c>
      <c r="F2661" s="142" t="e">
        <f>IF('Informe Kelly'!H2655=$A$3,'Informe Kelly'!F2655,VLOOKUP(D2661,$D$2:$F$4,3,FALSE))-(VLOOKUP(D2661,$D$2:$F$4,3,FALSE))</f>
        <v>#N/A</v>
      </c>
      <c r="G2661" s="137" t="e">
        <f t="shared" si="45"/>
        <v>#N/A</v>
      </c>
    </row>
    <row r="2662" spans="1:7">
      <c r="A2662" s="112" t="e">
        <f>VLOOKUP('Informe Kelly'!A2656,Base!A:B,2,FALSE)</f>
        <v>#N/A</v>
      </c>
      <c r="B2662" s="112" t="e">
        <f>VLOOKUP('Informe Kelly'!A2656,Base!A:G,7,FALSE)</f>
        <v>#N/A</v>
      </c>
      <c r="C2662" s="112">
        <f>'Informe Kelly'!E2656</f>
        <v>0</v>
      </c>
      <c r="D2662" s="112" t="e">
        <f>VLOOKUP(A2662,Ingreso!K:P,6,FALSE)</f>
        <v>#N/A</v>
      </c>
      <c r="E2662" s="142" t="e">
        <f>(VLOOKUP(D2662,$D$2:$E$4,2,FALSE))-(IF('Informe Kelly'!H2656=$A$2,'Informe Kelly'!F2656,VLOOKUP(D2662,$D$2:$E$4,2,FALSE)))</f>
        <v>#N/A</v>
      </c>
      <c r="F2662" s="142" t="e">
        <f>IF('Informe Kelly'!H2656=$A$3,'Informe Kelly'!F2656,VLOOKUP(D2662,$D$2:$F$4,3,FALSE))-(VLOOKUP(D2662,$D$2:$F$4,3,FALSE))</f>
        <v>#N/A</v>
      </c>
      <c r="G2662" s="137" t="e">
        <f t="shared" si="45"/>
        <v>#N/A</v>
      </c>
    </row>
    <row r="2663" spans="1:7">
      <c r="A2663" s="112" t="e">
        <f>VLOOKUP('Informe Kelly'!A2657,Base!A:B,2,FALSE)</f>
        <v>#N/A</v>
      </c>
      <c r="B2663" s="112" t="e">
        <f>VLOOKUP('Informe Kelly'!A2657,Base!A:G,7,FALSE)</f>
        <v>#N/A</v>
      </c>
      <c r="C2663" s="112">
        <f>'Informe Kelly'!E2657</f>
        <v>0</v>
      </c>
      <c r="D2663" s="112" t="e">
        <f>VLOOKUP(A2663,Ingreso!K:P,6,FALSE)</f>
        <v>#N/A</v>
      </c>
      <c r="E2663" s="142" t="e">
        <f>(VLOOKUP(D2663,$D$2:$E$4,2,FALSE))-(IF('Informe Kelly'!H2657=$A$2,'Informe Kelly'!F2657,VLOOKUP(D2663,$D$2:$E$4,2,FALSE)))</f>
        <v>#N/A</v>
      </c>
      <c r="F2663" s="142" t="e">
        <f>IF('Informe Kelly'!H2657=$A$3,'Informe Kelly'!F2657,VLOOKUP(D2663,$D$2:$F$4,3,FALSE))-(VLOOKUP(D2663,$D$2:$F$4,3,FALSE))</f>
        <v>#N/A</v>
      </c>
      <c r="G2663" s="137" t="e">
        <f t="shared" si="45"/>
        <v>#N/A</v>
      </c>
    </row>
    <row r="2664" spans="1:7">
      <c r="A2664" s="112" t="e">
        <f>VLOOKUP('Informe Kelly'!A2658,Base!A:B,2,FALSE)</f>
        <v>#N/A</v>
      </c>
      <c r="B2664" s="112" t="e">
        <f>VLOOKUP('Informe Kelly'!A2658,Base!A:G,7,FALSE)</f>
        <v>#N/A</v>
      </c>
      <c r="C2664" s="112">
        <f>'Informe Kelly'!E2658</f>
        <v>0</v>
      </c>
      <c r="D2664" s="112" t="e">
        <f>VLOOKUP(A2664,Ingreso!K:P,6,FALSE)</f>
        <v>#N/A</v>
      </c>
      <c r="E2664" s="142" t="e">
        <f>(VLOOKUP(D2664,$D$2:$E$4,2,FALSE))-(IF('Informe Kelly'!H2658=$A$2,'Informe Kelly'!F2658,VLOOKUP(D2664,$D$2:$E$4,2,FALSE)))</f>
        <v>#N/A</v>
      </c>
      <c r="F2664" s="142" t="e">
        <f>IF('Informe Kelly'!H2658=$A$3,'Informe Kelly'!F2658,VLOOKUP(D2664,$D$2:$F$4,3,FALSE))-(VLOOKUP(D2664,$D$2:$F$4,3,FALSE))</f>
        <v>#N/A</v>
      </c>
      <c r="G2664" s="137" t="e">
        <f t="shared" si="45"/>
        <v>#N/A</v>
      </c>
    </row>
    <row r="2665" spans="1:7">
      <c r="A2665" s="112" t="e">
        <f>VLOOKUP('Informe Kelly'!A2659,Base!A:B,2,FALSE)</f>
        <v>#N/A</v>
      </c>
      <c r="B2665" s="112" t="e">
        <f>VLOOKUP('Informe Kelly'!A2659,Base!A:G,7,FALSE)</f>
        <v>#N/A</v>
      </c>
      <c r="C2665" s="112">
        <f>'Informe Kelly'!E2659</f>
        <v>0</v>
      </c>
      <c r="D2665" s="112" t="e">
        <f>VLOOKUP(A2665,Ingreso!K:P,6,FALSE)</f>
        <v>#N/A</v>
      </c>
      <c r="E2665" s="142" t="e">
        <f>(VLOOKUP(D2665,$D$2:$E$4,2,FALSE))-(IF('Informe Kelly'!H2659=$A$2,'Informe Kelly'!F2659,VLOOKUP(D2665,$D$2:$E$4,2,FALSE)))</f>
        <v>#N/A</v>
      </c>
      <c r="F2665" s="142" t="e">
        <f>IF('Informe Kelly'!H2659=$A$3,'Informe Kelly'!F2659,VLOOKUP(D2665,$D$2:$F$4,3,FALSE))-(VLOOKUP(D2665,$D$2:$F$4,3,FALSE))</f>
        <v>#N/A</v>
      </c>
      <c r="G2665" s="137" t="e">
        <f t="shared" si="45"/>
        <v>#N/A</v>
      </c>
    </row>
    <row r="2666" spans="1:7">
      <c r="A2666" s="112" t="e">
        <f>VLOOKUP('Informe Kelly'!A2660,Base!A:B,2,FALSE)</f>
        <v>#N/A</v>
      </c>
      <c r="B2666" s="112" t="e">
        <f>VLOOKUP('Informe Kelly'!A2660,Base!A:G,7,FALSE)</f>
        <v>#N/A</v>
      </c>
      <c r="C2666" s="112">
        <f>'Informe Kelly'!E2660</f>
        <v>0</v>
      </c>
      <c r="D2666" s="112" t="e">
        <f>VLOOKUP(A2666,Ingreso!K:P,6,FALSE)</f>
        <v>#N/A</v>
      </c>
      <c r="E2666" s="142" t="e">
        <f>(VLOOKUP(D2666,$D$2:$E$4,2,FALSE))-(IF('Informe Kelly'!H2660=$A$2,'Informe Kelly'!F2660,VLOOKUP(D2666,$D$2:$E$4,2,FALSE)))</f>
        <v>#N/A</v>
      </c>
      <c r="F2666" s="142" t="e">
        <f>IF('Informe Kelly'!H2660=$A$3,'Informe Kelly'!F2660,VLOOKUP(D2666,$D$2:$F$4,3,FALSE))-(VLOOKUP(D2666,$D$2:$F$4,3,FALSE))</f>
        <v>#N/A</v>
      </c>
      <c r="G2666" s="137" t="e">
        <f t="shared" si="45"/>
        <v>#N/A</v>
      </c>
    </row>
    <row r="2667" spans="1:7">
      <c r="A2667" s="112" t="e">
        <f>VLOOKUP('Informe Kelly'!A2661,Base!A:B,2,FALSE)</f>
        <v>#N/A</v>
      </c>
      <c r="B2667" s="112" t="e">
        <f>VLOOKUP('Informe Kelly'!A2661,Base!A:G,7,FALSE)</f>
        <v>#N/A</v>
      </c>
      <c r="C2667" s="112">
        <f>'Informe Kelly'!E2661</f>
        <v>0</v>
      </c>
      <c r="D2667" s="112" t="e">
        <f>VLOOKUP(A2667,Ingreso!K:P,6,FALSE)</f>
        <v>#N/A</v>
      </c>
      <c r="E2667" s="142" t="e">
        <f>(VLOOKUP(D2667,$D$2:$E$4,2,FALSE))-(IF('Informe Kelly'!H2661=$A$2,'Informe Kelly'!F2661,VLOOKUP(D2667,$D$2:$E$4,2,FALSE)))</f>
        <v>#N/A</v>
      </c>
      <c r="F2667" s="142" t="e">
        <f>IF('Informe Kelly'!H2661=$A$3,'Informe Kelly'!F2661,VLOOKUP(D2667,$D$2:$F$4,3,FALSE))-(VLOOKUP(D2667,$D$2:$F$4,3,FALSE))</f>
        <v>#N/A</v>
      </c>
      <c r="G2667" s="137" t="e">
        <f t="shared" si="45"/>
        <v>#N/A</v>
      </c>
    </row>
    <row r="2668" spans="1:7">
      <c r="A2668" s="112" t="e">
        <f>VLOOKUP('Informe Kelly'!A2662,Base!A:B,2,FALSE)</f>
        <v>#N/A</v>
      </c>
      <c r="B2668" s="112" t="e">
        <f>VLOOKUP('Informe Kelly'!A2662,Base!A:G,7,FALSE)</f>
        <v>#N/A</v>
      </c>
      <c r="C2668" s="112">
        <f>'Informe Kelly'!E2662</f>
        <v>0</v>
      </c>
      <c r="D2668" s="112" t="e">
        <f>VLOOKUP(A2668,Ingreso!K:P,6,FALSE)</f>
        <v>#N/A</v>
      </c>
      <c r="E2668" s="142" t="e">
        <f>(VLOOKUP(D2668,$D$2:$E$4,2,FALSE))-(IF('Informe Kelly'!H2662=$A$2,'Informe Kelly'!F2662,VLOOKUP(D2668,$D$2:$E$4,2,FALSE)))</f>
        <v>#N/A</v>
      </c>
      <c r="F2668" s="142" t="e">
        <f>IF('Informe Kelly'!H2662=$A$3,'Informe Kelly'!F2662,VLOOKUP(D2668,$D$2:$F$4,3,FALSE))-(VLOOKUP(D2668,$D$2:$F$4,3,FALSE))</f>
        <v>#N/A</v>
      </c>
      <c r="G2668" s="137" t="e">
        <f t="shared" si="45"/>
        <v>#N/A</v>
      </c>
    </row>
    <row r="2669" spans="1:7">
      <c r="A2669" s="112" t="e">
        <f>VLOOKUP('Informe Kelly'!A2663,Base!A:B,2,FALSE)</f>
        <v>#N/A</v>
      </c>
      <c r="B2669" s="112" t="e">
        <f>VLOOKUP('Informe Kelly'!A2663,Base!A:G,7,FALSE)</f>
        <v>#N/A</v>
      </c>
      <c r="C2669" s="112">
        <f>'Informe Kelly'!E2663</f>
        <v>0</v>
      </c>
      <c r="D2669" s="112" t="e">
        <f>VLOOKUP(A2669,Ingreso!K:P,6,FALSE)</f>
        <v>#N/A</v>
      </c>
      <c r="E2669" s="142" t="e">
        <f>(VLOOKUP(D2669,$D$2:$E$4,2,FALSE))-(IF('Informe Kelly'!H2663=$A$2,'Informe Kelly'!F2663,VLOOKUP(D2669,$D$2:$E$4,2,FALSE)))</f>
        <v>#N/A</v>
      </c>
      <c r="F2669" s="142" t="e">
        <f>IF('Informe Kelly'!H2663=$A$3,'Informe Kelly'!F2663,VLOOKUP(D2669,$D$2:$F$4,3,FALSE))-(VLOOKUP(D2669,$D$2:$F$4,3,FALSE))</f>
        <v>#N/A</v>
      </c>
      <c r="G2669" s="137" t="e">
        <f t="shared" si="45"/>
        <v>#N/A</v>
      </c>
    </row>
    <row r="2670" spans="1:7">
      <c r="A2670" s="112" t="e">
        <f>VLOOKUP('Informe Kelly'!A2664,Base!A:B,2,FALSE)</f>
        <v>#N/A</v>
      </c>
      <c r="B2670" s="112" t="e">
        <f>VLOOKUP('Informe Kelly'!A2664,Base!A:G,7,FALSE)</f>
        <v>#N/A</v>
      </c>
      <c r="C2670" s="112">
        <f>'Informe Kelly'!E2664</f>
        <v>0</v>
      </c>
      <c r="D2670" s="112" t="e">
        <f>VLOOKUP(A2670,Ingreso!K:P,6,FALSE)</f>
        <v>#N/A</v>
      </c>
      <c r="E2670" s="142" t="e">
        <f>(VLOOKUP(D2670,$D$2:$E$4,2,FALSE))-(IF('Informe Kelly'!H2664=$A$2,'Informe Kelly'!F2664,VLOOKUP(D2670,$D$2:$E$4,2,FALSE)))</f>
        <v>#N/A</v>
      </c>
      <c r="F2670" s="142" t="e">
        <f>IF('Informe Kelly'!H2664=$A$3,'Informe Kelly'!F2664,VLOOKUP(D2670,$D$2:$F$4,3,FALSE))-(VLOOKUP(D2670,$D$2:$F$4,3,FALSE))</f>
        <v>#N/A</v>
      </c>
      <c r="G2670" s="137" t="e">
        <f t="shared" si="45"/>
        <v>#N/A</v>
      </c>
    </row>
    <row r="2671" spans="1:7">
      <c r="A2671" s="112" t="e">
        <f>VLOOKUP('Informe Kelly'!A2665,Base!A:B,2,FALSE)</f>
        <v>#N/A</v>
      </c>
      <c r="B2671" s="112" t="e">
        <f>VLOOKUP('Informe Kelly'!A2665,Base!A:G,7,FALSE)</f>
        <v>#N/A</v>
      </c>
      <c r="C2671" s="112">
        <f>'Informe Kelly'!E2665</f>
        <v>0</v>
      </c>
      <c r="D2671" s="112" t="e">
        <f>VLOOKUP(A2671,Ingreso!K:P,6,FALSE)</f>
        <v>#N/A</v>
      </c>
      <c r="E2671" s="142" t="e">
        <f>(VLOOKUP(D2671,$D$2:$E$4,2,FALSE))-(IF('Informe Kelly'!H2665=$A$2,'Informe Kelly'!F2665,VLOOKUP(D2671,$D$2:$E$4,2,FALSE)))</f>
        <v>#N/A</v>
      </c>
      <c r="F2671" s="142" t="e">
        <f>IF('Informe Kelly'!H2665=$A$3,'Informe Kelly'!F2665,VLOOKUP(D2671,$D$2:$F$4,3,FALSE))-(VLOOKUP(D2671,$D$2:$F$4,3,FALSE))</f>
        <v>#N/A</v>
      </c>
      <c r="G2671" s="137" t="e">
        <f t="shared" si="45"/>
        <v>#N/A</v>
      </c>
    </row>
    <row r="2672" spans="1:7">
      <c r="A2672" s="112" t="e">
        <f>VLOOKUP('Informe Kelly'!A2666,Base!A:B,2,FALSE)</f>
        <v>#N/A</v>
      </c>
      <c r="B2672" s="112" t="e">
        <f>VLOOKUP('Informe Kelly'!A2666,Base!A:G,7,FALSE)</f>
        <v>#N/A</v>
      </c>
      <c r="C2672" s="112">
        <f>'Informe Kelly'!E2666</f>
        <v>0</v>
      </c>
      <c r="D2672" s="112" t="e">
        <f>VLOOKUP(A2672,Ingreso!K:P,6,FALSE)</f>
        <v>#N/A</v>
      </c>
      <c r="E2672" s="142" t="e">
        <f>(VLOOKUP(D2672,$D$2:$E$4,2,FALSE))-(IF('Informe Kelly'!H2666=$A$2,'Informe Kelly'!F2666,VLOOKUP(D2672,$D$2:$E$4,2,FALSE)))</f>
        <v>#N/A</v>
      </c>
      <c r="F2672" s="142" t="e">
        <f>IF('Informe Kelly'!H2666=$A$3,'Informe Kelly'!F2666,VLOOKUP(D2672,$D$2:$F$4,3,FALSE))-(VLOOKUP(D2672,$D$2:$F$4,3,FALSE))</f>
        <v>#N/A</v>
      </c>
      <c r="G2672" s="137" t="e">
        <f t="shared" si="45"/>
        <v>#N/A</v>
      </c>
    </row>
    <row r="2673" spans="1:7">
      <c r="A2673" s="112" t="e">
        <f>VLOOKUP('Informe Kelly'!A2667,Base!A:B,2,FALSE)</f>
        <v>#N/A</v>
      </c>
      <c r="B2673" s="112" t="e">
        <f>VLOOKUP('Informe Kelly'!A2667,Base!A:G,7,FALSE)</f>
        <v>#N/A</v>
      </c>
      <c r="C2673" s="112">
        <f>'Informe Kelly'!E2667</f>
        <v>0</v>
      </c>
      <c r="D2673" s="112" t="e">
        <f>VLOOKUP(A2673,Ingreso!K:P,6,FALSE)</f>
        <v>#N/A</v>
      </c>
      <c r="E2673" s="142" t="e">
        <f>(VLOOKUP(D2673,$D$2:$E$4,2,FALSE))-(IF('Informe Kelly'!H2667=$A$2,'Informe Kelly'!F2667,VLOOKUP(D2673,$D$2:$E$4,2,FALSE)))</f>
        <v>#N/A</v>
      </c>
      <c r="F2673" s="142" t="e">
        <f>IF('Informe Kelly'!H2667=$A$3,'Informe Kelly'!F2667,VLOOKUP(D2673,$D$2:$F$4,3,FALSE))-(VLOOKUP(D2673,$D$2:$F$4,3,FALSE))</f>
        <v>#N/A</v>
      </c>
      <c r="G2673" s="137" t="e">
        <f t="shared" si="45"/>
        <v>#N/A</v>
      </c>
    </row>
    <row r="2674" spans="1:7">
      <c r="A2674" s="112" t="e">
        <f>VLOOKUP('Informe Kelly'!A2668,Base!A:B,2,FALSE)</f>
        <v>#N/A</v>
      </c>
      <c r="B2674" s="112" t="e">
        <f>VLOOKUP('Informe Kelly'!A2668,Base!A:G,7,FALSE)</f>
        <v>#N/A</v>
      </c>
      <c r="C2674" s="112">
        <f>'Informe Kelly'!E2668</f>
        <v>0</v>
      </c>
      <c r="D2674" s="112" t="e">
        <f>VLOOKUP(A2674,Ingreso!K:P,6,FALSE)</f>
        <v>#N/A</v>
      </c>
      <c r="E2674" s="142" t="e">
        <f>(VLOOKUP(D2674,$D$2:$E$4,2,FALSE))-(IF('Informe Kelly'!H2668=$A$2,'Informe Kelly'!F2668,VLOOKUP(D2674,$D$2:$E$4,2,FALSE)))</f>
        <v>#N/A</v>
      </c>
      <c r="F2674" s="142" t="e">
        <f>IF('Informe Kelly'!H2668=$A$3,'Informe Kelly'!F2668,VLOOKUP(D2674,$D$2:$F$4,3,FALSE))-(VLOOKUP(D2674,$D$2:$F$4,3,FALSE))</f>
        <v>#N/A</v>
      </c>
      <c r="G2674" s="137" t="e">
        <f t="shared" si="45"/>
        <v>#N/A</v>
      </c>
    </row>
    <row r="2675" spans="1:7">
      <c r="A2675" s="112" t="e">
        <f>VLOOKUP('Informe Kelly'!A2669,Base!A:B,2,FALSE)</f>
        <v>#N/A</v>
      </c>
      <c r="B2675" s="112" t="e">
        <f>VLOOKUP('Informe Kelly'!A2669,Base!A:G,7,FALSE)</f>
        <v>#N/A</v>
      </c>
      <c r="C2675" s="112">
        <f>'Informe Kelly'!E2669</f>
        <v>0</v>
      </c>
      <c r="D2675" s="112" t="e">
        <f>VLOOKUP(A2675,Ingreso!K:P,6,FALSE)</f>
        <v>#N/A</v>
      </c>
      <c r="E2675" s="142" t="e">
        <f>(VLOOKUP(D2675,$D$2:$E$4,2,FALSE))-(IF('Informe Kelly'!H2669=$A$2,'Informe Kelly'!F2669,VLOOKUP(D2675,$D$2:$E$4,2,FALSE)))</f>
        <v>#N/A</v>
      </c>
      <c r="F2675" s="142" t="e">
        <f>IF('Informe Kelly'!H2669=$A$3,'Informe Kelly'!F2669,VLOOKUP(D2675,$D$2:$F$4,3,FALSE))-(VLOOKUP(D2675,$D$2:$F$4,3,FALSE))</f>
        <v>#N/A</v>
      </c>
      <c r="G2675" s="137" t="e">
        <f t="shared" si="45"/>
        <v>#N/A</v>
      </c>
    </row>
    <row r="2676" spans="1:7">
      <c r="A2676" s="112" t="e">
        <f>VLOOKUP('Informe Kelly'!A2670,Base!A:B,2,FALSE)</f>
        <v>#N/A</v>
      </c>
      <c r="B2676" s="112" t="e">
        <f>VLOOKUP('Informe Kelly'!A2670,Base!A:G,7,FALSE)</f>
        <v>#N/A</v>
      </c>
      <c r="C2676" s="112">
        <f>'Informe Kelly'!E2670</f>
        <v>0</v>
      </c>
      <c r="D2676" s="112" t="e">
        <f>VLOOKUP(A2676,Ingreso!K:P,6,FALSE)</f>
        <v>#N/A</v>
      </c>
      <c r="E2676" s="142" t="e">
        <f>(VLOOKUP(D2676,$D$2:$E$4,2,FALSE))-(IF('Informe Kelly'!H2670=$A$2,'Informe Kelly'!F2670,VLOOKUP(D2676,$D$2:$E$4,2,FALSE)))</f>
        <v>#N/A</v>
      </c>
      <c r="F2676" s="142" t="e">
        <f>IF('Informe Kelly'!H2670=$A$3,'Informe Kelly'!F2670,VLOOKUP(D2676,$D$2:$F$4,3,FALSE))-(VLOOKUP(D2676,$D$2:$F$4,3,FALSE))</f>
        <v>#N/A</v>
      </c>
      <c r="G2676" s="137" t="e">
        <f t="shared" si="45"/>
        <v>#N/A</v>
      </c>
    </row>
    <row r="2677" spans="1:7">
      <c r="A2677" s="112" t="e">
        <f>VLOOKUP('Informe Kelly'!A2671,Base!A:B,2,FALSE)</f>
        <v>#N/A</v>
      </c>
      <c r="B2677" s="112" t="e">
        <f>VLOOKUP('Informe Kelly'!A2671,Base!A:G,7,FALSE)</f>
        <v>#N/A</v>
      </c>
      <c r="C2677" s="112">
        <f>'Informe Kelly'!E2671</f>
        <v>0</v>
      </c>
      <c r="D2677" s="112" t="e">
        <f>VLOOKUP(A2677,Ingreso!K:P,6,FALSE)</f>
        <v>#N/A</v>
      </c>
      <c r="E2677" s="142" t="e">
        <f>(VLOOKUP(D2677,$D$2:$E$4,2,FALSE))-(IF('Informe Kelly'!H2671=$A$2,'Informe Kelly'!F2671,VLOOKUP(D2677,$D$2:$E$4,2,FALSE)))</f>
        <v>#N/A</v>
      </c>
      <c r="F2677" s="142" t="e">
        <f>IF('Informe Kelly'!H2671=$A$3,'Informe Kelly'!F2671,VLOOKUP(D2677,$D$2:$F$4,3,FALSE))-(VLOOKUP(D2677,$D$2:$F$4,3,FALSE))</f>
        <v>#N/A</v>
      </c>
      <c r="G2677" s="137" t="e">
        <f t="shared" si="45"/>
        <v>#N/A</v>
      </c>
    </row>
    <row r="2678" spans="1:7">
      <c r="A2678" s="112" t="e">
        <f>VLOOKUP('Informe Kelly'!A2672,Base!A:B,2,FALSE)</f>
        <v>#N/A</v>
      </c>
      <c r="B2678" s="112" t="e">
        <f>VLOOKUP('Informe Kelly'!A2672,Base!A:G,7,FALSE)</f>
        <v>#N/A</v>
      </c>
      <c r="C2678" s="112">
        <f>'Informe Kelly'!E2672</f>
        <v>0</v>
      </c>
      <c r="D2678" s="112" t="e">
        <f>VLOOKUP(A2678,Ingreso!K:P,6,FALSE)</f>
        <v>#N/A</v>
      </c>
      <c r="E2678" s="142" t="e">
        <f>(VLOOKUP(D2678,$D$2:$E$4,2,FALSE))-(IF('Informe Kelly'!H2672=$A$2,'Informe Kelly'!F2672,VLOOKUP(D2678,$D$2:$E$4,2,FALSE)))</f>
        <v>#N/A</v>
      </c>
      <c r="F2678" s="142" t="e">
        <f>IF('Informe Kelly'!H2672=$A$3,'Informe Kelly'!F2672,VLOOKUP(D2678,$D$2:$F$4,3,FALSE))-(VLOOKUP(D2678,$D$2:$F$4,3,FALSE))</f>
        <v>#N/A</v>
      </c>
      <c r="G2678" s="137" t="e">
        <f t="shared" si="45"/>
        <v>#N/A</v>
      </c>
    </row>
    <row r="2679" spans="1:7">
      <c r="A2679" s="112" t="e">
        <f>VLOOKUP('Informe Kelly'!A2673,Base!A:B,2,FALSE)</f>
        <v>#N/A</v>
      </c>
      <c r="B2679" s="112" t="e">
        <f>VLOOKUP('Informe Kelly'!A2673,Base!A:G,7,FALSE)</f>
        <v>#N/A</v>
      </c>
      <c r="C2679" s="112">
        <f>'Informe Kelly'!E2673</f>
        <v>0</v>
      </c>
      <c r="D2679" s="112" t="e">
        <f>VLOOKUP(A2679,Ingreso!K:P,6,FALSE)</f>
        <v>#N/A</v>
      </c>
      <c r="E2679" s="142" t="e">
        <f>(VLOOKUP(D2679,$D$2:$E$4,2,FALSE))-(IF('Informe Kelly'!H2673=$A$2,'Informe Kelly'!F2673,VLOOKUP(D2679,$D$2:$E$4,2,FALSE)))</f>
        <v>#N/A</v>
      </c>
      <c r="F2679" s="142" t="e">
        <f>IF('Informe Kelly'!H2673=$A$3,'Informe Kelly'!F2673,VLOOKUP(D2679,$D$2:$F$4,3,FALSE))-(VLOOKUP(D2679,$D$2:$F$4,3,FALSE))</f>
        <v>#N/A</v>
      </c>
      <c r="G2679" s="137" t="e">
        <f t="shared" si="45"/>
        <v>#N/A</v>
      </c>
    </row>
    <row r="2680" spans="1:7">
      <c r="A2680" s="112" t="e">
        <f>VLOOKUP('Informe Kelly'!A2674,Base!A:B,2,FALSE)</f>
        <v>#N/A</v>
      </c>
      <c r="B2680" s="112" t="e">
        <f>VLOOKUP('Informe Kelly'!A2674,Base!A:G,7,FALSE)</f>
        <v>#N/A</v>
      </c>
      <c r="C2680" s="112">
        <f>'Informe Kelly'!E2674</f>
        <v>0</v>
      </c>
      <c r="D2680" s="112" t="e">
        <f>VLOOKUP(A2680,Ingreso!K:P,6,FALSE)</f>
        <v>#N/A</v>
      </c>
      <c r="E2680" s="142" t="e">
        <f>(VLOOKUP(D2680,$D$2:$E$4,2,FALSE))-(IF('Informe Kelly'!H2674=$A$2,'Informe Kelly'!F2674,VLOOKUP(D2680,$D$2:$E$4,2,FALSE)))</f>
        <v>#N/A</v>
      </c>
      <c r="F2680" s="142" t="e">
        <f>IF('Informe Kelly'!H2674=$A$3,'Informe Kelly'!F2674,VLOOKUP(D2680,$D$2:$F$4,3,FALSE))-(VLOOKUP(D2680,$D$2:$F$4,3,FALSE))</f>
        <v>#N/A</v>
      </c>
      <c r="G2680" s="137" t="e">
        <f t="shared" si="45"/>
        <v>#N/A</v>
      </c>
    </row>
    <row r="2681" spans="1:7">
      <c r="A2681" s="112" t="e">
        <f>VLOOKUP('Informe Kelly'!A2675,Base!A:B,2,FALSE)</f>
        <v>#N/A</v>
      </c>
      <c r="B2681" s="112" t="e">
        <f>VLOOKUP('Informe Kelly'!A2675,Base!A:G,7,FALSE)</f>
        <v>#N/A</v>
      </c>
      <c r="C2681" s="112">
        <f>'Informe Kelly'!E2675</f>
        <v>0</v>
      </c>
      <c r="D2681" s="112" t="e">
        <f>VLOOKUP(A2681,Ingreso!K:P,6,FALSE)</f>
        <v>#N/A</v>
      </c>
      <c r="E2681" s="142" t="e">
        <f>(VLOOKUP(D2681,$D$2:$E$4,2,FALSE))-(IF('Informe Kelly'!H2675=$A$2,'Informe Kelly'!F2675,VLOOKUP(D2681,$D$2:$E$4,2,FALSE)))</f>
        <v>#N/A</v>
      </c>
      <c r="F2681" s="142" t="e">
        <f>IF('Informe Kelly'!H2675=$A$3,'Informe Kelly'!F2675,VLOOKUP(D2681,$D$2:$F$4,3,FALSE))-(VLOOKUP(D2681,$D$2:$F$4,3,FALSE))</f>
        <v>#N/A</v>
      </c>
      <c r="G2681" s="137" t="e">
        <f t="shared" si="45"/>
        <v>#N/A</v>
      </c>
    </row>
    <row r="2682" spans="1:7">
      <c r="A2682" s="112" t="e">
        <f>VLOOKUP('Informe Kelly'!A2676,Base!A:B,2,FALSE)</f>
        <v>#N/A</v>
      </c>
      <c r="B2682" s="112" t="e">
        <f>VLOOKUP('Informe Kelly'!A2676,Base!A:G,7,FALSE)</f>
        <v>#N/A</v>
      </c>
      <c r="C2682" s="112">
        <f>'Informe Kelly'!E2676</f>
        <v>0</v>
      </c>
      <c r="D2682" s="112" t="e">
        <f>VLOOKUP(A2682,Ingreso!K:P,6,FALSE)</f>
        <v>#N/A</v>
      </c>
      <c r="E2682" s="142" t="e">
        <f>(VLOOKUP(D2682,$D$2:$E$4,2,FALSE))-(IF('Informe Kelly'!H2676=$A$2,'Informe Kelly'!F2676,VLOOKUP(D2682,$D$2:$E$4,2,FALSE)))</f>
        <v>#N/A</v>
      </c>
      <c r="F2682" s="142" t="e">
        <f>IF('Informe Kelly'!H2676=$A$3,'Informe Kelly'!F2676,VLOOKUP(D2682,$D$2:$F$4,3,FALSE))-(VLOOKUP(D2682,$D$2:$F$4,3,FALSE))</f>
        <v>#N/A</v>
      </c>
      <c r="G2682" s="137" t="e">
        <f t="shared" si="45"/>
        <v>#N/A</v>
      </c>
    </row>
    <row r="2683" spans="1:7">
      <c r="A2683" s="112" t="e">
        <f>VLOOKUP('Informe Kelly'!A2677,Base!A:B,2,FALSE)</f>
        <v>#N/A</v>
      </c>
      <c r="B2683" s="112" t="e">
        <f>VLOOKUP('Informe Kelly'!A2677,Base!A:G,7,FALSE)</f>
        <v>#N/A</v>
      </c>
      <c r="C2683" s="112">
        <f>'Informe Kelly'!E2677</f>
        <v>0</v>
      </c>
      <c r="D2683" s="112" t="e">
        <f>VLOOKUP(A2683,Ingreso!K:P,6,FALSE)</f>
        <v>#N/A</v>
      </c>
      <c r="E2683" s="142" t="e">
        <f>(VLOOKUP(D2683,$D$2:$E$4,2,FALSE))-(IF('Informe Kelly'!H2677=$A$2,'Informe Kelly'!F2677,VLOOKUP(D2683,$D$2:$E$4,2,FALSE)))</f>
        <v>#N/A</v>
      </c>
      <c r="F2683" s="142" t="e">
        <f>IF('Informe Kelly'!H2677=$A$3,'Informe Kelly'!F2677,VLOOKUP(D2683,$D$2:$F$4,3,FALSE))-(VLOOKUP(D2683,$D$2:$F$4,3,FALSE))</f>
        <v>#N/A</v>
      </c>
      <c r="G2683" s="137" t="e">
        <f t="shared" si="45"/>
        <v>#N/A</v>
      </c>
    </row>
    <row r="2684" spans="1:7">
      <c r="A2684" s="112" t="e">
        <f>VLOOKUP('Informe Kelly'!A2678,Base!A:B,2,FALSE)</f>
        <v>#N/A</v>
      </c>
      <c r="B2684" s="112" t="e">
        <f>VLOOKUP('Informe Kelly'!A2678,Base!A:G,7,FALSE)</f>
        <v>#N/A</v>
      </c>
      <c r="C2684" s="112">
        <f>'Informe Kelly'!E2678</f>
        <v>0</v>
      </c>
      <c r="D2684" s="112" t="e">
        <f>VLOOKUP(A2684,Ingreso!K:P,6,FALSE)</f>
        <v>#N/A</v>
      </c>
      <c r="E2684" s="142" t="e">
        <f>(VLOOKUP(D2684,$D$2:$E$4,2,FALSE))-(IF('Informe Kelly'!H2678=$A$2,'Informe Kelly'!F2678,VLOOKUP(D2684,$D$2:$E$4,2,FALSE)))</f>
        <v>#N/A</v>
      </c>
      <c r="F2684" s="142" t="e">
        <f>IF('Informe Kelly'!H2678=$A$3,'Informe Kelly'!F2678,VLOOKUP(D2684,$D$2:$F$4,3,FALSE))-(VLOOKUP(D2684,$D$2:$F$4,3,FALSE))</f>
        <v>#N/A</v>
      </c>
      <c r="G2684" s="137" t="e">
        <f t="shared" si="45"/>
        <v>#N/A</v>
      </c>
    </row>
    <row r="2685" spans="1:7">
      <c r="A2685" s="112" t="e">
        <f>VLOOKUP('Informe Kelly'!A2679,Base!A:B,2,FALSE)</f>
        <v>#N/A</v>
      </c>
      <c r="B2685" s="112" t="e">
        <f>VLOOKUP('Informe Kelly'!A2679,Base!A:G,7,FALSE)</f>
        <v>#N/A</v>
      </c>
      <c r="C2685" s="112">
        <f>'Informe Kelly'!E2679</f>
        <v>0</v>
      </c>
      <c r="D2685" s="112" t="e">
        <f>VLOOKUP(A2685,Ingreso!K:P,6,FALSE)</f>
        <v>#N/A</v>
      </c>
      <c r="E2685" s="142" t="e">
        <f>(VLOOKUP(D2685,$D$2:$E$4,2,FALSE))-(IF('Informe Kelly'!H2679=$A$2,'Informe Kelly'!F2679,VLOOKUP(D2685,$D$2:$E$4,2,FALSE)))</f>
        <v>#N/A</v>
      </c>
      <c r="F2685" s="142" t="e">
        <f>IF('Informe Kelly'!H2679=$A$3,'Informe Kelly'!F2679,VLOOKUP(D2685,$D$2:$F$4,3,FALSE))-(VLOOKUP(D2685,$D$2:$F$4,3,FALSE))</f>
        <v>#N/A</v>
      </c>
      <c r="G2685" s="137" t="e">
        <f t="shared" si="45"/>
        <v>#N/A</v>
      </c>
    </row>
    <row r="2686" spans="1:7">
      <c r="A2686" s="112" t="e">
        <f>VLOOKUP('Informe Kelly'!A2680,Base!A:B,2,FALSE)</f>
        <v>#N/A</v>
      </c>
      <c r="B2686" s="112" t="e">
        <f>VLOOKUP('Informe Kelly'!A2680,Base!A:G,7,FALSE)</f>
        <v>#N/A</v>
      </c>
      <c r="C2686" s="112">
        <f>'Informe Kelly'!E2680</f>
        <v>0</v>
      </c>
      <c r="D2686" s="112" t="e">
        <f>VLOOKUP(A2686,Ingreso!K:P,6,FALSE)</f>
        <v>#N/A</v>
      </c>
      <c r="E2686" s="142" t="e">
        <f>(VLOOKUP(D2686,$D$2:$E$4,2,FALSE))-(IF('Informe Kelly'!H2680=$A$2,'Informe Kelly'!F2680,VLOOKUP(D2686,$D$2:$E$4,2,FALSE)))</f>
        <v>#N/A</v>
      </c>
      <c r="F2686" s="142" t="e">
        <f>IF('Informe Kelly'!H2680=$A$3,'Informe Kelly'!F2680,VLOOKUP(D2686,$D$2:$F$4,3,FALSE))-(VLOOKUP(D2686,$D$2:$F$4,3,FALSE))</f>
        <v>#N/A</v>
      </c>
      <c r="G2686" s="137" t="e">
        <f t="shared" si="45"/>
        <v>#N/A</v>
      </c>
    </row>
    <row r="2687" spans="1:7">
      <c r="A2687" s="112" t="e">
        <f>VLOOKUP('Informe Kelly'!A2681,Base!A:B,2,FALSE)</f>
        <v>#N/A</v>
      </c>
      <c r="B2687" s="112" t="e">
        <f>VLOOKUP('Informe Kelly'!A2681,Base!A:G,7,FALSE)</f>
        <v>#N/A</v>
      </c>
      <c r="C2687" s="112">
        <f>'Informe Kelly'!E2681</f>
        <v>0</v>
      </c>
      <c r="D2687" s="112" t="e">
        <f>VLOOKUP(A2687,Ingreso!K:P,6,FALSE)</f>
        <v>#N/A</v>
      </c>
      <c r="E2687" s="142" t="e">
        <f>(VLOOKUP(D2687,$D$2:$E$4,2,FALSE))-(IF('Informe Kelly'!H2681=$A$2,'Informe Kelly'!F2681,VLOOKUP(D2687,$D$2:$E$4,2,FALSE)))</f>
        <v>#N/A</v>
      </c>
      <c r="F2687" s="142" t="e">
        <f>IF('Informe Kelly'!H2681=$A$3,'Informe Kelly'!F2681,VLOOKUP(D2687,$D$2:$F$4,3,FALSE))-(VLOOKUP(D2687,$D$2:$F$4,3,FALSE))</f>
        <v>#N/A</v>
      </c>
      <c r="G2687" s="137" t="e">
        <f t="shared" si="45"/>
        <v>#N/A</v>
      </c>
    </row>
    <row r="2688" spans="1:7">
      <c r="A2688" s="112" t="e">
        <f>VLOOKUP('Informe Kelly'!A2682,Base!A:B,2,FALSE)</f>
        <v>#N/A</v>
      </c>
      <c r="B2688" s="112" t="e">
        <f>VLOOKUP('Informe Kelly'!A2682,Base!A:G,7,FALSE)</f>
        <v>#N/A</v>
      </c>
      <c r="C2688" s="112">
        <f>'Informe Kelly'!E2682</f>
        <v>0</v>
      </c>
      <c r="D2688" s="112" t="e">
        <f>VLOOKUP(A2688,Ingreso!K:P,6,FALSE)</f>
        <v>#N/A</v>
      </c>
      <c r="E2688" s="142" t="e">
        <f>(VLOOKUP(D2688,$D$2:$E$4,2,FALSE))-(IF('Informe Kelly'!H2682=$A$2,'Informe Kelly'!F2682,VLOOKUP(D2688,$D$2:$E$4,2,FALSE)))</f>
        <v>#N/A</v>
      </c>
      <c r="F2688" s="142" t="e">
        <f>IF('Informe Kelly'!H2682=$A$3,'Informe Kelly'!F2682,VLOOKUP(D2688,$D$2:$F$4,3,FALSE))-(VLOOKUP(D2688,$D$2:$F$4,3,FALSE))</f>
        <v>#N/A</v>
      </c>
      <c r="G2688" s="137" t="e">
        <f t="shared" si="45"/>
        <v>#N/A</v>
      </c>
    </row>
    <row r="2689" spans="1:7">
      <c r="A2689" s="112" t="e">
        <f>VLOOKUP('Informe Kelly'!A2683,Base!A:B,2,FALSE)</f>
        <v>#N/A</v>
      </c>
      <c r="B2689" s="112" t="e">
        <f>VLOOKUP('Informe Kelly'!A2683,Base!A:G,7,FALSE)</f>
        <v>#N/A</v>
      </c>
      <c r="C2689" s="112">
        <f>'Informe Kelly'!E2683</f>
        <v>0</v>
      </c>
      <c r="D2689" s="112" t="e">
        <f>VLOOKUP(A2689,Ingreso!K:P,6,FALSE)</f>
        <v>#N/A</v>
      </c>
      <c r="E2689" s="142" t="e">
        <f>(VLOOKUP(D2689,$D$2:$E$4,2,FALSE))-(IF('Informe Kelly'!H2683=$A$2,'Informe Kelly'!F2683,VLOOKUP(D2689,$D$2:$E$4,2,FALSE)))</f>
        <v>#N/A</v>
      </c>
      <c r="F2689" s="142" t="e">
        <f>IF('Informe Kelly'!H2683=$A$3,'Informe Kelly'!F2683,VLOOKUP(D2689,$D$2:$F$4,3,FALSE))-(VLOOKUP(D2689,$D$2:$F$4,3,FALSE))</f>
        <v>#N/A</v>
      </c>
      <c r="G2689" s="137" t="e">
        <f t="shared" si="45"/>
        <v>#N/A</v>
      </c>
    </row>
    <row r="2690" spans="1:7">
      <c r="A2690" s="112" t="e">
        <f>VLOOKUP('Informe Kelly'!A2684,Base!A:B,2,FALSE)</f>
        <v>#N/A</v>
      </c>
      <c r="B2690" s="112" t="e">
        <f>VLOOKUP('Informe Kelly'!A2684,Base!A:G,7,FALSE)</f>
        <v>#N/A</v>
      </c>
      <c r="C2690" s="112">
        <f>'Informe Kelly'!E2684</f>
        <v>0</v>
      </c>
      <c r="D2690" s="112" t="e">
        <f>VLOOKUP(A2690,Ingreso!K:P,6,FALSE)</f>
        <v>#N/A</v>
      </c>
      <c r="E2690" s="142" t="e">
        <f>(VLOOKUP(D2690,$D$2:$E$4,2,FALSE))-(IF('Informe Kelly'!H2684=$A$2,'Informe Kelly'!F2684,VLOOKUP(D2690,$D$2:$E$4,2,FALSE)))</f>
        <v>#N/A</v>
      </c>
      <c r="F2690" s="142" t="e">
        <f>IF('Informe Kelly'!H2684=$A$3,'Informe Kelly'!F2684,VLOOKUP(D2690,$D$2:$F$4,3,FALSE))-(VLOOKUP(D2690,$D$2:$F$4,3,FALSE))</f>
        <v>#N/A</v>
      </c>
      <c r="G2690" s="137" t="e">
        <f t="shared" si="45"/>
        <v>#N/A</v>
      </c>
    </row>
    <row r="2691" spans="1:7">
      <c r="A2691" s="112" t="e">
        <f>VLOOKUP('Informe Kelly'!A2685,Base!A:B,2,FALSE)</f>
        <v>#N/A</v>
      </c>
      <c r="B2691" s="112" t="e">
        <f>VLOOKUP('Informe Kelly'!A2685,Base!A:G,7,FALSE)</f>
        <v>#N/A</v>
      </c>
      <c r="C2691" s="112">
        <f>'Informe Kelly'!E2685</f>
        <v>0</v>
      </c>
      <c r="D2691" s="112" t="e">
        <f>VLOOKUP(A2691,Ingreso!K:P,6,FALSE)</f>
        <v>#N/A</v>
      </c>
      <c r="E2691" s="142" t="e">
        <f>(VLOOKUP(D2691,$D$2:$E$4,2,FALSE))-(IF('Informe Kelly'!H2685=$A$2,'Informe Kelly'!F2685,VLOOKUP(D2691,$D$2:$E$4,2,FALSE)))</f>
        <v>#N/A</v>
      </c>
      <c r="F2691" s="142" t="e">
        <f>IF('Informe Kelly'!H2685=$A$3,'Informe Kelly'!F2685,VLOOKUP(D2691,$D$2:$F$4,3,FALSE))-(VLOOKUP(D2691,$D$2:$F$4,3,FALSE))</f>
        <v>#N/A</v>
      </c>
      <c r="G2691" s="137" t="e">
        <f t="shared" si="45"/>
        <v>#N/A</v>
      </c>
    </row>
    <row r="2692" spans="1:7">
      <c r="A2692" s="112" t="e">
        <f>VLOOKUP('Informe Kelly'!A2686,Base!A:B,2,FALSE)</f>
        <v>#N/A</v>
      </c>
      <c r="B2692" s="112" t="e">
        <f>VLOOKUP('Informe Kelly'!A2686,Base!A:G,7,FALSE)</f>
        <v>#N/A</v>
      </c>
      <c r="C2692" s="112">
        <f>'Informe Kelly'!E2686</f>
        <v>0</v>
      </c>
      <c r="D2692" s="112" t="e">
        <f>VLOOKUP(A2692,Ingreso!K:P,6,FALSE)</f>
        <v>#N/A</v>
      </c>
      <c r="E2692" s="142" t="e">
        <f>(VLOOKUP(D2692,$D$2:$E$4,2,FALSE))-(IF('Informe Kelly'!H2686=$A$2,'Informe Kelly'!F2686,VLOOKUP(D2692,$D$2:$E$4,2,FALSE)))</f>
        <v>#N/A</v>
      </c>
      <c r="F2692" s="142" t="e">
        <f>IF('Informe Kelly'!H2686=$A$3,'Informe Kelly'!F2686,VLOOKUP(D2692,$D$2:$F$4,3,FALSE))-(VLOOKUP(D2692,$D$2:$F$4,3,FALSE))</f>
        <v>#N/A</v>
      </c>
      <c r="G2692" s="137" t="e">
        <f t="shared" si="45"/>
        <v>#N/A</v>
      </c>
    </row>
    <row r="2693" spans="1:7">
      <c r="A2693" s="112" t="e">
        <f>VLOOKUP('Informe Kelly'!A2687,Base!A:B,2,FALSE)</f>
        <v>#N/A</v>
      </c>
      <c r="B2693" s="112" t="e">
        <f>VLOOKUP('Informe Kelly'!A2687,Base!A:G,7,FALSE)</f>
        <v>#N/A</v>
      </c>
      <c r="C2693" s="112">
        <f>'Informe Kelly'!E2687</f>
        <v>0</v>
      </c>
      <c r="D2693" s="112" t="e">
        <f>VLOOKUP(A2693,Ingreso!K:P,6,FALSE)</f>
        <v>#N/A</v>
      </c>
      <c r="E2693" s="142" t="e">
        <f>(VLOOKUP(D2693,$D$2:$E$4,2,FALSE))-(IF('Informe Kelly'!H2687=$A$2,'Informe Kelly'!F2687,VLOOKUP(D2693,$D$2:$E$4,2,FALSE)))</f>
        <v>#N/A</v>
      </c>
      <c r="F2693" s="142" t="e">
        <f>IF('Informe Kelly'!H2687=$A$3,'Informe Kelly'!F2687,VLOOKUP(D2693,$D$2:$F$4,3,FALSE))-(VLOOKUP(D2693,$D$2:$F$4,3,FALSE))</f>
        <v>#N/A</v>
      </c>
      <c r="G2693" s="137" t="e">
        <f t="shared" si="45"/>
        <v>#N/A</v>
      </c>
    </row>
    <row r="2694" spans="1:7">
      <c r="A2694" s="112" t="e">
        <f>VLOOKUP('Informe Kelly'!A2688,Base!A:B,2,FALSE)</f>
        <v>#N/A</v>
      </c>
      <c r="B2694" s="112" t="e">
        <f>VLOOKUP('Informe Kelly'!A2688,Base!A:G,7,FALSE)</f>
        <v>#N/A</v>
      </c>
      <c r="C2694" s="112">
        <f>'Informe Kelly'!E2688</f>
        <v>0</v>
      </c>
      <c r="D2694" s="112" t="e">
        <f>VLOOKUP(A2694,Ingreso!K:P,6,FALSE)</f>
        <v>#N/A</v>
      </c>
      <c r="E2694" s="142" t="e">
        <f>(VLOOKUP(D2694,$D$2:$E$4,2,FALSE))-(IF('Informe Kelly'!H2688=$A$2,'Informe Kelly'!F2688,VLOOKUP(D2694,$D$2:$E$4,2,FALSE)))</f>
        <v>#N/A</v>
      </c>
      <c r="F2694" s="142" t="e">
        <f>IF('Informe Kelly'!H2688=$A$3,'Informe Kelly'!F2688,VLOOKUP(D2694,$D$2:$F$4,3,FALSE))-(VLOOKUP(D2694,$D$2:$F$4,3,FALSE))</f>
        <v>#N/A</v>
      </c>
      <c r="G2694" s="137" t="e">
        <f t="shared" si="45"/>
        <v>#N/A</v>
      </c>
    </row>
    <row r="2695" spans="1:7">
      <c r="A2695" s="112" t="e">
        <f>VLOOKUP('Informe Kelly'!A2689,Base!A:B,2,FALSE)</f>
        <v>#N/A</v>
      </c>
      <c r="B2695" s="112" t="e">
        <f>VLOOKUP('Informe Kelly'!A2689,Base!A:G,7,FALSE)</f>
        <v>#N/A</v>
      </c>
      <c r="C2695" s="112">
        <f>'Informe Kelly'!E2689</f>
        <v>0</v>
      </c>
      <c r="D2695" s="112" t="e">
        <f>VLOOKUP(A2695,Ingreso!K:P,6,FALSE)</f>
        <v>#N/A</v>
      </c>
      <c r="E2695" s="142" t="e">
        <f>(VLOOKUP(D2695,$D$2:$E$4,2,FALSE))-(IF('Informe Kelly'!H2689=$A$2,'Informe Kelly'!F2689,VLOOKUP(D2695,$D$2:$E$4,2,FALSE)))</f>
        <v>#N/A</v>
      </c>
      <c r="F2695" s="142" t="e">
        <f>IF('Informe Kelly'!H2689=$A$3,'Informe Kelly'!F2689,VLOOKUP(D2695,$D$2:$F$4,3,FALSE))-(VLOOKUP(D2695,$D$2:$F$4,3,FALSE))</f>
        <v>#N/A</v>
      </c>
      <c r="G2695" s="137" t="e">
        <f t="shared" si="45"/>
        <v>#N/A</v>
      </c>
    </row>
    <row r="2696" spans="1:7">
      <c r="A2696" s="112" t="e">
        <f>VLOOKUP('Informe Kelly'!A2690,Base!A:B,2,FALSE)</f>
        <v>#N/A</v>
      </c>
      <c r="B2696" s="112" t="e">
        <f>VLOOKUP('Informe Kelly'!A2690,Base!A:G,7,FALSE)</f>
        <v>#N/A</v>
      </c>
      <c r="C2696" s="112">
        <f>'Informe Kelly'!E2690</f>
        <v>0</v>
      </c>
      <c r="D2696" s="112" t="e">
        <f>VLOOKUP(A2696,Ingreso!K:P,6,FALSE)</f>
        <v>#N/A</v>
      </c>
      <c r="E2696" s="142" t="e">
        <f>(VLOOKUP(D2696,$D$2:$E$4,2,FALSE))-(IF('Informe Kelly'!H2690=$A$2,'Informe Kelly'!F2690,VLOOKUP(D2696,$D$2:$E$4,2,FALSE)))</f>
        <v>#N/A</v>
      </c>
      <c r="F2696" s="142" t="e">
        <f>IF('Informe Kelly'!H2690=$A$3,'Informe Kelly'!F2690,VLOOKUP(D2696,$D$2:$F$4,3,FALSE))-(VLOOKUP(D2696,$D$2:$F$4,3,FALSE))</f>
        <v>#N/A</v>
      </c>
      <c r="G2696" s="137" t="e">
        <f t="shared" si="45"/>
        <v>#N/A</v>
      </c>
    </row>
    <row r="2697" spans="1:7">
      <c r="A2697" s="112" t="e">
        <f>VLOOKUP('Informe Kelly'!A2691,Base!A:B,2,FALSE)</f>
        <v>#N/A</v>
      </c>
      <c r="B2697" s="112" t="e">
        <f>VLOOKUP('Informe Kelly'!A2691,Base!A:G,7,FALSE)</f>
        <v>#N/A</v>
      </c>
      <c r="C2697" s="112">
        <f>'Informe Kelly'!E2691</f>
        <v>0</v>
      </c>
      <c r="D2697" s="112" t="e">
        <f>VLOOKUP(A2697,Ingreso!K:P,6,FALSE)</f>
        <v>#N/A</v>
      </c>
      <c r="E2697" s="142" t="e">
        <f>(VLOOKUP(D2697,$D$2:$E$4,2,FALSE))-(IF('Informe Kelly'!H2691=$A$2,'Informe Kelly'!F2691,VLOOKUP(D2697,$D$2:$E$4,2,FALSE)))</f>
        <v>#N/A</v>
      </c>
      <c r="F2697" s="142" t="e">
        <f>IF('Informe Kelly'!H2691=$A$3,'Informe Kelly'!F2691,VLOOKUP(D2697,$D$2:$F$4,3,FALSE))-(VLOOKUP(D2697,$D$2:$F$4,3,FALSE))</f>
        <v>#N/A</v>
      </c>
      <c r="G2697" s="137" t="e">
        <f t="shared" ref="G2697:G2760" si="46">IF(E2697="",IF(F2697&lt;0.0409722222222222,0,E2697),IF(E2697&lt;0.0409722222222222,0,E2697))</f>
        <v>#N/A</v>
      </c>
    </row>
    <row r="2698" spans="1:7">
      <c r="A2698" s="112" t="e">
        <f>VLOOKUP('Informe Kelly'!A2692,Base!A:B,2,FALSE)</f>
        <v>#N/A</v>
      </c>
      <c r="B2698" s="112" t="e">
        <f>VLOOKUP('Informe Kelly'!A2692,Base!A:G,7,FALSE)</f>
        <v>#N/A</v>
      </c>
      <c r="C2698" s="112">
        <f>'Informe Kelly'!E2692</f>
        <v>0</v>
      </c>
      <c r="D2698" s="112" t="e">
        <f>VLOOKUP(A2698,Ingreso!K:P,6,FALSE)</f>
        <v>#N/A</v>
      </c>
      <c r="E2698" s="142" t="e">
        <f>(VLOOKUP(D2698,$D$2:$E$4,2,FALSE))-(IF('Informe Kelly'!H2692=$A$2,'Informe Kelly'!F2692,VLOOKUP(D2698,$D$2:$E$4,2,FALSE)))</f>
        <v>#N/A</v>
      </c>
      <c r="F2698" s="142" t="e">
        <f>IF('Informe Kelly'!H2692=$A$3,'Informe Kelly'!F2692,VLOOKUP(D2698,$D$2:$F$4,3,FALSE))-(VLOOKUP(D2698,$D$2:$F$4,3,FALSE))</f>
        <v>#N/A</v>
      </c>
      <c r="G2698" s="137" t="e">
        <f t="shared" si="46"/>
        <v>#N/A</v>
      </c>
    </row>
    <row r="2699" spans="1:7">
      <c r="A2699" s="112" t="e">
        <f>VLOOKUP('Informe Kelly'!A2693,Base!A:B,2,FALSE)</f>
        <v>#N/A</v>
      </c>
      <c r="B2699" s="112" t="e">
        <f>VLOOKUP('Informe Kelly'!A2693,Base!A:G,7,FALSE)</f>
        <v>#N/A</v>
      </c>
      <c r="C2699" s="112">
        <f>'Informe Kelly'!E2693</f>
        <v>0</v>
      </c>
      <c r="D2699" s="112" t="e">
        <f>VLOOKUP(A2699,Ingreso!K:P,6,FALSE)</f>
        <v>#N/A</v>
      </c>
      <c r="E2699" s="142" t="e">
        <f>(VLOOKUP(D2699,$D$2:$E$4,2,FALSE))-(IF('Informe Kelly'!H2693=$A$2,'Informe Kelly'!F2693,VLOOKUP(D2699,$D$2:$E$4,2,FALSE)))</f>
        <v>#N/A</v>
      </c>
      <c r="F2699" s="142" t="e">
        <f>IF('Informe Kelly'!H2693=$A$3,'Informe Kelly'!F2693,VLOOKUP(D2699,$D$2:$F$4,3,FALSE))-(VLOOKUP(D2699,$D$2:$F$4,3,FALSE))</f>
        <v>#N/A</v>
      </c>
      <c r="G2699" s="137" t="e">
        <f t="shared" si="46"/>
        <v>#N/A</v>
      </c>
    </row>
    <row r="2700" spans="1:7">
      <c r="A2700" s="112" t="e">
        <f>VLOOKUP('Informe Kelly'!A2694,Base!A:B,2,FALSE)</f>
        <v>#N/A</v>
      </c>
      <c r="B2700" s="112" t="e">
        <f>VLOOKUP('Informe Kelly'!A2694,Base!A:G,7,FALSE)</f>
        <v>#N/A</v>
      </c>
      <c r="C2700" s="112">
        <f>'Informe Kelly'!E2694</f>
        <v>0</v>
      </c>
      <c r="D2700" s="112" t="e">
        <f>VLOOKUP(A2700,Ingreso!K:P,6,FALSE)</f>
        <v>#N/A</v>
      </c>
      <c r="E2700" s="142" t="e">
        <f>(VLOOKUP(D2700,$D$2:$E$4,2,FALSE))-(IF('Informe Kelly'!H2694=$A$2,'Informe Kelly'!F2694,VLOOKUP(D2700,$D$2:$E$4,2,FALSE)))</f>
        <v>#N/A</v>
      </c>
      <c r="F2700" s="142" t="e">
        <f>IF('Informe Kelly'!H2694=$A$3,'Informe Kelly'!F2694,VLOOKUP(D2700,$D$2:$F$4,3,FALSE))-(VLOOKUP(D2700,$D$2:$F$4,3,FALSE))</f>
        <v>#N/A</v>
      </c>
      <c r="G2700" s="137" t="e">
        <f t="shared" si="46"/>
        <v>#N/A</v>
      </c>
    </row>
    <row r="2701" spans="1:7">
      <c r="A2701" s="112" t="e">
        <f>VLOOKUP('Informe Kelly'!A2695,Base!A:B,2,FALSE)</f>
        <v>#N/A</v>
      </c>
      <c r="B2701" s="112" t="e">
        <f>VLOOKUP('Informe Kelly'!A2695,Base!A:G,7,FALSE)</f>
        <v>#N/A</v>
      </c>
      <c r="C2701" s="112">
        <f>'Informe Kelly'!E2695</f>
        <v>0</v>
      </c>
      <c r="D2701" s="112" t="e">
        <f>VLOOKUP(A2701,Ingreso!K:P,6,FALSE)</f>
        <v>#N/A</v>
      </c>
      <c r="E2701" s="142" t="e">
        <f>(VLOOKUP(D2701,$D$2:$E$4,2,FALSE))-(IF('Informe Kelly'!H2695=$A$2,'Informe Kelly'!F2695,VLOOKUP(D2701,$D$2:$E$4,2,FALSE)))</f>
        <v>#N/A</v>
      </c>
      <c r="F2701" s="142" t="e">
        <f>IF('Informe Kelly'!H2695=$A$3,'Informe Kelly'!F2695,VLOOKUP(D2701,$D$2:$F$4,3,FALSE))-(VLOOKUP(D2701,$D$2:$F$4,3,FALSE))</f>
        <v>#N/A</v>
      </c>
      <c r="G2701" s="137" t="e">
        <f t="shared" si="46"/>
        <v>#N/A</v>
      </c>
    </row>
    <row r="2702" spans="1:7">
      <c r="A2702" s="112" t="e">
        <f>VLOOKUP('Informe Kelly'!A2696,Base!A:B,2,FALSE)</f>
        <v>#N/A</v>
      </c>
      <c r="B2702" s="112" t="e">
        <f>VLOOKUP('Informe Kelly'!A2696,Base!A:G,7,FALSE)</f>
        <v>#N/A</v>
      </c>
      <c r="C2702" s="112">
        <f>'Informe Kelly'!E2696</f>
        <v>0</v>
      </c>
      <c r="D2702" s="112" t="e">
        <f>VLOOKUP(A2702,Ingreso!K:P,6,FALSE)</f>
        <v>#N/A</v>
      </c>
      <c r="E2702" s="142" t="e">
        <f>(VLOOKUP(D2702,$D$2:$E$4,2,FALSE))-(IF('Informe Kelly'!H2696=$A$2,'Informe Kelly'!F2696,VLOOKUP(D2702,$D$2:$E$4,2,FALSE)))</f>
        <v>#N/A</v>
      </c>
      <c r="F2702" s="142" t="e">
        <f>IF('Informe Kelly'!H2696=$A$3,'Informe Kelly'!F2696,VLOOKUP(D2702,$D$2:$F$4,3,FALSE))-(VLOOKUP(D2702,$D$2:$F$4,3,FALSE))</f>
        <v>#N/A</v>
      </c>
      <c r="G2702" s="137" t="e">
        <f t="shared" si="46"/>
        <v>#N/A</v>
      </c>
    </row>
    <row r="2703" spans="1:7">
      <c r="A2703" s="112" t="e">
        <f>VLOOKUP('Informe Kelly'!A2697,Base!A:B,2,FALSE)</f>
        <v>#N/A</v>
      </c>
      <c r="B2703" s="112" t="e">
        <f>VLOOKUP('Informe Kelly'!A2697,Base!A:G,7,FALSE)</f>
        <v>#N/A</v>
      </c>
      <c r="C2703" s="112">
        <f>'Informe Kelly'!E2697</f>
        <v>0</v>
      </c>
      <c r="D2703" s="112" t="e">
        <f>VLOOKUP(A2703,Ingreso!K:P,6,FALSE)</f>
        <v>#N/A</v>
      </c>
      <c r="E2703" s="142" t="e">
        <f>(VLOOKUP(D2703,$D$2:$E$4,2,FALSE))-(IF('Informe Kelly'!H2697=$A$2,'Informe Kelly'!F2697,VLOOKUP(D2703,$D$2:$E$4,2,FALSE)))</f>
        <v>#N/A</v>
      </c>
      <c r="F2703" s="142" t="e">
        <f>IF('Informe Kelly'!H2697=$A$3,'Informe Kelly'!F2697,VLOOKUP(D2703,$D$2:$F$4,3,FALSE))-(VLOOKUP(D2703,$D$2:$F$4,3,FALSE))</f>
        <v>#N/A</v>
      </c>
      <c r="G2703" s="137" t="e">
        <f t="shared" si="46"/>
        <v>#N/A</v>
      </c>
    </row>
    <row r="2704" spans="1:7">
      <c r="A2704" s="112" t="e">
        <f>VLOOKUP('Informe Kelly'!A2698,Base!A:B,2,FALSE)</f>
        <v>#N/A</v>
      </c>
      <c r="B2704" s="112" t="e">
        <f>VLOOKUP('Informe Kelly'!A2698,Base!A:G,7,FALSE)</f>
        <v>#N/A</v>
      </c>
      <c r="C2704" s="112">
        <f>'Informe Kelly'!E2698</f>
        <v>0</v>
      </c>
      <c r="D2704" s="112" t="e">
        <f>VLOOKUP(A2704,Ingreso!K:P,6,FALSE)</f>
        <v>#N/A</v>
      </c>
      <c r="E2704" s="142" t="e">
        <f>(VLOOKUP(D2704,$D$2:$E$4,2,FALSE))-(IF('Informe Kelly'!H2698=$A$2,'Informe Kelly'!F2698,VLOOKUP(D2704,$D$2:$E$4,2,FALSE)))</f>
        <v>#N/A</v>
      </c>
      <c r="F2704" s="142" t="e">
        <f>IF('Informe Kelly'!H2698=$A$3,'Informe Kelly'!F2698,VLOOKUP(D2704,$D$2:$F$4,3,FALSE))-(VLOOKUP(D2704,$D$2:$F$4,3,FALSE))</f>
        <v>#N/A</v>
      </c>
      <c r="G2704" s="137" t="e">
        <f t="shared" si="46"/>
        <v>#N/A</v>
      </c>
    </row>
    <row r="2705" spans="1:7">
      <c r="A2705" s="112" t="e">
        <f>VLOOKUP('Informe Kelly'!A2699,Base!A:B,2,FALSE)</f>
        <v>#N/A</v>
      </c>
      <c r="B2705" s="112" t="e">
        <f>VLOOKUP('Informe Kelly'!A2699,Base!A:G,7,FALSE)</f>
        <v>#N/A</v>
      </c>
      <c r="C2705" s="112">
        <f>'Informe Kelly'!E2699</f>
        <v>0</v>
      </c>
      <c r="D2705" s="112" t="e">
        <f>VLOOKUP(A2705,Ingreso!K:P,6,FALSE)</f>
        <v>#N/A</v>
      </c>
      <c r="E2705" s="142" t="e">
        <f>(VLOOKUP(D2705,$D$2:$E$4,2,FALSE))-(IF('Informe Kelly'!H2699=$A$2,'Informe Kelly'!F2699,VLOOKUP(D2705,$D$2:$E$4,2,FALSE)))</f>
        <v>#N/A</v>
      </c>
      <c r="F2705" s="142" t="e">
        <f>IF('Informe Kelly'!H2699=$A$3,'Informe Kelly'!F2699,VLOOKUP(D2705,$D$2:$F$4,3,FALSE))-(VLOOKUP(D2705,$D$2:$F$4,3,FALSE))</f>
        <v>#N/A</v>
      </c>
      <c r="G2705" s="137" t="e">
        <f t="shared" si="46"/>
        <v>#N/A</v>
      </c>
    </row>
    <row r="2706" spans="1:7">
      <c r="A2706" s="112" t="e">
        <f>VLOOKUP('Informe Kelly'!A2700,Base!A:B,2,FALSE)</f>
        <v>#N/A</v>
      </c>
      <c r="B2706" s="112" t="e">
        <f>VLOOKUP('Informe Kelly'!A2700,Base!A:G,7,FALSE)</f>
        <v>#N/A</v>
      </c>
      <c r="C2706" s="112">
        <f>'Informe Kelly'!E2700</f>
        <v>0</v>
      </c>
      <c r="D2706" s="112" t="e">
        <f>VLOOKUP(A2706,Ingreso!K:P,6,FALSE)</f>
        <v>#N/A</v>
      </c>
      <c r="E2706" s="142" t="e">
        <f>(VLOOKUP(D2706,$D$2:$E$4,2,FALSE))-(IF('Informe Kelly'!H2700=$A$2,'Informe Kelly'!F2700,VLOOKUP(D2706,$D$2:$E$4,2,FALSE)))</f>
        <v>#N/A</v>
      </c>
      <c r="F2706" s="142" t="e">
        <f>IF('Informe Kelly'!H2700=$A$3,'Informe Kelly'!F2700,VLOOKUP(D2706,$D$2:$F$4,3,FALSE))-(VLOOKUP(D2706,$D$2:$F$4,3,FALSE))</f>
        <v>#N/A</v>
      </c>
      <c r="G2706" s="137" t="e">
        <f t="shared" si="46"/>
        <v>#N/A</v>
      </c>
    </row>
    <row r="2707" spans="1:7">
      <c r="A2707" s="112" t="e">
        <f>VLOOKUP('Informe Kelly'!A2701,Base!A:B,2,FALSE)</f>
        <v>#N/A</v>
      </c>
      <c r="B2707" s="112" t="e">
        <f>VLOOKUP('Informe Kelly'!A2701,Base!A:G,7,FALSE)</f>
        <v>#N/A</v>
      </c>
      <c r="C2707" s="112">
        <f>'Informe Kelly'!E2701</f>
        <v>0</v>
      </c>
      <c r="D2707" s="112" t="e">
        <f>VLOOKUP(A2707,Ingreso!K:P,6,FALSE)</f>
        <v>#N/A</v>
      </c>
      <c r="E2707" s="142" t="e">
        <f>(VLOOKUP(D2707,$D$2:$E$4,2,FALSE))-(IF('Informe Kelly'!H2701=$A$2,'Informe Kelly'!F2701,VLOOKUP(D2707,$D$2:$E$4,2,FALSE)))</f>
        <v>#N/A</v>
      </c>
      <c r="F2707" s="142" t="e">
        <f>IF('Informe Kelly'!H2701=$A$3,'Informe Kelly'!F2701,VLOOKUP(D2707,$D$2:$F$4,3,FALSE))-(VLOOKUP(D2707,$D$2:$F$4,3,FALSE))</f>
        <v>#N/A</v>
      </c>
      <c r="G2707" s="137" t="e">
        <f t="shared" si="46"/>
        <v>#N/A</v>
      </c>
    </row>
    <row r="2708" spans="1:7">
      <c r="A2708" s="112" t="e">
        <f>VLOOKUP('Informe Kelly'!A2702,Base!A:B,2,FALSE)</f>
        <v>#N/A</v>
      </c>
      <c r="B2708" s="112" t="e">
        <f>VLOOKUP('Informe Kelly'!A2702,Base!A:G,7,FALSE)</f>
        <v>#N/A</v>
      </c>
      <c r="C2708" s="112">
        <f>'Informe Kelly'!E2702</f>
        <v>0</v>
      </c>
      <c r="D2708" s="112" t="e">
        <f>VLOOKUP(A2708,Ingreso!K:P,6,FALSE)</f>
        <v>#N/A</v>
      </c>
      <c r="E2708" s="142" t="e">
        <f>(VLOOKUP(D2708,$D$2:$E$4,2,FALSE))-(IF('Informe Kelly'!H2702=$A$2,'Informe Kelly'!F2702,VLOOKUP(D2708,$D$2:$E$4,2,FALSE)))</f>
        <v>#N/A</v>
      </c>
      <c r="F2708" s="142" t="e">
        <f>IF('Informe Kelly'!H2702=$A$3,'Informe Kelly'!F2702,VLOOKUP(D2708,$D$2:$F$4,3,FALSE))-(VLOOKUP(D2708,$D$2:$F$4,3,FALSE))</f>
        <v>#N/A</v>
      </c>
      <c r="G2708" s="137" t="e">
        <f t="shared" si="46"/>
        <v>#N/A</v>
      </c>
    </row>
    <row r="2709" spans="1:7">
      <c r="A2709" s="112" t="e">
        <f>VLOOKUP('Informe Kelly'!A2703,Base!A:B,2,FALSE)</f>
        <v>#N/A</v>
      </c>
      <c r="B2709" s="112" t="e">
        <f>VLOOKUP('Informe Kelly'!A2703,Base!A:G,7,FALSE)</f>
        <v>#N/A</v>
      </c>
      <c r="C2709" s="112">
        <f>'Informe Kelly'!E2703</f>
        <v>0</v>
      </c>
      <c r="D2709" s="112" t="e">
        <f>VLOOKUP(A2709,Ingreso!K:P,6,FALSE)</f>
        <v>#N/A</v>
      </c>
      <c r="E2709" s="142" t="e">
        <f>(VLOOKUP(D2709,$D$2:$E$4,2,FALSE))-(IF('Informe Kelly'!H2703=$A$2,'Informe Kelly'!F2703,VLOOKUP(D2709,$D$2:$E$4,2,FALSE)))</f>
        <v>#N/A</v>
      </c>
      <c r="F2709" s="142" t="e">
        <f>IF('Informe Kelly'!H2703=$A$3,'Informe Kelly'!F2703,VLOOKUP(D2709,$D$2:$F$4,3,FALSE))-(VLOOKUP(D2709,$D$2:$F$4,3,FALSE))</f>
        <v>#N/A</v>
      </c>
      <c r="G2709" s="137" t="e">
        <f t="shared" si="46"/>
        <v>#N/A</v>
      </c>
    </row>
    <row r="2710" spans="1:7">
      <c r="A2710" s="112" t="e">
        <f>VLOOKUP('Informe Kelly'!A2704,Base!A:B,2,FALSE)</f>
        <v>#N/A</v>
      </c>
      <c r="B2710" s="112" t="e">
        <f>VLOOKUP('Informe Kelly'!A2704,Base!A:G,7,FALSE)</f>
        <v>#N/A</v>
      </c>
      <c r="C2710" s="112">
        <f>'Informe Kelly'!E2704</f>
        <v>0</v>
      </c>
      <c r="D2710" s="112" t="e">
        <f>VLOOKUP(A2710,Ingreso!K:P,6,FALSE)</f>
        <v>#N/A</v>
      </c>
      <c r="E2710" s="142" t="e">
        <f>(VLOOKUP(D2710,$D$2:$E$4,2,FALSE))-(IF('Informe Kelly'!H2704=$A$2,'Informe Kelly'!F2704,VLOOKUP(D2710,$D$2:$E$4,2,FALSE)))</f>
        <v>#N/A</v>
      </c>
      <c r="F2710" s="142" t="e">
        <f>IF('Informe Kelly'!H2704=$A$3,'Informe Kelly'!F2704,VLOOKUP(D2710,$D$2:$F$4,3,FALSE))-(VLOOKUP(D2710,$D$2:$F$4,3,FALSE))</f>
        <v>#N/A</v>
      </c>
      <c r="G2710" s="137" t="e">
        <f t="shared" si="46"/>
        <v>#N/A</v>
      </c>
    </row>
    <row r="2711" spans="1:7">
      <c r="A2711" s="112" t="e">
        <f>VLOOKUP('Informe Kelly'!A2705,Base!A:B,2,FALSE)</f>
        <v>#N/A</v>
      </c>
      <c r="B2711" s="112" t="e">
        <f>VLOOKUP('Informe Kelly'!A2705,Base!A:G,7,FALSE)</f>
        <v>#N/A</v>
      </c>
      <c r="C2711" s="112">
        <f>'Informe Kelly'!E2705</f>
        <v>0</v>
      </c>
      <c r="D2711" s="112" t="e">
        <f>VLOOKUP(A2711,Ingreso!K:P,6,FALSE)</f>
        <v>#N/A</v>
      </c>
      <c r="E2711" s="142" t="e">
        <f>(VLOOKUP(D2711,$D$2:$E$4,2,FALSE))-(IF('Informe Kelly'!H2705=$A$2,'Informe Kelly'!F2705,VLOOKUP(D2711,$D$2:$E$4,2,FALSE)))</f>
        <v>#N/A</v>
      </c>
      <c r="F2711" s="142" t="e">
        <f>IF('Informe Kelly'!H2705=$A$3,'Informe Kelly'!F2705,VLOOKUP(D2711,$D$2:$F$4,3,FALSE))-(VLOOKUP(D2711,$D$2:$F$4,3,FALSE))</f>
        <v>#N/A</v>
      </c>
      <c r="G2711" s="137" t="e">
        <f t="shared" si="46"/>
        <v>#N/A</v>
      </c>
    </row>
    <row r="2712" spans="1:7">
      <c r="A2712" s="112" t="e">
        <f>VLOOKUP('Informe Kelly'!A2706,Base!A:B,2,FALSE)</f>
        <v>#N/A</v>
      </c>
      <c r="B2712" s="112" t="e">
        <f>VLOOKUP('Informe Kelly'!A2706,Base!A:G,7,FALSE)</f>
        <v>#N/A</v>
      </c>
      <c r="C2712" s="112">
        <f>'Informe Kelly'!E2706</f>
        <v>0</v>
      </c>
      <c r="D2712" s="112" t="e">
        <f>VLOOKUP(A2712,Ingreso!K:P,6,FALSE)</f>
        <v>#N/A</v>
      </c>
      <c r="E2712" s="142" t="e">
        <f>(VLOOKUP(D2712,$D$2:$E$4,2,FALSE))-(IF('Informe Kelly'!H2706=$A$2,'Informe Kelly'!F2706,VLOOKUP(D2712,$D$2:$E$4,2,FALSE)))</f>
        <v>#N/A</v>
      </c>
      <c r="F2712" s="142" t="e">
        <f>IF('Informe Kelly'!H2706=$A$3,'Informe Kelly'!F2706,VLOOKUP(D2712,$D$2:$F$4,3,FALSE))-(VLOOKUP(D2712,$D$2:$F$4,3,FALSE))</f>
        <v>#N/A</v>
      </c>
      <c r="G2712" s="137" t="e">
        <f t="shared" si="46"/>
        <v>#N/A</v>
      </c>
    </row>
    <row r="2713" spans="1:7">
      <c r="A2713" s="112" t="e">
        <f>VLOOKUP('Informe Kelly'!A2707,Base!A:B,2,FALSE)</f>
        <v>#N/A</v>
      </c>
      <c r="B2713" s="112" t="e">
        <f>VLOOKUP('Informe Kelly'!A2707,Base!A:G,7,FALSE)</f>
        <v>#N/A</v>
      </c>
      <c r="C2713" s="112">
        <f>'Informe Kelly'!E2707</f>
        <v>0</v>
      </c>
      <c r="D2713" s="112" t="e">
        <f>VLOOKUP(A2713,Ingreso!K:P,6,FALSE)</f>
        <v>#N/A</v>
      </c>
      <c r="E2713" s="142" t="e">
        <f>(VLOOKUP(D2713,$D$2:$E$4,2,FALSE))-(IF('Informe Kelly'!H2707=$A$2,'Informe Kelly'!F2707,VLOOKUP(D2713,$D$2:$E$4,2,FALSE)))</f>
        <v>#N/A</v>
      </c>
      <c r="F2713" s="142" t="e">
        <f>IF('Informe Kelly'!H2707=$A$3,'Informe Kelly'!F2707,VLOOKUP(D2713,$D$2:$F$4,3,FALSE))-(VLOOKUP(D2713,$D$2:$F$4,3,FALSE))</f>
        <v>#N/A</v>
      </c>
      <c r="G2713" s="137" t="e">
        <f t="shared" si="46"/>
        <v>#N/A</v>
      </c>
    </row>
    <row r="2714" spans="1:7">
      <c r="A2714" s="112" t="e">
        <f>VLOOKUP('Informe Kelly'!A2708,Base!A:B,2,FALSE)</f>
        <v>#N/A</v>
      </c>
      <c r="B2714" s="112" t="e">
        <f>VLOOKUP('Informe Kelly'!A2708,Base!A:G,7,FALSE)</f>
        <v>#N/A</v>
      </c>
      <c r="C2714" s="112">
        <f>'Informe Kelly'!E2708</f>
        <v>0</v>
      </c>
      <c r="D2714" s="112" t="e">
        <f>VLOOKUP(A2714,Ingreso!K:P,6,FALSE)</f>
        <v>#N/A</v>
      </c>
      <c r="E2714" s="142" t="e">
        <f>(VLOOKUP(D2714,$D$2:$E$4,2,FALSE))-(IF('Informe Kelly'!H2708=$A$2,'Informe Kelly'!F2708,VLOOKUP(D2714,$D$2:$E$4,2,FALSE)))</f>
        <v>#N/A</v>
      </c>
      <c r="F2714" s="142" t="e">
        <f>IF('Informe Kelly'!H2708=$A$3,'Informe Kelly'!F2708,VLOOKUP(D2714,$D$2:$F$4,3,FALSE))-(VLOOKUP(D2714,$D$2:$F$4,3,FALSE))</f>
        <v>#N/A</v>
      </c>
      <c r="G2714" s="137" t="e">
        <f t="shared" si="46"/>
        <v>#N/A</v>
      </c>
    </row>
    <row r="2715" spans="1:7">
      <c r="A2715" s="112" t="e">
        <f>VLOOKUP('Informe Kelly'!A2709,Base!A:B,2,FALSE)</f>
        <v>#N/A</v>
      </c>
      <c r="B2715" s="112" t="e">
        <f>VLOOKUP('Informe Kelly'!A2709,Base!A:G,7,FALSE)</f>
        <v>#N/A</v>
      </c>
      <c r="C2715" s="112">
        <f>'Informe Kelly'!E2709</f>
        <v>0</v>
      </c>
      <c r="D2715" s="112" t="e">
        <f>VLOOKUP(A2715,Ingreso!K:P,6,FALSE)</f>
        <v>#N/A</v>
      </c>
      <c r="E2715" s="142" t="e">
        <f>(VLOOKUP(D2715,$D$2:$E$4,2,FALSE))-(IF('Informe Kelly'!H2709=$A$2,'Informe Kelly'!F2709,VLOOKUP(D2715,$D$2:$E$4,2,FALSE)))</f>
        <v>#N/A</v>
      </c>
      <c r="F2715" s="142" t="e">
        <f>IF('Informe Kelly'!H2709=$A$3,'Informe Kelly'!F2709,VLOOKUP(D2715,$D$2:$F$4,3,FALSE))-(VLOOKUP(D2715,$D$2:$F$4,3,FALSE))</f>
        <v>#N/A</v>
      </c>
      <c r="G2715" s="137" t="e">
        <f t="shared" si="46"/>
        <v>#N/A</v>
      </c>
    </row>
    <row r="2716" spans="1:7">
      <c r="A2716" s="112" t="e">
        <f>VLOOKUP('Informe Kelly'!A2710,Base!A:B,2,FALSE)</f>
        <v>#N/A</v>
      </c>
      <c r="B2716" s="112" t="e">
        <f>VLOOKUP('Informe Kelly'!A2710,Base!A:G,7,FALSE)</f>
        <v>#N/A</v>
      </c>
      <c r="C2716" s="112">
        <f>'Informe Kelly'!E2710</f>
        <v>0</v>
      </c>
      <c r="D2716" s="112" t="e">
        <f>VLOOKUP(A2716,Ingreso!K:P,6,FALSE)</f>
        <v>#N/A</v>
      </c>
      <c r="E2716" s="142" t="e">
        <f>(VLOOKUP(D2716,$D$2:$E$4,2,FALSE))-(IF('Informe Kelly'!H2710=$A$2,'Informe Kelly'!F2710,VLOOKUP(D2716,$D$2:$E$4,2,FALSE)))</f>
        <v>#N/A</v>
      </c>
      <c r="F2716" s="142" t="e">
        <f>IF('Informe Kelly'!H2710=$A$3,'Informe Kelly'!F2710,VLOOKUP(D2716,$D$2:$F$4,3,FALSE))-(VLOOKUP(D2716,$D$2:$F$4,3,FALSE))</f>
        <v>#N/A</v>
      </c>
      <c r="G2716" s="137" t="e">
        <f t="shared" si="46"/>
        <v>#N/A</v>
      </c>
    </row>
    <row r="2717" spans="1:7">
      <c r="A2717" s="112" t="e">
        <f>VLOOKUP('Informe Kelly'!A2711,Base!A:B,2,FALSE)</f>
        <v>#N/A</v>
      </c>
      <c r="B2717" s="112" t="e">
        <f>VLOOKUP('Informe Kelly'!A2711,Base!A:G,7,FALSE)</f>
        <v>#N/A</v>
      </c>
      <c r="C2717" s="112">
        <f>'Informe Kelly'!E2711</f>
        <v>0</v>
      </c>
      <c r="D2717" s="112" t="e">
        <f>VLOOKUP(A2717,Ingreso!K:P,6,FALSE)</f>
        <v>#N/A</v>
      </c>
      <c r="E2717" s="142" t="e">
        <f>(VLOOKUP(D2717,$D$2:$E$4,2,FALSE))-(IF('Informe Kelly'!H2711=$A$2,'Informe Kelly'!F2711,VLOOKUP(D2717,$D$2:$E$4,2,FALSE)))</f>
        <v>#N/A</v>
      </c>
      <c r="F2717" s="142" t="e">
        <f>IF('Informe Kelly'!H2711=$A$3,'Informe Kelly'!F2711,VLOOKUP(D2717,$D$2:$F$4,3,FALSE))-(VLOOKUP(D2717,$D$2:$F$4,3,FALSE))</f>
        <v>#N/A</v>
      </c>
      <c r="G2717" s="137" t="e">
        <f t="shared" si="46"/>
        <v>#N/A</v>
      </c>
    </row>
    <row r="2718" spans="1:7">
      <c r="A2718" s="112" t="e">
        <f>VLOOKUP('Informe Kelly'!A2712,Base!A:B,2,FALSE)</f>
        <v>#N/A</v>
      </c>
      <c r="B2718" s="112" t="e">
        <f>VLOOKUP('Informe Kelly'!A2712,Base!A:G,7,FALSE)</f>
        <v>#N/A</v>
      </c>
      <c r="C2718" s="112">
        <f>'Informe Kelly'!E2712</f>
        <v>0</v>
      </c>
      <c r="D2718" s="112" t="e">
        <f>VLOOKUP(A2718,Ingreso!K:P,6,FALSE)</f>
        <v>#N/A</v>
      </c>
      <c r="E2718" s="142" t="e">
        <f>(VLOOKUP(D2718,$D$2:$E$4,2,FALSE))-(IF('Informe Kelly'!H2712=$A$2,'Informe Kelly'!F2712,VLOOKUP(D2718,$D$2:$E$4,2,FALSE)))</f>
        <v>#N/A</v>
      </c>
      <c r="F2718" s="142" t="e">
        <f>IF('Informe Kelly'!H2712=$A$3,'Informe Kelly'!F2712,VLOOKUP(D2718,$D$2:$F$4,3,FALSE))-(VLOOKUP(D2718,$D$2:$F$4,3,FALSE))</f>
        <v>#N/A</v>
      </c>
      <c r="G2718" s="137" t="e">
        <f t="shared" si="46"/>
        <v>#N/A</v>
      </c>
    </row>
    <row r="2719" spans="1:7">
      <c r="A2719" s="112" t="e">
        <f>VLOOKUP('Informe Kelly'!A2713,Base!A:B,2,FALSE)</f>
        <v>#N/A</v>
      </c>
      <c r="B2719" s="112" t="e">
        <f>VLOOKUP('Informe Kelly'!A2713,Base!A:G,7,FALSE)</f>
        <v>#N/A</v>
      </c>
      <c r="C2719" s="112">
        <f>'Informe Kelly'!E2713</f>
        <v>0</v>
      </c>
      <c r="D2719" s="112" t="e">
        <f>VLOOKUP(A2719,Ingreso!K:P,6,FALSE)</f>
        <v>#N/A</v>
      </c>
      <c r="E2719" s="142" t="e">
        <f>(VLOOKUP(D2719,$D$2:$E$4,2,FALSE))-(IF('Informe Kelly'!H2713=$A$2,'Informe Kelly'!F2713,VLOOKUP(D2719,$D$2:$E$4,2,FALSE)))</f>
        <v>#N/A</v>
      </c>
      <c r="F2719" s="142" t="e">
        <f>IF('Informe Kelly'!H2713=$A$3,'Informe Kelly'!F2713,VLOOKUP(D2719,$D$2:$F$4,3,FALSE))-(VLOOKUP(D2719,$D$2:$F$4,3,FALSE))</f>
        <v>#N/A</v>
      </c>
      <c r="G2719" s="137" t="e">
        <f t="shared" si="46"/>
        <v>#N/A</v>
      </c>
    </row>
    <row r="2720" spans="1:7">
      <c r="A2720" s="112" t="e">
        <f>VLOOKUP('Informe Kelly'!A2714,Base!A:B,2,FALSE)</f>
        <v>#N/A</v>
      </c>
      <c r="B2720" s="112" t="e">
        <f>VLOOKUP('Informe Kelly'!A2714,Base!A:G,7,FALSE)</f>
        <v>#N/A</v>
      </c>
      <c r="C2720" s="112">
        <f>'Informe Kelly'!E2714</f>
        <v>0</v>
      </c>
      <c r="D2720" s="112" t="e">
        <f>VLOOKUP(A2720,Ingreso!K:P,6,FALSE)</f>
        <v>#N/A</v>
      </c>
      <c r="E2720" s="142" t="e">
        <f>(VLOOKUP(D2720,$D$2:$E$4,2,FALSE))-(IF('Informe Kelly'!H2714=$A$2,'Informe Kelly'!F2714,VLOOKUP(D2720,$D$2:$E$4,2,FALSE)))</f>
        <v>#N/A</v>
      </c>
      <c r="F2720" s="142" t="e">
        <f>IF('Informe Kelly'!H2714=$A$3,'Informe Kelly'!F2714,VLOOKUP(D2720,$D$2:$F$4,3,FALSE))-(VLOOKUP(D2720,$D$2:$F$4,3,FALSE))</f>
        <v>#N/A</v>
      </c>
      <c r="G2720" s="137" t="e">
        <f t="shared" si="46"/>
        <v>#N/A</v>
      </c>
    </row>
    <row r="2721" spans="1:7">
      <c r="A2721" s="112" t="e">
        <f>VLOOKUP('Informe Kelly'!A2715,Base!A:B,2,FALSE)</f>
        <v>#N/A</v>
      </c>
      <c r="B2721" s="112" t="e">
        <f>VLOOKUP('Informe Kelly'!A2715,Base!A:G,7,FALSE)</f>
        <v>#N/A</v>
      </c>
      <c r="C2721" s="112">
        <f>'Informe Kelly'!E2715</f>
        <v>0</v>
      </c>
      <c r="D2721" s="112" t="e">
        <f>VLOOKUP(A2721,Ingreso!K:P,6,FALSE)</f>
        <v>#N/A</v>
      </c>
      <c r="E2721" s="142" t="e">
        <f>(VLOOKUP(D2721,$D$2:$E$4,2,FALSE))-(IF('Informe Kelly'!H2715=$A$2,'Informe Kelly'!F2715,VLOOKUP(D2721,$D$2:$E$4,2,FALSE)))</f>
        <v>#N/A</v>
      </c>
      <c r="F2721" s="142" t="e">
        <f>IF('Informe Kelly'!H2715=$A$3,'Informe Kelly'!F2715,VLOOKUP(D2721,$D$2:$F$4,3,FALSE))-(VLOOKUP(D2721,$D$2:$F$4,3,FALSE))</f>
        <v>#N/A</v>
      </c>
      <c r="G2721" s="137" t="e">
        <f t="shared" si="46"/>
        <v>#N/A</v>
      </c>
    </row>
    <row r="2722" spans="1:7">
      <c r="A2722" s="112" t="e">
        <f>VLOOKUP('Informe Kelly'!A2716,Base!A:B,2,FALSE)</f>
        <v>#N/A</v>
      </c>
      <c r="B2722" s="112" t="e">
        <f>VLOOKUP('Informe Kelly'!A2716,Base!A:G,7,FALSE)</f>
        <v>#N/A</v>
      </c>
      <c r="C2722" s="112">
        <f>'Informe Kelly'!E2716</f>
        <v>0</v>
      </c>
      <c r="D2722" s="112" t="e">
        <f>VLOOKUP(A2722,Ingreso!K:P,6,FALSE)</f>
        <v>#N/A</v>
      </c>
      <c r="E2722" s="142" t="e">
        <f>(VLOOKUP(D2722,$D$2:$E$4,2,FALSE))-(IF('Informe Kelly'!H2716=$A$2,'Informe Kelly'!F2716,VLOOKUP(D2722,$D$2:$E$4,2,FALSE)))</f>
        <v>#N/A</v>
      </c>
      <c r="F2722" s="142" t="e">
        <f>IF('Informe Kelly'!H2716=$A$3,'Informe Kelly'!F2716,VLOOKUP(D2722,$D$2:$F$4,3,FALSE))-(VLOOKUP(D2722,$D$2:$F$4,3,FALSE))</f>
        <v>#N/A</v>
      </c>
      <c r="G2722" s="137" t="e">
        <f t="shared" si="46"/>
        <v>#N/A</v>
      </c>
    </row>
    <row r="2723" spans="1:7">
      <c r="A2723" s="112" t="e">
        <f>VLOOKUP('Informe Kelly'!A2717,Base!A:B,2,FALSE)</f>
        <v>#N/A</v>
      </c>
      <c r="B2723" s="112" t="e">
        <f>VLOOKUP('Informe Kelly'!A2717,Base!A:G,7,FALSE)</f>
        <v>#N/A</v>
      </c>
      <c r="C2723" s="112">
        <f>'Informe Kelly'!E2717</f>
        <v>0</v>
      </c>
      <c r="D2723" s="112" t="e">
        <f>VLOOKUP(A2723,Ingreso!K:P,6,FALSE)</f>
        <v>#N/A</v>
      </c>
      <c r="E2723" s="142" t="e">
        <f>(VLOOKUP(D2723,$D$2:$E$4,2,FALSE))-(IF('Informe Kelly'!H2717=$A$2,'Informe Kelly'!F2717,VLOOKUP(D2723,$D$2:$E$4,2,FALSE)))</f>
        <v>#N/A</v>
      </c>
      <c r="F2723" s="142" t="e">
        <f>IF('Informe Kelly'!H2717=$A$3,'Informe Kelly'!F2717,VLOOKUP(D2723,$D$2:$F$4,3,FALSE))-(VLOOKUP(D2723,$D$2:$F$4,3,FALSE))</f>
        <v>#N/A</v>
      </c>
      <c r="G2723" s="137" t="e">
        <f t="shared" si="46"/>
        <v>#N/A</v>
      </c>
    </row>
    <row r="2724" spans="1:7">
      <c r="A2724" s="112" t="e">
        <f>VLOOKUP('Informe Kelly'!A2718,Base!A:B,2,FALSE)</f>
        <v>#N/A</v>
      </c>
      <c r="B2724" s="112" t="e">
        <f>VLOOKUP('Informe Kelly'!A2718,Base!A:G,7,FALSE)</f>
        <v>#N/A</v>
      </c>
      <c r="C2724" s="112">
        <f>'Informe Kelly'!E2718</f>
        <v>0</v>
      </c>
      <c r="D2724" s="112" t="e">
        <f>VLOOKUP(A2724,Ingreso!K:P,6,FALSE)</f>
        <v>#N/A</v>
      </c>
      <c r="E2724" s="142" t="e">
        <f>(VLOOKUP(D2724,$D$2:$E$4,2,FALSE))-(IF('Informe Kelly'!H2718=$A$2,'Informe Kelly'!F2718,VLOOKUP(D2724,$D$2:$E$4,2,FALSE)))</f>
        <v>#N/A</v>
      </c>
      <c r="F2724" s="142" t="e">
        <f>IF('Informe Kelly'!H2718=$A$3,'Informe Kelly'!F2718,VLOOKUP(D2724,$D$2:$F$4,3,FALSE))-(VLOOKUP(D2724,$D$2:$F$4,3,FALSE))</f>
        <v>#N/A</v>
      </c>
      <c r="G2724" s="137" t="e">
        <f t="shared" si="46"/>
        <v>#N/A</v>
      </c>
    </row>
    <row r="2725" spans="1:7">
      <c r="A2725" s="112" t="e">
        <f>VLOOKUP('Informe Kelly'!A2719,Base!A:B,2,FALSE)</f>
        <v>#N/A</v>
      </c>
      <c r="B2725" s="112" t="e">
        <f>VLOOKUP('Informe Kelly'!A2719,Base!A:G,7,FALSE)</f>
        <v>#N/A</v>
      </c>
      <c r="C2725" s="112">
        <f>'Informe Kelly'!E2719</f>
        <v>0</v>
      </c>
      <c r="D2725" s="112" t="e">
        <f>VLOOKUP(A2725,Ingreso!K:P,6,FALSE)</f>
        <v>#N/A</v>
      </c>
      <c r="E2725" s="142" t="e">
        <f>(VLOOKUP(D2725,$D$2:$E$4,2,FALSE))-(IF('Informe Kelly'!H2719=$A$2,'Informe Kelly'!F2719,VLOOKUP(D2725,$D$2:$E$4,2,FALSE)))</f>
        <v>#N/A</v>
      </c>
      <c r="F2725" s="142" t="e">
        <f>IF('Informe Kelly'!H2719=$A$3,'Informe Kelly'!F2719,VLOOKUP(D2725,$D$2:$F$4,3,FALSE))-(VLOOKUP(D2725,$D$2:$F$4,3,FALSE))</f>
        <v>#N/A</v>
      </c>
      <c r="G2725" s="137" t="e">
        <f t="shared" si="46"/>
        <v>#N/A</v>
      </c>
    </row>
    <row r="2726" spans="1:7">
      <c r="A2726" s="112" t="e">
        <f>VLOOKUP('Informe Kelly'!A2720,Base!A:B,2,FALSE)</f>
        <v>#N/A</v>
      </c>
      <c r="B2726" s="112" t="e">
        <f>VLOOKUP('Informe Kelly'!A2720,Base!A:G,7,FALSE)</f>
        <v>#N/A</v>
      </c>
      <c r="C2726" s="112">
        <f>'Informe Kelly'!E2720</f>
        <v>0</v>
      </c>
      <c r="D2726" s="112" t="e">
        <f>VLOOKUP(A2726,Ingreso!K:P,6,FALSE)</f>
        <v>#N/A</v>
      </c>
      <c r="E2726" s="142" t="e">
        <f>(VLOOKUP(D2726,$D$2:$E$4,2,FALSE))-(IF('Informe Kelly'!H2720=$A$2,'Informe Kelly'!F2720,VLOOKUP(D2726,$D$2:$E$4,2,FALSE)))</f>
        <v>#N/A</v>
      </c>
      <c r="F2726" s="142" t="e">
        <f>IF('Informe Kelly'!H2720=$A$3,'Informe Kelly'!F2720,VLOOKUP(D2726,$D$2:$F$4,3,FALSE))-(VLOOKUP(D2726,$D$2:$F$4,3,FALSE))</f>
        <v>#N/A</v>
      </c>
      <c r="G2726" s="137" t="e">
        <f t="shared" si="46"/>
        <v>#N/A</v>
      </c>
    </row>
    <row r="2727" spans="1:7">
      <c r="A2727" s="112" t="e">
        <f>VLOOKUP('Informe Kelly'!A2721,Base!A:B,2,FALSE)</f>
        <v>#N/A</v>
      </c>
      <c r="B2727" s="112" t="e">
        <f>VLOOKUP('Informe Kelly'!A2721,Base!A:G,7,FALSE)</f>
        <v>#N/A</v>
      </c>
      <c r="C2727" s="112">
        <f>'Informe Kelly'!E2721</f>
        <v>0</v>
      </c>
      <c r="D2727" s="112" t="e">
        <f>VLOOKUP(A2727,Ingreso!K:P,6,FALSE)</f>
        <v>#N/A</v>
      </c>
      <c r="E2727" s="142" t="e">
        <f>(VLOOKUP(D2727,$D$2:$E$4,2,FALSE))-(IF('Informe Kelly'!H2721=$A$2,'Informe Kelly'!F2721,VLOOKUP(D2727,$D$2:$E$4,2,FALSE)))</f>
        <v>#N/A</v>
      </c>
      <c r="F2727" s="142" t="e">
        <f>IF('Informe Kelly'!H2721=$A$3,'Informe Kelly'!F2721,VLOOKUP(D2727,$D$2:$F$4,3,FALSE))-(VLOOKUP(D2727,$D$2:$F$4,3,FALSE))</f>
        <v>#N/A</v>
      </c>
      <c r="G2727" s="137" t="e">
        <f t="shared" si="46"/>
        <v>#N/A</v>
      </c>
    </row>
    <row r="2728" spans="1:7">
      <c r="A2728" s="112" t="e">
        <f>VLOOKUP('Informe Kelly'!A2722,Base!A:B,2,FALSE)</f>
        <v>#N/A</v>
      </c>
      <c r="B2728" s="112" t="e">
        <f>VLOOKUP('Informe Kelly'!A2722,Base!A:G,7,FALSE)</f>
        <v>#N/A</v>
      </c>
      <c r="C2728" s="112">
        <f>'Informe Kelly'!E2722</f>
        <v>0</v>
      </c>
      <c r="D2728" s="112" t="e">
        <f>VLOOKUP(A2728,Ingreso!K:P,6,FALSE)</f>
        <v>#N/A</v>
      </c>
      <c r="E2728" s="142" t="e">
        <f>(VLOOKUP(D2728,$D$2:$E$4,2,FALSE))-(IF('Informe Kelly'!H2722=$A$2,'Informe Kelly'!F2722,VLOOKUP(D2728,$D$2:$E$4,2,FALSE)))</f>
        <v>#N/A</v>
      </c>
      <c r="F2728" s="142" t="e">
        <f>IF('Informe Kelly'!H2722=$A$3,'Informe Kelly'!F2722,VLOOKUP(D2728,$D$2:$F$4,3,FALSE))-(VLOOKUP(D2728,$D$2:$F$4,3,FALSE))</f>
        <v>#N/A</v>
      </c>
      <c r="G2728" s="137" t="e">
        <f t="shared" si="46"/>
        <v>#N/A</v>
      </c>
    </row>
    <row r="2729" spans="1:7">
      <c r="A2729" s="112" t="e">
        <f>VLOOKUP('Informe Kelly'!A2723,Base!A:B,2,FALSE)</f>
        <v>#N/A</v>
      </c>
      <c r="B2729" s="112" t="e">
        <f>VLOOKUP('Informe Kelly'!A2723,Base!A:G,7,FALSE)</f>
        <v>#N/A</v>
      </c>
      <c r="C2729" s="112">
        <f>'Informe Kelly'!E2723</f>
        <v>0</v>
      </c>
      <c r="D2729" s="112" t="e">
        <f>VLOOKUP(A2729,Ingreso!K:P,6,FALSE)</f>
        <v>#N/A</v>
      </c>
      <c r="E2729" s="142" t="e">
        <f>(VLOOKUP(D2729,$D$2:$E$4,2,FALSE))-(IF('Informe Kelly'!H2723=$A$2,'Informe Kelly'!F2723,VLOOKUP(D2729,$D$2:$E$4,2,FALSE)))</f>
        <v>#N/A</v>
      </c>
      <c r="F2729" s="142" t="e">
        <f>IF('Informe Kelly'!H2723=$A$3,'Informe Kelly'!F2723,VLOOKUP(D2729,$D$2:$F$4,3,FALSE))-(VLOOKUP(D2729,$D$2:$F$4,3,FALSE))</f>
        <v>#N/A</v>
      </c>
      <c r="G2729" s="137" t="e">
        <f t="shared" si="46"/>
        <v>#N/A</v>
      </c>
    </row>
    <row r="2730" spans="1:7">
      <c r="A2730" s="112" t="e">
        <f>VLOOKUP('Informe Kelly'!A2724,Base!A:B,2,FALSE)</f>
        <v>#N/A</v>
      </c>
      <c r="B2730" s="112" t="e">
        <f>VLOOKUP('Informe Kelly'!A2724,Base!A:G,7,FALSE)</f>
        <v>#N/A</v>
      </c>
      <c r="C2730" s="112">
        <f>'Informe Kelly'!E2724</f>
        <v>0</v>
      </c>
      <c r="D2730" s="112" t="e">
        <f>VLOOKUP(A2730,Ingreso!K:P,6,FALSE)</f>
        <v>#N/A</v>
      </c>
      <c r="E2730" s="142" t="e">
        <f>(VLOOKUP(D2730,$D$2:$E$4,2,FALSE))-(IF('Informe Kelly'!H2724=$A$2,'Informe Kelly'!F2724,VLOOKUP(D2730,$D$2:$E$4,2,FALSE)))</f>
        <v>#N/A</v>
      </c>
      <c r="F2730" s="142" t="e">
        <f>IF('Informe Kelly'!H2724=$A$3,'Informe Kelly'!F2724,VLOOKUP(D2730,$D$2:$F$4,3,FALSE))-(VLOOKUP(D2730,$D$2:$F$4,3,FALSE))</f>
        <v>#N/A</v>
      </c>
      <c r="G2730" s="137" t="e">
        <f t="shared" si="46"/>
        <v>#N/A</v>
      </c>
    </row>
    <row r="2731" spans="1:7">
      <c r="A2731" s="112" t="e">
        <f>VLOOKUP('Informe Kelly'!A2725,Base!A:B,2,FALSE)</f>
        <v>#N/A</v>
      </c>
      <c r="B2731" s="112" t="e">
        <f>VLOOKUP('Informe Kelly'!A2725,Base!A:G,7,FALSE)</f>
        <v>#N/A</v>
      </c>
      <c r="C2731" s="112">
        <f>'Informe Kelly'!E2725</f>
        <v>0</v>
      </c>
      <c r="D2731" s="112" t="e">
        <f>VLOOKUP(A2731,Ingreso!K:P,6,FALSE)</f>
        <v>#N/A</v>
      </c>
      <c r="E2731" s="142" t="e">
        <f>(VLOOKUP(D2731,$D$2:$E$4,2,FALSE))-(IF('Informe Kelly'!H2725=$A$2,'Informe Kelly'!F2725,VLOOKUP(D2731,$D$2:$E$4,2,FALSE)))</f>
        <v>#N/A</v>
      </c>
      <c r="F2731" s="142" t="e">
        <f>IF('Informe Kelly'!H2725=$A$3,'Informe Kelly'!F2725,VLOOKUP(D2731,$D$2:$F$4,3,FALSE))-(VLOOKUP(D2731,$D$2:$F$4,3,FALSE))</f>
        <v>#N/A</v>
      </c>
      <c r="G2731" s="137" t="e">
        <f t="shared" si="46"/>
        <v>#N/A</v>
      </c>
    </row>
    <row r="2732" spans="1:7">
      <c r="A2732" s="112" t="e">
        <f>VLOOKUP('Informe Kelly'!A2726,Base!A:B,2,FALSE)</f>
        <v>#N/A</v>
      </c>
      <c r="B2732" s="112" t="e">
        <f>VLOOKUP('Informe Kelly'!A2726,Base!A:G,7,FALSE)</f>
        <v>#N/A</v>
      </c>
      <c r="C2732" s="112">
        <f>'Informe Kelly'!E2726</f>
        <v>0</v>
      </c>
      <c r="D2732" s="112" t="e">
        <f>VLOOKUP(A2732,Ingreso!K:P,6,FALSE)</f>
        <v>#N/A</v>
      </c>
      <c r="E2732" s="142" t="e">
        <f>(VLOOKUP(D2732,$D$2:$E$4,2,FALSE))-(IF('Informe Kelly'!H2726=$A$2,'Informe Kelly'!F2726,VLOOKUP(D2732,$D$2:$E$4,2,FALSE)))</f>
        <v>#N/A</v>
      </c>
      <c r="F2732" s="142" t="e">
        <f>IF('Informe Kelly'!H2726=$A$3,'Informe Kelly'!F2726,VLOOKUP(D2732,$D$2:$F$4,3,FALSE))-(VLOOKUP(D2732,$D$2:$F$4,3,FALSE))</f>
        <v>#N/A</v>
      </c>
      <c r="G2732" s="137" t="e">
        <f t="shared" si="46"/>
        <v>#N/A</v>
      </c>
    </row>
    <row r="2733" spans="1:7">
      <c r="A2733" s="112" t="e">
        <f>VLOOKUP('Informe Kelly'!A2727,Base!A:B,2,FALSE)</f>
        <v>#N/A</v>
      </c>
      <c r="B2733" s="112" t="e">
        <f>VLOOKUP('Informe Kelly'!A2727,Base!A:G,7,FALSE)</f>
        <v>#N/A</v>
      </c>
      <c r="C2733" s="112">
        <f>'Informe Kelly'!E2727</f>
        <v>0</v>
      </c>
      <c r="D2733" s="112" t="e">
        <f>VLOOKUP(A2733,Ingreso!K:P,6,FALSE)</f>
        <v>#N/A</v>
      </c>
      <c r="E2733" s="142" t="e">
        <f>(VLOOKUP(D2733,$D$2:$E$4,2,FALSE))-(IF('Informe Kelly'!H2727=$A$2,'Informe Kelly'!F2727,VLOOKUP(D2733,$D$2:$E$4,2,FALSE)))</f>
        <v>#N/A</v>
      </c>
      <c r="F2733" s="142" t="e">
        <f>IF('Informe Kelly'!H2727=$A$3,'Informe Kelly'!F2727,VLOOKUP(D2733,$D$2:$F$4,3,FALSE))-(VLOOKUP(D2733,$D$2:$F$4,3,FALSE))</f>
        <v>#N/A</v>
      </c>
      <c r="G2733" s="137" t="e">
        <f t="shared" si="46"/>
        <v>#N/A</v>
      </c>
    </row>
    <row r="2734" spans="1:7">
      <c r="A2734" s="112" t="e">
        <f>VLOOKUP('Informe Kelly'!A2728,Base!A:B,2,FALSE)</f>
        <v>#N/A</v>
      </c>
      <c r="B2734" s="112" t="e">
        <f>VLOOKUP('Informe Kelly'!A2728,Base!A:G,7,FALSE)</f>
        <v>#N/A</v>
      </c>
      <c r="C2734" s="112">
        <f>'Informe Kelly'!E2728</f>
        <v>0</v>
      </c>
      <c r="D2734" s="112" t="e">
        <f>VLOOKUP(A2734,Ingreso!K:P,6,FALSE)</f>
        <v>#N/A</v>
      </c>
      <c r="E2734" s="142" t="e">
        <f>(VLOOKUP(D2734,$D$2:$E$4,2,FALSE))-(IF('Informe Kelly'!H2728=$A$2,'Informe Kelly'!F2728,VLOOKUP(D2734,$D$2:$E$4,2,FALSE)))</f>
        <v>#N/A</v>
      </c>
      <c r="F2734" s="142" t="e">
        <f>IF('Informe Kelly'!H2728=$A$3,'Informe Kelly'!F2728,VLOOKUP(D2734,$D$2:$F$4,3,FALSE))-(VLOOKUP(D2734,$D$2:$F$4,3,FALSE))</f>
        <v>#N/A</v>
      </c>
      <c r="G2734" s="137" t="e">
        <f t="shared" si="46"/>
        <v>#N/A</v>
      </c>
    </row>
    <row r="2735" spans="1:7">
      <c r="A2735" s="112" t="e">
        <f>VLOOKUP('Informe Kelly'!A2729,Base!A:B,2,FALSE)</f>
        <v>#N/A</v>
      </c>
      <c r="B2735" s="112" t="e">
        <f>VLOOKUP('Informe Kelly'!A2729,Base!A:G,7,FALSE)</f>
        <v>#N/A</v>
      </c>
      <c r="C2735" s="112">
        <f>'Informe Kelly'!E2729</f>
        <v>0</v>
      </c>
      <c r="D2735" s="112" t="e">
        <f>VLOOKUP(A2735,Ingreso!K:P,6,FALSE)</f>
        <v>#N/A</v>
      </c>
      <c r="E2735" s="142" t="e">
        <f>(VLOOKUP(D2735,$D$2:$E$4,2,FALSE))-(IF('Informe Kelly'!H2729=$A$2,'Informe Kelly'!F2729,VLOOKUP(D2735,$D$2:$E$4,2,FALSE)))</f>
        <v>#N/A</v>
      </c>
      <c r="F2735" s="142" t="e">
        <f>IF('Informe Kelly'!H2729=$A$3,'Informe Kelly'!F2729,VLOOKUP(D2735,$D$2:$F$4,3,FALSE))-(VLOOKUP(D2735,$D$2:$F$4,3,FALSE))</f>
        <v>#N/A</v>
      </c>
      <c r="G2735" s="137" t="e">
        <f t="shared" si="46"/>
        <v>#N/A</v>
      </c>
    </row>
    <row r="2736" spans="1:7">
      <c r="A2736" s="112" t="e">
        <f>VLOOKUP('Informe Kelly'!A2730,Base!A:B,2,FALSE)</f>
        <v>#N/A</v>
      </c>
      <c r="B2736" s="112" t="e">
        <f>VLOOKUP('Informe Kelly'!A2730,Base!A:G,7,FALSE)</f>
        <v>#N/A</v>
      </c>
      <c r="C2736" s="112">
        <f>'Informe Kelly'!E2730</f>
        <v>0</v>
      </c>
      <c r="D2736" s="112" t="e">
        <f>VLOOKUP(A2736,Ingreso!K:P,6,FALSE)</f>
        <v>#N/A</v>
      </c>
      <c r="E2736" s="142" t="e">
        <f>(VLOOKUP(D2736,$D$2:$E$4,2,FALSE))-(IF('Informe Kelly'!H2730=$A$2,'Informe Kelly'!F2730,VLOOKUP(D2736,$D$2:$E$4,2,FALSE)))</f>
        <v>#N/A</v>
      </c>
      <c r="F2736" s="142" t="e">
        <f>IF('Informe Kelly'!H2730=$A$3,'Informe Kelly'!F2730,VLOOKUP(D2736,$D$2:$F$4,3,FALSE))-(VLOOKUP(D2736,$D$2:$F$4,3,FALSE))</f>
        <v>#N/A</v>
      </c>
      <c r="G2736" s="137" t="e">
        <f t="shared" si="46"/>
        <v>#N/A</v>
      </c>
    </row>
    <row r="2737" spans="1:7">
      <c r="A2737" s="112" t="e">
        <f>VLOOKUP('Informe Kelly'!A2731,Base!A:B,2,FALSE)</f>
        <v>#N/A</v>
      </c>
      <c r="B2737" s="112" t="e">
        <f>VLOOKUP('Informe Kelly'!A2731,Base!A:G,7,FALSE)</f>
        <v>#N/A</v>
      </c>
      <c r="C2737" s="112">
        <f>'Informe Kelly'!E2731</f>
        <v>0</v>
      </c>
      <c r="D2737" s="112" t="e">
        <f>VLOOKUP(A2737,Ingreso!K:P,6,FALSE)</f>
        <v>#N/A</v>
      </c>
      <c r="E2737" s="142" t="e">
        <f>(VLOOKUP(D2737,$D$2:$E$4,2,FALSE))-(IF('Informe Kelly'!H2731=$A$2,'Informe Kelly'!F2731,VLOOKUP(D2737,$D$2:$E$4,2,FALSE)))</f>
        <v>#N/A</v>
      </c>
      <c r="F2737" s="142" t="e">
        <f>IF('Informe Kelly'!H2731=$A$3,'Informe Kelly'!F2731,VLOOKUP(D2737,$D$2:$F$4,3,FALSE))-(VLOOKUP(D2737,$D$2:$F$4,3,FALSE))</f>
        <v>#N/A</v>
      </c>
      <c r="G2737" s="137" t="e">
        <f t="shared" si="46"/>
        <v>#N/A</v>
      </c>
    </row>
    <row r="2738" spans="1:7">
      <c r="A2738" s="112" t="e">
        <f>VLOOKUP('Informe Kelly'!A2732,Base!A:B,2,FALSE)</f>
        <v>#N/A</v>
      </c>
      <c r="B2738" s="112" t="e">
        <f>VLOOKUP('Informe Kelly'!A2732,Base!A:G,7,FALSE)</f>
        <v>#N/A</v>
      </c>
      <c r="C2738" s="112">
        <f>'Informe Kelly'!E2732</f>
        <v>0</v>
      </c>
      <c r="D2738" s="112" t="e">
        <f>VLOOKUP(A2738,Ingreso!K:P,6,FALSE)</f>
        <v>#N/A</v>
      </c>
      <c r="E2738" s="142" t="e">
        <f>(VLOOKUP(D2738,$D$2:$E$4,2,FALSE))-(IF('Informe Kelly'!H2732=$A$2,'Informe Kelly'!F2732,VLOOKUP(D2738,$D$2:$E$4,2,FALSE)))</f>
        <v>#N/A</v>
      </c>
      <c r="F2738" s="142" t="e">
        <f>IF('Informe Kelly'!H2732=$A$3,'Informe Kelly'!F2732,VLOOKUP(D2738,$D$2:$F$4,3,FALSE))-(VLOOKUP(D2738,$D$2:$F$4,3,FALSE))</f>
        <v>#N/A</v>
      </c>
      <c r="G2738" s="137" t="e">
        <f t="shared" si="46"/>
        <v>#N/A</v>
      </c>
    </row>
    <row r="2739" spans="1:7">
      <c r="A2739" s="112" t="e">
        <f>VLOOKUP('Informe Kelly'!A2733,Base!A:B,2,FALSE)</f>
        <v>#N/A</v>
      </c>
      <c r="B2739" s="112" t="e">
        <f>VLOOKUP('Informe Kelly'!A2733,Base!A:G,7,FALSE)</f>
        <v>#N/A</v>
      </c>
      <c r="C2739" s="112">
        <f>'Informe Kelly'!E2733</f>
        <v>0</v>
      </c>
      <c r="D2739" s="112" t="e">
        <f>VLOOKUP(A2739,Ingreso!K:P,6,FALSE)</f>
        <v>#N/A</v>
      </c>
      <c r="E2739" s="142" t="e">
        <f>(VLOOKUP(D2739,$D$2:$E$4,2,FALSE))-(IF('Informe Kelly'!H2733=$A$2,'Informe Kelly'!F2733,VLOOKUP(D2739,$D$2:$E$4,2,FALSE)))</f>
        <v>#N/A</v>
      </c>
      <c r="F2739" s="142" t="e">
        <f>IF('Informe Kelly'!H2733=$A$3,'Informe Kelly'!F2733,VLOOKUP(D2739,$D$2:$F$4,3,FALSE))-(VLOOKUP(D2739,$D$2:$F$4,3,FALSE))</f>
        <v>#N/A</v>
      </c>
      <c r="G2739" s="137" t="e">
        <f t="shared" si="46"/>
        <v>#N/A</v>
      </c>
    </row>
    <row r="2740" spans="1:7">
      <c r="A2740" s="112" t="e">
        <f>VLOOKUP('Informe Kelly'!A2734,Base!A:B,2,FALSE)</f>
        <v>#N/A</v>
      </c>
      <c r="B2740" s="112" t="e">
        <f>VLOOKUP('Informe Kelly'!A2734,Base!A:G,7,FALSE)</f>
        <v>#N/A</v>
      </c>
      <c r="C2740" s="112">
        <f>'Informe Kelly'!E2734</f>
        <v>0</v>
      </c>
      <c r="D2740" s="112" t="e">
        <f>VLOOKUP(A2740,Ingreso!K:P,6,FALSE)</f>
        <v>#N/A</v>
      </c>
      <c r="E2740" s="142" t="e">
        <f>(VLOOKUP(D2740,$D$2:$E$4,2,FALSE))-(IF('Informe Kelly'!H2734=$A$2,'Informe Kelly'!F2734,VLOOKUP(D2740,$D$2:$E$4,2,FALSE)))</f>
        <v>#N/A</v>
      </c>
      <c r="F2740" s="142" t="e">
        <f>IF('Informe Kelly'!H2734=$A$3,'Informe Kelly'!F2734,VLOOKUP(D2740,$D$2:$F$4,3,FALSE))-(VLOOKUP(D2740,$D$2:$F$4,3,FALSE))</f>
        <v>#N/A</v>
      </c>
      <c r="G2740" s="137" t="e">
        <f t="shared" si="46"/>
        <v>#N/A</v>
      </c>
    </row>
    <row r="2741" spans="1:7">
      <c r="A2741" s="112" t="e">
        <f>VLOOKUP('Informe Kelly'!A2735,Base!A:B,2,FALSE)</f>
        <v>#N/A</v>
      </c>
      <c r="B2741" s="112" t="e">
        <f>VLOOKUP('Informe Kelly'!A2735,Base!A:G,7,FALSE)</f>
        <v>#N/A</v>
      </c>
      <c r="C2741" s="112">
        <f>'Informe Kelly'!E2735</f>
        <v>0</v>
      </c>
      <c r="D2741" s="112" t="e">
        <f>VLOOKUP(A2741,Ingreso!K:P,6,FALSE)</f>
        <v>#N/A</v>
      </c>
      <c r="E2741" s="142" t="e">
        <f>(VLOOKUP(D2741,$D$2:$E$4,2,FALSE))-(IF('Informe Kelly'!H2735=$A$2,'Informe Kelly'!F2735,VLOOKUP(D2741,$D$2:$E$4,2,FALSE)))</f>
        <v>#N/A</v>
      </c>
      <c r="F2741" s="142" t="e">
        <f>IF('Informe Kelly'!H2735=$A$3,'Informe Kelly'!F2735,VLOOKUP(D2741,$D$2:$F$4,3,FALSE))-(VLOOKUP(D2741,$D$2:$F$4,3,FALSE))</f>
        <v>#N/A</v>
      </c>
      <c r="G2741" s="137" t="e">
        <f t="shared" si="46"/>
        <v>#N/A</v>
      </c>
    </row>
    <row r="2742" spans="1:7">
      <c r="A2742" s="112" t="e">
        <f>VLOOKUP('Informe Kelly'!A2736,Base!A:B,2,FALSE)</f>
        <v>#N/A</v>
      </c>
      <c r="B2742" s="112" t="e">
        <f>VLOOKUP('Informe Kelly'!A2736,Base!A:G,7,FALSE)</f>
        <v>#N/A</v>
      </c>
      <c r="C2742" s="112">
        <f>'Informe Kelly'!E2736</f>
        <v>0</v>
      </c>
      <c r="D2742" s="112" t="e">
        <f>VLOOKUP(A2742,Ingreso!K:P,6,FALSE)</f>
        <v>#N/A</v>
      </c>
      <c r="E2742" s="142" t="e">
        <f>(VLOOKUP(D2742,$D$2:$E$4,2,FALSE))-(IF('Informe Kelly'!H2736=$A$2,'Informe Kelly'!F2736,VLOOKUP(D2742,$D$2:$E$4,2,FALSE)))</f>
        <v>#N/A</v>
      </c>
      <c r="F2742" s="142" t="e">
        <f>IF('Informe Kelly'!H2736=$A$3,'Informe Kelly'!F2736,VLOOKUP(D2742,$D$2:$F$4,3,FALSE))-(VLOOKUP(D2742,$D$2:$F$4,3,FALSE))</f>
        <v>#N/A</v>
      </c>
      <c r="G2742" s="137" t="e">
        <f t="shared" si="46"/>
        <v>#N/A</v>
      </c>
    </row>
    <row r="2743" spans="1:7">
      <c r="A2743" s="112" t="e">
        <f>VLOOKUP('Informe Kelly'!A2737,Base!A:B,2,FALSE)</f>
        <v>#N/A</v>
      </c>
      <c r="B2743" s="112" t="e">
        <f>VLOOKUP('Informe Kelly'!A2737,Base!A:G,7,FALSE)</f>
        <v>#N/A</v>
      </c>
      <c r="C2743" s="112">
        <f>'Informe Kelly'!E2737</f>
        <v>0</v>
      </c>
      <c r="D2743" s="112" t="e">
        <f>VLOOKUP(A2743,Ingreso!K:P,6,FALSE)</f>
        <v>#N/A</v>
      </c>
      <c r="E2743" s="142" t="e">
        <f>(VLOOKUP(D2743,$D$2:$E$4,2,FALSE))-(IF('Informe Kelly'!H2737=$A$2,'Informe Kelly'!F2737,VLOOKUP(D2743,$D$2:$E$4,2,FALSE)))</f>
        <v>#N/A</v>
      </c>
      <c r="F2743" s="142" t="e">
        <f>IF('Informe Kelly'!H2737=$A$3,'Informe Kelly'!F2737,VLOOKUP(D2743,$D$2:$F$4,3,FALSE))-(VLOOKUP(D2743,$D$2:$F$4,3,FALSE))</f>
        <v>#N/A</v>
      </c>
      <c r="G2743" s="137" t="e">
        <f t="shared" si="46"/>
        <v>#N/A</v>
      </c>
    </row>
    <row r="2744" spans="1:7">
      <c r="A2744" s="112" t="e">
        <f>VLOOKUP('Informe Kelly'!A2738,Base!A:B,2,FALSE)</f>
        <v>#N/A</v>
      </c>
      <c r="B2744" s="112" t="e">
        <f>VLOOKUP('Informe Kelly'!A2738,Base!A:G,7,FALSE)</f>
        <v>#N/A</v>
      </c>
      <c r="C2744" s="112">
        <f>'Informe Kelly'!E2738</f>
        <v>0</v>
      </c>
      <c r="D2744" s="112" t="e">
        <f>VLOOKUP(A2744,Ingreso!K:P,6,FALSE)</f>
        <v>#N/A</v>
      </c>
      <c r="E2744" s="142" t="e">
        <f>(VLOOKUP(D2744,$D$2:$E$4,2,FALSE))-(IF('Informe Kelly'!H2738=$A$2,'Informe Kelly'!F2738,VLOOKUP(D2744,$D$2:$E$4,2,FALSE)))</f>
        <v>#N/A</v>
      </c>
      <c r="F2744" s="142" t="e">
        <f>IF('Informe Kelly'!H2738=$A$3,'Informe Kelly'!F2738,VLOOKUP(D2744,$D$2:$F$4,3,FALSE))-(VLOOKUP(D2744,$D$2:$F$4,3,FALSE))</f>
        <v>#N/A</v>
      </c>
      <c r="G2744" s="137" t="e">
        <f t="shared" si="46"/>
        <v>#N/A</v>
      </c>
    </row>
    <row r="2745" spans="1:7">
      <c r="A2745" s="112" t="e">
        <f>VLOOKUP('Informe Kelly'!A2739,Base!A:B,2,FALSE)</f>
        <v>#N/A</v>
      </c>
      <c r="B2745" s="112" t="e">
        <f>VLOOKUP('Informe Kelly'!A2739,Base!A:G,7,FALSE)</f>
        <v>#N/A</v>
      </c>
      <c r="C2745" s="112">
        <f>'Informe Kelly'!E2739</f>
        <v>0</v>
      </c>
      <c r="D2745" s="112" t="e">
        <f>VLOOKUP(A2745,Ingreso!K:P,6,FALSE)</f>
        <v>#N/A</v>
      </c>
      <c r="E2745" s="142" t="e">
        <f>(VLOOKUP(D2745,$D$2:$E$4,2,FALSE))-(IF('Informe Kelly'!H2739=$A$2,'Informe Kelly'!F2739,VLOOKUP(D2745,$D$2:$E$4,2,FALSE)))</f>
        <v>#N/A</v>
      </c>
      <c r="F2745" s="142" t="e">
        <f>IF('Informe Kelly'!H2739=$A$3,'Informe Kelly'!F2739,VLOOKUP(D2745,$D$2:$F$4,3,FALSE))-(VLOOKUP(D2745,$D$2:$F$4,3,FALSE))</f>
        <v>#N/A</v>
      </c>
      <c r="G2745" s="137" t="e">
        <f t="shared" si="46"/>
        <v>#N/A</v>
      </c>
    </row>
    <row r="2746" spans="1:7">
      <c r="A2746" s="112" t="e">
        <f>VLOOKUP('Informe Kelly'!A2740,Base!A:B,2,FALSE)</f>
        <v>#N/A</v>
      </c>
      <c r="B2746" s="112" t="e">
        <f>VLOOKUP('Informe Kelly'!A2740,Base!A:G,7,FALSE)</f>
        <v>#N/A</v>
      </c>
      <c r="C2746" s="112">
        <f>'Informe Kelly'!E2740</f>
        <v>0</v>
      </c>
      <c r="D2746" s="112" t="e">
        <f>VLOOKUP(A2746,Ingreso!K:P,6,FALSE)</f>
        <v>#N/A</v>
      </c>
      <c r="E2746" s="142" t="e">
        <f>(VLOOKUP(D2746,$D$2:$E$4,2,FALSE))-(IF('Informe Kelly'!H2740=$A$2,'Informe Kelly'!F2740,VLOOKUP(D2746,$D$2:$E$4,2,FALSE)))</f>
        <v>#N/A</v>
      </c>
      <c r="F2746" s="142" t="e">
        <f>IF('Informe Kelly'!H2740=$A$3,'Informe Kelly'!F2740,VLOOKUP(D2746,$D$2:$F$4,3,FALSE))-(VLOOKUP(D2746,$D$2:$F$4,3,FALSE))</f>
        <v>#N/A</v>
      </c>
      <c r="G2746" s="137" t="e">
        <f t="shared" si="46"/>
        <v>#N/A</v>
      </c>
    </row>
    <row r="2747" spans="1:7">
      <c r="A2747" s="112" t="e">
        <f>VLOOKUP('Informe Kelly'!A2741,Base!A:B,2,FALSE)</f>
        <v>#N/A</v>
      </c>
      <c r="B2747" s="112" t="e">
        <f>VLOOKUP('Informe Kelly'!A2741,Base!A:G,7,FALSE)</f>
        <v>#N/A</v>
      </c>
      <c r="C2747" s="112">
        <f>'Informe Kelly'!E2741</f>
        <v>0</v>
      </c>
      <c r="D2747" s="112" t="e">
        <f>VLOOKUP(A2747,Ingreso!K:P,6,FALSE)</f>
        <v>#N/A</v>
      </c>
      <c r="E2747" s="142" t="e">
        <f>(VLOOKUP(D2747,$D$2:$E$4,2,FALSE))-(IF('Informe Kelly'!H2741=$A$2,'Informe Kelly'!F2741,VLOOKUP(D2747,$D$2:$E$4,2,FALSE)))</f>
        <v>#N/A</v>
      </c>
      <c r="F2747" s="142" t="e">
        <f>IF('Informe Kelly'!H2741=$A$3,'Informe Kelly'!F2741,VLOOKUP(D2747,$D$2:$F$4,3,FALSE))-(VLOOKUP(D2747,$D$2:$F$4,3,FALSE))</f>
        <v>#N/A</v>
      </c>
      <c r="G2747" s="137" t="e">
        <f t="shared" si="46"/>
        <v>#N/A</v>
      </c>
    </row>
    <row r="2748" spans="1:7">
      <c r="A2748" s="112" t="e">
        <f>VLOOKUP('Informe Kelly'!A2742,Base!A:B,2,FALSE)</f>
        <v>#N/A</v>
      </c>
      <c r="B2748" s="112" t="e">
        <f>VLOOKUP('Informe Kelly'!A2742,Base!A:G,7,FALSE)</f>
        <v>#N/A</v>
      </c>
      <c r="C2748" s="112">
        <f>'Informe Kelly'!E2742</f>
        <v>0</v>
      </c>
      <c r="D2748" s="112" t="e">
        <f>VLOOKUP(A2748,Ingreso!K:P,6,FALSE)</f>
        <v>#N/A</v>
      </c>
      <c r="E2748" s="142" t="e">
        <f>(VLOOKUP(D2748,$D$2:$E$4,2,FALSE))-(IF('Informe Kelly'!H2742=$A$2,'Informe Kelly'!F2742,VLOOKUP(D2748,$D$2:$E$4,2,FALSE)))</f>
        <v>#N/A</v>
      </c>
      <c r="F2748" s="142" t="e">
        <f>IF('Informe Kelly'!H2742=$A$3,'Informe Kelly'!F2742,VLOOKUP(D2748,$D$2:$F$4,3,FALSE))-(VLOOKUP(D2748,$D$2:$F$4,3,FALSE))</f>
        <v>#N/A</v>
      </c>
      <c r="G2748" s="137" t="e">
        <f t="shared" si="46"/>
        <v>#N/A</v>
      </c>
    </row>
    <row r="2749" spans="1:7">
      <c r="A2749" s="112" t="e">
        <f>VLOOKUP('Informe Kelly'!A2743,Base!A:B,2,FALSE)</f>
        <v>#N/A</v>
      </c>
      <c r="B2749" s="112" t="e">
        <f>VLOOKUP('Informe Kelly'!A2743,Base!A:G,7,FALSE)</f>
        <v>#N/A</v>
      </c>
      <c r="C2749" s="112">
        <f>'Informe Kelly'!E2743</f>
        <v>0</v>
      </c>
      <c r="D2749" s="112" t="e">
        <f>VLOOKUP(A2749,Ingreso!K:P,6,FALSE)</f>
        <v>#N/A</v>
      </c>
      <c r="E2749" s="142" t="e">
        <f>(VLOOKUP(D2749,$D$2:$E$4,2,FALSE))-(IF('Informe Kelly'!H2743=$A$2,'Informe Kelly'!F2743,VLOOKUP(D2749,$D$2:$E$4,2,FALSE)))</f>
        <v>#N/A</v>
      </c>
      <c r="F2749" s="142" t="e">
        <f>IF('Informe Kelly'!H2743=$A$3,'Informe Kelly'!F2743,VLOOKUP(D2749,$D$2:$F$4,3,FALSE))-(VLOOKUP(D2749,$D$2:$F$4,3,FALSE))</f>
        <v>#N/A</v>
      </c>
      <c r="G2749" s="137" t="e">
        <f t="shared" si="46"/>
        <v>#N/A</v>
      </c>
    </row>
    <row r="2750" spans="1:7">
      <c r="A2750" s="112" t="e">
        <f>VLOOKUP('Informe Kelly'!A2744,Base!A:B,2,FALSE)</f>
        <v>#N/A</v>
      </c>
      <c r="B2750" s="112" t="e">
        <f>VLOOKUP('Informe Kelly'!A2744,Base!A:G,7,FALSE)</f>
        <v>#N/A</v>
      </c>
      <c r="C2750" s="112">
        <f>'Informe Kelly'!E2744</f>
        <v>0</v>
      </c>
      <c r="D2750" s="112" t="e">
        <f>VLOOKUP(A2750,Ingreso!K:P,6,FALSE)</f>
        <v>#N/A</v>
      </c>
      <c r="E2750" s="142" t="e">
        <f>(VLOOKUP(D2750,$D$2:$E$4,2,FALSE))-(IF('Informe Kelly'!H2744=$A$2,'Informe Kelly'!F2744,VLOOKUP(D2750,$D$2:$E$4,2,FALSE)))</f>
        <v>#N/A</v>
      </c>
      <c r="F2750" s="142" t="e">
        <f>IF('Informe Kelly'!H2744=$A$3,'Informe Kelly'!F2744,VLOOKUP(D2750,$D$2:$F$4,3,FALSE))-(VLOOKUP(D2750,$D$2:$F$4,3,FALSE))</f>
        <v>#N/A</v>
      </c>
      <c r="G2750" s="137" t="e">
        <f t="shared" si="46"/>
        <v>#N/A</v>
      </c>
    </row>
    <row r="2751" spans="1:7">
      <c r="A2751" s="112" t="e">
        <f>VLOOKUP('Informe Kelly'!A2745,Base!A:B,2,FALSE)</f>
        <v>#N/A</v>
      </c>
      <c r="B2751" s="112" t="e">
        <f>VLOOKUP('Informe Kelly'!A2745,Base!A:G,7,FALSE)</f>
        <v>#N/A</v>
      </c>
      <c r="C2751" s="112">
        <f>'Informe Kelly'!E2745</f>
        <v>0</v>
      </c>
      <c r="D2751" s="112" t="e">
        <f>VLOOKUP(A2751,Ingreso!K:P,6,FALSE)</f>
        <v>#N/A</v>
      </c>
      <c r="E2751" s="142" t="e">
        <f>(VLOOKUP(D2751,$D$2:$E$4,2,FALSE))-(IF('Informe Kelly'!H2745=$A$2,'Informe Kelly'!F2745,VLOOKUP(D2751,$D$2:$E$4,2,FALSE)))</f>
        <v>#N/A</v>
      </c>
      <c r="F2751" s="142" t="e">
        <f>IF('Informe Kelly'!H2745=$A$3,'Informe Kelly'!F2745,VLOOKUP(D2751,$D$2:$F$4,3,FALSE))-(VLOOKUP(D2751,$D$2:$F$4,3,FALSE))</f>
        <v>#N/A</v>
      </c>
      <c r="G2751" s="137" t="e">
        <f t="shared" si="46"/>
        <v>#N/A</v>
      </c>
    </row>
    <row r="2752" spans="1:7">
      <c r="A2752" s="112" t="e">
        <f>VLOOKUP('Informe Kelly'!A2746,Base!A:B,2,FALSE)</f>
        <v>#N/A</v>
      </c>
      <c r="B2752" s="112" t="e">
        <f>VLOOKUP('Informe Kelly'!A2746,Base!A:G,7,FALSE)</f>
        <v>#N/A</v>
      </c>
      <c r="C2752" s="112">
        <f>'Informe Kelly'!E2746</f>
        <v>0</v>
      </c>
      <c r="D2752" s="112" t="e">
        <f>VLOOKUP(A2752,Ingreso!K:P,6,FALSE)</f>
        <v>#N/A</v>
      </c>
      <c r="E2752" s="142" t="e">
        <f>(VLOOKUP(D2752,$D$2:$E$4,2,FALSE))-(IF('Informe Kelly'!H2746=$A$2,'Informe Kelly'!F2746,VLOOKUP(D2752,$D$2:$E$4,2,FALSE)))</f>
        <v>#N/A</v>
      </c>
      <c r="F2752" s="142" t="e">
        <f>IF('Informe Kelly'!H2746=$A$3,'Informe Kelly'!F2746,VLOOKUP(D2752,$D$2:$F$4,3,FALSE))-(VLOOKUP(D2752,$D$2:$F$4,3,FALSE))</f>
        <v>#N/A</v>
      </c>
      <c r="G2752" s="137" t="e">
        <f t="shared" si="46"/>
        <v>#N/A</v>
      </c>
    </row>
    <row r="2753" spans="1:7">
      <c r="A2753" s="112" t="e">
        <f>VLOOKUP('Informe Kelly'!A2747,Base!A:B,2,FALSE)</f>
        <v>#N/A</v>
      </c>
      <c r="B2753" s="112" t="e">
        <f>VLOOKUP('Informe Kelly'!A2747,Base!A:G,7,FALSE)</f>
        <v>#N/A</v>
      </c>
      <c r="C2753" s="112">
        <f>'Informe Kelly'!E2747</f>
        <v>0</v>
      </c>
      <c r="D2753" s="112" t="e">
        <f>VLOOKUP(A2753,Ingreso!K:P,6,FALSE)</f>
        <v>#N/A</v>
      </c>
      <c r="E2753" s="142" t="e">
        <f>(VLOOKUP(D2753,$D$2:$E$4,2,FALSE))-(IF('Informe Kelly'!H2747=$A$2,'Informe Kelly'!F2747,VLOOKUP(D2753,$D$2:$E$4,2,FALSE)))</f>
        <v>#N/A</v>
      </c>
      <c r="F2753" s="142" t="e">
        <f>IF('Informe Kelly'!H2747=$A$3,'Informe Kelly'!F2747,VLOOKUP(D2753,$D$2:$F$4,3,FALSE))-(VLOOKUP(D2753,$D$2:$F$4,3,FALSE))</f>
        <v>#N/A</v>
      </c>
      <c r="G2753" s="137" t="e">
        <f t="shared" si="46"/>
        <v>#N/A</v>
      </c>
    </row>
    <row r="2754" spans="1:7">
      <c r="A2754" s="112" t="e">
        <f>VLOOKUP('Informe Kelly'!A2748,Base!A:B,2,FALSE)</f>
        <v>#N/A</v>
      </c>
      <c r="B2754" s="112" t="e">
        <f>VLOOKUP('Informe Kelly'!A2748,Base!A:G,7,FALSE)</f>
        <v>#N/A</v>
      </c>
      <c r="C2754" s="112">
        <f>'Informe Kelly'!E2748</f>
        <v>0</v>
      </c>
      <c r="D2754" s="112" t="e">
        <f>VLOOKUP(A2754,Ingreso!K:P,6,FALSE)</f>
        <v>#N/A</v>
      </c>
      <c r="E2754" s="142" t="e">
        <f>(VLOOKUP(D2754,$D$2:$E$4,2,FALSE))-(IF('Informe Kelly'!H2748=$A$2,'Informe Kelly'!F2748,VLOOKUP(D2754,$D$2:$E$4,2,FALSE)))</f>
        <v>#N/A</v>
      </c>
      <c r="F2754" s="142" t="e">
        <f>IF('Informe Kelly'!H2748=$A$3,'Informe Kelly'!F2748,VLOOKUP(D2754,$D$2:$F$4,3,FALSE))-(VLOOKUP(D2754,$D$2:$F$4,3,FALSE))</f>
        <v>#N/A</v>
      </c>
      <c r="G2754" s="137" t="e">
        <f t="shared" si="46"/>
        <v>#N/A</v>
      </c>
    </row>
    <row r="2755" spans="1:7">
      <c r="A2755" s="112" t="e">
        <f>VLOOKUP('Informe Kelly'!A2749,Base!A:B,2,FALSE)</f>
        <v>#N/A</v>
      </c>
      <c r="B2755" s="112" t="e">
        <f>VLOOKUP('Informe Kelly'!A2749,Base!A:G,7,FALSE)</f>
        <v>#N/A</v>
      </c>
      <c r="C2755" s="112">
        <f>'Informe Kelly'!E2749</f>
        <v>0</v>
      </c>
      <c r="D2755" s="112" t="e">
        <f>VLOOKUP(A2755,Ingreso!K:P,6,FALSE)</f>
        <v>#N/A</v>
      </c>
      <c r="E2755" s="142" t="e">
        <f>(VLOOKUP(D2755,$D$2:$E$4,2,FALSE))-(IF('Informe Kelly'!H2749=$A$2,'Informe Kelly'!F2749,VLOOKUP(D2755,$D$2:$E$4,2,FALSE)))</f>
        <v>#N/A</v>
      </c>
      <c r="F2755" s="142" t="e">
        <f>IF('Informe Kelly'!H2749=$A$3,'Informe Kelly'!F2749,VLOOKUP(D2755,$D$2:$F$4,3,FALSE))-(VLOOKUP(D2755,$D$2:$F$4,3,FALSE))</f>
        <v>#N/A</v>
      </c>
      <c r="G2755" s="137" t="e">
        <f t="shared" si="46"/>
        <v>#N/A</v>
      </c>
    </row>
    <row r="2756" spans="1:7">
      <c r="A2756" s="112" t="e">
        <f>VLOOKUP('Informe Kelly'!A2750,Base!A:B,2,FALSE)</f>
        <v>#N/A</v>
      </c>
      <c r="B2756" s="112" t="e">
        <f>VLOOKUP('Informe Kelly'!A2750,Base!A:G,7,FALSE)</f>
        <v>#N/A</v>
      </c>
      <c r="C2756" s="112">
        <f>'Informe Kelly'!E2750</f>
        <v>0</v>
      </c>
      <c r="D2756" s="112" t="e">
        <f>VLOOKUP(A2756,Ingreso!K:P,6,FALSE)</f>
        <v>#N/A</v>
      </c>
      <c r="E2756" s="142" t="e">
        <f>(VLOOKUP(D2756,$D$2:$E$4,2,FALSE))-(IF('Informe Kelly'!H2750=$A$2,'Informe Kelly'!F2750,VLOOKUP(D2756,$D$2:$E$4,2,FALSE)))</f>
        <v>#N/A</v>
      </c>
      <c r="F2756" s="142" t="e">
        <f>IF('Informe Kelly'!H2750=$A$3,'Informe Kelly'!F2750,VLOOKUP(D2756,$D$2:$F$4,3,FALSE))-(VLOOKUP(D2756,$D$2:$F$4,3,FALSE))</f>
        <v>#N/A</v>
      </c>
      <c r="G2756" s="137" t="e">
        <f t="shared" si="46"/>
        <v>#N/A</v>
      </c>
    </row>
    <row r="2757" spans="1:7">
      <c r="A2757" s="112" t="e">
        <f>VLOOKUP('Informe Kelly'!A2751,Base!A:B,2,FALSE)</f>
        <v>#N/A</v>
      </c>
      <c r="B2757" s="112" t="e">
        <f>VLOOKUP('Informe Kelly'!A2751,Base!A:G,7,FALSE)</f>
        <v>#N/A</v>
      </c>
      <c r="C2757" s="112">
        <f>'Informe Kelly'!E2751</f>
        <v>0</v>
      </c>
      <c r="D2757" s="112" t="e">
        <f>VLOOKUP(A2757,Ingreso!K:P,6,FALSE)</f>
        <v>#N/A</v>
      </c>
      <c r="E2757" s="142" t="e">
        <f>(VLOOKUP(D2757,$D$2:$E$4,2,FALSE))-(IF('Informe Kelly'!H2751=$A$2,'Informe Kelly'!F2751,VLOOKUP(D2757,$D$2:$E$4,2,FALSE)))</f>
        <v>#N/A</v>
      </c>
      <c r="F2757" s="142" t="e">
        <f>IF('Informe Kelly'!H2751=$A$3,'Informe Kelly'!F2751,VLOOKUP(D2757,$D$2:$F$4,3,FALSE))-(VLOOKUP(D2757,$D$2:$F$4,3,FALSE))</f>
        <v>#N/A</v>
      </c>
      <c r="G2757" s="137" t="e">
        <f t="shared" si="46"/>
        <v>#N/A</v>
      </c>
    </row>
    <row r="2758" spans="1:7">
      <c r="A2758" s="112" t="e">
        <f>VLOOKUP('Informe Kelly'!A2752,Base!A:B,2,FALSE)</f>
        <v>#N/A</v>
      </c>
      <c r="B2758" s="112" t="e">
        <f>VLOOKUP('Informe Kelly'!A2752,Base!A:G,7,FALSE)</f>
        <v>#N/A</v>
      </c>
      <c r="C2758" s="112">
        <f>'Informe Kelly'!E2752</f>
        <v>0</v>
      </c>
      <c r="D2758" s="112" t="e">
        <f>VLOOKUP(A2758,Ingreso!K:P,6,FALSE)</f>
        <v>#N/A</v>
      </c>
      <c r="E2758" s="142" t="e">
        <f>(VLOOKUP(D2758,$D$2:$E$4,2,FALSE))-(IF('Informe Kelly'!H2752=$A$2,'Informe Kelly'!F2752,VLOOKUP(D2758,$D$2:$E$4,2,FALSE)))</f>
        <v>#N/A</v>
      </c>
      <c r="F2758" s="142" t="e">
        <f>IF('Informe Kelly'!H2752=$A$3,'Informe Kelly'!F2752,VLOOKUP(D2758,$D$2:$F$4,3,FALSE))-(VLOOKUP(D2758,$D$2:$F$4,3,FALSE))</f>
        <v>#N/A</v>
      </c>
      <c r="G2758" s="137" t="e">
        <f t="shared" si="46"/>
        <v>#N/A</v>
      </c>
    </row>
    <row r="2759" spans="1:7">
      <c r="A2759" s="112" t="e">
        <f>VLOOKUP('Informe Kelly'!A2753,Base!A:B,2,FALSE)</f>
        <v>#N/A</v>
      </c>
      <c r="B2759" s="112" t="e">
        <f>VLOOKUP('Informe Kelly'!A2753,Base!A:G,7,FALSE)</f>
        <v>#N/A</v>
      </c>
      <c r="C2759" s="112">
        <f>'Informe Kelly'!E2753</f>
        <v>0</v>
      </c>
      <c r="D2759" s="112" t="e">
        <f>VLOOKUP(A2759,Ingreso!K:P,6,FALSE)</f>
        <v>#N/A</v>
      </c>
      <c r="E2759" s="142" t="e">
        <f>(VLOOKUP(D2759,$D$2:$E$4,2,FALSE))-(IF('Informe Kelly'!H2753=$A$2,'Informe Kelly'!F2753,VLOOKUP(D2759,$D$2:$E$4,2,FALSE)))</f>
        <v>#N/A</v>
      </c>
      <c r="F2759" s="142" t="e">
        <f>IF('Informe Kelly'!H2753=$A$3,'Informe Kelly'!F2753,VLOOKUP(D2759,$D$2:$F$4,3,FALSE))-(VLOOKUP(D2759,$D$2:$F$4,3,FALSE))</f>
        <v>#N/A</v>
      </c>
      <c r="G2759" s="137" t="e">
        <f t="shared" si="46"/>
        <v>#N/A</v>
      </c>
    </row>
    <row r="2760" spans="1:7">
      <c r="A2760" s="112" t="e">
        <f>VLOOKUP('Informe Kelly'!A2754,Base!A:B,2,FALSE)</f>
        <v>#N/A</v>
      </c>
      <c r="B2760" s="112" t="e">
        <f>VLOOKUP('Informe Kelly'!A2754,Base!A:G,7,FALSE)</f>
        <v>#N/A</v>
      </c>
      <c r="C2760" s="112">
        <f>'Informe Kelly'!E2754</f>
        <v>0</v>
      </c>
      <c r="D2760" s="112" t="e">
        <f>VLOOKUP(A2760,Ingreso!K:P,6,FALSE)</f>
        <v>#N/A</v>
      </c>
      <c r="E2760" s="142" t="e">
        <f>(VLOOKUP(D2760,$D$2:$E$4,2,FALSE))-(IF('Informe Kelly'!H2754=$A$2,'Informe Kelly'!F2754,VLOOKUP(D2760,$D$2:$E$4,2,FALSE)))</f>
        <v>#N/A</v>
      </c>
      <c r="F2760" s="142" t="e">
        <f>IF('Informe Kelly'!H2754=$A$3,'Informe Kelly'!F2754,VLOOKUP(D2760,$D$2:$F$4,3,FALSE))-(VLOOKUP(D2760,$D$2:$F$4,3,FALSE))</f>
        <v>#N/A</v>
      </c>
      <c r="G2760" s="137" t="e">
        <f t="shared" si="46"/>
        <v>#N/A</v>
      </c>
    </row>
    <row r="2761" spans="1:7">
      <c r="A2761" s="112" t="e">
        <f>VLOOKUP('Informe Kelly'!A2755,Base!A:B,2,FALSE)</f>
        <v>#N/A</v>
      </c>
      <c r="B2761" s="112" t="e">
        <f>VLOOKUP('Informe Kelly'!A2755,Base!A:G,7,FALSE)</f>
        <v>#N/A</v>
      </c>
      <c r="C2761" s="112">
        <f>'Informe Kelly'!E2755</f>
        <v>0</v>
      </c>
      <c r="D2761" s="112" t="e">
        <f>VLOOKUP(A2761,Ingreso!K:P,6,FALSE)</f>
        <v>#N/A</v>
      </c>
      <c r="E2761" s="142" t="e">
        <f>(VLOOKUP(D2761,$D$2:$E$4,2,FALSE))-(IF('Informe Kelly'!H2755=$A$2,'Informe Kelly'!F2755,VLOOKUP(D2761,$D$2:$E$4,2,FALSE)))</f>
        <v>#N/A</v>
      </c>
      <c r="F2761" s="142" t="e">
        <f>IF('Informe Kelly'!H2755=$A$3,'Informe Kelly'!F2755,VLOOKUP(D2761,$D$2:$F$4,3,FALSE))-(VLOOKUP(D2761,$D$2:$F$4,3,FALSE))</f>
        <v>#N/A</v>
      </c>
      <c r="G2761" s="137" t="e">
        <f t="shared" ref="G2761:G2824" si="47">IF(E2761="",IF(F2761&lt;0.0409722222222222,0,E2761),IF(E2761&lt;0.0409722222222222,0,E2761))</f>
        <v>#N/A</v>
      </c>
    </row>
    <row r="2762" spans="1:7">
      <c r="A2762" s="112" t="e">
        <f>VLOOKUP('Informe Kelly'!A2756,Base!A:B,2,FALSE)</f>
        <v>#N/A</v>
      </c>
      <c r="B2762" s="112" t="e">
        <f>VLOOKUP('Informe Kelly'!A2756,Base!A:G,7,FALSE)</f>
        <v>#N/A</v>
      </c>
      <c r="C2762" s="112">
        <f>'Informe Kelly'!E2756</f>
        <v>0</v>
      </c>
      <c r="D2762" s="112" t="e">
        <f>VLOOKUP(A2762,Ingreso!K:P,6,FALSE)</f>
        <v>#N/A</v>
      </c>
      <c r="E2762" s="142" t="e">
        <f>(VLOOKUP(D2762,$D$2:$E$4,2,FALSE))-(IF('Informe Kelly'!H2756=$A$2,'Informe Kelly'!F2756,VLOOKUP(D2762,$D$2:$E$4,2,FALSE)))</f>
        <v>#N/A</v>
      </c>
      <c r="F2762" s="142" t="e">
        <f>IF('Informe Kelly'!H2756=$A$3,'Informe Kelly'!F2756,VLOOKUP(D2762,$D$2:$F$4,3,FALSE))-(VLOOKUP(D2762,$D$2:$F$4,3,FALSE))</f>
        <v>#N/A</v>
      </c>
      <c r="G2762" s="137" t="e">
        <f t="shared" si="47"/>
        <v>#N/A</v>
      </c>
    </row>
    <row r="2763" spans="1:7">
      <c r="A2763" s="112" t="e">
        <f>VLOOKUP('Informe Kelly'!A2757,Base!A:B,2,FALSE)</f>
        <v>#N/A</v>
      </c>
      <c r="B2763" s="112" t="e">
        <f>VLOOKUP('Informe Kelly'!A2757,Base!A:G,7,FALSE)</f>
        <v>#N/A</v>
      </c>
      <c r="C2763" s="112">
        <f>'Informe Kelly'!E2757</f>
        <v>0</v>
      </c>
      <c r="D2763" s="112" t="e">
        <f>VLOOKUP(A2763,Ingreso!K:P,6,FALSE)</f>
        <v>#N/A</v>
      </c>
      <c r="E2763" s="142" t="e">
        <f>(VLOOKUP(D2763,$D$2:$E$4,2,FALSE))-(IF('Informe Kelly'!H2757=$A$2,'Informe Kelly'!F2757,VLOOKUP(D2763,$D$2:$E$4,2,FALSE)))</f>
        <v>#N/A</v>
      </c>
      <c r="F2763" s="142" t="e">
        <f>IF('Informe Kelly'!H2757=$A$3,'Informe Kelly'!F2757,VLOOKUP(D2763,$D$2:$F$4,3,FALSE))-(VLOOKUP(D2763,$D$2:$F$4,3,FALSE))</f>
        <v>#N/A</v>
      </c>
      <c r="G2763" s="137" t="e">
        <f t="shared" si="47"/>
        <v>#N/A</v>
      </c>
    </row>
    <row r="2764" spans="1:7">
      <c r="A2764" s="112" t="e">
        <f>VLOOKUP('Informe Kelly'!A2758,Base!A:B,2,FALSE)</f>
        <v>#N/A</v>
      </c>
      <c r="B2764" s="112" t="e">
        <f>VLOOKUP('Informe Kelly'!A2758,Base!A:G,7,FALSE)</f>
        <v>#N/A</v>
      </c>
      <c r="C2764" s="112">
        <f>'Informe Kelly'!E2758</f>
        <v>0</v>
      </c>
      <c r="D2764" s="112" t="e">
        <f>VLOOKUP(A2764,Ingreso!K:P,6,FALSE)</f>
        <v>#N/A</v>
      </c>
      <c r="E2764" s="142" t="e">
        <f>(VLOOKUP(D2764,$D$2:$E$4,2,FALSE))-(IF('Informe Kelly'!H2758=$A$2,'Informe Kelly'!F2758,VLOOKUP(D2764,$D$2:$E$4,2,FALSE)))</f>
        <v>#N/A</v>
      </c>
      <c r="F2764" s="142" t="e">
        <f>IF('Informe Kelly'!H2758=$A$3,'Informe Kelly'!F2758,VLOOKUP(D2764,$D$2:$F$4,3,FALSE))-(VLOOKUP(D2764,$D$2:$F$4,3,FALSE))</f>
        <v>#N/A</v>
      </c>
      <c r="G2764" s="137" t="e">
        <f t="shared" si="47"/>
        <v>#N/A</v>
      </c>
    </row>
    <row r="2765" spans="1:7">
      <c r="A2765" s="112" t="e">
        <f>VLOOKUP('Informe Kelly'!A2759,Base!A:B,2,FALSE)</f>
        <v>#N/A</v>
      </c>
      <c r="B2765" s="112" t="e">
        <f>VLOOKUP('Informe Kelly'!A2759,Base!A:G,7,FALSE)</f>
        <v>#N/A</v>
      </c>
      <c r="C2765" s="112">
        <f>'Informe Kelly'!E2759</f>
        <v>0</v>
      </c>
      <c r="D2765" s="112" t="e">
        <f>VLOOKUP(A2765,Ingreso!K:P,6,FALSE)</f>
        <v>#N/A</v>
      </c>
      <c r="E2765" s="142" t="e">
        <f>(VLOOKUP(D2765,$D$2:$E$4,2,FALSE))-(IF('Informe Kelly'!H2759=$A$2,'Informe Kelly'!F2759,VLOOKUP(D2765,$D$2:$E$4,2,FALSE)))</f>
        <v>#N/A</v>
      </c>
      <c r="F2765" s="142" t="e">
        <f>IF('Informe Kelly'!H2759=$A$3,'Informe Kelly'!F2759,VLOOKUP(D2765,$D$2:$F$4,3,FALSE))-(VLOOKUP(D2765,$D$2:$F$4,3,FALSE))</f>
        <v>#N/A</v>
      </c>
      <c r="G2765" s="137" t="e">
        <f t="shared" si="47"/>
        <v>#N/A</v>
      </c>
    </row>
    <row r="2766" spans="1:7">
      <c r="A2766" s="112" t="e">
        <f>VLOOKUP('Informe Kelly'!A2760,Base!A:B,2,FALSE)</f>
        <v>#N/A</v>
      </c>
      <c r="B2766" s="112" t="e">
        <f>VLOOKUP('Informe Kelly'!A2760,Base!A:G,7,FALSE)</f>
        <v>#N/A</v>
      </c>
      <c r="C2766" s="112">
        <f>'Informe Kelly'!E2760</f>
        <v>0</v>
      </c>
      <c r="D2766" s="112" t="e">
        <f>VLOOKUP(A2766,Ingreso!K:P,6,FALSE)</f>
        <v>#N/A</v>
      </c>
      <c r="E2766" s="142" t="e">
        <f>(VLOOKUP(D2766,$D$2:$E$4,2,FALSE))-(IF('Informe Kelly'!H2760=$A$2,'Informe Kelly'!F2760,VLOOKUP(D2766,$D$2:$E$4,2,FALSE)))</f>
        <v>#N/A</v>
      </c>
      <c r="F2766" s="142" t="e">
        <f>IF('Informe Kelly'!H2760=$A$3,'Informe Kelly'!F2760,VLOOKUP(D2766,$D$2:$F$4,3,FALSE))-(VLOOKUP(D2766,$D$2:$F$4,3,FALSE))</f>
        <v>#N/A</v>
      </c>
      <c r="G2766" s="137" t="e">
        <f t="shared" si="47"/>
        <v>#N/A</v>
      </c>
    </row>
    <row r="2767" spans="1:7">
      <c r="A2767" s="112" t="e">
        <f>VLOOKUP('Informe Kelly'!A2761,Base!A:B,2,FALSE)</f>
        <v>#N/A</v>
      </c>
      <c r="B2767" s="112" t="e">
        <f>VLOOKUP('Informe Kelly'!A2761,Base!A:G,7,FALSE)</f>
        <v>#N/A</v>
      </c>
      <c r="C2767" s="112">
        <f>'Informe Kelly'!E2761</f>
        <v>0</v>
      </c>
      <c r="D2767" s="112" t="e">
        <f>VLOOKUP(A2767,Ingreso!K:P,6,FALSE)</f>
        <v>#N/A</v>
      </c>
      <c r="E2767" s="142" t="e">
        <f>(VLOOKUP(D2767,$D$2:$E$4,2,FALSE))-(IF('Informe Kelly'!H2761=$A$2,'Informe Kelly'!F2761,VLOOKUP(D2767,$D$2:$E$4,2,FALSE)))</f>
        <v>#N/A</v>
      </c>
      <c r="F2767" s="142" t="e">
        <f>IF('Informe Kelly'!H2761=$A$3,'Informe Kelly'!F2761,VLOOKUP(D2767,$D$2:$F$4,3,FALSE))-(VLOOKUP(D2767,$D$2:$F$4,3,FALSE))</f>
        <v>#N/A</v>
      </c>
      <c r="G2767" s="137" t="e">
        <f t="shared" si="47"/>
        <v>#N/A</v>
      </c>
    </row>
    <row r="2768" spans="1:7">
      <c r="A2768" s="112" t="e">
        <f>VLOOKUP('Informe Kelly'!A2762,Base!A:B,2,FALSE)</f>
        <v>#N/A</v>
      </c>
      <c r="B2768" s="112" t="e">
        <f>VLOOKUP('Informe Kelly'!A2762,Base!A:G,7,FALSE)</f>
        <v>#N/A</v>
      </c>
      <c r="C2768" s="112">
        <f>'Informe Kelly'!E2762</f>
        <v>0</v>
      </c>
      <c r="D2768" s="112" t="e">
        <f>VLOOKUP(A2768,Ingreso!K:P,6,FALSE)</f>
        <v>#N/A</v>
      </c>
      <c r="E2768" s="142" t="e">
        <f>(VLOOKUP(D2768,$D$2:$E$4,2,FALSE))-(IF('Informe Kelly'!H2762=$A$2,'Informe Kelly'!F2762,VLOOKUP(D2768,$D$2:$E$4,2,FALSE)))</f>
        <v>#N/A</v>
      </c>
      <c r="F2768" s="142" t="e">
        <f>IF('Informe Kelly'!H2762=$A$3,'Informe Kelly'!F2762,VLOOKUP(D2768,$D$2:$F$4,3,FALSE))-(VLOOKUP(D2768,$D$2:$F$4,3,FALSE))</f>
        <v>#N/A</v>
      </c>
      <c r="G2768" s="137" t="e">
        <f t="shared" si="47"/>
        <v>#N/A</v>
      </c>
    </row>
    <row r="2769" spans="1:7">
      <c r="A2769" s="112" t="e">
        <f>VLOOKUP('Informe Kelly'!A2763,Base!A:B,2,FALSE)</f>
        <v>#N/A</v>
      </c>
      <c r="B2769" s="112" t="e">
        <f>VLOOKUP('Informe Kelly'!A2763,Base!A:G,7,FALSE)</f>
        <v>#N/A</v>
      </c>
      <c r="C2769" s="112">
        <f>'Informe Kelly'!E2763</f>
        <v>0</v>
      </c>
      <c r="D2769" s="112" t="e">
        <f>VLOOKUP(A2769,Ingreso!K:P,6,FALSE)</f>
        <v>#N/A</v>
      </c>
      <c r="E2769" s="142" t="e">
        <f>(VLOOKUP(D2769,$D$2:$E$4,2,FALSE))-(IF('Informe Kelly'!H2763=$A$2,'Informe Kelly'!F2763,VLOOKUP(D2769,$D$2:$E$4,2,FALSE)))</f>
        <v>#N/A</v>
      </c>
      <c r="F2769" s="142" t="e">
        <f>IF('Informe Kelly'!H2763=$A$3,'Informe Kelly'!F2763,VLOOKUP(D2769,$D$2:$F$4,3,FALSE))-(VLOOKUP(D2769,$D$2:$F$4,3,FALSE))</f>
        <v>#N/A</v>
      </c>
      <c r="G2769" s="137" t="e">
        <f t="shared" si="47"/>
        <v>#N/A</v>
      </c>
    </row>
    <row r="2770" spans="1:7">
      <c r="A2770" s="112" t="e">
        <f>VLOOKUP('Informe Kelly'!A2764,Base!A:B,2,FALSE)</f>
        <v>#N/A</v>
      </c>
      <c r="B2770" s="112" t="e">
        <f>VLOOKUP('Informe Kelly'!A2764,Base!A:G,7,FALSE)</f>
        <v>#N/A</v>
      </c>
      <c r="C2770" s="112">
        <f>'Informe Kelly'!E2764</f>
        <v>0</v>
      </c>
      <c r="D2770" s="112" t="e">
        <f>VLOOKUP(A2770,Ingreso!K:P,6,FALSE)</f>
        <v>#N/A</v>
      </c>
      <c r="E2770" s="142" t="e">
        <f>(VLOOKUP(D2770,$D$2:$E$4,2,FALSE))-(IF('Informe Kelly'!H2764=$A$2,'Informe Kelly'!F2764,VLOOKUP(D2770,$D$2:$E$4,2,FALSE)))</f>
        <v>#N/A</v>
      </c>
      <c r="F2770" s="142" t="e">
        <f>IF('Informe Kelly'!H2764=$A$3,'Informe Kelly'!F2764,VLOOKUP(D2770,$D$2:$F$4,3,FALSE))-(VLOOKUP(D2770,$D$2:$F$4,3,FALSE))</f>
        <v>#N/A</v>
      </c>
      <c r="G2770" s="137" t="e">
        <f t="shared" si="47"/>
        <v>#N/A</v>
      </c>
    </row>
    <row r="2771" spans="1:7">
      <c r="A2771" s="112" t="e">
        <f>VLOOKUP('Informe Kelly'!A2765,Base!A:B,2,FALSE)</f>
        <v>#N/A</v>
      </c>
      <c r="B2771" s="112" t="e">
        <f>VLOOKUP('Informe Kelly'!A2765,Base!A:G,7,FALSE)</f>
        <v>#N/A</v>
      </c>
      <c r="C2771" s="112">
        <f>'Informe Kelly'!E2765</f>
        <v>0</v>
      </c>
      <c r="D2771" s="112" t="e">
        <f>VLOOKUP(A2771,Ingreso!K:P,6,FALSE)</f>
        <v>#N/A</v>
      </c>
      <c r="E2771" s="142" t="e">
        <f>(VLOOKUP(D2771,$D$2:$E$4,2,FALSE))-(IF('Informe Kelly'!H2765=$A$2,'Informe Kelly'!F2765,VLOOKUP(D2771,$D$2:$E$4,2,FALSE)))</f>
        <v>#N/A</v>
      </c>
      <c r="F2771" s="142" t="e">
        <f>IF('Informe Kelly'!H2765=$A$3,'Informe Kelly'!F2765,VLOOKUP(D2771,$D$2:$F$4,3,FALSE))-(VLOOKUP(D2771,$D$2:$F$4,3,FALSE))</f>
        <v>#N/A</v>
      </c>
      <c r="G2771" s="137" t="e">
        <f t="shared" si="47"/>
        <v>#N/A</v>
      </c>
    </row>
    <row r="2772" spans="1:7">
      <c r="A2772" s="112" t="e">
        <f>VLOOKUP('Informe Kelly'!A2766,Base!A:B,2,FALSE)</f>
        <v>#N/A</v>
      </c>
      <c r="B2772" s="112" t="e">
        <f>VLOOKUP('Informe Kelly'!A2766,Base!A:G,7,FALSE)</f>
        <v>#N/A</v>
      </c>
      <c r="C2772" s="112">
        <f>'Informe Kelly'!E2766</f>
        <v>0</v>
      </c>
      <c r="D2772" s="112" t="e">
        <f>VLOOKUP(A2772,Ingreso!K:P,6,FALSE)</f>
        <v>#N/A</v>
      </c>
      <c r="E2772" s="142" t="e">
        <f>(VLOOKUP(D2772,$D$2:$E$4,2,FALSE))-(IF('Informe Kelly'!H2766=$A$2,'Informe Kelly'!F2766,VLOOKUP(D2772,$D$2:$E$4,2,FALSE)))</f>
        <v>#N/A</v>
      </c>
      <c r="F2772" s="142" t="e">
        <f>IF('Informe Kelly'!H2766=$A$3,'Informe Kelly'!F2766,VLOOKUP(D2772,$D$2:$F$4,3,FALSE))-(VLOOKUP(D2772,$D$2:$F$4,3,FALSE))</f>
        <v>#N/A</v>
      </c>
      <c r="G2772" s="137" t="e">
        <f t="shared" si="47"/>
        <v>#N/A</v>
      </c>
    </row>
    <row r="2773" spans="1:7">
      <c r="A2773" s="112" t="e">
        <f>VLOOKUP('Informe Kelly'!A2767,Base!A:B,2,FALSE)</f>
        <v>#N/A</v>
      </c>
      <c r="B2773" s="112" t="e">
        <f>VLOOKUP('Informe Kelly'!A2767,Base!A:G,7,FALSE)</f>
        <v>#N/A</v>
      </c>
      <c r="C2773" s="112">
        <f>'Informe Kelly'!E2767</f>
        <v>0</v>
      </c>
      <c r="D2773" s="112" t="e">
        <f>VLOOKUP(A2773,Ingreso!K:P,6,FALSE)</f>
        <v>#N/A</v>
      </c>
      <c r="E2773" s="142" t="e">
        <f>(VLOOKUP(D2773,$D$2:$E$4,2,FALSE))-(IF('Informe Kelly'!H2767=$A$2,'Informe Kelly'!F2767,VLOOKUP(D2773,$D$2:$E$4,2,FALSE)))</f>
        <v>#N/A</v>
      </c>
      <c r="F2773" s="142" t="e">
        <f>IF('Informe Kelly'!H2767=$A$3,'Informe Kelly'!F2767,VLOOKUP(D2773,$D$2:$F$4,3,FALSE))-(VLOOKUP(D2773,$D$2:$F$4,3,FALSE))</f>
        <v>#N/A</v>
      </c>
      <c r="G2773" s="137" t="e">
        <f t="shared" si="47"/>
        <v>#N/A</v>
      </c>
    </row>
    <row r="2774" spans="1:7">
      <c r="A2774" s="112" t="e">
        <f>VLOOKUP('Informe Kelly'!A2768,Base!A:B,2,FALSE)</f>
        <v>#N/A</v>
      </c>
      <c r="B2774" s="112" t="e">
        <f>VLOOKUP('Informe Kelly'!A2768,Base!A:G,7,FALSE)</f>
        <v>#N/A</v>
      </c>
      <c r="C2774" s="112">
        <f>'Informe Kelly'!E2768</f>
        <v>0</v>
      </c>
      <c r="D2774" s="112" t="e">
        <f>VLOOKUP(A2774,Ingreso!K:P,6,FALSE)</f>
        <v>#N/A</v>
      </c>
      <c r="E2774" s="142" t="e">
        <f>(VLOOKUP(D2774,$D$2:$E$4,2,FALSE))-(IF('Informe Kelly'!H2768=$A$2,'Informe Kelly'!F2768,VLOOKUP(D2774,$D$2:$E$4,2,FALSE)))</f>
        <v>#N/A</v>
      </c>
      <c r="F2774" s="142" t="e">
        <f>IF('Informe Kelly'!H2768=$A$3,'Informe Kelly'!F2768,VLOOKUP(D2774,$D$2:$F$4,3,FALSE))-(VLOOKUP(D2774,$D$2:$F$4,3,FALSE))</f>
        <v>#N/A</v>
      </c>
      <c r="G2774" s="137" t="e">
        <f t="shared" si="47"/>
        <v>#N/A</v>
      </c>
    </row>
    <row r="2775" spans="1:7">
      <c r="A2775" s="112" t="e">
        <f>VLOOKUP('Informe Kelly'!A2769,Base!A:B,2,FALSE)</f>
        <v>#N/A</v>
      </c>
      <c r="B2775" s="112" t="e">
        <f>VLOOKUP('Informe Kelly'!A2769,Base!A:G,7,FALSE)</f>
        <v>#N/A</v>
      </c>
      <c r="C2775" s="112">
        <f>'Informe Kelly'!E2769</f>
        <v>0</v>
      </c>
      <c r="D2775" s="112" t="e">
        <f>VLOOKUP(A2775,Ingreso!K:P,6,FALSE)</f>
        <v>#N/A</v>
      </c>
      <c r="E2775" s="142" t="e">
        <f>(VLOOKUP(D2775,$D$2:$E$4,2,FALSE))-(IF('Informe Kelly'!H2769=$A$2,'Informe Kelly'!F2769,VLOOKUP(D2775,$D$2:$E$4,2,FALSE)))</f>
        <v>#N/A</v>
      </c>
      <c r="F2775" s="142" t="e">
        <f>IF('Informe Kelly'!H2769=$A$3,'Informe Kelly'!F2769,VLOOKUP(D2775,$D$2:$F$4,3,FALSE))-(VLOOKUP(D2775,$D$2:$F$4,3,FALSE))</f>
        <v>#N/A</v>
      </c>
      <c r="G2775" s="137" t="e">
        <f t="shared" si="47"/>
        <v>#N/A</v>
      </c>
    </row>
    <row r="2776" spans="1:7">
      <c r="A2776" s="112" t="e">
        <f>VLOOKUP('Informe Kelly'!A2770,Base!A:B,2,FALSE)</f>
        <v>#N/A</v>
      </c>
      <c r="B2776" s="112" t="e">
        <f>VLOOKUP('Informe Kelly'!A2770,Base!A:G,7,FALSE)</f>
        <v>#N/A</v>
      </c>
      <c r="C2776" s="112">
        <f>'Informe Kelly'!E2770</f>
        <v>0</v>
      </c>
      <c r="D2776" s="112" t="e">
        <f>VLOOKUP(A2776,Ingreso!K:P,6,FALSE)</f>
        <v>#N/A</v>
      </c>
      <c r="E2776" s="142" t="e">
        <f>(VLOOKUP(D2776,$D$2:$E$4,2,FALSE))-(IF('Informe Kelly'!H2770=$A$2,'Informe Kelly'!F2770,VLOOKUP(D2776,$D$2:$E$4,2,FALSE)))</f>
        <v>#N/A</v>
      </c>
      <c r="F2776" s="142" t="e">
        <f>IF('Informe Kelly'!H2770=$A$3,'Informe Kelly'!F2770,VLOOKUP(D2776,$D$2:$F$4,3,FALSE))-(VLOOKUP(D2776,$D$2:$F$4,3,FALSE))</f>
        <v>#N/A</v>
      </c>
      <c r="G2776" s="137" t="e">
        <f t="shared" si="47"/>
        <v>#N/A</v>
      </c>
    </row>
    <row r="2777" spans="1:7">
      <c r="A2777" s="112" t="e">
        <f>VLOOKUP('Informe Kelly'!A2771,Base!A:B,2,FALSE)</f>
        <v>#N/A</v>
      </c>
      <c r="B2777" s="112" t="e">
        <f>VLOOKUP('Informe Kelly'!A2771,Base!A:G,7,FALSE)</f>
        <v>#N/A</v>
      </c>
      <c r="C2777" s="112">
        <f>'Informe Kelly'!E2771</f>
        <v>0</v>
      </c>
      <c r="D2777" s="112" t="e">
        <f>VLOOKUP(A2777,Ingreso!K:P,6,FALSE)</f>
        <v>#N/A</v>
      </c>
      <c r="E2777" s="142" t="e">
        <f>(VLOOKUP(D2777,$D$2:$E$4,2,FALSE))-(IF('Informe Kelly'!H2771=$A$2,'Informe Kelly'!F2771,VLOOKUP(D2777,$D$2:$E$4,2,FALSE)))</f>
        <v>#N/A</v>
      </c>
      <c r="F2777" s="142" t="e">
        <f>IF('Informe Kelly'!H2771=$A$3,'Informe Kelly'!F2771,VLOOKUP(D2777,$D$2:$F$4,3,FALSE))-(VLOOKUP(D2777,$D$2:$F$4,3,FALSE))</f>
        <v>#N/A</v>
      </c>
      <c r="G2777" s="137" t="e">
        <f t="shared" si="47"/>
        <v>#N/A</v>
      </c>
    </row>
    <row r="2778" spans="1:7">
      <c r="A2778" s="112" t="e">
        <f>VLOOKUP('Informe Kelly'!A2772,Base!A:B,2,FALSE)</f>
        <v>#N/A</v>
      </c>
      <c r="B2778" s="112" t="e">
        <f>VLOOKUP('Informe Kelly'!A2772,Base!A:G,7,FALSE)</f>
        <v>#N/A</v>
      </c>
      <c r="C2778" s="112">
        <f>'Informe Kelly'!E2772</f>
        <v>0</v>
      </c>
      <c r="D2778" s="112" t="e">
        <f>VLOOKUP(A2778,Ingreso!K:P,6,FALSE)</f>
        <v>#N/A</v>
      </c>
      <c r="E2778" s="142" t="e">
        <f>(VLOOKUP(D2778,$D$2:$E$4,2,FALSE))-(IF('Informe Kelly'!H2772=$A$2,'Informe Kelly'!F2772,VLOOKUP(D2778,$D$2:$E$4,2,FALSE)))</f>
        <v>#N/A</v>
      </c>
      <c r="F2778" s="142" t="e">
        <f>IF('Informe Kelly'!H2772=$A$3,'Informe Kelly'!F2772,VLOOKUP(D2778,$D$2:$F$4,3,FALSE))-(VLOOKUP(D2778,$D$2:$F$4,3,FALSE))</f>
        <v>#N/A</v>
      </c>
      <c r="G2778" s="137" t="e">
        <f t="shared" si="47"/>
        <v>#N/A</v>
      </c>
    </row>
    <row r="2779" spans="1:7">
      <c r="A2779" s="112" t="e">
        <f>VLOOKUP('Informe Kelly'!A2773,Base!A:B,2,FALSE)</f>
        <v>#N/A</v>
      </c>
      <c r="B2779" s="112" t="e">
        <f>VLOOKUP('Informe Kelly'!A2773,Base!A:G,7,FALSE)</f>
        <v>#N/A</v>
      </c>
      <c r="C2779" s="112">
        <f>'Informe Kelly'!E2773</f>
        <v>0</v>
      </c>
      <c r="D2779" s="112" t="e">
        <f>VLOOKUP(A2779,Ingreso!K:P,6,FALSE)</f>
        <v>#N/A</v>
      </c>
      <c r="E2779" s="142" t="e">
        <f>(VLOOKUP(D2779,$D$2:$E$4,2,FALSE))-(IF('Informe Kelly'!H2773=$A$2,'Informe Kelly'!F2773,VLOOKUP(D2779,$D$2:$E$4,2,FALSE)))</f>
        <v>#N/A</v>
      </c>
      <c r="F2779" s="142" t="e">
        <f>IF('Informe Kelly'!H2773=$A$3,'Informe Kelly'!F2773,VLOOKUP(D2779,$D$2:$F$4,3,FALSE))-(VLOOKUP(D2779,$D$2:$F$4,3,FALSE))</f>
        <v>#N/A</v>
      </c>
      <c r="G2779" s="137" t="e">
        <f t="shared" si="47"/>
        <v>#N/A</v>
      </c>
    </row>
    <row r="2780" spans="1:7">
      <c r="A2780" s="112" t="e">
        <f>VLOOKUP('Informe Kelly'!A2774,Base!A:B,2,FALSE)</f>
        <v>#N/A</v>
      </c>
      <c r="B2780" s="112" t="e">
        <f>VLOOKUP('Informe Kelly'!A2774,Base!A:G,7,FALSE)</f>
        <v>#N/A</v>
      </c>
      <c r="C2780" s="112">
        <f>'Informe Kelly'!E2774</f>
        <v>0</v>
      </c>
      <c r="D2780" s="112" t="e">
        <f>VLOOKUP(A2780,Ingreso!K:P,6,FALSE)</f>
        <v>#N/A</v>
      </c>
      <c r="E2780" s="142" t="e">
        <f>(VLOOKUP(D2780,$D$2:$E$4,2,FALSE))-(IF('Informe Kelly'!H2774=$A$2,'Informe Kelly'!F2774,VLOOKUP(D2780,$D$2:$E$4,2,FALSE)))</f>
        <v>#N/A</v>
      </c>
      <c r="F2780" s="142" t="e">
        <f>IF('Informe Kelly'!H2774=$A$3,'Informe Kelly'!F2774,VLOOKUP(D2780,$D$2:$F$4,3,FALSE))-(VLOOKUP(D2780,$D$2:$F$4,3,FALSE))</f>
        <v>#N/A</v>
      </c>
      <c r="G2780" s="137" t="e">
        <f t="shared" si="47"/>
        <v>#N/A</v>
      </c>
    </row>
    <row r="2781" spans="1:7">
      <c r="A2781" s="112" t="e">
        <f>VLOOKUP('Informe Kelly'!A2775,Base!A:B,2,FALSE)</f>
        <v>#N/A</v>
      </c>
      <c r="B2781" s="112" t="e">
        <f>VLOOKUP('Informe Kelly'!A2775,Base!A:G,7,FALSE)</f>
        <v>#N/A</v>
      </c>
      <c r="C2781" s="112">
        <f>'Informe Kelly'!E2775</f>
        <v>0</v>
      </c>
      <c r="D2781" s="112" t="e">
        <f>VLOOKUP(A2781,Ingreso!K:P,6,FALSE)</f>
        <v>#N/A</v>
      </c>
      <c r="E2781" s="142" t="e">
        <f>(VLOOKUP(D2781,$D$2:$E$4,2,FALSE))-(IF('Informe Kelly'!H2775=$A$2,'Informe Kelly'!F2775,VLOOKUP(D2781,$D$2:$E$4,2,FALSE)))</f>
        <v>#N/A</v>
      </c>
      <c r="F2781" s="142" t="e">
        <f>IF('Informe Kelly'!H2775=$A$3,'Informe Kelly'!F2775,VLOOKUP(D2781,$D$2:$F$4,3,FALSE))-(VLOOKUP(D2781,$D$2:$F$4,3,FALSE))</f>
        <v>#N/A</v>
      </c>
      <c r="G2781" s="137" t="e">
        <f t="shared" si="47"/>
        <v>#N/A</v>
      </c>
    </row>
    <row r="2782" spans="1:7">
      <c r="A2782" s="112" t="e">
        <f>VLOOKUP('Informe Kelly'!A2776,Base!A:B,2,FALSE)</f>
        <v>#N/A</v>
      </c>
      <c r="B2782" s="112" t="e">
        <f>VLOOKUP('Informe Kelly'!A2776,Base!A:G,7,FALSE)</f>
        <v>#N/A</v>
      </c>
      <c r="C2782" s="112">
        <f>'Informe Kelly'!E2776</f>
        <v>0</v>
      </c>
      <c r="D2782" s="112" t="e">
        <f>VLOOKUP(A2782,Ingreso!K:P,6,FALSE)</f>
        <v>#N/A</v>
      </c>
      <c r="E2782" s="142" t="e">
        <f>(VLOOKUP(D2782,$D$2:$E$4,2,FALSE))-(IF('Informe Kelly'!H2776=$A$2,'Informe Kelly'!F2776,VLOOKUP(D2782,$D$2:$E$4,2,FALSE)))</f>
        <v>#N/A</v>
      </c>
      <c r="F2782" s="142" t="e">
        <f>IF('Informe Kelly'!H2776=$A$3,'Informe Kelly'!F2776,VLOOKUP(D2782,$D$2:$F$4,3,FALSE))-(VLOOKUP(D2782,$D$2:$F$4,3,FALSE))</f>
        <v>#N/A</v>
      </c>
      <c r="G2782" s="137" t="e">
        <f t="shared" si="47"/>
        <v>#N/A</v>
      </c>
    </row>
    <row r="2783" spans="1:7">
      <c r="A2783" s="112" t="e">
        <f>VLOOKUP('Informe Kelly'!A2777,Base!A:B,2,FALSE)</f>
        <v>#N/A</v>
      </c>
      <c r="B2783" s="112" t="e">
        <f>VLOOKUP('Informe Kelly'!A2777,Base!A:G,7,FALSE)</f>
        <v>#N/A</v>
      </c>
      <c r="C2783" s="112">
        <f>'Informe Kelly'!E2777</f>
        <v>0</v>
      </c>
      <c r="D2783" s="112" t="e">
        <f>VLOOKUP(A2783,Ingreso!K:P,6,FALSE)</f>
        <v>#N/A</v>
      </c>
      <c r="E2783" s="142" t="e">
        <f>(VLOOKUP(D2783,$D$2:$E$4,2,FALSE))-(IF('Informe Kelly'!H2777=$A$2,'Informe Kelly'!F2777,VLOOKUP(D2783,$D$2:$E$4,2,FALSE)))</f>
        <v>#N/A</v>
      </c>
      <c r="F2783" s="142" t="e">
        <f>IF('Informe Kelly'!H2777=$A$3,'Informe Kelly'!F2777,VLOOKUP(D2783,$D$2:$F$4,3,FALSE))-(VLOOKUP(D2783,$D$2:$F$4,3,FALSE))</f>
        <v>#N/A</v>
      </c>
      <c r="G2783" s="137" t="e">
        <f t="shared" si="47"/>
        <v>#N/A</v>
      </c>
    </row>
    <row r="2784" spans="1:7">
      <c r="A2784" s="112" t="e">
        <f>VLOOKUP('Informe Kelly'!A2778,Base!A:B,2,FALSE)</f>
        <v>#N/A</v>
      </c>
      <c r="B2784" s="112" t="e">
        <f>VLOOKUP('Informe Kelly'!A2778,Base!A:G,7,FALSE)</f>
        <v>#N/A</v>
      </c>
      <c r="C2784" s="112">
        <f>'Informe Kelly'!E2778</f>
        <v>0</v>
      </c>
      <c r="D2784" s="112" t="e">
        <f>VLOOKUP(A2784,Ingreso!K:P,6,FALSE)</f>
        <v>#N/A</v>
      </c>
      <c r="E2784" s="142" t="e">
        <f>(VLOOKUP(D2784,$D$2:$E$4,2,FALSE))-(IF('Informe Kelly'!H2778=$A$2,'Informe Kelly'!F2778,VLOOKUP(D2784,$D$2:$E$4,2,FALSE)))</f>
        <v>#N/A</v>
      </c>
      <c r="F2784" s="142" t="e">
        <f>IF('Informe Kelly'!H2778=$A$3,'Informe Kelly'!F2778,VLOOKUP(D2784,$D$2:$F$4,3,FALSE))-(VLOOKUP(D2784,$D$2:$F$4,3,FALSE))</f>
        <v>#N/A</v>
      </c>
      <c r="G2784" s="137" t="e">
        <f t="shared" si="47"/>
        <v>#N/A</v>
      </c>
    </row>
    <row r="2785" spans="1:7">
      <c r="A2785" s="112" t="e">
        <f>VLOOKUP('Informe Kelly'!A2779,Base!A:B,2,FALSE)</f>
        <v>#N/A</v>
      </c>
      <c r="B2785" s="112" t="e">
        <f>VLOOKUP('Informe Kelly'!A2779,Base!A:G,7,FALSE)</f>
        <v>#N/A</v>
      </c>
      <c r="C2785" s="112">
        <f>'Informe Kelly'!E2779</f>
        <v>0</v>
      </c>
      <c r="D2785" s="112" t="e">
        <f>VLOOKUP(A2785,Ingreso!K:P,6,FALSE)</f>
        <v>#N/A</v>
      </c>
      <c r="E2785" s="142" t="e">
        <f>(VLOOKUP(D2785,$D$2:$E$4,2,FALSE))-(IF('Informe Kelly'!H2779=$A$2,'Informe Kelly'!F2779,VLOOKUP(D2785,$D$2:$E$4,2,FALSE)))</f>
        <v>#N/A</v>
      </c>
      <c r="F2785" s="142" t="e">
        <f>IF('Informe Kelly'!H2779=$A$3,'Informe Kelly'!F2779,VLOOKUP(D2785,$D$2:$F$4,3,FALSE))-(VLOOKUP(D2785,$D$2:$F$4,3,FALSE))</f>
        <v>#N/A</v>
      </c>
      <c r="G2785" s="137" t="e">
        <f t="shared" si="47"/>
        <v>#N/A</v>
      </c>
    </row>
    <row r="2786" spans="1:7">
      <c r="A2786" s="112" t="e">
        <f>VLOOKUP('Informe Kelly'!A2780,Base!A:B,2,FALSE)</f>
        <v>#N/A</v>
      </c>
      <c r="B2786" s="112" t="e">
        <f>VLOOKUP('Informe Kelly'!A2780,Base!A:G,7,FALSE)</f>
        <v>#N/A</v>
      </c>
      <c r="C2786" s="112">
        <f>'Informe Kelly'!E2780</f>
        <v>0</v>
      </c>
      <c r="D2786" s="112" t="e">
        <f>VLOOKUP(A2786,Ingreso!K:P,6,FALSE)</f>
        <v>#N/A</v>
      </c>
      <c r="E2786" s="142" t="e">
        <f>(VLOOKUP(D2786,$D$2:$E$4,2,FALSE))-(IF('Informe Kelly'!H2780=$A$2,'Informe Kelly'!F2780,VLOOKUP(D2786,$D$2:$E$4,2,FALSE)))</f>
        <v>#N/A</v>
      </c>
      <c r="F2786" s="142" t="e">
        <f>IF('Informe Kelly'!H2780=$A$3,'Informe Kelly'!F2780,VLOOKUP(D2786,$D$2:$F$4,3,FALSE))-(VLOOKUP(D2786,$D$2:$F$4,3,FALSE))</f>
        <v>#N/A</v>
      </c>
      <c r="G2786" s="137" t="e">
        <f t="shared" si="47"/>
        <v>#N/A</v>
      </c>
    </row>
    <row r="2787" spans="1:7">
      <c r="A2787" s="112" t="e">
        <f>VLOOKUP('Informe Kelly'!A2781,Base!A:B,2,FALSE)</f>
        <v>#N/A</v>
      </c>
      <c r="B2787" s="112" t="e">
        <f>VLOOKUP('Informe Kelly'!A2781,Base!A:G,7,FALSE)</f>
        <v>#N/A</v>
      </c>
      <c r="C2787" s="112">
        <f>'Informe Kelly'!E2781</f>
        <v>0</v>
      </c>
      <c r="D2787" s="112" t="e">
        <f>VLOOKUP(A2787,Ingreso!K:P,6,FALSE)</f>
        <v>#N/A</v>
      </c>
      <c r="E2787" s="142" t="e">
        <f>(VLOOKUP(D2787,$D$2:$E$4,2,FALSE))-(IF('Informe Kelly'!H2781=$A$2,'Informe Kelly'!F2781,VLOOKUP(D2787,$D$2:$E$4,2,FALSE)))</f>
        <v>#N/A</v>
      </c>
      <c r="F2787" s="142" t="e">
        <f>IF('Informe Kelly'!H2781=$A$3,'Informe Kelly'!F2781,VLOOKUP(D2787,$D$2:$F$4,3,FALSE))-(VLOOKUP(D2787,$D$2:$F$4,3,FALSE))</f>
        <v>#N/A</v>
      </c>
      <c r="G2787" s="137" t="e">
        <f t="shared" si="47"/>
        <v>#N/A</v>
      </c>
    </row>
    <row r="2788" spans="1:7">
      <c r="A2788" s="112" t="e">
        <f>VLOOKUP('Informe Kelly'!A2782,Base!A:B,2,FALSE)</f>
        <v>#N/A</v>
      </c>
      <c r="B2788" s="112" t="e">
        <f>VLOOKUP('Informe Kelly'!A2782,Base!A:G,7,FALSE)</f>
        <v>#N/A</v>
      </c>
      <c r="C2788" s="112">
        <f>'Informe Kelly'!E2782</f>
        <v>0</v>
      </c>
      <c r="D2788" s="112" t="e">
        <f>VLOOKUP(A2788,Ingreso!K:P,6,FALSE)</f>
        <v>#N/A</v>
      </c>
      <c r="E2788" s="142" t="e">
        <f>(VLOOKUP(D2788,$D$2:$E$4,2,FALSE))-(IF('Informe Kelly'!H2782=$A$2,'Informe Kelly'!F2782,VLOOKUP(D2788,$D$2:$E$4,2,FALSE)))</f>
        <v>#N/A</v>
      </c>
      <c r="F2788" s="142" t="e">
        <f>IF('Informe Kelly'!H2782=$A$3,'Informe Kelly'!F2782,VLOOKUP(D2788,$D$2:$F$4,3,FALSE))-(VLOOKUP(D2788,$D$2:$F$4,3,FALSE))</f>
        <v>#N/A</v>
      </c>
      <c r="G2788" s="137" t="e">
        <f t="shared" si="47"/>
        <v>#N/A</v>
      </c>
    </row>
    <row r="2789" spans="1:7">
      <c r="A2789" s="112" t="e">
        <f>VLOOKUP('Informe Kelly'!A2783,Base!A:B,2,FALSE)</f>
        <v>#N/A</v>
      </c>
      <c r="B2789" s="112" t="e">
        <f>VLOOKUP('Informe Kelly'!A2783,Base!A:G,7,FALSE)</f>
        <v>#N/A</v>
      </c>
      <c r="C2789" s="112">
        <f>'Informe Kelly'!E2783</f>
        <v>0</v>
      </c>
      <c r="D2789" s="112" t="e">
        <f>VLOOKUP(A2789,Ingreso!K:P,6,FALSE)</f>
        <v>#N/A</v>
      </c>
      <c r="E2789" s="142" t="e">
        <f>(VLOOKUP(D2789,$D$2:$E$4,2,FALSE))-(IF('Informe Kelly'!H2783=$A$2,'Informe Kelly'!F2783,VLOOKUP(D2789,$D$2:$E$4,2,FALSE)))</f>
        <v>#N/A</v>
      </c>
      <c r="F2789" s="142" t="e">
        <f>IF('Informe Kelly'!H2783=$A$3,'Informe Kelly'!F2783,VLOOKUP(D2789,$D$2:$F$4,3,FALSE))-(VLOOKUP(D2789,$D$2:$F$4,3,FALSE))</f>
        <v>#N/A</v>
      </c>
      <c r="G2789" s="137" t="e">
        <f t="shared" si="47"/>
        <v>#N/A</v>
      </c>
    </row>
    <row r="2790" spans="1:7">
      <c r="A2790" s="112" t="e">
        <f>VLOOKUP('Informe Kelly'!A2784,Base!A:B,2,FALSE)</f>
        <v>#N/A</v>
      </c>
      <c r="B2790" s="112" t="e">
        <f>VLOOKUP('Informe Kelly'!A2784,Base!A:G,7,FALSE)</f>
        <v>#N/A</v>
      </c>
      <c r="C2790" s="112">
        <f>'Informe Kelly'!E2784</f>
        <v>0</v>
      </c>
      <c r="D2790" s="112" t="e">
        <f>VLOOKUP(A2790,Ingreso!K:P,6,FALSE)</f>
        <v>#N/A</v>
      </c>
      <c r="E2790" s="142" t="e">
        <f>(VLOOKUP(D2790,$D$2:$E$4,2,FALSE))-(IF('Informe Kelly'!H2784=$A$2,'Informe Kelly'!F2784,VLOOKUP(D2790,$D$2:$E$4,2,FALSE)))</f>
        <v>#N/A</v>
      </c>
      <c r="F2790" s="142" t="e">
        <f>IF('Informe Kelly'!H2784=$A$3,'Informe Kelly'!F2784,VLOOKUP(D2790,$D$2:$F$4,3,FALSE))-(VLOOKUP(D2790,$D$2:$F$4,3,FALSE))</f>
        <v>#N/A</v>
      </c>
      <c r="G2790" s="137" t="e">
        <f t="shared" si="47"/>
        <v>#N/A</v>
      </c>
    </row>
    <row r="2791" spans="1:7">
      <c r="A2791" s="112" t="e">
        <f>VLOOKUP('Informe Kelly'!A2785,Base!A:B,2,FALSE)</f>
        <v>#N/A</v>
      </c>
      <c r="B2791" s="112" t="e">
        <f>VLOOKUP('Informe Kelly'!A2785,Base!A:G,7,FALSE)</f>
        <v>#N/A</v>
      </c>
      <c r="C2791" s="112">
        <f>'Informe Kelly'!E2785</f>
        <v>0</v>
      </c>
      <c r="D2791" s="112" t="e">
        <f>VLOOKUP(A2791,Ingreso!K:P,6,FALSE)</f>
        <v>#N/A</v>
      </c>
      <c r="E2791" s="142" t="e">
        <f>(VLOOKUP(D2791,$D$2:$E$4,2,FALSE))-(IF('Informe Kelly'!H2785=$A$2,'Informe Kelly'!F2785,VLOOKUP(D2791,$D$2:$E$4,2,FALSE)))</f>
        <v>#N/A</v>
      </c>
      <c r="F2791" s="142" t="e">
        <f>IF('Informe Kelly'!H2785=$A$3,'Informe Kelly'!F2785,VLOOKUP(D2791,$D$2:$F$4,3,FALSE))-(VLOOKUP(D2791,$D$2:$F$4,3,FALSE))</f>
        <v>#N/A</v>
      </c>
      <c r="G2791" s="137" t="e">
        <f t="shared" si="47"/>
        <v>#N/A</v>
      </c>
    </row>
    <row r="2792" spans="1:7">
      <c r="A2792" s="112" t="e">
        <f>VLOOKUP('Informe Kelly'!A2786,Base!A:B,2,FALSE)</f>
        <v>#N/A</v>
      </c>
      <c r="B2792" s="112" t="e">
        <f>VLOOKUP('Informe Kelly'!A2786,Base!A:G,7,FALSE)</f>
        <v>#N/A</v>
      </c>
      <c r="C2792" s="112">
        <f>'Informe Kelly'!E2786</f>
        <v>0</v>
      </c>
      <c r="D2792" s="112" t="e">
        <f>VLOOKUP(A2792,Ingreso!K:P,6,FALSE)</f>
        <v>#N/A</v>
      </c>
      <c r="E2792" s="142" t="e">
        <f>(VLOOKUP(D2792,$D$2:$E$4,2,FALSE))-(IF('Informe Kelly'!H2786=$A$2,'Informe Kelly'!F2786,VLOOKUP(D2792,$D$2:$E$4,2,FALSE)))</f>
        <v>#N/A</v>
      </c>
      <c r="F2792" s="142" t="e">
        <f>IF('Informe Kelly'!H2786=$A$3,'Informe Kelly'!F2786,VLOOKUP(D2792,$D$2:$F$4,3,FALSE))-(VLOOKUP(D2792,$D$2:$F$4,3,FALSE))</f>
        <v>#N/A</v>
      </c>
      <c r="G2792" s="137" t="e">
        <f t="shared" si="47"/>
        <v>#N/A</v>
      </c>
    </row>
    <row r="2793" spans="1:7">
      <c r="A2793" s="112" t="e">
        <f>VLOOKUP('Informe Kelly'!A2787,Base!A:B,2,FALSE)</f>
        <v>#N/A</v>
      </c>
      <c r="B2793" s="112" t="e">
        <f>VLOOKUP('Informe Kelly'!A2787,Base!A:G,7,FALSE)</f>
        <v>#N/A</v>
      </c>
      <c r="C2793" s="112">
        <f>'Informe Kelly'!E2787</f>
        <v>0</v>
      </c>
      <c r="D2793" s="112" t="e">
        <f>VLOOKUP(A2793,Ingreso!K:P,6,FALSE)</f>
        <v>#N/A</v>
      </c>
      <c r="E2793" s="142" t="e">
        <f>(VLOOKUP(D2793,$D$2:$E$4,2,FALSE))-(IF('Informe Kelly'!H2787=$A$2,'Informe Kelly'!F2787,VLOOKUP(D2793,$D$2:$E$4,2,FALSE)))</f>
        <v>#N/A</v>
      </c>
      <c r="F2793" s="142" t="e">
        <f>IF('Informe Kelly'!H2787=$A$3,'Informe Kelly'!F2787,VLOOKUP(D2793,$D$2:$F$4,3,FALSE))-(VLOOKUP(D2793,$D$2:$F$4,3,FALSE))</f>
        <v>#N/A</v>
      </c>
      <c r="G2793" s="137" t="e">
        <f t="shared" si="47"/>
        <v>#N/A</v>
      </c>
    </row>
    <row r="2794" spans="1:7">
      <c r="A2794" s="112" t="e">
        <f>VLOOKUP('Informe Kelly'!A2788,Base!A:B,2,FALSE)</f>
        <v>#N/A</v>
      </c>
      <c r="B2794" s="112" t="e">
        <f>VLOOKUP('Informe Kelly'!A2788,Base!A:G,7,FALSE)</f>
        <v>#N/A</v>
      </c>
      <c r="C2794" s="112">
        <f>'Informe Kelly'!E2788</f>
        <v>0</v>
      </c>
      <c r="D2794" s="112" t="e">
        <f>VLOOKUP(A2794,Ingreso!K:P,6,FALSE)</f>
        <v>#N/A</v>
      </c>
      <c r="E2794" s="142" t="e">
        <f>(VLOOKUP(D2794,$D$2:$E$4,2,FALSE))-(IF('Informe Kelly'!H2788=$A$2,'Informe Kelly'!F2788,VLOOKUP(D2794,$D$2:$E$4,2,FALSE)))</f>
        <v>#N/A</v>
      </c>
      <c r="F2794" s="142" t="e">
        <f>IF('Informe Kelly'!H2788=$A$3,'Informe Kelly'!F2788,VLOOKUP(D2794,$D$2:$F$4,3,FALSE))-(VLOOKUP(D2794,$D$2:$F$4,3,FALSE))</f>
        <v>#N/A</v>
      </c>
      <c r="G2794" s="137" t="e">
        <f t="shared" si="47"/>
        <v>#N/A</v>
      </c>
    </row>
    <row r="2795" spans="1:7">
      <c r="A2795" s="112" t="e">
        <f>VLOOKUP('Informe Kelly'!A2789,Base!A:B,2,FALSE)</f>
        <v>#N/A</v>
      </c>
      <c r="B2795" s="112" t="e">
        <f>VLOOKUP('Informe Kelly'!A2789,Base!A:G,7,FALSE)</f>
        <v>#N/A</v>
      </c>
      <c r="C2795" s="112">
        <f>'Informe Kelly'!E2789</f>
        <v>0</v>
      </c>
      <c r="D2795" s="112" t="e">
        <f>VLOOKUP(A2795,Ingreso!K:P,6,FALSE)</f>
        <v>#N/A</v>
      </c>
      <c r="E2795" s="142" t="e">
        <f>(VLOOKUP(D2795,$D$2:$E$4,2,FALSE))-(IF('Informe Kelly'!H2789=$A$2,'Informe Kelly'!F2789,VLOOKUP(D2795,$D$2:$E$4,2,FALSE)))</f>
        <v>#N/A</v>
      </c>
      <c r="F2795" s="142" t="e">
        <f>IF('Informe Kelly'!H2789=$A$3,'Informe Kelly'!F2789,VLOOKUP(D2795,$D$2:$F$4,3,FALSE))-(VLOOKUP(D2795,$D$2:$F$4,3,FALSE))</f>
        <v>#N/A</v>
      </c>
      <c r="G2795" s="137" t="e">
        <f t="shared" si="47"/>
        <v>#N/A</v>
      </c>
    </row>
    <row r="2796" spans="1:7">
      <c r="A2796" s="112" t="e">
        <f>VLOOKUP('Informe Kelly'!A2790,Base!A:B,2,FALSE)</f>
        <v>#N/A</v>
      </c>
      <c r="B2796" s="112" t="e">
        <f>VLOOKUP('Informe Kelly'!A2790,Base!A:G,7,FALSE)</f>
        <v>#N/A</v>
      </c>
      <c r="C2796" s="112">
        <f>'Informe Kelly'!E2790</f>
        <v>0</v>
      </c>
      <c r="D2796" s="112" t="e">
        <f>VLOOKUP(A2796,Ingreso!K:P,6,FALSE)</f>
        <v>#N/A</v>
      </c>
      <c r="E2796" s="142" t="e">
        <f>(VLOOKUP(D2796,$D$2:$E$4,2,FALSE))-(IF('Informe Kelly'!H2790=$A$2,'Informe Kelly'!F2790,VLOOKUP(D2796,$D$2:$E$4,2,FALSE)))</f>
        <v>#N/A</v>
      </c>
      <c r="F2796" s="142" t="e">
        <f>IF('Informe Kelly'!H2790=$A$3,'Informe Kelly'!F2790,VLOOKUP(D2796,$D$2:$F$4,3,FALSE))-(VLOOKUP(D2796,$D$2:$F$4,3,FALSE))</f>
        <v>#N/A</v>
      </c>
      <c r="G2796" s="137" t="e">
        <f t="shared" si="47"/>
        <v>#N/A</v>
      </c>
    </row>
    <row r="2797" spans="1:7">
      <c r="A2797" s="112" t="e">
        <f>VLOOKUP('Informe Kelly'!A2791,Base!A:B,2,FALSE)</f>
        <v>#N/A</v>
      </c>
      <c r="B2797" s="112" t="e">
        <f>VLOOKUP('Informe Kelly'!A2791,Base!A:G,7,FALSE)</f>
        <v>#N/A</v>
      </c>
      <c r="C2797" s="112">
        <f>'Informe Kelly'!E2791</f>
        <v>0</v>
      </c>
      <c r="D2797" s="112" t="e">
        <f>VLOOKUP(A2797,Ingreso!K:P,6,FALSE)</f>
        <v>#N/A</v>
      </c>
      <c r="E2797" s="142" t="e">
        <f>(VLOOKUP(D2797,$D$2:$E$4,2,FALSE))-(IF('Informe Kelly'!H2791=$A$2,'Informe Kelly'!F2791,VLOOKUP(D2797,$D$2:$E$4,2,FALSE)))</f>
        <v>#N/A</v>
      </c>
      <c r="F2797" s="142" t="e">
        <f>IF('Informe Kelly'!H2791=$A$3,'Informe Kelly'!F2791,VLOOKUP(D2797,$D$2:$F$4,3,FALSE))-(VLOOKUP(D2797,$D$2:$F$4,3,FALSE))</f>
        <v>#N/A</v>
      </c>
      <c r="G2797" s="137" t="e">
        <f t="shared" si="47"/>
        <v>#N/A</v>
      </c>
    </row>
    <row r="2798" spans="1:7">
      <c r="A2798" s="112" t="e">
        <f>VLOOKUP('Informe Kelly'!A2792,Base!A:B,2,FALSE)</f>
        <v>#N/A</v>
      </c>
      <c r="B2798" s="112" t="e">
        <f>VLOOKUP('Informe Kelly'!A2792,Base!A:G,7,FALSE)</f>
        <v>#N/A</v>
      </c>
      <c r="C2798" s="112">
        <f>'Informe Kelly'!E2792</f>
        <v>0</v>
      </c>
      <c r="D2798" s="112" t="e">
        <f>VLOOKUP(A2798,Ingreso!K:P,6,FALSE)</f>
        <v>#N/A</v>
      </c>
      <c r="E2798" s="142" t="e">
        <f>(VLOOKUP(D2798,$D$2:$E$4,2,FALSE))-(IF('Informe Kelly'!H2792=$A$2,'Informe Kelly'!F2792,VLOOKUP(D2798,$D$2:$E$4,2,FALSE)))</f>
        <v>#N/A</v>
      </c>
      <c r="F2798" s="142" t="e">
        <f>IF('Informe Kelly'!H2792=$A$3,'Informe Kelly'!F2792,VLOOKUP(D2798,$D$2:$F$4,3,FALSE))-(VLOOKUP(D2798,$D$2:$F$4,3,FALSE))</f>
        <v>#N/A</v>
      </c>
      <c r="G2798" s="137" t="e">
        <f t="shared" si="47"/>
        <v>#N/A</v>
      </c>
    </row>
    <row r="2799" spans="1:7">
      <c r="A2799" s="112" t="e">
        <f>VLOOKUP('Informe Kelly'!A2793,Base!A:B,2,FALSE)</f>
        <v>#N/A</v>
      </c>
      <c r="B2799" s="112" t="e">
        <f>VLOOKUP('Informe Kelly'!A2793,Base!A:G,7,FALSE)</f>
        <v>#N/A</v>
      </c>
      <c r="C2799" s="112">
        <f>'Informe Kelly'!E2793</f>
        <v>0</v>
      </c>
      <c r="D2799" s="112" t="e">
        <f>VLOOKUP(A2799,Ingreso!K:P,6,FALSE)</f>
        <v>#N/A</v>
      </c>
      <c r="E2799" s="142" t="e">
        <f>(VLOOKUP(D2799,$D$2:$E$4,2,FALSE))-(IF('Informe Kelly'!H2793=$A$2,'Informe Kelly'!F2793,VLOOKUP(D2799,$D$2:$E$4,2,FALSE)))</f>
        <v>#N/A</v>
      </c>
      <c r="F2799" s="142" t="e">
        <f>IF('Informe Kelly'!H2793=$A$3,'Informe Kelly'!F2793,VLOOKUP(D2799,$D$2:$F$4,3,FALSE))-(VLOOKUP(D2799,$D$2:$F$4,3,FALSE))</f>
        <v>#N/A</v>
      </c>
      <c r="G2799" s="137" t="e">
        <f t="shared" si="47"/>
        <v>#N/A</v>
      </c>
    </row>
    <row r="2800" spans="1:7">
      <c r="A2800" s="112" t="e">
        <f>VLOOKUP('Informe Kelly'!A2794,Base!A:B,2,FALSE)</f>
        <v>#N/A</v>
      </c>
      <c r="B2800" s="112" t="e">
        <f>VLOOKUP('Informe Kelly'!A2794,Base!A:G,7,FALSE)</f>
        <v>#N/A</v>
      </c>
      <c r="C2800" s="112">
        <f>'Informe Kelly'!E2794</f>
        <v>0</v>
      </c>
      <c r="D2800" s="112" t="e">
        <f>VLOOKUP(A2800,Ingreso!K:P,6,FALSE)</f>
        <v>#N/A</v>
      </c>
      <c r="E2800" s="142" t="e">
        <f>(VLOOKUP(D2800,$D$2:$E$4,2,FALSE))-(IF('Informe Kelly'!H2794=$A$2,'Informe Kelly'!F2794,VLOOKUP(D2800,$D$2:$E$4,2,FALSE)))</f>
        <v>#N/A</v>
      </c>
      <c r="F2800" s="142" t="e">
        <f>IF('Informe Kelly'!H2794=$A$3,'Informe Kelly'!F2794,VLOOKUP(D2800,$D$2:$F$4,3,FALSE))-(VLOOKUP(D2800,$D$2:$F$4,3,FALSE))</f>
        <v>#N/A</v>
      </c>
      <c r="G2800" s="137" t="e">
        <f t="shared" si="47"/>
        <v>#N/A</v>
      </c>
    </row>
    <row r="2801" spans="1:7">
      <c r="A2801" s="112" t="e">
        <f>VLOOKUP('Informe Kelly'!A2795,Base!A:B,2,FALSE)</f>
        <v>#N/A</v>
      </c>
      <c r="B2801" s="112" t="e">
        <f>VLOOKUP('Informe Kelly'!A2795,Base!A:G,7,FALSE)</f>
        <v>#N/A</v>
      </c>
      <c r="C2801" s="112">
        <f>'Informe Kelly'!E2795</f>
        <v>0</v>
      </c>
      <c r="D2801" s="112" t="e">
        <f>VLOOKUP(A2801,Ingreso!K:P,6,FALSE)</f>
        <v>#N/A</v>
      </c>
      <c r="E2801" s="142" t="e">
        <f>(VLOOKUP(D2801,$D$2:$E$4,2,FALSE))-(IF('Informe Kelly'!H2795=$A$2,'Informe Kelly'!F2795,VLOOKUP(D2801,$D$2:$E$4,2,FALSE)))</f>
        <v>#N/A</v>
      </c>
      <c r="F2801" s="142" t="e">
        <f>IF('Informe Kelly'!H2795=$A$3,'Informe Kelly'!F2795,VLOOKUP(D2801,$D$2:$F$4,3,FALSE))-(VLOOKUP(D2801,$D$2:$F$4,3,FALSE))</f>
        <v>#N/A</v>
      </c>
      <c r="G2801" s="137" t="e">
        <f t="shared" si="47"/>
        <v>#N/A</v>
      </c>
    </row>
    <row r="2802" spans="1:7">
      <c r="A2802" s="112" t="e">
        <f>VLOOKUP('Informe Kelly'!A2796,Base!A:B,2,FALSE)</f>
        <v>#N/A</v>
      </c>
      <c r="B2802" s="112" t="e">
        <f>VLOOKUP('Informe Kelly'!A2796,Base!A:G,7,FALSE)</f>
        <v>#N/A</v>
      </c>
      <c r="C2802" s="112">
        <f>'Informe Kelly'!E2796</f>
        <v>0</v>
      </c>
      <c r="D2802" s="112" t="e">
        <f>VLOOKUP(A2802,Ingreso!K:P,6,FALSE)</f>
        <v>#N/A</v>
      </c>
      <c r="E2802" s="142" t="e">
        <f>(VLOOKUP(D2802,$D$2:$E$4,2,FALSE))-(IF('Informe Kelly'!H2796=$A$2,'Informe Kelly'!F2796,VLOOKUP(D2802,$D$2:$E$4,2,FALSE)))</f>
        <v>#N/A</v>
      </c>
      <c r="F2802" s="142" t="e">
        <f>IF('Informe Kelly'!H2796=$A$3,'Informe Kelly'!F2796,VLOOKUP(D2802,$D$2:$F$4,3,FALSE))-(VLOOKUP(D2802,$D$2:$F$4,3,FALSE))</f>
        <v>#N/A</v>
      </c>
      <c r="G2802" s="137" t="e">
        <f t="shared" si="47"/>
        <v>#N/A</v>
      </c>
    </row>
    <row r="2803" spans="1:7">
      <c r="A2803" s="112" t="e">
        <f>VLOOKUP('Informe Kelly'!A2797,Base!A:B,2,FALSE)</f>
        <v>#N/A</v>
      </c>
      <c r="B2803" s="112" t="e">
        <f>VLOOKUP('Informe Kelly'!A2797,Base!A:G,7,FALSE)</f>
        <v>#N/A</v>
      </c>
      <c r="C2803" s="112">
        <f>'Informe Kelly'!E2797</f>
        <v>0</v>
      </c>
      <c r="D2803" s="112" t="e">
        <f>VLOOKUP(A2803,Ingreso!K:P,6,FALSE)</f>
        <v>#N/A</v>
      </c>
      <c r="E2803" s="142" t="e">
        <f>(VLOOKUP(D2803,$D$2:$E$4,2,FALSE))-(IF('Informe Kelly'!H2797=$A$2,'Informe Kelly'!F2797,VLOOKUP(D2803,$D$2:$E$4,2,FALSE)))</f>
        <v>#N/A</v>
      </c>
      <c r="F2803" s="142" t="e">
        <f>IF('Informe Kelly'!H2797=$A$3,'Informe Kelly'!F2797,VLOOKUP(D2803,$D$2:$F$4,3,FALSE))-(VLOOKUP(D2803,$D$2:$F$4,3,FALSE))</f>
        <v>#N/A</v>
      </c>
      <c r="G2803" s="137" t="e">
        <f t="shared" si="47"/>
        <v>#N/A</v>
      </c>
    </row>
    <row r="2804" spans="1:7">
      <c r="A2804" s="112" t="e">
        <f>VLOOKUP('Informe Kelly'!A2798,Base!A:B,2,FALSE)</f>
        <v>#N/A</v>
      </c>
      <c r="B2804" s="112" t="e">
        <f>VLOOKUP('Informe Kelly'!A2798,Base!A:G,7,FALSE)</f>
        <v>#N/A</v>
      </c>
      <c r="C2804" s="112">
        <f>'Informe Kelly'!E2798</f>
        <v>0</v>
      </c>
      <c r="D2804" s="112" t="e">
        <f>VLOOKUP(A2804,Ingreso!K:P,6,FALSE)</f>
        <v>#N/A</v>
      </c>
      <c r="E2804" s="142" t="e">
        <f>(VLOOKUP(D2804,$D$2:$E$4,2,FALSE))-(IF('Informe Kelly'!H2798=$A$2,'Informe Kelly'!F2798,VLOOKUP(D2804,$D$2:$E$4,2,FALSE)))</f>
        <v>#N/A</v>
      </c>
      <c r="F2804" s="142" t="e">
        <f>IF('Informe Kelly'!H2798=$A$3,'Informe Kelly'!F2798,VLOOKUP(D2804,$D$2:$F$4,3,FALSE))-(VLOOKUP(D2804,$D$2:$F$4,3,FALSE))</f>
        <v>#N/A</v>
      </c>
      <c r="G2804" s="137" t="e">
        <f t="shared" si="47"/>
        <v>#N/A</v>
      </c>
    </row>
    <row r="2805" spans="1:7">
      <c r="A2805" s="112" t="e">
        <f>VLOOKUP('Informe Kelly'!A2799,Base!A:B,2,FALSE)</f>
        <v>#N/A</v>
      </c>
      <c r="B2805" s="112" t="e">
        <f>VLOOKUP('Informe Kelly'!A2799,Base!A:G,7,FALSE)</f>
        <v>#N/A</v>
      </c>
      <c r="C2805" s="112">
        <f>'Informe Kelly'!E2799</f>
        <v>0</v>
      </c>
      <c r="D2805" s="112" t="e">
        <f>VLOOKUP(A2805,Ingreso!K:P,6,FALSE)</f>
        <v>#N/A</v>
      </c>
      <c r="E2805" s="142" t="e">
        <f>(VLOOKUP(D2805,$D$2:$E$4,2,FALSE))-(IF('Informe Kelly'!H2799=$A$2,'Informe Kelly'!F2799,VLOOKUP(D2805,$D$2:$E$4,2,FALSE)))</f>
        <v>#N/A</v>
      </c>
      <c r="F2805" s="142" t="e">
        <f>IF('Informe Kelly'!H2799=$A$3,'Informe Kelly'!F2799,VLOOKUP(D2805,$D$2:$F$4,3,FALSE))-(VLOOKUP(D2805,$D$2:$F$4,3,FALSE))</f>
        <v>#N/A</v>
      </c>
      <c r="G2805" s="137" t="e">
        <f t="shared" si="47"/>
        <v>#N/A</v>
      </c>
    </row>
    <row r="2806" spans="1:7">
      <c r="A2806" s="112" t="e">
        <f>VLOOKUP('Informe Kelly'!A2800,Base!A:B,2,FALSE)</f>
        <v>#N/A</v>
      </c>
      <c r="B2806" s="112" t="e">
        <f>VLOOKUP('Informe Kelly'!A2800,Base!A:G,7,FALSE)</f>
        <v>#N/A</v>
      </c>
      <c r="C2806" s="112">
        <f>'Informe Kelly'!E2800</f>
        <v>0</v>
      </c>
      <c r="D2806" s="112" t="e">
        <f>VLOOKUP(A2806,Ingreso!K:P,6,FALSE)</f>
        <v>#N/A</v>
      </c>
      <c r="E2806" s="142" t="e">
        <f>(VLOOKUP(D2806,$D$2:$E$4,2,FALSE))-(IF('Informe Kelly'!H2800=$A$2,'Informe Kelly'!F2800,VLOOKUP(D2806,$D$2:$E$4,2,FALSE)))</f>
        <v>#N/A</v>
      </c>
      <c r="F2806" s="142" t="e">
        <f>IF('Informe Kelly'!H2800=$A$3,'Informe Kelly'!F2800,VLOOKUP(D2806,$D$2:$F$4,3,FALSE))-(VLOOKUP(D2806,$D$2:$F$4,3,FALSE))</f>
        <v>#N/A</v>
      </c>
      <c r="G2806" s="137" t="e">
        <f t="shared" si="47"/>
        <v>#N/A</v>
      </c>
    </row>
    <row r="2807" spans="1:7">
      <c r="A2807" s="112" t="e">
        <f>VLOOKUP('Informe Kelly'!A2801,Base!A:B,2,FALSE)</f>
        <v>#N/A</v>
      </c>
      <c r="B2807" s="112" t="e">
        <f>VLOOKUP('Informe Kelly'!A2801,Base!A:G,7,FALSE)</f>
        <v>#N/A</v>
      </c>
      <c r="C2807" s="112">
        <f>'Informe Kelly'!E2801</f>
        <v>0</v>
      </c>
      <c r="D2807" s="112" t="e">
        <f>VLOOKUP(A2807,Ingreso!K:P,6,FALSE)</f>
        <v>#N/A</v>
      </c>
      <c r="E2807" s="142" t="e">
        <f>(VLOOKUP(D2807,$D$2:$E$4,2,FALSE))-(IF('Informe Kelly'!H2801=$A$2,'Informe Kelly'!F2801,VLOOKUP(D2807,$D$2:$E$4,2,FALSE)))</f>
        <v>#N/A</v>
      </c>
      <c r="F2807" s="142" t="e">
        <f>IF('Informe Kelly'!H2801=$A$3,'Informe Kelly'!F2801,VLOOKUP(D2807,$D$2:$F$4,3,FALSE))-(VLOOKUP(D2807,$D$2:$F$4,3,FALSE))</f>
        <v>#N/A</v>
      </c>
      <c r="G2807" s="137" t="e">
        <f t="shared" si="47"/>
        <v>#N/A</v>
      </c>
    </row>
    <row r="2808" spans="1:7">
      <c r="A2808" s="112" t="e">
        <f>VLOOKUP('Informe Kelly'!A2802,Base!A:B,2,FALSE)</f>
        <v>#N/A</v>
      </c>
      <c r="B2808" s="112" t="e">
        <f>VLOOKUP('Informe Kelly'!A2802,Base!A:G,7,FALSE)</f>
        <v>#N/A</v>
      </c>
      <c r="C2808" s="112">
        <f>'Informe Kelly'!E2802</f>
        <v>0</v>
      </c>
      <c r="D2808" s="112" t="e">
        <f>VLOOKUP(A2808,Ingreso!K:P,6,FALSE)</f>
        <v>#N/A</v>
      </c>
      <c r="E2808" s="142" t="e">
        <f>(VLOOKUP(D2808,$D$2:$E$4,2,FALSE))-(IF('Informe Kelly'!H2802=$A$2,'Informe Kelly'!F2802,VLOOKUP(D2808,$D$2:$E$4,2,FALSE)))</f>
        <v>#N/A</v>
      </c>
      <c r="F2808" s="142" t="e">
        <f>IF('Informe Kelly'!H2802=$A$3,'Informe Kelly'!F2802,VLOOKUP(D2808,$D$2:$F$4,3,FALSE))-(VLOOKUP(D2808,$D$2:$F$4,3,FALSE))</f>
        <v>#N/A</v>
      </c>
      <c r="G2808" s="137" t="e">
        <f t="shared" si="47"/>
        <v>#N/A</v>
      </c>
    </row>
    <row r="2809" spans="1:7">
      <c r="A2809" s="112" t="e">
        <f>VLOOKUP('Informe Kelly'!A2803,Base!A:B,2,FALSE)</f>
        <v>#N/A</v>
      </c>
      <c r="B2809" s="112" t="e">
        <f>VLOOKUP('Informe Kelly'!A2803,Base!A:G,7,FALSE)</f>
        <v>#N/A</v>
      </c>
      <c r="C2809" s="112">
        <f>'Informe Kelly'!E2803</f>
        <v>0</v>
      </c>
      <c r="D2809" s="112" t="e">
        <f>VLOOKUP(A2809,Ingreso!K:P,6,FALSE)</f>
        <v>#N/A</v>
      </c>
      <c r="E2809" s="142" t="e">
        <f>(VLOOKUP(D2809,$D$2:$E$4,2,FALSE))-(IF('Informe Kelly'!H2803=$A$2,'Informe Kelly'!F2803,VLOOKUP(D2809,$D$2:$E$4,2,FALSE)))</f>
        <v>#N/A</v>
      </c>
      <c r="F2809" s="142" t="e">
        <f>IF('Informe Kelly'!H2803=$A$3,'Informe Kelly'!F2803,VLOOKUP(D2809,$D$2:$F$4,3,FALSE))-(VLOOKUP(D2809,$D$2:$F$4,3,FALSE))</f>
        <v>#N/A</v>
      </c>
      <c r="G2809" s="137" t="e">
        <f t="shared" si="47"/>
        <v>#N/A</v>
      </c>
    </row>
    <row r="2810" spans="1:7">
      <c r="A2810" s="112" t="e">
        <f>VLOOKUP('Informe Kelly'!A2804,Base!A:B,2,FALSE)</f>
        <v>#N/A</v>
      </c>
      <c r="B2810" s="112" t="e">
        <f>VLOOKUP('Informe Kelly'!A2804,Base!A:G,7,FALSE)</f>
        <v>#N/A</v>
      </c>
      <c r="C2810" s="112">
        <f>'Informe Kelly'!E2804</f>
        <v>0</v>
      </c>
      <c r="D2810" s="112" t="e">
        <f>VLOOKUP(A2810,Ingreso!K:P,6,FALSE)</f>
        <v>#N/A</v>
      </c>
      <c r="E2810" s="142" t="e">
        <f>(VLOOKUP(D2810,$D$2:$E$4,2,FALSE))-(IF('Informe Kelly'!H2804=$A$2,'Informe Kelly'!F2804,VLOOKUP(D2810,$D$2:$E$4,2,FALSE)))</f>
        <v>#N/A</v>
      </c>
      <c r="F2810" s="142" t="e">
        <f>IF('Informe Kelly'!H2804=$A$3,'Informe Kelly'!F2804,VLOOKUP(D2810,$D$2:$F$4,3,FALSE))-(VLOOKUP(D2810,$D$2:$F$4,3,FALSE))</f>
        <v>#N/A</v>
      </c>
      <c r="G2810" s="137" t="e">
        <f t="shared" si="47"/>
        <v>#N/A</v>
      </c>
    </row>
    <row r="2811" spans="1:7">
      <c r="A2811" s="112" t="e">
        <f>VLOOKUP('Informe Kelly'!A2805,Base!A:B,2,FALSE)</f>
        <v>#N/A</v>
      </c>
      <c r="B2811" s="112" t="e">
        <f>VLOOKUP('Informe Kelly'!A2805,Base!A:G,7,FALSE)</f>
        <v>#N/A</v>
      </c>
      <c r="C2811" s="112">
        <f>'Informe Kelly'!E2805</f>
        <v>0</v>
      </c>
      <c r="D2811" s="112" t="e">
        <f>VLOOKUP(A2811,Ingreso!K:P,6,FALSE)</f>
        <v>#N/A</v>
      </c>
      <c r="E2811" s="142" t="e">
        <f>(VLOOKUP(D2811,$D$2:$E$4,2,FALSE))-(IF('Informe Kelly'!H2805=$A$2,'Informe Kelly'!F2805,VLOOKUP(D2811,$D$2:$E$4,2,FALSE)))</f>
        <v>#N/A</v>
      </c>
      <c r="F2811" s="142" t="e">
        <f>IF('Informe Kelly'!H2805=$A$3,'Informe Kelly'!F2805,VLOOKUP(D2811,$D$2:$F$4,3,FALSE))-(VLOOKUP(D2811,$D$2:$F$4,3,FALSE))</f>
        <v>#N/A</v>
      </c>
      <c r="G2811" s="137" t="e">
        <f t="shared" si="47"/>
        <v>#N/A</v>
      </c>
    </row>
    <row r="2812" spans="1:7">
      <c r="A2812" s="112" t="e">
        <f>VLOOKUP('Informe Kelly'!A2806,Base!A:B,2,FALSE)</f>
        <v>#N/A</v>
      </c>
      <c r="B2812" s="112" t="e">
        <f>VLOOKUP('Informe Kelly'!A2806,Base!A:G,7,FALSE)</f>
        <v>#N/A</v>
      </c>
      <c r="C2812" s="112">
        <f>'Informe Kelly'!E2806</f>
        <v>0</v>
      </c>
      <c r="D2812" s="112" t="e">
        <f>VLOOKUP(A2812,Ingreso!K:P,6,FALSE)</f>
        <v>#N/A</v>
      </c>
      <c r="E2812" s="142" t="e">
        <f>(VLOOKUP(D2812,$D$2:$E$4,2,FALSE))-(IF('Informe Kelly'!H2806=$A$2,'Informe Kelly'!F2806,VLOOKUP(D2812,$D$2:$E$4,2,FALSE)))</f>
        <v>#N/A</v>
      </c>
      <c r="F2812" s="142" t="e">
        <f>IF('Informe Kelly'!H2806=$A$3,'Informe Kelly'!F2806,VLOOKUP(D2812,$D$2:$F$4,3,FALSE))-(VLOOKUP(D2812,$D$2:$F$4,3,FALSE))</f>
        <v>#N/A</v>
      </c>
      <c r="G2812" s="137" t="e">
        <f t="shared" si="47"/>
        <v>#N/A</v>
      </c>
    </row>
    <row r="2813" spans="1:7">
      <c r="A2813" s="112" t="e">
        <f>VLOOKUP('Informe Kelly'!A2807,Base!A:B,2,FALSE)</f>
        <v>#N/A</v>
      </c>
      <c r="B2813" s="112" t="e">
        <f>VLOOKUP('Informe Kelly'!A2807,Base!A:G,7,FALSE)</f>
        <v>#N/A</v>
      </c>
      <c r="C2813" s="112">
        <f>'Informe Kelly'!E2807</f>
        <v>0</v>
      </c>
      <c r="D2813" s="112" t="e">
        <f>VLOOKUP(A2813,Ingreso!K:P,6,FALSE)</f>
        <v>#N/A</v>
      </c>
      <c r="E2813" s="142" t="e">
        <f>(VLOOKUP(D2813,$D$2:$E$4,2,FALSE))-(IF('Informe Kelly'!H2807=$A$2,'Informe Kelly'!F2807,VLOOKUP(D2813,$D$2:$E$4,2,FALSE)))</f>
        <v>#N/A</v>
      </c>
      <c r="F2813" s="142" t="e">
        <f>IF('Informe Kelly'!H2807=$A$3,'Informe Kelly'!F2807,VLOOKUP(D2813,$D$2:$F$4,3,FALSE))-(VLOOKUP(D2813,$D$2:$F$4,3,FALSE))</f>
        <v>#N/A</v>
      </c>
      <c r="G2813" s="137" t="e">
        <f t="shared" si="47"/>
        <v>#N/A</v>
      </c>
    </row>
    <row r="2814" spans="1:7">
      <c r="A2814" s="112" t="e">
        <f>VLOOKUP('Informe Kelly'!A2808,Base!A:B,2,FALSE)</f>
        <v>#N/A</v>
      </c>
      <c r="B2814" s="112" t="e">
        <f>VLOOKUP('Informe Kelly'!A2808,Base!A:G,7,FALSE)</f>
        <v>#N/A</v>
      </c>
      <c r="C2814" s="112">
        <f>'Informe Kelly'!E2808</f>
        <v>0</v>
      </c>
      <c r="D2814" s="112" t="e">
        <f>VLOOKUP(A2814,Ingreso!K:P,6,FALSE)</f>
        <v>#N/A</v>
      </c>
      <c r="E2814" s="142" t="e">
        <f>(VLOOKUP(D2814,$D$2:$E$4,2,FALSE))-(IF('Informe Kelly'!H2808=$A$2,'Informe Kelly'!F2808,VLOOKUP(D2814,$D$2:$E$4,2,FALSE)))</f>
        <v>#N/A</v>
      </c>
      <c r="F2814" s="142" t="e">
        <f>IF('Informe Kelly'!H2808=$A$3,'Informe Kelly'!F2808,VLOOKUP(D2814,$D$2:$F$4,3,FALSE))-(VLOOKUP(D2814,$D$2:$F$4,3,FALSE))</f>
        <v>#N/A</v>
      </c>
      <c r="G2814" s="137" t="e">
        <f t="shared" si="47"/>
        <v>#N/A</v>
      </c>
    </row>
    <row r="2815" spans="1:7">
      <c r="A2815" s="112" t="e">
        <f>VLOOKUP('Informe Kelly'!A2809,Base!A:B,2,FALSE)</f>
        <v>#N/A</v>
      </c>
      <c r="B2815" s="112" t="e">
        <f>VLOOKUP('Informe Kelly'!A2809,Base!A:G,7,FALSE)</f>
        <v>#N/A</v>
      </c>
      <c r="C2815" s="112">
        <f>'Informe Kelly'!E2809</f>
        <v>0</v>
      </c>
      <c r="D2815" s="112" t="e">
        <f>VLOOKUP(A2815,Ingreso!K:P,6,FALSE)</f>
        <v>#N/A</v>
      </c>
      <c r="E2815" s="142" t="e">
        <f>(VLOOKUP(D2815,$D$2:$E$4,2,FALSE))-(IF('Informe Kelly'!H2809=$A$2,'Informe Kelly'!F2809,VLOOKUP(D2815,$D$2:$E$4,2,FALSE)))</f>
        <v>#N/A</v>
      </c>
      <c r="F2815" s="142" t="e">
        <f>IF('Informe Kelly'!H2809=$A$3,'Informe Kelly'!F2809,VLOOKUP(D2815,$D$2:$F$4,3,FALSE))-(VLOOKUP(D2815,$D$2:$F$4,3,FALSE))</f>
        <v>#N/A</v>
      </c>
      <c r="G2815" s="137" t="e">
        <f t="shared" si="47"/>
        <v>#N/A</v>
      </c>
    </row>
    <row r="2816" spans="1:7">
      <c r="A2816" s="112" t="e">
        <f>VLOOKUP('Informe Kelly'!A2810,Base!A:B,2,FALSE)</f>
        <v>#N/A</v>
      </c>
      <c r="B2816" s="112" t="e">
        <f>VLOOKUP('Informe Kelly'!A2810,Base!A:G,7,FALSE)</f>
        <v>#N/A</v>
      </c>
      <c r="C2816" s="112">
        <f>'Informe Kelly'!E2810</f>
        <v>0</v>
      </c>
      <c r="D2816" s="112" t="e">
        <f>VLOOKUP(A2816,Ingreso!K:P,6,FALSE)</f>
        <v>#N/A</v>
      </c>
      <c r="E2816" s="142" t="e">
        <f>(VLOOKUP(D2816,$D$2:$E$4,2,FALSE))-(IF('Informe Kelly'!H2810=$A$2,'Informe Kelly'!F2810,VLOOKUP(D2816,$D$2:$E$4,2,FALSE)))</f>
        <v>#N/A</v>
      </c>
      <c r="F2816" s="142" t="e">
        <f>IF('Informe Kelly'!H2810=$A$3,'Informe Kelly'!F2810,VLOOKUP(D2816,$D$2:$F$4,3,FALSE))-(VLOOKUP(D2816,$D$2:$F$4,3,FALSE))</f>
        <v>#N/A</v>
      </c>
      <c r="G2816" s="137" t="e">
        <f t="shared" si="47"/>
        <v>#N/A</v>
      </c>
    </row>
    <row r="2817" spans="1:7">
      <c r="A2817" s="112" t="e">
        <f>VLOOKUP('Informe Kelly'!A2811,Base!A:B,2,FALSE)</f>
        <v>#N/A</v>
      </c>
      <c r="B2817" s="112" t="e">
        <f>VLOOKUP('Informe Kelly'!A2811,Base!A:G,7,FALSE)</f>
        <v>#N/A</v>
      </c>
      <c r="C2817" s="112">
        <f>'Informe Kelly'!E2811</f>
        <v>0</v>
      </c>
      <c r="D2817" s="112" t="e">
        <f>VLOOKUP(A2817,Ingreso!K:P,6,FALSE)</f>
        <v>#N/A</v>
      </c>
      <c r="E2817" s="142" t="e">
        <f>(VLOOKUP(D2817,$D$2:$E$4,2,FALSE))-(IF('Informe Kelly'!H2811=$A$2,'Informe Kelly'!F2811,VLOOKUP(D2817,$D$2:$E$4,2,FALSE)))</f>
        <v>#N/A</v>
      </c>
      <c r="F2817" s="142" t="e">
        <f>IF('Informe Kelly'!H2811=$A$3,'Informe Kelly'!F2811,VLOOKUP(D2817,$D$2:$F$4,3,FALSE))-(VLOOKUP(D2817,$D$2:$F$4,3,FALSE))</f>
        <v>#N/A</v>
      </c>
      <c r="G2817" s="137" t="e">
        <f t="shared" si="47"/>
        <v>#N/A</v>
      </c>
    </row>
    <row r="2818" spans="1:7">
      <c r="A2818" s="112" t="e">
        <f>VLOOKUP('Informe Kelly'!A2812,Base!A:B,2,FALSE)</f>
        <v>#N/A</v>
      </c>
      <c r="B2818" s="112" t="e">
        <f>VLOOKUP('Informe Kelly'!A2812,Base!A:G,7,FALSE)</f>
        <v>#N/A</v>
      </c>
      <c r="C2818" s="112">
        <f>'Informe Kelly'!E2812</f>
        <v>0</v>
      </c>
      <c r="D2818" s="112" t="e">
        <f>VLOOKUP(A2818,Ingreso!K:P,6,FALSE)</f>
        <v>#N/A</v>
      </c>
      <c r="E2818" s="142" t="e">
        <f>(VLOOKUP(D2818,$D$2:$E$4,2,FALSE))-(IF('Informe Kelly'!H2812=$A$2,'Informe Kelly'!F2812,VLOOKUP(D2818,$D$2:$E$4,2,FALSE)))</f>
        <v>#N/A</v>
      </c>
      <c r="F2818" s="142" t="e">
        <f>IF('Informe Kelly'!H2812=$A$3,'Informe Kelly'!F2812,VLOOKUP(D2818,$D$2:$F$4,3,FALSE))-(VLOOKUP(D2818,$D$2:$F$4,3,FALSE))</f>
        <v>#N/A</v>
      </c>
      <c r="G2818" s="137" t="e">
        <f t="shared" si="47"/>
        <v>#N/A</v>
      </c>
    </row>
    <row r="2819" spans="1:7">
      <c r="A2819" s="112" t="e">
        <f>VLOOKUP('Informe Kelly'!A2813,Base!A:B,2,FALSE)</f>
        <v>#N/A</v>
      </c>
      <c r="B2819" s="112" t="e">
        <f>VLOOKUP('Informe Kelly'!A2813,Base!A:G,7,FALSE)</f>
        <v>#N/A</v>
      </c>
      <c r="C2819" s="112">
        <f>'Informe Kelly'!E2813</f>
        <v>0</v>
      </c>
      <c r="D2819" s="112" t="e">
        <f>VLOOKUP(A2819,Ingreso!K:P,6,FALSE)</f>
        <v>#N/A</v>
      </c>
      <c r="E2819" s="142" t="e">
        <f>(VLOOKUP(D2819,$D$2:$E$4,2,FALSE))-(IF('Informe Kelly'!H2813=$A$2,'Informe Kelly'!F2813,VLOOKUP(D2819,$D$2:$E$4,2,FALSE)))</f>
        <v>#N/A</v>
      </c>
      <c r="F2819" s="142" t="e">
        <f>IF('Informe Kelly'!H2813=$A$3,'Informe Kelly'!F2813,VLOOKUP(D2819,$D$2:$F$4,3,FALSE))-(VLOOKUP(D2819,$D$2:$F$4,3,FALSE))</f>
        <v>#N/A</v>
      </c>
      <c r="G2819" s="137" t="e">
        <f t="shared" si="47"/>
        <v>#N/A</v>
      </c>
    </row>
    <row r="2820" spans="1:7">
      <c r="A2820" s="112" t="e">
        <f>VLOOKUP('Informe Kelly'!A2814,Base!A:B,2,FALSE)</f>
        <v>#N/A</v>
      </c>
      <c r="B2820" s="112" t="e">
        <f>VLOOKUP('Informe Kelly'!A2814,Base!A:G,7,FALSE)</f>
        <v>#N/A</v>
      </c>
      <c r="C2820" s="112">
        <f>'Informe Kelly'!E2814</f>
        <v>0</v>
      </c>
      <c r="D2820" s="112" t="e">
        <f>VLOOKUP(A2820,Ingreso!K:P,6,FALSE)</f>
        <v>#N/A</v>
      </c>
      <c r="E2820" s="142" t="e">
        <f>(VLOOKUP(D2820,$D$2:$E$4,2,FALSE))-(IF('Informe Kelly'!H2814=$A$2,'Informe Kelly'!F2814,VLOOKUP(D2820,$D$2:$E$4,2,FALSE)))</f>
        <v>#N/A</v>
      </c>
      <c r="F2820" s="142" t="e">
        <f>IF('Informe Kelly'!H2814=$A$3,'Informe Kelly'!F2814,VLOOKUP(D2820,$D$2:$F$4,3,FALSE))-(VLOOKUP(D2820,$D$2:$F$4,3,FALSE))</f>
        <v>#N/A</v>
      </c>
      <c r="G2820" s="137" t="e">
        <f t="shared" si="47"/>
        <v>#N/A</v>
      </c>
    </row>
    <row r="2821" spans="1:7">
      <c r="A2821" s="112" t="e">
        <f>VLOOKUP('Informe Kelly'!A2815,Base!A:B,2,FALSE)</f>
        <v>#N/A</v>
      </c>
      <c r="B2821" s="112" t="e">
        <f>VLOOKUP('Informe Kelly'!A2815,Base!A:G,7,FALSE)</f>
        <v>#N/A</v>
      </c>
      <c r="C2821" s="112">
        <f>'Informe Kelly'!E2815</f>
        <v>0</v>
      </c>
      <c r="D2821" s="112" t="e">
        <f>VLOOKUP(A2821,Ingreso!K:P,6,FALSE)</f>
        <v>#N/A</v>
      </c>
      <c r="E2821" s="142" t="e">
        <f>(VLOOKUP(D2821,$D$2:$E$4,2,FALSE))-(IF('Informe Kelly'!H2815=$A$2,'Informe Kelly'!F2815,VLOOKUP(D2821,$D$2:$E$4,2,FALSE)))</f>
        <v>#N/A</v>
      </c>
      <c r="F2821" s="142" t="e">
        <f>IF('Informe Kelly'!H2815=$A$3,'Informe Kelly'!F2815,VLOOKUP(D2821,$D$2:$F$4,3,FALSE))-(VLOOKUP(D2821,$D$2:$F$4,3,FALSE))</f>
        <v>#N/A</v>
      </c>
      <c r="G2821" s="137" t="e">
        <f t="shared" si="47"/>
        <v>#N/A</v>
      </c>
    </row>
    <row r="2822" spans="1:7">
      <c r="A2822" s="112" t="e">
        <f>VLOOKUP('Informe Kelly'!A2816,Base!A:B,2,FALSE)</f>
        <v>#N/A</v>
      </c>
      <c r="B2822" s="112" t="e">
        <f>VLOOKUP('Informe Kelly'!A2816,Base!A:G,7,FALSE)</f>
        <v>#N/A</v>
      </c>
      <c r="C2822" s="112">
        <f>'Informe Kelly'!E2816</f>
        <v>0</v>
      </c>
      <c r="D2822" s="112" t="e">
        <f>VLOOKUP(A2822,Ingreso!K:P,6,FALSE)</f>
        <v>#N/A</v>
      </c>
      <c r="E2822" s="142" t="e">
        <f>(VLOOKUP(D2822,$D$2:$E$4,2,FALSE))-(IF('Informe Kelly'!H2816=$A$2,'Informe Kelly'!F2816,VLOOKUP(D2822,$D$2:$E$4,2,FALSE)))</f>
        <v>#N/A</v>
      </c>
      <c r="F2822" s="142" t="e">
        <f>IF('Informe Kelly'!H2816=$A$3,'Informe Kelly'!F2816,VLOOKUP(D2822,$D$2:$F$4,3,FALSE))-(VLOOKUP(D2822,$D$2:$F$4,3,FALSE))</f>
        <v>#N/A</v>
      </c>
      <c r="G2822" s="137" t="e">
        <f t="shared" si="47"/>
        <v>#N/A</v>
      </c>
    </row>
    <row r="2823" spans="1:7">
      <c r="A2823" s="112" t="e">
        <f>VLOOKUP('Informe Kelly'!A2817,Base!A:B,2,FALSE)</f>
        <v>#N/A</v>
      </c>
      <c r="B2823" s="112" t="e">
        <f>VLOOKUP('Informe Kelly'!A2817,Base!A:G,7,FALSE)</f>
        <v>#N/A</v>
      </c>
      <c r="C2823" s="112">
        <f>'Informe Kelly'!E2817</f>
        <v>0</v>
      </c>
      <c r="D2823" s="112" t="e">
        <f>VLOOKUP(A2823,Ingreso!K:P,6,FALSE)</f>
        <v>#N/A</v>
      </c>
      <c r="E2823" s="142" t="e">
        <f>(VLOOKUP(D2823,$D$2:$E$4,2,FALSE))-(IF('Informe Kelly'!H2817=$A$2,'Informe Kelly'!F2817,VLOOKUP(D2823,$D$2:$E$4,2,FALSE)))</f>
        <v>#N/A</v>
      </c>
      <c r="F2823" s="142" t="e">
        <f>IF('Informe Kelly'!H2817=$A$3,'Informe Kelly'!F2817,VLOOKUP(D2823,$D$2:$F$4,3,FALSE))-(VLOOKUP(D2823,$D$2:$F$4,3,FALSE))</f>
        <v>#N/A</v>
      </c>
      <c r="G2823" s="137" t="e">
        <f t="shared" si="47"/>
        <v>#N/A</v>
      </c>
    </row>
    <row r="2824" spans="1:7">
      <c r="A2824" s="112" t="e">
        <f>VLOOKUP('Informe Kelly'!A2818,Base!A:B,2,FALSE)</f>
        <v>#N/A</v>
      </c>
      <c r="B2824" s="112" t="e">
        <f>VLOOKUP('Informe Kelly'!A2818,Base!A:G,7,FALSE)</f>
        <v>#N/A</v>
      </c>
      <c r="C2824" s="112">
        <f>'Informe Kelly'!E2818</f>
        <v>0</v>
      </c>
      <c r="D2824" s="112" t="e">
        <f>VLOOKUP(A2824,Ingreso!K:P,6,FALSE)</f>
        <v>#N/A</v>
      </c>
      <c r="E2824" s="142" t="e">
        <f>(VLOOKUP(D2824,$D$2:$E$4,2,FALSE))-(IF('Informe Kelly'!H2818=$A$2,'Informe Kelly'!F2818,VLOOKUP(D2824,$D$2:$E$4,2,FALSE)))</f>
        <v>#N/A</v>
      </c>
      <c r="F2824" s="142" t="e">
        <f>IF('Informe Kelly'!H2818=$A$3,'Informe Kelly'!F2818,VLOOKUP(D2824,$D$2:$F$4,3,FALSE))-(VLOOKUP(D2824,$D$2:$F$4,3,FALSE))</f>
        <v>#N/A</v>
      </c>
      <c r="G2824" s="137" t="e">
        <f t="shared" si="47"/>
        <v>#N/A</v>
      </c>
    </row>
    <row r="2825" spans="1:7">
      <c r="A2825" s="112" t="e">
        <f>VLOOKUP('Informe Kelly'!A2819,Base!A:B,2,FALSE)</f>
        <v>#N/A</v>
      </c>
      <c r="B2825" s="112" t="e">
        <f>VLOOKUP('Informe Kelly'!A2819,Base!A:G,7,FALSE)</f>
        <v>#N/A</v>
      </c>
      <c r="C2825" s="112">
        <f>'Informe Kelly'!E2819</f>
        <v>0</v>
      </c>
      <c r="D2825" s="112" t="e">
        <f>VLOOKUP(A2825,Ingreso!K:P,6,FALSE)</f>
        <v>#N/A</v>
      </c>
      <c r="E2825" s="142" t="e">
        <f>(VLOOKUP(D2825,$D$2:$E$4,2,FALSE))-(IF('Informe Kelly'!H2819=$A$2,'Informe Kelly'!F2819,VLOOKUP(D2825,$D$2:$E$4,2,FALSE)))</f>
        <v>#N/A</v>
      </c>
      <c r="F2825" s="142" t="e">
        <f>IF('Informe Kelly'!H2819=$A$3,'Informe Kelly'!F2819,VLOOKUP(D2825,$D$2:$F$4,3,FALSE))-(VLOOKUP(D2825,$D$2:$F$4,3,FALSE))</f>
        <v>#N/A</v>
      </c>
      <c r="G2825" s="137" t="e">
        <f t="shared" ref="G2825:G2888" si="48">IF(E2825="",IF(F2825&lt;0.0409722222222222,0,E2825),IF(E2825&lt;0.0409722222222222,0,E2825))</f>
        <v>#N/A</v>
      </c>
    </row>
    <row r="2826" spans="1:7">
      <c r="A2826" s="112" t="e">
        <f>VLOOKUP('Informe Kelly'!A2820,Base!A:B,2,FALSE)</f>
        <v>#N/A</v>
      </c>
      <c r="B2826" s="112" t="e">
        <f>VLOOKUP('Informe Kelly'!A2820,Base!A:G,7,FALSE)</f>
        <v>#N/A</v>
      </c>
      <c r="C2826" s="112">
        <f>'Informe Kelly'!E2820</f>
        <v>0</v>
      </c>
      <c r="D2826" s="112" t="e">
        <f>VLOOKUP(A2826,Ingreso!K:P,6,FALSE)</f>
        <v>#N/A</v>
      </c>
      <c r="E2826" s="142" t="e">
        <f>(VLOOKUP(D2826,$D$2:$E$4,2,FALSE))-(IF('Informe Kelly'!H2820=$A$2,'Informe Kelly'!F2820,VLOOKUP(D2826,$D$2:$E$4,2,FALSE)))</f>
        <v>#N/A</v>
      </c>
      <c r="F2826" s="142" t="e">
        <f>IF('Informe Kelly'!H2820=$A$3,'Informe Kelly'!F2820,VLOOKUP(D2826,$D$2:$F$4,3,FALSE))-(VLOOKUP(D2826,$D$2:$F$4,3,FALSE))</f>
        <v>#N/A</v>
      </c>
      <c r="G2826" s="137" t="e">
        <f t="shared" si="48"/>
        <v>#N/A</v>
      </c>
    </row>
    <row r="2827" spans="1:7">
      <c r="A2827" s="112" t="e">
        <f>VLOOKUP('Informe Kelly'!A2821,Base!A:B,2,FALSE)</f>
        <v>#N/A</v>
      </c>
      <c r="B2827" s="112" t="e">
        <f>VLOOKUP('Informe Kelly'!A2821,Base!A:G,7,FALSE)</f>
        <v>#N/A</v>
      </c>
      <c r="C2827" s="112">
        <f>'Informe Kelly'!E2821</f>
        <v>0</v>
      </c>
      <c r="D2827" s="112" t="e">
        <f>VLOOKUP(A2827,Ingreso!K:P,6,FALSE)</f>
        <v>#N/A</v>
      </c>
      <c r="E2827" s="142" t="e">
        <f>(VLOOKUP(D2827,$D$2:$E$4,2,FALSE))-(IF('Informe Kelly'!H2821=$A$2,'Informe Kelly'!F2821,VLOOKUP(D2827,$D$2:$E$4,2,FALSE)))</f>
        <v>#N/A</v>
      </c>
      <c r="F2827" s="142" t="e">
        <f>IF('Informe Kelly'!H2821=$A$3,'Informe Kelly'!F2821,VLOOKUP(D2827,$D$2:$F$4,3,FALSE))-(VLOOKUP(D2827,$D$2:$F$4,3,FALSE))</f>
        <v>#N/A</v>
      </c>
      <c r="G2827" s="137" t="e">
        <f t="shared" si="48"/>
        <v>#N/A</v>
      </c>
    </row>
    <row r="2828" spans="1:7">
      <c r="A2828" s="112" t="e">
        <f>VLOOKUP('Informe Kelly'!A2822,Base!A:B,2,FALSE)</f>
        <v>#N/A</v>
      </c>
      <c r="B2828" s="112" t="e">
        <f>VLOOKUP('Informe Kelly'!A2822,Base!A:G,7,FALSE)</f>
        <v>#N/A</v>
      </c>
      <c r="C2828" s="112">
        <f>'Informe Kelly'!E2822</f>
        <v>0</v>
      </c>
      <c r="D2828" s="112" t="e">
        <f>VLOOKUP(A2828,Ingreso!K:P,6,FALSE)</f>
        <v>#N/A</v>
      </c>
      <c r="E2828" s="142" t="e">
        <f>(VLOOKUP(D2828,$D$2:$E$4,2,FALSE))-(IF('Informe Kelly'!H2822=$A$2,'Informe Kelly'!F2822,VLOOKUP(D2828,$D$2:$E$4,2,FALSE)))</f>
        <v>#N/A</v>
      </c>
      <c r="F2828" s="142" t="e">
        <f>IF('Informe Kelly'!H2822=$A$3,'Informe Kelly'!F2822,VLOOKUP(D2828,$D$2:$F$4,3,FALSE))-(VLOOKUP(D2828,$D$2:$F$4,3,FALSE))</f>
        <v>#N/A</v>
      </c>
      <c r="G2828" s="137" t="e">
        <f t="shared" si="48"/>
        <v>#N/A</v>
      </c>
    </row>
    <row r="2829" spans="1:7">
      <c r="A2829" s="112" t="e">
        <f>VLOOKUP('Informe Kelly'!A2823,Base!A:B,2,FALSE)</f>
        <v>#N/A</v>
      </c>
      <c r="B2829" s="112" t="e">
        <f>VLOOKUP('Informe Kelly'!A2823,Base!A:G,7,FALSE)</f>
        <v>#N/A</v>
      </c>
      <c r="C2829" s="112">
        <f>'Informe Kelly'!E2823</f>
        <v>0</v>
      </c>
      <c r="D2829" s="112" t="e">
        <f>VLOOKUP(A2829,Ingreso!K:P,6,FALSE)</f>
        <v>#N/A</v>
      </c>
      <c r="E2829" s="142" t="e">
        <f>(VLOOKUP(D2829,$D$2:$E$4,2,FALSE))-(IF('Informe Kelly'!H2823=$A$2,'Informe Kelly'!F2823,VLOOKUP(D2829,$D$2:$E$4,2,FALSE)))</f>
        <v>#N/A</v>
      </c>
      <c r="F2829" s="142" t="e">
        <f>IF('Informe Kelly'!H2823=$A$3,'Informe Kelly'!F2823,VLOOKUP(D2829,$D$2:$F$4,3,FALSE))-(VLOOKUP(D2829,$D$2:$F$4,3,FALSE))</f>
        <v>#N/A</v>
      </c>
      <c r="G2829" s="137" t="e">
        <f t="shared" si="48"/>
        <v>#N/A</v>
      </c>
    </row>
    <row r="2830" spans="1:7">
      <c r="A2830" s="112" t="e">
        <f>VLOOKUP('Informe Kelly'!A2824,Base!A:B,2,FALSE)</f>
        <v>#N/A</v>
      </c>
      <c r="B2830" s="112" t="e">
        <f>VLOOKUP('Informe Kelly'!A2824,Base!A:G,7,FALSE)</f>
        <v>#N/A</v>
      </c>
      <c r="C2830" s="112">
        <f>'Informe Kelly'!E2824</f>
        <v>0</v>
      </c>
      <c r="D2830" s="112" t="e">
        <f>VLOOKUP(A2830,Ingreso!K:P,6,FALSE)</f>
        <v>#N/A</v>
      </c>
      <c r="E2830" s="142" t="e">
        <f>(VLOOKUP(D2830,$D$2:$E$4,2,FALSE))-(IF('Informe Kelly'!H2824=$A$2,'Informe Kelly'!F2824,VLOOKUP(D2830,$D$2:$E$4,2,FALSE)))</f>
        <v>#N/A</v>
      </c>
      <c r="F2830" s="142" t="e">
        <f>IF('Informe Kelly'!H2824=$A$3,'Informe Kelly'!F2824,VLOOKUP(D2830,$D$2:$F$4,3,FALSE))-(VLOOKUP(D2830,$D$2:$F$4,3,FALSE))</f>
        <v>#N/A</v>
      </c>
      <c r="G2830" s="137" t="e">
        <f t="shared" si="48"/>
        <v>#N/A</v>
      </c>
    </row>
    <row r="2831" spans="1:7">
      <c r="A2831" s="112" t="e">
        <f>VLOOKUP('Informe Kelly'!A2825,Base!A:B,2,FALSE)</f>
        <v>#N/A</v>
      </c>
      <c r="B2831" s="112" t="e">
        <f>VLOOKUP('Informe Kelly'!A2825,Base!A:G,7,FALSE)</f>
        <v>#N/A</v>
      </c>
      <c r="C2831" s="112">
        <f>'Informe Kelly'!E2825</f>
        <v>0</v>
      </c>
      <c r="D2831" s="112" t="e">
        <f>VLOOKUP(A2831,Ingreso!K:P,6,FALSE)</f>
        <v>#N/A</v>
      </c>
      <c r="E2831" s="142" t="e">
        <f>(VLOOKUP(D2831,$D$2:$E$4,2,FALSE))-(IF('Informe Kelly'!H2825=$A$2,'Informe Kelly'!F2825,VLOOKUP(D2831,$D$2:$E$4,2,FALSE)))</f>
        <v>#N/A</v>
      </c>
      <c r="F2831" s="142" t="e">
        <f>IF('Informe Kelly'!H2825=$A$3,'Informe Kelly'!F2825,VLOOKUP(D2831,$D$2:$F$4,3,FALSE))-(VLOOKUP(D2831,$D$2:$F$4,3,FALSE))</f>
        <v>#N/A</v>
      </c>
      <c r="G2831" s="137" t="e">
        <f t="shared" si="48"/>
        <v>#N/A</v>
      </c>
    </row>
    <row r="2832" spans="1:7">
      <c r="A2832" s="112" t="e">
        <f>VLOOKUP('Informe Kelly'!A2826,Base!A:B,2,FALSE)</f>
        <v>#N/A</v>
      </c>
      <c r="B2832" s="112" t="e">
        <f>VLOOKUP('Informe Kelly'!A2826,Base!A:G,7,FALSE)</f>
        <v>#N/A</v>
      </c>
      <c r="C2832" s="112">
        <f>'Informe Kelly'!E2826</f>
        <v>0</v>
      </c>
      <c r="D2832" s="112" t="e">
        <f>VLOOKUP(A2832,Ingreso!K:P,6,FALSE)</f>
        <v>#N/A</v>
      </c>
      <c r="E2832" s="142" t="e">
        <f>(VLOOKUP(D2832,$D$2:$E$4,2,FALSE))-(IF('Informe Kelly'!H2826=$A$2,'Informe Kelly'!F2826,VLOOKUP(D2832,$D$2:$E$4,2,FALSE)))</f>
        <v>#N/A</v>
      </c>
      <c r="F2832" s="142" t="e">
        <f>IF('Informe Kelly'!H2826=$A$3,'Informe Kelly'!F2826,VLOOKUP(D2832,$D$2:$F$4,3,FALSE))-(VLOOKUP(D2832,$D$2:$F$4,3,FALSE))</f>
        <v>#N/A</v>
      </c>
      <c r="G2832" s="137" t="e">
        <f t="shared" si="48"/>
        <v>#N/A</v>
      </c>
    </row>
    <row r="2833" spans="1:7">
      <c r="A2833" s="112" t="e">
        <f>VLOOKUP('Informe Kelly'!A2827,Base!A:B,2,FALSE)</f>
        <v>#N/A</v>
      </c>
      <c r="B2833" s="112" t="e">
        <f>VLOOKUP('Informe Kelly'!A2827,Base!A:G,7,FALSE)</f>
        <v>#N/A</v>
      </c>
      <c r="C2833" s="112">
        <f>'Informe Kelly'!E2827</f>
        <v>0</v>
      </c>
      <c r="D2833" s="112" t="e">
        <f>VLOOKUP(A2833,Ingreso!K:P,6,FALSE)</f>
        <v>#N/A</v>
      </c>
      <c r="E2833" s="142" t="e">
        <f>(VLOOKUP(D2833,$D$2:$E$4,2,FALSE))-(IF('Informe Kelly'!H2827=$A$2,'Informe Kelly'!F2827,VLOOKUP(D2833,$D$2:$E$4,2,FALSE)))</f>
        <v>#N/A</v>
      </c>
      <c r="F2833" s="142" t="e">
        <f>IF('Informe Kelly'!H2827=$A$3,'Informe Kelly'!F2827,VLOOKUP(D2833,$D$2:$F$4,3,FALSE))-(VLOOKUP(D2833,$D$2:$F$4,3,FALSE))</f>
        <v>#N/A</v>
      </c>
      <c r="G2833" s="137" t="e">
        <f t="shared" si="48"/>
        <v>#N/A</v>
      </c>
    </row>
    <row r="2834" spans="1:7">
      <c r="A2834" s="112" t="e">
        <f>VLOOKUP('Informe Kelly'!A2828,Base!A:B,2,FALSE)</f>
        <v>#N/A</v>
      </c>
      <c r="B2834" s="112" t="e">
        <f>VLOOKUP('Informe Kelly'!A2828,Base!A:G,7,FALSE)</f>
        <v>#N/A</v>
      </c>
      <c r="C2834" s="112">
        <f>'Informe Kelly'!E2828</f>
        <v>0</v>
      </c>
      <c r="D2834" s="112" t="e">
        <f>VLOOKUP(A2834,Ingreso!K:P,6,FALSE)</f>
        <v>#N/A</v>
      </c>
      <c r="E2834" s="142" t="e">
        <f>(VLOOKUP(D2834,$D$2:$E$4,2,FALSE))-(IF('Informe Kelly'!H2828=$A$2,'Informe Kelly'!F2828,VLOOKUP(D2834,$D$2:$E$4,2,FALSE)))</f>
        <v>#N/A</v>
      </c>
      <c r="F2834" s="142" t="e">
        <f>IF('Informe Kelly'!H2828=$A$3,'Informe Kelly'!F2828,VLOOKUP(D2834,$D$2:$F$4,3,FALSE))-(VLOOKUP(D2834,$D$2:$F$4,3,FALSE))</f>
        <v>#N/A</v>
      </c>
      <c r="G2834" s="137" t="e">
        <f t="shared" si="48"/>
        <v>#N/A</v>
      </c>
    </row>
    <row r="2835" spans="1:7">
      <c r="A2835" s="112" t="e">
        <f>VLOOKUP('Informe Kelly'!A2829,Base!A:B,2,FALSE)</f>
        <v>#N/A</v>
      </c>
      <c r="B2835" s="112" t="e">
        <f>VLOOKUP('Informe Kelly'!A2829,Base!A:G,7,FALSE)</f>
        <v>#N/A</v>
      </c>
      <c r="C2835" s="112">
        <f>'Informe Kelly'!E2829</f>
        <v>0</v>
      </c>
      <c r="D2835" s="112" t="e">
        <f>VLOOKUP(A2835,Ingreso!K:P,6,FALSE)</f>
        <v>#N/A</v>
      </c>
      <c r="E2835" s="142" t="e">
        <f>(VLOOKUP(D2835,$D$2:$E$4,2,FALSE))-(IF('Informe Kelly'!H2829=$A$2,'Informe Kelly'!F2829,VLOOKUP(D2835,$D$2:$E$4,2,FALSE)))</f>
        <v>#N/A</v>
      </c>
      <c r="F2835" s="142" t="e">
        <f>IF('Informe Kelly'!H2829=$A$3,'Informe Kelly'!F2829,VLOOKUP(D2835,$D$2:$F$4,3,FALSE))-(VLOOKUP(D2835,$D$2:$F$4,3,FALSE))</f>
        <v>#N/A</v>
      </c>
      <c r="G2835" s="137" t="e">
        <f t="shared" si="48"/>
        <v>#N/A</v>
      </c>
    </row>
    <row r="2836" spans="1:7">
      <c r="A2836" s="112" t="e">
        <f>VLOOKUP('Informe Kelly'!A2830,Base!A:B,2,FALSE)</f>
        <v>#N/A</v>
      </c>
      <c r="B2836" s="112" t="e">
        <f>VLOOKUP('Informe Kelly'!A2830,Base!A:G,7,FALSE)</f>
        <v>#N/A</v>
      </c>
      <c r="C2836" s="112">
        <f>'Informe Kelly'!E2830</f>
        <v>0</v>
      </c>
      <c r="D2836" s="112" t="e">
        <f>VLOOKUP(A2836,Ingreso!K:P,6,FALSE)</f>
        <v>#N/A</v>
      </c>
      <c r="E2836" s="142" t="e">
        <f>(VLOOKUP(D2836,$D$2:$E$4,2,FALSE))-(IF('Informe Kelly'!H2830=$A$2,'Informe Kelly'!F2830,VLOOKUP(D2836,$D$2:$E$4,2,FALSE)))</f>
        <v>#N/A</v>
      </c>
      <c r="F2836" s="142" t="e">
        <f>IF('Informe Kelly'!H2830=$A$3,'Informe Kelly'!F2830,VLOOKUP(D2836,$D$2:$F$4,3,FALSE))-(VLOOKUP(D2836,$D$2:$F$4,3,FALSE))</f>
        <v>#N/A</v>
      </c>
      <c r="G2836" s="137" t="e">
        <f t="shared" si="48"/>
        <v>#N/A</v>
      </c>
    </row>
    <row r="2837" spans="1:7">
      <c r="A2837" s="112" t="e">
        <f>VLOOKUP('Informe Kelly'!A2831,Base!A:B,2,FALSE)</f>
        <v>#N/A</v>
      </c>
      <c r="B2837" s="112" t="e">
        <f>VLOOKUP('Informe Kelly'!A2831,Base!A:G,7,FALSE)</f>
        <v>#N/A</v>
      </c>
      <c r="C2837" s="112">
        <f>'Informe Kelly'!E2831</f>
        <v>0</v>
      </c>
      <c r="D2837" s="112" t="e">
        <f>VLOOKUP(A2837,Ingreso!K:P,6,FALSE)</f>
        <v>#N/A</v>
      </c>
      <c r="E2837" s="142" t="e">
        <f>(VLOOKUP(D2837,$D$2:$E$4,2,FALSE))-(IF('Informe Kelly'!H2831=$A$2,'Informe Kelly'!F2831,VLOOKUP(D2837,$D$2:$E$4,2,FALSE)))</f>
        <v>#N/A</v>
      </c>
      <c r="F2837" s="142" t="e">
        <f>IF('Informe Kelly'!H2831=$A$3,'Informe Kelly'!F2831,VLOOKUP(D2837,$D$2:$F$4,3,FALSE))-(VLOOKUP(D2837,$D$2:$F$4,3,FALSE))</f>
        <v>#N/A</v>
      </c>
      <c r="G2837" s="137" t="e">
        <f t="shared" si="48"/>
        <v>#N/A</v>
      </c>
    </row>
    <row r="2838" spans="1:7">
      <c r="A2838" s="112" t="e">
        <f>VLOOKUP('Informe Kelly'!A2832,Base!A:B,2,FALSE)</f>
        <v>#N/A</v>
      </c>
      <c r="B2838" s="112" t="e">
        <f>VLOOKUP('Informe Kelly'!A2832,Base!A:G,7,FALSE)</f>
        <v>#N/A</v>
      </c>
      <c r="C2838" s="112">
        <f>'Informe Kelly'!E2832</f>
        <v>0</v>
      </c>
      <c r="D2838" s="112" t="e">
        <f>VLOOKUP(A2838,Ingreso!K:P,6,FALSE)</f>
        <v>#N/A</v>
      </c>
      <c r="E2838" s="142" t="e">
        <f>(VLOOKUP(D2838,$D$2:$E$4,2,FALSE))-(IF('Informe Kelly'!H2832=$A$2,'Informe Kelly'!F2832,VLOOKUP(D2838,$D$2:$E$4,2,FALSE)))</f>
        <v>#N/A</v>
      </c>
      <c r="F2838" s="142" t="e">
        <f>IF('Informe Kelly'!H2832=$A$3,'Informe Kelly'!F2832,VLOOKUP(D2838,$D$2:$F$4,3,FALSE))-(VLOOKUP(D2838,$D$2:$F$4,3,FALSE))</f>
        <v>#N/A</v>
      </c>
      <c r="G2838" s="137" t="e">
        <f t="shared" si="48"/>
        <v>#N/A</v>
      </c>
    </row>
    <row r="2839" spans="1:7">
      <c r="A2839" s="112" t="e">
        <f>VLOOKUP('Informe Kelly'!A2833,Base!A:B,2,FALSE)</f>
        <v>#N/A</v>
      </c>
      <c r="B2839" s="112" t="e">
        <f>VLOOKUP('Informe Kelly'!A2833,Base!A:G,7,FALSE)</f>
        <v>#N/A</v>
      </c>
      <c r="C2839" s="112">
        <f>'Informe Kelly'!E2833</f>
        <v>0</v>
      </c>
      <c r="D2839" s="112" t="e">
        <f>VLOOKUP(A2839,Ingreso!K:P,6,FALSE)</f>
        <v>#N/A</v>
      </c>
      <c r="E2839" s="142" t="e">
        <f>(VLOOKUP(D2839,$D$2:$E$4,2,FALSE))-(IF('Informe Kelly'!H2833=$A$2,'Informe Kelly'!F2833,VLOOKUP(D2839,$D$2:$E$4,2,FALSE)))</f>
        <v>#N/A</v>
      </c>
      <c r="F2839" s="142" t="e">
        <f>IF('Informe Kelly'!H2833=$A$3,'Informe Kelly'!F2833,VLOOKUP(D2839,$D$2:$F$4,3,FALSE))-(VLOOKUP(D2839,$D$2:$F$4,3,FALSE))</f>
        <v>#N/A</v>
      </c>
      <c r="G2839" s="137" t="e">
        <f t="shared" si="48"/>
        <v>#N/A</v>
      </c>
    </row>
    <row r="2840" spans="1:7">
      <c r="A2840" s="112" t="e">
        <f>VLOOKUP('Informe Kelly'!A2834,Base!A:B,2,FALSE)</f>
        <v>#N/A</v>
      </c>
      <c r="B2840" s="112" t="e">
        <f>VLOOKUP('Informe Kelly'!A2834,Base!A:G,7,FALSE)</f>
        <v>#N/A</v>
      </c>
      <c r="C2840" s="112">
        <f>'Informe Kelly'!E2834</f>
        <v>0</v>
      </c>
      <c r="D2840" s="112" t="e">
        <f>VLOOKUP(A2840,Ingreso!K:P,6,FALSE)</f>
        <v>#N/A</v>
      </c>
      <c r="E2840" s="142" t="e">
        <f>(VLOOKUP(D2840,$D$2:$E$4,2,FALSE))-(IF('Informe Kelly'!H2834=$A$2,'Informe Kelly'!F2834,VLOOKUP(D2840,$D$2:$E$4,2,FALSE)))</f>
        <v>#N/A</v>
      </c>
      <c r="F2840" s="142" t="e">
        <f>IF('Informe Kelly'!H2834=$A$3,'Informe Kelly'!F2834,VLOOKUP(D2840,$D$2:$F$4,3,FALSE))-(VLOOKUP(D2840,$D$2:$F$4,3,FALSE))</f>
        <v>#N/A</v>
      </c>
      <c r="G2840" s="137" t="e">
        <f t="shared" si="48"/>
        <v>#N/A</v>
      </c>
    </row>
    <row r="2841" spans="1:7">
      <c r="A2841" s="112" t="e">
        <f>VLOOKUP('Informe Kelly'!A2835,Base!A:B,2,FALSE)</f>
        <v>#N/A</v>
      </c>
      <c r="B2841" s="112" t="e">
        <f>VLOOKUP('Informe Kelly'!A2835,Base!A:G,7,FALSE)</f>
        <v>#N/A</v>
      </c>
      <c r="C2841" s="112">
        <f>'Informe Kelly'!E2835</f>
        <v>0</v>
      </c>
      <c r="D2841" s="112" t="e">
        <f>VLOOKUP(A2841,Ingreso!K:P,6,FALSE)</f>
        <v>#N/A</v>
      </c>
      <c r="E2841" s="142" t="e">
        <f>(VLOOKUP(D2841,$D$2:$E$4,2,FALSE))-(IF('Informe Kelly'!H2835=$A$2,'Informe Kelly'!F2835,VLOOKUP(D2841,$D$2:$E$4,2,FALSE)))</f>
        <v>#N/A</v>
      </c>
      <c r="F2841" s="142" t="e">
        <f>IF('Informe Kelly'!H2835=$A$3,'Informe Kelly'!F2835,VLOOKUP(D2841,$D$2:$F$4,3,FALSE))-(VLOOKUP(D2841,$D$2:$F$4,3,FALSE))</f>
        <v>#N/A</v>
      </c>
      <c r="G2841" s="137" t="e">
        <f t="shared" si="48"/>
        <v>#N/A</v>
      </c>
    </row>
    <row r="2842" spans="1:7">
      <c r="A2842" s="112" t="e">
        <f>VLOOKUP('Informe Kelly'!A2836,Base!A:B,2,FALSE)</f>
        <v>#N/A</v>
      </c>
      <c r="B2842" s="112" t="e">
        <f>VLOOKUP('Informe Kelly'!A2836,Base!A:G,7,FALSE)</f>
        <v>#N/A</v>
      </c>
      <c r="C2842" s="112">
        <f>'Informe Kelly'!E2836</f>
        <v>0</v>
      </c>
      <c r="D2842" s="112" t="e">
        <f>VLOOKUP(A2842,Ingreso!K:P,6,FALSE)</f>
        <v>#N/A</v>
      </c>
      <c r="E2842" s="142" t="e">
        <f>(VLOOKUP(D2842,$D$2:$E$4,2,FALSE))-(IF('Informe Kelly'!H2836=$A$2,'Informe Kelly'!F2836,VLOOKUP(D2842,$D$2:$E$4,2,FALSE)))</f>
        <v>#N/A</v>
      </c>
      <c r="F2842" s="142" t="e">
        <f>IF('Informe Kelly'!H2836=$A$3,'Informe Kelly'!F2836,VLOOKUP(D2842,$D$2:$F$4,3,FALSE))-(VLOOKUP(D2842,$D$2:$F$4,3,FALSE))</f>
        <v>#N/A</v>
      </c>
      <c r="G2842" s="137" t="e">
        <f t="shared" si="48"/>
        <v>#N/A</v>
      </c>
    </row>
    <row r="2843" spans="1:7">
      <c r="A2843" s="112" t="e">
        <f>VLOOKUP('Informe Kelly'!A2837,Base!A:B,2,FALSE)</f>
        <v>#N/A</v>
      </c>
      <c r="B2843" s="112" t="e">
        <f>VLOOKUP('Informe Kelly'!A2837,Base!A:G,7,FALSE)</f>
        <v>#N/A</v>
      </c>
      <c r="C2843" s="112">
        <f>'Informe Kelly'!E2837</f>
        <v>0</v>
      </c>
      <c r="D2843" s="112" t="e">
        <f>VLOOKUP(A2843,Ingreso!K:P,6,FALSE)</f>
        <v>#N/A</v>
      </c>
      <c r="E2843" s="142" t="e">
        <f>(VLOOKUP(D2843,$D$2:$E$4,2,FALSE))-(IF('Informe Kelly'!H2837=$A$2,'Informe Kelly'!F2837,VLOOKUP(D2843,$D$2:$E$4,2,FALSE)))</f>
        <v>#N/A</v>
      </c>
      <c r="F2843" s="142" t="e">
        <f>IF('Informe Kelly'!H2837=$A$3,'Informe Kelly'!F2837,VLOOKUP(D2843,$D$2:$F$4,3,FALSE))-(VLOOKUP(D2843,$D$2:$F$4,3,FALSE))</f>
        <v>#N/A</v>
      </c>
      <c r="G2843" s="137" t="e">
        <f t="shared" si="48"/>
        <v>#N/A</v>
      </c>
    </row>
    <row r="2844" spans="1:7">
      <c r="A2844" s="112" t="e">
        <f>VLOOKUP('Informe Kelly'!A2838,Base!A:B,2,FALSE)</f>
        <v>#N/A</v>
      </c>
      <c r="B2844" s="112" t="e">
        <f>VLOOKUP('Informe Kelly'!A2838,Base!A:G,7,FALSE)</f>
        <v>#N/A</v>
      </c>
      <c r="C2844" s="112">
        <f>'Informe Kelly'!E2838</f>
        <v>0</v>
      </c>
      <c r="D2844" s="112" t="e">
        <f>VLOOKUP(A2844,Ingreso!K:P,6,FALSE)</f>
        <v>#N/A</v>
      </c>
      <c r="E2844" s="142" t="e">
        <f>(VLOOKUP(D2844,$D$2:$E$4,2,FALSE))-(IF('Informe Kelly'!H2838=$A$2,'Informe Kelly'!F2838,VLOOKUP(D2844,$D$2:$E$4,2,FALSE)))</f>
        <v>#N/A</v>
      </c>
      <c r="F2844" s="142" t="e">
        <f>IF('Informe Kelly'!H2838=$A$3,'Informe Kelly'!F2838,VLOOKUP(D2844,$D$2:$F$4,3,FALSE))-(VLOOKUP(D2844,$D$2:$F$4,3,FALSE))</f>
        <v>#N/A</v>
      </c>
      <c r="G2844" s="137" t="e">
        <f t="shared" si="48"/>
        <v>#N/A</v>
      </c>
    </row>
    <row r="2845" spans="1:7">
      <c r="A2845" s="112" t="e">
        <f>VLOOKUP('Informe Kelly'!A2839,Base!A:B,2,FALSE)</f>
        <v>#N/A</v>
      </c>
      <c r="B2845" s="112" t="e">
        <f>VLOOKUP('Informe Kelly'!A2839,Base!A:G,7,FALSE)</f>
        <v>#N/A</v>
      </c>
      <c r="C2845" s="112">
        <f>'Informe Kelly'!E2839</f>
        <v>0</v>
      </c>
      <c r="D2845" s="112" t="e">
        <f>VLOOKUP(A2845,Ingreso!K:P,6,FALSE)</f>
        <v>#N/A</v>
      </c>
      <c r="E2845" s="142" t="e">
        <f>(VLOOKUP(D2845,$D$2:$E$4,2,FALSE))-(IF('Informe Kelly'!H2839=$A$2,'Informe Kelly'!F2839,VLOOKUP(D2845,$D$2:$E$4,2,FALSE)))</f>
        <v>#N/A</v>
      </c>
      <c r="F2845" s="142" t="e">
        <f>IF('Informe Kelly'!H2839=$A$3,'Informe Kelly'!F2839,VLOOKUP(D2845,$D$2:$F$4,3,FALSE))-(VLOOKUP(D2845,$D$2:$F$4,3,FALSE))</f>
        <v>#N/A</v>
      </c>
      <c r="G2845" s="137" t="e">
        <f t="shared" si="48"/>
        <v>#N/A</v>
      </c>
    </row>
    <row r="2846" spans="1:7">
      <c r="A2846" s="112" t="e">
        <f>VLOOKUP('Informe Kelly'!A2840,Base!A:B,2,FALSE)</f>
        <v>#N/A</v>
      </c>
      <c r="B2846" s="112" t="e">
        <f>VLOOKUP('Informe Kelly'!A2840,Base!A:G,7,FALSE)</f>
        <v>#N/A</v>
      </c>
      <c r="C2846" s="112">
        <f>'Informe Kelly'!E2840</f>
        <v>0</v>
      </c>
      <c r="D2846" s="112" t="e">
        <f>VLOOKUP(A2846,Ingreso!K:P,6,FALSE)</f>
        <v>#N/A</v>
      </c>
      <c r="E2846" s="142" t="e">
        <f>(VLOOKUP(D2846,$D$2:$E$4,2,FALSE))-(IF('Informe Kelly'!H2840=$A$2,'Informe Kelly'!F2840,VLOOKUP(D2846,$D$2:$E$4,2,FALSE)))</f>
        <v>#N/A</v>
      </c>
      <c r="F2846" s="142" t="e">
        <f>IF('Informe Kelly'!H2840=$A$3,'Informe Kelly'!F2840,VLOOKUP(D2846,$D$2:$F$4,3,FALSE))-(VLOOKUP(D2846,$D$2:$F$4,3,FALSE))</f>
        <v>#N/A</v>
      </c>
      <c r="G2846" s="137" t="e">
        <f t="shared" si="48"/>
        <v>#N/A</v>
      </c>
    </row>
    <row r="2847" spans="1:7">
      <c r="A2847" s="112" t="e">
        <f>VLOOKUP('Informe Kelly'!A2841,Base!A:B,2,FALSE)</f>
        <v>#N/A</v>
      </c>
      <c r="B2847" s="112" t="e">
        <f>VLOOKUP('Informe Kelly'!A2841,Base!A:G,7,FALSE)</f>
        <v>#N/A</v>
      </c>
      <c r="C2847" s="112">
        <f>'Informe Kelly'!E2841</f>
        <v>0</v>
      </c>
      <c r="D2847" s="112" t="e">
        <f>VLOOKUP(A2847,Ingreso!K:P,6,FALSE)</f>
        <v>#N/A</v>
      </c>
      <c r="E2847" s="142" t="e">
        <f>(VLOOKUP(D2847,$D$2:$E$4,2,FALSE))-(IF('Informe Kelly'!H2841=$A$2,'Informe Kelly'!F2841,VLOOKUP(D2847,$D$2:$E$4,2,FALSE)))</f>
        <v>#N/A</v>
      </c>
      <c r="F2847" s="142" t="e">
        <f>IF('Informe Kelly'!H2841=$A$3,'Informe Kelly'!F2841,VLOOKUP(D2847,$D$2:$F$4,3,FALSE))-(VLOOKUP(D2847,$D$2:$F$4,3,FALSE))</f>
        <v>#N/A</v>
      </c>
      <c r="G2847" s="137" t="e">
        <f t="shared" si="48"/>
        <v>#N/A</v>
      </c>
    </row>
    <row r="2848" spans="1:7">
      <c r="A2848" s="112" t="e">
        <f>VLOOKUP('Informe Kelly'!A2842,Base!A:B,2,FALSE)</f>
        <v>#N/A</v>
      </c>
      <c r="B2848" s="112" t="e">
        <f>VLOOKUP('Informe Kelly'!A2842,Base!A:G,7,FALSE)</f>
        <v>#N/A</v>
      </c>
      <c r="C2848" s="112">
        <f>'Informe Kelly'!E2842</f>
        <v>0</v>
      </c>
      <c r="D2848" s="112" t="e">
        <f>VLOOKUP(A2848,Ingreso!K:P,6,FALSE)</f>
        <v>#N/A</v>
      </c>
      <c r="E2848" s="142" t="e">
        <f>(VLOOKUP(D2848,$D$2:$E$4,2,FALSE))-(IF('Informe Kelly'!H2842=$A$2,'Informe Kelly'!F2842,VLOOKUP(D2848,$D$2:$E$4,2,FALSE)))</f>
        <v>#N/A</v>
      </c>
      <c r="F2848" s="142" t="e">
        <f>IF('Informe Kelly'!H2842=$A$3,'Informe Kelly'!F2842,VLOOKUP(D2848,$D$2:$F$4,3,FALSE))-(VLOOKUP(D2848,$D$2:$F$4,3,FALSE))</f>
        <v>#N/A</v>
      </c>
      <c r="G2848" s="137" t="e">
        <f t="shared" si="48"/>
        <v>#N/A</v>
      </c>
    </row>
    <row r="2849" spans="1:7">
      <c r="A2849" s="112" t="e">
        <f>VLOOKUP('Informe Kelly'!A2843,Base!A:B,2,FALSE)</f>
        <v>#N/A</v>
      </c>
      <c r="B2849" s="112" t="e">
        <f>VLOOKUP('Informe Kelly'!A2843,Base!A:G,7,FALSE)</f>
        <v>#N/A</v>
      </c>
      <c r="C2849" s="112">
        <f>'Informe Kelly'!E2843</f>
        <v>0</v>
      </c>
      <c r="D2849" s="112" t="e">
        <f>VLOOKUP(A2849,Ingreso!K:P,6,FALSE)</f>
        <v>#N/A</v>
      </c>
      <c r="E2849" s="142" t="e">
        <f>(VLOOKUP(D2849,$D$2:$E$4,2,FALSE))-(IF('Informe Kelly'!H2843=$A$2,'Informe Kelly'!F2843,VLOOKUP(D2849,$D$2:$E$4,2,FALSE)))</f>
        <v>#N/A</v>
      </c>
      <c r="F2849" s="142" t="e">
        <f>IF('Informe Kelly'!H2843=$A$3,'Informe Kelly'!F2843,VLOOKUP(D2849,$D$2:$F$4,3,FALSE))-(VLOOKUP(D2849,$D$2:$F$4,3,FALSE))</f>
        <v>#N/A</v>
      </c>
      <c r="G2849" s="137" t="e">
        <f t="shared" si="48"/>
        <v>#N/A</v>
      </c>
    </row>
    <row r="2850" spans="1:7">
      <c r="A2850" s="112" t="e">
        <f>VLOOKUP('Informe Kelly'!A2844,Base!A:B,2,FALSE)</f>
        <v>#N/A</v>
      </c>
      <c r="B2850" s="112" t="e">
        <f>VLOOKUP('Informe Kelly'!A2844,Base!A:G,7,FALSE)</f>
        <v>#N/A</v>
      </c>
      <c r="C2850" s="112">
        <f>'Informe Kelly'!E2844</f>
        <v>0</v>
      </c>
      <c r="D2850" s="112" t="e">
        <f>VLOOKUP(A2850,Ingreso!K:P,6,FALSE)</f>
        <v>#N/A</v>
      </c>
      <c r="E2850" s="142" t="e">
        <f>(VLOOKUP(D2850,$D$2:$E$4,2,FALSE))-(IF('Informe Kelly'!H2844=$A$2,'Informe Kelly'!F2844,VLOOKUP(D2850,$D$2:$E$4,2,FALSE)))</f>
        <v>#N/A</v>
      </c>
      <c r="F2850" s="142" t="e">
        <f>IF('Informe Kelly'!H2844=$A$3,'Informe Kelly'!F2844,VLOOKUP(D2850,$D$2:$F$4,3,FALSE))-(VLOOKUP(D2850,$D$2:$F$4,3,FALSE))</f>
        <v>#N/A</v>
      </c>
      <c r="G2850" s="137" t="e">
        <f t="shared" si="48"/>
        <v>#N/A</v>
      </c>
    </row>
    <row r="2851" spans="1:7">
      <c r="A2851" s="112" t="e">
        <f>VLOOKUP('Informe Kelly'!A2845,Base!A:B,2,FALSE)</f>
        <v>#N/A</v>
      </c>
      <c r="B2851" s="112" t="e">
        <f>VLOOKUP('Informe Kelly'!A2845,Base!A:G,7,FALSE)</f>
        <v>#N/A</v>
      </c>
      <c r="C2851" s="112">
        <f>'Informe Kelly'!E2845</f>
        <v>0</v>
      </c>
      <c r="D2851" s="112" t="e">
        <f>VLOOKUP(A2851,Ingreso!K:P,6,FALSE)</f>
        <v>#N/A</v>
      </c>
      <c r="E2851" s="142" t="e">
        <f>(VLOOKUP(D2851,$D$2:$E$4,2,FALSE))-(IF('Informe Kelly'!H2845=$A$2,'Informe Kelly'!F2845,VLOOKUP(D2851,$D$2:$E$4,2,FALSE)))</f>
        <v>#N/A</v>
      </c>
      <c r="F2851" s="142" t="e">
        <f>IF('Informe Kelly'!H2845=$A$3,'Informe Kelly'!F2845,VLOOKUP(D2851,$D$2:$F$4,3,FALSE))-(VLOOKUP(D2851,$D$2:$F$4,3,FALSE))</f>
        <v>#N/A</v>
      </c>
      <c r="G2851" s="137" t="e">
        <f t="shared" si="48"/>
        <v>#N/A</v>
      </c>
    </row>
    <row r="2852" spans="1:7">
      <c r="A2852" s="112" t="e">
        <f>VLOOKUP('Informe Kelly'!A2846,Base!A:B,2,FALSE)</f>
        <v>#N/A</v>
      </c>
      <c r="B2852" s="112" t="e">
        <f>VLOOKUP('Informe Kelly'!A2846,Base!A:G,7,FALSE)</f>
        <v>#N/A</v>
      </c>
      <c r="C2852" s="112">
        <f>'Informe Kelly'!E2846</f>
        <v>0</v>
      </c>
      <c r="D2852" s="112" t="e">
        <f>VLOOKUP(A2852,Ingreso!K:P,6,FALSE)</f>
        <v>#N/A</v>
      </c>
      <c r="E2852" s="142" t="e">
        <f>(VLOOKUP(D2852,$D$2:$E$4,2,FALSE))-(IF('Informe Kelly'!H2846=$A$2,'Informe Kelly'!F2846,VLOOKUP(D2852,$D$2:$E$4,2,FALSE)))</f>
        <v>#N/A</v>
      </c>
      <c r="F2852" s="142" t="e">
        <f>IF('Informe Kelly'!H2846=$A$3,'Informe Kelly'!F2846,VLOOKUP(D2852,$D$2:$F$4,3,FALSE))-(VLOOKUP(D2852,$D$2:$F$4,3,FALSE))</f>
        <v>#N/A</v>
      </c>
      <c r="G2852" s="137" t="e">
        <f t="shared" si="48"/>
        <v>#N/A</v>
      </c>
    </row>
    <row r="2853" spans="1:7">
      <c r="A2853" s="112" t="e">
        <f>VLOOKUP('Informe Kelly'!A2847,Base!A:B,2,FALSE)</f>
        <v>#N/A</v>
      </c>
      <c r="B2853" s="112" t="e">
        <f>VLOOKUP('Informe Kelly'!A2847,Base!A:G,7,FALSE)</f>
        <v>#N/A</v>
      </c>
      <c r="C2853" s="112">
        <f>'Informe Kelly'!E2847</f>
        <v>0</v>
      </c>
      <c r="D2853" s="112" t="e">
        <f>VLOOKUP(A2853,Ingreso!K:P,6,FALSE)</f>
        <v>#N/A</v>
      </c>
      <c r="E2853" s="142" t="e">
        <f>(VLOOKUP(D2853,$D$2:$E$4,2,FALSE))-(IF('Informe Kelly'!H2847=$A$2,'Informe Kelly'!F2847,VLOOKUP(D2853,$D$2:$E$4,2,FALSE)))</f>
        <v>#N/A</v>
      </c>
      <c r="F2853" s="142" t="e">
        <f>IF('Informe Kelly'!H2847=$A$3,'Informe Kelly'!F2847,VLOOKUP(D2853,$D$2:$F$4,3,FALSE))-(VLOOKUP(D2853,$D$2:$F$4,3,FALSE))</f>
        <v>#N/A</v>
      </c>
      <c r="G2853" s="137" t="e">
        <f t="shared" si="48"/>
        <v>#N/A</v>
      </c>
    </row>
    <row r="2854" spans="1:7">
      <c r="A2854" s="112" t="e">
        <f>VLOOKUP('Informe Kelly'!A2848,Base!A:B,2,FALSE)</f>
        <v>#N/A</v>
      </c>
      <c r="B2854" s="112" t="e">
        <f>VLOOKUP('Informe Kelly'!A2848,Base!A:G,7,FALSE)</f>
        <v>#N/A</v>
      </c>
      <c r="C2854" s="112">
        <f>'Informe Kelly'!E2848</f>
        <v>0</v>
      </c>
      <c r="D2854" s="112" t="e">
        <f>VLOOKUP(A2854,Ingreso!K:P,6,FALSE)</f>
        <v>#N/A</v>
      </c>
      <c r="E2854" s="142" t="e">
        <f>(VLOOKUP(D2854,$D$2:$E$4,2,FALSE))-(IF('Informe Kelly'!H2848=$A$2,'Informe Kelly'!F2848,VLOOKUP(D2854,$D$2:$E$4,2,FALSE)))</f>
        <v>#N/A</v>
      </c>
      <c r="F2854" s="142" t="e">
        <f>IF('Informe Kelly'!H2848=$A$3,'Informe Kelly'!F2848,VLOOKUP(D2854,$D$2:$F$4,3,FALSE))-(VLOOKUP(D2854,$D$2:$F$4,3,FALSE))</f>
        <v>#N/A</v>
      </c>
      <c r="G2854" s="137" t="e">
        <f t="shared" si="48"/>
        <v>#N/A</v>
      </c>
    </row>
    <row r="2855" spans="1:7">
      <c r="A2855" s="112" t="e">
        <f>VLOOKUP('Informe Kelly'!A2849,Base!A:B,2,FALSE)</f>
        <v>#N/A</v>
      </c>
      <c r="B2855" s="112" t="e">
        <f>VLOOKUP('Informe Kelly'!A2849,Base!A:G,7,FALSE)</f>
        <v>#N/A</v>
      </c>
      <c r="C2855" s="112">
        <f>'Informe Kelly'!E2849</f>
        <v>0</v>
      </c>
      <c r="D2855" s="112" t="e">
        <f>VLOOKUP(A2855,Ingreso!K:P,6,FALSE)</f>
        <v>#N/A</v>
      </c>
      <c r="E2855" s="142" t="e">
        <f>(VLOOKUP(D2855,$D$2:$E$4,2,FALSE))-(IF('Informe Kelly'!H2849=$A$2,'Informe Kelly'!F2849,VLOOKUP(D2855,$D$2:$E$4,2,FALSE)))</f>
        <v>#N/A</v>
      </c>
      <c r="F2855" s="142" t="e">
        <f>IF('Informe Kelly'!H2849=$A$3,'Informe Kelly'!F2849,VLOOKUP(D2855,$D$2:$F$4,3,FALSE))-(VLOOKUP(D2855,$D$2:$F$4,3,FALSE))</f>
        <v>#N/A</v>
      </c>
      <c r="G2855" s="137" t="e">
        <f t="shared" si="48"/>
        <v>#N/A</v>
      </c>
    </row>
    <row r="2856" spans="1:7">
      <c r="A2856" s="112" t="e">
        <f>VLOOKUP('Informe Kelly'!A2850,Base!A:B,2,FALSE)</f>
        <v>#N/A</v>
      </c>
      <c r="B2856" s="112" t="e">
        <f>VLOOKUP('Informe Kelly'!A2850,Base!A:G,7,FALSE)</f>
        <v>#N/A</v>
      </c>
      <c r="C2856" s="112">
        <f>'Informe Kelly'!E2850</f>
        <v>0</v>
      </c>
      <c r="D2856" s="112" t="e">
        <f>VLOOKUP(A2856,Ingreso!K:P,6,FALSE)</f>
        <v>#N/A</v>
      </c>
      <c r="E2856" s="142" t="e">
        <f>(VLOOKUP(D2856,$D$2:$E$4,2,FALSE))-(IF('Informe Kelly'!H2850=$A$2,'Informe Kelly'!F2850,VLOOKUP(D2856,$D$2:$E$4,2,FALSE)))</f>
        <v>#N/A</v>
      </c>
      <c r="F2856" s="142" t="e">
        <f>IF('Informe Kelly'!H2850=$A$3,'Informe Kelly'!F2850,VLOOKUP(D2856,$D$2:$F$4,3,FALSE))-(VLOOKUP(D2856,$D$2:$F$4,3,FALSE))</f>
        <v>#N/A</v>
      </c>
      <c r="G2856" s="137" t="e">
        <f t="shared" si="48"/>
        <v>#N/A</v>
      </c>
    </row>
    <row r="2857" spans="1:7">
      <c r="A2857" s="112" t="e">
        <f>VLOOKUP('Informe Kelly'!A2851,Base!A:B,2,FALSE)</f>
        <v>#N/A</v>
      </c>
      <c r="B2857" s="112" t="e">
        <f>VLOOKUP('Informe Kelly'!A2851,Base!A:G,7,FALSE)</f>
        <v>#N/A</v>
      </c>
      <c r="C2857" s="112">
        <f>'Informe Kelly'!E2851</f>
        <v>0</v>
      </c>
      <c r="D2857" s="112" t="e">
        <f>VLOOKUP(A2857,Ingreso!K:P,6,FALSE)</f>
        <v>#N/A</v>
      </c>
      <c r="E2857" s="142" t="e">
        <f>(VLOOKUP(D2857,$D$2:$E$4,2,FALSE))-(IF('Informe Kelly'!H2851=$A$2,'Informe Kelly'!F2851,VLOOKUP(D2857,$D$2:$E$4,2,FALSE)))</f>
        <v>#N/A</v>
      </c>
      <c r="F2857" s="142" t="e">
        <f>IF('Informe Kelly'!H2851=$A$3,'Informe Kelly'!F2851,VLOOKUP(D2857,$D$2:$F$4,3,FALSE))-(VLOOKUP(D2857,$D$2:$F$4,3,FALSE))</f>
        <v>#N/A</v>
      </c>
      <c r="G2857" s="137" t="e">
        <f t="shared" si="48"/>
        <v>#N/A</v>
      </c>
    </row>
    <row r="2858" spans="1:7">
      <c r="A2858" s="112" t="e">
        <f>VLOOKUP('Informe Kelly'!A2852,Base!A:B,2,FALSE)</f>
        <v>#N/A</v>
      </c>
      <c r="B2858" s="112" t="e">
        <f>VLOOKUP('Informe Kelly'!A2852,Base!A:G,7,FALSE)</f>
        <v>#N/A</v>
      </c>
      <c r="C2858" s="112">
        <f>'Informe Kelly'!E2852</f>
        <v>0</v>
      </c>
      <c r="D2858" s="112" t="e">
        <f>VLOOKUP(A2858,Ingreso!K:P,6,FALSE)</f>
        <v>#N/A</v>
      </c>
      <c r="E2858" s="142" t="e">
        <f>(VLOOKUP(D2858,$D$2:$E$4,2,FALSE))-(IF('Informe Kelly'!H2852=$A$2,'Informe Kelly'!F2852,VLOOKUP(D2858,$D$2:$E$4,2,FALSE)))</f>
        <v>#N/A</v>
      </c>
      <c r="F2858" s="142" t="e">
        <f>IF('Informe Kelly'!H2852=$A$3,'Informe Kelly'!F2852,VLOOKUP(D2858,$D$2:$F$4,3,FALSE))-(VLOOKUP(D2858,$D$2:$F$4,3,FALSE))</f>
        <v>#N/A</v>
      </c>
      <c r="G2858" s="137" t="e">
        <f t="shared" si="48"/>
        <v>#N/A</v>
      </c>
    </row>
    <row r="2859" spans="1:7">
      <c r="A2859" s="112" t="e">
        <f>VLOOKUP('Informe Kelly'!A2853,Base!A:B,2,FALSE)</f>
        <v>#N/A</v>
      </c>
      <c r="B2859" s="112" t="e">
        <f>VLOOKUP('Informe Kelly'!A2853,Base!A:G,7,FALSE)</f>
        <v>#N/A</v>
      </c>
      <c r="C2859" s="112">
        <f>'Informe Kelly'!E2853</f>
        <v>0</v>
      </c>
      <c r="D2859" s="112" t="e">
        <f>VLOOKUP(A2859,Ingreso!K:P,6,FALSE)</f>
        <v>#N/A</v>
      </c>
      <c r="E2859" s="142" t="e">
        <f>(VLOOKUP(D2859,$D$2:$E$4,2,FALSE))-(IF('Informe Kelly'!H2853=$A$2,'Informe Kelly'!F2853,VLOOKUP(D2859,$D$2:$E$4,2,FALSE)))</f>
        <v>#N/A</v>
      </c>
      <c r="F2859" s="142" t="e">
        <f>IF('Informe Kelly'!H2853=$A$3,'Informe Kelly'!F2853,VLOOKUP(D2859,$D$2:$F$4,3,FALSE))-(VLOOKUP(D2859,$D$2:$F$4,3,FALSE))</f>
        <v>#N/A</v>
      </c>
      <c r="G2859" s="137" t="e">
        <f t="shared" si="48"/>
        <v>#N/A</v>
      </c>
    </row>
    <row r="2860" spans="1:7">
      <c r="A2860" s="112" t="e">
        <f>VLOOKUP('Informe Kelly'!A2854,Base!A:B,2,FALSE)</f>
        <v>#N/A</v>
      </c>
      <c r="B2860" s="112" t="e">
        <f>VLOOKUP('Informe Kelly'!A2854,Base!A:G,7,FALSE)</f>
        <v>#N/A</v>
      </c>
      <c r="C2860" s="112">
        <f>'Informe Kelly'!E2854</f>
        <v>0</v>
      </c>
      <c r="D2860" s="112" t="e">
        <f>VLOOKUP(A2860,Ingreso!K:P,6,FALSE)</f>
        <v>#N/A</v>
      </c>
      <c r="E2860" s="142" t="e">
        <f>(VLOOKUP(D2860,$D$2:$E$4,2,FALSE))-(IF('Informe Kelly'!H2854=$A$2,'Informe Kelly'!F2854,VLOOKUP(D2860,$D$2:$E$4,2,FALSE)))</f>
        <v>#N/A</v>
      </c>
      <c r="F2860" s="142" t="e">
        <f>IF('Informe Kelly'!H2854=$A$3,'Informe Kelly'!F2854,VLOOKUP(D2860,$D$2:$F$4,3,FALSE))-(VLOOKUP(D2860,$D$2:$F$4,3,FALSE))</f>
        <v>#N/A</v>
      </c>
      <c r="G2860" s="137" t="e">
        <f t="shared" si="48"/>
        <v>#N/A</v>
      </c>
    </row>
    <row r="2861" spans="1:7">
      <c r="A2861" s="112" t="e">
        <f>VLOOKUP('Informe Kelly'!A2855,Base!A:B,2,FALSE)</f>
        <v>#N/A</v>
      </c>
      <c r="B2861" s="112" t="e">
        <f>VLOOKUP('Informe Kelly'!A2855,Base!A:G,7,FALSE)</f>
        <v>#N/A</v>
      </c>
      <c r="C2861" s="112">
        <f>'Informe Kelly'!E2855</f>
        <v>0</v>
      </c>
      <c r="D2861" s="112" t="e">
        <f>VLOOKUP(A2861,Ingreso!K:P,6,FALSE)</f>
        <v>#N/A</v>
      </c>
      <c r="E2861" s="142" t="e">
        <f>(VLOOKUP(D2861,$D$2:$E$4,2,FALSE))-(IF('Informe Kelly'!H2855=$A$2,'Informe Kelly'!F2855,VLOOKUP(D2861,$D$2:$E$4,2,FALSE)))</f>
        <v>#N/A</v>
      </c>
      <c r="F2861" s="142" t="e">
        <f>IF('Informe Kelly'!H2855=$A$3,'Informe Kelly'!F2855,VLOOKUP(D2861,$D$2:$F$4,3,FALSE))-(VLOOKUP(D2861,$D$2:$F$4,3,FALSE))</f>
        <v>#N/A</v>
      </c>
      <c r="G2861" s="137" t="e">
        <f t="shared" si="48"/>
        <v>#N/A</v>
      </c>
    </row>
    <row r="2862" spans="1:7">
      <c r="A2862" s="112" t="e">
        <f>VLOOKUP('Informe Kelly'!A2856,Base!A:B,2,FALSE)</f>
        <v>#N/A</v>
      </c>
      <c r="B2862" s="112" t="e">
        <f>VLOOKUP('Informe Kelly'!A2856,Base!A:G,7,FALSE)</f>
        <v>#N/A</v>
      </c>
      <c r="C2862" s="112">
        <f>'Informe Kelly'!E2856</f>
        <v>0</v>
      </c>
      <c r="D2862" s="112" t="e">
        <f>VLOOKUP(A2862,Ingreso!K:P,6,FALSE)</f>
        <v>#N/A</v>
      </c>
      <c r="E2862" s="142" t="e">
        <f>(VLOOKUP(D2862,$D$2:$E$4,2,FALSE))-(IF('Informe Kelly'!H2856=$A$2,'Informe Kelly'!F2856,VLOOKUP(D2862,$D$2:$E$4,2,FALSE)))</f>
        <v>#N/A</v>
      </c>
      <c r="F2862" s="142" t="e">
        <f>IF('Informe Kelly'!H2856=$A$3,'Informe Kelly'!F2856,VLOOKUP(D2862,$D$2:$F$4,3,FALSE))-(VLOOKUP(D2862,$D$2:$F$4,3,FALSE))</f>
        <v>#N/A</v>
      </c>
      <c r="G2862" s="137" t="e">
        <f t="shared" si="48"/>
        <v>#N/A</v>
      </c>
    </row>
    <row r="2863" spans="1:7">
      <c r="A2863" s="112" t="e">
        <f>VLOOKUP('Informe Kelly'!A2857,Base!A:B,2,FALSE)</f>
        <v>#N/A</v>
      </c>
      <c r="B2863" s="112" t="e">
        <f>VLOOKUP('Informe Kelly'!A2857,Base!A:G,7,FALSE)</f>
        <v>#N/A</v>
      </c>
      <c r="C2863" s="112">
        <f>'Informe Kelly'!E2857</f>
        <v>0</v>
      </c>
      <c r="D2863" s="112" t="e">
        <f>VLOOKUP(A2863,Ingreso!K:P,6,FALSE)</f>
        <v>#N/A</v>
      </c>
      <c r="E2863" s="142" t="e">
        <f>(VLOOKUP(D2863,$D$2:$E$4,2,FALSE))-(IF('Informe Kelly'!H2857=$A$2,'Informe Kelly'!F2857,VLOOKUP(D2863,$D$2:$E$4,2,FALSE)))</f>
        <v>#N/A</v>
      </c>
      <c r="F2863" s="142" t="e">
        <f>IF('Informe Kelly'!H2857=$A$3,'Informe Kelly'!F2857,VLOOKUP(D2863,$D$2:$F$4,3,FALSE))-(VLOOKUP(D2863,$D$2:$F$4,3,FALSE))</f>
        <v>#N/A</v>
      </c>
      <c r="G2863" s="137" t="e">
        <f t="shared" si="48"/>
        <v>#N/A</v>
      </c>
    </row>
    <row r="2864" spans="1:7">
      <c r="A2864" s="112" t="e">
        <f>VLOOKUP('Informe Kelly'!A2858,Base!A:B,2,FALSE)</f>
        <v>#N/A</v>
      </c>
      <c r="B2864" s="112" t="e">
        <f>VLOOKUP('Informe Kelly'!A2858,Base!A:G,7,FALSE)</f>
        <v>#N/A</v>
      </c>
      <c r="C2864" s="112">
        <f>'Informe Kelly'!E2858</f>
        <v>0</v>
      </c>
      <c r="D2864" s="112" t="e">
        <f>VLOOKUP(A2864,Ingreso!K:P,6,FALSE)</f>
        <v>#N/A</v>
      </c>
      <c r="E2864" s="142" t="e">
        <f>(VLOOKUP(D2864,$D$2:$E$4,2,FALSE))-(IF('Informe Kelly'!H2858=$A$2,'Informe Kelly'!F2858,VLOOKUP(D2864,$D$2:$E$4,2,FALSE)))</f>
        <v>#N/A</v>
      </c>
      <c r="F2864" s="142" t="e">
        <f>IF('Informe Kelly'!H2858=$A$3,'Informe Kelly'!F2858,VLOOKUP(D2864,$D$2:$F$4,3,FALSE))-(VLOOKUP(D2864,$D$2:$F$4,3,FALSE))</f>
        <v>#N/A</v>
      </c>
      <c r="G2864" s="137" t="e">
        <f t="shared" si="48"/>
        <v>#N/A</v>
      </c>
    </row>
    <row r="2865" spans="1:7">
      <c r="A2865" s="112" t="e">
        <f>VLOOKUP('Informe Kelly'!A2859,Base!A:B,2,FALSE)</f>
        <v>#N/A</v>
      </c>
      <c r="B2865" s="112" t="e">
        <f>VLOOKUP('Informe Kelly'!A2859,Base!A:G,7,FALSE)</f>
        <v>#N/A</v>
      </c>
      <c r="C2865" s="112">
        <f>'Informe Kelly'!E2859</f>
        <v>0</v>
      </c>
      <c r="D2865" s="112" t="e">
        <f>VLOOKUP(A2865,Ingreso!K:P,6,FALSE)</f>
        <v>#N/A</v>
      </c>
      <c r="E2865" s="142" t="e">
        <f>(VLOOKUP(D2865,$D$2:$E$4,2,FALSE))-(IF('Informe Kelly'!H2859=$A$2,'Informe Kelly'!F2859,VLOOKUP(D2865,$D$2:$E$4,2,FALSE)))</f>
        <v>#N/A</v>
      </c>
      <c r="F2865" s="142" t="e">
        <f>IF('Informe Kelly'!H2859=$A$3,'Informe Kelly'!F2859,VLOOKUP(D2865,$D$2:$F$4,3,FALSE))-(VLOOKUP(D2865,$D$2:$F$4,3,FALSE))</f>
        <v>#N/A</v>
      </c>
      <c r="G2865" s="137" t="e">
        <f t="shared" si="48"/>
        <v>#N/A</v>
      </c>
    </row>
    <row r="2866" spans="1:7">
      <c r="A2866" s="112" t="e">
        <f>VLOOKUP('Informe Kelly'!A2860,Base!A:B,2,FALSE)</f>
        <v>#N/A</v>
      </c>
      <c r="B2866" s="112" t="e">
        <f>VLOOKUP('Informe Kelly'!A2860,Base!A:G,7,FALSE)</f>
        <v>#N/A</v>
      </c>
      <c r="C2866" s="112">
        <f>'Informe Kelly'!E2860</f>
        <v>0</v>
      </c>
      <c r="D2866" s="112" t="e">
        <f>VLOOKUP(A2866,Ingreso!K:P,6,FALSE)</f>
        <v>#N/A</v>
      </c>
      <c r="E2866" s="142" t="e">
        <f>(VLOOKUP(D2866,$D$2:$E$4,2,FALSE))-(IF('Informe Kelly'!H2860=$A$2,'Informe Kelly'!F2860,VLOOKUP(D2866,$D$2:$E$4,2,FALSE)))</f>
        <v>#N/A</v>
      </c>
      <c r="F2866" s="142" t="e">
        <f>IF('Informe Kelly'!H2860=$A$3,'Informe Kelly'!F2860,VLOOKUP(D2866,$D$2:$F$4,3,FALSE))-(VLOOKUP(D2866,$D$2:$F$4,3,FALSE))</f>
        <v>#N/A</v>
      </c>
      <c r="G2866" s="137" t="e">
        <f t="shared" si="48"/>
        <v>#N/A</v>
      </c>
    </row>
    <row r="2867" spans="1:7">
      <c r="A2867" s="112" t="e">
        <f>VLOOKUP('Informe Kelly'!A2861,Base!A:B,2,FALSE)</f>
        <v>#N/A</v>
      </c>
      <c r="B2867" s="112" t="e">
        <f>VLOOKUP('Informe Kelly'!A2861,Base!A:G,7,FALSE)</f>
        <v>#N/A</v>
      </c>
      <c r="C2867" s="112">
        <f>'Informe Kelly'!E2861</f>
        <v>0</v>
      </c>
      <c r="D2867" s="112" t="e">
        <f>VLOOKUP(A2867,Ingreso!K:P,6,FALSE)</f>
        <v>#N/A</v>
      </c>
      <c r="E2867" s="142" t="e">
        <f>(VLOOKUP(D2867,$D$2:$E$4,2,FALSE))-(IF('Informe Kelly'!H2861=$A$2,'Informe Kelly'!F2861,VLOOKUP(D2867,$D$2:$E$4,2,FALSE)))</f>
        <v>#N/A</v>
      </c>
      <c r="F2867" s="142" t="e">
        <f>IF('Informe Kelly'!H2861=$A$3,'Informe Kelly'!F2861,VLOOKUP(D2867,$D$2:$F$4,3,FALSE))-(VLOOKUP(D2867,$D$2:$F$4,3,FALSE))</f>
        <v>#N/A</v>
      </c>
      <c r="G2867" s="137" t="e">
        <f t="shared" si="48"/>
        <v>#N/A</v>
      </c>
    </row>
    <row r="2868" spans="1:7">
      <c r="A2868" s="112" t="e">
        <f>VLOOKUP('Informe Kelly'!A2862,Base!A:B,2,FALSE)</f>
        <v>#N/A</v>
      </c>
      <c r="B2868" s="112" t="e">
        <f>VLOOKUP('Informe Kelly'!A2862,Base!A:G,7,FALSE)</f>
        <v>#N/A</v>
      </c>
      <c r="C2868" s="112">
        <f>'Informe Kelly'!E2862</f>
        <v>0</v>
      </c>
      <c r="D2868" s="112" t="e">
        <f>VLOOKUP(A2868,Ingreso!K:P,6,FALSE)</f>
        <v>#N/A</v>
      </c>
      <c r="E2868" s="142" t="e">
        <f>(VLOOKUP(D2868,$D$2:$E$4,2,FALSE))-(IF('Informe Kelly'!H2862=$A$2,'Informe Kelly'!F2862,VLOOKUP(D2868,$D$2:$E$4,2,FALSE)))</f>
        <v>#N/A</v>
      </c>
      <c r="F2868" s="142" t="e">
        <f>IF('Informe Kelly'!H2862=$A$3,'Informe Kelly'!F2862,VLOOKUP(D2868,$D$2:$F$4,3,FALSE))-(VLOOKUP(D2868,$D$2:$F$4,3,FALSE))</f>
        <v>#N/A</v>
      </c>
      <c r="G2868" s="137" t="e">
        <f t="shared" si="48"/>
        <v>#N/A</v>
      </c>
    </row>
    <row r="2869" spans="1:7">
      <c r="A2869" s="112" t="e">
        <f>VLOOKUP('Informe Kelly'!A2863,Base!A:B,2,FALSE)</f>
        <v>#N/A</v>
      </c>
      <c r="B2869" s="112" t="e">
        <f>VLOOKUP('Informe Kelly'!A2863,Base!A:G,7,FALSE)</f>
        <v>#N/A</v>
      </c>
      <c r="C2869" s="112">
        <f>'Informe Kelly'!E2863</f>
        <v>0</v>
      </c>
      <c r="D2869" s="112" t="e">
        <f>VLOOKUP(A2869,Ingreso!K:P,6,FALSE)</f>
        <v>#N/A</v>
      </c>
      <c r="E2869" s="142" t="e">
        <f>(VLOOKUP(D2869,$D$2:$E$4,2,FALSE))-(IF('Informe Kelly'!H2863=$A$2,'Informe Kelly'!F2863,VLOOKUP(D2869,$D$2:$E$4,2,FALSE)))</f>
        <v>#N/A</v>
      </c>
      <c r="F2869" s="142" t="e">
        <f>IF('Informe Kelly'!H2863=$A$3,'Informe Kelly'!F2863,VLOOKUP(D2869,$D$2:$F$4,3,FALSE))-(VLOOKUP(D2869,$D$2:$F$4,3,FALSE))</f>
        <v>#N/A</v>
      </c>
      <c r="G2869" s="137" t="e">
        <f t="shared" si="48"/>
        <v>#N/A</v>
      </c>
    </row>
    <row r="2870" spans="1:7">
      <c r="A2870" s="112" t="e">
        <f>VLOOKUP('Informe Kelly'!A2864,Base!A:B,2,FALSE)</f>
        <v>#N/A</v>
      </c>
      <c r="B2870" s="112" t="e">
        <f>VLOOKUP('Informe Kelly'!A2864,Base!A:G,7,FALSE)</f>
        <v>#N/A</v>
      </c>
      <c r="C2870" s="112">
        <f>'Informe Kelly'!E2864</f>
        <v>0</v>
      </c>
      <c r="D2870" s="112" t="e">
        <f>VLOOKUP(A2870,Ingreso!K:P,6,FALSE)</f>
        <v>#N/A</v>
      </c>
      <c r="E2870" s="142" t="e">
        <f>(VLOOKUP(D2870,$D$2:$E$4,2,FALSE))-(IF('Informe Kelly'!H2864=$A$2,'Informe Kelly'!F2864,VLOOKUP(D2870,$D$2:$E$4,2,FALSE)))</f>
        <v>#N/A</v>
      </c>
      <c r="F2870" s="142" t="e">
        <f>IF('Informe Kelly'!H2864=$A$3,'Informe Kelly'!F2864,VLOOKUP(D2870,$D$2:$F$4,3,FALSE))-(VLOOKUP(D2870,$D$2:$F$4,3,FALSE))</f>
        <v>#N/A</v>
      </c>
      <c r="G2870" s="137" t="e">
        <f t="shared" si="48"/>
        <v>#N/A</v>
      </c>
    </row>
    <row r="2871" spans="1:7">
      <c r="A2871" s="112" t="e">
        <f>VLOOKUP('Informe Kelly'!A2865,Base!A:B,2,FALSE)</f>
        <v>#N/A</v>
      </c>
      <c r="B2871" s="112" t="e">
        <f>VLOOKUP('Informe Kelly'!A2865,Base!A:G,7,FALSE)</f>
        <v>#N/A</v>
      </c>
      <c r="C2871" s="112">
        <f>'Informe Kelly'!E2865</f>
        <v>0</v>
      </c>
      <c r="D2871" s="112" t="e">
        <f>VLOOKUP(A2871,Ingreso!K:P,6,FALSE)</f>
        <v>#N/A</v>
      </c>
      <c r="E2871" s="142" t="e">
        <f>(VLOOKUP(D2871,$D$2:$E$4,2,FALSE))-(IF('Informe Kelly'!H2865=$A$2,'Informe Kelly'!F2865,VLOOKUP(D2871,$D$2:$E$4,2,FALSE)))</f>
        <v>#N/A</v>
      </c>
      <c r="F2871" s="142" t="e">
        <f>IF('Informe Kelly'!H2865=$A$3,'Informe Kelly'!F2865,VLOOKUP(D2871,$D$2:$F$4,3,FALSE))-(VLOOKUP(D2871,$D$2:$F$4,3,FALSE))</f>
        <v>#N/A</v>
      </c>
      <c r="G2871" s="137" t="e">
        <f t="shared" si="48"/>
        <v>#N/A</v>
      </c>
    </row>
    <row r="2872" spans="1:7">
      <c r="A2872" s="112" t="e">
        <f>VLOOKUP('Informe Kelly'!A2866,Base!A:B,2,FALSE)</f>
        <v>#N/A</v>
      </c>
      <c r="B2872" s="112" t="e">
        <f>VLOOKUP('Informe Kelly'!A2866,Base!A:G,7,FALSE)</f>
        <v>#N/A</v>
      </c>
      <c r="C2872" s="112">
        <f>'Informe Kelly'!E2866</f>
        <v>0</v>
      </c>
      <c r="D2872" s="112" t="e">
        <f>VLOOKUP(A2872,Ingreso!K:P,6,FALSE)</f>
        <v>#N/A</v>
      </c>
      <c r="E2872" s="142" t="e">
        <f>(VLOOKUP(D2872,$D$2:$E$4,2,FALSE))-(IF('Informe Kelly'!H2866=$A$2,'Informe Kelly'!F2866,VLOOKUP(D2872,$D$2:$E$4,2,FALSE)))</f>
        <v>#N/A</v>
      </c>
      <c r="F2872" s="142" t="e">
        <f>IF('Informe Kelly'!H2866=$A$3,'Informe Kelly'!F2866,VLOOKUP(D2872,$D$2:$F$4,3,FALSE))-(VLOOKUP(D2872,$D$2:$F$4,3,FALSE))</f>
        <v>#N/A</v>
      </c>
      <c r="G2872" s="137" t="e">
        <f t="shared" si="48"/>
        <v>#N/A</v>
      </c>
    </row>
    <row r="2873" spans="1:7">
      <c r="A2873" s="112" t="e">
        <f>VLOOKUP('Informe Kelly'!A2867,Base!A:B,2,FALSE)</f>
        <v>#N/A</v>
      </c>
      <c r="B2873" s="112" t="e">
        <f>VLOOKUP('Informe Kelly'!A2867,Base!A:G,7,FALSE)</f>
        <v>#N/A</v>
      </c>
      <c r="C2873" s="112">
        <f>'Informe Kelly'!E2867</f>
        <v>0</v>
      </c>
      <c r="D2873" s="112" t="e">
        <f>VLOOKUP(A2873,Ingreso!K:P,6,FALSE)</f>
        <v>#N/A</v>
      </c>
      <c r="E2873" s="142" t="e">
        <f>(VLOOKUP(D2873,$D$2:$E$4,2,FALSE))-(IF('Informe Kelly'!H2867=$A$2,'Informe Kelly'!F2867,VLOOKUP(D2873,$D$2:$E$4,2,FALSE)))</f>
        <v>#N/A</v>
      </c>
      <c r="F2873" s="142" t="e">
        <f>IF('Informe Kelly'!H2867=$A$3,'Informe Kelly'!F2867,VLOOKUP(D2873,$D$2:$F$4,3,FALSE))-(VLOOKUP(D2873,$D$2:$F$4,3,FALSE))</f>
        <v>#N/A</v>
      </c>
      <c r="G2873" s="137" t="e">
        <f t="shared" si="48"/>
        <v>#N/A</v>
      </c>
    </row>
    <row r="2874" spans="1:7">
      <c r="A2874" s="112" t="e">
        <f>VLOOKUP('Informe Kelly'!A2868,Base!A:B,2,FALSE)</f>
        <v>#N/A</v>
      </c>
      <c r="B2874" s="112" t="e">
        <f>VLOOKUP('Informe Kelly'!A2868,Base!A:G,7,FALSE)</f>
        <v>#N/A</v>
      </c>
      <c r="C2874" s="112">
        <f>'Informe Kelly'!E2868</f>
        <v>0</v>
      </c>
      <c r="D2874" s="112" t="e">
        <f>VLOOKUP(A2874,Ingreso!K:P,6,FALSE)</f>
        <v>#N/A</v>
      </c>
      <c r="E2874" s="142" t="e">
        <f>(VLOOKUP(D2874,$D$2:$E$4,2,FALSE))-(IF('Informe Kelly'!H2868=$A$2,'Informe Kelly'!F2868,VLOOKUP(D2874,$D$2:$E$4,2,FALSE)))</f>
        <v>#N/A</v>
      </c>
      <c r="F2874" s="142" t="e">
        <f>IF('Informe Kelly'!H2868=$A$3,'Informe Kelly'!F2868,VLOOKUP(D2874,$D$2:$F$4,3,FALSE))-(VLOOKUP(D2874,$D$2:$F$4,3,FALSE))</f>
        <v>#N/A</v>
      </c>
      <c r="G2874" s="137" t="e">
        <f t="shared" si="48"/>
        <v>#N/A</v>
      </c>
    </row>
    <row r="2875" spans="1:7">
      <c r="A2875" s="112" t="e">
        <f>VLOOKUP('Informe Kelly'!A2869,Base!A:B,2,FALSE)</f>
        <v>#N/A</v>
      </c>
      <c r="B2875" s="112" t="e">
        <f>VLOOKUP('Informe Kelly'!A2869,Base!A:G,7,FALSE)</f>
        <v>#N/A</v>
      </c>
      <c r="C2875" s="112">
        <f>'Informe Kelly'!E2869</f>
        <v>0</v>
      </c>
      <c r="D2875" s="112" t="e">
        <f>VLOOKUP(A2875,Ingreso!K:P,6,FALSE)</f>
        <v>#N/A</v>
      </c>
      <c r="E2875" s="142" t="e">
        <f>(VLOOKUP(D2875,$D$2:$E$4,2,FALSE))-(IF('Informe Kelly'!H2869=$A$2,'Informe Kelly'!F2869,VLOOKUP(D2875,$D$2:$E$4,2,FALSE)))</f>
        <v>#N/A</v>
      </c>
      <c r="F2875" s="142" t="e">
        <f>IF('Informe Kelly'!H2869=$A$3,'Informe Kelly'!F2869,VLOOKUP(D2875,$D$2:$F$4,3,FALSE))-(VLOOKUP(D2875,$D$2:$F$4,3,FALSE))</f>
        <v>#N/A</v>
      </c>
      <c r="G2875" s="137" t="e">
        <f t="shared" si="48"/>
        <v>#N/A</v>
      </c>
    </row>
    <row r="2876" spans="1:7">
      <c r="A2876" s="112" t="e">
        <f>VLOOKUP('Informe Kelly'!A2870,Base!A:B,2,FALSE)</f>
        <v>#N/A</v>
      </c>
      <c r="B2876" s="112" t="e">
        <f>VLOOKUP('Informe Kelly'!A2870,Base!A:G,7,FALSE)</f>
        <v>#N/A</v>
      </c>
      <c r="C2876" s="112">
        <f>'Informe Kelly'!E2870</f>
        <v>0</v>
      </c>
      <c r="D2876" s="112" t="e">
        <f>VLOOKUP(A2876,Ingreso!K:P,6,FALSE)</f>
        <v>#N/A</v>
      </c>
      <c r="E2876" s="142" t="e">
        <f>(VLOOKUP(D2876,$D$2:$E$4,2,FALSE))-(IF('Informe Kelly'!H2870=$A$2,'Informe Kelly'!F2870,VLOOKUP(D2876,$D$2:$E$4,2,FALSE)))</f>
        <v>#N/A</v>
      </c>
      <c r="F2876" s="142" t="e">
        <f>IF('Informe Kelly'!H2870=$A$3,'Informe Kelly'!F2870,VLOOKUP(D2876,$D$2:$F$4,3,FALSE))-(VLOOKUP(D2876,$D$2:$F$4,3,FALSE))</f>
        <v>#N/A</v>
      </c>
      <c r="G2876" s="137" t="e">
        <f t="shared" si="48"/>
        <v>#N/A</v>
      </c>
    </row>
    <row r="2877" spans="1:7">
      <c r="A2877" s="112" t="e">
        <f>VLOOKUP('Informe Kelly'!A2871,Base!A:B,2,FALSE)</f>
        <v>#N/A</v>
      </c>
      <c r="B2877" s="112" t="e">
        <f>VLOOKUP('Informe Kelly'!A2871,Base!A:G,7,FALSE)</f>
        <v>#N/A</v>
      </c>
      <c r="C2877" s="112">
        <f>'Informe Kelly'!E2871</f>
        <v>0</v>
      </c>
      <c r="D2877" s="112" t="e">
        <f>VLOOKUP(A2877,Ingreso!K:P,6,FALSE)</f>
        <v>#N/A</v>
      </c>
      <c r="E2877" s="142" t="e">
        <f>(VLOOKUP(D2877,$D$2:$E$4,2,FALSE))-(IF('Informe Kelly'!H2871=$A$2,'Informe Kelly'!F2871,VLOOKUP(D2877,$D$2:$E$4,2,FALSE)))</f>
        <v>#N/A</v>
      </c>
      <c r="F2877" s="142" t="e">
        <f>IF('Informe Kelly'!H2871=$A$3,'Informe Kelly'!F2871,VLOOKUP(D2877,$D$2:$F$4,3,FALSE))-(VLOOKUP(D2877,$D$2:$F$4,3,FALSE))</f>
        <v>#N/A</v>
      </c>
      <c r="G2877" s="137" t="e">
        <f t="shared" si="48"/>
        <v>#N/A</v>
      </c>
    </row>
    <row r="2878" spans="1:7">
      <c r="A2878" s="112" t="e">
        <f>VLOOKUP('Informe Kelly'!A2872,Base!A:B,2,FALSE)</f>
        <v>#N/A</v>
      </c>
      <c r="B2878" s="112" t="e">
        <f>VLOOKUP('Informe Kelly'!A2872,Base!A:G,7,FALSE)</f>
        <v>#N/A</v>
      </c>
      <c r="C2878" s="112">
        <f>'Informe Kelly'!E2872</f>
        <v>0</v>
      </c>
      <c r="D2878" s="112" t="e">
        <f>VLOOKUP(A2878,Ingreso!K:P,6,FALSE)</f>
        <v>#N/A</v>
      </c>
      <c r="E2878" s="142" t="e">
        <f>(VLOOKUP(D2878,$D$2:$E$4,2,FALSE))-(IF('Informe Kelly'!H2872=$A$2,'Informe Kelly'!F2872,VLOOKUP(D2878,$D$2:$E$4,2,FALSE)))</f>
        <v>#N/A</v>
      </c>
      <c r="F2878" s="142" t="e">
        <f>IF('Informe Kelly'!H2872=$A$3,'Informe Kelly'!F2872,VLOOKUP(D2878,$D$2:$F$4,3,FALSE))-(VLOOKUP(D2878,$D$2:$F$4,3,FALSE))</f>
        <v>#N/A</v>
      </c>
      <c r="G2878" s="137" t="e">
        <f t="shared" si="48"/>
        <v>#N/A</v>
      </c>
    </row>
    <row r="2879" spans="1:7">
      <c r="A2879" s="112" t="e">
        <f>VLOOKUP('Informe Kelly'!A2873,Base!A:B,2,FALSE)</f>
        <v>#N/A</v>
      </c>
      <c r="B2879" s="112" t="e">
        <f>VLOOKUP('Informe Kelly'!A2873,Base!A:G,7,FALSE)</f>
        <v>#N/A</v>
      </c>
      <c r="C2879" s="112">
        <f>'Informe Kelly'!E2873</f>
        <v>0</v>
      </c>
      <c r="D2879" s="112" t="e">
        <f>VLOOKUP(A2879,Ingreso!K:P,6,FALSE)</f>
        <v>#N/A</v>
      </c>
      <c r="E2879" s="142" t="e">
        <f>(VLOOKUP(D2879,$D$2:$E$4,2,FALSE))-(IF('Informe Kelly'!H2873=$A$2,'Informe Kelly'!F2873,VLOOKUP(D2879,$D$2:$E$4,2,FALSE)))</f>
        <v>#N/A</v>
      </c>
      <c r="F2879" s="142" t="e">
        <f>IF('Informe Kelly'!H2873=$A$3,'Informe Kelly'!F2873,VLOOKUP(D2879,$D$2:$F$4,3,FALSE))-(VLOOKUP(D2879,$D$2:$F$4,3,FALSE))</f>
        <v>#N/A</v>
      </c>
      <c r="G2879" s="137" t="e">
        <f t="shared" si="48"/>
        <v>#N/A</v>
      </c>
    </row>
    <row r="2880" spans="1:7">
      <c r="A2880" s="112" t="e">
        <f>VLOOKUP('Informe Kelly'!A2874,Base!A:B,2,FALSE)</f>
        <v>#N/A</v>
      </c>
      <c r="B2880" s="112" t="e">
        <f>VLOOKUP('Informe Kelly'!A2874,Base!A:G,7,FALSE)</f>
        <v>#N/A</v>
      </c>
      <c r="C2880" s="112">
        <f>'Informe Kelly'!E2874</f>
        <v>0</v>
      </c>
      <c r="D2880" s="112" t="e">
        <f>VLOOKUP(A2880,Ingreso!K:P,6,FALSE)</f>
        <v>#N/A</v>
      </c>
      <c r="E2880" s="142" t="e">
        <f>(VLOOKUP(D2880,$D$2:$E$4,2,FALSE))-(IF('Informe Kelly'!H2874=$A$2,'Informe Kelly'!F2874,VLOOKUP(D2880,$D$2:$E$4,2,FALSE)))</f>
        <v>#N/A</v>
      </c>
      <c r="F2880" s="142" t="e">
        <f>IF('Informe Kelly'!H2874=$A$3,'Informe Kelly'!F2874,VLOOKUP(D2880,$D$2:$F$4,3,FALSE))-(VLOOKUP(D2880,$D$2:$F$4,3,FALSE))</f>
        <v>#N/A</v>
      </c>
      <c r="G2880" s="137" t="e">
        <f t="shared" si="48"/>
        <v>#N/A</v>
      </c>
    </row>
    <row r="2881" spans="1:7">
      <c r="A2881" s="112" t="e">
        <f>VLOOKUP('Informe Kelly'!A2875,Base!A:B,2,FALSE)</f>
        <v>#N/A</v>
      </c>
      <c r="B2881" s="112" t="e">
        <f>VLOOKUP('Informe Kelly'!A2875,Base!A:G,7,FALSE)</f>
        <v>#N/A</v>
      </c>
      <c r="C2881" s="112">
        <f>'Informe Kelly'!E2875</f>
        <v>0</v>
      </c>
      <c r="D2881" s="112" t="e">
        <f>VLOOKUP(A2881,Ingreso!K:P,6,FALSE)</f>
        <v>#N/A</v>
      </c>
      <c r="E2881" s="142" t="e">
        <f>(VLOOKUP(D2881,$D$2:$E$4,2,FALSE))-(IF('Informe Kelly'!H2875=$A$2,'Informe Kelly'!F2875,VLOOKUP(D2881,$D$2:$E$4,2,FALSE)))</f>
        <v>#N/A</v>
      </c>
      <c r="F2881" s="142" t="e">
        <f>IF('Informe Kelly'!H2875=$A$3,'Informe Kelly'!F2875,VLOOKUP(D2881,$D$2:$F$4,3,FALSE))-(VLOOKUP(D2881,$D$2:$F$4,3,FALSE))</f>
        <v>#N/A</v>
      </c>
      <c r="G2881" s="137" t="e">
        <f t="shared" si="48"/>
        <v>#N/A</v>
      </c>
    </row>
    <row r="2882" spans="1:7">
      <c r="A2882" s="112" t="e">
        <f>VLOOKUP('Informe Kelly'!A2876,Base!A:B,2,FALSE)</f>
        <v>#N/A</v>
      </c>
      <c r="B2882" s="112" t="e">
        <f>VLOOKUP('Informe Kelly'!A2876,Base!A:G,7,FALSE)</f>
        <v>#N/A</v>
      </c>
      <c r="C2882" s="112">
        <f>'Informe Kelly'!E2876</f>
        <v>0</v>
      </c>
      <c r="D2882" s="112" t="e">
        <f>VLOOKUP(A2882,Ingreso!K:P,6,FALSE)</f>
        <v>#N/A</v>
      </c>
      <c r="E2882" s="142" t="e">
        <f>(VLOOKUP(D2882,$D$2:$E$4,2,FALSE))-(IF('Informe Kelly'!H2876=$A$2,'Informe Kelly'!F2876,VLOOKUP(D2882,$D$2:$E$4,2,FALSE)))</f>
        <v>#N/A</v>
      </c>
      <c r="F2882" s="142" t="e">
        <f>IF('Informe Kelly'!H2876=$A$3,'Informe Kelly'!F2876,VLOOKUP(D2882,$D$2:$F$4,3,FALSE))-(VLOOKUP(D2882,$D$2:$F$4,3,FALSE))</f>
        <v>#N/A</v>
      </c>
      <c r="G2882" s="137" t="e">
        <f t="shared" si="48"/>
        <v>#N/A</v>
      </c>
    </row>
    <row r="2883" spans="1:7">
      <c r="A2883" s="112" t="e">
        <f>VLOOKUP('Informe Kelly'!A2877,Base!A:B,2,FALSE)</f>
        <v>#N/A</v>
      </c>
      <c r="B2883" s="112" t="e">
        <f>VLOOKUP('Informe Kelly'!A2877,Base!A:G,7,FALSE)</f>
        <v>#N/A</v>
      </c>
      <c r="C2883" s="112">
        <f>'Informe Kelly'!E2877</f>
        <v>0</v>
      </c>
      <c r="D2883" s="112" t="e">
        <f>VLOOKUP(A2883,Ingreso!K:P,6,FALSE)</f>
        <v>#N/A</v>
      </c>
      <c r="E2883" s="142" t="e">
        <f>(VLOOKUP(D2883,$D$2:$E$4,2,FALSE))-(IF('Informe Kelly'!H2877=$A$2,'Informe Kelly'!F2877,VLOOKUP(D2883,$D$2:$E$4,2,FALSE)))</f>
        <v>#N/A</v>
      </c>
      <c r="F2883" s="142" t="e">
        <f>IF('Informe Kelly'!H2877=$A$3,'Informe Kelly'!F2877,VLOOKUP(D2883,$D$2:$F$4,3,FALSE))-(VLOOKUP(D2883,$D$2:$F$4,3,FALSE))</f>
        <v>#N/A</v>
      </c>
      <c r="G2883" s="137" t="e">
        <f t="shared" si="48"/>
        <v>#N/A</v>
      </c>
    </row>
    <row r="2884" spans="1:7">
      <c r="A2884" s="112" t="e">
        <f>VLOOKUP('Informe Kelly'!A2878,Base!A:B,2,FALSE)</f>
        <v>#N/A</v>
      </c>
      <c r="B2884" s="112" t="e">
        <f>VLOOKUP('Informe Kelly'!A2878,Base!A:G,7,FALSE)</f>
        <v>#N/A</v>
      </c>
      <c r="C2884" s="112">
        <f>'Informe Kelly'!E2878</f>
        <v>0</v>
      </c>
      <c r="D2884" s="112" t="e">
        <f>VLOOKUP(A2884,Ingreso!K:P,6,FALSE)</f>
        <v>#N/A</v>
      </c>
      <c r="E2884" s="142" t="e">
        <f>(VLOOKUP(D2884,$D$2:$E$4,2,FALSE))-(IF('Informe Kelly'!H2878=$A$2,'Informe Kelly'!F2878,VLOOKUP(D2884,$D$2:$E$4,2,FALSE)))</f>
        <v>#N/A</v>
      </c>
      <c r="F2884" s="142" t="e">
        <f>IF('Informe Kelly'!H2878=$A$3,'Informe Kelly'!F2878,VLOOKUP(D2884,$D$2:$F$4,3,FALSE))-(VLOOKUP(D2884,$D$2:$F$4,3,FALSE))</f>
        <v>#N/A</v>
      </c>
      <c r="G2884" s="137" t="e">
        <f t="shared" si="48"/>
        <v>#N/A</v>
      </c>
    </row>
    <row r="2885" spans="1:7">
      <c r="A2885" s="112" t="e">
        <f>VLOOKUP('Informe Kelly'!A2879,Base!A:B,2,FALSE)</f>
        <v>#N/A</v>
      </c>
      <c r="B2885" s="112" t="e">
        <f>VLOOKUP('Informe Kelly'!A2879,Base!A:G,7,FALSE)</f>
        <v>#N/A</v>
      </c>
      <c r="C2885" s="112">
        <f>'Informe Kelly'!E2879</f>
        <v>0</v>
      </c>
      <c r="D2885" s="112" t="e">
        <f>VLOOKUP(A2885,Ingreso!K:P,6,FALSE)</f>
        <v>#N/A</v>
      </c>
      <c r="E2885" s="142" t="e">
        <f>(VLOOKUP(D2885,$D$2:$E$4,2,FALSE))-(IF('Informe Kelly'!H2879=$A$2,'Informe Kelly'!F2879,VLOOKUP(D2885,$D$2:$E$4,2,FALSE)))</f>
        <v>#N/A</v>
      </c>
      <c r="F2885" s="142" t="e">
        <f>IF('Informe Kelly'!H2879=$A$3,'Informe Kelly'!F2879,VLOOKUP(D2885,$D$2:$F$4,3,FALSE))-(VLOOKUP(D2885,$D$2:$F$4,3,FALSE))</f>
        <v>#N/A</v>
      </c>
      <c r="G2885" s="137" t="e">
        <f t="shared" si="48"/>
        <v>#N/A</v>
      </c>
    </row>
    <row r="2886" spans="1:7">
      <c r="A2886" s="112" t="e">
        <f>VLOOKUP('Informe Kelly'!A2880,Base!A:B,2,FALSE)</f>
        <v>#N/A</v>
      </c>
      <c r="B2886" s="112" t="e">
        <f>VLOOKUP('Informe Kelly'!A2880,Base!A:G,7,FALSE)</f>
        <v>#N/A</v>
      </c>
      <c r="C2886" s="112">
        <f>'Informe Kelly'!E2880</f>
        <v>0</v>
      </c>
      <c r="D2886" s="112" t="e">
        <f>VLOOKUP(A2886,Ingreso!K:P,6,FALSE)</f>
        <v>#N/A</v>
      </c>
      <c r="E2886" s="142" t="e">
        <f>(VLOOKUP(D2886,$D$2:$E$4,2,FALSE))-(IF('Informe Kelly'!H2880=$A$2,'Informe Kelly'!F2880,VLOOKUP(D2886,$D$2:$E$4,2,FALSE)))</f>
        <v>#N/A</v>
      </c>
      <c r="F2886" s="142" t="e">
        <f>IF('Informe Kelly'!H2880=$A$3,'Informe Kelly'!F2880,VLOOKUP(D2886,$D$2:$F$4,3,FALSE))-(VLOOKUP(D2886,$D$2:$F$4,3,FALSE))</f>
        <v>#N/A</v>
      </c>
      <c r="G2886" s="137" t="e">
        <f t="shared" si="48"/>
        <v>#N/A</v>
      </c>
    </row>
    <row r="2887" spans="1:7">
      <c r="A2887" s="112" t="e">
        <f>VLOOKUP('Informe Kelly'!A2881,Base!A:B,2,FALSE)</f>
        <v>#N/A</v>
      </c>
      <c r="B2887" s="112" t="e">
        <f>VLOOKUP('Informe Kelly'!A2881,Base!A:G,7,FALSE)</f>
        <v>#N/A</v>
      </c>
      <c r="C2887" s="112">
        <f>'Informe Kelly'!E2881</f>
        <v>0</v>
      </c>
      <c r="D2887" s="112" t="e">
        <f>VLOOKUP(A2887,Ingreso!K:P,6,FALSE)</f>
        <v>#N/A</v>
      </c>
      <c r="E2887" s="142" t="e">
        <f>(VLOOKUP(D2887,$D$2:$E$4,2,FALSE))-(IF('Informe Kelly'!H2881=$A$2,'Informe Kelly'!F2881,VLOOKUP(D2887,$D$2:$E$4,2,FALSE)))</f>
        <v>#N/A</v>
      </c>
      <c r="F2887" s="142" t="e">
        <f>IF('Informe Kelly'!H2881=$A$3,'Informe Kelly'!F2881,VLOOKUP(D2887,$D$2:$F$4,3,FALSE))-(VLOOKUP(D2887,$D$2:$F$4,3,FALSE))</f>
        <v>#N/A</v>
      </c>
      <c r="G2887" s="137" t="e">
        <f t="shared" si="48"/>
        <v>#N/A</v>
      </c>
    </row>
    <row r="2888" spans="1:7">
      <c r="A2888" s="112" t="e">
        <f>VLOOKUP('Informe Kelly'!A2882,Base!A:B,2,FALSE)</f>
        <v>#N/A</v>
      </c>
      <c r="B2888" s="112" t="e">
        <f>VLOOKUP('Informe Kelly'!A2882,Base!A:G,7,FALSE)</f>
        <v>#N/A</v>
      </c>
      <c r="C2888" s="112">
        <f>'Informe Kelly'!E2882</f>
        <v>0</v>
      </c>
      <c r="D2888" s="112" t="e">
        <f>VLOOKUP(A2888,Ingreso!K:P,6,FALSE)</f>
        <v>#N/A</v>
      </c>
      <c r="E2888" s="142" t="e">
        <f>(VLOOKUP(D2888,$D$2:$E$4,2,FALSE))-(IF('Informe Kelly'!H2882=$A$2,'Informe Kelly'!F2882,VLOOKUP(D2888,$D$2:$E$4,2,FALSE)))</f>
        <v>#N/A</v>
      </c>
      <c r="F2888" s="142" t="e">
        <f>IF('Informe Kelly'!H2882=$A$3,'Informe Kelly'!F2882,VLOOKUP(D2888,$D$2:$F$4,3,FALSE))-(VLOOKUP(D2888,$D$2:$F$4,3,FALSE))</f>
        <v>#N/A</v>
      </c>
      <c r="G2888" s="137" t="e">
        <f t="shared" si="48"/>
        <v>#N/A</v>
      </c>
    </row>
    <row r="2889" spans="1:7">
      <c r="A2889" s="112" t="e">
        <f>VLOOKUP('Informe Kelly'!A2883,Base!A:B,2,FALSE)</f>
        <v>#N/A</v>
      </c>
      <c r="B2889" s="112" t="e">
        <f>VLOOKUP('Informe Kelly'!A2883,Base!A:G,7,FALSE)</f>
        <v>#N/A</v>
      </c>
      <c r="C2889" s="112">
        <f>'Informe Kelly'!E2883</f>
        <v>0</v>
      </c>
      <c r="D2889" s="112" t="e">
        <f>VLOOKUP(A2889,Ingreso!K:P,6,FALSE)</f>
        <v>#N/A</v>
      </c>
      <c r="E2889" s="142" t="e">
        <f>(VLOOKUP(D2889,$D$2:$E$4,2,FALSE))-(IF('Informe Kelly'!H2883=$A$2,'Informe Kelly'!F2883,VLOOKUP(D2889,$D$2:$E$4,2,FALSE)))</f>
        <v>#N/A</v>
      </c>
      <c r="F2889" s="142" t="e">
        <f>IF('Informe Kelly'!H2883=$A$3,'Informe Kelly'!F2883,VLOOKUP(D2889,$D$2:$F$4,3,FALSE))-(VLOOKUP(D2889,$D$2:$F$4,3,FALSE))</f>
        <v>#N/A</v>
      </c>
      <c r="G2889" s="137" t="e">
        <f t="shared" ref="G2889:G2952" si="49">IF(E2889="",IF(F2889&lt;0.0409722222222222,0,E2889),IF(E2889&lt;0.0409722222222222,0,E2889))</f>
        <v>#N/A</v>
      </c>
    </row>
    <row r="2890" spans="1:7">
      <c r="A2890" s="112" t="e">
        <f>VLOOKUP('Informe Kelly'!A2884,Base!A:B,2,FALSE)</f>
        <v>#N/A</v>
      </c>
      <c r="B2890" s="112" t="e">
        <f>VLOOKUP('Informe Kelly'!A2884,Base!A:G,7,FALSE)</f>
        <v>#N/A</v>
      </c>
      <c r="C2890" s="112">
        <f>'Informe Kelly'!E2884</f>
        <v>0</v>
      </c>
      <c r="D2890" s="112" t="e">
        <f>VLOOKUP(A2890,Ingreso!K:P,6,FALSE)</f>
        <v>#N/A</v>
      </c>
      <c r="E2890" s="142" t="e">
        <f>(VLOOKUP(D2890,$D$2:$E$4,2,FALSE))-(IF('Informe Kelly'!H2884=$A$2,'Informe Kelly'!F2884,VLOOKUP(D2890,$D$2:$E$4,2,FALSE)))</f>
        <v>#N/A</v>
      </c>
      <c r="F2890" s="142" t="e">
        <f>IF('Informe Kelly'!H2884=$A$3,'Informe Kelly'!F2884,VLOOKUP(D2890,$D$2:$F$4,3,FALSE))-(VLOOKUP(D2890,$D$2:$F$4,3,FALSE))</f>
        <v>#N/A</v>
      </c>
      <c r="G2890" s="137" t="e">
        <f t="shared" si="49"/>
        <v>#N/A</v>
      </c>
    </row>
    <row r="2891" spans="1:7">
      <c r="A2891" s="112" t="e">
        <f>VLOOKUP('Informe Kelly'!A2885,Base!A:B,2,FALSE)</f>
        <v>#N/A</v>
      </c>
      <c r="B2891" s="112" t="e">
        <f>VLOOKUP('Informe Kelly'!A2885,Base!A:G,7,FALSE)</f>
        <v>#N/A</v>
      </c>
      <c r="C2891" s="112">
        <f>'Informe Kelly'!E2885</f>
        <v>0</v>
      </c>
      <c r="D2891" s="112" t="e">
        <f>VLOOKUP(A2891,Ingreso!K:P,6,FALSE)</f>
        <v>#N/A</v>
      </c>
      <c r="E2891" s="142" t="e">
        <f>(VLOOKUP(D2891,$D$2:$E$4,2,FALSE))-(IF('Informe Kelly'!H2885=$A$2,'Informe Kelly'!F2885,VLOOKUP(D2891,$D$2:$E$4,2,FALSE)))</f>
        <v>#N/A</v>
      </c>
      <c r="F2891" s="142" t="e">
        <f>IF('Informe Kelly'!H2885=$A$3,'Informe Kelly'!F2885,VLOOKUP(D2891,$D$2:$F$4,3,FALSE))-(VLOOKUP(D2891,$D$2:$F$4,3,FALSE))</f>
        <v>#N/A</v>
      </c>
      <c r="G2891" s="137" t="e">
        <f t="shared" si="49"/>
        <v>#N/A</v>
      </c>
    </row>
    <row r="2892" spans="1:7">
      <c r="A2892" s="112" t="e">
        <f>VLOOKUP('Informe Kelly'!A2886,Base!A:B,2,FALSE)</f>
        <v>#N/A</v>
      </c>
      <c r="B2892" s="112" t="e">
        <f>VLOOKUP('Informe Kelly'!A2886,Base!A:G,7,FALSE)</f>
        <v>#N/A</v>
      </c>
      <c r="C2892" s="112">
        <f>'Informe Kelly'!E2886</f>
        <v>0</v>
      </c>
      <c r="D2892" s="112" t="e">
        <f>VLOOKUP(A2892,Ingreso!K:P,6,FALSE)</f>
        <v>#N/A</v>
      </c>
      <c r="E2892" s="142" t="e">
        <f>(VLOOKUP(D2892,$D$2:$E$4,2,FALSE))-(IF('Informe Kelly'!H2886=$A$2,'Informe Kelly'!F2886,VLOOKUP(D2892,$D$2:$E$4,2,FALSE)))</f>
        <v>#N/A</v>
      </c>
      <c r="F2892" s="142" t="e">
        <f>IF('Informe Kelly'!H2886=$A$3,'Informe Kelly'!F2886,VLOOKUP(D2892,$D$2:$F$4,3,FALSE))-(VLOOKUP(D2892,$D$2:$F$4,3,FALSE))</f>
        <v>#N/A</v>
      </c>
      <c r="G2892" s="137" t="e">
        <f t="shared" si="49"/>
        <v>#N/A</v>
      </c>
    </row>
    <row r="2893" spans="1:7">
      <c r="A2893" s="112" t="e">
        <f>VLOOKUP('Informe Kelly'!A2887,Base!A:B,2,FALSE)</f>
        <v>#N/A</v>
      </c>
      <c r="B2893" s="112" t="e">
        <f>VLOOKUP('Informe Kelly'!A2887,Base!A:G,7,FALSE)</f>
        <v>#N/A</v>
      </c>
      <c r="C2893" s="112">
        <f>'Informe Kelly'!E2887</f>
        <v>0</v>
      </c>
      <c r="D2893" s="112" t="e">
        <f>VLOOKUP(A2893,Ingreso!K:P,6,FALSE)</f>
        <v>#N/A</v>
      </c>
      <c r="E2893" s="142" t="e">
        <f>(VLOOKUP(D2893,$D$2:$E$4,2,FALSE))-(IF('Informe Kelly'!H2887=$A$2,'Informe Kelly'!F2887,VLOOKUP(D2893,$D$2:$E$4,2,FALSE)))</f>
        <v>#N/A</v>
      </c>
      <c r="F2893" s="142" t="e">
        <f>IF('Informe Kelly'!H2887=$A$3,'Informe Kelly'!F2887,VLOOKUP(D2893,$D$2:$F$4,3,FALSE))-(VLOOKUP(D2893,$D$2:$F$4,3,FALSE))</f>
        <v>#N/A</v>
      </c>
      <c r="G2893" s="137" t="e">
        <f t="shared" si="49"/>
        <v>#N/A</v>
      </c>
    </row>
    <row r="2894" spans="1:7">
      <c r="A2894" s="112" t="e">
        <f>VLOOKUP('Informe Kelly'!A2888,Base!A:B,2,FALSE)</f>
        <v>#N/A</v>
      </c>
      <c r="B2894" s="112" t="e">
        <f>VLOOKUP('Informe Kelly'!A2888,Base!A:G,7,FALSE)</f>
        <v>#N/A</v>
      </c>
      <c r="C2894" s="112">
        <f>'Informe Kelly'!E2888</f>
        <v>0</v>
      </c>
      <c r="D2894" s="112" t="e">
        <f>VLOOKUP(A2894,Ingreso!K:P,6,FALSE)</f>
        <v>#N/A</v>
      </c>
      <c r="E2894" s="142" t="e">
        <f>(VLOOKUP(D2894,$D$2:$E$4,2,FALSE))-(IF('Informe Kelly'!H2888=$A$2,'Informe Kelly'!F2888,VLOOKUP(D2894,$D$2:$E$4,2,FALSE)))</f>
        <v>#N/A</v>
      </c>
      <c r="F2894" s="142" t="e">
        <f>IF('Informe Kelly'!H2888=$A$3,'Informe Kelly'!F2888,VLOOKUP(D2894,$D$2:$F$4,3,FALSE))-(VLOOKUP(D2894,$D$2:$F$4,3,FALSE))</f>
        <v>#N/A</v>
      </c>
      <c r="G2894" s="137" t="e">
        <f t="shared" si="49"/>
        <v>#N/A</v>
      </c>
    </row>
    <row r="2895" spans="1:7">
      <c r="A2895" s="112" t="e">
        <f>VLOOKUP('Informe Kelly'!A2889,Base!A:B,2,FALSE)</f>
        <v>#N/A</v>
      </c>
      <c r="B2895" s="112" t="e">
        <f>VLOOKUP('Informe Kelly'!A2889,Base!A:G,7,FALSE)</f>
        <v>#N/A</v>
      </c>
      <c r="C2895" s="112">
        <f>'Informe Kelly'!E2889</f>
        <v>0</v>
      </c>
      <c r="D2895" s="112" t="e">
        <f>VLOOKUP(A2895,Ingreso!K:P,6,FALSE)</f>
        <v>#N/A</v>
      </c>
      <c r="E2895" s="142" t="e">
        <f>(VLOOKUP(D2895,$D$2:$E$4,2,FALSE))-(IF('Informe Kelly'!H2889=$A$2,'Informe Kelly'!F2889,VLOOKUP(D2895,$D$2:$E$4,2,FALSE)))</f>
        <v>#N/A</v>
      </c>
      <c r="F2895" s="142" t="e">
        <f>IF('Informe Kelly'!H2889=$A$3,'Informe Kelly'!F2889,VLOOKUP(D2895,$D$2:$F$4,3,FALSE))-(VLOOKUP(D2895,$D$2:$F$4,3,FALSE))</f>
        <v>#N/A</v>
      </c>
      <c r="G2895" s="137" t="e">
        <f t="shared" si="49"/>
        <v>#N/A</v>
      </c>
    </row>
    <row r="2896" spans="1:7">
      <c r="A2896" s="112" t="e">
        <f>VLOOKUP('Informe Kelly'!A2890,Base!A:B,2,FALSE)</f>
        <v>#N/A</v>
      </c>
      <c r="B2896" s="112" t="e">
        <f>VLOOKUP('Informe Kelly'!A2890,Base!A:G,7,FALSE)</f>
        <v>#N/A</v>
      </c>
      <c r="C2896" s="112">
        <f>'Informe Kelly'!E2890</f>
        <v>0</v>
      </c>
      <c r="D2896" s="112" t="e">
        <f>VLOOKUP(A2896,Ingreso!K:P,6,FALSE)</f>
        <v>#N/A</v>
      </c>
      <c r="E2896" s="142" t="e">
        <f>(VLOOKUP(D2896,$D$2:$E$4,2,FALSE))-(IF('Informe Kelly'!H2890=$A$2,'Informe Kelly'!F2890,VLOOKUP(D2896,$D$2:$E$4,2,FALSE)))</f>
        <v>#N/A</v>
      </c>
      <c r="F2896" s="142" t="e">
        <f>IF('Informe Kelly'!H2890=$A$3,'Informe Kelly'!F2890,VLOOKUP(D2896,$D$2:$F$4,3,FALSE))-(VLOOKUP(D2896,$D$2:$F$4,3,FALSE))</f>
        <v>#N/A</v>
      </c>
      <c r="G2896" s="137" t="e">
        <f t="shared" si="49"/>
        <v>#N/A</v>
      </c>
    </row>
    <row r="2897" spans="1:7">
      <c r="A2897" s="112" t="e">
        <f>VLOOKUP('Informe Kelly'!A2891,Base!A:B,2,FALSE)</f>
        <v>#N/A</v>
      </c>
      <c r="B2897" s="112" t="e">
        <f>VLOOKUP('Informe Kelly'!A2891,Base!A:G,7,FALSE)</f>
        <v>#N/A</v>
      </c>
      <c r="C2897" s="112">
        <f>'Informe Kelly'!E2891</f>
        <v>0</v>
      </c>
      <c r="D2897" s="112" t="e">
        <f>VLOOKUP(A2897,Ingreso!K:P,6,FALSE)</f>
        <v>#N/A</v>
      </c>
      <c r="E2897" s="142" t="e">
        <f>(VLOOKUP(D2897,$D$2:$E$4,2,FALSE))-(IF('Informe Kelly'!H2891=$A$2,'Informe Kelly'!F2891,VLOOKUP(D2897,$D$2:$E$4,2,FALSE)))</f>
        <v>#N/A</v>
      </c>
      <c r="F2897" s="142" t="e">
        <f>IF('Informe Kelly'!H2891=$A$3,'Informe Kelly'!F2891,VLOOKUP(D2897,$D$2:$F$4,3,FALSE))-(VLOOKUP(D2897,$D$2:$F$4,3,FALSE))</f>
        <v>#N/A</v>
      </c>
      <c r="G2897" s="137" t="e">
        <f t="shared" si="49"/>
        <v>#N/A</v>
      </c>
    </row>
    <row r="2898" spans="1:7">
      <c r="A2898" s="112" t="e">
        <f>VLOOKUP('Informe Kelly'!A2892,Base!A:B,2,FALSE)</f>
        <v>#N/A</v>
      </c>
      <c r="B2898" s="112" t="e">
        <f>VLOOKUP('Informe Kelly'!A2892,Base!A:G,7,FALSE)</f>
        <v>#N/A</v>
      </c>
      <c r="C2898" s="112">
        <f>'Informe Kelly'!E2892</f>
        <v>0</v>
      </c>
      <c r="D2898" s="112" t="e">
        <f>VLOOKUP(A2898,Ingreso!K:P,6,FALSE)</f>
        <v>#N/A</v>
      </c>
      <c r="E2898" s="142" t="e">
        <f>(VLOOKUP(D2898,$D$2:$E$4,2,FALSE))-(IF('Informe Kelly'!H2892=$A$2,'Informe Kelly'!F2892,VLOOKUP(D2898,$D$2:$E$4,2,FALSE)))</f>
        <v>#N/A</v>
      </c>
      <c r="F2898" s="142" t="e">
        <f>IF('Informe Kelly'!H2892=$A$3,'Informe Kelly'!F2892,VLOOKUP(D2898,$D$2:$F$4,3,FALSE))-(VLOOKUP(D2898,$D$2:$F$4,3,FALSE))</f>
        <v>#N/A</v>
      </c>
      <c r="G2898" s="137" t="e">
        <f t="shared" si="49"/>
        <v>#N/A</v>
      </c>
    </row>
    <row r="2899" spans="1:7">
      <c r="A2899" s="112" t="e">
        <f>VLOOKUP('Informe Kelly'!A2893,Base!A:B,2,FALSE)</f>
        <v>#N/A</v>
      </c>
      <c r="B2899" s="112" t="e">
        <f>VLOOKUP('Informe Kelly'!A2893,Base!A:G,7,FALSE)</f>
        <v>#N/A</v>
      </c>
      <c r="C2899" s="112">
        <f>'Informe Kelly'!E2893</f>
        <v>0</v>
      </c>
      <c r="D2899" s="112" t="e">
        <f>VLOOKUP(A2899,Ingreso!K:P,6,FALSE)</f>
        <v>#N/A</v>
      </c>
      <c r="E2899" s="142" t="e">
        <f>(VLOOKUP(D2899,$D$2:$E$4,2,FALSE))-(IF('Informe Kelly'!H2893=$A$2,'Informe Kelly'!F2893,VLOOKUP(D2899,$D$2:$E$4,2,FALSE)))</f>
        <v>#N/A</v>
      </c>
      <c r="F2899" s="142" t="e">
        <f>IF('Informe Kelly'!H2893=$A$3,'Informe Kelly'!F2893,VLOOKUP(D2899,$D$2:$F$4,3,FALSE))-(VLOOKUP(D2899,$D$2:$F$4,3,FALSE))</f>
        <v>#N/A</v>
      </c>
      <c r="G2899" s="137" t="e">
        <f t="shared" si="49"/>
        <v>#N/A</v>
      </c>
    </row>
    <row r="2900" spans="1:7">
      <c r="A2900" s="112" t="e">
        <f>VLOOKUP('Informe Kelly'!A2894,Base!A:B,2,FALSE)</f>
        <v>#N/A</v>
      </c>
      <c r="B2900" s="112" t="e">
        <f>VLOOKUP('Informe Kelly'!A2894,Base!A:G,7,FALSE)</f>
        <v>#N/A</v>
      </c>
      <c r="C2900" s="112">
        <f>'Informe Kelly'!E2894</f>
        <v>0</v>
      </c>
      <c r="D2900" s="112" t="e">
        <f>VLOOKUP(A2900,Ingreso!K:P,6,FALSE)</f>
        <v>#N/A</v>
      </c>
      <c r="E2900" s="142" t="e">
        <f>(VLOOKUP(D2900,$D$2:$E$4,2,FALSE))-(IF('Informe Kelly'!H2894=$A$2,'Informe Kelly'!F2894,VLOOKUP(D2900,$D$2:$E$4,2,FALSE)))</f>
        <v>#N/A</v>
      </c>
      <c r="F2900" s="142" t="e">
        <f>IF('Informe Kelly'!H2894=$A$3,'Informe Kelly'!F2894,VLOOKUP(D2900,$D$2:$F$4,3,FALSE))-(VLOOKUP(D2900,$D$2:$F$4,3,FALSE))</f>
        <v>#N/A</v>
      </c>
      <c r="G2900" s="137" t="e">
        <f t="shared" si="49"/>
        <v>#N/A</v>
      </c>
    </row>
    <row r="2901" spans="1:7">
      <c r="A2901" s="112" t="e">
        <f>VLOOKUP('Informe Kelly'!A2895,Base!A:B,2,FALSE)</f>
        <v>#N/A</v>
      </c>
      <c r="B2901" s="112" t="e">
        <f>VLOOKUP('Informe Kelly'!A2895,Base!A:G,7,FALSE)</f>
        <v>#N/A</v>
      </c>
      <c r="C2901" s="112">
        <f>'Informe Kelly'!E2895</f>
        <v>0</v>
      </c>
      <c r="D2901" s="112" t="e">
        <f>VLOOKUP(A2901,Ingreso!K:P,6,FALSE)</f>
        <v>#N/A</v>
      </c>
      <c r="E2901" s="142" t="e">
        <f>(VLOOKUP(D2901,$D$2:$E$4,2,FALSE))-(IF('Informe Kelly'!H2895=$A$2,'Informe Kelly'!F2895,VLOOKUP(D2901,$D$2:$E$4,2,FALSE)))</f>
        <v>#N/A</v>
      </c>
      <c r="F2901" s="142" t="e">
        <f>IF('Informe Kelly'!H2895=$A$3,'Informe Kelly'!F2895,VLOOKUP(D2901,$D$2:$F$4,3,FALSE))-(VLOOKUP(D2901,$D$2:$F$4,3,FALSE))</f>
        <v>#N/A</v>
      </c>
      <c r="G2901" s="137" t="e">
        <f t="shared" si="49"/>
        <v>#N/A</v>
      </c>
    </row>
    <row r="2902" spans="1:7">
      <c r="A2902" s="112" t="e">
        <f>VLOOKUP('Informe Kelly'!A2896,Base!A:B,2,FALSE)</f>
        <v>#N/A</v>
      </c>
      <c r="B2902" s="112" t="e">
        <f>VLOOKUP('Informe Kelly'!A2896,Base!A:G,7,FALSE)</f>
        <v>#N/A</v>
      </c>
      <c r="C2902" s="112">
        <f>'Informe Kelly'!E2896</f>
        <v>0</v>
      </c>
      <c r="D2902" s="112" t="e">
        <f>VLOOKUP(A2902,Ingreso!K:P,6,FALSE)</f>
        <v>#N/A</v>
      </c>
      <c r="E2902" s="142" t="e">
        <f>(VLOOKUP(D2902,$D$2:$E$4,2,FALSE))-(IF('Informe Kelly'!H2896=$A$2,'Informe Kelly'!F2896,VLOOKUP(D2902,$D$2:$E$4,2,FALSE)))</f>
        <v>#N/A</v>
      </c>
      <c r="F2902" s="142" t="e">
        <f>IF('Informe Kelly'!H2896=$A$3,'Informe Kelly'!F2896,VLOOKUP(D2902,$D$2:$F$4,3,FALSE))-(VLOOKUP(D2902,$D$2:$F$4,3,FALSE))</f>
        <v>#N/A</v>
      </c>
      <c r="G2902" s="137" t="e">
        <f t="shared" si="49"/>
        <v>#N/A</v>
      </c>
    </row>
    <row r="2903" spans="1:7">
      <c r="A2903" s="112" t="e">
        <f>VLOOKUP('Informe Kelly'!A2897,Base!A:B,2,FALSE)</f>
        <v>#N/A</v>
      </c>
      <c r="B2903" s="112" t="e">
        <f>VLOOKUP('Informe Kelly'!A2897,Base!A:G,7,FALSE)</f>
        <v>#N/A</v>
      </c>
      <c r="C2903" s="112">
        <f>'Informe Kelly'!E2897</f>
        <v>0</v>
      </c>
      <c r="D2903" s="112" t="e">
        <f>VLOOKUP(A2903,Ingreso!K:P,6,FALSE)</f>
        <v>#N/A</v>
      </c>
      <c r="E2903" s="142" t="e">
        <f>(VLOOKUP(D2903,$D$2:$E$4,2,FALSE))-(IF('Informe Kelly'!H2897=$A$2,'Informe Kelly'!F2897,VLOOKUP(D2903,$D$2:$E$4,2,FALSE)))</f>
        <v>#N/A</v>
      </c>
      <c r="F2903" s="142" t="e">
        <f>IF('Informe Kelly'!H2897=$A$3,'Informe Kelly'!F2897,VLOOKUP(D2903,$D$2:$F$4,3,FALSE))-(VLOOKUP(D2903,$D$2:$F$4,3,FALSE))</f>
        <v>#N/A</v>
      </c>
      <c r="G2903" s="137" t="e">
        <f t="shared" si="49"/>
        <v>#N/A</v>
      </c>
    </row>
    <row r="2904" spans="1:7">
      <c r="A2904" s="112" t="e">
        <f>VLOOKUP('Informe Kelly'!A2898,Base!A:B,2,FALSE)</f>
        <v>#N/A</v>
      </c>
      <c r="B2904" s="112" t="e">
        <f>VLOOKUP('Informe Kelly'!A2898,Base!A:G,7,FALSE)</f>
        <v>#N/A</v>
      </c>
      <c r="C2904" s="112">
        <f>'Informe Kelly'!E2898</f>
        <v>0</v>
      </c>
      <c r="D2904" s="112" t="e">
        <f>VLOOKUP(A2904,Ingreso!K:P,6,FALSE)</f>
        <v>#N/A</v>
      </c>
      <c r="E2904" s="142" t="e">
        <f>(VLOOKUP(D2904,$D$2:$E$4,2,FALSE))-(IF('Informe Kelly'!H2898=$A$2,'Informe Kelly'!F2898,VLOOKUP(D2904,$D$2:$E$4,2,FALSE)))</f>
        <v>#N/A</v>
      </c>
      <c r="F2904" s="142" t="e">
        <f>IF('Informe Kelly'!H2898=$A$3,'Informe Kelly'!F2898,VLOOKUP(D2904,$D$2:$F$4,3,FALSE))-(VLOOKUP(D2904,$D$2:$F$4,3,FALSE))</f>
        <v>#N/A</v>
      </c>
      <c r="G2904" s="137" t="e">
        <f t="shared" si="49"/>
        <v>#N/A</v>
      </c>
    </row>
    <row r="2905" spans="1:7">
      <c r="A2905" s="112" t="e">
        <f>VLOOKUP('Informe Kelly'!A2899,Base!A:B,2,FALSE)</f>
        <v>#N/A</v>
      </c>
      <c r="B2905" s="112" t="e">
        <f>VLOOKUP('Informe Kelly'!A2899,Base!A:G,7,FALSE)</f>
        <v>#N/A</v>
      </c>
      <c r="C2905" s="112">
        <f>'Informe Kelly'!E2899</f>
        <v>0</v>
      </c>
      <c r="D2905" s="112" t="e">
        <f>VLOOKUP(A2905,Ingreso!K:P,6,FALSE)</f>
        <v>#N/A</v>
      </c>
      <c r="E2905" s="142" t="e">
        <f>(VLOOKUP(D2905,$D$2:$E$4,2,FALSE))-(IF('Informe Kelly'!H2899=$A$2,'Informe Kelly'!F2899,VLOOKUP(D2905,$D$2:$E$4,2,FALSE)))</f>
        <v>#N/A</v>
      </c>
      <c r="F2905" s="142" t="e">
        <f>IF('Informe Kelly'!H2899=$A$3,'Informe Kelly'!F2899,VLOOKUP(D2905,$D$2:$F$4,3,FALSE))-(VLOOKUP(D2905,$D$2:$F$4,3,FALSE))</f>
        <v>#N/A</v>
      </c>
      <c r="G2905" s="137" t="e">
        <f t="shared" si="49"/>
        <v>#N/A</v>
      </c>
    </row>
    <row r="2906" spans="1:7">
      <c r="A2906" s="112" t="e">
        <f>VLOOKUP('Informe Kelly'!A2900,Base!A:B,2,FALSE)</f>
        <v>#N/A</v>
      </c>
      <c r="B2906" s="112" t="e">
        <f>VLOOKUP('Informe Kelly'!A2900,Base!A:G,7,FALSE)</f>
        <v>#N/A</v>
      </c>
      <c r="C2906" s="112">
        <f>'Informe Kelly'!E2900</f>
        <v>0</v>
      </c>
      <c r="D2906" s="112" t="e">
        <f>VLOOKUP(A2906,Ingreso!K:P,6,FALSE)</f>
        <v>#N/A</v>
      </c>
      <c r="E2906" s="142" t="e">
        <f>(VLOOKUP(D2906,$D$2:$E$4,2,FALSE))-(IF('Informe Kelly'!H2900=$A$2,'Informe Kelly'!F2900,VLOOKUP(D2906,$D$2:$E$4,2,FALSE)))</f>
        <v>#N/A</v>
      </c>
      <c r="F2906" s="142" t="e">
        <f>IF('Informe Kelly'!H2900=$A$3,'Informe Kelly'!F2900,VLOOKUP(D2906,$D$2:$F$4,3,FALSE))-(VLOOKUP(D2906,$D$2:$F$4,3,FALSE))</f>
        <v>#N/A</v>
      </c>
      <c r="G2906" s="137" t="e">
        <f t="shared" si="49"/>
        <v>#N/A</v>
      </c>
    </row>
    <row r="2907" spans="1:7">
      <c r="A2907" s="112" t="e">
        <f>VLOOKUP('Informe Kelly'!A2901,Base!A:B,2,FALSE)</f>
        <v>#N/A</v>
      </c>
      <c r="B2907" s="112" t="e">
        <f>VLOOKUP('Informe Kelly'!A2901,Base!A:G,7,FALSE)</f>
        <v>#N/A</v>
      </c>
      <c r="C2907" s="112">
        <f>'Informe Kelly'!E2901</f>
        <v>0</v>
      </c>
      <c r="D2907" s="112" t="e">
        <f>VLOOKUP(A2907,Ingreso!K:P,6,FALSE)</f>
        <v>#N/A</v>
      </c>
      <c r="E2907" s="142" t="e">
        <f>(VLOOKUP(D2907,$D$2:$E$4,2,FALSE))-(IF('Informe Kelly'!H2901=$A$2,'Informe Kelly'!F2901,VLOOKUP(D2907,$D$2:$E$4,2,FALSE)))</f>
        <v>#N/A</v>
      </c>
      <c r="F2907" s="142" t="e">
        <f>IF('Informe Kelly'!H2901=$A$3,'Informe Kelly'!F2901,VLOOKUP(D2907,$D$2:$F$4,3,FALSE))-(VLOOKUP(D2907,$D$2:$F$4,3,FALSE))</f>
        <v>#N/A</v>
      </c>
      <c r="G2907" s="137" t="e">
        <f t="shared" si="49"/>
        <v>#N/A</v>
      </c>
    </row>
    <row r="2908" spans="1:7">
      <c r="A2908" s="112" t="e">
        <f>VLOOKUP('Informe Kelly'!A2902,Base!A:B,2,FALSE)</f>
        <v>#N/A</v>
      </c>
      <c r="B2908" s="112" t="e">
        <f>VLOOKUP('Informe Kelly'!A2902,Base!A:G,7,FALSE)</f>
        <v>#N/A</v>
      </c>
      <c r="C2908" s="112">
        <f>'Informe Kelly'!E2902</f>
        <v>0</v>
      </c>
      <c r="D2908" s="112" t="e">
        <f>VLOOKUP(A2908,Ingreso!K:P,6,FALSE)</f>
        <v>#N/A</v>
      </c>
      <c r="E2908" s="142" t="e">
        <f>(VLOOKUP(D2908,$D$2:$E$4,2,FALSE))-(IF('Informe Kelly'!H2902=$A$2,'Informe Kelly'!F2902,VLOOKUP(D2908,$D$2:$E$4,2,FALSE)))</f>
        <v>#N/A</v>
      </c>
      <c r="F2908" s="142" t="e">
        <f>IF('Informe Kelly'!H2902=$A$3,'Informe Kelly'!F2902,VLOOKUP(D2908,$D$2:$F$4,3,FALSE))-(VLOOKUP(D2908,$D$2:$F$4,3,FALSE))</f>
        <v>#N/A</v>
      </c>
      <c r="G2908" s="137" t="e">
        <f t="shared" si="49"/>
        <v>#N/A</v>
      </c>
    </row>
    <row r="2909" spans="1:7">
      <c r="A2909" s="112" t="e">
        <f>VLOOKUP('Informe Kelly'!A2903,Base!A:B,2,FALSE)</f>
        <v>#N/A</v>
      </c>
      <c r="B2909" s="112" t="e">
        <f>VLOOKUP('Informe Kelly'!A2903,Base!A:G,7,FALSE)</f>
        <v>#N/A</v>
      </c>
      <c r="C2909" s="112">
        <f>'Informe Kelly'!E2903</f>
        <v>0</v>
      </c>
      <c r="D2909" s="112" t="e">
        <f>VLOOKUP(A2909,Ingreso!K:P,6,FALSE)</f>
        <v>#N/A</v>
      </c>
      <c r="E2909" s="142" t="e">
        <f>(VLOOKUP(D2909,$D$2:$E$4,2,FALSE))-(IF('Informe Kelly'!H2903=$A$2,'Informe Kelly'!F2903,VLOOKUP(D2909,$D$2:$E$4,2,FALSE)))</f>
        <v>#N/A</v>
      </c>
      <c r="F2909" s="142" t="e">
        <f>IF('Informe Kelly'!H2903=$A$3,'Informe Kelly'!F2903,VLOOKUP(D2909,$D$2:$F$4,3,FALSE))-(VLOOKUP(D2909,$D$2:$F$4,3,FALSE))</f>
        <v>#N/A</v>
      </c>
      <c r="G2909" s="137" t="e">
        <f t="shared" si="49"/>
        <v>#N/A</v>
      </c>
    </row>
    <row r="2910" spans="1:7">
      <c r="A2910" s="112" t="e">
        <f>VLOOKUP('Informe Kelly'!A2904,Base!A:B,2,FALSE)</f>
        <v>#N/A</v>
      </c>
      <c r="B2910" s="112" t="e">
        <f>VLOOKUP('Informe Kelly'!A2904,Base!A:G,7,FALSE)</f>
        <v>#N/A</v>
      </c>
      <c r="C2910" s="112">
        <f>'Informe Kelly'!E2904</f>
        <v>0</v>
      </c>
      <c r="D2910" s="112" t="e">
        <f>VLOOKUP(A2910,Ingreso!K:P,6,FALSE)</f>
        <v>#N/A</v>
      </c>
      <c r="E2910" s="142" t="e">
        <f>(VLOOKUP(D2910,$D$2:$E$4,2,FALSE))-(IF('Informe Kelly'!H2904=$A$2,'Informe Kelly'!F2904,VLOOKUP(D2910,$D$2:$E$4,2,FALSE)))</f>
        <v>#N/A</v>
      </c>
      <c r="F2910" s="142" t="e">
        <f>IF('Informe Kelly'!H2904=$A$3,'Informe Kelly'!F2904,VLOOKUP(D2910,$D$2:$F$4,3,FALSE))-(VLOOKUP(D2910,$D$2:$F$4,3,FALSE))</f>
        <v>#N/A</v>
      </c>
      <c r="G2910" s="137" t="e">
        <f t="shared" si="49"/>
        <v>#N/A</v>
      </c>
    </row>
    <row r="2911" spans="1:7">
      <c r="A2911" s="112" t="e">
        <f>VLOOKUP('Informe Kelly'!A2905,Base!A:B,2,FALSE)</f>
        <v>#N/A</v>
      </c>
      <c r="B2911" s="112" t="e">
        <f>VLOOKUP('Informe Kelly'!A2905,Base!A:G,7,FALSE)</f>
        <v>#N/A</v>
      </c>
      <c r="C2911" s="112">
        <f>'Informe Kelly'!E2905</f>
        <v>0</v>
      </c>
      <c r="D2911" s="112" t="e">
        <f>VLOOKUP(A2911,Ingreso!K:P,6,FALSE)</f>
        <v>#N/A</v>
      </c>
      <c r="E2911" s="142" t="e">
        <f>(VLOOKUP(D2911,$D$2:$E$4,2,FALSE))-(IF('Informe Kelly'!H2905=$A$2,'Informe Kelly'!F2905,VLOOKUP(D2911,$D$2:$E$4,2,FALSE)))</f>
        <v>#N/A</v>
      </c>
      <c r="F2911" s="142" t="e">
        <f>IF('Informe Kelly'!H2905=$A$3,'Informe Kelly'!F2905,VLOOKUP(D2911,$D$2:$F$4,3,FALSE))-(VLOOKUP(D2911,$D$2:$F$4,3,FALSE))</f>
        <v>#N/A</v>
      </c>
      <c r="G2911" s="137" t="e">
        <f t="shared" si="49"/>
        <v>#N/A</v>
      </c>
    </row>
    <row r="2912" spans="1:7">
      <c r="A2912" s="112" t="e">
        <f>VLOOKUP('Informe Kelly'!A2906,Base!A:B,2,FALSE)</f>
        <v>#N/A</v>
      </c>
      <c r="B2912" s="112" t="e">
        <f>VLOOKUP('Informe Kelly'!A2906,Base!A:G,7,FALSE)</f>
        <v>#N/A</v>
      </c>
      <c r="C2912" s="112">
        <f>'Informe Kelly'!E2906</f>
        <v>0</v>
      </c>
      <c r="D2912" s="112" t="e">
        <f>VLOOKUP(A2912,Ingreso!K:P,6,FALSE)</f>
        <v>#N/A</v>
      </c>
      <c r="E2912" s="142" t="e">
        <f>(VLOOKUP(D2912,$D$2:$E$4,2,FALSE))-(IF('Informe Kelly'!H2906=$A$2,'Informe Kelly'!F2906,VLOOKUP(D2912,$D$2:$E$4,2,FALSE)))</f>
        <v>#N/A</v>
      </c>
      <c r="F2912" s="142" t="e">
        <f>IF('Informe Kelly'!H2906=$A$3,'Informe Kelly'!F2906,VLOOKUP(D2912,$D$2:$F$4,3,FALSE))-(VLOOKUP(D2912,$D$2:$F$4,3,FALSE))</f>
        <v>#N/A</v>
      </c>
      <c r="G2912" s="137" t="e">
        <f t="shared" si="49"/>
        <v>#N/A</v>
      </c>
    </row>
    <row r="2913" spans="1:7">
      <c r="A2913" s="112" t="e">
        <f>VLOOKUP('Informe Kelly'!A2907,Base!A:B,2,FALSE)</f>
        <v>#N/A</v>
      </c>
      <c r="B2913" s="112" t="e">
        <f>VLOOKUP('Informe Kelly'!A2907,Base!A:G,7,FALSE)</f>
        <v>#N/A</v>
      </c>
      <c r="C2913" s="112">
        <f>'Informe Kelly'!E2907</f>
        <v>0</v>
      </c>
      <c r="D2913" s="112" t="e">
        <f>VLOOKUP(A2913,Ingreso!K:P,6,FALSE)</f>
        <v>#N/A</v>
      </c>
      <c r="E2913" s="142" t="e">
        <f>(VLOOKUP(D2913,$D$2:$E$4,2,FALSE))-(IF('Informe Kelly'!H2907=$A$2,'Informe Kelly'!F2907,VLOOKUP(D2913,$D$2:$E$4,2,FALSE)))</f>
        <v>#N/A</v>
      </c>
      <c r="F2913" s="142" t="e">
        <f>IF('Informe Kelly'!H2907=$A$3,'Informe Kelly'!F2907,VLOOKUP(D2913,$D$2:$F$4,3,FALSE))-(VLOOKUP(D2913,$D$2:$F$4,3,FALSE))</f>
        <v>#N/A</v>
      </c>
      <c r="G2913" s="137" t="e">
        <f t="shared" si="49"/>
        <v>#N/A</v>
      </c>
    </row>
    <row r="2914" spans="1:7">
      <c r="A2914" s="112" t="e">
        <f>VLOOKUP('Informe Kelly'!A2908,Base!A:B,2,FALSE)</f>
        <v>#N/A</v>
      </c>
      <c r="B2914" s="112" t="e">
        <f>VLOOKUP('Informe Kelly'!A2908,Base!A:G,7,FALSE)</f>
        <v>#N/A</v>
      </c>
      <c r="C2914" s="112">
        <f>'Informe Kelly'!E2908</f>
        <v>0</v>
      </c>
      <c r="D2914" s="112" t="e">
        <f>VLOOKUP(A2914,Ingreso!K:P,6,FALSE)</f>
        <v>#N/A</v>
      </c>
      <c r="E2914" s="142" t="e">
        <f>(VLOOKUP(D2914,$D$2:$E$4,2,FALSE))-(IF('Informe Kelly'!H2908=$A$2,'Informe Kelly'!F2908,VLOOKUP(D2914,$D$2:$E$4,2,FALSE)))</f>
        <v>#N/A</v>
      </c>
      <c r="F2914" s="142" t="e">
        <f>IF('Informe Kelly'!H2908=$A$3,'Informe Kelly'!F2908,VLOOKUP(D2914,$D$2:$F$4,3,FALSE))-(VLOOKUP(D2914,$D$2:$F$4,3,FALSE))</f>
        <v>#N/A</v>
      </c>
      <c r="G2914" s="137" t="e">
        <f t="shared" si="49"/>
        <v>#N/A</v>
      </c>
    </row>
    <row r="2915" spans="1:7">
      <c r="A2915" s="112" t="e">
        <f>VLOOKUP('Informe Kelly'!A2909,Base!A:B,2,FALSE)</f>
        <v>#N/A</v>
      </c>
      <c r="B2915" s="112" t="e">
        <f>VLOOKUP('Informe Kelly'!A2909,Base!A:G,7,FALSE)</f>
        <v>#N/A</v>
      </c>
      <c r="C2915" s="112">
        <f>'Informe Kelly'!E2909</f>
        <v>0</v>
      </c>
      <c r="D2915" s="112" t="e">
        <f>VLOOKUP(A2915,Ingreso!K:P,6,FALSE)</f>
        <v>#N/A</v>
      </c>
      <c r="E2915" s="142" t="e">
        <f>(VLOOKUP(D2915,$D$2:$E$4,2,FALSE))-(IF('Informe Kelly'!H2909=$A$2,'Informe Kelly'!F2909,VLOOKUP(D2915,$D$2:$E$4,2,FALSE)))</f>
        <v>#N/A</v>
      </c>
      <c r="F2915" s="142" t="e">
        <f>IF('Informe Kelly'!H2909=$A$3,'Informe Kelly'!F2909,VLOOKUP(D2915,$D$2:$F$4,3,FALSE))-(VLOOKUP(D2915,$D$2:$F$4,3,FALSE))</f>
        <v>#N/A</v>
      </c>
      <c r="G2915" s="137" t="e">
        <f t="shared" si="49"/>
        <v>#N/A</v>
      </c>
    </row>
    <row r="2916" spans="1:7">
      <c r="A2916" s="112" t="e">
        <f>VLOOKUP('Informe Kelly'!A2910,Base!A:B,2,FALSE)</f>
        <v>#N/A</v>
      </c>
      <c r="B2916" s="112" t="e">
        <f>VLOOKUP('Informe Kelly'!A2910,Base!A:G,7,FALSE)</f>
        <v>#N/A</v>
      </c>
      <c r="C2916" s="112">
        <f>'Informe Kelly'!E2910</f>
        <v>0</v>
      </c>
      <c r="D2916" s="112" t="e">
        <f>VLOOKUP(A2916,Ingreso!K:P,6,FALSE)</f>
        <v>#N/A</v>
      </c>
      <c r="E2916" s="142" t="e">
        <f>(VLOOKUP(D2916,$D$2:$E$4,2,FALSE))-(IF('Informe Kelly'!H2910=$A$2,'Informe Kelly'!F2910,VLOOKUP(D2916,$D$2:$E$4,2,FALSE)))</f>
        <v>#N/A</v>
      </c>
      <c r="F2916" s="142" t="e">
        <f>IF('Informe Kelly'!H2910=$A$3,'Informe Kelly'!F2910,VLOOKUP(D2916,$D$2:$F$4,3,FALSE))-(VLOOKUP(D2916,$D$2:$F$4,3,FALSE))</f>
        <v>#N/A</v>
      </c>
      <c r="G2916" s="137" t="e">
        <f t="shared" si="49"/>
        <v>#N/A</v>
      </c>
    </row>
    <row r="2917" spans="1:7">
      <c r="A2917" s="112" t="e">
        <f>VLOOKUP('Informe Kelly'!A2911,Base!A:B,2,FALSE)</f>
        <v>#N/A</v>
      </c>
      <c r="B2917" s="112" t="e">
        <f>VLOOKUP('Informe Kelly'!A2911,Base!A:G,7,FALSE)</f>
        <v>#N/A</v>
      </c>
      <c r="C2917" s="112">
        <f>'Informe Kelly'!E2911</f>
        <v>0</v>
      </c>
      <c r="D2917" s="112" t="e">
        <f>VLOOKUP(A2917,Ingreso!K:P,6,FALSE)</f>
        <v>#N/A</v>
      </c>
      <c r="E2917" s="142" t="e">
        <f>(VLOOKUP(D2917,$D$2:$E$4,2,FALSE))-(IF('Informe Kelly'!H2911=$A$2,'Informe Kelly'!F2911,VLOOKUP(D2917,$D$2:$E$4,2,FALSE)))</f>
        <v>#N/A</v>
      </c>
      <c r="F2917" s="142" t="e">
        <f>IF('Informe Kelly'!H2911=$A$3,'Informe Kelly'!F2911,VLOOKUP(D2917,$D$2:$F$4,3,FALSE))-(VLOOKUP(D2917,$D$2:$F$4,3,FALSE))</f>
        <v>#N/A</v>
      </c>
      <c r="G2917" s="137" t="e">
        <f t="shared" si="49"/>
        <v>#N/A</v>
      </c>
    </row>
    <row r="2918" spans="1:7">
      <c r="A2918" s="112" t="e">
        <f>VLOOKUP('Informe Kelly'!A2912,Base!A:B,2,FALSE)</f>
        <v>#N/A</v>
      </c>
      <c r="B2918" s="112" t="e">
        <f>VLOOKUP('Informe Kelly'!A2912,Base!A:G,7,FALSE)</f>
        <v>#N/A</v>
      </c>
      <c r="C2918" s="112">
        <f>'Informe Kelly'!E2912</f>
        <v>0</v>
      </c>
      <c r="D2918" s="112" t="e">
        <f>VLOOKUP(A2918,Ingreso!K:P,6,FALSE)</f>
        <v>#N/A</v>
      </c>
      <c r="E2918" s="142" t="e">
        <f>(VLOOKUP(D2918,$D$2:$E$4,2,FALSE))-(IF('Informe Kelly'!H2912=$A$2,'Informe Kelly'!F2912,VLOOKUP(D2918,$D$2:$E$4,2,FALSE)))</f>
        <v>#N/A</v>
      </c>
      <c r="F2918" s="142" t="e">
        <f>IF('Informe Kelly'!H2912=$A$3,'Informe Kelly'!F2912,VLOOKUP(D2918,$D$2:$F$4,3,FALSE))-(VLOOKUP(D2918,$D$2:$F$4,3,FALSE))</f>
        <v>#N/A</v>
      </c>
      <c r="G2918" s="137" t="e">
        <f t="shared" si="49"/>
        <v>#N/A</v>
      </c>
    </row>
    <row r="2919" spans="1:7">
      <c r="A2919" s="112" t="e">
        <f>VLOOKUP('Informe Kelly'!A2913,Base!A:B,2,FALSE)</f>
        <v>#N/A</v>
      </c>
      <c r="B2919" s="112" t="e">
        <f>VLOOKUP('Informe Kelly'!A2913,Base!A:G,7,FALSE)</f>
        <v>#N/A</v>
      </c>
      <c r="C2919" s="112">
        <f>'Informe Kelly'!E2913</f>
        <v>0</v>
      </c>
      <c r="D2919" s="112" t="e">
        <f>VLOOKUP(A2919,Ingreso!K:P,6,FALSE)</f>
        <v>#N/A</v>
      </c>
      <c r="E2919" s="142" t="e">
        <f>(VLOOKUP(D2919,$D$2:$E$4,2,FALSE))-(IF('Informe Kelly'!H2913=$A$2,'Informe Kelly'!F2913,VLOOKUP(D2919,$D$2:$E$4,2,FALSE)))</f>
        <v>#N/A</v>
      </c>
      <c r="F2919" s="142" t="e">
        <f>IF('Informe Kelly'!H2913=$A$3,'Informe Kelly'!F2913,VLOOKUP(D2919,$D$2:$F$4,3,FALSE))-(VLOOKUP(D2919,$D$2:$F$4,3,FALSE))</f>
        <v>#N/A</v>
      </c>
      <c r="G2919" s="137" t="e">
        <f t="shared" si="49"/>
        <v>#N/A</v>
      </c>
    </row>
    <row r="2920" spans="1:7">
      <c r="A2920" s="112" t="e">
        <f>VLOOKUP('Informe Kelly'!A2914,Base!A:B,2,FALSE)</f>
        <v>#N/A</v>
      </c>
      <c r="B2920" s="112" t="e">
        <f>VLOOKUP('Informe Kelly'!A2914,Base!A:G,7,FALSE)</f>
        <v>#N/A</v>
      </c>
      <c r="C2920" s="112">
        <f>'Informe Kelly'!E2914</f>
        <v>0</v>
      </c>
      <c r="D2920" s="112" t="e">
        <f>VLOOKUP(A2920,Ingreso!K:P,6,FALSE)</f>
        <v>#N/A</v>
      </c>
      <c r="E2920" s="142" t="e">
        <f>(VLOOKUP(D2920,$D$2:$E$4,2,FALSE))-(IF('Informe Kelly'!H2914=$A$2,'Informe Kelly'!F2914,VLOOKUP(D2920,$D$2:$E$4,2,FALSE)))</f>
        <v>#N/A</v>
      </c>
      <c r="F2920" s="142" t="e">
        <f>IF('Informe Kelly'!H2914=$A$3,'Informe Kelly'!F2914,VLOOKUP(D2920,$D$2:$F$4,3,FALSE))-(VLOOKUP(D2920,$D$2:$F$4,3,FALSE))</f>
        <v>#N/A</v>
      </c>
      <c r="G2920" s="137" t="e">
        <f t="shared" si="49"/>
        <v>#N/A</v>
      </c>
    </row>
    <row r="2921" spans="1:7">
      <c r="A2921" s="112" t="e">
        <f>VLOOKUP('Informe Kelly'!A2915,Base!A:B,2,FALSE)</f>
        <v>#N/A</v>
      </c>
      <c r="B2921" s="112" t="e">
        <f>VLOOKUP('Informe Kelly'!A2915,Base!A:G,7,FALSE)</f>
        <v>#N/A</v>
      </c>
      <c r="C2921" s="112">
        <f>'Informe Kelly'!E2915</f>
        <v>0</v>
      </c>
      <c r="D2921" s="112" t="e">
        <f>VLOOKUP(A2921,Ingreso!K:P,6,FALSE)</f>
        <v>#N/A</v>
      </c>
      <c r="E2921" s="142" t="e">
        <f>(VLOOKUP(D2921,$D$2:$E$4,2,FALSE))-(IF('Informe Kelly'!H2915=$A$2,'Informe Kelly'!F2915,VLOOKUP(D2921,$D$2:$E$4,2,FALSE)))</f>
        <v>#N/A</v>
      </c>
      <c r="F2921" s="142" t="e">
        <f>IF('Informe Kelly'!H2915=$A$3,'Informe Kelly'!F2915,VLOOKUP(D2921,$D$2:$F$4,3,FALSE))-(VLOOKUP(D2921,$D$2:$F$4,3,FALSE))</f>
        <v>#N/A</v>
      </c>
      <c r="G2921" s="137" t="e">
        <f t="shared" si="49"/>
        <v>#N/A</v>
      </c>
    </row>
    <row r="2922" spans="1:7">
      <c r="A2922" s="112" t="e">
        <f>VLOOKUP('Informe Kelly'!A2916,Base!A:B,2,FALSE)</f>
        <v>#N/A</v>
      </c>
      <c r="B2922" s="112" t="e">
        <f>VLOOKUP('Informe Kelly'!A2916,Base!A:G,7,FALSE)</f>
        <v>#N/A</v>
      </c>
      <c r="C2922" s="112">
        <f>'Informe Kelly'!E2916</f>
        <v>0</v>
      </c>
      <c r="D2922" s="112" t="e">
        <f>VLOOKUP(A2922,Ingreso!K:P,6,FALSE)</f>
        <v>#N/A</v>
      </c>
      <c r="E2922" s="142" t="e">
        <f>(VLOOKUP(D2922,$D$2:$E$4,2,FALSE))-(IF('Informe Kelly'!H2916=$A$2,'Informe Kelly'!F2916,VLOOKUP(D2922,$D$2:$E$4,2,FALSE)))</f>
        <v>#N/A</v>
      </c>
      <c r="F2922" s="142" t="e">
        <f>IF('Informe Kelly'!H2916=$A$3,'Informe Kelly'!F2916,VLOOKUP(D2922,$D$2:$F$4,3,FALSE))-(VLOOKUP(D2922,$D$2:$F$4,3,FALSE))</f>
        <v>#N/A</v>
      </c>
      <c r="G2922" s="137" t="e">
        <f t="shared" si="49"/>
        <v>#N/A</v>
      </c>
    </row>
    <row r="2923" spans="1:7">
      <c r="A2923" s="112" t="e">
        <f>VLOOKUP('Informe Kelly'!A2917,Base!A:B,2,FALSE)</f>
        <v>#N/A</v>
      </c>
      <c r="B2923" s="112" t="e">
        <f>VLOOKUP('Informe Kelly'!A2917,Base!A:G,7,FALSE)</f>
        <v>#N/A</v>
      </c>
      <c r="C2923" s="112">
        <f>'Informe Kelly'!E2917</f>
        <v>0</v>
      </c>
      <c r="D2923" s="112" t="e">
        <f>VLOOKUP(A2923,Ingreso!K:P,6,FALSE)</f>
        <v>#N/A</v>
      </c>
      <c r="E2923" s="142" t="e">
        <f>(VLOOKUP(D2923,$D$2:$E$4,2,FALSE))-(IF('Informe Kelly'!H2917=$A$2,'Informe Kelly'!F2917,VLOOKUP(D2923,$D$2:$E$4,2,FALSE)))</f>
        <v>#N/A</v>
      </c>
      <c r="F2923" s="142" t="e">
        <f>IF('Informe Kelly'!H2917=$A$3,'Informe Kelly'!F2917,VLOOKUP(D2923,$D$2:$F$4,3,FALSE))-(VLOOKUP(D2923,$D$2:$F$4,3,FALSE))</f>
        <v>#N/A</v>
      </c>
      <c r="G2923" s="137" t="e">
        <f t="shared" si="49"/>
        <v>#N/A</v>
      </c>
    </row>
    <row r="2924" spans="1:7">
      <c r="A2924" s="112" t="e">
        <f>VLOOKUP('Informe Kelly'!A2918,Base!A:B,2,FALSE)</f>
        <v>#N/A</v>
      </c>
      <c r="B2924" s="112" t="e">
        <f>VLOOKUP('Informe Kelly'!A2918,Base!A:G,7,FALSE)</f>
        <v>#N/A</v>
      </c>
      <c r="C2924" s="112">
        <f>'Informe Kelly'!E2918</f>
        <v>0</v>
      </c>
      <c r="D2924" s="112" t="e">
        <f>VLOOKUP(A2924,Ingreso!K:P,6,FALSE)</f>
        <v>#N/A</v>
      </c>
      <c r="E2924" s="142" t="e">
        <f>(VLOOKUP(D2924,$D$2:$E$4,2,FALSE))-(IF('Informe Kelly'!H2918=$A$2,'Informe Kelly'!F2918,VLOOKUP(D2924,$D$2:$E$4,2,FALSE)))</f>
        <v>#N/A</v>
      </c>
      <c r="F2924" s="142" t="e">
        <f>IF('Informe Kelly'!H2918=$A$3,'Informe Kelly'!F2918,VLOOKUP(D2924,$D$2:$F$4,3,FALSE))-(VLOOKUP(D2924,$D$2:$F$4,3,FALSE))</f>
        <v>#N/A</v>
      </c>
      <c r="G2924" s="137" t="e">
        <f t="shared" si="49"/>
        <v>#N/A</v>
      </c>
    </row>
    <row r="2925" spans="1:7">
      <c r="A2925" s="112" t="e">
        <f>VLOOKUP('Informe Kelly'!A2919,Base!A:B,2,FALSE)</f>
        <v>#N/A</v>
      </c>
      <c r="B2925" s="112" t="e">
        <f>VLOOKUP('Informe Kelly'!A2919,Base!A:G,7,FALSE)</f>
        <v>#N/A</v>
      </c>
      <c r="C2925" s="112">
        <f>'Informe Kelly'!E2919</f>
        <v>0</v>
      </c>
      <c r="D2925" s="112" t="e">
        <f>VLOOKUP(A2925,Ingreso!K:P,6,FALSE)</f>
        <v>#N/A</v>
      </c>
      <c r="E2925" s="142" t="e">
        <f>(VLOOKUP(D2925,$D$2:$E$4,2,FALSE))-(IF('Informe Kelly'!H2919=$A$2,'Informe Kelly'!F2919,VLOOKUP(D2925,$D$2:$E$4,2,FALSE)))</f>
        <v>#N/A</v>
      </c>
      <c r="F2925" s="142" t="e">
        <f>IF('Informe Kelly'!H2919=$A$3,'Informe Kelly'!F2919,VLOOKUP(D2925,$D$2:$F$4,3,FALSE))-(VLOOKUP(D2925,$D$2:$F$4,3,FALSE))</f>
        <v>#N/A</v>
      </c>
      <c r="G2925" s="137" t="e">
        <f t="shared" si="49"/>
        <v>#N/A</v>
      </c>
    </row>
    <row r="2926" spans="1:7">
      <c r="A2926" s="112" t="e">
        <f>VLOOKUP('Informe Kelly'!A2920,Base!A:B,2,FALSE)</f>
        <v>#N/A</v>
      </c>
      <c r="B2926" s="112" t="e">
        <f>VLOOKUP('Informe Kelly'!A2920,Base!A:G,7,FALSE)</f>
        <v>#N/A</v>
      </c>
      <c r="C2926" s="112">
        <f>'Informe Kelly'!E2920</f>
        <v>0</v>
      </c>
      <c r="D2926" s="112" t="e">
        <f>VLOOKUP(A2926,Ingreso!K:P,6,FALSE)</f>
        <v>#N/A</v>
      </c>
      <c r="E2926" s="142" t="e">
        <f>(VLOOKUP(D2926,$D$2:$E$4,2,FALSE))-(IF('Informe Kelly'!H2920=$A$2,'Informe Kelly'!F2920,VLOOKUP(D2926,$D$2:$E$4,2,FALSE)))</f>
        <v>#N/A</v>
      </c>
      <c r="F2926" s="142" t="e">
        <f>IF('Informe Kelly'!H2920=$A$3,'Informe Kelly'!F2920,VLOOKUP(D2926,$D$2:$F$4,3,FALSE))-(VLOOKUP(D2926,$D$2:$F$4,3,FALSE))</f>
        <v>#N/A</v>
      </c>
      <c r="G2926" s="137" t="e">
        <f t="shared" si="49"/>
        <v>#N/A</v>
      </c>
    </row>
    <row r="2927" spans="1:7">
      <c r="A2927" s="112" t="e">
        <f>VLOOKUP('Informe Kelly'!A2921,Base!A:B,2,FALSE)</f>
        <v>#N/A</v>
      </c>
      <c r="B2927" s="112" t="e">
        <f>VLOOKUP('Informe Kelly'!A2921,Base!A:G,7,FALSE)</f>
        <v>#N/A</v>
      </c>
      <c r="C2927" s="112">
        <f>'Informe Kelly'!E2921</f>
        <v>0</v>
      </c>
      <c r="D2927" s="112" t="e">
        <f>VLOOKUP(A2927,Ingreso!K:P,6,FALSE)</f>
        <v>#N/A</v>
      </c>
      <c r="E2927" s="142" t="e">
        <f>(VLOOKUP(D2927,$D$2:$E$4,2,FALSE))-(IF('Informe Kelly'!H2921=$A$2,'Informe Kelly'!F2921,VLOOKUP(D2927,$D$2:$E$4,2,FALSE)))</f>
        <v>#N/A</v>
      </c>
      <c r="F2927" s="142" t="e">
        <f>IF('Informe Kelly'!H2921=$A$3,'Informe Kelly'!F2921,VLOOKUP(D2927,$D$2:$F$4,3,FALSE))-(VLOOKUP(D2927,$D$2:$F$4,3,FALSE))</f>
        <v>#N/A</v>
      </c>
      <c r="G2927" s="137" t="e">
        <f t="shared" si="49"/>
        <v>#N/A</v>
      </c>
    </row>
    <row r="2928" spans="1:7">
      <c r="A2928" s="112" t="e">
        <f>VLOOKUP('Informe Kelly'!A2922,Base!A:B,2,FALSE)</f>
        <v>#N/A</v>
      </c>
      <c r="B2928" s="112" t="e">
        <f>VLOOKUP('Informe Kelly'!A2922,Base!A:G,7,FALSE)</f>
        <v>#N/A</v>
      </c>
      <c r="C2928" s="112">
        <f>'Informe Kelly'!E2922</f>
        <v>0</v>
      </c>
      <c r="D2928" s="112" t="e">
        <f>VLOOKUP(A2928,Ingreso!K:P,6,FALSE)</f>
        <v>#N/A</v>
      </c>
      <c r="E2928" s="142" t="e">
        <f>(VLOOKUP(D2928,$D$2:$E$4,2,FALSE))-(IF('Informe Kelly'!H2922=$A$2,'Informe Kelly'!F2922,VLOOKUP(D2928,$D$2:$E$4,2,FALSE)))</f>
        <v>#N/A</v>
      </c>
      <c r="F2928" s="142" t="e">
        <f>IF('Informe Kelly'!H2922=$A$3,'Informe Kelly'!F2922,VLOOKUP(D2928,$D$2:$F$4,3,FALSE))-(VLOOKUP(D2928,$D$2:$F$4,3,FALSE))</f>
        <v>#N/A</v>
      </c>
      <c r="G2928" s="137" t="e">
        <f t="shared" si="49"/>
        <v>#N/A</v>
      </c>
    </row>
    <row r="2929" spans="1:7">
      <c r="A2929" s="112" t="e">
        <f>VLOOKUP('Informe Kelly'!A2923,Base!A:B,2,FALSE)</f>
        <v>#N/A</v>
      </c>
      <c r="B2929" s="112" t="e">
        <f>VLOOKUP('Informe Kelly'!A2923,Base!A:G,7,FALSE)</f>
        <v>#N/A</v>
      </c>
      <c r="C2929" s="112">
        <f>'Informe Kelly'!E2923</f>
        <v>0</v>
      </c>
      <c r="D2929" s="112" t="e">
        <f>VLOOKUP(A2929,Ingreso!K:P,6,FALSE)</f>
        <v>#N/A</v>
      </c>
      <c r="E2929" s="142" t="e">
        <f>(VLOOKUP(D2929,$D$2:$E$4,2,FALSE))-(IF('Informe Kelly'!H2923=$A$2,'Informe Kelly'!F2923,VLOOKUP(D2929,$D$2:$E$4,2,FALSE)))</f>
        <v>#N/A</v>
      </c>
      <c r="F2929" s="142" t="e">
        <f>IF('Informe Kelly'!H2923=$A$3,'Informe Kelly'!F2923,VLOOKUP(D2929,$D$2:$F$4,3,FALSE))-(VLOOKUP(D2929,$D$2:$F$4,3,FALSE))</f>
        <v>#N/A</v>
      </c>
      <c r="G2929" s="137" t="e">
        <f t="shared" si="49"/>
        <v>#N/A</v>
      </c>
    </row>
    <row r="2930" spans="1:7">
      <c r="A2930" s="112" t="e">
        <f>VLOOKUP('Informe Kelly'!A2924,Base!A:B,2,FALSE)</f>
        <v>#N/A</v>
      </c>
      <c r="B2930" s="112" t="e">
        <f>VLOOKUP('Informe Kelly'!A2924,Base!A:G,7,FALSE)</f>
        <v>#N/A</v>
      </c>
      <c r="C2930" s="112">
        <f>'Informe Kelly'!E2924</f>
        <v>0</v>
      </c>
      <c r="D2930" s="112" t="e">
        <f>VLOOKUP(A2930,Ingreso!K:P,6,FALSE)</f>
        <v>#N/A</v>
      </c>
      <c r="E2930" s="142" t="e">
        <f>(VLOOKUP(D2930,$D$2:$E$4,2,FALSE))-(IF('Informe Kelly'!H2924=$A$2,'Informe Kelly'!F2924,VLOOKUP(D2930,$D$2:$E$4,2,FALSE)))</f>
        <v>#N/A</v>
      </c>
      <c r="F2930" s="142" t="e">
        <f>IF('Informe Kelly'!H2924=$A$3,'Informe Kelly'!F2924,VLOOKUP(D2930,$D$2:$F$4,3,FALSE))-(VLOOKUP(D2930,$D$2:$F$4,3,FALSE))</f>
        <v>#N/A</v>
      </c>
      <c r="G2930" s="137" t="e">
        <f t="shared" si="49"/>
        <v>#N/A</v>
      </c>
    </row>
    <row r="2931" spans="1:7">
      <c r="A2931" s="112" t="e">
        <f>VLOOKUP('Informe Kelly'!A2925,Base!A:B,2,FALSE)</f>
        <v>#N/A</v>
      </c>
      <c r="B2931" s="112" t="e">
        <f>VLOOKUP('Informe Kelly'!A2925,Base!A:G,7,FALSE)</f>
        <v>#N/A</v>
      </c>
      <c r="C2931" s="112">
        <f>'Informe Kelly'!E2925</f>
        <v>0</v>
      </c>
      <c r="D2931" s="112" t="e">
        <f>VLOOKUP(A2931,Ingreso!K:P,6,FALSE)</f>
        <v>#N/A</v>
      </c>
      <c r="E2931" s="142" t="e">
        <f>(VLOOKUP(D2931,$D$2:$E$4,2,FALSE))-(IF('Informe Kelly'!H2925=$A$2,'Informe Kelly'!F2925,VLOOKUP(D2931,$D$2:$E$4,2,FALSE)))</f>
        <v>#N/A</v>
      </c>
      <c r="F2931" s="142" t="e">
        <f>IF('Informe Kelly'!H2925=$A$3,'Informe Kelly'!F2925,VLOOKUP(D2931,$D$2:$F$4,3,FALSE))-(VLOOKUP(D2931,$D$2:$F$4,3,FALSE))</f>
        <v>#N/A</v>
      </c>
      <c r="G2931" s="137" t="e">
        <f t="shared" si="49"/>
        <v>#N/A</v>
      </c>
    </row>
    <row r="2932" spans="1:7">
      <c r="A2932" s="112" t="e">
        <f>VLOOKUP('Informe Kelly'!A2926,Base!A:B,2,FALSE)</f>
        <v>#N/A</v>
      </c>
      <c r="B2932" s="112" t="e">
        <f>VLOOKUP('Informe Kelly'!A2926,Base!A:G,7,FALSE)</f>
        <v>#N/A</v>
      </c>
      <c r="C2932" s="112">
        <f>'Informe Kelly'!E2926</f>
        <v>0</v>
      </c>
      <c r="D2932" s="112" t="e">
        <f>VLOOKUP(A2932,Ingreso!K:P,6,FALSE)</f>
        <v>#N/A</v>
      </c>
      <c r="E2932" s="142" t="e">
        <f>(VLOOKUP(D2932,$D$2:$E$4,2,FALSE))-(IF('Informe Kelly'!H2926=$A$2,'Informe Kelly'!F2926,VLOOKUP(D2932,$D$2:$E$4,2,FALSE)))</f>
        <v>#N/A</v>
      </c>
      <c r="F2932" s="142" t="e">
        <f>IF('Informe Kelly'!H2926=$A$3,'Informe Kelly'!F2926,VLOOKUP(D2932,$D$2:$F$4,3,FALSE))-(VLOOKUP(D2932,$D$2:$F$4,3,FALSE))</f>
        <v>#N/A</v>
      </c>
      <c r="G2932" s="137" t="e">
        <f t="shared" si="49"/>
        <v>#N/A</v>
      </c>
    </row>
    <row r="2933" spans="1:7">
      <c r="A2933" s="112" t="e">
        <f>VLOOKUP('Informe Kelly'!A2927,Base!A:B,2,FALSE)</f>
        <v>#N/A</v>
      </c>
      <c r="B2933" s="112" t="e">
        <f>VLOOKUP('Informe Kelly'!A2927,Base!A:G,7,FALSE)</f>
        <v>#N/A</v>
      </c>
      <c r="C2933" s="112">
        <f>'Informe Kelly'!E2927</f>
        <v>0</v>
      </c>
      <c r="D2933" s="112" t="e">
        <f>VLOOKUP(A2933,Ingreso!K:P,6,FALSE)</f>
        <v>#N/A</v>
      </c>
      <c r="E2933" s="142" t="e">
        <f>(VLOOKUP(D2933,$D$2:$E$4,2,FALSE))-(IF('Informe Kelly'!H2927=$A$2,'Informe Kelly'!F2927,VLOOKUP(D2933,$D$2:$E$4,2,FALSE)))</f>
        <v>#N/A</v>
      </c>
      <c r="F2933" s="142" t="e">
        <f>IF('Informe Kelly'!H2927=$A$3,'Informe Kelly'!F2927,VLOOKUP(D2933,$D$2:$F$4,3,FALSE))-(VLOOKUP(D2933,$D$2:$F$4,3,FALSE))</f>
        <v>#N/A</v>
      </c>
      <c r="G2933" s="137" t="e">
        <f t="shared" si="49"/>
        <v>#N/A</v>
      </c>
    </row>
    <row r="2934" spans="1:7">
      <c r="A2934" s="112" t="e">
        <f>VLOOKUP('Informe Kelly'!A2928,Base!A:B,2,FALSE)</f>
        <v>#N/A</v>
      </c>
      <c r="B2934" s="112" t="e">
        <f>VLOOKUP('Informe Kelly'!A2928,Base!A:G,7,FALSE)</f>
        <v>#N/A</v>
      </c>
      <c r="C2934" s="112">
        <f>'Informe Kelly'!E2928</f>
        <v>0</v>
      </c>
      <c r="D2934" s="112" t="e">
        <f>VLOOKUP(A2934,Ingreso!K:P,6,FALSE)</f>
        <v>#N/A</v>
      </c>
      <c r="E2934" s="142" t="e">
        <f>(VLOOKUP(D2934,$D$2:$E$4,2,FALSE))-(IF('Informe Kelly'!H2928=$A$2,'Informe Kelly'!F2928,VLOOKUP(D2934,$D$2:$E$4,2,FALSE)))</f>
        <v>#N/A</v>
      </c>
      <c r="F2934" s="142" t="e">
        <f>IF('Informe Kelly'!H2928=$A$3,'Informe Kelly'!F2928,VLOOKUP(D2934,$D$2:$F$4,3,FALSE))-(VLOOKUP(D2934,$D$2:$F$4,3,FALSE))</f>
        <v>#N/A</v>
      </c>
      <c r="G2934" s="137" t="e">
        <f t="shared" si="49"/>
        <v>#N/A</v>
      </c>
    </row>
    <row r="2935" spans="1:7">
      <c r="A2935" s="112" t="e">
        <f>VLOOKUP('Informe Kelly'!A2929,Base!A:B,2,FALSE)</f>
        <v>#N/A</v>
      </c>
      <c r="B2935" s="112" t="e">
        <f>VLOOKUP('Informe Kelly'!A2929,Base!A:G,7,FALSE)</f>
        <v>#N/A</v>
      </c>
      <c r="C2935" s="112">
        <f>'Informe Kelly'!E2929</f>
        <v>0</v>
      </c>
      <c r="D2935" s="112" t="e">
        <f>VLOOKUP(A2935,Ingreso!K:P,6,FALSE)</f>
        <v>#N/A</v>
      </c>
      <c r="E2935" s="142" t="e">
        <f>(VLOOKUP(D2935,$D$2:$E$4,2,FALSE))-(IF('Informe Kelly'!H2929=$A$2,'Informe Kelly'!F2929,VLOOKUP(D2935,$D$2:$E$4,2,FALSE)))</f>
        <v>#N/A</v>
      </c>
      <c r="F2935" s="142" t="e">
        <f>IF('Informe Kelly'!H2929=$A$3,'Informe Kelly'!F2929,VLOOKUP(D2935,$D$2:$F$4,3,FALSE))-(VLOOKUP(D2935,$D$2:$F$4,3,FALSE))</f>
        <v>#N/A</v>
      </c>
      <c r="G2935" s="137" t="e">
        <f t="shared" si="49"/>
        <v>#N/A</v>
      </c>
    </row>
    <row r="2936" spans="1:7">
      <c r="A2936" s="112" t="e">
        <f>VLOOKUP('Informe Kelly'!A2930,Base!A:B,2,FALSE)</f>
        <v>#N/A</v>
      </c>
      <c r="B2936" s="112" t="e">
        <f>VLOOKUP('Informe Kelly'!A2930,Base!A:G,7,FALSE)</f>
        <v>#N/A</v>
      </c>
      <c r="C2936" s="112">
        <f>'Informe Kelly'!E2930</f>
        <v>0</v>
      </c>
      <c r="D2936" s="112" t="e">
        <f>VLOOKUP(A2936,Ingreso!K:P,6,FALSE)</f>
        <v>#N/A</v>
      </c>
      <c r="E2936" s="142" t="e">
        <f>(VLOOKUP(D2936,$D$2:$E$4,2,FALSE))-(IF('Informe Kelly'!H2930=$A$2,'Informe Kelly'!F2930,VLOOKUP(D2936,$D$2:$E$4,2,FALSE)))</f>
        <v>#N/A</v>
      </c>
      <c r="F2936" s="142" t="e">
        <f>IF('Informe Kelly'!H2930=$A$3,'Informe Kelly'!F2930,VLOOKUP(D2936,$D$2:$F$4,3,FALSE))-(VLOOKUP(D2936,$D$2:$F$4,3,FALSE))</f>
        <v>#N/A</v>
      </c>
      <c r="G2936" s="137" t="e">
        <f t="shared" si="49"/>
        <v>#N/A</v>
      </c>
    </row>
    <row r="2937" spans="1:7">
      <c r="A2937" s="112" t="e">
        <f>VLOOKUP('Informe Kelly'!A2931,Base!A:B,2,FALSE)</f>
        <v>#N/A</v>
      </c>
      <c r="B2937" s="112" t="e">
        <f>VLOOKUP('Informe Kelly'!A2931,Base!A:G,7,FALSE)</f>
        <v>#N/A</v>
      </c>
      <c r="C2937" s="112">
        <f>'Informe Kelly'!E2931</f>
        <v>0</v>
      </c>
      <c r="D2937" s="112" t="e">
        <f>VLOOKUP(A2937,Ingreso!K:P,6,FALSE)</f>
        <v>#N/A</v>
      </c>
      <c r="E2937" s="142" t="e">
        <f>(VLOOKUP(D2937,$D$2:$E$4,2,FALSE))-(IF('Informe Kelly'!H2931=$A$2,'Informe Kelly'!F2931,VLOOKUP(D2937,$D$2:$E$4,2,FALSE)))</f>
        <v>#N/A</v>
      </c>
      <c r="F2937" s="142" t="e">
        <f>IF('Informe Kelly'!H2931=$A$3,'Informe Kelly'!F2931,VLOOKUP(D2937,$D$2:$F$4,3,FALSE))-(VLOOKUP(D2937,$D$2:$F$4,3,FALSE))</f>
        <v>#N/A</v>
      </c>
      <c r="G2937" s="137" t="e">
        <f t="shared" si="49"/>
        <v>#N/A</v>
      </c>
    </row>
    <row r="2938" spans="1:7">
      <c r="A2938" s="112" t="e">
        <f>VLOOKUP('Informe Kelly'!A2932,Base!A:B,2,FALSE)</f>
        <v>#N/A</v>
      </c>
      <c r="B2938" s="112" t="e">
        <f>VLOOKUP('Informe Kelly'!A2932,Base!A:G,7,FALSE)</f>
        <v>#N/A</v>
      </c>
      <c r="C2938" s="112">
        <f>'Informe Kelly'!E2932</f>
        <v>0</v>
      </c>
      <c r="D2938" s="112" t="e">
        <f>VLOOKUP(A2938,Ingreso!K:P,6,FALSE)</f>
        <v>#N/A</v>
      </c>
      <c r="E2938" s="142" t="e">
        <f>(VLOOKUP(D2938,$D$2:$E$4,2,FALSE))-(IF('Informe Kelly'!H2932=$A$2,'Informe Kelly'!F2932,VLOOKUP(D2938,$D$2:$E$4,2,FALSE)))</f>
        <v>#N/A</v>
      </c>
      <c r="F2938" s="142" t="e">
        <f>IF('Informe Kelly'!H2932=$A$3,'Informe Kelly'!F2932,VLOOKUP(D2938,$D$2:$F$4,3,FALSE))-(VLOOKUP(D2938,$D$2:$F$4,3,FALSE))</f>
        <v>#N/A</v>
      </c>
      <c r="G2938" s="137" t="e">
        <f t="shared" si="49"/>
        <v>#N/A</v>
      </c>
    </row>
    <row r="2939" spans="1:7">
      <c r="A2939" s="112" t="e">
        <f>VLOOKUP('Informe Kelly'!A2933,Base!A:B,2,FALSE)</f>
        <v>#N/A</v>
      </c>
      <c r="B2939" s="112" t="e">
        <f>VLOOKUP('Informe Kelly'!A2933,Base!A:G,7,FALSE)</f>
        <v>#N/A</v>
      </c>
      <c r="C2939" s="112">
        <f>'Informe Kelly'!E2933</f>
        <v>0</v>
      </c>
      <c r="D2939" s="112" t="e">
        <f>VLOOKUP(A2939,Ingreso!K:P,6,FALSE)</f>
        <v>#N/A</v>
      </c>
      <c r="E2939" s="142" t="e">
        <f>(VLOOKUP(D2939,$D$2:$E$4,2,FALSE))-(IF('Informe Kelly'!H2933=$A$2,'Informe Kelly'!F2933,VLOOKUP(D2939,$D$2:$E$4,2,FALSE)))</f>
        <v>#N/A</v>
      </c>
      <c r="F2939" s="142" t="e">
        <f>IF('Informe Kelly'!H2933=$A$3,'Informe Kelly'!F2933,VLOOKUP(D2939,$D$2:$F$4,3,FALSE))-(VLOOKUP(D2939,$D$2:$F$4,3,FALSE))</f>
        <v>#N/A</v>
      </c>
      <c r="G2939" s="137" t="e">
        <f t="shared" si="49"/>
        <v>#N/A</v>
      </c>
    </row>
    <row r="2940" spans="1:7">
      <c r="A2940" s="112" t="e">
        <f>VLOOKUP('Informe Kelly'!A2934,Base!A:B,2,FALSE)</f>
        <v>#N/A</v>
      </c>
      <c r="B2940" s="112" t="e">
        <f>VLOOKUP('Informe Kelly'!A2934,Base!A:G,7,FALSE)</f>
        <v>#N/A</v>
      </c>
      <c r="C2940" s="112">
        <f>'Informe Kelly'!E2934</f>
        <v>0</v>
      </c>
      <c r="D2940" s="112" t="e">
        <f>VLOOKUP(A2940,Ingreso!K:P,6,FALSE)</f>
        <v>#N/A</v>
      </c>
      <c r="E2940" s="142" t="e">
        <f>(VLOOKUP(D2940,$D$2:$E$4,2,FALSE))-(IF('Informe Kelly'!H2934=$A$2,'Informe Kelly'!F2934,VLOOKUP(D2940,$D$2:$E$4,2,FALSE)))</f>
        <v>#N/A</v>
      </c>
      <c r="F2940" s="142" t="e">
        <f>IF('Informe Kelly'!H2934=$A$3,'Informe Kelly'!F2934,VLOOKUP(D2940,$D$2:$F$4,3,FALSE))-(VLOOKUP(D2940,$D$2:$F$4,3,FALSE))</f>
        <v>#N/A</v>
      </c>
      <c r="G2940" s="137" t="e">
        <f t="shared" si="49"/>
        <v>#N/A</v>
      </c>
    </row>
    <row r="2941" spans="1:7">
      <c r="A2941" s="112" t="e">
        <f>VLOOKUP('Informe Kelly'!A2935,Base!A:B,2,FALSE)</f>
        <v>#N/A</v>
      </c>
      <c r="B2941" s="112" t="e">
        <f>VLOOKUP('Informe Kelly'!A2935,Base!A:G,7,FALSE)</f>
        <v>#N/A</v>
      </c>
      <c r="C2941" s="112">
        <f>'Informe Kelly'!E2935</f>
        <v>0</v>
      </c>
      <c r="D2941" s="112" t="e">
        <f>VLOOKUP(A2941,Ingreso!K:P,6,FALSE)</f>
        <v>#N/A</v>
      </c>
      <c r="E2941" s="142" t="e">
        <f>(VLOOKUP(D2941,$D$2:$E$4,2,FALSE))-(IF('Informe Kelly'!H2935=$A$2,'Informe Kelly'!F2935,VLOOKUP(D2941,$D$2:$E$4,2,FALSE)))</f>
        <v>#N/A</v>
      </c>
      <c r="F2941" s="142" t="e">
        <f>IF('Informe Kelly'!H2935=$A$3,'Informe Kelly'!F2935,VLOOKUP(D2941,$D$2:$F$4,3,FALSE))-(VLOOKUP(D2941,$D$2:$F$4,3,FALSE))</f>
        <v>#N/A</v>
      </c>
      <c r="G2941" s="137" t="e">
        <f t="shared" si="49"/>
        <v>#N/A</v>
      </c>
    </row>
    <row r="2942" spans="1:7">
      <c r="A2942" s="112" t="e">
        <f>VLOOKUP('Informe Kelly'!A2936,Base!A:B,2,FALSE)</f>
        <v>#N/A</v>
      </c>
      <c r="B2942" s="112" t="e">
        <f>VLOOKUP('Informe Kelly'!A2936,Base!A:G,7,FALSE)</f>
        <v>#N/A</v>
      </c>
      <c r="C2942" s="112">
        <f>'Informe Kelly'!E2936</f>
        <v>0</v>
      </c>
      <c r="D2942" s="112" t="e">
        <f>VLOOKUP(A2942,Ingreso!K:P,6,FALSE)</f>
        <v>#N/A</v>
      </c>
      <c r="E2942" s="142" t="e">
        <f>(VLOOKUP(D2942,$D$2:$E$4,2,FALSE))-(IF('Informe Kelly'!H2936=$A$2,'Informe Kelly'!F2936,VLOOKUP(D2942,$D$2:$E$4,2,FALSE)))</f>
        <v>#N/A</v>
      </c>
      <c r="F2942" s="142" t="e">
        <f>IF('Informe Kelly'!H2936=$A$3,'Informe Kelly'!F2936,VLOOKUP(D2942,$D$2:$F$4,3,FALSE))-(VLOOKUP(D2942,$D$2:$F$4,3,FALSE))</f>
        <v>#N/A</v>
      </c>
      <c r="G2942" s="137" t="e">
        <f t="shared" si="49"/>
        <v>#N/A</v>
      </c>
    </row>
    <row r="2943" spans="1:7">
      <c r="A2943" s="112" t="e">
        <f>VLOOKUP('Informe Kelly'!A2937,Base!A:B,2,FALSE)</f>
        <v>#N/A</v>
      </c>
      <c r="B2943" s="112" t="e">
        <f>VLOOKUP('Informe Kelly'!A2937,Base!A:G,7,FALSE)</f>
        <v>#N/A</v>
      </c>
      <c r="C2943" s="112">
        <f>'Informe Kelly'!E2937</f>
        <v>0</v>
      </c>
      <c r="D2943" s="112" t="e">
        <f>VLOOKUP(A2943,Ingreso!K:P,6,FALSE)</f>
        <v>#N/A</v>
      </c>
      <c r="E2943" s="142" t="e">
        <f>(VLOOKUP(D2943,$D$2:$E$4,2,FALSE))-(IF('Informe Kelly'!H2937=$A$2,'Informe Kelly'!F2937,VLOOKUP(D2943,$D$2:$E$4,2,FALSE)))</f>
        <v>#N/A</v>
      </c>
      <c r="F2943" s="142" t="e">
        <f>IF('Informe Kelly'!H2937=$A$3,'Informe Kelly'!F2937,VLOOKUP(D2943,$D$2:$F$4,3,FALSE))-(VLOOKUP(D2943,$D$2:$F$4,3,FALSE))</f>
        <v>#N/A</v>
      </c>
      <c r="G2943" s="137" t="e">
        <f t="shared" si="49"/>
        <v>#N/A</v>
      </c>
    </row>
    <row r="2944" spans="1:7">
      <c r="A2944" s="112" t="e">
        <f>VLOOKUP('Informe Kelly'!A2938,Base!A:B,2,FALSE)</f>
        <v>#N/A</v>
      </c>
      <c r="B2944" s="112" t="e">
        <f>VLOOKUP('Informe Kelly'!A2938,Base!A:G,7,FALSE)</f>
        <v>#N/A</v>
      </c>
      <c r="C2944" s="112">
        <f>'Informe Kelly'!E2938</f>
        <v>0</v>
      </c>
      <c r="D2944" s="112" t="e">
        <f>VLOOKUP(A2944,Ingreso!K:P,6,FALSE)</f>
        <v>#N/A</v>
      </c>
      <c r="E2944" s="142" t="e">
        <f>(VLOOKUP(D2944,$D$2:$E$4,2,FALSE))-(IF('Informe Kelly'!H2938=$A$2,'Informe Kelly'!F2938,VLOOKUP(D2944,$D$2:$E$4,2,FALSE)))</f>
        <v>#N/A</v>
      </c>
      <c r="F2944" s="142" t="e">
        <f>IF('Informe Kelly'!H2938=$A$3,'Informe Kelly'!F2938,VLOOKUP(D2944,$D$2:$F$4,3,FALSE))-(VLOOKUP(D2944,$D$2:$F$4,3,FALSE))</f>
        <v>#N/A</v>
      </c>
      <c r="G2944" s="137" t="e">
        <f t="shared" si="49"/>
        <v>#N/A</v>
      </c>
    </row>
    <row r="2945" spans="1:7">
      <c r="A2945" s="112" t="e">
        <f>VLOOKUP('Informe Kelly'!A2939,Base!A:B,2,FALSE)</f>
        <v>#N/A</v>
      </c>
      <c r="B2945" s="112" t="e">
        <f>VLOOKUP('Informe Kelly'!A2939,Base!A:G,7,FALSE)</f>
        <v>#N/A</v>
      </c>
      <c r="C2945" s="112">
        <f>'Informe Kelly'!E2939</f>
        <v>0</v>
      </c>
      <c r="D2945" s="112" t="e">
        <f>VLOOKUP(A2945,Ingreso!K:P,6,FALSE)</f>
        <v>#N/A</v>
      </c>
      <c r="E2945" s="142" t="e">
        <f>(VLOOKUP(D2945,$D$2:$E$4,2,FALSE))-(IF('Informe Kelly'!H2939=$A$2,'Informe Kelly'!F2939,VLOOKUP(D2945,$D$2:$E$4,2,FALSE)))</f>
        <v>#N/A</v>
      </c>
      <c r="F2945" s="142" t="e">
        <f>IF('Informe Kelly'!H2939=$A$3,'Informe Kelly'!F2939,VLOOKUP(D2945,$D$2:$F$4,3,FALSE))-(VLOOKUP(D2945,$D$2:$F$4,3,FALSE))</f>
        <v>#N/A</v>
      </c>
      <c r="G2945" s="137" t="e">
        <f t="shared" si="49"/>
        <v>#N/A</v>
      </c>
    </row>
    <row r="2946" spans="1:7">
      <c r="A2946" s="112" t="e">
        <f>VLOOKUP('Informe Kelly'!A2940,Base!A:B,2,FALSE)</f>
        <v>#N/A</v>
      </c>
      <c r="B2946" s="112" t="e">
        <f>VLOOKUP('Informe Kelly'!A2940,Base!A:G,7,FALSE)</f>
        <v>#N/A</v>
      </c>
      <c r="C2946" s="112">
        <f>'Informe Kelly'!E2940</f>
        <v>0</v>
      </c>
      <c r="D2946" s="112" t="e">
        <f>VLOOKUP(A2946,Ingreso!K:P,6,FALSE)</f>
        <v>#N/A</v>
      </c>
      <c r="E2946" s="142" t="e">
        <f>(VLOOKUP(D2946,$D$2:$E$4,2,FALSE))-(IF('Informe Kelly'!H2940=$A$2,'Informe Kelly'!F2940,VLOOKUP(D2946,$D$2:$E$4,2,FALSE)))</f>
        <v>#N/A</v>
      </c>
      <c r="F2946" s="142" t="e">
        <f>IF('Informe Kelly'!H2940=$A$3,'Informe Kelly'!F2940,VLOOKUP(D2946,$D$2:$F$4,3,FALSE))-(VLOOKUP(D2946,$D$2:$F$4,3,FALSE))</f>
        <v>#N/A</v>
      </c>
      <c r="G2946" s="137" t="e">
        <f t="shared" si="49"/>
        <v>#N/A</v>
      </c>
    </row>
    <row r="2947" spans="1:7">
      <c r="A2947" s="112" t="e">
        <f>VLOOKUP('Informe Kelly'!A2941,Base!A:B,2,FALSE)</f>
        <v>#N/A</v>
      </c>
      <c r="B2947" s="112" t="e">
        <f>VLOOKUP('Informe Kelly'!A2941,Base!A:G,7,FALSE)</f>
        <v>#N/A</v>
      </c>
      <c r="C2947" s="112">
        <f>'Informe Kelly'!E2941</f>
        <v>0</v>
      </c>
      <c r="D2947" s="112" t="e">
        <f>VLOOKUP(A2947,Ingreso!K:P,6,FALSE)</f>
        <v>#N/A</v>
      </c>
      <c r="E2947" s="142" t="e">
        <f>(VLOOKUP(D2947,$D$2:$E$4,2,FALSE))-(IF('Informe Kelly'!H2941=$A$2,'Informe Kelly'!F2941,VLOOKUP(D2947,$D$2:$E$4,2,FALSE)))</f>
        <v>#N/A</v>
      </c>
      <c r="F2947" s="142" t="e">
        <f>IF('Informe Kelly'!H2941=$A$3,'Informe Kelly'!F2941,VLOOKUP(D2947,$D$2:$F$4,3,FALSE))-(VLOOKUP(D2947,$D$2:$F$4,3,FALSE))</f>
        <v>#N/A</v>
      </c>
      <c r="G2947" s="137" t="e">
        <f t="shared" si="49"/>
        <v>#N/A</v>
      </c>
    </row>
    <row r="2948" spans="1:7">
      <c r="A2948" s="112" t="e">
        <f>VLOOKUP('Informe Kelly'!A2942,Base!A:B,2,FALSE)</f>
        <v>#N/A</v>
      </c>
      <c r="B2948" s="112" t="e">
        <f>VLOOKUP('Informe Kelly'!A2942,Base!A:G,7,FALSE)</f>
        <v>#N/A</v>
      </c>
      <c r="C2948" s="112">
        <f>'Informe Kelly'!E2942</f>
        <v>0</v>
      </c>
      <c r="D2948" s="112" t="e">
        <f>VLOOKUP(A2948,Ingreso!K:P,6,FALSE)</f>
        <v>#N/A</v>
      </c>
      <c r="E2948" s="142" t="e">
        <f>(VLOOKUP(D2948,$D$2:$E$4,2,FALSE))-(IF('Informe Kelly'!H2942=$A$2,'Informe Kelly'!F2942,VLOOKUP(D2948,$D$2:$E$4,2,FALSE)))</f>
        <v>#N/A</v>
      </c>
      <c r="F2948" s="142" t="e">
        <f>IF('Informe Kelly'!H2942=$A$3,'Informe Kelly'!F2942,VLOOKUP(D2948,$D$2:$F$4,3,FALSE))-(VLOOKUP(D2948,$D$2:$F$4,3,FALSE))</f>
        <v>#N/A</v>
      </c>
      <c r="G2948" s="137" t="e">
        <f t="shared" si="49"/>
        <v>#N/A</v>
      </c>
    </row>
    <row r="2949" spans="1:7">
      <c r="A2949" s="112" t="e">
        <f>VLOOKUP('Informe Kelly'!A2943,Base!A:B,2,FALSE)</f>
        <v>#N/A</v>
      </c>
      <c r="B2949" s="112" t="e">
        <f>VLOOKUP('Informe Kelly'!A2943,Base!A:G,7,FALSE)</f>
        <v>#N/A</v>
      </c>
      <c r="C2949" s="112">
        <f>'Informe Kelly'!E2943</f>
        <v>0</v>
      </c>
      <c r="D2949" s="112" t="e">
        <f>VLOOKUP(A2949,Ingreso!K:P,6,FALSE)</f>
        <v>#N/A</v>
      </c>
      <c r="E2949" s="142" t="e">
        <f>(VLOOKUP(D2949,$D$2:$E$4,2,FALSE))-(IF('Informe Kelly'!H2943=$A$2,'Informe Kelly'!F2943,VLOOKUP(D2949,$D$2:$E$4,2,FALSE)))</f>
        <v>#N/A</v>
      </c>
      <c r="F2949" s="142" t="e">
        <f>IF('Informe Kelly'!H2943=$A$3,'Informe Kelly'!F2943,VLOOKUP(D2949,$D$2:$F$4,3,FALSE))-(VLOOKUP(D2949,$D$2:$F$4,3,FALSE))</f>
        <v>#N/A</v>
      </c>
      <c r="G2949" s="137" t="e">
        <f t="shared" si="49"/>
        <v>#N/A</v>
      </c>
    </row>
    <row r="2950" spans="1:7">
      <c r="A2950" s="112" t="e">
        <f>VLOOKUP('Informe Kelly'!A2944,Base!A:B,2,FALSE)</f>
        <v>#N/A</v>
      </c>
      <c r="B2950" s="112" t="e">
        <f>VLOOKUP('Informe Kelly'!A2944,Base!A:G,7,FALSE)</f>
        <v>#N/A</v>
      </c>
      <c r="C2950" s="112">
        <f>'Informe Kelly'!E2944</f>
        <v>0</v>
      </c>
      <c r="D2950" s="112" t="e">
        <f>VLOOKUP(A2950,Ingreso!K:P,6,FALSE)</f>
        <v>#N/A</v>
      </c>
      <c r="E2950" s="142" t="e">
        <f>(VLOOKUP(D2950,$D$2:$E$4,2,FALSE))-(IF('Informe Kelly'!H2944=$A$2,'Informe Kelly'!F2944,VLOOKUP(D2950,$D$2:$E$4,2,FALSE)))</f>
        <v>#N/A</v>
      </c>
      <c r="F2950" s="142" t="e">
        <f>IF('Informe Kelly'!H2944=$A$3,'Informe Kelly'!F2944,VLOOKUP(D2950,$D$2:$F$4,3,FALSE))-(VLOOKUP(D2950,$D$2:$F$4,3,FALSE))</f>
        <v>#N/A</v>
      </c>
      <c r="G2950" s="137" t="e">
        <f t="shared" si="49"/>
        <v>#N/A</v>
      </c>
    </row>
    <row r="2951" spans="1:7">
      <c r="A2951" s="112" t="e">
        <f>VLOOKUP('Informe Kelly'!A2945,Base!A:B,2,FALSE)</f>
        <v>#N/A</v>
      </c>
      <c r="B2951" s="112" t="e">
        <f>VLOOKUP('Informe Kelly'!A2945,Base!A:G,7,FALSE)</f>
        <v>#N/A</v>
      </c>
      <c r="C2951" s="112">
        <f>'Informe Kelly'!E2945</f>
        <v>0</v>
      </c>
      <c r="D2951" s="112" t="e">
        <f>VLOOKUP(A2951,Ingreso!K:P,6,FALSE)</f>
        <v>#N/A</v>
      </c>
      <c r="E2951" s="142" t="e">
        <f>(VLOOKUP(D2951,$D$2:$E$4,2,FALSE))-(IF('Informe Kelly'!H2945=$A$2,'Informe Kelly'!F2945,VLOOKUP(D2951,$D$2:$E$4,2,FALSE)))</f>
        <v>#N/A</v>
      </c>
      <c r="F2951" s="142" t="e">
        <f>IF('Informe Kelly'!H2945=$A$3,'Informe Kelly'!F2945,VLOOKUP(D2951,$D$2:$F$4,3,FALSE))-(VLOOKUP(D2951,$D$2:$F$4,3,FALSE))</f>
        <v>#N/A</v>
      </c>
      <c r="G2951" s="137" t="e">
        <f t="shared" si="49"/>
        <v>#N/A</v>
      </c>
    </row>
    <row r="2952" spans="1:7">
      <c r="A2952" s="112" t="e">
        <f>VLOOKUP('Informe Kelly'!A2946,Base!A:B,2,FALSE)</f>
        <v>#N/A</v>
      </c>
      <c r="B2952" s="112" t="e">
        <f>VLOOKUP('Informe Kelly'!A2946,Base!A:G,7,FALSE)</f>
        <v>#N/A</v>
      </c>
      <c r="C2952" s="112">
        <f>'Informe Kelly'!E2946</f>
        <v>0</v>
      </c>
      <c r="D2952" s="112" t="e">
        <f>VLOOKUP(A2952,Ingreso!K:P,6,FALSE)</f>
        <v>#N/A</v>
      </c>
      <c r="E2952" s="142" t="e">
        <f>(VLOOKUP(D2952,$D$2:$E$4,2,FALSE))-(IF('Informe Kelly'!H2946=$A$2,'Informe Kelly'!F2946,VLOOKUP(D2952,$D$2:$E$4,2,FALSE)))</f>
        <v>#N/A</v>
      </c>
      <c r="F2952" s="142" t="e">
        <f>IF('Informe Kelly'!H2946=$A$3,'Informe Kelly'!F2946,VLOOKUP(D2952,$D$2:$F$4,3,FALSE))-(VLOOKUP(D2952,$D$2:$F$4,3,FALSE))</f>
        <v>#N/A</v>
      </c>
      <c r="G2952" s="137" t="e">
        <f t="shared" si="49"/>
        <v>#N/A</v>
      </c>
    </row>
    <row r="2953" spans="1:7">
      <c r="A2953" s="112" t="e">
        <f>VLOOKUP('Informe Kelly'!A2947,Base!A:B,2,FALSE)</f>
        <v>#N/A</v>
      </c>
      <c r="B2953" s="112" t="e">
        <f>VLOOKUP('Informe Kelly'!A2947,Base!A:G,7,FALSE)</f>
        <v>#N/A</v>
      </c>
      <c r="C2953" s="112">
        <f>'Informe Kelly'!E2947</f>
        <v>0</v>
      </c>
      <c r="D2953" s="112" t="e">
        <f>VLOOKUP(A2953,Ingreso!K:P,6,FALSE)</f>
        <v>#N/A</v>
      </c>
      <c r="E2953" s="142" t="e">
        <f>(VLOOKUP(D2953,$D$2:$E$4,2,FALSE))-(IF('Informe Kelly'!H2947=$A$2,'Informe Kelly'!F2947,VLOOKUP(D2953,$D$2:$E$4,2,FALSE)))</f>
        <v>#N/A</v>
      </c>
      <c r="F2953" s="142" t="e">
        <f>IF('Informe Kelly'!H2947=$A$3,'Informe Kelly'!F2947,VLOOKUP(D2953,$D$2:$F$4,3,FALSE))-(VLOOKUP(D2953,$D$2:$F$4,3,FALSE))</f>
        <v>#N/A</v>
      </c>
      <c r="G2953" s="137" t="e">
        <f t="shared" ref="G2953:G3016" si="50">IF(E2953="",IF(F2953&lt;0.0409722222222222,0,E2953),IF(E2953&lt;0.0409722222222222,0,E2953))</f>
        <v>#N/A</v>
      </c>
    </row>
    <row r="2954" spans="1:7">
      <c r="A2954" s="112" t="e">
        <f>VLOOKUP('Informe Kelly'!A2948,Base!A:B,2,FALSE)</f>
        <v>#N/A</v>
      </c>
      <c r="B2954" s="112" t="e">
        <f>VLOOKUP('Informe Kelly'!A2948,Base!A:G,7,FALSE)</f>
        <v>#N/A</v>
      </c>
      <c r="C2954" s="112">
        <f>'Informe Kelly'!E2948</f>
        <v>0</v>
      </c>
      <c r="D2954" s="112" t="e">
        <f>VLOOKUP(A2954,Ingreso!K:P,6,FALSE)</f>
        <v>#N/A</v>
      </c>
      <c r="E2954" s="142" t="e">
        <f>(VLOOKUP(D2954,$D$2:$E$4,2,FALSE))-(IF('Informe Kelly'!H2948=$A$2,'Informe Kelly'!F2948,VLOOKUP(D2954,$D$2:$E$4,2,FALSE)))</f>
        <v>#N/A</v>
      </c>
      <c r="F2954" s="142" t="e">
        <f>IF('Informe Kelly'!H2948=$A$3,'Informe Kelly'!F2948,VLOOKUP(D2954,$D$2:$F$4,3,FALSE))-(VLOOKUP(D2954,$D$2:$F$4,3,FALSE))</f>
        <v>#N/A</v>
      </c>
      <c r="G2954" s="137" t="e">
        <f t="shared" si="50"/>
        <v>#N/A</v>
      </c>
    </row>
    <row r="2955" spans="1:7">
      <c r="A2955" s="112" t="e">
        <f>VLOOKUP('Informe Kelly'!A2949,Base!A:B,2,FALSE)</f>
        <v>#N/A</v>
      </c>
      <c r="B2955" s="112" t="e">
        <f>VLOOKUP('Informe Kelly'!A2949,Base!A:G,7,FALSE)</f>
        <v>#N/A</v>
      </c>
      <c r="C2955" s="112">
        <f>'Informe Kelly'!E2949</f>
        <v>0</v>
      </c>
      <c r="D2955" s="112" t="e">
        <f>VLOOKUP(A2955,Ingreso!K:P,6,FALSE)</f>
        <v>#N/A</v>
      </c>
      <c r="E2955" s="142" t="e">
        <f>(VLOOKUP(D2955,$D$2:$E$4,2,FALSE))-(IF('Informe Kelly'!H2949=$A$2,'Informe Kelly'!F2949,VLOOKUP(D2955,$D$2:$E$4,2,FALSE)))</f>
        <v>#N/A</v>
      </c>
      <c r="F2955" s="142" t="e">
        <f>IF('Informe Kelly'!H2949=$A$3,'Informe Kelly'!F2949,VLOOKUP(D2955,$D$2:$F$4,3,FALSE))-(VLOOKUP(D2955,$D$2:$F$4,3,FALSE))</f>
        <v>#N/A</v>
      </c>
      <c r="G2955" s="137" t="e">
        <f t="shared" si="50"/>
        <v>#N/A</v>
      </c>
    </row>
    <row r="2956" spans="1:7">
      <c r="A2956" s="112" t="e">
        <f>VLOOKUP('Informe Kelly'!A2950,Base!A:B,2,FALSE)</f>
        <v>#N/A</v>
      </c>
      <c r="B2956" s="112" t="e">
        <f>VLOOKUP('Informe Kelly'!A2950,Base!A:G,7,FALSE)</f>
        <v>#N/A</v>
      </c>
      <c r="C2956" s="112">
        <f>'Informe Kelly'!E2950</f>
        <v>0</v>
      </c>
      <c r="D2956" s="112" t="e">
        <f>VLOOKUP(A2956,Ingreso!K:P,6,FALSE)</f>
        <v>#N/A</v>
      </c>
      <c r="E2956" s="142" t="e">
        <f>(VLOOKUP(D2956,$D$2:$E$4,2,FALSE))-(IF('Informe Kelly'!H2950=$A$2,'Informe Kelly'!F2950,VLOOKUP(D2956,$D$2:$E$4,2,FALSE)))</f>
        <v>#N/A</v>
      </c>
      <c r="F2956" s="142" t="e">
        <f>IF('Informe Kelly'!H2950=$A$3,'Informe Kelly'!F2950,VLOOKUP(D2956,$D$2:$F$4,3,FALSE))-(VLOOKUP(D2956,$D$2:$F$4,3,FALSE))</f>
        <v>#N/A</v>
      </c>
      <c r="G2956" s="137" t="e">
        <f t="shared" si="50"/>
        <v>#N/A</v>
      </c>
    </row>
    <row r="2957" spans="1:7">
      <c r="A2957" s="112" t="e">
        <f>VLOOKUP('Informe Kelly'!A2951,Base!A:B,2,FALSE)</f>
        <v>#N/A</v>
      </c>
      <c r="B2957" s="112" t="e">
        <f>VLOOKUP('Informe Kelly'!A2951,Base!A:G,7,FALSE)</f>
        <v>#N/A</v>
      </c>
      <c r="C2957" s="112">
        <f>'Informe Kelly'!E2951</f>
        <v>0</v>
      </c>
      <c r="D2957" s="112" t="e">
        <f>VLOOKUP(A2957,Ingreso!K:P,6,FALSE)</f>
        <v>#N/A</v>
      </c>
      <c r="E2957" s="142" t="e">
        <f>(VLOOKUP(D2957,$D$2:$E$4,2,FALSE))-(IF('Informe Kelly'!H2951=$A$2,'Informe Kelly'!F2951,VLOOKUP(D2957,$D$2:$E$4,2,FALSE)))</f>
        <v>#N/A</v>
      </c>
      <c r="F2957" s="142" t="e">
        <f>IF('Informe Kelly'!H2951=$A$3,'Informe Kelly'!F2951,VLOOKUP(D2957,$D$2:$F$4,3,FALSE))-(VLOOKUP(D2957,$D$2:$F$4,3,FALSE))</f>
        <v>#N/A</v>
      </c>
      <c r="G2957" s="137" t="e">
        <f t="shared" si="50"/>
        <v>#N/A</v>
      </c>
    </row>
    <row r="2958" spans="1:7">
      <c r="A2958" s="112" t="e">
        <f>VLOOKUP('Informe Kelly'!A2952,Base!A:B,2,FALSE)</f>
        <v>#N/A</v>
      </c>
      <c r="B2958" s="112" t="e">
        <f>VLOOKUP('Informe Kelly'!A2952,Base!A:G,7,FALSE)</f>
        <v>#N/A</v>
      </c>
      <c r="C2958" s="112">
        <f>'Informe Kelly'!E2952</f>
        <v>0</v>
      </c>
      <c r="D2958" s="112" t="e">
        <f>VLOOKUP(A2958,Ingreso!K:P,6,FALSE)</f>
        <v>#N/A</v>
      </c>
      <c r="E2958" s="142" t="e">
        <f>(VLOOKUP(D2958,$D$2:$E$4,2,FALSE))-(IF('Informe Kelly'!H2952=$A$2,'Informe Kelly'!F2952,VLOOKUP(D2958,$D$2:$E$4,2,FALSE)))</f>
        <v>#N/A</v>
      </c>
      <c r="F2958" s="142" t="e">
        <f>IF('Informe Kelly'!H2952=$A$3,'Informe Kelly'!F2952,VLOOKUP(D2958,$D$2:$F$4,3,FALSE))-(VLOOKUP(D2958,$D$2:$F$4,3,FALSE))</f>
        <v>#N/A</v>
      </c>
      <c r="G2958" s="137" t="e">
        <f t="shared" si="50"/>
        <v>#N/A</v>
      </c>
    </row>
    <row r="2959" spans="1:7">
      <c r="A2959" s="112" t="e">
        <f>VLOOKUP('Informe Kelly'!A2953,Base!A:B,2,FALSE)</f>
        <v>#N/A</v>
      </c>
      <c r="B2959" s="112" t="e">
        <f>VLOOKUP('Informe Kelly'!A2953,Base!A:G,7,FALSE)</f>
        <v>#N/A</v>
      </c>
      <c r="C2959" s="112">
        <f>'Informe Kelly'!E2953</f>
        <v>0</v>
      </c>
      <c r="D2959" s="112" t="e">
        <f>VLOOKUP(A2959,Ingreso!K:P,6,FALSE)</f>
        <v>#N/A</v>
      </c>
      <c r="E2959" s="142" t="e">
        <f>(VLOOKUP(D2959,$D$2:$E$4,2,FALSE))-(IF('Informe Kelly'!H2953=$A$2,'Informe Kelly'!F2953,VLOOKUP(D2959,$D$2:$E$4,2,FALSE)))</f>
        <v>#N/A</v>
      </c>
      <c r="F2959" s="142" t="e">
        <f>IF('Informe Kelly'!H2953=$A$3,'Informe Kelly'!F2953,VLOOKUP(D2959,$D$2:$F$4,3,FALSE))-(VLOOKUP(D2959,$D$2:$F$4,3,FALSE))</f>
        <v>#N/A</v>
      </c>
      <c r="G2959" s="137" t="e">
        <f t="shared" si="50"/>
        <v>#N/A</v>
      </c>
    </row>
    <row r="2960" spans="1:7">
      <c r="A2960" s="112" t="e">
        <f>VLOOKUP('Informe Kelly'!A2954,Base!A:B,2,FALSE)</f>
        <v>#N/A</v>
      </c>
      <c r="B2960" s="112" t="e">
        <f>VLOOKUP('Informe Kelly'!A2954,Base!A:G,7,FALSE)</f>
        <v>#N/A</v>
      </c>
      <c r="C2960" s="112">
        <f>'Informe Kelly'!E2954</f>
        <v>0</v>
      </c>
      <c r="D2960" s="112" t="e">
        <f>VLOOKUP(A2960,Ingreso!K:P,6,FALSE)</f>
        <v>#N/A</v>
      </c>
      <c r="E2960" s="142" t="e">
        <f>(VLOOKUP(D2960,$D$2:$E$4,2,FALSE))-(IF('Informe Kelly'!H2954=$A$2,'Informe Kelly'!F2954,VLOOKUP(D2960,$D$2:$E$4,2,FALSE)))</f>
        <v>#N/A</v>
      </c>
      <c r="F2960" s="142" t="e">
        <f>IF('Informe Kelly'!H2954=$A$3,'Informe Kelly'!F2954,VLOOKUP(D2960,$D$2:$F$4,3,FALSE))-(VLOOKUP(D2960,$D$2:$F$4,3,FALSE))</f>
        <v>#N/A</v>
      </c>
      <c r="G2960" s="137" t="e">
        <f t="shared" si="50"/>
        <v>#N/A</v>
      </c>
    </row>
    <row r="2961" spans="1:7">
      <c r="A2961" s="112" t="e">
        <f>VLOOKUP('Informe Kelly'!A2955,Base!A:B,2,FALSE)</f>
        <v>#N/A</v>
      </c>
      <c r="B2961" s="112" t="e">
        <f>VLOOKUP('Informe Kelly'!A2955,Base!A:G,7,FALSE)</f>
        <v>#N/A</v>
      </c>
      <c r="C2961" s="112">
        <f>'Informe Kelly'!E2955</f>
        <v>0</v>
      </c>
      <c r="D2961" s="112" t="e">
        <f>VLOOKUP(A2961,Ingreso!K:P,6,FALSE)</f>
        <v>#N/A</v>
      </c>
      <c r="E2961" s="142" t="e">
        <f>(VLOOKUP(D2961,$D$2:$E$4,2,FALSE))-(IF('Informe Kelly'!H2955=$A$2,'Informe Kelly'!F2955,VLOOKUP(D2961,$D$2:$E$4,2,FALSE)))</f>
        <v>#N/A</v>
      </c>
      <c r="F2961" s="142" t="e">
        <f>IF('Informe Kelly'!H2955=$A$3,'Informe Kelly'!F2955,VLOOKUP(D2961,$D$2:$F$4,3,FALSE))-(VLOOKUP(D2961,$D$2:$F$4,3,FALSE))</f>
        <v>#N/A</v>
      </c>
      <c r="G2961" s="137" t="e">
        <f t="shared" si="50"/>
        <v>#N/A</v>
      </c>
    </row>
    <row r="2962" spans="1:7">
      <c r="A2962" s="112" t="e">
        <f>VLOOKUP('Informe Kelly'!A2956,Base!A:B,2,FALSE)</f>
        <v>#N/A</v>
      </c>
      <c r="B2962" s="112" t="e">
        <f>VLOOKUP('Informe Kelly'!A2956,Base!A:G,7,FALSE)</f>
        <v>#N/A</v>
      </c>
      <c r="C2962" s="112">
        <f>'Informe Kelly'!E2956</f>
        <v>0</v>
      </c>
      <c r="D2962" s="112" t="e">
        <f>VLOOKUP(A2962,Ingreso!K:P,6,FALSE)</f>
        <v>#N/A</v>
      </c>
      <c r="E2962" s="142" t="e">
        <f>(VLOOKUP(D2962,$D$2:$E$4,2,FALSE))-(IF('Informe Kelly'!H2956=$A$2,'Informe Kelly'!F2956,VLOOKUP(D2962,$D$2:$E$4,2,FALSE)))</f>
        <v>#N/A</v>
      </c>
      <c r="F2962" s="142" t="e">
        <f>IF('Informe Kelly'!H2956=$A$3,'Informe Kelly'!F2956,VLOOKUP(D2962,$D$2:$F$4,3,FALSE))-(VLOOKUP(D2962,$D$2:$F$4,3,FALSE))</f>
        <v>#N/A</v>
      </c>
      <c r="G2962" s="137" t="e">
        <f t="shared" si="50"/>
        <v>#N/A</v>
      </c>
    </row>
    <row r="2963" spans="1:7">
      <c r="A2963" s="112" t="e">
        <f>VLOOKUP('Informe Kelly'!A2957,Base!A:B,2,FALSE)</f>
        <v>#N/A</v>
      </c>
      <c r="B2963" s="112" t="e">
        <f>VLOOKUP('Informe Kelly'!A2957,Base!A:G,7,FALSE)</f>
        <v>#N/A</v>
      </c>
      <c r="C2963" s="112">
        <f>'Informe Kelly'!E2957</f>
        <v>0</v>
      </c>
      <c r="D2963" s="112" t="e">
        <f>VLOOKUP(A2963,Ingreso!K:P,6,FALSE)</f>
        <v>#N/A</v>
      </c>
      <c r="E2963" s="142" t="e">
        <f>(VLOOKUP(D2963,$D$2:$E$4,2,FALSE))-(IF('Informe Kelly'!H2957=$A$2,'Informe Kelly'!F2957,VLOOKUP(D2963,$D$2:$E$4,2,FALSE)))</f>
        <v>#N/A</v>
      </c>
      <c r="F2963" s="142" t="e">
        <f>IF('Informe Kelly'!H2957=$A$3,'Informe Kelly'!F2957,VLOOKUP(D2963,$D$2:$F$4,3,FALSE))-(VLOOKUP(D2963,$D$2:$F$4,3,FALSE))</f>
        <v>#N/A</v>
      </c>
      <c r="G2963" s="137" t="e">
        <f t="shared" si="50"/>
        <v>#N/A</v>
      </c>
    </row>
    <row r="2964" spans="1:7">
      <c r="A2964" s="112" t="e">
        <f>VLOOKUP('Informe Kelly'!A2958,Base!A:B,2,FALSE)</f>
        <v>#N/A</v>
      </c>
      <c r="B2964" s="112" t="e">
        <f>VLOOKUP('Informe Kelly'!A2958,Base!A:G,7,FALSE)</f>
        <v>#N/A</v>
      </c>
      <c r="C2964" s="112">
        <f>'Informe Kelly'!E2958</f>
        <v>0</v>
      </c>
      <c r="D2964" s="112" t="e">
        <f>VLOOKUP(A2964,Ingreso!K:P,6,FALSE)</f>
        <v>#N/A</v>
      </c>
      <c r="E2964" s="142" t="e">
        <f>(VLOOKUP(D2964,$D$2:$E$4,2,FALSE))-(IF('Informe Kelly'!H2958=$A$2,'Informe Kelly'!F2958,VLOOKUP(D2964,$D$2:$E$4,2,FALSE)))</f>
        <v>#N/A</v>
      </c>
      <c r="F2964" s="142" t="e">
        <f>IF('Informe Kelly'!H2958=$A$3,'Informe Kelly'!F2958,VLOOKUP(D2964,$D$2:$F$4,3,FALSE))-(VLOOKUP(D2964,$D$2:$F$4,3,FALSE))</f>
        <v>#N/A</v>
      </c>
      <c r="G2964" s="137" t="e">
        <f t="shared" si="50"/>
        <v>#N/A</v>
      </c>
    </row>
    <row r="2965" spans="1:7">
      <c r="A2965" s="112" t="e">
        <f>VLOOKUP('Informe Kelly'!A2959,Base!A:B,2,FALSE)</f>
        <v>#N/A</v>
      </c>
      <c r="B2965" s="112" t="e">
        <f>VLOOKUP('Informe Kelly'!A2959,Base!A:G,7,FALSE)</f>
        <v>#N/A</v>
      </c>
      <c r="C2965" s="112">
        <f>'Informe Kelly'!E2959</f>
        <v>0</v>
      </c>
      <c r="D2965" s="112" t="e">
        <f>VLOOKUP(A2965,Ingreso!K:P,6,FALSE)</f>
        <v>#N/A</v>
      </c>
      <c r="E2965" s="142" t="e">
        <f>(VLOOKUP(D2965,$D$2:$E$4,2,FALSE))-(IF('Informe Kelly'!H2959=$A$2,'Informe Kelly'!F2959,VLOOKUP(D2965,$D$2:$E$4,2,FALSE)))</f>
        <v>#N/A</v>
      </c>
      <c r="F2965" s="142" t="e">
        <f>IF('Informe Kelly'!H2959=$A$3,'Informe Kelly'!F2959,VLOOKUP(D2965,$D$2:$F$4,3,FALSE))-(VLOOKUP(D2965,$D$2:$F$4,3,FALSE))</f>
        <v>#N/A</v>
      </c>
      <c r="G2965" s="137" t="e">
        <f t="shared" si="50"/>
        <v>#N/A</v>
      </c>
    </row>
    <row r="2966" spans="1:7">
      <c r="A2966" s="112" t="e">
        <f>VLOOKUP('Informe Kelly'!A2960,Base!A:B,2,FALSE)</f>
        <v>#N/A</v>
      </c>
      <c r="B2966" s="112" t="e">
        <f>VLOOKUP('Informe Kelly'!A2960,Base!A:G,7,FALSE)</f>
        <v>#N/A</v>
      </c>
      <c r="C2966" s="112">
        <f>'Informe Kelly'!E2960</f>
        <v>0</v>
      </c>
      <c r="D2966" s="112" t="e">
        <f>VLOOKUP(A2966,Ingreso!K:P,6,FALSE)</f>
        <v>#N/A</v>
      </c>
      <c r="E2966" s="142" t="e">
        <f>(VLOOKUP(D2966,$D$2:$E$4,2,FALSE))-(IF('Informe Kelly'!H2960=$A$2,'Informe Kelly'!F2960,VLOOKUP(D2966,$D$2:$E$4,2,FALSE)))</f>
        <v>#N/A</v>
      </c>
      <c r="F2966" s="142" t="e">
        <f>IF('Informe Kelly'!H2960=$A$3,'Informe Kelly'!F2960,VLOOKUP(D2966,$D$2:$F$4,3,FALSE))-(VLOOKUP(D2966,$D$2:$F$4,3,FALSE))</f>
        <v>#N/A</v>
      </c>
      <c r="G2966" s="137" t="e">
        <f t="shared" si="50"/>
        <v>#N/A</v>
      </c>
    </row>
    <row r="2967" spans="1:7">
      <c r="A2967" s="112" t="e">
        <f>VLOOKUP('Informe Kelly'!A2961,Base!A:B,2,FALSE)</f>
        <v>#N/A</v>
      </c>
      <c r="B2967" s="112" t="e">
        <f>VLOOKUP('Informe Kelly'!A2961,Base!A:G,7,FALSE)</f>
        <v>#N/A</v>
      </c>
      <c r="C2967" s="112">
        <f>'Informe Kelly'!E2961</f>
        <v>0</v>
      </c>
      <c r="D2967" s="112" t="e">
        <f>VLOOKUP(A2967,Ingreso!K:P,6,FALSE)</f>
        <v>#N/A</v>
      </c>
      <c r="E2967" s="142" t="e">
        <f>(VLOOKUP(D2967,$D$2:$E$4,2,FALSE))-(IF('Informe Kelly'!H2961=$A$2,'Informe Kelly'!F2961,VLOOKUP(D2967,$D$2:$E$4,2,FALSE)))</f>
        <v>#N/A</v>
      </c>
      <c r="F2967" s="142" t="e">
        <f>IF('Informe Kelly'!H2961=$A$3,'Informe Kelly'!F2961,VLOOKUP(D2967,$D$2:$F$4,3,FALSE))-(VLOOKUP(D2967,$D$2:$F$4,3,FALSE))</f>
        <v>#N/A</v>
      </c>
      <c r="G2967" s="137" t="e">
        <f t="shared" si="50"/>
        <v>#N/A</v>
      </c>
    </row>
    <row r="2968" spans="1:7">
      <c r="A2968" s="112" t="e">
        <f>VLOOKUP('Informe Kelly'!A2962,Base!A:B,2,FALSE)</f>
        <v>#N/A</v>
      </c>
      <c r="B2968" s="112" t="e">
        <f>VLOOKUP('Informe Kelly'!A2962,Base!A:G,7,FALSE)</f>
        <v>#N/A</v>
      </c>
      <c r="C2968" s="112">
        <f>'Informe Kelly'!E2962</f>
        <v>0</v>
      </c>
      <c r="D2968" s="112" t="e">
        <f>VLOOKUP(A2968,Ingreso!K:P,6,FALSE)</f>
        <v>#N/A</v>
      </c>
      <c r="E2968" s="142" t="e">
        <f>(VLOOKUP(D2968,$D$2:$E$4,2,FALSE))-(IF('Informe Kelly'!H2962=$A$2,'Informe Kelly'!F2962,VLOOKUP(D2968,$D$2:$E$4,2,FALSE)))</f>
        <v>#N/A</v>
      </c>
      <c r="F2968" s="142" t="e">
        <f>IF('Informe Kelly'!H2962=$A$3,'Informe Kelly'!F2962,VLOOKUP(D2968,$D$2:$F$4,3,FALSE))-(VLOOKUP(D2968,$D$2:$F$4,3,FALSE))</f>
        <v>#N/A</v>
      </c>
      <c r="G2968" s="137" t="e">
        <f t="shared" si="50"/>
        <v>#N/A</v>
      </c>
    </row>
    <row r="2969" spans="1:7">
      <c r="A2969" s="112" t="e">
        <f>VLOOKUP('Informe Kelly'!A2963,Base!A:B,2,FALSE)</f>
        <v>#N/A</v>
      </c>
      <c r="B2969" s="112" t="e">
        <f>VLOOKUP('Informe Kelly'!A2963,Base!A:G,7,FALSE)</f>
        <v>#N/A</v>
      </c>
      <c r="C2969" s="112">
        <f>'Informe Kelly'!E2963</f>
        <v>0</v>
      </c>
      <c r="D2969" s="112" t="e">
        <f>VLOOKUP(A2969,Ingreso!K:P,6,FALSE)</f>
        <v>#N/A</v>
      </c>
      <c r="E2969" s="142" t="e">
        <f>(VLOOKUP(D2969,$D$2:$E$4,2,FALSE))-(IF('Informe Kelly'!H2963=$A$2,'Informe Kelly'!F2963,VLOOKUP(D2969,$D$2:$E$4,2,FALSE)))</f>
        <v>#N/A</v>
      </c>
      <c r="F2969" s="142" t="e">
        <f>IF('Informe Kelly'!H2963=$A$3,'Informe Kelly'!F2963,VLOOKUP(D2969,$D$2:$F$4,3,FALSE))-(VLOOKUP(D2969,$D$2:$F$4,3,FALSE))</f>
        <v>#N/A</v>
      </c>
      <c r="G2969" s="137" t="e">
        <f t="shared" si="50"/>
        <v>#N/A</v>
      </c>
    </row>
    <row r="2970" spans="1:7">
      <c r="A2970" s="112" t="e">
        <f>VLOOKUP('Informe Kelly'!A2964,Base!A:B,2,FALSE)</f>
        <v>#N/A</v>
      </c>
      <c r="B2970" s="112" t="e">
        <f>VLOOKUP('Informe Kelly'!A2964,Base!A:G,7,FALSE)</f>
        <v>#N/A</v>
      </c>
      <c r="C2970" s="112">
        <f>'Informe Kelly'!E2964</f>
        <v>0</v>
      </c>
      <c r="D2970" s="112" t="e">
        <f>VLOOKUP(A2970,Ingreso!K:P,6,FALSE)</f>
        <v>#N/A</v>
      </c>
      <c r="E2970" s="142" t="e">
        <f>(VLOOKUP(D2970,$D$2:$E$4,2,FALSE))-(IF('Informe Kelly'!H2964=$A$2,'Informe Kelly'!F2964,VLOOKUP(D2970,$D$2:$E$4,2,FALSE)))</f>
        <v>#N/A</v>
      </c>
      <c r="F2970" s="142" t="e">
        <f>IF('Informe Kelly'!H2964=$A$3,'Informe Kelly'!F2964,VLOOKUP(D2970,$D$2:$F$4,3,FALSE))-(VLOOKUP(D2970,$D$2:$F$4,3,FALSE))</f>
        <v>#N/A</v>
      </c>
      <c r="G2970" s="137" t="e">
        <f t="shared" si="50"/>
        <v>#N/A</v>
      </c>
    </row>
    <row r="2971" spans="1:7">
      <c r="A2971" s="112" t="e">
        <f>VLOOKUP('Informe Kelly'!A2965,Base!A:B,2,FALSE)</f>
        <v>#N/A</v>
      </c>
      <c r="B2971" s="112" t="e">
        <f>VLOOKUP('Informe Kelly'!A2965,Base!A:G,7,FALSE)</f>
        <v>#N/A</v>
      </c>
      <c r="C2971" s="112">
        <f>'Informe Kelly'!E2965</f>
        <v>0</v>
      </c>
      <c r="D2971" s="112" t="e">
        <f>VLOOKUP(A2971,Ingreso!K:P,6,FALSE)</f>
        <v>#N/A</v>
      </c>
      <c r="E2971" s="142" t="e">
        <f>(VLOOKUP(D2971,$D$2:$E$4,2,FALSE))-(IF('Informe Kelly'!H2965=$A$2,'Informe Kelly'!F2965,VLOOKUP(D2971,$D$2:$E$4,2,FALSE)))</f>
        <v>#N/A</v>
      </c>
      <c r="F2971" s="142" t="e">
        <f>IF('Informe Kelly'!H2965=$A$3,'Informe Kelly'!F2965,VLOOKUP(D2971,$D$2:$F$4,3,FALSE))-(VLOOKUP(D2971,$D$2:$F$4,3,FALSE))</f>
        <v>#N/A</v>
      </c>
      <c r="G2971" s="137" t="e">
        <f t="shared" si="50"/>
        <v>#N/A</v>
      </c>
    </row>
    <row r="2972" spans="1:7">
      <c r="A2972" s="112" t="e">
        <f>VLOOKUP('Informe Kelly'!A2966,Base!A:B,2,FALSE)</f>
        <v>#N/A</v>
      </c>
      <c r="B2972" s="112" t="e">
        <f>VLOOKUP('Informe Kelly'!A2966,Base!A:G,7,FALSE)</f>
        <v>#N/A</v>
      </c>
      <c r="C2972" s="112">
        <f>'Informe Kelly'!E2966</f>
        <v>0</v>
      </c>
      <c r="D2972" s="112" t="e">
        <f>VLOOKUP(A2972,Ingreso!K:P,6,FALSE)</f>
        <v>#N/A</v>
      </c>
      <c r="E2972" s="142" t="e">
        <f>(VLOOKUP(D2972,$D$2:$E$4,2,FALSE))-(IF('Informe Kelly'!H2966=$A$2,'Informe Kelly'!F2966,VLOOKUP(D2972,$D$2:$E$4,2,FALSE)))</f>
        <v>#N/A</v>
      </c>
      <c r="F2972" s="142" t="e">
        <f>IF('Informe Kelly'!H2966=$A$3,'Informe Kelly'!F2966,VLOOKUP(D2972,$D$2:$F$4,3,FALSE))-(VLOOKUP(D2972,$D$2:$F$4,3,FALSE))</f>
        <v>#N/A</v>
      </c>
      <c r="G2972" s="137" t="e">
        <f t="shared" si="50"/>
        <v>#N/A</v>
      </c>
    </row>
    <row r="2973" spans="1:7">
      <c r="A2973" s="112" t="e">
        <f>VLOOKUP('Informe Kelly'!A2967,Base!A:B,2,FALSE)</f>
        <v>#N/A</v>
      </c>
      <c r="B2973" s="112" t="e">
        <f>VLOOKUP('Informe Kelly'!A2967,Base!A:G,7,FALSE)</f>
        <v>#N/A</v>
      </c>
      <c r="C2973" s="112">
        <f>'Informe Kelly'!E2967</f>
        <v>0</v>
      </c>
      <c r="D2973" s="112" t="e">
        <f>VLOOKUP(A2973,Ingreso!K:P,6,FALSE)</f>
        <v>#N/A</v>
      </c>
      <c r="E2973" s="142" t="e">
        <f>(VLOOKUP(D2973,$D$2:$E$4,2,FALSE))-(IF('Informe Kelly'!H2967=$A$2,'Informe Kelly'!F2967,VLOOKUP(D2973,$D$2:$E$4,2,FALSE)))</f>
        <v>#N/A</v>
      </c>
      <c r="F2973" s="142" t="e">
        <f>IF('Informe Kelly'!H2967=$A$3,'Informe Kelly'!F2967,VLOOKUP(D2973,$D$2:$F$4,3,FALSE))-(VLOOKUP(D2973,$D$2:$F$4,3,FALSE))</f>
        <v>#N/A</v>
      </c>
      <c r="G2973" s="137" t="e">
        <f t="shared" si="50"/>
        <v>#N/A</v>
      </c>
    </row>
    <row r="2974" spans="1:7">
      <c r="A2974" s="112" t="e">
        <f>VLOOKUP('Informe Kelly'!A2968,Base!A:B,2,FALSE)</f>
        <v>#N/A</v>
      </c>
      <c r="B2974" s="112" t="e">
        <f>VLOOKUP('Informe Kelly'!A2968,Base!A:G,7,FALSE)</f>
        <v>#N/A</v>
      </c>
      <c r="C2974" s="112">
        <f>'Informe Kelly'!E2968</f>
        <v>0</v>
      </c>
      <c r="D2974" s="112" t="e">
        <f>VLOOKUP(A2974,Ingreso!K:P,6,FALSE)</f>
        <v>#N/A</v>
      </c>
      <c r="E2974" s="142" t="e">
        <f>(VLOOKUP(D2974,$D$2:$E$4,2,FALSE))-(IF('Informe Kelly'!H2968=$A$2,'Informe Kelly'!F2968,VLOOKUP(D2974,$D$2:$E$4,2,FALSE)))</f>
        <v>#N/A</v>
      </c>
      <c r="F2974" s="142" t="e">
        <f>IF('Informe Kelly'!H2968=$A$3,'Informe Kelly'!F2968,VLOOKUP(D2974,$D$2:$F$4,3,FALSE))-(VLOOKUP(D2974,$D$2:$F$4,3,FALSE))</f>
        <v>#N/A</v>
      </c>
      <c r="G2974" s="137" t="e">
        <f t="shared" si="50"/>
        <v>#N/A</v>
      </c>
    </row>
    <row r="2975" spans="1:7">
      <c r="A2975" s="112" t="e">
        <f>VLOOKUP('Informe Kelly'!A2969,Base!A:B,2,FALSE)</f>
        <v>#N/A</v>
      </c>
      <c r="B2975" s="112" t="e">
        <f>VLOOKUP('Informe Kelly'!A2969,Base!A:G,7,FALSE)</f>
        <v>#N/A</v>
      </c>
      <c r="C2975" s="112">
        <f>'Informe Kelly'!E2969</f>
        <v>0</v>
      </c>
      <c r="D2975" s="112" t="e">
        <f>VLOOKUP(A2975,Ingreso!K:P,6,FALSE)</f>
        <v>#N/A</v>
      </c>
      <c r="E2975" s="142" t="e">
        <f>(VLOOKUP(D2975,$D$2:$E$4,2,FALSE))-(IF('Informe Kelly'!H2969=$A$2,'Informe Kelly'!F2969,VLOOKUP(D2975,$D$2:$E$4,2,FALSE)))</f>
        <v>#N/A</v>
      </c>
      <c r="F2975" s="142" t="e">
        <f>IF('Informe Kelly'!H2969=$A$3,'Informe Kelly'!F2969,VLOOKUP(D2975,$D$2:$F$4,3,FALSE))-(VLOOKUP(D2975,$D$2:$F$4,3,FALSE))</f>
        <v>#N/A</v>
      </c>
      <c r="G2975" s="137" t="e">
        <f t="shared" si="50"/>
        <v>#N/A</v>
      </c>
    </row>
    <row r="2976" spans="1:7">
      <c r="A2976" s="112" t="e">
        <f>VLOOKUP('Informe Kelly'!A2970,Base!A:B,2,FALSE)</f>
        <v>#N/A</v>
      </c>
      <c r="B2976" s="112" t="e">
        <f>VLOOKUP('Informe Kelly'!A2970,Base!A:G,7,FALSE)</f>
        <v>#N/A</v>
      </c>
      <c r="C2976" s="112">
        <f>'Informe Kelly'!E2970</f>
        <v>0</v>
      </c>
      <c r="D2976" s="112" t="e">
        <f>VLOOKUP(A2976,Ingreso!K:P,6,FALSE)</f>
        <v>#N/A</v>
      </c>
      <c r="E2976" s="142" t="e">
        <f>(VLOOKUP(D2976,$D$2:$E$4,2,FALSE))-(IF('Informe Kelly'!H2970=$A$2,'Informe Kelly'!F2970,VLOOKUP(D2976,$D$2:$E$4,2,FALSE)))</f>
        <v>#N/A</v>
      </c>
      <c r="F2976" s="142" t="e">
        <f>IF('Informe Kelly'!H2970=$A$3,'Informe Kelly'!F2970,VLOOKUP(D2976,$D$2:$F$4,3,FALSE))-(VLOOKUP(D2976,$D$2:$F$4,3,FALSE))</f>
        <v>#N/A</v>
      </c>
      <c r="G2976" s="137" t="e">
        <f t="shared" si="50"/>
        <v>#N/A</v>
      </c>
    </row>
    <row r="2977" spans="1:7">
      <c r="A2977" s="112" t="e">
        <f>VLOOKUP('Informe Kelly'!A2971,Base!A:B,2,FALSE)</f>
        <v>#N/A</v>
      </c>
      <c r="B2977" s="112" t="e">
        <f>VLOOKUP('Informe Kelly'!A2971,Base!A:G,7,FALSE)</f>
        <v>#N/A</v>
      </c>
      <c r="C2977" s="112">
        <f>'Informe Kelly'!E2971</f>
        <v>0</v>
      </c>
      <c r="D2977" s="112" t="e">
        <f>VLOOKUP(A2977,Ingreso!K:P,6,FALSE)</f>
        <v>#N/A</v>
      </c>
      <c r="E2977" s="142" t="e">
        <f>(VLOOKUP(D2977,$D$2:$E$4,2,FALSE))-(IF('Informe Kelly'!H2971=$A$2,'Informe Kelly'!F2971,VLOOKUP(D2977,$D$2:$E$4,2,FALSE)))</f>
        <v>#N/A</v>
      </c>
      <c r="F2977" s="142" t="e">
        <f>IF('Informe Kelly'!H2971=$A$3,'Informe Kelly'!F2971,VLOOKUP(D2977,$D$2:$F$4,3,FALSE))-(VLOOKUP(D2977,$D$2:$F$4,3,FALSE))</f>
        <v>#N/A</v>
      </c>
      <c r="G2977" s="137" t="e">
        <f t="shared" si="50"/>
        <v>#N/A</v>
      </c>
    </row>
    <row r="2978" spans="1:7">
      <c r="A2978" s="112" t="e">
        <f>VLOOKUP('Informe Kelly'!A2972,Base!A:B,2,FALSE)</f>
        <v>#N/A</v>
      </c>
      <c r="B2978" s="112" t="e">
        <f>VLOOKUP('Informe Kelly'!A2972,Base!A:G,7,FALSE)</f>
        <v>#N/A</v>
      </c>
      <c r="C2978" s="112">
        <f>'Informe Kelly'!E2972</f>
        <v>0</v>
      </c>
      <c r="D2978" s="112" t="e">
        <f>VLOOKUP(A2978,Ingreso!K:P,6,FALSE)</f>
        <v>#N/A</v>
      </c>
      <c r="E2978" s="142" t="e">
        <f>(VLOOKUP(D2978,$D$2:$E$4,2,FALSE))-(IF('Informe Kelly'!H2972=$A$2,'Informe Kelly'!F2972,VLOOKUP(D2978,$D$2:$E$4,2,FALSE)))</f>
        <v>#N/A</v>
      </c>
      <c r="F2978" s="142" t="e">
        <f>IF('Informe Kelly'!H2972=$A$3,'Informe Kelly'!F2972,VLOOKUP(D2978,$D$2:$F$4,3,FALSE))-(VLOOKUP(D2978,$D$2:$F$4,3,FALSE))</f>
        <v>#N/A</v>
      </c>
      <c r="G2978" s="137" t="e">
        <f t="shared" si="50"/>
        <v>#N/A</v>
      </c>
    </row>
    <row r="2979" spans="1:7">
      <c r="A2979" s="112" t="e">
        <f>VLOOKUP('Informe Kelly'!A2973,Base!A:B,2,FALSE)</f>
        <v>#N/A</v>
      </c>
      <c r="B2979" s="112" t="e">
        <f>VLOOKUP('Informe Kelly'!A2973,Base!A:G,7,FALSE)</f>
        <v>#N/A</v>
      </c>
      <c r="C2979" s="112">
        <f>'Informe Kelly'!E2973</f>
        <v>0</v>
      </c>
      <c r="D2979" s="112" t="e">
        <f>VLOOKUP(A2979,Ingreso!K:P,6,FALSE)</f>
        <v>#N/A</v>
      </c>
      <c r="E2979" s="142" t="e">
        <f>(VLOOKUP(D2979,$D$2:$E$4,2,FALSE))-(IF('Informe Kelly'!H2973=$A$2,'Informe Kelly'!F2973,VLOOKUP(D2979,$D$2:$E$4,2,FALSE)))</f>
        <v>#N/A</v>
      </c>
      <c r="F2979" s="142" t="e">
        <f>IF('Informe Kelly'!H2973=$A$3,'Informe Kelly'!F2973,VLOOKUP(D2979,$D$2:$F$4,3,FALSE))-(VLOOKUP(D2979,$D$2:$F$4,3,FALSE))</f>
        <v>#N/A</v>
      </c>
      <c r="G2979" s="137" t="e">
        <f t="shared" si="50"/>
        <v>#N/A</v>
      </c>
    </row>
    <row r="2980" spans="1:7">
      <c r="A2980" s="112" t="e">
        <f>VLOOKUP('Informe Kelly'!A2974,Base!A:B,2,FALSE)</f>
        <v>#N/A</v>
      </c>
      <c r="B2980" s="112" t="e">
        <f>VLOOKUP('Informe Kelly'!A2974,Base!A:G,7,FALSE)</f>
        <v>#N/A</v>
      </c>
      <c r="C2980" s="112">
        <f>'Informe Kelly'!E2974</f>
        <v>0</v>
      </c>
      <c r="D2980" s="112" t="e">
        <f>VLOOKUP(A2980,Ingreso!K:P,6,FALSE)</f>
        <v>#N/A</v>
      </c>
      <c r="E2980" s="142" t="e">
        <f>(VLOOKUP(D2980,$D$2:$E$4,2,FALSE))-(IF('Informe Kelly'!H2974=$A$2,'Informe Kelly'!F2974,VLOOKUP(D2980,$D$2:$E$4,2,FALSE)))</f>
        <v>#N/A</v>
      </c>
      <c r="F2980" s="142" t="e">
        <f>IF('Informe Kelly'!H2974=$A$3,'Informe Kelly'!F2974,VLOOKUP(D2980,$D$2:$F$4,3,FALSE))-(VLOOKUP(D2980,$D$2:$F$4,3,FALSE))</f>
        <v>#N/A</v>
      </c>
      <c r="G2980" s="137" t="e">
        <f t="shared" si="50"/>
        <v>#N/A</v>
      </c>
    </row>
    <row r="2981" spans="1:7">
      <c r="A2981" s="112" t="e">
        <f>VLOOKUP('Informe Kelly'!A2975,Base!A:B,2,FALSE)</f>
        <v>#N/A</v>
      </c>
      <c r="B2981" s="112" t="e">
        <f>VLOOKUP('Informe Kelly'!A2975,Base!A:G,7,FALSE)</f>
        <v>#N/A</v>
      </c>
      <c r="C2981" s="112">
        <f>'Informe Kelly'!E2975</f>
        <v>0</v>
      </c>
      <c r="D2981" s="112" t="e">
        <f>VLOOKUP(A2981,Ingreso!K:P,6,FALSE)</f>
        <v>#N/A</v>
      </c>
      <c r="E2981" s="142" t="e">
        <f>(VLOOKUP(D2981,$D$2:$E$4,2,FALSE))-(IF('Informe Kelly'!H2975=$A$2,'Informe Kelly'!F2975,VLOOKUP(D2981,$D$2:$E$4,2,FALSE)))</f>
        <v>#N/A</v>
      </c>
      <c r="F2981" s="142" t="e">
        <f>IF('Informe Kelly'!H2975=$A$3,'Informe Kelly'!F2975,VLOOKUP(D2981,$D$2:$F$4,3,FALSE))-(VLOOKUP(D2981,$D$2:$F$4,3,FALSE))</f>
        <v>#N/A</v>
      </c>
      <c r="G2981" s="137" t="e">
        <f t="shared" si="50"/>
        <v>#N/A</v>
      </c>
    </row>
    <row r="2982" spans="1:7">
      <c r="A2982" s="112" t="e">
        <f>VLOOKUP('Informe Kelly'!A2976,Base!A:B,2,FALSE)</f>
        <v>#N/A</v>
      </c>
      <c r="B2982" s="112" t="e">
        <f>VLOOKUP('Informe Kelly'!A2976,Base!A:G,7,FALSE)</f>
        <v>#N/A</v>
      </c>
      <c r="C2982" s="112">
        <f>'Informe Kelly'!E2976</f>
        <v>0</v>
      </c>
      <c r="D2982" s="112" t="e">
        <f>VLOOKUP(A2982,Ingreso!K:P,6,FALSE)</f>
        <v>#N/A</v>
      </c>
      <c r="E2982" s="142" t="e">
        <f>(VLOOKUP(D2982,$D$2:$E$4,2,FALSE))-(IF('Informe Kelly'!H2976=$A$2,'Informe Kelly'!F2976,VLOOKUP(D2982,$D$2:$E$4,2,FALSE)))</f>
        <v>#N/A</v>
      </c>
      <c r="F2982" s="142" t="e">
        <f>IF('Informe Kelly'!H2976=$A$3,'Informe Kelly'!F2976,VLOOKUP(D2982,$D$2:$F$4,3,FALSE))-(VLOOKUP(D2982,$D$2:$F$4,3,FALSE))</f>
        <v>#N/A</v>
      </c>
      <c r="G2982" s="137" t="e">
        <f t="shared" si="50"/>
        <v>#N/A</v>
      </c>
    </row>
    <row r="2983" spans="1:7">
      <c r="A2983" s="112" t="e">
        <f>VLOOKUP('Informe Kelly'!A2977,Base!A:B,2,FALSE)</f>
        <v>#N/A</v>
      </c>
      <c r="B2983" s="112" t="e">
        <f>VLOOKUP('Informe Kelly'!A2977,Base!A:G,7,FALSE)</f>
        <v>#N/A</v>
      </c>
      <c r="C2983" s="112">
        <f>'Informe Kelly'!E2977</f>
        <v>0</v>
      </c>
      <c r="D2983" s="112" t="e">
        <f>VLOOKUP(A2983,Ingreso!K:P,6,FALSE)</f>
        <v>#N/A</v>
      </c>
      <c r="E2983" s="142" t="e">
        <f>(VLOOKUP(D2983,$D$2:$E$4,2,FALSE))-(IF('Informe Kelly'!H2977=$A$2,'Informe Kelly'!F2977,VLOOKUP(D2983,$D$2:$E$4,2,FALSE)))</f>
        <v>#N/A</v>
      </c>
      <c r="F2983" s="142" t="e">
        <f>IF('Informe Kelly'!H2977=$A$3,'Informe Kelly'!F2977,VLOOKUP(D2983,$D$2:$F$4,3,FALSE))-(VLOOKUP(D2983,$D$2:$F$4,3,FALSE))</f>
        <v>#N/A</v>
      </c>
      <c r="G2983" s="137" t="e">
        <f t="shared" si="50"/>
        <v>#N/A</v>
      </c>
    </row>
    <row r="2984" spans="1:7">
      <c r="A2984" s="112" t="e">
        <f>VLOOKUP('Informe Kelly'!A2978,Base!A:B,2,FALSE)</f>
        <v>#N/A</v>
      </c>
      <c r="B2984" s="112" t="e">
        <f>VLOOKUP('Informe Kelly'!A2978,Base!A:G,7,FALSE)</f>
        <v>#N/A</v>
      </c>
      <c r="C2984" s="112">
        <f>'Informe Kelly'!E2978</f>
        <v>0</v>
      </c>
      <c r="D2984" s="112" t="e">
        <f>VLOOKUP(A2984,Ingreso!K:P,6,FALSE)</f>
        <v>#N/A</v>
      </c>
      <c r="E2984" s="142" t="e">
        <f>(VLOOKUP(D2984,$D$2:$E$4,2,FALSE))-(IF('Informe Kelly'!H2978=$A$2,'Informe Kelly'!F2978,VLOOKUP(D2984,$D$2:$E$4,2,FALSE)))</f>
        <v>#N/A</v>
      </c>
      <c r="F2984" s="142" t="e">
        <f>IF('Informe Kelly'!H2978=$A$3,'Informe Kelly'!F2978,VLOOKUP(D2984,$D$2:$F$4,3,FALSE))-(VLOOKUP(D2984,$D$2:$F$4,3,FALSE))</f>
        <v>#N/A</v>
      </c>
      <c r="G2984" s="137" t="e">
        <f t="shared" si="50"/>
        <v>#N/A</v>
      </c>
    </row>
    <row r="2985" spans="1:7">
      <c r="A2985" s="112" t="e">
        <f>VLOOKUP('Informe Kelly'!A2979,Base!A:B,2,FALSE)</f>
        <v>#N/A</v>
      </c>
      <c r="B2985" s="112" t="e">
        <f>VLOOKUP('Informe Kelly'!A2979,Base!A:G,7,FALSE)</f>
        <v>#N/A</v>
      </c>
      <c r="C2985" s="112">
        <f>'Informe Kelly'!E2979</f>
        <v>0</v>
      </c>
      <c r="D2985" s="112" t="e">
        <f>VLOOKUP(A2985,Ingreso!K:P,6,FALSE)</f>
        <v>#N/A</v>
      </c>
      <c r="E2985" s="142" t="e">
        <f>(VLOOKUP(D2985,$D$2:$E$4,2,FALSE))-(IF('Informe Kelly'!H2979=$A$2,'Informe Kelly'!F2979,VLOOKUP(D2985,$D$2:$E$4,2,FALSE)))</f>
        <v>#N/A</v>
      </c>
      <c r="F2985" s="142" t="e">
        <f>IF('Informe Kelly'!H2979=$A$3,'Informe Kelly'!F2979,VLOOKUP(D2985,$D$2:$F$4,3,FALSE))-(VLOOKUP(D2985,$D$2:$F$4,3,FALSE))</f>
        <v>#N/A</v>
      </c>
      <c r="G2985" s="137" t="e">
        <f t="shared" si="50"/>
        <v>#N/A</v>
      </c>
    </row>
    <row r="2986" spans="1:7">
      <c r="A2986" s="112" t="e">
        <f>VLOOKUP('Informe Kelly'!A2980,Base!A:B,2,FALSE)</f>
        <v>#N/A</v>
      </c>
      <c r="B2986" s="112" t="e">
        <f>VLOOKUP('Informe Kelly'!A2980,Base!A:G,7,FALSE)</f>
        <v>#N/A</v>
      </c>
      <c r="C2986" s="112">
        <f>'Informe Kelly'!E2980</f>
        <v>0</v>
      </c>
      <c r="D2986" s="112" t="e">
        <f>VLOOKUP(A2986,Ingreso!K:P,6,FALSE)</f>
        <v>#N/A</v>
      </c>
      <c r="E2986" s="142" t="e">
        <f>(VLOOKUP(D2986,$D$2:$E$4,2,FALSE))-(IF('Informe Kelly'!H2980=$A$2,'Informe Kelly'!F2980,VLOOKUP(D2986,$D$2:$E$4,2,FALSE)))</f>
        <v>#N/A</v>
      </c>
      <c r="F2986" s="142" t="e">
        <f>IF('Informe Kelly'!H2980=$A$3,'Informe Kelly'!F2980,VLOOKUP(D2986,$D$2:$F$4,3,FALSE))-(VLOOKUP(D2986,$D$2:$F$4,3,FALSE))</f>
        <v>#N/A</v>
      </c>
      <c r="G2986" s="137" t="e">
        <f t="shared" si="50"/>
        <v>#N/A</v>
      </c>
    </row>
    <row r="2987" spans="1:7">
      <c r="A2987" s="112" t="e">
        <f>VLOOKUP('Informe Kelly'!A2981,Base!A:B,2,FALSE)</f>
        <v>#N/A</v>
      </c>
      <c r="B2987" s="112" t="e">
        <f>VLOOKUP('Informe Kelly'!A2981,Base!A:G,7,FALSE)</f>
        <v>#N/A</v>
      </c>
      <c r="C2987" s="112">
        <f>'Informe Kelly'!E2981</f>
        <v>0</v>
      </c>
      <c r="D2987" s="112" t="e">
        <f>VLOOKUP(A2987,Ingreso!K:P,6,FALSE)</f>
        <v>#N/A</v>
      </c>
      <c r="E2987" s="142" t="e">
        <f>(VLOOKUP(D2987,$D$2:$E$4,2,FALSE))-(IF('Informe Kelly'!H2981=$A$2,'Informe Kelly'!F2981,VLOOKUP(D2987,$D$2:$E$4,2,FALSE)))</f>
        <v>#N/A</v>
      </c>
      <c r="F2987" s="142" t="e">
        <f>IF('Informe Kelly'!H2981=$A$3,'Informe Kelly'!F2981,VLOOKUP(D2987,$D$2:$F$4,3,FALSE))-(VLOOKUP(D2987,$D$2:$F$4,3,FALSE))</f>
        <v>#N/A</v>
      </c>
      <c r="G2987" s="137" t="e">
        <f t="shared" si="50"/>
        <v>#N/A</v>
      </c>
    </row>
    <row r="2988" spans="1:7">
      <c r="A2988" s="112" t="e">
        <f>VLOOKUP('Informe Kelly'!A2982,Base!A:B,2,FALSE)</f>
        <v>#N/A</v>
      </c>
      <c r="B2988" s="112" t="e">
        <f>VLOOKUP('Informe Kelly'!A2982,Base!A:G,7,FALSE)</f>
        <v>#N/A</v>
      </c>
      <c r="C2988" s="112">
        <f>'Informe Kelly'!E2982</f>
        <v>0</v>
      </c>
      <c r="D2988" s="112" t="e">
        <f>VLOOKUP(A2988,Ingreso!K:P,6,FALSE)</f>
        <v>#N/A</v>
      </c>
      <c r="E2988" s="142" t="e">
        <f>(VLOOKUP(D2988,$D$2:$E$4,2,FALSE))-(IF('Informe Kelly'!H2982=$A$2,'Informe Kelly'!F2982,VLOOKUP(D2988,$D$2:$E$4,2,FALSE)))</f>
        <v>#N/A</v>
      </c>
      <c r="F2988" s="142" t="e">
        <f>IF('Informe Kelly'!H2982=$A$3,'Informe Kelly'!F2982,VLOOKUP(D2988,$D$2:$F$4,3,FALSE))-(VLOOKUP(D2988,$D$2:$F$4,3,FALSE))</f>
        <v>#N/A</v>
      </c>
      <c r="G2988" s="137" t="e">
        <f t="shared" si="50"/>
        <v>#N/A</v>
      </c>
    </row>
    <row r="2989" spans="1:7">
      <c r="A2989" s="112" t="e">
        <f>VLOOKUP('Informe Kelly'!A2983,Base!A:B,2,FALSE)</f>
        <v>#N/A</v>
      </c>
      <c r="B2989" s="112" t="e">
        <f>VLOOKUP('Informe Kelly'!A2983,Base!A:G,7,FALSE)</f>
        <v>#N/A</v>
      </c>
      <c r="C2989" s="112">
        <f>'Informe Kelly'!E2983</f>
        <v>0</v>
      </c>
      <c r="D2989" s="112" t="e">
        <f>VLOOKUP(A2989,Ingreso!K:P,6,FALSE)</f>
        <v>#N/A</v>
      </c>
      <c r="E2989" s="142" t="e">
        <f>(VLOOKUP(D2989,$D$2:$E$4,2,FALSE))-(IF('Informe Kelly'!H2983=$A$2,'Informe Kelly'!F2983,VLOOKUP(D2989,$D$2:$E$4,2,FALSE)))</f>
        <v>#N/A</v>
      </c>
      <c r="F2989" s="142" t="e">
        <f>IF('Informe Kelly'!H2983=$A$3,'Informe Kelly'!F2983,VLOOKUP(D2989,$D$2:$F$4,3,FALSE))-(VLOOKUP(D2989,$D$2:$F$4,3,FALSE))</f>
        <v>#N/A</v>
      </c>
      <c r="G2989" s="137" t="e">
        <f t="shared" si="50"/>
        <v>#N/A</v>
      </c>
    </row>
    <row r="2990" spans="1:7">
      <c r="A2990" s="112" t="e">
        <f>VLOOKUP('Informe Kelly'!A2984,Base!A:B,2,FALSE)</f>
        <v>#N/A</v>
      </c>
      <c r="B2990" s="112" t="e">
        <f>VLOOKUP('Informe Kelly'!A2984,Base!A:G,7,FALSE)</f>
        <v>#N/A</v>
      </c>
      <c r="C2990" s="112">
        <f>'Informe Kelly'!E2984</f>
        <v>0</v>
      </c>
      <c r="D2990" s="112" t="e">
        <f>VLOOKUP(A2990,Ingreso!K:P,6,FALSE)</f>
        <v>#N/A</v>
      </c>
      <c r="E2990" s="142" t="e">
        <f>(VLOOKUP(D2990,$D$2:$E$4,2,FALSE))-(IF('Informe Kelly'!H2984=$A$2,'Informe Kelly'!F2984,VLOOKUP(D2990,$D$2:$E$4,2,FALSE)))</f>
        <v>#N/A</v>
      </c>
      <c r="F2990" s="142" t="e">
        <f>IF('Informe Kelly'!H2984=$A$3,'Informe Kelly'!F2984,VLOOKUP(D2990,$D$2:$F$4,3,FALSE))-(VLOOKUP(D2990,$D$2:$F$4,3,FALSE))</f>
        <v>#N/A</v>
      </c>
      <c r="G2990" s="137" t="e">
        <f t="shared" si="50"/>
        <v>#N/A</v>
      </c>
    </row>
    <row r="2991" spans="1:7">
      <c r="A2991" s="112" t="e">
        <f>VLOOKUP('Informe Kelly'!A2985,Base!A:B,2,FALSE)</f>
        <v>#N/A</v>
      </c>
      <c r="B2991" s="112" t="e">
        <f>VLOOKUP('Informe Kelly'!A2985,Base!A:G,7,FALSE)</f>
        <v>#N/A</v>
      </c>
      <c r="C2991" s="112">
        <f>'Informe Kelly'!E2985</f>
        <v>0</v>
      </c>
      <c r="D2991" s="112" t="e">
        <f>VLOOKUP(A2991,Ingreso!K:P,6,FALSE)</f>
        <v>#N/A</v>
      </c>
      <c r="E2991" s="142" t="e">
        <f>(VLOOKUP(D2991,$D$2:$E$4,2,FALSE))-(IF('Informe Kelly'!H2985=$A$2,'Informe Kelly'!F2985,VLOOKUP(D2991,$D$2:$E$4,2,FALSE)))</f>
        <v>#N/A</v>
      </c>
      <c r="F2991" s="142" t="e">
        <f>IF('Informe Kelly'!H2985=$A$3,'Informe Kelly'!F2985,VLOOKUP(D2991,$D$2:$F$4,3,FALSE))-(VLOOKUP(D2991,$D$2:$F$4,3,FALSE))</f>
        <v>#N/A</v>
      </c>
      <c r="G2991" s="137" t="e">
        <f t="shared" si="50"/>
        <v>#N/A</v>
      </c>
    </row>
    <row r="2992" spans="1:7">
      <c r="A2992" s="112" t="e">
        <f>VLOOKUP('Informe Kelly'!A2986,Base!A:B,2,FALSE)</f>
        <v>#N/A</v>
      </c>
      <c r="B2992" s="112" t="e">
        <f>VLOOKUP('Informe Kelly'!A2986,Base!A:G,7,FALSE)</f>
        <v>#N/A</v>
      </c>
      <c r="C2992" s="112">
        <f>'Informe Kelly'!E2986</f>
        <v>0</v>
      </c>
      <c r="D2992" s="112" t="e">
        <f>VLOOKUP(A2992,Ingreso!K:P,6,FALSE)</f>
        <v>#N/A</v>
      </c>
      <c r="E2992" s="142" t="e">
        <f>(VLOOKUP(D2992,$D$2:$E$4,2,FALSE))-(IF('Informe Kelly'!H2986=$A$2,'Informe Kelly'!F2986,VLOOKUP(D2992,$D$2:$E$4,2,FALSE)))</f>
        <v>#N/A</v>
      </c>
      <c r="F2992" s="142" t="e">
        <f>IF('Informe Kelly'!H2986=$A$3,'Informe Kelly'!F2986,VLOOKUP(D2992,$D$2:$F$4,3,FALSE))-(VLOOKUP(D2992,$D$2:$F$4,3,FALSE))</f>
        <v>#N/A</v>
      </c>
      <c r="G2992" s="137" t="e">
        <f t="shared" si="50"/>
        <v>#N/A</v>
      </c>
    </row>
    <row r="2993" spans="1:7">
      <c r="A2993" s="112" t="e">
        <f>VLOOKUP('Informe Kelly'!A2987,Base!A:B,2,FALSE)</f>
        <v>#N/A</v>
      </c>
      <c r="B2993" s="112" t="e">
        <f>VLOOKUP('Informe Kelly'!A2987,Base!A:G,7,FALSE)</f>
        <v>#N/A</v>
      </c>
      <c r="C2993" s="112">
        <f>'Informe Kelly'!E2987</f>
        <v>0</v>
      </c>
      <c r="D2993" s="112" t="e">
        <f>VLOOKUP(A2993,Ingreso!K:P,6,FALSE)</f>
        <v>#N/A</v>
      </c>
      <c r="E2993" s="142" t="e">
        <f>(VLOOKUP(D2993,$D$2:$E$4,2,FALSE))-(IF('Informe Kelly'!H2987=$A$2,'Informe Kelly'!F2987,VLOOKUP(D2993,$D$2:$E$4,2,FALSE)))</f>
        <v>#N/A</v>
      </c>
      <c r="F2993" s="142" t="e">
        <f>IF('Informe Kelly'!H2987=$A$3,'Informe Kelly'!F2987,VLOOKUP(D2993,$D$2:$F$4,3,FALSE))-(VLOOKUP(D2993,$D$2:$F$4,3,FALSE))</f>
        <v>#N/A</v>
      </c>
      <c r="G2993" s="137" t="e">
        <f t="shared" si="50"/>
        <v>#N/A</v>
      </c>
    </row>
    <row r="2994" spans="1:7">
      <c r="A2994" s="112" t="e">
        <f>VLOOKUP('Informe Kelly'!A2988,Base!A:B,2,FALSE)</f>
        <v>#N/A</v>
      </c>
      <c r="B2994" s="112" t="e">
        <f>VLOOKUP('Informe Kelly'!A2988,Base!A:G,7,FALSE)</f>
        <v>#N/A</v>
      </c>
      <c r="C2994" s="112">
        <f>'Informe Kelly'!E2988</f>
        <v>0</v>
      </c>
      <c r="D2994" s="112" t="e">
        <f>VLOOKUP(A2994,Ingreso!K:P,6,FALSE)</f>
        <v>#N/A</v>
      </c>
      <c r="E2994" s="142" t="e">
        <f>(VLOOKUP(D2994,$D$2:$E$4,2,FALSE))-(IF('Informe Kelly'!H2988=$A$2,'Informe Kelly'!F2988,VLOOKUP(D2994,$D$2:$E$4,2,FALSE)))</f>
        <v>#N/A</v>
      </c>
      <c r="F2994" s="142" t="e">
        <f>IF('Informe Kelly'!H2988=$A$3,'Informe Kelly'!F2988,VLOOKUP(D2994,$D$2:$F$4,3,FALSE))-(VLOOKUP(D2994,$D$2:$F$4,3,FALSE))</f>
        <v>#N/A</v>
      </c>
      <c r="G2994" s="137" t="e">
        <f t="shared" si="50"/>
        <v>#N/A</v>
      </c>
    </row>
    <row r="2995" spans="1:7">
      <c r="A2995" s="112" t="e">
        <f>VLOOKUP('Informe Kelly'!A2989,Base!A:B,2,FALSE)</f>
        <v>#N/A</v>
      </c>
      <c r="B2995" s="112" t="e">
        <f>VLOOKUP('Informe Kelly'!A2989,Base!A:G,7,FALSE)</f>
        <v>#N/A</v>
      </c>
      <c r="C2995" s="112">
        <f>'Informe Kelly'!E2989</f>
        <v>0</v>
      </c>
      <c r="D2995" s="112" t="e">
        <f>VLOOKUP(A2995,Ingreso!K:P,6,FALSE)</f>
        <v>#N/A</v>
      </c>
      <c r="E2995" s="142" t="e">
        <f>(VLOOKUP(D2995,$D$2:$E$4,2,FALSE))-(IF('Informe Kelly'!H2989=$A$2,'Informe Kelly'!F2989,VLOOKUP(D2995,$D$2:$E$4,2,FALSE)))</f>
        <v>#N/A</v>
      </c>
      <c r="F2995" s="142" t="e">
        <f>IF('Informe Kelly'!H2989=$A$3,'Informe Kelly'!F2989,VLOOKUP(D2995,$D$2:$F$4,3,FALSE))-(VLOOKUP(D2995,$D$2:$F$4,3,FALSE))</f>
        <v>#N/A</v>
      </c>
      <c r="G2995" s="137" t="e">
        <f t="shared" si="50"/>
        <v>#N/A</v>
      </c>
    </row>
    <row r="2996" spans="1:7">
      <c r="A2996" s="112" t="e">
        <f>VLOOKUP('Informe Kelly'!A2990,Base!A:B,2,FALSE)</f>
        <v>#N/A</v>
      </c>
      <c r="B2996" s="112" t="e">
        <f>VLOOKUP('Informe Kelly'!A2990,Base!A:G,7,FALSE)</f>
        <v>#N/A</v>
      </c>
      <c r="C2996" s="112">
        <f>'Informe Kelly'!E2990</f>
        <v>0</v>
      </c>
      <c r="D2996" s="112" t="e">
        <f>VLOOKUP(A2996,Ingreso!K:P,6,FALSE)</f>
        <v>#N/A</v>
      </c>
      <c r="E2996" s="142" t="e">
        <f>(VLOOKUP(D2996,$D$2:$E$4,2,FALSE))-(IF('Informe Kelly'!H2990=$A$2,'Informe Kelly'!F2990,VLOOKUP(D2996,$D$2:$E$4,2,FALSE)))</f>
        <v>#N/A</v>
      </c>
      <c r="F2996" s="142" t="e">
        <f>IF('Informe Kelly'!H2990=$A$3,'Informe Kelly'!F2990,VLOOKUP(D2996,$D$2:$F$4,3,FALSE))-(VLOOKUP(D2996,$D$2:$F$4,3,FALSE))</f>
        <v>#N/A</v>
      </c>
      <c r="G2996" s="137" t="e">
        <f t="shared" si="50"/>
        <v>#N/A</v>
      </c>
    </row>
    <row r="2997" spans="1:7">
      <c r="A2997" s="112" t="e">
        <f>VLOOKUP('Informe Kelly'!A2991,Base!A:B,2,FALSE)</f>
        <v>#N/A</v>
      </c>
      <c r="B2997" s="112" t="e">
        <f>VLOOKUP('Informe Kelly'!A2991,Base!A:G,7,FALSE)</f>
        <v>#N/A</v>
      </c>
      <c r="C2997" s="112">
        <f>'Informe Kelly'!E2991</f>
        <v>0</v>
      </c>
      <c r="D2997" s="112" t="e">
        <f>VLOOKUP(A2997,Ingreso!K:P,6,FALSE)</f>
        <v>#N/A</v>
      </c>
      <c r="E2997" s="142" t="e">
        <f>(VLOOKUP(D2997,$D$2:$E$4,2,FALSE))-(IF('Informe Kelly'!H2991=$A$2,'Informe Kelly'!F2991,VLOOKUP(D2997,$D$2:$E$4,2,FALSE)))</f>
        <v>#N/A</v>
      </c>
      <c r="F2997" s="142" t="e">
        <f>IF('Informe Kelly'!H2991=$A$3,'Informe Kelly'!F2991,VLOOKUP(D2997,$D$2:$F$4,3,FALSE))-(VLOOKUP(D2997,$D$2:$F$4,3,FALSE))</f>
        <v>#N/A</v>
      </c>
      <c r="G2997" s="137" t="e">
        <f t="shared" si="50"/>
        <v>#N/A</v>
      </c>
    </row>
    <row r="2998" spans="1:7">
      <c r="A2998" s="112" t="e">
        <f>VLOOKUP('Informe Kelly'!A2992,Base!A:B,2,FALSE)</f>
        <v>#N/A</v>
      </c>
      <c r="B2998" s="112" t="e">
        <f>VLOOKUP('Informe Kelly'!A2992,Base!A:G,7,FALSE)</f>
        <v>#N/A</v>
      </c>
      <c r="C2998" s="112">
        <f>'Informe Kelly'!E2992</f>
        <v>0</v>
      </c>
      <c r="D2998" s="112" t="e">
        <f>VLOOKUP(A2998,Ingreso!K:P,6,FALSE)</f>
        <v>#N/A</v>
      </c>
      <c r="E2998" s="142" t="e">
        <f>(VLOOKUP(D2998,$D$2:$E$4,2,FALSE))-(IF('Informe Kelly'!H2992=$A$2,'Informe Kelly'!F2992,VLOOKUP(D2998,$D$2:$E$4,2,FALSE)))</f>
        <v>#N/A</v>
      </c>
      <c r="F2998" s="142" t="e">
        <f>IF('Informe Kelly'!H2992=$A$3,'Informe Kelly'!F2992,VLOOKUP(D2998,$D$2:$F$4,3,FALSE))-(VLOOKUP(D2998,$D$2:$F$4,3,FALSE))</f>
        <v>#N/A</v>
      </c>
      <c r="G2998" s="137" t="e">
        <f t="shared" si="50"/>
        <v>#N/A</v>
      </c>
    </row>
    <row r="2999" spans="1:7">
      <c r="A2999" s="112" t="e">
        <f>VLOOKUP('Informe Kelly'!A2993,Base!A:B,2,FALSE)</f>
        <v>#N/A</v>
      </c>
      <c r="B2999" s="112" t="e">
        <f>VLOOKUP('Informe Kelly'!A2993,Base!A:G,7,FALSE)</f>
        <v>#N/A</v>
      </c>
      <c r="C2999" s="112">
        <f>'Informe Kelly'!E2993</f>
        <v>0</v>
      </c>
      <c r="D2999" s="112" t="e">
        <f>VLOOKUP(A2999,Ingreso!K:P,6,FALSE)</f>
        <v>#N/A</v>
      </c>
      <c r="E2999" s="142" t="e">
        <f>(VLOOKUP(D2999,$D$2:$E$4,2,FALSE))-(IF('Informe Kelly'!H2993=$A$2,'Informe Kelly'!F2993,VLOOKUP(D2999,$D$2:$E$4,2,FALSE)))</f>
        <v>#N/A</v>
      </c>
      <c r="F2999" s="142" t="e">
        <f>IF('Informe Kelly'!H2993=$A$3,'Informe Kelly'!F2993,VLOOKUP(D2999,$D$2:$F$4,3,FALSE))-(VLOOKUP(D2999,$D$2:$F$4,3,FALSE))</f>
        <v>#N/A</v>
      </c>
      <c r="G2999" s="137" t="e">
        <f t="shared" si="50"/>
        <v>#N/A</v>
      </c>
    </row>
    <row r="3000" spans="1:7">
      <c r="A3000" s="112" t="e">
        <f>VLOOKUP('Informe Kelly'!A2994,Base!A:B,2,FALSE)</f>
        <v>#N/A</v>
      </c>
      <c r="B3000" s="112" t="e">
        <f>VLOOKUP('Informe Kelly'!A2994,Base!A:G,7,FALSE)</f>
        <v>#N/A</v>
      </c>
      <c r="C3000" s="112">
        <f>'Informe Kelly'!E2994</f>
        <v>0</v>
      </c>
      <c r="D3000" s="112" t="e">
        <f>VLOOKUP(A3000,Ingreso!K:P,6,FALSE)</f>
        <v>#N/A</v>
      </c>
      <c r="E3000" s="142" t="e">
        <f>(VLOOKUP(D3000,$D$2:$E$4,2,FALSE))-(IF('Informe Kelly'!H2994=$A$2,'Informe Kelly'!F2994,VLOOKUP(D3000,$D$2:$E$4,2,FALSE)))</f>
        <v>#N/A</v>
      </c>
      <c r="F3000" s="142" t="e">
        <f>IF('Informe Kelly'!H2994=$A$3,'Informe Kelly'!F2994,VLOOKUP(D3000,$D$2:$F$4,3,FALSE))-(VLOOKUP(D3000,$D$2:$F$4,3,FALSE))</f>
        <v>#N/A</v>
      </c>
      <c r="G3000" s="137" t="e">
        <f t="shared" si="50"/>
        <v>#N/A</v>
      </c>
    </row>
    <row r="3001" spans="1:7">
      <c r="A3001" s="112" t="e">
        <f>VLOOKUP('Informe Kelly'!A2995,Base!A:B,2,FALSE)</f>
        <v>#N/A</v>
      </c>
      <c r="B3001" s="112" t="e">
        <f>VLOOKUP('Informe Kelly'!A2995,Base!A:G,7,FALSE)</f>
        <v>#N/A</v>
      </c>
      <c r="C3001" s="112">
        <f>'Informe Kelly'!E2995</f>
        <v>0</v>
      </c>
      <c r="D3001" s="112" t="e">
        <f>VLOOKUP(A3001,Ingreso!K:P,6,FALSE)</f>
        <v>#N/A</v>
      </c>
      <c r="E3001" s="142" t="e">
        <f>(VLOOKUP(D3001,$D$2:$E$4,2,FALSE))-(IF('Informe Kelly'!H2995=$A$2,'Informe Kelly'!F2995,VLOOKUP(D3001,$D$2:$E$4,2,FALSE)))</f>
        <v>#N/A</v>
      </c>
      <c r="F3001" s="142" t="e">
        <f>IF('Informe Kelly'!H2995=$A$3,'Informe Kelly'!F2995,VLOOKUP(D3001,$D$2:$F$4,3,FALSE))-(VLOOKUP(D3001,$D$2:$F$4,3,FALSE))</f>
        <v>#N/A</v>
      </c>
      <c r="G3001" s="137" t="e">
        <f t="shared" si="50"/>
        <v>#N/A</v>
      </c>
    </row>
    <row r="3002" spans="1:7">
      <c r="A3002" s="112" t="e">
        <f>VLOOKUP('Informe Kelly'!A2996,Base!A:B,2,FALSE)</f>
        <v>#N/A</v>
      </c>
      <c r="B3002" s="112" t="e">
        <f>VLOOKUP('Informe Kelly'!A2996,Base!A:G,7,FALSE)</f>
        <v>#N/A</v>
      </c>
      <c r="C3002" s="112">
        <f>'Informe Kelly'!E2996</f>
        <v>0</v>
      </c>
      <c r="D3002" s="112" t="e">
        <f>VLOOKUP(A3002,Ingreso!K:P,6,FALSE)</f>
        <v>#N/A</v>
      </c>
      <c r="E3002" s="142" t="e">
        <f>(VLOOKUP(D3002,$D$2:$E$4,2,FALSE))-(IF('Informe Kelly'!H2996=$A$2,'Informe Kelly'!F2996,VLOOKUP(D3002,$D$2:$E$4,2,FALSE)))</f>
        <v>#N/A</v>
      </c>
      <c r="F3002" s="142" t="e">
        <f>IF('Informe Kelly'!H2996=$A$3,'Informe Kelly'!F2996,VLOOKUP(D3002,$D$2:$F$4,3,FALSE))-(VLOOKUP(D3002,$D$2:$F$4,3,FALSE))</f>
        <v>#N/A</v>
      </c>
      <c r="G3002" s="137" t="e">
        <f t="shared" si="50"/>
        <v>#N/A</v>
      </c>
    </row>
    <row r="3003" spans="1:7">
      <c r="A3003" s="112" t="e">
        <f>VLOOKUP('Informe Kelly'!A2997,Base!A:B,2,FALSE)</f>
        <v>#N/A</v>
      </c>
      <c r="B3003" s="112" t="e">
        <f>VLOOKUP('Informe Kelly'!A2997,Base!A:G,7,FALSE)</f>
        <v>#N/A</v>
      </c>
      <c r="C3003" s="112">
        <f>'Informe Kelly'!E2997</f>
        <v>0</v>
      </c>
      <c r="D3003" s="112" t="e">
        <f>VLOOKUP(A3003,Ingreso!K:P,6,FALSE)</f>
        <v>#N/A</v>
      </c>
      <c r="E3003" s="142" t="e">
        <f>(VLOOKUP(D3003,$D$2:$E$4,2,FALSE))-(IF('Informe Kelly'!H2997=$A$2,'Informe Kelly'!F2997,VLOOKUP(D3003,$D$2:$E$4,2,FALSE)))</f>
        <v>#N/A</v>
      </c>
      <c r="F3003" s="142" t="e">
        <f>IF('Informe Kelly'!H2997=$A$3,'Informe Kelly'!F2997,VLOOKUP(D3003,$D$2:$F$4,3,FALSE))-(VLOOKUP(D3003,$D$2:$F$4,3,FALSE))</f>
        <v>#N/A</v>
      </c>
      <c r="G3003" s="137" t="e">
        <f t="shared" si="50"/>
        <v>#N/A</v>
      </c>
    </row>
    <row r="3004" spans="1:7">
      <c r="A3004" s="112" t="e">
        <f>VLOOKUP('Informe Kelly'!A2998,Base!A:B,2,FALSE)</f>
        <v>#N/A</v>
      </c>
      <c r="B3004" s="112" t="e">
        <f>VLOOKUP('Informe Kelly'!A2998,Base!A:G,7,FALSE)</f>
        <v>#N/A</v>
      </c>
      <c r="C3004" s="112">
        <f>'Informe Kelly'!E2998</f>
        <v>0</v>
      </c>
      <c r="D3004" s="112" t="e">
        <f>VLOOKUP(A3004,Ingreso!K:P,6,FALSE)</f>
        <v>#N/A</v>
      </c>
      <c r="E3004" s="142" t="e">
        <f>(VLOOKUP(D3004,$D$2:$E$4,2,FALSE))-(IF('Informe Kelly'!H2998=$A$2,'Informe Kelly'!F2998,VLOOKUP(D3004,$D$2:$E$4,2,FALSE)))</f>
        <v>#N/A</v>
      </c>
      <c r="F3004" s="142" t="e">
        <f>IF('Informe Kelly'!H2998=$A$3,'Informe Kelly'!F2998,VLOOKUP(D3004,$D$2:$F$4,3,FALSE))-(VLOOKUP(D3004,$D$2:$F$4,3,FALSE))</f>
        <v>#N/A</v>
      </c>
      <c r="G3004" s="137" t="e">
        <f t="shared" si="50"/>
        <v>#N/A</v>
      </c>
    </row>
    <row r="3005" spans="1:7">
      <c r="A3005" s="112" t="e">
        <f>VLOOKUP('Informe Kelly'!A2999,Base!A:B,2,FALSE)</f>
        <v>#N/A</v>
      </c>
      <c r="B3005" s="112" t="e">
        <f>VLOOKUP('Informe Kelly'!A2999,Base!A:G,7,FALSE)</f>
        <v>#N/A</v>
      </c>
      <c r="C3005" s="112">
        <f>'Informe Kelly'!E2999</f>
        <v>0</v>
      </c>
      <c r="D3005" s="112" t="e">
        <f>VLOOKUP(A3005,Ingreso!K:P,6,FALSE)</f>
        <v>#N/A</v>
      </c>
      <c r="E3005" s="142" t="e">
        <f>(VLOOKUP(D3005,$D$2:$E$4,2,FALSE))-(IF('Informe Kelly'!H2999=$A$2,'Informe Kelly'!F2999,VLOOKUP(D3005,$D$2:$E$4,2,FALSE)))</f>
        <v>#N/A</v>
      </c>
      <c r="F3005" s="142" t="e">
        <f>IF('Informe Kelly'!H2999=$A$3,'Informe Kelly'!F2999,VLOOKUP(D3005,$D$2:$F$4,3,FALSE))-(VLOOKUP(D3005,$D$2:$F$4,3,FALSE))</f>
        <v>#N/A</v>
      </c>
      <c r="G3005" s="137" t="e">
        <f t="shared" si="50"/>
        <v>#N/A</v>
      </c>
    </row>
    <row r="3006" spans="1:7">
      <c r="A3006" s="112" t="e">
        <f>VLOOKUP('Informe Kelly'!A3000,Base!A:B,2,FALSE)</f>
        <v>#N/A</v>
      </c>
      <c r="B3006" s="112" t="e">
        <f>VLOOKUP('Informe Kelly'!A3000,Base!A:G,7,FALSE)</f>
        <v>#N/A</v>
      </c>
      <c r="C3006" s="112">
        <f>'Informe Kelly'!E3000</f>
        <v>0</v>
      </c>
      <c r="D3006" s="112" t="e">
        <f>VLOOKUP(A3006,Ingreso!K:P,6,FALSE)</f>
        <v>#N/A</v>
      </c>
      <c r="E3006" s="142" t="e">
        <f>(VLOOKUP(D3006,$D$2:$E$4,2,FALSE))-(IF('Informe Kelly'!H3000=$A$2,'Informe Kelly'!F3000,VLOOKUP(D3006,$D$2:$E$4,2,FALSE)))</f>
        <v>#N/A</v>
      </c>
      <c r="F3006" s="142" t="e">
        <f>IF('Informe Kelly'!H3000=$A$3,'Informe Kelly'!F3000,VLOOKUP(D3006,$D$2:$F$4,3,FALSE))-(VLOOKUP(D3006,$D$2:$F$4,3,FALSE))</f>
        <v>#N/A</v>
      </c>
      <c r="G3006" s="137" t="e">
        <f t="shared" si="50"/>
        <v>#N/A</v>
      </c>
    </row>
    <row r="3007" spans="1:7">
      <c r="A3007" s="112" t="e">
        <f>VLOOKUP('Informe Kelly'!A3001,Base!A:B,2,FALSE)</f>
        <v>#N/A</v>
      </c>
      <c r="B3007" s="112" t="e">
        <f>VLOOKUP('Informe Kelly'!A3001,Base!A:G,7,FALSE)</f>
        <v>#N/A</v>
      </c>
      <c r="C3007" s="112">
        <f>'Informe Kelly'!E3001</f>
        <v>0</v>
      </c>
      <c r="D3007" s="112" t="e">
        <f>VLOOKUP(A3007,Ingreso!K:P,6,FALSE)</f>
        <v>#N/A</v>
      </c>
      <c r="E3007" s="142" t="e">
        <f>(VLOOKUP(D3007,$D$2:$E$4,2,FALSE))-(IF('Informe Kelly'!H3001=$A$2,'Informe Kelly'!F3001,VLOOKUP(D3007,$D$2:$E$4,2,FALSE)))</f>
        <v>#N/A</v>
      </c>
      <c r="F3007" s="142" t="e">
        <f>IF('Informe Kelly'!H3001=$A$3,'Informe Kelly'!F3001,VLOOKUP(D3007,$D$2:$F$4,3,FALSE))-(VLOOKUP(D3007,$D$2:$F$4,3,FALSE))</f>
        <v>#N/A</v>
      </c>
      <c r="G3007" s="137" t="e">
        <f t="shared" si="50"/>
        <v>#N/A</v>
      </c>
    </row>
    <row r="3008" spans="1:7">
      <c r="A3008" s="112" t="e">
        <f>VLOOKUP('Informe Kelly'!A3002,Base!A:B,2,FALSE)</f>
        <v>#N/A</v>
      </c>
      <c r="B3008" s="112" t="e">
        <f>VLOOKUP('Informe Kelly'!A3002,Base!A:G,7,FALSE)</f>
        <v>#N/A</v>
      </c>
      <c r="C3008" s="112">
        <f>'Informe Kelly'!E3002</f>
        <v>0</v>
      </c>
      <c r="D3008" s="112" t="e">
        <f>VLOOKUP(A3008,Ingreso!K:P,6,FALSE)</f>
        <v>#N/A</v>
      </c>
      <c r="E3008" s="142" t="e">
        <f>(VLOOKUP(D3008,$D$2:$E$4,2,FALSE))-(IF('Informe Kelly'!H3002=$A$2,'Informe Kelly'!F3002,VLOOKUP(D3008,$D$2:$E$4,2,FALSE)))</f>
        <v>#N/A</v>
      </c>
      <c r="F3008" s="142" t="e">
        <f>IF('Informe Kelly'!H3002=$A$3,'Informe Kelly'!F3002,VLOOKUP(D3008,$D$2:$F$4,3,FALSE))-(VLOOKUP(D3008,$D$2:$F$4,3,FALSE))</f>
        <v>#N/A</v>
      </c>
      <c r="G3008" s="137" t="e">
        <f t="shared" si="50"/>
        <v>#N/A</v>
      </c>
    </row>
    <row r="3009" spans="1:7">
      <c r="A3009" s="112" t="e">
        <f>VLOOKUP('Informe Kelly'!A3003,Base!A:B,2,FALSE)</f>
        <v>#N/A</v>
      </c>
      <c r="B3009" s="112" t="e">
        <f>VLOOKUP('Informe Kelly'!A3003,Base!A:G,7,FALSE)</f>
        <v>#N/A</v>
      </c>
      <c r="C3009" s="112">
        <f>'Informe Kelly'!E3003</f>
        <v>0</v>
      </c>
      <c r="D3009" s="112" t="e">
        <f>VLOOKUP(A3009,Ingreso!K:P,6,FALSE)</f>
        <v>#N/A</v>
      </c>
      <c r="E3009" s="142" t="e">
        <f>(VLOOKUP(D3009,$D$2:$E$4,2,FALSE))-(IF('Informe Kelly'!H3003=$A$2,'Informe Kelly'!F3003,VLOOKUP(D3009,$D$2:$E$4,2,FALSE)))</f>
        <v>#N/A</v>
      </c>
      <c r="F3009" s="142" t="e">
        <f>IF('Informe Kelly'!H3003=$A$3,'Informe Kelly'!F3003,VLOOKUP(D3009,$D$2:$F$4,3,FALSE))-(VLOOKUP(D3009,$D$2:$F$4,3,FALSE))</f>
        <v>#N/A</v>
      </c>
      <c r="G3009" s="137" t="e">
        <f t="shared" si="50"/>
        <v>#N/A</v>
      </c>
    </row>
    <row r="3010" spans="1:7">
      <c r="A3010" s="112" t="e">
        <f>VLOOKUP('Informe Kelly'!A3004,Base!A:B,2,FALSE)</f>
        <v>#N/A</v>
      </c>
      <c r="B3010" s="112" t="e">
        <f>VLOOKUP('Informe Kelly'!A3004,Base!A:G,7,FALSE)</f>
        <v>#N/A</v>
      </c>
      <c r="C3010" s="112">
        <f>'Informe Kelly'!E3004</f>
        <v>0</v>
      </c>
      <c r="D3010" s="112" t="e">
        <f>VLOOKUP(A3010,Ingreso!K:P,6,FALSE)</f>
        <v>#N/A</v>
      </c>
      <c r="E3010" s="142" t="e">
        <f>(VLOOKUP(D3010,$D$2:$E$4,2,FALSE))-(IF('Informe Kelly'!H3004=$A$2,'Informe Kelly'!F3004,VLOOKUP(D3010,$D$2:$E$4,2,FALSE)))</f>
        <v>#N/A</v>
      </c>
      <c r="F3010" s="142" t="e">
        <f>IF('Informe Kelly'!H3004=$A$3,'Informe Kelly'!F3004,VLOOKUP(D3010,$D$2:$F$4,3,FALSE))-(VLOOKUP(D3010,$D$2:$F$4,3,FALSE))</f>
        <v>#N/A</v>
      </c>
      <c r="G3010" s="137" t="e">
        <f t="shared" si="50"/>
        <v>#N/A</v>
      </c>
    </row>
    <row r="3011" spans="1:7">
      <c r="A3011" s="112" t="e">
        <f>VLOOKUP('Informe Kelly'!A3005,Base!A:B,2,FALSE)</f>
        <v>#N/A</v>
      </c>
      <c r="B3011" s="112" t="e">
        <f>VLOOKUP('Informe Kelly'!A3005,Base!A:G,7,FALSE)</f>
        <v>#N/A</v>
      </c>
      <c r="C3011" s="112">
        <f>'Informe Kelly'!E3005</f>
        <v>0</v>
      </c>
      <c r="D3011" s="112" t="e">
        <f>VLOOKUP(A3011,Ingreso!K:P,6,FALSE)</f>
        <v>#N/A</v>
      </c>
      <c r="E3011" s="142" t="e">
        <f>(VLOOKUP(D3011,$D$2:$E$4,2,FALSE))-(IF('Informe Kelly'!H3005=$A$2,'Informe Kelly'!F3005,VLOOKUP(D3011,$D$2:$E$4,2,FALSE)))</f>
        <v>#N/A</v>
      </c>
      <c r="F3011" s="142" t="e">
        <f>IF('Informe Kelly'!H3005=$A$3,'Informe Kelly'!F3005,VLOOKUP(D3011,$D$2:$F$4,3,FALSE))-(VLOOKUP(D3011,$D$2:$F$4,3,FALSE))</f>
        <v>#N/A</v>
      </c>
      <c r="G3011" s="137" t="e">
        <f t="shared" si="50"/>
        <v>#N/A</v>
      </c>
    </row>
    <row r="3012" spans="1:7">
      <c r="A3012" s="112" t="e">
        <f>VLOOKUP('Informe Kelly'!A3006,Base!A:B,2,FALSE)</f>
        <v>#N/A</v>
      </c>
      <c r="B3012" s="112" t="e">
        <f>VLOOKUP('Informe Kelly'!A3006,Base!A:G,7,FALSE)</f>
        <v>#N/A</v>
      </c>
      <c r="C3012" s="112">
        <f>'Informe Kelly'!E3006</f>
        <v>0</v>
      </c>
      <c r="D3012" s="112" t="e">
        <f>VLOOKUP(A3012,Ingreso!K:P,6,FALSE)</f>
        <v>#N/A</v>
      </c>
      <c r="E3012" s="142" t="e">
        <f>(VLOOKUP(D3012,$D$2:$E$4,2,FALSE))-(IF('Informe Kelly'!H3006=$A$2,'Informe Kelly'!F3006,VLOOKUP(D3012,$D$2:$E$4,2,FALSE)))</f>
        <v>#N/A</v>
      </c>
      <c r="F3012" s="142" t="e">
        <f>IF('Informe Kelly'!H3006=$A$3,'Informe Kelly'!F3006,VLOOKUP(D3012,$D$2:$F$4,3,FALSE))-(VLOOKUP(D3012,$D$2:$F$4,3,FALSE))</f>
        <v>#N/A</v>
      </c>
      <c r="G3012" s="137" t="e">
        <f t="shared" si="50"/>
        <v>#N/A</v>
      </c>
    </row>
    <row r="3013" spans="1:7">
      <c r="A3013" s="112" t="e">
        <f>VLOOKUP('Informe Kelly'!A3007,Base!A:B,2,FALSE)</f>
        <v>#N/A</v>
      </c>
      <c r="B3013" s="112" t="e">
        <f>VLOOKUP('Informe Kelly'!A3007,Base!A:G,7,FALSE)</f>
        <v>#N/A</v>
      </c>
      <c r="C3013" s="112">
        <f>'Informe Kelly'!E3007</f>
        <v>0</v>
      </c>
      <c r="D3013" s="112" t="e">
        <f>VLOOKUP(A3013,Ingreso!K:P,6,FALSE)</f>
        <v>#N/A</v>
      </c>
      <c r="E3013" s="142" t="e">
        <f>(VLOOKUP(D3013,$D$2:$E$4,2,FALSE))-(IF('Informe Kelly'!H3007=$A$2,'Informe Kelly'!F3007,VLOOKUP(D3013,$D$2:$E$4,2,FALSE)))</f>
        <v>#N/A</v>
      </c>
      <c r="F3013" s="142" t="e">
        <f>IF('Informe Kelly'!H3007=$A$3,'Informe Kelly'!F3007,VLOOKUP(D3013,$D$2:$F$4,3,FALSE))-(VLOOKUP(D3013,$D$2:$F$4,3,FALSE))</f>
        <v>#N/A</v>
      </c>
      <c r="G3013" s="137" t="e">
        <f t="shared" si="50"/>
        <v>#N/A</v>
      </c>
    </row>
    <row r="3014" spans="1:7">
      <c r="A3014" s="112" t="e">
        <f>VLOOKUP('Informe Kelly'!A3008,Base!A:B,2,FALSE)</f>
        <v>#N/A</v>
      </c>
      <c r="B3014" s="112" t="e">
        <f>VLOOKUP('Informe Kelly'!A3008,Base!A:G,7,FALSE)</f>
        <v>#N/A</v>
      </c>
      <c r="C3014" s="112">
        <f>'Informe Kelly'!E3008</f>
        <v>0</v>
      </c>
      <c r="D3014" s="112" t="e">
        <f>VLOOKUP(A3014,Ingreso!K:P,6,FALSE)</f>
        <v>#N/A</v>
      </c>
      <c r="E3014" s="142" t="e">
        <f>(VLOOKUP(D3014,$D$2:$E$4,2,FALSE))-(IF('Informe Kelly'!H3008=$A$2,'Informe Kelly'!F3008,VLOOKUP(D3014,$D$2:$E$4,2,FALSE)))</f>
        <v>#N/A</v>
      </c>
      <c r="F3014" s="142" t="e">
        <f>IF('Informe Kelly'!H3008=$A$3,'Informe Kelly'!F3008,VLOOKUP(D3014,$D$2:$F$4,3,FALSE))-(VLOOKUP(D3014,$D$2:$F$4,3,FALSE))</f>
        <v>#N/A</v>
      </c>
      <c r="G3014" s="137" t="e">
        <f t="shared" si="50"/>
        <v>#N/A</v>
      </c>
    </row>
    <row r="3015" spans="1:7">
      <c r="A3015" s="112" t="e">
        <f>VLOOKUP('Informe Kelly'!A3009,Base!A:B,2,FALSE)</f>
        <v>#N/A</v>
      </c>
      <c r="B3015" s="112" t="e">
        <f>VLOOKUP('Informe Kelly'!A3009,Base!A:G,7,FALSE)</f>
        <v>#N/A</v>
      </c>
      <c r="C3015" s="112">
        <f>'Informe Kelly'!E3009</f>
        <v>0</v>
      </c>
      <c r="D3015" s="112" t="e">
        <f>VLOOKUP(A3015,Ingreso!K:P,6,FALSE)</f>
        <v>#N/A</v>
      </c>
      <c r="E3015" s="142" t="e">
        <f>(VLOOKUP(D3015,$D$2:$E$4,2,FALSE))-(IF('Informe Kelly'!H3009=$A$2,'Informe Kelly'!F3009,VLOOKUP(D3015,$D$2:$E$4,2,FALSE)))</f>
        <v>#N/A</v>
      </c>
      <c r="F3015" s="142" t="e">
        <f>IF('Informe Kelly'!H3009=$A$3,'Informe Kelly'!F3009,VLOOKUP(D3015,$D$2:$F$4,3,FALSE))-(VLOOKUP(D3015,$D$2:$F$4,3,FALSE))</f>
        <v>#N/A</v>
      </c>
      <c r="G3015" s="137" t="e">
        <f t="shared" si="50"/>
        <v>#N/A</v>
      </c>
    </row>
    <row r="3016" spans="1:7">
      <c r="A3016" s="112" t="e">
        <f>VLOOKUP('Informe Kelly'!A3010,Base!A:B,2,FALSE)</f>
        <v>#N/A</v>
      </c>
      <c r="B3016" s="112" t="e">
        <f>VLOOKUP('Informe Kelly'!A3010,Base!A:G,7,FALSE)</f>
        <v>#N/A</v>
      </c>
      <c r="C3016" s="112">
        <f>'Informe Kelly'!E3010</f>
        <v>0</v>
      </c>
      <c r="D3016" s="112" t="e">
        <f>VLOOKUP(A3016,Ingreso!K:P,6,FALSE)</f>
        <v>#N/A</v>
      </c>
      <c r="E3016" s="142" t="e">
        <f>(VLOOKUP(D3016,$D$2:$E$4,2,FALSE))-(IF('Informe Kelly'!H3010=$A$2,'Informe Kelly'!F3010,VLOOKUP(D3016,$D$2:$E$4,2,FALSE)))</f>
        <v>#N/A</v>
      </c>
      <c r="F3016" s="142" t="e">
        <f>IF('Informe Kelly'!H3010=$A$3,'Informe Kelly'!F3010,VLOOKUP(D3016,$D$2:$F$4,3,FALSE))-(VLOOKUP(D3016,$D$2:$F$4,3,FALSE))</f>
        <v>#N/A</v>
      </c>
      <c r="G3016" s="137" t="e">
        <f t="shared" si="50"/>
        <v>#N/A</v>
      </c>
    </row>
    <row r="3017" spans="1:7">
      <c r="A3017" s="112" t="e">
        <f>VLOOKUP('Informe Kelly'!A3011,Base!A:B,2,FALSE)</f>
        <v>#N/A</v>
      </c>
      <c r="B3017" s="112" t="e">
        <f>VLOOKUP('Informe Kelly'!A3011,Base!A:G,7,FALSE)</f>
        <v>#N/A</v>
      </c>
      <c r="C3017" s="112">
        <f>'Informe Kelly'!E3011</f>
        <v>0</v>
      </c>
      <c r="D3017" s="112" t="e">
        <f>VLOOKUP(A3017,Ingreso!K:P,6,FALSE)</f>
        <v>#N/A</v>
      </c>
      <c r="E3017" s="142" t="e">
        <f>(VLOOKUP(D3017,$D$2:$E$4,2,FALSE))-(IF('Informe Kelly'!H3011=$A$2,'Informe Kelly'!F3011,VLOOKUP(D3017,$D$2:$E$4,2,FALSE)))</f>
        <v>#N/A</v>
      </c>
      <c r="F3017" s="142" t="e">
        <f>IF('Informe Kelly'!H3011=$A$3,'Informe Kelly'!F3011,VLOOKUP(D3017,$D$2:$F$4,3,FALSE))-(VLOOKUP(D3017,$D$2:$F$4,3,FALSE))</f>
        <v>#N/A</v>
      </c>
      <c r="G3017" s="137" t="e">
        <f t="shared" ref="G3017:G3080" si="51">IF(E3017="",IF(F3017&lt;0.0409722222222222,0,E3017),IF(E3017&lt;0.0409722222222222,0,E3017))</f>
        <v>#N/A</v>
      </c>
    </row>
    <row r="3018" spans="1:7">
      <c r="A3018" s="112" t="e">
        <f>VLOOKUP('Informe Kelly'!A3012,Base!A:B,2,FALSE)</f>
        <v>#N/A</v>
      </c>
      <c r="B3018" s="112" t="e">
        <f>VLOOKUP('Informe Kelly'!A3012,Base!A:G,7,FALSE)</f>
        <v>#N/A</v>
      </c>
      <c r="C3018" s="112">
        <f>'Informe Kelly'!E3012</f>
        <v>0</v>
      </c>
      <c r="D3018" s="112" t="e">
        <f>VLOOKUP(A3018,Ingreso!K:P,6,FALSE)</f>
        <v>#N/A</v>
      </c>
      <c r="E3018" s="142" t="e">
        <f>(VLOOKUP(D3018,$D$2:$E$4,2,FALSE))-(IF('Informe Kelly'!H3012=$A$2,'Informe Kelly'!F3012,VLOOKUP(D3018,$D$2:$E$4,2,FALSE)))</f>
        <v>#N/A</v>
      </c>
      <c r="F3018" s="142" t="e">
        <f>IF('Informe Kelly'!H3012=$A$3,'Informe Kelly'!F3012,VLOOKUP(D3018,$D$2:$F$4,3,FALSE))-(VLOOKUP(D3018,$D$2:$F$4,3,FALSE))</f>
        <v>#N/A</v>
      </c>
      <c r="G3018" s="137" t="e">
        <f t="shared" si="51"/>
        <v>#N/A</v>
      </c>
    </row>
    <row r="3019" spans="1:7">
      <c r="A3019" s="112" t="e">
        <f>VLOOKUP('Informe Kelly'!A3013,Base!A:B,2,FALSE)</f>
        <v>#N/A</v>
      </c>
      <c r="B3019" s="112" t="e">
        <f>VLOOKUP('Informe Kelly'!A3013,Base!A:G,7,FALSE)</f>
        <v>#N/A</v>
      </c>
      <c r="C3019" s="112">
        <f>'Informe Kelly'!E3013</f>
        <v>0</v>
      </c>
      <c r="D3019" s="112" t="e">
        <f>VLOOKUP(A3019,Ingreso!K:P,6,FALSE)</f>
        <v>#N/A</v>
      </c>
      <c r="E3019" s="142" t="e">
        <f>(VLOOKUP(D3019,$D$2:$E$4,2,FALSE))-(IF('Informe Kelly'!H3013=$A$2,'Informe Kelly'!F3013,VLOOKUP(D3019,$D$2:$E$4,2,FALSE)))</f>
        <v>#N/A</v>
      </c>
      <c r="F3019" s="142" t="e">
        <f>IF('Informe Kelly'!H3013=$A$3,'Informe Kelly'!F3013,VLOOKUP(D3019,$D$2:$F$4,3,FALSE))-(VLOOKUP(D3019,$D$2:$F$4,3,FALSE))</f>
        <v>#N/A</v>
      </c>
      <c r="G3019" s="137" t="e">
        <f t="shared" si="51"/>
        <v>#N/A</v>
      </c>
    </row>
    <row r="3020" spans="1:7">
      <c r="A3020" s="112" t="e">
        <f>VLOOKUP('Informe Kelly'!A3014,Base!A:B,2,FALSE)</f>
        <v>#N/A</v>
      </c>
      <c r="B3020" s="112" t="e">
        <f>VLOOKUP('Informe Kelly'!A3014,Base!A:G,7,FALSE)</f>
        <v>#N/A</v>
      </c>
      <c r="C3020" s="112">
        <f>'Informe Kelly'!E3014</f>
        <v>0</v>
      </c>
      <c r="D3020" s="112" t="e">
        <f>VLOOKUP(A3020,Ingreso!K:P,6,FALSE)</f>
        <v>#N/A</v>
      </c>
      <c r="E3020" s="142" t="e">
        <f>(VLOOKUP(D3020,$D$2:$E$4,2,FALSE))-(IF('Informe Kelly'!H3014=$A$2,'Informe Kelly'!F3014,VLOOKUP(D3020,$D$2:$E$4,2,FALSE)))</f>
        <v>#N/A</v>
      </c>
      <c r="F3020" s="142" t="e">
        <f>IF('Informe Kelly'!H3014=$A$3,'Informe Kelly'!F3014,VLOOKUP(D3020,$D$2:$F$4,3,FALSE))-(VLOOKUP(D3020,$D$2:$F$4,3,FALSE))</f>
        <v>#N/A</v>
      </c>
      <c r="G3020" s="137" t="e">
        <f t="shared" si="51"/>
        <v>#N/A</v>
      </c>
    </row>
    <row r="3021" spans="1:7">
      <c r="A3021" s="112" t="e">
        <f>VLOOKUP('Informe Kelly'!A3015,Base!A:B,2,FALSE)</f>
        <v>#N/A</v>
      </c>
      <c r="B3021" s="112" t="e">
        <f>VLOOKUP('Informe Kelly'!A3015,Base!A:G,7,FALSE)</f>
        <v>#N/A</v>
      </c>
      <c r="C3021" s="112">
        <f>'Informe Kelly'!E3015</f>
        <v>0</v>
      </c>
      <c r="D3021" s="112" t="e">
        <f>VLOOKUP(A3021,Ingreso!K:P,6,FALSE)</f>
        <v>#N/A</v>
      </c>
      <c r="E3021" s="142" t="e">
        <f>(VLOOKUP(D3021,$D$2:$E$4,2,FALSE))-(IF('Informe Kelly'!H3015=$A$2,'Informe Kelly'!F3015,VLOOKUP(D3021,$D$2:$E$4,2,FALSE)))</f>
        <v>#N/A</v>
      </c>
      <c r="F3021" s="142" t="e">
        <f>IF('Informe Kelly'!H3015=$A$3,'Informe Kelly'!F3015,VLOOKUP(D3021,$D$2:$F$4,3,FALSE))-(VLOOKUP(D3021,$D$2:$F$4,3,FALSE))</f>
        <v>#N/A</v>
      </c>
      <c r="G3021" s="137" t="e">
        <f t="shared" si="51"/>
        <v>#N/A</v>
      </c>
    </row>
    <row r="3022" spans="1:7">
      <c r="A3022" s="112" t="e">
        <f>VLOOKUP('Informe Kelly'!A3016,Base!A:B,2,FALSE)</f>
        <v>#N/A</v>
      </c>
      <c r="B3022" s="112" t="e">
        <f>VLOOKUP('Informe Kelly'!A3016,Base!A:G,7,FALSE)</f>
        <v>#N/A</v>
      </c>
      <c r="C3022" s="112">
        <f>'Informe Kelly'!E3016</f>
        <v>0</v>
      </c>
      <c r="D3022" s="112" t="e">
        <f>VLOOKUP(A3022,Ingreso!K:P,6,FALSE)</f>
        <v>#N/A</v>
      </c>
      <c r="E3022" s="142" t="e">
        <f>(VLOOKUP(D3022,$D$2:$E$4,2,FALSE))-(IF('Informe Kelly'!H3016=$A$2,'Informe Kelly'!F3016,VLOOKUP(D3022,$D$2:$E$4,2,FALSE)))</f>
        <v>#N/A</v>
      </c>
      <c r="F3022" s="142" t="e">
        <f>IF('Informe Kelly'!H3016=$A$3,'Informe Kelly'!F3016,VLOOKUP(D3022,$D$2:$F$4,3,FALSE))-(VLOOKUP(D3022,$D$2:$F$4,3,FALSE))</f>
        <v>#N/A</v>
      </c>
      <c r="G3022" s="137" t="e">
        <f t="shared" si="51"/>
        <v>#N/A</v>
      </c>
    </row>
    <row r="3023" spans="1:7">
      <c r="A3023" s="112" t="e">
        <f>VLOOKUP('Informe Kelly'!A3017,Base!A:B,2,FALSE)</f>
        <v>#N/A</v>
      </c>
      <c r="B3023" s="112" t="e">
        <f>VLOOKUP('Informe Kelly'!A3017,Base!A:G,7,FALSE)</f>
        <v>#N/A</v>
      </c>
      <c r="C3023" s="112">
        <f>'Informe Kelly'!E3017</f>
        <v>0</v>
      </c>
      <c r="D3023" s="112" t="e">
        <f>VLOOKUP(A3023,Ingreso!K:P,6,FALSE)</f>
        <v>#N/A</v>
      </c>
      <c r="E3023" s="142" t="e">
        <f>(VLOOKUP(D3023,$D$2:$E$4,2,FALSE))-(IF('Informe Kelly'!H3017=$A$2,'Informe Kelly'!F3017,VLOOKUP(D3023,$D$2:$E$4,2,FALSE)))</f>
        <v>#N/A</v>
      </c>
      <c r="F3023" s="142" t="e">
        <f>IF('Informe Kelly'!H3017=$A$3,'Informe Kelly'!F3017,VLOOKUP(D3023,$D$2:$F$4,3,FALSE))-(VLOOKUP(D3023,$D$2:$F$4,3,FALSE))</f>
        <v>#N/A</v>
      </c>
      <c r="G3023" s="137" t="e">
        <f t="shared" si="51"/>
        <v>#N/A</v>
      </c>
    </row>
    <row r="3024" spans="1:7">
      <c r="A3024" s="112" t="e">
        <f>VLOOKUP('Informe Kelly'!A3018,Base!A:B,2,FALSE)</f>
        <v>#N/A</v>
      </c>
      <c r="B3024" s="112" t="e">
        <f>VLOOKUP('Informe Kelly'!A3018,Base!A:G,7,FALSE)</f>
        <v>#N/A</v>
      </c>
      <c r="C3024" s="112">
        <f>'Informe Kelly'!E3018</f>
        <v>0</v>
      </c>
      <c r="D3024" s="112" t="e">
        <f>VLOOKUP(A3024,Ingreso!K:P,6,FALSE)</f>
        <v>#N/A</v>
      </c>
      <c r="E3024" s="142" t="e">
        <f>(VLOOKUP(D3024,$D$2:$E$4,2,FALSE))-(IF('Informe Kelly'!H3018=$A$2,'Informe Kelly'!F3018,VLOOKUP(D3024,$D$2:$E$4,2,FALSE)))</f>
        <v>#N/A</v>
      </c>
      <c r="F3024" s="142" t="e">
        <f>IF('Informe Kelly'!H3018=$A$3,'Informe Kelly'!F3018,VLOOKUP(D3024,$D$2:$F$4,3,FALSE))-(VLOOKUP(D3024,$D$2:$F$4,3,FALSE))</f>
        <v>#N/A</v>
      </c>
      <c r="G3024" s="137" t="e">
        <f t="shared" si="51"/>
        <v>#N/A</v>
      </c>
    </row>
    <row r="3025" spans="1:7">
      <c r="A3025" s="112" t="e">
        <f>VLOOKUP('Informe Kelly'!A3019,Base!A:B,2,FALSE)</f>
        <v>#N/A</v>
      </c>
      <c r="B3025" s="112" t="e">
        <f>VLOOKUP('Informe Kelly'!A3019,Base!A:G,7,FALSE)</f>
        <v>#N/A</v>
      </c>
      <c r="C3025" s="112">
        <f>'Informe Kelly'!E3019</f>
        <v>0</v>
      </c>
      <c r="D3025" s="112" t="e">
        <f>VLOOKUP(A3025,Ingreso!K:P,6,FALSE)</f>
        <v>#N/A</v>
      </c>
      <c r="E3025" s="142" t="e">
        <f>(VLOOKUP(D3025,$D$2:$E$4,2,FALSE))-(IF('Informe Kelly'!H3019=$A$2,'Informe Kelly'!F3019,VLOOKUP(D3025,$D$2:$E$4,2,FALSE)))</f>
        <v>#N/A</v>
      </c>
      <c r="F3025" s="142" t="e">
        <f>IF('Informe Kelly'!H3019=$A$3,'Informe Kelly'!F3019,VLOOKUP(D3025,$D$2:$F$4,3,FALSE))-(VLOOKUP(D3025,$D$2:$F$4,3,FALSE))</f>
        <v>#N/A</v>
      </c>
      <c r="G3025" s="137" t="e">
        <f t="shared" si="51"/>
        <v>#N/A</v>
      </c>
    </row>
    <row r="3026" spans="1:7">
      <c r="A3026" s="112" t="e">
        <f>VLOOKUP('Informe Kelly'!A3020,Base!A:B,2,FALSE)</f>
        <v>#N/A</v>
      </c>
      <c r="B3026" s="112" t="e">
        <f>VLOOKUP('Informe Kelly'!A3020,Base!A:G,7,FALSE)</f>
        <v>#N/A</v>
      </c>
      <c r="C3026" s="112">
        <f>'Informe Kelly'!E3020</f>
        <v>0</v>
      </c>
      <c r="D3026" s="112" t="e">
        <f>VLOOKUP(A3026,Ingreso!K:P,6,FALSE)</f>
        <v>#N/A</v>
      </c>
      <c r="E3026" s="142" t="e">
        <f>(VLOOKUP(D3026,$D$2:$E$4,2,FALSE))-(IF('Informe Kelly'!H3020=$A$2,'Informe Kelly'!F3020,VLOOKUP(D3026,$D$2:$E$4,2,FALSE)))</f>
        <v>#N/A</v>
      </c>
      <c r="F3026" s="142" t="e">
        <f>IF('Informe Kelly'!H3020=$A$3,'Informe Kelly'!F3020,VLOOKUP(D3026,$D$2:$F$4,3,FALSE))-(VLOOKUP(D3026,$D$2:$F$4,3,FALSE))</f>
        <v>#N/A</v>
      </c>
      <c r="G3026" s="137" t="e">
        <f t="shared" si="51"/>
        <v>#N/A</v>
      </c>
    </row>
    <row r="3027" spans="1:7">
      <c r="A3027" s="112" t="e">
        <f>VLOOKUP('Informe Kelly'!A3021,Base!A:B,2,FALSE)</f>
        <v>#N/A</v>
      </c>
      <c r="B3027" s="112" t="e">
        <f>VLOOKUP('Informe Kelly'!A3021,Base!A:G,7,FALSE)</f>
        <v>#N/A</v>
      </c>
      <c r="C3027" s="112">
        <f>'Informe Kelly'!E3021</f>
        <v>0</v>
      </c>
      <c r="D3027" s="112" t="e">
        <f>VLOOKUP(A3027,Ingreso!K:P,6,FALSE)</f>
        <v>#N/A</v>
      </c>
      <c r="E3027" s="142" t="e">
        <f>(VLOOKUP(D3027,$D$2:$E$4,2,FALSE))-(IF('Informe Kelly'!H3021=$A$2,'Informe Kelly'!F3021,VLOOKUP(D3027,$D$2:$E$4,2,FALSE)))</f>
        <v>#N/A</v>
      </c>
      <c r="F3027" s="142" t="e">
        <f>IF('Informe Kelly'!H3021=$A$3,'Informe Kelly'!F3021,VLOOKUP(D3027,$D$2:$F$4,3,FALSE))-(VLOOKUP(D3027,$D$2:$F$4,3,FALSE))</f>
        <v>#N/A</v>
      </c>
      <c r="G3027" s="137" t="e">
        <f t="shared" si="51"/>
        <v>#N/A</v>
      </c>
    </row>
    <row r="3028" spans="1:7">
      <c r="A3028" s="112" t="e">
        <f>VLOOKUP('Informe Kelly'!A3022,Base!A:B,2,FALSE)</f>
        <v>#N/A</v>
      </c>
      <c r="B3028" s="112" t="e">
        <f>VLOOKUP('Informe Kelly'!A3022,Base!A:G,7,FALSE)</f>
        <v>#N/A</v>
      </c>
      <c r="C3028" s="112">
        <f>'Informe Kelly'!E3022</f>
        <v>0</v>
      </c>
      <c r="D3028" s="112" t="e">
        <f>VLOOKUP(A3028,Ingreso!K:P,6,FALSE)</f>
        <v>#N/A</v>
      </c>
      <c r="E3028" s="142" t="e">
        <f>(VLOOKUP(D3028,$D$2:$E$4,2,FALSE))-(IF('Informe Kelly'!H3022=$A$2,'Informe Kelly'!F3022,VLOOKUP(D3028,$D$2:$E$4,2,FALSE)))</f>
        <v>#N/A</v>
      </c>
      <c r="F3028" s="142" t="e">
        <f>IF('Informe Kelly'!H3022=$A$3,'Informe Kelly'!F3022,VLOOKUP(D3028,$D$2:$F$4,3,FALSE))-(VLOOKUP(D3028,$D$2:$F$4,3,FALSE))</f>
        <v>#N/A</v>
      </c>
      <c r="G3028" s="137" t="e">
        <f t="shared" si="51"/>
        <v>#N/A</v>
      </c>
    </row>
    <row r="3029" spans="1:7">
      <c r="A3029" s="112" t="e">
        <f>VLOOKUP('Informe Kelly'!A3023,Base!A:B,2,FALSE)</f>
        <v>#N/A</v>
      </c>
      <c r="B3029" s="112" t="e">
        <f>VLOOKUP('Informe Kelly'!A3023,Base!A:G,7,FALSE)</f>
        <v>#N/A</v>
      </c>
      <c r="C3029" s="112">
        <f>'Informe Kelly'!E3023</f>
        <v>0</v>
      </c>
      <c r="D3029" s="112" t="e">
        <f>VLOOKUP(A3029,Ingreso!K:P,6,FALSE)</f>
        <v>#N/A</v>
      </c>
      <c r="E3029" s="142" t="e">
        <f>(VLOOKUP(D3029,$D$2:$E$4,2,FALSE))-(IF('Informe Kelly'!H3023=$A$2,'Informe Kelly'!F3023,VLOOKUP(D3029,$D$2:$E$4,2,FALSE)))</f>
        <v>#N/A</v>
      </c>
      <c r="F3029" s="142" t="e">
        <f>IF('Informe Kelly'!H3023=$A$3,'Informe Kelly'!F3023,VLOOKUP(D3029,$D$2:$F$4,3,FALSE))-(VLOOKUP(D3029,$D$2:$F$4,3,FALSE))</f>
        <v>#N/A</v>
      </c>
      <c r="G3029" s="137" t="e">
        <f t="shared" si="51"/>
        <v>#N/A</v>
      </c>
    </row>
    <row r="3030" spans="1:7">
      <c r="A3030" s="112" t="e">
        <f>VLOOKUP('Informe Kelly'!A3024,Base!A:B,2,FALSE)</f>
        <v>#N/A</v>
      </c>
      <c r="B3030" s="112" t="e">
        <f>VLOOKUP('Informe Kelly'!A3024,Base!A:G,7,FALSE)</f>
        <v>#N/A</v>
      </c>
      <c r="C3030" s="112">
        <f>'Informe Kelly'!E3024</f>
        <v>0</v>
      </c>
      <c r="D3030" s="112" t="e">
        <f>VLOOKUP(A3030,Ingreso!K:P,6,FALSE)</f>
        <v>#N/A</v>
      </c>
      <c r="E3030" s="142" t="e">
        <f>(VLOOKUP(D3030,$D$2:$E$4,2,FALSE))-(IF('Informe Kelly'!H3024=$A$2,'Informe Kelly'!F3024,VLOOKUP(D3030,$D$2:$E$4,2,FALSE)))</f>
        <v>#N/A</v>
      </c>
      <c r="F3030" s="142" t="e">
        <f>IF('Informe Kelly'!H3024=$A$3,'Informe Kelly'!F3024,VLOOKUP(D3030,$D$2:$F$4,3,FALSE))-(VLOOKUP(D3030,$D$2:$F$4,3,FALSE))</f>
        <v>#N/A</v>
      </c>
      <c r="G3030" s="137" t="e">
        <f t="shared" si="51"/>
        <v>#N/A</v>
      </c>
    </row>
    <row r="3031" spans="1:7">
      <c r="A3031" s="112" t="e">
        <f>VLOOKUP('Informe Kelly'!A3025,Base!A:B,2,FALSE)</f>
        <v>#N/A</v>
      </c>
      <c r="B3031" s="112" t="e">
        <f>VLOOKUP('Informe Kelly'!A3025,Base!A:G,7,FALSE)</f>
        <v>#N/A</v>
      </c>
      <c r="C3031" s="112">
        <f>'Informe Kelly'!E3025</f>
        <v>0</v>
      </c>
      <c r="D3031" s="112" t="e">
        <f>VLOOKUP(A3031,Ingreso!K:P,6,FALSE)</f>
        <v>#N/A</v>
      </c>
      <c r="E3031" s="142" t="e">
        <f>(VLOOKUP(D3031,$D$2:$E$4,2,FALSE))-(IF('Informe Kelly'!H3025=$A$2,'Informe Kelly'!F3025,VLOOKUP(D3031,$D$2:$E$4,2,FALSE)))</f>
        <v>#N/A</v>
      </c>
      <c r="F3031" s="142" t="e">
        <f>IF('Informe Kelly'!H3025=$A$3,'Informe Kelly'!F3025,VLOOKUP(D3031,$D$2:$F$4,3,FALSE))-(VLOOKUP(D3031,$D$2:$F$4,3,FALSE))</f>
        <v>#N/A</v>
      </c>
      <c r="G3031" s="137" t="e">
        <f t="shared" si="51"/>
        <v>#N/A</v>
      </c>
    </row>
    <row r="3032" spans="1:7">
      <c r="A3032" s="112" t="e">
        <f>VLOOKUP('Informe Kelly'!A3026,Base!A:B,2,FALSE)</f>
        <v>#N/A</v>
      </c>
      <c r="B3032" s="112" t="e">
        <f>VLOOKUP('Informe Kelly'!A3026,Base!A:G,7,FALSE)</f>
        <v>#N/A</v>
      </c>
      <c r="C3032" s="112">
        <f>'Informe Kelly'!E3026</f>
        <v>0</v>
      </c>
      <c r="D3032" s="112" t="e">
        <f>VLOOKUP(A3032,Ingreso!K:P,6,FALSE)</f>
        <v>#N/A</v>
      </c>
      <c r="E3032" s="142" t="e">
        <f>(VLOOKUP(D3032,$D$2:$E$4,2,FALSE))-(IF('Informe Kelly'!H3026=$A$2,'Informe Kelly'!F3026,VLOOKUP(D3032,$D$2:$E$4,2,FALSE)))</f>
        <v>#N/A</v>
      </c>
      <c r="F3032" s="142" t="e">
        <f>IF('Informe Kelly'!H3026=$A$3,'Informe Kelly'!F3026,VLOOKUP(D3032,$D$2:$F$4,3,FALSE))-(VLOOKUP(D3032,$D$2:$F$4,3,FALSE))</f>
        <v>#N/A</v>
      </c>
      <c r="G3032" s="137" t="e">
        <f t="shared" si="51"/>
        <v>#N/A</v>
      </c>
    </row>
    <row r="3033" spans="1:7">
      <c r="A3033" s="112" t="e">
        <f>VLOOKUP('Informe Kelly'!A3027,Base!A:B,2,FALSE)</f>
        <v>#N/A</v>
      </c>
      <c r="B3033" s="112" t="e">
        <f>VLOOKUP('Informe Kelly'!A3027,Base!A:G,7,FALSE)</f>
        <v>#N/A</v>
      </c>
      <c r="C3033" s="112">
        <f>'Informe Kelly'!E3027</f>
        <v>0</v>
      </c>
      <c r="D3033" s="112" t="e">
        <f>VLOOKUP(A3033,Ingreso!K:P,6,FALSE)</f>
        <v>#N/A</v>
      </c>
      <c r="E3033" s="142" t="e">
        <f>(VLOOKUP(D3033,$D$2:$E$4,2,FALSE))-(IF('Informe Kelly'!H3027=$A$2,'Informe Kelly'!F3027,VLOOKUP(D3033,$D$2:$E$4,2,FALSE)))</f>
        <v>#N/A</v>
      </c>
      <c r="F3033" s="142" t="e">
        <f>IF('Informe Kelly'!H3027=$A$3,'Informe Kelly'!F3027,VLOOKUP(D3033,$D$2:$F$4,3,FALSE))-(VLOOKUP(D3033,$D$2:$F$4,3,FALSE))</f>
        <v>#N/A</v>
      </c>
      <c r="G3033" s="137" t="e">
        <f t="shared" si="51"/>
        <v>#N/A</v>
      </c>
    </row>
    <row r="3034" spans="1:7">
      <c r="A3034" s="112" t="e">
        <f>VLOOKUP('Informe Kelly'!A3028,Base!A:B,2,FALSE)</f>
        <v>#N/A</v>
      </c>
      <c r="B3034" s="112" t="e">
        <f>VLOOKUP('Informe Kelly'!A3028,Base!A:G,7,FALSE)</f>
        <v>#N/A</v>
      </c>
      <c r="C3034" s="112">
        <f>'Informe Kelly'!E3028</f>
        <v>0</v>
      </c>
      <c r="D3034" s="112" t="e">
        <f>VLOOKUP(A3034,Ingreso!K:P,6,FALSE)</f>
        <v>#N/A</v>
      </c>
      <c r="E3034" s="142" t="e">
        <f>(VLOOKUP(D3034,$D$2:$E$4,2,FALSE))-(IF('Informe Kelly'!H3028=$A$2,'Informe Kelly'!F3028,VLOOKUP(D3034,$D$2:$E$4,2,FALSE)))</f>
        <v>#N/A</v>
      </c>
      <c r="F3034" s="142" t="e">
        <f>IF('Informe Kelly'!H3028=$A$3,'Informe Kelly'!F3028,VLOOKUP(D3034,$D$2:$F$4,3,FALSE))-(VLOOKUP(D3034,$D$2:$F$4,3,FALSE))</f>
        <v>#N/A</v>
      </c>
      <c r="G3034" s="137" t="e">
        <f t="shared" si="51"/>
        <v>#N/A</v>
      </c>
    </row>
    <row r="3035" spans="1:7">
      <c r="A3035" s="112" t="e">
        <f>VLOOKUP('Informe Kelly'!A3029,Base!A:B,2,FALSE)</f>
        <v>#N/A</v>
      </c>
      <c r="B3035" s="112" t="e">
        <f>VLOOKUP('Informe Kelly'!A3029,Base!A:G,7,FALSE)</f>
        <v>#N/A</v>
      </c>
      <c r="C3035" s="112">
        <f>'Informe Kelly'!E3029</f>
        <v>0</v>
      </c>
      <c r="D3035" s="112" t="e">
        <f>VLOOKUP(A3035,Ingreso!K:P,6,FALSE)</f>
        <v>#N/A</v>
      </c>
      <c r="E3035" s="142" t="e">
        <f>(VLOOKUP(D3035,$D$2:$E$4,2,FALSE))-(IF('Informe Kelly'!H3029=$A$2,'Informe Kelly'!F3029,VLOOKUP(D3035,$D$2:$E$4,2,FALSE)))</f>
        <v>#N/A</v>
      </c>
      <c r="F3035" s="142" t="e">
        <f>IF('Informe Kelly'!H3029=$A$3,'Informe Kelly'!F3029,VLOOKUP(D3035,$D$2:$F$4,3,FALSE))-(VLOOKUP(D3035,$D$2:$F$4,3,FALSE))</f>
        <v>#N/A</v>
      </c>
      <c r="G3035" s="137" t="e">
        <f t="shared" si="51"/>
        <v>#N/A</v>
      </c>
    </row>
    <row r="3036" spans="1:7">
      <c r="A3036" s="112" t="e">
        <f>VLOOKUP('Informe Kelly'!A3030,Base!A:B,2,FALSE)</f>
        <v>#N/A</v>
      </c>
      <c r="B3036" s="112" t="e">
        <f>VLOOKUP('Informe Kelly'!A3030,Base!A:G,7,FALSE)</f>
        <v>#N/A</v>
      </c>
      <c r="C3036" s="112">
        <f>'Informe Kelly'!E3030</f>
        <v>0</v>
      </c>
      <c r="D3036" s="112" t="e">
        <f>VLOOKUP(A3036,Ingreso!K:P,6,FALSE)</f>
        <v>#N/A</v>
      </c>
      <c r="E3036" s="142" t="e">
        <f>(VLOOKUP(D3036,$D$2:$E$4,2,FALSE))-(IF('Informe Kelly'!H3030=$A$2,'Informe Kelly'!F3030,VLOOKUP(D3036,$D$2:$E$4,2,FALSE)))</f>
        <v>#N/A</v>
      </c>
      <c r="F3036" s="142" t="e">
        <f>IF('Informe Kelly'!H3030=$A$3,'Informe Kelly'!F3030,VLOOKUP(D3036,$D$2:$F$4,3,FALSE))-(VLOOKUP(D3036,$D$2:$F$4,3,FALSE))</f>
        <v>#N/A</v>
      </c>
      <c r="G3036" s="137" t="e">
        <f t="shared" si="51"/>
        <v>#N/A</v>
      </c>
    </row>
    <row r="3037" spans="1:7">
      <c r="A3037" s="112" t="e">
        <f>VLOOKUP('Informe Kelly'!A3031,Base!A:B,2,FALSE)</f>
        <v>#N/A</v>
      </c>
      <c r="B3037" s="112" t="e">
        <f>VLOOKUP('Informe Kelly'!A3031,Base!A:G,7,FALSE)</f>
        <v>#N/A</v>
      </c>
      <c r="C3037" s="112">
        <f>'Informe Kelly'!E3031</f>
        <v>0</v>
      </c>
      <c r="D3037" s="112" t="e">
        <f>VLOOKUP(A3037,Ingreso!K:P,6,FALSE)</f>
        <v>#N/A</v>
      </c>
      <c r="E3037" s="142" t="e">
        <f>(VLOOKUP(D3037,$D$2:$E$4,2,FALSE))-(IF('Informe Kelly'!H3031=$A$2,'Informe Kelly'!F3031,VLOOKUP(D3037,$D$2:$E$4,2,FALSE)))</f>
        <v>#N/A</v>
      </c>
      <c r="F3037" s="142" t="e">
        <f>IF('Informe Kelly'!H3031=$A$3,'Informe Kelly'!F3031,VLOOKUP(D3037,$D$2:$F$4,3,FALSE))-(VLOOKUP(D3037,$D$2:$F$4,3,FALSE))</f>
        <v>#N/A</v>
      </c>
      <c r="G3037" s="137" t="e">
        <f t="shared" si="51"/>
        <v>#N/A</v>
      </c>
    </row>
    <row r="3038" spans="1:7">
      <c r="A3038" s="112" t="e">
        <f>VLOOKUP('Informe Kelly'!A3032,Base!A:B,2,FALSE)</f>
        <v>#N/A</v>
      </c>
      <c r="B3038" s="112" t="e">
        <f>VLOOKUP('Informe Kelly'!A3032,Base!A:G,7,FALSE)</f>
        <v>#N/A</v>
      </c>
      <c r="C3038" s="112">
        <f>'Informe Kelly'!E3032</f>
        <v>0</v>
      </c>
      <c r="D3038" s="112" t="e">
        <f>VLOOKUP(A3038,Ingreso!K:P,6,FALSE)</f>
        <v>#N/A</v>
      </c>
      <c r="E3038" s="142" t="e">
        <f>(VLOOKUP(D3038,$D$2:$E$4,2,FALSE))-(IF('Informe Kelly'!H3032=$A$2,'Informe Kelly'!F3032,VLOOKUP(D3038,$D$2:$E$4,2,FALSE)))</f>
        <v>#N/A</v>
      </c>
      <c r="F3038" s="142" t="e">
        <f>IF('Informe Kelly'!H3032=$A$3,'Informe Kelly'!F3032,VLOOKUP(D3038,$D$2:$F$4,3,FALSE))-(VLOOKUP(D3038,$D$2:$F$4,3,FALSE))</f>
        <v>#N/A</v>
      </c>
      <c r="G3038" s="137" t="e">
        <f t="shared" si="51"/>
        <v>#N/A</v>
      </c>
    </row>
    <row r="3039" spans="1:7">
      <c r="A3039" s="112" t="e">
        <f>VLOOKUP('Informe Kelly'!A3033,Base!A:B,2,FALSE)</f>
        <v>#N/A</v>
      </c>
      <c r="B3039" s="112" t="e">
        <f>VLOOKUP('Informe Kelly'!A3033,Base!A:G,7,FALSE)</f>
        <v>#N/A</v>
      </c>
      <c r="C3039" s="112">
        <f>'Informe Kelly'!E3033</f>
        <v>0</v>
      </c>
      <c r="D3039" s="112" t="e">
        <f>VLOOKUP(A3039,Ingreso!K:P,6,FALSE)</f>
        <v>#N/A</v>
      </c>
      <c r="E3039" s="142" t="e">
        <f>(VLOOKUP(D3039,$D$2:$E$4,2,FALSE))-(IF('Informe Kelly'!H3033=$A$2,'Informe Kelly'!F3033,VLOOKUP(D3039,$D$2:$E$4,2,FALSE)))</f>
        <v>#N/A</v>
      </c>
      <c r="F3039" s="142" t="e">
        <f>IF('Informe Kelly'!H3033=$A$3,'Informe Kelly'!F3033,VLOOKUP(D3039,$D$2:$F$4,3,FALSE))-(VLOOKUP(D3039,$D$2:$F$4,3,FALSE))</f>
        <v>#N/A</v>
      </c>
      <c r="G3039" s="137" t="e">
        <f t="shared" si="51"/>
        <v>#N/A</v>
      </c>
    </row>
    <row r="3040" spans="1:7">
      <c r="A3040" s="112" t="e">
        <f>VLOOKUP('Informe Kelly'!A3034,Base!A:B,2,FALSE)</f>
        <v>#N/A</v>
      </c>
      <c r="B3040" s="112" t="e">
        <f>VLOOKUP('Informe Kelly'!A3034,Base!A:G,7,FALSE)</f>
        <v>#N/A</v>
      </c>
      <c r="C3040" s="112">
        <f>'Informe Kelly'!E3034</f>
        <v>0</v>
      </c>
      <c r="D3040" s="112" t="e">
        <f>VLOOKUP(A3040,Ingreso!K:P,6,FALSE)</f>
        <v>#N/A</v>
      </c>
      <c r="E3040" s="142" t="e">
        <f>(VLOOKUP(D3040,$D$2:$E$4,2,FALSE))-(IF('Informe Kelly'!H3034=$A$2,'Informe Kelly'!F3034,VLOOKUP(D3040,$D$2:$E$4,2,FALSE)))</f>
        <v>#N/A</v>
      </c>
      <c r="F3040" s="142" t="e">
        <f>IF('Informe Kelly'!H3034=$A$3,'Informe Kelly'!F3034,VLOOKUP(D3040,$D$2:$F$4,3,FALSE))-(VLOOKUP(D3040,$D$2:$F$4,3,FALSE))</f>
        <v>#N/A</v>
      </c>
      <c r="G3040" s="137" t="e">
        <f t="shared" si="51"/>
        <v>#N/A</v>
      </c>
    </row>
    <row r="3041" spans="1:7">
      <c r="A3041" s="112" t="e">
        <f>VLOOKUP('Informe Kelly'!A3035,Base!A:B,2,FALSE)</f>
        <v>#N/A</v>
      </c>
      <c r="B3041" s="112" t="e">
        <f>VLOOKUP('Informe Kelly'!A3035,Base!A:G,7,FALSE)</f>
        <v>#N/A</v>
      </c>
      <c r="C3041" s="112">
        <f>'Informe Kelly'!E3035</f>
        <v>0</v>
      </c>
      <c r="D3041" s="112" t="e">
        <f>VLOOKUP(A3041,Ingreso!K:P,6,FALSE)</f>
        <v>#N/A</v>
      </c>
      <c r="E3041" s="142" t="e">
        <f>(VLOOKUP(D3041,$D$2:$E$4,2,FALSE))-(IF('Informe Kelly'!H3035=$A$2,'Informe Kelly'!F3035,VLOOKUP(D3041,$D$2:$E$4,2,FALSE)))</f>
        <v>#N/A</v>
      </c>
      <c r="F3041" s="142" t="e">
        <f>IF('Informe Kelly'!H3035=$A$3,'Informe Kelly'!F3035,VLOOKUP(D3041,$D$2:$F$4,3,FALSE))-(VLOOKUP(D3041,$D$2:$F$4,3,FALSE))</f>
        <v>#N/A</v>
      </c>
      <c r="G3041" s="137" t="e">
        <f t="shared" si="51"/>
        <v>#N/A</v>
      </c>
    </row>
    <row r="3042" spans="1:7">
      <c r="A3042" s="112" t="e">
        <f>VLOOKUP('Informe Kelly'!A3036,Base!A:B,2,FALSE)</f>
        <v>#N/A</v>
      </c>
      <c r="B3042" s="112" t="e">
        <f>VLOOKUP('Informe Kelly'!A3036,Base!A:G,7,FALSE)</f>
        <v>#N/A</v>
      </c>
      <c r="C3042" s="112">
        <f>'Informe Kelly'!E3036</f>
        <v>0</v>
      </c>
      <c r="D3042" s="112" t="e">
        <f>VLOOKUP(A3042,Ingreso!K:P,6,FALSE)</f>
        <v>#N/A</v>
      </c>
      <c r="E3042" s="142" t="e">
        <f>(VLOOKUP(D3042,$D$2:$E$4,2,FALSE))-(IF('Informe Kelly'!H3036=$A$2,'Informe Kelly'!F3036,VLOOKUP(D3042,$D$2:$E$4,2,FALSE)))</f>
        <v>#N/A</v>
      </c>
      <c r="F3042" s="142" t="e">
        <f>IF('Informe Kelly'!H3036=$A$3,'Informe Kelly'!F3036,VLOOKUP(D3042,$D$2:$F$4,3,FALSE))-(VLOOKUP(D3042,$D$2:$F$4,3,FALSE))</f>
        <v>#N/A</v>
      </c>
      <c r="G3042" s="137" t="e">
        <f t="shared" si="51"/>
        <v>#N/A</v>
      </c>
    </row>
    <row r="3043" spans="1:7">
      <c r="A3043" s="112" t="e">
        <f>VLOOKUP('Informe Kelly'!A3037,Base!A:B,2,FALSE)</f>
        <v>#N/A</v>
      </c>
      <c r="B3043" s="112" t="e">
        <f>VLOOKUP('Informe Kelly'!A3037,Base!A:G,7,FALSE)</f>
        <v>#N/A</v>
      </c>
      <c r="C3043" s="112">
        <f>'Informe Kelly'!E3037</f>
        <v>0</v>
      </c>
      <c r="D3043" s="112" t="e">
        <f>VLOOKUP(A3043,Ingreso!K:P,6,FALSE)</f>
        <v>#N/A</v>
      </c>
      <c r="E3043" s="142" t="e">
        <f>(VLOOKUP(D3043,$D$2:$E$4,2,FALSE))-(IF('Informe Kelly'!H3037=$A$2,'Informe Kelly'!F3037,VLOOKUP(D3043,$D$2:$E$4,2,FALSE)))</f>
        <v>#N/A</v>
      </c>
      <c r="F3043" s="142" t="e">
        <f>IF('Informe Kelly'!H3037=$A$3,'Informe Kelly'!F3037,VLOOKUP(D3043,$D$2:$F$4,3,FALSE))-(VLOOKUP(D3043,$D$2:$F$4,3,FALSE))</f>
        <v>#N/A</v>
      </c>
      <c r="G3043" s="137" t="e">
        <f t="shared" si="51"/>
        <v>#N/A</v>
      </c>
    </row>
    <row r="3044" spans="1:7">
      <c r="A3044" s="112" t="e">
        <f>VLOOKUP('Informe Kelly'!A3038,Base!A:B,2,FALSE)</f>
        <v>#N/A</v>
      </c>
      <c r="B3044" s="112" t="e">
        <f>VLOOKUP('Informe Kelly'!A3038,Base!A:G,7,FALSE)</f>
        <v>#N/A</v>
      </c>
      <c r="C3044" s="112">
        <f>'Informe Kelly'!E3038</f>
        <v>0</v>
      </c>
      <c r="D3044" s="112" t="e">
        <f>VLOOKUP(A3044,Ingreso!K:P,6,FALSE)</f>
        <v>#N/A</v>
      </c>
      <c r="E3044" s="142" t="e">
        <f>(VLOOKUP(D3044,$D$2:$E$4,2,FALSE))-(IF('Informe Kelly'!H3038=$A$2,'Informe Kelly'!F3038,VLOOKUP(D3044,$D$2:$E$4,2,FALSE)))</f>
        <v>#N/A</v>
      </c>
      <c r="F3044" s="142" t="e">
        <f>IF('Informe Kelly'!H3038=$A$3,'Informe Kelly'!F3038,VLOOKUP(D3044,$D$2:$F$4,3,FALSE))-(VLOOKUP(D3044,$D$2:$F$4,3,FALSE))</f>
        <v>#N/A</v>
      </c>
      <c r="G3044" s="137" t="e">
        <f t="shared" si="51"/>
        <v>#N/A</v>
      </c>
    </row>
    <row r="3045" spans="1:7">
      <c r="A3045" s="112" t="e">
        <f>VLOOKUP('Informe Kelly'!A3039,Base!A:B,2,FALSE)</f>
        <v>#N/A</v>
      </c>
      <c r="B3045" s="112" t="e">
        <f>VLOOKUP('Informe Kelly'!A3039,Base!A:G,7,FALSE)</f>
        <v>#N/A</v>
      </c>
      <c r="C3045" s="112">
        <f>'Informe Kelly'!E3039</f>
        <v>0</v>
      </c>
      <c r="D3045" s="112" t="e">
        <f>VLOOKUP(A3045,Ingreso!K:P,6,FALSE)</f>
        <v>#N/A</v>
      </c>
      <c r="E3045" s="142" t="e">
        <f>(VLOOKUP(D3045,$D$2:$E$4,2,FALSE))-(IF('Informe Kelly'!H3039=$A$2,'Informe Kelly'!F3039,VLOOKUP(D3045,$D$2:$E$4,2,FALSE)))</f>
        <v>#N/A</v>
      </c>
      <c r="F3045" s="142" t="e">
        <f>IF('Informe Kelly'!H3039=$A$3,'Informe Kelly'!F3039,VLOOKUP(D3045,$D$2:$F$4,3,FALSE))-(VLOOKUP(D3045,$D$2:$F$4,3,FALSE))</f>
        <v>#N/A</v>
      </c>
      <c r="G3045" s="137" t="e">
        <f t="shared" si="51"/>
        <v>#N/A</v>
      </c>
    </row>
    <row r="3046" spans="1:7">
      <c r="A3046" s="112" t="e">
        <f>VLOOKUP('Informe Kelly'!A3040,Base!A:B,2,FALSE)</f>
        <v>#N/A</v>
      </c>
      <c r="B3046" s="112" t="e">
        <f>VLOOKUP('Informe Kelly'!A3040,Base!A:G,7,FALSE)</f>
        <v>#N/A</v>
      </c>
      <c r="C3046" s="112">
        <f>'Informe Kelly'!E3040</f>
        <v>0</v>
      </c>
      <c r="D3046" s="112" t="e">
        <f>VLOOKUP(A3046,Ingreso!K:P,6,FALSE)</f>
        <v>#N/A</v>
      </c>
      <c r="E3046" s="142" t="e">
        <f>(VLOOKUP(D3046,$D$2:$E$4,2,FALSE))-(IF('Informe Kelly'!H3040=$A$2,'Informe Kelly'!F3040,VLOOKUP(D3046,$D$2:$E$4,2,FALSE)))</f>
        <v>#N/A</v>
      </c>
      <c r="F3046" s="142" t="e">
        <f>IF('Informe Kelly'!H3040=$A$3,'Informe Kelly'!F3040,VLOOKUP(D3046,$D$2:$F$4,3,FALSE))-(VLOOKUP(D3046,$D$2:$F$4,3,FALSE))</f>
        <v>#N/A</v>
      </c>
      <c r="G3046" s="137" t="e">
        <f t="shared" si="51"/>
        <v>#N/A</v>
      </c>
    </row>
    <row r="3047" spans="1:7">
      <c r="A3047" s="112" t="e">
        <f>VLOOKUP('Informe Kelly'!A3041,Base!A:B,2,FALSE)</f>
        <v>#N/A</v>
      </c>
      <c r="B3047" s="112" t="e">
        <f>VLOOKUP('Informe Kelly'!A3041,Base!A:G,7,FALSE)</f>
        <v>#N/A</v>
      </c>
      <c r="C3047" s="112">
        <f>'Informe Kelly'!E3041</f>
        <v>0</v>
      </c>
      <c r="D3047" s="112" t="e">
        <f>VLOOKUP(A3047,Ingreso!K:P,6,FALSE)</f>
        <v>#N/A</v>
      </c>
      <c r="E3047" s="142" t="e">
        <f>(VLOOKUP(D3047,$D$2:$E$4,2,FALSE))-(IF('Informe Kelly'!H3041=$A$2,'Informe Kelly'!F3041,VLOOKUP(D3047,$D$2:$E$4,2,FALSE)))</f>
        <v>#N/A</v>
      </c>
      <c r="F3047" s="142" t="e">
        <f>IF('Informe Kelly'!H3041=$A$3,'Informe Kelly'!F3041,VLOOKUP(D3047,$D$2:$F$4,3,FALSE))-(VLOOKUP(D3047,$D$2:$F$4,3,FALSE))</f>
        <v>#N/A</v>
      </c>
      <c r="G3047" s="137" t="e">
        <f t="shared" si="51"/>
        <v>#N/A</v>
      </c>
    </row>
    <row r="3048" spans="1:7">
      <c r="A3048" s="112" t="e">
        <f>VLOOKUP('Informe Kelly'!A3042,Base!A:B,2,FALSE)</f>
        <v>#N/A</v>
      </c>
      <c r="B3048" s="112" t="e">
        <f>VLOOKUP('Informe Kelly'!A3042,Base!A:G,7,FALSE)</f>
        <v>#N/A</v>
      </c>
      <c r="C3048" s="112">
        <f>'Informe Kelly'!E3042</f>
        <v>0</v>
      </c>
      <c r="D3048" s="112" t="e">
        <f>VLOOKUP(A3048,Ingreso!K:P,6,FALSE)</f>
        <v>#N/A</v>
      </c>
      <c r="E3048" s="142" t="e">
        <f>(VLOOKUP(D3048,$D$2:$E$4,2,FALSE))-(IF('Informe Kelly'!H3042=$A$2,'Informe Kelly'!F3042,VLOOKUP(D3048,$D$2:$E$4,2,FALSE)))</f>
        <v>#N/A</v>
      </c>
      <c r="F3048" s="142" t="e">
        <f>IF('Informe Kelly'!H3042=$A$3,'Informe Kelly'!F3042,VLOOKUP(D3048,$D$2:$F$4,3,FALSE))-(VLOOKUP(D3048,$D$2:$F$4,3,FALSE))</f>
        <v>#N/A</v>
      </c>
      <c r="G3048" s="137" t="e">
        <f t="shared" si="51"/>
        <v>#N/A</v>
      </c>
    </row>
    <row r="3049" spans="1:7">
      <c r="A3049" s="112" t="e">
        <f>VLOOKUP('Informe Kelly'!A3043,Base!A:B,2,FALSE)</f>
        <v>#N/A</v>
      </c>
      <c r="B3049" s="112" t="e">
        <f>VLOOKUP('Informe Kelly'!A3043,Base!A:G,7,FALSE)</f>
        <v>#N/A</v>
      </c>
      <c r="C3049" s="112">
        <f>'Informe Kelly'!E3043</f>
        <v>0</v>
      </c>
      <c r="D3049" s="112" t="e">
        <f>VLOOKUP(A3049,Ingreso!K:P,6,FALSE)</f>
        <v>#N/A</v>
      </c>
      <c r="E3049" s="142" t="e">
        <f>(VLOOKUP(D3049,$D$2:$E$4,2,FALSE))-(IF('Informe Kelly'!H3043=$A$2,'Informe Kelly'!F3043,VLOOKUP(D3049,$D$2:$E$4,2,FALSE)))</f>
        <v>#N/A</v>
      </c>
      <c r="F3049" s="142" t="e">
        <f>IF('Informe Kelly'!H3043=$A$3,'Informe Kelly'!F3043,VLOOKUP(D3049,$D$2:$F$4,3,FALSE))-(VLOOKUP(D3049,$D$2:$F$4,3,FALSE))</f>
        <v>#N/A</v>
      </c>
      <c r="G3049" s="137" t="e">
        <f t="shared" si="51"/>
        <v>#N/A</v>
      </c>
    </row>
    <row r="3050" spans="1:7">
      <c r="A3050" s="112" t="e">
        <f>VLOOKUP('Informe Kelly'!A3044,Base!A:B,2,FALSE)</f>
        <v>#N/A</v>
      </c>
      <c r="B3050" s="112" t="e">
        <f>VLOOKUP('Informe Kelly'!A3044,Base!A:G,7,FALSE)</f>
        <v>#N/A</v>
      </c>
      <c r="C3050" s="112">
        <f>'Informe Kelly'!E3044</f>
        <v>0</v>
      </c>
      <c r="D3050" s="112" t="e">
        <f>VLOOKUP(A3050,Ingreso!K:P,6,FALSE)</f>
        <v>#N/A</v>
      </c>
      <c r="E3050" s="142" t="e">
        <f>(VLOOKUP(D3050,$D$2:$E$4,2,FALSE))-(IF('Informe Kelly'!H3044=$A$2,'Informe Kelly'!F3044,VLOOKUP(D3050,$D$2:$E$4,2,FALSE)))</f>
        <v>#N/A</v>
      </c>
      <c r="F3050" s="142" t="e">
        <f>IF('Informe Kelly'!H3044=$A$3,'Informe Kelly'!F3044,VLOOKUP(D3050,$D$2:$F$4,3,FALSE))-(VLOOKUP(D3050,$D$2:$F$4,3,FALSE))</f>
        <v>#N/A</v>
      </c>
      <c r="G3050" s="137" t="e">
        <f t="shared" si="51"/>
        <v>#N/A</v>
      </c>
    </row>
    <row r="3051" spans="1:7">
      <c r="A3051" s="112" t="e">
        <f>VLOOKUP('Informe Kelly'!A3045,Base!A:B,2,FALSE)</f>
        <v>#N/A</v>
      </c>
      <c r="B3051" s="112" t="e">
        <f>VLOOKUP('Informe Kelly'!A3045,Base!A:G,7,FALSE)</f>
        <v>#N/A</v>
      </c>
      <c r="C3051" s="112">
        <f>'Informe Kelly'!E3045</f>
        <v>0</v>
      </c>
      <c r="D3051" s="112" t="e">
        <f>VLOOKUP(A3051,Ingreso!K:P,6,FALSE)</f>
        <v>#N/A</v>
      </c>
      <c r="E3051" s="142" t="e">
        <f>(VLOOKUP(D3051,$D$2:$E$4,2,FALSE))-(IF('Informe Kelly'!H3045=$A$2,'Informe Kelly'!F3045,VLOOKUP(D3051,$D$2:$E$4,2,FALSE)))</f>
        <v>#N/A</v>
      </c>
      <c r="F3051" s="142" t="e">
        <f>IF('Informe Kelly'!H3045=$A$3,'Informe Kelly'!F3045,VLOOKUP(D3051,$D$2:$F$4,3,FALSE))-(VLOOKUP(D3051,$D$2:$F$4,3,FALSE))</f>
        <v>#N/A</v>
      </c>
      <c r="G3051" s="137" t="e">
        <f t="shared" si="51"/>
        <v>#N/A</v>
      </c>
    </row>
    <row r="3052" spans="1:7">
      <c r="A3052" s="112" t="e">
        <f>VLOOKUP('Informe Kelly'!A3046,Base!A:B,2,FALSE)</f>
        <v>#N/A</v>
      </c>
      <c r="B3052" s="112" t="e">
        <f>VLOOKUP('Informe Kelly'!A3046,Base!A:G,7,FALSE)</f>
        <v>#N/A</v>
      </c>
      <c r="C3052" s="112">
        <f>'Informe Kelly'!E3046</f>
        <v>0</v>
      </c>
      <c r="D3052" s="112" t="e">
        <f>VLOOKUP(A3052,Ingreso!K:P,6,FALSE)</f>
        <v>#N/A</v>
      </c>
      <c r="E3052" s="142" t="e">
        <f>(VLOOKUP(D3052,$D$2:$E$4,2,FALSE))-(IF('Informe Kelly'!H3046=$A$2,'Informe Kelly'!F3046,VLOOKUP(D3052,$D$2:$E$4,2,FALSE)))</f>
        <v>#N/A</v>
      </c>
      <c r="F3052" s="142" t="e">
        <f>IF('Informe Kelly'!H3046=$A$3,'Informe Kelly'!F3046,VLOOKUP(D3052,$D$2:$F$4,3,FALSE))-(VLOOKUP(D3052,$D$2:$F$4,3,FALSE))</f>
        <v>#N/A</v>
      </c>
      <c r="G3052" s="137" t="e">
        <f t="shared" si="51"/>
        <v>#N/A</v>
      </c>
    </row>
    <row r="3053" spans="1:7">
      <c r="A3053" s="112" t="e">
        <f>VLOOKUP('Informe Kelly'!A3047,Base!A:B,2,FALSE)</f>
        <v>#N/A</v>
      </c>
      <c r="B3053" s="112" t="e">
        <f>VLOOKUP('Informe Kelly'!A3047,Base!A:G,7,FALSE)</f>
        <v>#N/A</v>
      </c>
      <c r="C3053" s="112">
        <f>'Informe Kelly'!E3047</f>
        <v>0</v>
      </c>
      <c r="D3053" s="112" t="e">
        <f>VLOOKUP(A3053,Ingreso!K:P,6,FALSE)</f>
        <v>#N/A</v>
      </c>
      <c r="E3053" s="142" t="e">
        <f>(VLOOKUP(D3053,$D$2:$E$4,2,FALSE))-(IF('Informe Kelly'!H3047=$A$2,'Informe Kelly'!F3047,VLOOKUP(D3053,$D$2:$E$4,2,FALSE)))</f>
        <v>#N/A</v>
      </c>
      <c r="F3053" s="142" t="e">
        <f>IF('Informe Kelly'!H3047=$A$3,'Informe Kelly'!F3047,VLOOKUP(D3053,$D$2:$F$4,3,FALSE))-(VLOOKUP(D3053,$D$2:$F$4,3,FALSE))</f>
        <v>#N/A</v>
      </c>
      <c r="G3053" s="137" t="e">
        <f t="shared" si="51"/>
        <v>#N/A</v>
      </c>
    </row>
    <row r="3054" spans="1:7">
      <c r="A3054" s="112" t="e">
        <f>VLOOKUP('Informe Kelly'!A3048,Base!A:B,2,FALSE)</f>
        <v>#N/A</v>
      </c>
      <c r="B3054" s="112" t="e">
        <f>VLOOKUP('Informe Kelly'!A3048,Base!A:G,7,FALSE)</f>
        <v>#N/A</v>
      </c>
      <c r="C3054" s="112">
        <f>'Informe Kelly'!E3048</f>
        <v>0</v>
      </c>
      <c r="D3054" s="112" t="e">
        <f>VLOOKUP(A3054,Ingreso!K:P,6,FALSE)</f>
        <v>#N/A</v>
      </c>
      <c r="E3054" s="142" t="e">
        <f>(VLOOKUP(D3054,$D$2:$E$4,2,FALSE))-(IF('Informe Kelly'!H3048=$A$2,'Informe Kelly'!F3048,VLOOKUP(D3054,$D$2:$E$4,2,FALSE)))</f>
        <v>#N/A</v>
      </c>
      <c r="F3054" s="142" t="e">
        <f>IF('Informe Kelly'!H3048=$A$3,'Informe Kelly'!F3048,VLOOKUP(D3054,$D$2:$F$4,3,FALSE))-(VLOOKUP(D3054,$D$2:$F$4,3,FALSE))</f>
        <v>#N/A</v>
      </c>
      <c r="G3054" s="137" t="e">
        <f t="shared" si="51"/>
        <v>#N/A</v>
      </c>
    </row>
    <row r="3055" spans="1:7">
      <c r="A3055" s="112" t="e">
        <f>VLOOKUP('Informe Kelly'!A3049,Base!A:B,2,FALSE)</f>
        <v>#N/A</v>
      </c>
      <c r="B3055" s="112" t="e">
        <f>VLOOKUP('Informe Kelly'!A3049,Base!A:G,7,FALSE)</f>
        <v>#N/A</v>
      </c>
      <c r="C3055" s="112">
        <f>'Informe Kelly'!E3049</f>
        <v>0</v>
      </c>
      <c r="D3055" s="112" t="e">
        <f>VLOOKUP(A3055,Ingreso!K:P,6,FALSE)</f>
        <v>#N/A</v>
      </c>
      <c r="E3055" s="142" t="e">
        <f>(VLOOKUP(D3055,$D$2:$E$4,2,FALSE))-(IF('Informe Kelly'!H3049=$A$2,'Informe Kelly'!F3049,VLOOKUP(D3055,$D$2:$E$4,2,FALSE)))</f>
        <v>#N/A</v>
      </c>
      <c r="F3055" s="142" t="e">
        <f>IF('Informe Kelly'!H3049=$A$3,'Informe Kelly'!F3049,VLOOKUP(D3055,$D$2:$F$4,3,FALSE))-(VLOOKUP(D3055,$D$2:$F$4,3,FALSE))</f>
        <v>#N/A</v>
      </c>
      <c r="G3055" s="137" t="e">
        <f t="shared" si="51"/>
        <v>#N/A</v>
      </c>
    </row>
    <row r="3056" spans="1:7">
      <c r="A3056" s="112" t="e">
        <f>VLOOKUP('Informe Kelly'!A3050,Base!A:B,2,FALSE)</f>
        <v>#N/A</v>
      </c>
      <c r="B3056" s="112" t="e">
        <f>VLOOKUP('Informe Kelly'!A3050,Base!A:G,7,FALSE)</f>
        <v>#N/A</v>
      </c>
      <c r="C3056" s="112">
        <f>'Informe Kelly'!E3050</f>
        <v>0</v>
      </c>
      <c r="D3056" s="112" t="e">
        <f>VLOOKUP(A3056,Ingreso!K:P,6,FALSE)</f>
        <v>#N/A</v>
      </c>
      <c r="E3056" s="142" t="e">
        <f>(VLOOKUP(D3056,$D$2:$E$4,2,FALSE))-(IF('Informe Kelly'!H3050=$A$2,'Informe Kelly'!F3050,VLOOKUP(D3056,$D$2:$E$4,2,FALSE)))</f>
        <v>#N/A</v>
      </c>
      <c r="F3056" s="142" t="e">
        <f>IF('Informe Kelly'!H3050=$A$3,'Informe Kelly'!F3050,VLOOKUP(D3056,$D$2:$F$4,3,FALSE))-(VLOOKUP(D3056,$D$2:$F$4,3,FALSE))</f>
        <v>#N/A</v>
      </c>
      <c r="G3056" s="137" t="e">
        <f t="shared" si="51"/>
        <v>#N/A</v>
      </c>
    </row>
    <row r="3057" spans="1:7">
      <c r="A3057" s="112" t="e">
        <f>VLOOKUP('Informe Kelly'!A3051,Base!A:B,2,FALSE)</f>
        <v>#N/A</v>
      </c>
      <c r="B3057" s="112" t="e">
        <f>VLOOKUP('Informe Kelly'!A3051,Base!A:G,7,FALSE)</f>
        <v>#N/A</v>
      </c>
      <c r="C3057" s="112">
        <f>'Informe Kelly'!E3051</f>
        <v>0</v>
      </c>
      <c r="D3057" s="112" t="e">
        <f>VLOOKUP(A3057,Ingreso!K:P,6,FALSE)</f>
        <v>#N/A</v>
      </c>
      <c r="E3057" s="142" t="e">
        <f>(VLOOKUP(D3057,$D$2:$E$4,2,FALSE))-(IF('Informe Kelly'!H3051=$A$2,'Informe Kelly'!F3051,VLOOKUP(D3057,$D$2:$E$4,2,FALSE)))</f>
        <v>#N/A</v>
      </c>
      <c r="F3057" s="142" t="e">
        <f>IF('Informe Kelly'!H3051=$A$3,'Informe Kelly'!F3051,VLOOKUP(D3057,$D$2:$F$4,3,FALSE))-(VLOOKUP(D3057,$D$2:$F$4,3,FALSE))</f>
        <v>#N/A</v>
      </c>
      <c r="G3057" s="137" t="e">
        <f t="shared" si="51"/>
        <v>#N/A</v>
      </c>
    </row>
    <row r="3058" spans="1:7">
      <c r="A3058" s="112" t="e">
        <f>VLOOKUP('Informe Kelly'!A3052,Base!A:B,2,FALSE)</f>
        <v>#N/A</v>
      </c>
      <c r="B3058" s="112" t="e">
        <f>VLOOKUP('Informe Kelly'!A3052,Base!A:G,7,FALSE)</f>
        <v>#N/A</v>
      </c>
      <c r="C3058" s="112">
        <f>'Informe Kelly'!E3052</f>
        <v>0</v>
      </c>
      <c r="D3058" s="112" t="e">
        <f>VLOOKUP(A3058,Ingreso!K:P,6,FALSE)</f>
        <v>#N/A</v>
      </c>
      <c r="E3058" s="142" t="e">
        <f>(VLOOKUP(D3058,$D$2:$E$4,2,FALSE))-(IF('Informe Kelly'!H3052=$A$2,'Informe Kelly'!F3052,VLOOKUP(D3058,$D$2:$E$4,2,FALSE)))</f>
        <v>#N/A</v>
      </c>
      <c r="F3058" s="142" t="e">
        <f>IF('Informe Kelly'!H3052=$A$3,'Informe Kelly'!F3052,VLOOKUP(D3058,$D$2:$F$4,3,FALSE))-(VLOOKUP(D3058,$D$2:$F$4,3,FALSE))</f>
        <v>#N/A</v>
      </c>
      <c r="G3058" s="137" t="e">
        <f t="shared" si="51"/>
        <v>#N/A</v>
      </c>
    </row>
    <row r="3059" spans="1:7">
      <c r="A3059" s="112" t="e">
        <f>VLOOKUP('Informe Kelly'!A3053,Base!A:B,2,FALSE)</f>
        <v>#N/A</v>
      </c>
      <c r="B3059" s="112" t="e">
        <f>VLOOKUP('Informe Kelly'!A3053,Base!A:G,7,FALSE)</f>
        <v>#N/A</v>
      </c>
      <c r="C3059" s="112">
        <f>'Informe Kelly'!E3053</f>
        <v>0</v>
      </c>
      <c r="D3059" s="112" t="e">
        <f>VLOOKUP(A3059,Ingreso!K:P,6,FALSE)</f>
        <v>#N/A</v>
      </c>
      <c r="E3059" s="142" t="e">
        <f>(VLOOKUP(D3059,$D$2:$E$4,2,FALSE))-(IF('Informe Kelly'!H3053=$A$2,'Informe Kelly'!F3053,VLOOKUP(D3059,$D$2:$E$4,2,FALSE)))</f>
        <v>#N/A</v>
      </c>
      <c r="F3059" s="142" t="e">
        <f>IF('Informe Kelly'!H3053=$A$3,'Informe Kelly'!F3053,VLOOKUP(D3059,$D$2:$F$4,3,FALSE))-(VLOOKUP(D3059,$D$2:$F$4,3,FALSE))</f>
        <v>#N/A</v>
      </c>
      <c r="G3059" s="137" t="e">
        <f t="shared" si="51"/>
        <v>#N/A</v>
      </c>
    </row>
    <row r="3060" spans="1:7">
      <c r="A3060" s="112" t="e">
        <f>VLOOKUP('Informe Kelly'!A3054,Base!A:B,2,FALSE)</f>
        <v>#N/A</v>
      </c>
      <c r="B3060" s="112" t="e">
        <f>VLOOKUP('Informe Kelly'!A3054,Base!A:G,7,FALSE)</f>
        <v>#N/A</v>
      </c>
      <c r="C3060" s="112">
        <f>'Informe Kelly'!E3054</f>
        <v>0</v>
      </c>
      <c r="D3060" s="112" t="e">
        <f>VLOOKUP(A3060,Ingreso!K:P,6,FALSE)</f>
        <v>#N/A</v>
      </c>
      <c r="E3060" s="142" t="e">
        <f>(VLOOKUP(D3060,$D$2:$E$4,2,FALSE))-(IF('Informe Kelly'!H3054=$A$2,'Informe Kelly'!F3054,VLOOKUP(D3060,$D$2:$E$4,2,FALSE)))</f>
        <v>#N/A</v>
      </c>
      <c r="F3060" s="142" t="e">
        <f>IF('Informe Kelly'!H3054=$A$3,'Informe Kelly'!F3054,VLOOKUP(D3060,$D$2:$F$4,3,FALSE))-(VLOOKUP(D3060,$D$2:$F$4,3,FALSE))</f>
        <v>#N/A</v>
      </c>
      <c r="G3060" s="137" t="e">
        <f t="shared" si="51"/>
        <v>#N/A</v>
      </c>
    </row>
    <row r="3061" spans="1:7">
      <c r="A3061" s="112" t="e">
        <f>VLOOKUP('Informe Kelly'!A3055,Base!A:B,2,FALSE)</f>
        <v>#N/A</v>
      </c>
      <c r="B3061" s="112" t="e">
        <f>VLOOKUP('Informe Kelly'!A3055,Base!A:G,7,FALSE)</f>
        <v>#N/A</v>
      </c>
      <c r="C3061" s="112">
        <f>'Informe Kelly'!E3055</f>
        <v>0</v>
      </c>
      <c r="D3061" s="112" t="e">
        <f>VLOOKUP(A3061,Ingreso!K:P,6,FALSE)</f>
        <v>#N/A</v>
      </c>
      <c r="E3061" s="142" t="e">
        <f>(VLOOKUP(D3061,$D$2:$E$4,2,FALSE))-(IF('Informe Kelly'!H3055=$A$2,'Informe Kelly'!F3055,VLOOKUP(D3061,$D$2:$E$4,2,FALSE)))</f>
        <v>#N/A</v>
      </c>
      <c r="F3061" s="142" t="e">
        <f>IF('Informe Kelly'!H3055=$A$3,'Informe Kelly'!F3055,VLOOKUP(D3061,$D$2:$F$4,3,FALSE))-(VLOOKUP(D3061,$D$2:$F$4,3,FALSE))</f>
        <v>#N/A</v>
      </c>
      <c r="G3061" s="137" t="e">
        <f t="shared" si="51"/>
        <v>#N/A</v>
      </c>
    </row>
    <row r="3062" spans="1:7">
      <c r="A3062" s="112" t="e">
        <f>VLOOKUP('Informe Kelly'!A3056,Base!A:B,2,FALSE)</f>
        <v>#N/A</v>
      </c>
      <c r="B3062" s="112" t="e">
        <f>VLOOKUP('Informe Kelly'!A3056,Base!A:G,7,FALSE)</f>
        <v>#N/A</v>
      </c>
      <c r="C3062" s="112">
        <f>'Informe Kelly'!E3056</f>
        <v>0</v>
      </c>
      <c r="D3062" s="112" t="e">
        <f>VLOOKUP(A3062,Ingreso!K:P,6,FALSE)</f>
        <v>#N/A</v>
      </c>
      <c r="E3062" s="142" t="e">
        <f>(VLOOKUP(D3062,$D$2:$E$4,2,FALSE))-(IF('Informe Kelly'!H3056=$A$2,'Informe Kelly'!F3056,VLOOKUP(D3062,$D$2:$E$4,2,FALSE)))</f>
        <v>#N/A</v>
      </c>
      <c r="F3062" s="142" t="e">
        <f>IF('Informe Kelly'!H3056=$A$3,'Informe Kelly'!F3056,VLOOKUP(D3062,$D$2:$F$4,3,FALSE))-(VLOOKUP(D3062,$D$2:$F$4,3,FALSE))</f>
        <v>#N/A</v>
      </c>
      <c r="G3062" s="137" t="e">
        <f t="shared" si="51"/>
        <v>#N/A</v>
      </c>
    </row>
    <row r="3063" spans="1:7">
      <c r="A3063" s="112" t="e">
        <f>VLOOKUP('Informe Kelly'!A3057,Base!A:B,2,FALSE)</f>
        <v>#N/A</v>
      </c>
      <c r="B3063" s="112" t="e">
        <f>VLOOKUP('Informe Kelly'!A3057,Base!A:G,7,FALSE)</f>
        <v>#N/A</v>
      </c>
      <c r="C3063" s="112">
        <f>'Informe Kelly'!E3057</f>
        <v>0</v>
      </c>
      <c r="D3063" s="112" t="e">
        <f>VLOOKUP(A3063,Ingreso!K:P,6,FALSE)</f>
        <v>#N/A</v>
      </c>
      <c r="E3063" s="142" t="e">
        <f>(VLOOKUP(D3063,$D$2:$E$4,2,FALSE))-(IF('Informe Kelly'!H3057=$A$2,'Informe Kelly'!F3057,VLOOKUP(D3063,$D$2:$E$4,2,FALSE)))</f>
        <v>#N/A</v>
      </c>
      <c r="F3063" s="142" t="e">
        <f>IF('Informe Kelly'!H3057=$A$3,'Informe Kelly'!F3057,VLOOKUP(D3063,$D$2:$F$4,3,FALSE))-(VLOOKUP(D3063,$D$2:$F$4,3,FALSE))</f>
        <v>#N/A</v>
      </c>
      <c r="G3063" s="137" t="e">
        <f t="shared" si="51"/>
        <v>#N/A</v>
      </c>
    </row>
    <row r="3064" spans="1:7">
      <c r="A3064" s="112" t="e">
        <f>VLOOKUP('Informe Kelly'!A3058,Base!A:B,2,FALSE)</f>
        <v>#N/A</v>
      </c>
      <c r="B3064" s="112" t="e">
        <f>VLOOKUP('Informe Kelly'!A3058,Base!A:G,7,FALSE)</f>
        <v>#N/A</v>
      </c>
      <c r="C3064" s="112">
        <f>'Informe Kelly'!E3058</f>
        <v>0</v>
      </c>
      <c r="D3064" s="112" t="e">
        <f>VLOOKUP(A3064,Ingreso!K:P,6,FALSE)</f>
        <v>#N/A</v>
      </c>
      <c r="E3064" s="142" t="e">
        <f>(VLOOKUP(D3064,$D$2:$E$4,2,FALSE))-(IF('Informe Kelly'!H3058=$A$2,'Informe Kelly'!F3058,VLOOKUP(D3064,$D$2:$E$4,2,FALSE)))</f>
        <v>#N/A</v>
      </c>
      <c r="F3064" s="142" t="e">
        <f>IF('Informe Kelly'!H3058=$A$3,'Informe Kelly'!F3058,VLOOKUP(D3064,$D$2:$F$4,3,FALSE))-(VLOOKUP(D3064,$D$2:$F$4,3,FALSE))</f>
        <v>#N/A</v>
      </c>
      <c r="G3064" s="137" t="e">
        <f t="shared" si="51"/>
        <v>#N/A</v>
      </c>
    </row>
    <row r="3065" spans="1:7">
      <c r="A3065" s="112" t="e">
        <f>VLOOKUP('Informe Kelly'!A3059,Base!A:B,2,FALSE)</f>
        <v>#N/A</v>
      </c>
      <c r="B3065" s="112" t="e">
        <f>VLOOKUP('Informe Kelly'!A3059,Base!A:G,7,FALSE)</f>
        <v>#N/A</v>
      </c>
      <c r="C3065" s="112">
        <f>'Informe Kelly'!E3059</f>
        <v>0</v>
      </c>
      <c r="D3065" s="112" t="e">
        <f>VLOOKUP(A3065,Ingreso!K:P,6,FALSE)</f>
        <v>#N/A</v>
      </c>
      <c r="E3065" s="142" t="e">
        <f>(VLOOKUP(D3065,$D$2:$E$4,2,FALSE))-(IF('Informe Kelly'!H3059=$A$2,'Informe Kelly'!F3059,VLOOKUP(D3065,$D$2:$E$4,2,FALSE)))</f>
        <v>#N/A</v>
      </c>
      <c r="F3065" s="142" t="e">
        <f>IF('Informe Kelly'!H3059=$A$3,'Informe Kelly'!F3059,VLOOKUP(D3065,$D$2:$F$4,3,FALSE))-(VLOOKUP(D3065,$D$2:$F$4,3,FALSE))</f>
        <v>#N/A</v>
      </c>
      <c r="G3065" s="137" t="e">
        <f t="shared" si="51"/>
        <v>#N/A</v>
      </c>
    </row>
    <row r="3066" spans="1:7">
      <c r="A3066" s="112" t="e">
        <f>VLOOKUP('Informe Kelly'!A3060,Base!A:B,2,FALSE)</f>
        <v>#N/A</v>
      </c>
      <c r="B3066" s="112" t="e">
        <f>VLOOKUP('Informe Kelly'!A3060,Base!A:G,7,FALSE)</f>
        <v>#N/A</v>
      </c>
      <c r="C3066" s="112">
        <f>'Informe Kelly'!E3060</f>
        <v>0</v>
      </c>
      <c r="D3066" s="112" t="e">
        <f>VLOOKUP(A3066,Ingreso!K:P,6,FALSE)</f>
        <v>#N/A</v>
      </c>
      <c r="E3066" s="142" t="e">
        <f>(VLOOKUP(D3066,$D$2:$E$4,2,FALSE))-(IF('Informe Kelly'!H3060=$A$2,'Informe Kelly'!F3060,VLOOKUP(D3066,$D$2:$E$4,2,FALSE)))</f>
        <v>#N/A</v>
      </c>
      <c r="F3066" s="142" t="e">
        <f>IF('Informe Kelly'!H3060=$A$3,'Informe Kelly'!F3060,VLOOKUP(D3066,$D$2:$F$4,3,FALSE))-(VLOOKUP(D3066,$D$2:$F$4,3,FALSE))</f>
        <v>#N/A</v>
      </c>
      <c r="G3066" s="137" t="e">
        <f t="shared" si="51"/>
        <v>#N/A</v>
      </c>
    </row>
    <row r="3067" spans="1:7">
      <c r="A3067" s="112" t="e">
        <f>VLOOKUP('Informe Kelly'!A3061,Base!A:B,2,FALSE)</f>
        <v>#N/A</v>
      </c>
      <c r="B3067" s="112" t="e">
        <f>VLOOKUP('Informe Kelly'!A3061,Base!A:G,7,FALSE)</f>
        <v>#N/A</v>
      </c>
      <c r="C3067" s="112">
        <f>'Informe Kelly'!E3061</f>
        <v>0</v>
      </c>
      <c r="D3067" s="112" t="e">
        <f>VLOOKUP(A3067,Ingreso!K:P,6,FALSE)</f>
        <v>#N/A</v>
      </c>
      <c r="E3067" s="142" t="e">
        <f>(VLOOKUP(D3067,$D$2:$E$4,2,FALSE))-(IF('Informe Kelly'!H3061=$A$2,'Informe Kelly'!F3061,VLOOKUP(D3067,$D$2:$E$4,2,FALSE)))</f>
        <v>#N/A</v>
      </c>
      <c r="F3067" s="142" t="e">
        <f>IF('Informe Kelly'!H3061=$A$3,'Informe Kelly'!F3061,VLOOKUP(D3067,$D$2:$F$4,3,FALSE))-(VLOOKUP(D3067,$D$2:$F$4,3,FALSE))</f>
        <v>#N/A</v>
      </c>
      <c r="G3067" s="137" t="e">
        <f t="shared" si="51"/>
        <v>#N/A</v>
      </c>
    </row>
    <row r="3068" spans="1:7">
      <c r="A3068" s="112" t="e">
        <f>VLOOKUP('Informe Kelly'!A3062,Base!A:B,2,FALSE)</f>
        <v>#N/A</v>
      </c>
      <c r="B3068" s="112" t="e">
        <f>VLOOKUP('Informe Kelly'!A3062,Base!A:G,7,FALSE)</f>
        <v>#N/A</v>
      </c>
      <c r="C3068" s="112">
        <f>'Informe Kelly'!E3062</f>
        <v>0</v>
      </c>
      <c r="D3068" s="112" t="e">
        <f>VLOOKUP(A3068,Ingreso!K:P,6,FALSE)</f>
        <v>#N/A</v>
      </c>
      <c r="E3068" s="142" t="e">
        <f>(VLOOKUP(D3068,$D$2:$E$4,2,FALSE))-(IF('Informe Kelly'!H3062=$A$2,'Informe Kelly'!F3062,VLOOKUP(D3068,$D$2:$E$4,2,FALSE)))</f>
        <v>#N/A</v>
      </c>
      <c r="F3068" s="142" t="e">
        <f>IF('Informe Kelly'!H3062=$A$3,'Informe Kelly'!F3062,VLOOKUP(D3068,$D$2:$F$4,3,FALSE))-(VLOOKUP(D3068,$D$2:$F$4,3,FALSE))</f>
        <v>#N/A</v>
      </c>
      <c r="G3068" s="137" t="e">
        <f t="shared" si="51"/>
        <v>#N/A</v>
      </c>
    </row>
    <row r="3069" spans="1:7">
      <c r="A3069" s="112" t="e">
        <f>VLOOKUP('Informe Kelly'!A3063,Base!A:B,2,FALSE)</f>
        <v>#N/A</v>
      </c>
      <c r="B3069" s="112" t="e">
        <f>VLOOKUP('Informe Kelly'!A3063,Base!A:G,7,FALSE)</f>
        <v>#N/A</v>
      </c>
      <c r="C3069" s="112">
        <f>'Informe Kelly'!E3063</f>
        <v>0</v>
      </c>
      <c r="D3069" s="112" t="e">
        <f>VLOOKUP(A3069,Ingreso!K:P,6,FALSE)</f>
        <v>#N/A</v>
      </c>
      <c r="E3069" s="142" t="e">
        <f>(VLOOKUP(D3069,$D$2:$E$4,2,FALSE))-(IF('Informe Kelly'!H3063=$A$2,'Informe Kelly'!F3063,VLOOKUP(D3069,$D$2:$E$4,2,FALSE)))</f>
        <v>#N/A</v>
      </c>
      <c r="F3069" s="142" t="e">
        <f>IF('Informe Kelly'!H3063=$A$3,'Informe Kelly'!F3063,VLOOKUP(D3069,$D$2:$F$4,3,FALSE))-(VLOOKUP(D3069,$D$2:$F$4,3,FALSE))</f>
        <v>#N/A</v>
      </c>
      <c r="G3069" s="137" t="e">
        <f t="shared" si="51"/>
        <v>#N/A</v>
      </c>
    </row>
    <row r="3070" spans="1:7">
      <c r="A3070" s="112" t="e">
        <f>VLOOKUP('Informe Kelly'!A3064,Base!A:B,2,FALSE)</f>
        <v>#N/A</v>
      </c>
      <c r="B3070" s="112" t="e">
        <f>VLOOKUP('Informe Kelly'!A3064,Base!A:G,7,FALSE)</f>
        <v>#N/A</v>
      </c>
      <c r="C3070" s="112">
        <f>'Informe Kelly'!E3064</f>
        <v>0</v>
      </c>
      <c r="D3070" s="112" t="e">
        <f>VLOOKUP(A3070,Ingreso!K:P,6,FALSE)</f>
        <v>#N/A</v>
      </c>
      <c r="E3070" s="142" t="e">
        <f>(VLOOKUP(D3070,$D$2:$E$4,2,FALSE))-(IF('Informe Kelly'!H3064=$A$2,'Informe Kelly'!F3064,VLOOKUP(D3070,$D$2:$E$4,2,FALSE)))</f>
        <v>#N/A</v>
      </c>
      <c r="F3070" s="142" t="e">
        <f>IF('Informe Kelly'!H3064=$A$3,'Informe Kelly'!F3064,VLOOKUP(D3070,$D$2:$F$4,3,FALSE))-(VLOOKUP(D3070,$D$2:$F$4,3,FALSE))</f>
        <v>#N/A</v>
      </c>
      <c r="G3070" s="137" t="e">
        <f t="shared" si="51"/>
        <v>#N/A</v>
      </c>
    </row>
    <row r="3071" spans="1:7">
      <c r="A3071" s="112" t="e">
        <f>VLOOKUP('Informe Kelly'!A3065,Base!A:B,2,FALSE)</f>
        <v>#N/A</v>
      </c>
      <c r="B3071" s="112" t="e">
        <f>VLOOKUP('Informe Kelly'!A3065,Base!A:G,7,FALSE)</f>
        <v>#N/A</v>
      </c>
      <c r="C3071" s="112">
        <f>'Informe Kelly'!E3065</f>
        <v>0</v>
      </c>
      <c r="D3071" s="112" t="e">
        <f>VLOOKUP(A3071,Ingreso!K:P,6,FALSE)</f>
        <v>#N/A</v>
      </c>
      <c r="E3071" s="142" t="e">
        <f>(VLOOKUP(D3071,$D$2:$E$4,2,FALSE))-(IF('Informe Kelly'!H3065=$A$2,'Informe Kelly'!F3065,VLOOKUP(D3071,$D$2:$E$4,2,FALSE)))</f>
        <v>#N/A</v>
      </c>
      <c r="F3071" s="142" t="e">
        <f>IF('Informe Kelly'!H3065=$A$3,'Informe Kelly'!F3065,VLOOKUP(D3071,$D$2:$F$4,3,FALSE))-(VLOOKUP(D3071,$D$2:$F$4,3,FALSE))</f>
        <v>#N/A</v>
      </c>
      <c r="G3071" s="137" t="e">
        <f t="shared" si="51"/>
        <v>#N/A</v>
      </c>
    </row>
    <row r="3072" spans="1:7">
      <c r="A3072" s="112" t="e">
        <f>VLOOKUP('Informe Kelly'!A3066,Base!A:B,2,FALSE)</f>
        <v>#N/A</v>
      </c>
      <c r="B3072" s="112" t="e">
        <f>VLOOKUP('Informe Kelly'!A3066,Base!A:G,7,FALSE)</f>
        <v>#N/A</v>
      </c>
      <c r="C3072" s="112">
        <f>'Informe Kelly'!E3066</f>
        <v>0</v>
      </c>
      <c r="D3072" s="112" t="e">
        <f>VLOOKUP(A3072,Ingreso!K:P,6,FALSE)</f>
        <v>#N/A</v>
      </c>
      <c r="E3072" s="142" t="e">
        <f>(VLOOKUP(D3072,$D$2:$E$4,2,FALSE))-(IF('Informe Kelly'!H3066=$A$2,'Informe Kelly'!F3066,VLOOKUP(D3072,$D$2:$E$4,2,FALSE)))</f>
        <v>#N/A</v>
      </c>
      <c r="F3072" s="142" t="e">
        <f>IF('Informe Kelly'!H3066=$A$3,'Informe Kelly'!F3066,VLOOKUP(D3072,$D$2:$F$4,3,FALSE))-(VLOOKUP(D3072,$D$2:$F$4,3,FALSE))</f>
        <v>#N/A</v>
      </c>
      <c r="G3072" s="137" t="e">
        <f t="shared" si="51"/>
        <v>#N/A</v>
      </c>
    </row>
    <row r="3073" spans="1:7">
      <c r="A3073" s="112" t="e">
        <f>VLOOKUP('Informe Kelly'!A3067,Base!A:B,2,FALSE)</f>
        <v>#N/A</v>
      </c>
      <c r="B3073" s="112" t="e">
        <f>VLOOKUP('Informe Kelly'!A3067,Base!A:G,7,FALSE)</f>
        <v>#N/A</v>
      </c>
      <c r="C3073" s="112">
        <f>'Informe Kelly'!E3067</f>
        <v>0</v>
      </c>
      <c r="D3073" s="112" t="e">
        <f>VLOOKUP(A3073,Ingreso!K:P,6,FALSE)</f>
        <v>#N/A</v>
      </c>
      <c r="E3073" s="142" t="e">
        <f>(VLOOKUP(D3073,$D$2:$E$4,2,FALSE))-(IF('Informe Kelly'!H3067=$A$2,'Informe Kelly'!F3067,VLOOKUP(D3073,$D$2:$E$4,2,FALSE)))</f>
        <v>#N/A</v>
      </c>
      <c r="F3073" s="142" t="e">
        <f>IF('Informe Kelly'!H3067=$A$3,'Informe Kelly'!F3067,VLOOKUP(D3073,$D$2:$F$4,3,FALSE))-(VLOOKUP(D3073,$D$2:$F$4,3,FALSE))</f>
        <v>#N/A</v>
      </c>
      <c r="G3073" s="137" t="e">
        <f t="shared" si="51"/>
        <v>#N/A</v>
      </c>
    </row>
    <row r="3074" spans="1:7">
      <c r="A3074" s="112" t="e">
        <f>VLOOKUP('Informe Kelly'!A3068,Base!A:B,2,FALSE)</f>
        <v>#N/A</v>
      </c>
      <c r="B3074" s="112" t="e">
        <f>VLOOKUP('Informe Kelly'!A3068,Base!A:G,7,FALSE)</f>
        <v>#N/A</v>
      </c>
      <c r="C3074" s="112">
        <f>'Informe Kelly'!E3068</f>
        <v>0</v>
      </c>
      <c r="D3074" s="112" t="e">
        <f>VLOOKUP(A3074,Ingreso!K:P,6,FALSE)</f>
        <v>#N/A</v>
      </c>
      <c r="E3074" s="142" t="e">
        <f>(VLOOKUP(D3074,$D$2:$E$4,2,FALSE))-(IF('Informe Kelly'!H3068=$A$2,'Informe Kelly'!F3068,VLOOKUP(D3074,$D$2:$E$4,2,FALSE)))</f>
        <v>#N/A</v>
      </c>
      <c r="F3074" s="142" t="e">
        <f>IF('Informe Kelly'!H3068=$A$3,'Informe Kelly'!F3068,VLOOKUP(D3074,$D$2:$F$4,3,FALSE))-(VLOOKUP(D3074,$D$2:$F$4,3,FALSE))</f>
        <v>#N/A</v>
      </c>
      <c r="G3074" s="137" t="e">
        <f t="shared" si="51"/>
        <v>#N/A</v>
      </c>
    </row>
    <row r="3075" spans="1:7">
      <c r="A3075" s="112" t="e">
        <f>VLOOKUP('Informe Kelly'!A3069,Base!A:B,2,FALSE)</f>
        <v>#N/A</v>
      </c>
      <c r="B3075" s="112" t="e">
        <f>VLOOKUP('Informe Kelly'!A3069,Base!A:G,7,FALSE)</f>
        <v>#N/A</v>
      </c>
      <c r="C3075" s="112">
        <f>'Informe Kelly'!E3069</f>
        <v>0</v>
      </c>
      <c r="D3075" s="112" t="e">
        <f>VLOOKUP(A3075,Ingreso!K:P,6,FALSE)</f>
        <v>#N/A</v>
      </c>
      <c r="E3075" s="142" t="e">
        <f>(VLOOKUP(D3075,$D$2:$E$4,2,FALSE))-(IF('Informe Kelly'!H3069=$A$2,'Informe Kelly'!F3069,VLOOKUP(D3075,$D$2:$E$4,2,FALSE)))</f>
        <v>#N/A</v>
      </c>
      <c r="F3075" s="142" t="e">
        <f>IF('Informe Kelly'!H3069=$A$3,'Informe Kelly'!F3069,VLOOKUP(D3075,$D$2:$F$4,3,FALSE))-(VLOOKUP(D3075,$D$2:$F$4,3,FALSE))</f>
        <v>#N/A</v>
      </c>
      <c r="G3075" s="137" t="e">
        <f t="shared" si="51"/>
        <v>#N/A</v>
      </c>
    </row>
    <row r="3076" spans="1:7">
      <c r="A3076" s="112" t="e">
        <f>VLOOKUP('Informe Kelly'!A3070,Base!A:B,2,FALSE)</f>
        <v>#N/A</v>
      </c>
      <c r="B3076" s="112" t="e">
        <f>VLOOKUP('Informe Kelly'!A3070,Base!A:G,7,FALSE)</f>
        <v>#N/A</v>
      </c>
      <c r="C3076" s="112">
        <f>'Informe Kelly'!E3070</f>
        <v>0</v>
      </c>
      <c r="D3076" s="112" t="e">
        <f>VLOOKUP(A3076,Ingreso!K:P,6,FALSE)</f>
        <v>#N/A</v>
      </c>
      <c r="E3076" s="142" t="e">
        <f>(VLOOKUP(D3076,$D$2:$E$4,2,FALSE))-(IF('Informe Kelly'!H3070=$A$2,'Informe Kelly'!F3070,VLOOKUP(D3076,$D$2:$E$4,2,FALSE)))</f>
        <v>#N/A</v>
      </c>
      <c r="F3076" s="142" t="e">
        <f>IF('Informe Kelly'!H3070=$A$3,'Informe Kelly'!F3070,VLOOKUP(D3076,$D$2:$F$4,3,FALSE))-(VLOOKUP(D3076,$D$2:$F$4,3,FALSE))</f>
        <v>#N/A</v>
      </c>
      <c r="G3076" s="137" t="e">
        <f t="shared" si="51"/>
        <v>#N/A</v>
      </c>
    </row>
    <row r="3077" spans="1:7">
      <c r="A3077" s="112" t="e">
        <f>VLOOKUP('Informe Kelly'!A3071,Base!A:B,2,FALSE)</f>
        <v>#N/A</v>
      </c>
      <c r="B3077" s="112" t="e">
        <f>VLOOKUP('Informe Kelly'!A3071,Base!A:G,7,FALSE)</f>
        <v>#N/A</v>
      </c>
      <c r="C3077" s="112">
        <f>'Informe Kelly'!E3071</f>
        <v>0</v>
      </c>
      <c r="D3077" s="112" t="e">
        <f>VLOOKUP(A3077,Ingreso!K:P,6,FALSE)</f>
        <v>#N/A</v>
      </c>
      <c r="E3077" s="142" t="e">
        <f>(VLOOKUP(D3077,$D$2:$E$4,2,FALSE))-(IF('Informe Kelly'!H3071=$A$2,'Informe Kelly'!F3071,VLOOKUP(D3077,$D$2:$E$4,2,FALSE)))</f>
        <v>#N/A</v>
      </c>
      <c r="F3077" s="142" t="e">
        <f>IF('Informe Kelly'!H3071=$A$3,'Informe Kelly'!F3071,VLOOKUP(D3077,$D$2:$F$4,3,FALSE))-(VLOOKUP(D3077,$D$2:$F$4,3,FALSE))</f>
        <v>#N/A</v>
      </c>
      <c r="G3077" s="137" t="e">
        <f t="shared" si="51"/>
        <v>#N/A</v>
      </c>
    </row>
    <row r="3078" spans="1:7">
      <c r="A3078" s="112" t="e">
        <f>VLOOKUP('Informe Kelly'!A3072,Base!A:B,2,FALSE)</f>
        <v>#N/A</v>
      </c>
      <c r="B3078" s="112" t="e">
        <f>VLOOKUP('Informe Kelly'!A3072,Base!A:G,7,FALSE)</f>
        <v>#N/A</v>
      </c>
      <c r="C3078" s="112">
        <f>'Informe Kelly'!E3072</f>
        <v>0</v>
      </c>
      <c r="D3078" s="112" t="e">
        <f>VLOOKUP(A3078,Ingreso!K:P,6,FALSE)</f>
        <v>#N/A</v>
      </c>
      <c r="E3078" s="142" t="e">
        <f>(VLOOKUP(D3078,$D$2:$E$4,2,FALSE))-(IF('Informe Kelly'!H3072=$A$2,'Informe Kelly'!F3072,VLOOKUP(D3078,$D$2:$E$4,2,FALSE)))</f>
        <v>#N/A</v>
      </c>
      <c r="F3078" s="142" t="e">
        <f>IF('Informe Kelly'!H3072=$A$3,'Informe Kelly'!F3072,VLOOKUP(D3078,$D$2:$F$4,3,FALSE))-(VLOOKUP(D3078,$D$2:$F$4,3,FALSE))</f>
        <v>#N/A</v>
      </c>
      <c r="G3078" s="137" t="e">
        <f t="shared" si="51"/>
        <v>#N/A</v>
      </c>
    </row>
    <row r="3079" spans="1:7">
      <c r="A3079" s="112" t="e">
        <f>VLOOKUP('Informe Kelly'!A3073,Base!A:B,2,FALSE)</f>
        <v>#N/A</v>
      </c>
      <c r="B3079" s="112" t="e">
        <f>VLOOKUP('Informe Kelly'!A3073,Base!A:G,7,FALSE)</f>
        <v>#N/A</v>
      </c>
      <c r="C3079" s="112">
        <f>'Informe Kelly'!E3073</f>
        <v>0</v>
      </c>
      <c r="D3079" s="112" t="e">
        <f>VLOOKUP(A3079,Ingreso!K:P,6,FALSE)</f>
        <v>#N/A</v>
      </c>
      <c r="E3079" s="142" t="e">
        <f>(VLOOKUP(D3079,$D$2:$E$4,2,FALSE))-(IF('Informe Kelly'!H3073=$A$2,'Informe Kelly'!F3073,VLOOKUP(D3079,$D$2:$E$4,2,FALSE)))</f>
        <v>#N/A</v>
      </c>
      <c r="F3079" s="142" t="e">
        <f>IF('Informe Kelly'!H3073=$A$3,'Informe Kelly'!F3073,VLOOKUP(D3079,$D$2:$F$4,3,FALSE))-(VLOOKUP(D3079,$D$2:$F$4,3,FALSE))</f>
        <v>#N/A</v>
      </c>
      <c r="G3079" s="137" t="e">
        <f t="shared" si="51"/>
        <v>#N/A</v>
      </c>
    </row>
    <row r="3080" spans="1:7">
      <c r="A3080" s="112" t="e">
        <f>VLOOKUP('Informe Kelly'!A3074,Base!A:B,2,FALSE)</f>
        <v>#N/A</v>
      </c>
      <c r="B3080" s="112" t="e">
        <f>VLOOKUP('Informe Kelly'!A3074,Base!A:G,7,FALSE)</f>
        <v>#N/A</v>
      </c>
      <c r="C3080" s="112">
        <f>'Informe Kelly'!E3074</f>
        <v>0</v>
      </c>
      <c r="D3080" s="112" t="e">
        <f>VLOOKUP(A3080,Ingreso!K:P,6,FALSE)</f>
        <v>#N/A</v>
      </c>
      <c r="E3080" s="142" t="e">
        <f>(VLOOKUP(D3080,$D$2:$E$4,2,FALSE))-(IF('Informe Kelly'!H3074=$A$2,'Informe Kelly'!F3074,VLOOKUP(D3080,$D$2:$E$4,2,FALSE)))</f>
        <v>#N/A</v>
      </c>
      <c r="F3080" s="142" t="e">
        <f>IF('Informe Kelly'!H3074=$A$3,'Informe Kelly'!F3074,VLOOKUP(D3080,$D$2:$F$4,3,FALSE))-(VLOOKUP(D3080,$D$2:$F$4,3,FALSE))</f>
        <v>#N/A</v>
      </c>
      <c r="G3080" s="137" t="e">
        <f t="shared" si="51"/>
        <v>#N/A</v>
      </c>
    </row>
    <row r="3081" spans="1:7">
      <c r="A3081" s="112" t="e">
        <f>VLOOKUP('Informe Kelly'!A3075,Base!A:B,2,FALSE)</f>
        <v>#N/A</v>
      </c>
      <c r="B3081" s="112" t="e">
        <f>VLOOKUP('Informe Kelly'!A3075,Base!A:G,7,FALSE)</f>
        <v>#N/A</v>
      </c>
      <c r="C3081" s="112">
        <f>'Informe Kelly'!E3075</f>
        <v>0</v>
      </c>
      <c r="D3081" s="112" t="e">
        <f>VLOOKUP(A3081,Ingreso!K:P,6,FALSE)</f>
        <v>#N/A</v>
      </c>
      <c r="E3081" s="142" t="e">
        <f>(VLOOKUP(D3081,$D$2:$E$4,2,FALSE))-(IF('Informe Kelly'!H3075=$A$2,'Informe Kelly'!F3075,VLOOKUP(D3081,$D$2:$E$4,2,FALSE)))</f>
        <v>#N/A</v>
      </c>
      <c r="F3081" s="142" t="e">
        <f>IF('Informe Kelly'!H3075=$A$3,'Informe Kelly'!F3075,VLOOKUP(D3081,$D$2:$F$4,3,FALSE))-(VLOOKUP(D3081,$D$2:$F$4,3,FALSE))</f>
        <v>#N/A</v>
      </c>
      <c r="G3081" s="137" t="e">
        <f t="shared" ref="G3081:G3144" si="52">IF(E3081="",IF(F3081&lt;0.0409722222222222,0,E3081),IF(E3081&lt;0.0409722222222222,0,E3081))</f>
        <v>#N/A</v>
      </c>
    </row>
    <row r="3082" spans="1:7">
      <c r="A3082" s="112" t="e">
        <f>VLOOKUP('Informe Kelly'!A3076,Base!A:B,2,FALSE)</f>
        <v>#N/A</v>
      </c>
      <c r="B3082" s="112" t="e">
        <f>VLOOKUP('Informe Kelly'!A3076,Base!A:G,7,FALSE)</f>
        <v>#N/A</v>
      </c>
      <c r="C3082" s="112">
        <f>'Informe Kelly'!E3076</f>
        <v>0</v>
      </c>
      <c r="D3082" s="112" t="e">
        <f>VLOOKUP(A3082,Ingreso!K:P,6,FALSE)</f>
        <v>#N/A</v>
      </c>
      <c r="E3082" s="142" t="e">
        <f>(VLOOKUP(D3082,$D$2:$E$4,2,FALSE))-(IF('Informe Kelly'!H3076=$A$2,'Informe Kelly'!F3076,VLOOKUP(D3082,$D$2:$E$4,2,FALSE)))</f>
        <v>#N/A</v>
      </c>
      <c r="F3082" s="142" t="e">
        <f>IF('Informe Kelly'!H3076=$A$3,'Informe Kelly'!F3076,VLOOKUP(D3082,$D$2:$F$4,3,FALSE))-(VLOOKUP(D3082,$D$2:$F$4,3,FALSE))</f>
        <v>#N/A</v>
      </c>
      <c r="G3082" s="137" t="e">
        <f t="shared" si="52"/>
        <v>#N/A</v>
      </c>
    </row>
    <row r="3083" spans="1:7">
      <c r="A3083" s="112" t="e">
        <f>VLOOKUP('Informe Kelly'!A3077,Base!A:B,2,FALSE)</f>
        <v>#N/A</v>
      </c>
      <c r="B3083" s="112" t="e">
        <f>VLOOKUP('Informe Kelly'!A3077,Base!A:G,7,FALSE)</f>
        <v>#N/A</v>
      </c>
      <c r="C3083" s="112">
        <f>'Informe Kelly'!E3077</f>
        <v>0</v>
      </c>
      <c r="D3083" s="112" t="e">
        <f>VLOOKUP(A3083,Ingreso!K:P,6,FALSE)</f>
        <v>#N/A</v>
      </c>
      <c r="E3083" s="142" t="e">
        <f>(VLOOKUP(D3083,$D$2:$E$4,2,FALSE))-(IF('Informe Kelly'!H3077=$A$2,'Informe Kelly'!F3077,VLOOKUP(D3083,$D$2:$E$4,2,FALSE)))</f>
        <v>#N/A</v>
      </c>
      <c r="F3083" s="142" t="e">
        <f>IF('Informe Kelly'!H3077=$A$3,'Informe Kelly'!F3077,VLOOKUP(D3083,$D$2:$F$4,3,FALSE))-(VLOOKUP(D3083,$D$2:$F$4,3,FALSE))</f>
        <v>#N/A</v>
      </c>
      <c r="G3083" s="137" t="e">
        <f t="shared" si="52"/>
        <v>#N/A</v>
      </c>
    </row>
    <row r="3084" spans="1:7">
      <c r="A3084" s="112" t="e">
        <f>VLOOKUP('Informe Kelly'!A3078,Base!A:B,2,FALSE)</f>
        <v>#N/A</v>
      </c>
      <c r="B3084" s="112" t="e">
        <f>VLOOKUP('Informe Kelly'!A3078,Base!A:G,7,FALSE)</f>
        <v>#N/A</v>
      </c>
      <c r="C3084" s="112">
        <f>'Informe Kelly'!E3078</f>
        <v>0</v>
      </c>
      <c r="D3084" s="112" t="e">
        <f>VLOOKUP(A3084,Ingreso!K:P,6,FALSE)</f>
        <v>#N/A</v>
      </c>
      <c r="E3084" s="142" t="e">
        <f>(VLOOKUP(D3084,$D$2:$E$4,2,FALSE))-(IF('Informe Kelly'!H3078=$A$2,'Informe Kelly'!F3078,VLOOKUP(D3084,$D$2:$E$4,2,FALSE)))</f>
        <v>#N/A</v>
      </c>
      <c r="F3084" s="142" t="e">
        <f>IF('Informe Kelly'!H3078=$A$3,'Informe Kelly'!F3078,VLOOKUP(D3084,$D$2:$F$4,3,FALSE))-(VLOOKUP(D3084,$D$2:$F$4,3,FALSE))</f>
        <v>#N/A</v>
      </c>
      <c r="G3084" s="137" t="e">
        <f t="shared" si="52"/>
        <v>#N/A</v>
      </c>
    </row>
    <row r="3085" spans="1:7">
      <c r="A3085" s="112" t="e">
        <f>VLOOKUP('Informe Kelly'!A3079,Base!A:B,2,FALSE)</f>
        <v>#N/A</v>
      </c>
      <c r="B3085" s="112" t="e">
        <f>VLOOKUP('Informe Kelly'!A3079,Base!A:G,7,FALSE)</f>
        <v>#N/A</v>
      </c>
      <c r="C3085" s="112">
        <f>'Informe Kelly'!E3079</f>
        <v>0</v>
      </c>
      <c r="D3085" s="112" t="e">
        <f>VLOOKUP(A3085,Ingreso!K:P,6,FALSE)</f>
        <v>#N/A</v>
      </c>
      <c r="E3085" s="142" t="e">
        <f>(VLOOKUP(D3085,$D$2:$E$4,2,FALSE))-(IF('Informe Kelly'!H3079=$A$2,'Informe Kelly'!F3079,VLOOKUP(D3085,$D$2:$E$4,2,FALSE)))</f>
        <v>#N/A</v>
      </c>
      <c r="F3085" s="142" t="e">
        <f>IF('Informe Kelly'!H3079=$A$3,'Informe Kelly'!F3079,VLOOKUP(D3085,$D$2:$F$4,3,FALSE))-(VLOOKUP(D3085,$D$2:$F$4,3,FALSE))</f>
        <v>#N/A</v>
      </c>
      <c r="G3085" s="137" t="e">
        <f t="shared" si="52"/>
        <v>#N/A</v>
      </c>
    </row>
    <row r="3086" spans="1:7">
      <c r="A3086" s="112" t="e">
        <f>VLOOKUP('Informe Kelly'!A3080,Base!A:B,2,FALSE)</f>
        <v>#N/A</v>
      </c>
      <c r="B3086" s="112" t="e">
        <f>VLOOKUP('Informe Kelly'!A3080,Base!A:G,7,FALSE)</f>
        <v>#N/A</v>
      </c>
      <c r="C3086" s="112">
        <f>'Informe Kelly'!E3080</f>
        <v>0</v>
      </c>
      <c r="D3086" s="112" t="e">
        <f>VLOOKUP(A3086,Ingreso!K:P,6,FALSE)</f>
        <v>#N/A</v>
      </c>
      <c r="E3086" s="142" t="e">
        <f>(VLOOKUP(D3086,$D$2:$E$4,2,FALSE))-(IF('Informe Kelly'!H3080=$A$2,'Informe Kelly'!F3080,VLOOKUP(D3086,$D$2:$E$4,2,FALSE)))</f>
        <v>#N/A</v>
      </c>
      <c r="F3086" s="142" t="e">
        <f>IF('Informe Kelly'!H3080=$A$3,'Informe Kelly'!F3080,VLOOKUP(D3086,$D$2:$F$4,3,FALSE))-(VLOOKUP(D3086,$D$2:$F$4,3,FALSE))</f>
        <v>#N/A</v>
      </c>
      <c r="G3086" s="137" t="e">
        <f t="shared" si="52"/>
        <v>#N/A</v>
      </c>
    </row>
    <row r="3087" spans="1:7">
      <c r="A3087" s="112" t="e">
        <f>VLOOKUP('Informe Kelly'!A3081,Base!A:B,2,FALSE)</f>
        <v>#N/A</v>
      </c>
      <c r="B3087" s="112" t="e">
        <f>VLOOKUP('Informe Kelly'!A3081,Base!A:G,7,FALSE)</f>
        <v>#N/A</v>
      </c>
      <c r="C3087" s="112">
        <f>'Informe Kelly'!E3081</f>
        <v>0</v>
      </c>
      <c r="D3087" s="112" t="e">
        <f>VLOOKUP(A3087,Ingreso!K:P,6,FALSE)</f>
        <v>#N/A</v>
      </c>
      <c r="E3087" s="142" t="e">
        <f>(VLOOKUP(D3087,$D$2:$E$4,2,FALSE))-(IF('Informe Kelly'!H3081=$A$2,'Informe Kelly'!F3081,VLOOKUP(D3087,$D$2:$E$4,2,FALSE)))</f>
        <v>#N/A</v>
      </c>
      <c r="F3087" s="142" t="e">
        <f>IF('Informe Kelly'!H3081=$A$3,'Informe Kelly'!F3081,VLOOKUP(D3087,$D$2:$F$4,3,FALSE))-(VLOOKUP(D3087,$D$2:$F$4,3,FALSE))</f>
        <v>#N/A</v>
      </c>
      <c r="G3087" s="137" t="e">
        <f t="shared" si="52"/>
        <v>#N/A</v>
      </c>
    </row>
    <row r="3088" spans="1:7">
      <c r="A3088" s="112" t="e">
        <f>VLOOKUP('Informe Kelly'!A3082,Base!A:B,2,FALSE)</f>
        <v>#N/A</v>
      </c>
      <c r="B3088" s="112" t="e">
        <f>VLOOKUP('Informe Kelly'!A3082,Base!A:G,7,FALSE)</f>
        <v>#N/A</v>
      </c>
      <c r="C3088" s="112">
        <f>'Informe Kelly'!E3082</f>
        <v>0</v>
      </c>
      <c r="D3088" s="112" t="e">
        <f>VLOOKUP(A3088,Ingreso!K:P,6,FALSE)</f>
        <v>#N/A</v>
      </c>
      <c r="E3088" s="142" t="e">
        <f>(VLOOKUP(D3088,$D$2:$E$4,2,FALSE))-(IF('Informe Kelly'!H3082=$A$2,'Informe Kelly'!F3082,VLOOKUP(D3088,$D$2:$E$4,2,FALSE)))</f>
        <v>#N/A</v>
      </c>
      <c r="F3088" s="142" t="e">
        <f>IF('Informe Kelly'!H3082=$A$3,'Informe Kelly'!F3082,VLOOKUP(D3088,$D$2:$F$4,3,FALSE))-(VLOOKUP(D3088,$D$2:$F$4,3,FALSE))</f>
        <v>#N/A</v>
      </c>
      <c r="G3088" s="137" t="e">
        <f t="shared" si="52"/>
        <v>#N/A</v>
      </c>
    </row>
    <row r="3089" spans="1:7">
      <c r="A3089" s="112" t="e">
        <f>VLOOKUP('Informe Kelly'!A3083,Base!A:B,2,FALSE)</f>
        <v>#N/A</v>
      </c>
      <c r="B3089" s="112" t="e">
        <f>VLOOKUP('Informe Kelly'!A3083,Base!A:G,7,FALSE)</f>
        <v>#N/A</v>
      </c>
      <c r="C3089" s="112">
        <f>'Informe Kelly'!E3083</f>
        <v>0</v>
      </c>
      <c r="D3089" s="112" t="e">
        <f>VLOOKUP(A3089,Ingreso!K:P,6,FALSE)</f>
        <v>#N/A</v>
      </c>
      <c r="E3089" s="142" t="e">
        <f>(VLOOKUP(D3089,$D$2:$E$4,2,FALSE))-(IF('Informe Kelly'!H3083=$A$2,'Informe Kelly'!F3083,VLOOKUP(D3089,$D$2:$E$4,2,FALSE)))</f>
        <v>#N/A</v>
      </c>
      <c r="F3089" s="142" t="e">
        <f>IF('Informe Kelly'!H3083=$A$3,'Informe Kelly'!F3083,VLOOKUP(D3089,$D$2:$F$4,3,FALSE))-(VLOOKUP(D3089,$D$2:$F$4,3,FALSE))</f>
        <v>#N/A</v>
      </c>
      <c r="G3089" s="137" t="e">
        <f t="shared" si="52"/>
        <v>#N/A</v>
      </c>
    </row>
    <row r="3090" spans="1:7">
      <c r="A3090" s="112" t="e">
        <f>VLOOKUP('Informe Kelly'!A3084,Base!A:B,2,FALSE)</f>
        <v>#N/A</v>
      </c>
      <c r="B3090" s="112" t="e">
        <f>VLOOKUP('Informe Kelly'!A3084,Base!A:G,7,FALSE)</f>
        <v>#N/A</v>
      </c>
      <c r="C3090" s="112">
        <f>'Informe Kelly'!E3084</f>
        <v>0</v>
      </c>
      <c r="D3090" s="112" t="e">
        <f>VLOOKUP(A3090,Ingreso!K:P,6,FALSE)</f>
        <v>#N/A</v>
      </c>
      <c r="E3090" s="142" t="e">
        <f>(VLOOKUP(D3090,$D$2:$E$4,2,FALSE))-(IF('Informe Kelly'!H3084=$A$2,'Informe Kelly'!F3084,VLOOKUP(D3090,$D$2:$E$4,2,FALSE)))</f>
        <v>#N/A</v>
      </c>
      <c r="F3090" s="142" t="e">
        <f>IF('Informe Kelly'!H3084=$A$3,'Informe Kelly'!F3084,VLOOKUP(D3090,$D$2:$F$4,3,FALSE))-(VLOOKUP(D3090,$D$2:$F$4,3,FALSE))</f>
        <v>#N/A</v>
      </c>
      <c r="G3090" s="137" t="e">
        <f t="shared" si="52"/>
        <v>#N/A</v>
      </c>
    </row>
    <row r="3091" spans="1:7">
      <c r="A3091" s="112" t="e">
        <f>VLOOKUP('Informe Kelly'!A3085,Base!A:B,2,FALSE)</f>
        <v>#N/A</v>
      </c>
      <c r="B3091" s="112" t="e">
        <f>VLOOKUP('Informe Kelly'!A3085,Base!A:G,7,FALSE)</f>
        <v>#N/A</v>
      </c>
      <c r="C3091" s="112">
        <f>'Informe Kelly'!E3085</f>
        <v>0</v>
      </c>
      <c r="D3091" s="112" t="e">
        <f>VLOOKUP(A3091,Ingreso!K:P,6,FALSE)</f>
        <v>#N/A</v>
      </c>
      <c r="E3091" s="142" t="e">
        <f>(VLOOKUP(D3091,$D$2:$E$4,2,FALSE))-(IF('Informe Kelly'!H3085=$A$2,'Informe Kelly'!F3085,VLOOKUP(D3091,$D$2:$E$4,2,FALSE)))</f>
        <v>#N/A</v>
      </c>
      <c r="F3091" s="142" t="e">
        <f>IF('Informe Kelly'!H3085=$A$3,'Informe Kelly'!F3085,VLOOKUP(D3091,$D$2:$F$4,3,FALSE))-(VLOOKUP(D3091,$D$2:$F$4,3,FALSE))</f>
        <v>#N/A</v>
      </c>
      <c r="G3091" s="137" t="e">
        <f t="shared" si="52"/>
        <v>#N/A</v>
      </c>
    </row>
    <row r="3092" spans="1:7">
      <c r="A3092" s="112" t="e">
        <f>VLOOKUP('Informe Kelly'!A3086,Base!A:B,2,FALSE)</f>
        <v>#N/A</v>
      </c>
      <c r="B3092" s="112" t="e">
        <f>VLOOKUP('Informe Kelly'!A3086,Base!A:G,7,FALSE)</f>
        <v>#N/A</v>
      </c>
      <c r="C3092" s="112">
        <f>'Informe Kelly'!E3086</f>
        <v>0</v>
      </c>
      <c r="D3092" s="112" t="e">
        <f>VLOOKUP(A3092,Ingreso!K:P,6,FALSE)</f>
        <v>#N/A</v>
      </c>
      <c r="E3092" s="142" t="e">
        <f>(VLOOKUP(D3092,$D$2:$E$4,2,FALSE))-(IF('Informe Kelly'!H3086=$A$2,'Informe Kelly'!F3086,VLOOKUP(D3092,$D$2:$E$4,2,FALSE)))</f>
        <v>#N/A</v>
      </c>
      <c r="F3092" s="142" t="e">
        <f>IF('Informe Kelly'!H3086=$A$3,'Informe Kelly'!F3086,VLOOKUP(D3092,$D$2:$F$4,3,FALSE))-(VLOOKUP(D3092,$D$2:$F$4,3,FALSE))</f>
        <v>#N/A</v>
      </c>
      <c r="G3092" s="137" t="e">
        <f t="shared" si="52"/>
        <v>#N/A</v>
      </c>
    </row>
    <row r="3093" spans="1:7">
      <c r="A3093" s="112" t="e">
        <f>VLOOKUP('Informe Kelly'!A3087,Base!A:B,2,FALSE)</f>
        <v>#N/A</v>
      </c>
      <c r="B3093" s="112" t="e">
        <f>VLOOKUP('Informe Kelly'!A3087,Base!A:G,7,FALSE)</f>
        <v>#N/A</v>
      </c>
      <c r="C3093" s="112">
        <f>'Informe Kelly'!E3087</f>
        <v>0</v>
      </c>
      <c r="D3093" s="112" t="e">
        <f>VLOOKUP(A3093,Ingreso!K:P,6,FALSE)</f>
        <v>#N/A</v>
      </c>
      <c r="E3093" s="142" t="e">
        <f>(VLOOKUP(D3093,$D$2:$E$4,2,FALSE))-(IF('Informe Kelly'!H3087=$A$2,'Informe Kelly'!F3087,VLOOKUP(D3093,$D$2:$E$4,2,FALSE)))</f>
        <v>#N/A</v>
      </c>
      <c r="F3093" s="142" t="e">
        <f>IF('Informe Kelly'!H3087=$A$3,'Informe Kelly'!F3087,VLOOKUP(D3093,$D$2:$F$4,3,FALSE))-(VLOOKUP(D3093,$D$2:$F$4,3,FALSE))</f>
        <v>#N/A</v>
      </c>
      <c r="G3093" s="137" t="e">
        <f t="shared" si="52"/>
        <v>#N/A</v>
      </c>
    </row>
    <row r="3094" spans="1:7">
      <c r="A3094" s="112" t="e">
        <f>VLOOKUP('Informe Kelly'!A3088,Base!A:B,2,FALSE)</f>
        <v>#N/A</v>
      </c>
      <c r="B3094" s="112" t="e">
        <f>VLOOKUP('Informe Kelly'!A3088,Base!A:G,7,FALSE)</f>
        <v>#N/A</v>
      </c>
      <c r="C3094" s="112">
        <f>'Informe Kelly'!E3088</f>
        <v>0</v>
      </c>
      <c r="D3094" s="112" t="e">
        <f>VLOOKUP(A3094,Ingreso!K:P,6,FALSE)</f>
        <v>#N/A</v>
      </c>
      <c r="E3094" s="142" t="e">
        <f>(VLOOKUP(D3094,$D$2:$E$4,2,FALSE))-(IF('Informe Kelly'!H3088=$A$2,'Informe Kelly'!F3088,VLOOKUP(D3094,$D$2:$E$4,2,FALSE)))</f>
        <v>#N/A</v>
      </c>
      <c r="F3094" s="142" t="e">
        <f>IF('Informe Kelly'!H3088=$A$3,'Informe Kelly'!F3088,VLOOKUP(D3094,$D$2:$F$4,3,FALSE))-(VLOOKUP(D3094,$D$2:$F$4,3,FALSE))</f>
        <v>#N/A</v>
      </c>
      <c r="G3094" s="137" t="e">
        <f t="shared" si="52"/>
        <v>#N/A</v>
      </c>
    </row>
    <row r="3095" spans="1:7">
      <c r="A3095" s="112" t="e">
        <f>VLOOKUP('Informe Kelly'!A3089,Base!A:B,2,FALSE)</f>
        <v>#N/A</v>
      </c>
      <c r="B3095" s="112" t="e">
        <f>VLOOKUP('Informe Kelly'!A3089,Base!A:G,7,FALSE)</f>
        <v>#N/A</v>
      </c>
      <c r="C3095" s="112">
        <f>'Informe Kelly'!E3089</f>
        <v>0</v>
      </c>
      <c r="D3095" s="112" t="e">
        <f>VLOOKUP(A3095,Ingreso!K:P,6,FALSE)</f>
        <v>#N/A</v>
      </c>
      <c r="E3095" s="142" t="e">
        <f>(VLOOKUP(D3095,$D$2:$E$4,2,FALSE))-(IF('Informe Kelly'!H3089=$A$2,'Informe Kelly'!F3089,VLOOKUP(D3095,$D$2:$E$4,2,FALSE)))</f>
        <v>#N/A</v>
      </c>
      <c r="F3095" s="142" t="e">
        <f>IF('Informe Kelly'!H3089=$A$3,'Informe Kelly'!F3089,VLOOKUP(D3095,$D$2:$F$4,3,FALSE))-(VLOOKUP(D3095,$D$2:$F$4,3,FALSE))</f>
        <v>#N/A</v>
      </c>
      <c r="G3095" s="137" t="e">
        <f t="shared" si="52"/>
        <v>#N/A</v>
      </c>
    </row>
    <row r="3096" spans="1:7">
      <c r="A3096" s="112" t="e">
        <f>VLOOKUP('Informe Kelly'!A3090,Base!A:B,2,FALSE)</f>
        <v>#N/A</v>
      </c>
      <c r="B3096" s="112" t="e">
        <f>VLOOKUP('Informe Kelly'!A3090,Base!A:G,7,FALSE)</f>
        <v>#N/A</v>
      </c>
      <c r="C3096" s="112">
        <f>'Informe Kelly'!E3090</f>
        <v>0</v>
      </c>
      <c r="D3096" s="112" t="e">
        <f>VLOOKUP(A3096,Ingreso!K:P,6,FALSE)</f>
        <v>#N/A</v>
      </c>
      <c r="E3096" s="142" t="e">
        <f>(VLOOKUP(D3096,$D$2:$E$4,2,FALSE))-(IF('Informe Kelly'!H3090=$A$2,'Informe Kelly'!F3090,VLOOKUP(D3096,$D$2:$E$4,2,FALSE)))</f>
        <v>#N/A</v>
      </c>
      <c r="F3096" s="142" t="e">
        <f>IF('Informe Kelly'!H3090=$A$3,'Informe Kelly'!F3090,VLOOKUP(D3096,$D$2:$F$4,3,FALSE))-(VLOOKUP(D3096,$D$2:$F$4,3,FALSE))</f>
        <v>#N/A</v>
      </c>
      <c r="G3096" s="137" t="e">
        <f t="shared" si="52"/>
        <v>#N/A</v>
      </c>
    </row>
    <row r="3097" spans="1:7">
      <c r="A3097" s="112" t="e">
        <f>VLOOKUP('Informe Kelly'!A3091,Base!A:B,2,FALSE)</f>
        <v>#N/A</v>
      </c>
      <c r="B3097" s="112" t="e">
        <f>VLOOKUP('Informe Kelly'!A3091,Base!A:G,7,FALSE)</f>
        <v>#N/A</v>
      </c>
      <c r="C3097" s="112">
        <f>'Informe Kelly'!E3091</f>
        <v>0</v>
      </c>
      <c r="D3097" s="112" t="e">
        <f>VLOOKUP(A3097,Ingreso!K:P,6,FALSE)</f>
        <v>#N/A</v>
      </c>
      <c r="E3097" s="142" t="e">
        <f>(VLOOKUP(D3097,$D$2:$E$4,2,FALSE))-(IF('Informe Kelly'!H3091=$A$2,'Informe Kelly'!F3091,VLOOKUP(D3097,$D$2:$E$4,2,FALSE)))</f>
        <v>#N/A</v>
      </c>
      <c r="F3097" s="142" t="e">
        <f>IF('Informe Kelly'!H3091=$A$3,'Informe Kelly'!F3091,VLOOKUP(D3097,$D$2:$F$4,3,FALSE))-(VLOOKUP(D3097,$D$2:$F$4,3,FALSE))</f>
        <v>#N/A</v>
      </c>
      <c r="G3097" s="137" t="e">
        <f t="shared" si="52"/>
        <v>#N/A</v>
      </c>
    </row>
    <row r="3098" spans="1:7">
      <c r="A3098" s="112" t="e">
        <f>VLOOKUP('Informe Kelly'!A3092,Base!A:B,2,FALSE)</f>
        <v>#N/A</v>
      </c>
      <c r="B3098" s="112" t="e">
        <f>VLOOKUP('Informe Kelly'!A3092,Base!A:G,7,FALSE)</f>
        <v>#N/A</v>
      </c>
      <c r="C3098" s="112">
        <f>'Informe Kelly'!E3092</f>
        <v>0</v>
      </c>
      <c r="D3098" s="112" t="e">
        <f>VLOOKUP(A3098,Ingreso!K:P,6,FALSE)</f>
        <v>#N/A</v>
      </c>
      <c r="E3098" s="142" t="e">
        <f>(VLOOKUP(D3098,$D$2:$E$4,2,FALSE))-(IF('Informe Kelly'!H3092=$A$2,'Informe Kelly'!F3092,VLOOKUP(D3098,$D$2:$E$4,2,FALSE)))</f>
        <v>#N/A</v>
      </c>
      <c r="F3098" s="142" t="e">
        <f>IF('Informe Kelly'!H3092=$A$3,'Informe Kelly'!F3092,VLOOKUP(D3098,$D$2:$F$4,3,FALSE))-(VLOOKUP(D3098,$D$2:$F$4,3,FALSE))</f>
        <v>#N/A</v>
      </c>
      <c r="G3098" s="137" t="e">
        <f t="shared" si="52"/>
        <v>#N/A</v>
      </c>
    </row>
    <row r="3099" spans="1:7">
      <c r="A3099" s="112" t="e">
        <f>VLOOKUP('Informe Kelly'!A3093,Base!A:B,2,FALSE)</f>
        <v>#N/A</v>
      </c>
      <c r="B3099" s="112" t="e">
        <f>VLOOKUP('Informe Kelly'!A3093,Base!A:G,7,FALSE)</f>
        <v>#N/A</v>
      </c>
      <c r="C3099" s="112">
        <f>'Informe Kelly'!E3093</f>
        <v>0</v>
      </c>
      <c r="D3099" s="112" t="e">
        <f>VLOOKUP(A3099,Ingreso!K:P,6,FALSE)</f>
        <v>#N/A</v>
      </c>
      <c r="E3099" s="142" t="e">
        <f>(VLOOKUP(D3099,$D$2:$E$4,2,FALSE))-(IF('Informe Kelly'!H3093=$A$2,'Informe Kelly'!F3093,VLOOKUP(D3099,$D$2:$E$4,2,FALSE)))</f>
        <v>#N/A</v>
      </c>
      <c r="F3099" s="142" t="e">
        <f>IF('Informe Kelly'!H3093=$A$3,'Informe Kelly'!F3093,VLOOKUP(D3099,$D$2:$F$4,3,FALSE))-(VLOOKUP(D3099,$D$2:$F$4,3,FALSE))</f>
        <v>#N/A</v>
      </c>
      <c r="G3099" s="137" t="e">
        <f t="shared" si="52"/>
        <v>#N/A</v>
      </c>
    </row>
    <row r="3100" spans="1:7">
      <c r="A3100" s="112" t="e">
        <f>VLOOKUP('Informe Kelly'!A3094,Base!A:B,2,FALSE)</f>
        <v>#N/A</v>
      </c>
      <c r="B3100" s="112" t="e">
        <f>VLOOKUP('Informe Kelly'!A3094,Base!A:G,7,FALSE)</f>
        <v>#N/A</v>
      </c>
      <c r="C3100" s="112">
        <f>'Informe Kelly'!E3094</f>
        <v>0</v>
      </c>
      <c r="D3100" s="112" t="e">
        <f>VLOOKUP(A3100,Ingreso!K:P,6,FALSE)</f>
        <v>#N/A</v>
      </c>
      <c r="E3100" s="142" t="e">
        <f>(VLOOKUP(D3100,$D$2:$E$4,2,FALSE))-(IF('Informe Kelly'!H3094=$A$2,'Informe Kelly'!F3094,VLOOKUP(D3100,$D$2:$E$4,2,FALSE)))</f>
        <v>#N/A</v>
      </c>
      <c r="F3100" s="142" t="e">
        <f>IF('Informe Kelly'!H3094=$A$3,'Informe Kelly'!F3094,VLOOKUP(D3100,$D$2:$F$4,3,FALSE))-(VLOOKUP(D3100,$D$2:$F$4,3,FALSE))</f>
        <v>#N/A</v>
      </c>
      <c r="G3100" s="137" t="e">
        <f t="shared" si="52"/>
        <v>#N/A</v>
      </c>
    </row>
    <row r="3101" spans="1:7">
      <c r="A3101" s="112" t="e">
        <f>VLOOKUP('Informe Kelly'!A3095,Base!A:B,2,FALSE)</f>
        <v>#N/A</v>
      </c>
      <c r="B3101" s="112" t="e">
        <f>VLOOKUP('Informe Kelly'!A3095,Base!A:G,7,FALSE)</f>
        <v>#N/A</v>
      </c>
      <c r="C3101" s="112">
        <f>'Informe Kelly'!E3095</f>
        <v>0</v>
      </c>
      <c r="D3101" s="112" t="e">
        <f>VLOOKUP(A3101,Ingreso!K:P,6,FALSE)</f>
        <v>#N/A</v>
      </c>
      <c r="E3101" s="142" t="e">
        <f>(VLOOKUP(D3101,$D$2:$E$4,2,FALSE))-(IF('Informe Kelly'!H3095=$A$2,'Informe Kelly'!F3095,VLOOKUP(D3101,$D$2:$E$4,2,FALSE)))</f>
        <v>#N/A</v>
      </c>
      <c r="F3101" s="142" t="e">
        <f>IF('Informe Kelly'!H3095=$A$3,'Informe Kelly'!F3095,VLOOKUP(D3101,$D$2:$F$4,3,FALSE))-(VLOOKUP(D3101,$D$2:$F$4,3,FALSE))</f>
        <v>#N/A</v>
      </c>
      <c r="G3101" s="137" t="e">
        <f t="shared" si="52"/>
        <v>#N/A</v>
      </c>
    </row>
    <row r="3102" spans="1:7">
      <c r="A3102" s="112" t="e">
        <f>VLOOKUP('Informe Kelly'!A3096,Base!A:B,2,FALSE)</f>
        <v>#N/A</v>
      </c>
      <c r="B3102" s="112" t="e">
        <f>VLOOKUP('Informe Kelly'!A3096,Base!A:G,7,FALSE)</f>
        <v>#N/A</v>
      </c>
      <c r="C3102" s="112">
        <f>'Informe Kelly'!E3096</f>
        <v>0</v>
      </c>
      <c r="D3102" s="112" t="e">
        <f>VLOOKUP(A3102,Ingreso!K:P,6,FALSE)</f>
        <v>#N/A</v>
      </c>
      <c r="E3102" s="142" t="e">
        <f>(VLOOKUP(D3102,$D$2:$E$4,2,FALSE))-(IF('Informe Kelly'!H3096=$A$2,'Informe Kelly'!F3096,VLOOKUP(D3102,$D$2:$E$4,2,FALSE)))</f>
        <v>#N/A</v>
      </c>
      <c r="F3102" s="142" t="e">
        <f>IF('Informe Kelly'!H3096=$A$3,'Informe Kelly'!F3096,VLOOKUP(D3102,$D$2:$F$4,3,FALSE))-(VLOOKUP(D3102,$D$2:$F$4,3,FALSE))</f>
        <v>#N/A</v>
      </c>
      <c r="G3102" s="137" t="e">
        <f t="shared" si="52"/>
        <v>#N/A</v>
      </c>
    </row>
    <row r="3103" spans="1:7">
      <c r="A3103" s="112" t="e">
        <f>VLOOKUP('Informe Kelly'!A3097,Base!A:B,2,FALSE)</f>
        <v>#N/A</v>
      </c>
      <c r="B3103" s="112" t="e">
        <f>VLOOKUP('Informe Kelly'!A3097,Base!A:G,7,FALSE)</f>
        <v>#N/A</v>
      </c>
      <c r="C3103" s="112">
        <f>'Informe Kelly'!E3097</f>
        <v>0</v>
      </c>
      <c r="D3103" s="112" t="e">
        <f>VLOOKUP(A3103,Ingreso!K:P,6,FALSE)</f>
        <v>#N/A</v>
      </c>
      <c r="E3103" s="142" t="e">
        <f>(VLOOKUP(D3103,$D$2:$E$4,2,FALSE))-(IF('Informe Kelly'!H3097=$A$2,'Informe Kelly'!F3097,VLOOKUP(D3103,$D$2:$E$4,2,FALSE)))</f>
        <v>#N/A</v>
      </c>
      <c r="F3103" s="142" t="e">
        <f>IF('Informe Kelly'!H3097=$A$3,'Informe Kelly'!F3097,VLOOKUP(D3103,$D$2:$F$4,3,FALSE))-(VLOOKUP(D3103,$D$2:$F$4,3,FALSE))</f>
        <v>#N/A</v>
      </c>
      <c r="G3103" s="137" t="e">
        <f t="shared" si="52"/>
        <v>#N/A</v>
      </c>
    </row>
    <row r="3104" spans="1:7">
      <c r="A3104" s="112" t="e">
        <f>VLOOKUP('Informe Kelly'!A3098,Base!A:B,2,FALSE)</f>
        <v>#N/A</v>
      </c>
      <c r="B3104" s="112" t="e">
        <f>VLOOKUP('Informe Kelly'!A3098,Base!A:G,7,FALSE)</f>
        <v>#N/A</v>
      </c>
      <c r="C3104" s="112">
        <f>'Informe Kelly'!E3098</f>
        <v>0</v>
      </c>
      <c r="D3104" s="112" t="e">
        <f>VLOOKUP(A3104,Ingreso!K:P,6,FALSE)</f>
        <v>#N/A</v>
      </c>
      <c r="E3104" s="142" t="e">
        <f>(VLOOKUP(D3104,$D$2:$E$4,2,FALSE))-(IF('Informe Kelly'!H3098=$A$2,'Informe Kelly'!F3098,VLOOKUP(D3104,$D$2:$E$4,2,FALSE)))</f>
        <v>#N/A</v>
      </c>
      <c r="F3104" s="142" t="e">
        <f>IF('Informe Kelly'!H3098=$A$3,'Informe Kelly'!F3098,VLOOKUP(D3104,$D$2:$F$4,3,FALSE))-(VLOOKUP(D3104,$D$2:$F$4,3,FALSE))</f>
        <v>#N/A</v>
      </c>
      <c r="G3104" s="137" t="e">
        <f t="shared" si="52"/>
        <v>#N/A</v>
      </c>
    </row>
    <row r="3105" spans="1:7">
      <c r="A3105" s="112" t="e">
        <f>VLOOKUP('Informe Kelly'!A3099,Base!A:B,2,FALSE)</f>
        <v>#N/A</v>
      </c>
      <c r="B3105" s="112" t="e">
        <f>VLOOKUP('Informe Kelly'!A3099,Base!A:G,7,FALSE)</f>
        <v>#N/A</v>
      </c>
      <c r="C3105" s="112">
        <f>'Informe Kelly'!E3099</f>
        <v>0</v>
      </c>
      <c r="D3105" s="112" t="e">
        <f>VLOOKUP(A3105,Ingreso!K:P,6,FALSE)</f>
        <v>#N/A</v>
      </c>
      <c r="E3105" s="142" t="e">
        <f>(VLOOKUP(D3105,$D$2:$E$4,2,FALSE))-(IF('Informe Kelly'!H3099=$A$2,'Informe Kelly'!F3099,VLOOKUP(D3105,$D$2:$E$4,2,FALSE)))</f>
        <v>#N/A</v>
      </c>
      <c r="F3105" s="142" t="e">
        <f>IF('Informe Kelly'!H3099=$A$3,'Informe Kelly'!F3099,VLOOKUP(D3105,$D$2:$F$4,3,FALSE))-(VLOOKUP(D3105,$D$2:$F$4,3,FALSE))</f>
        <v>#N/A</v>
      </c>
      <c r="G3105" s="137" t="e">
        <f t="shared" si="52"/>
        <v>#N/A</v>
      </c>
    </row>
    <row r="3106" spans="1:7">
      <c r="A3106" s="112" t="e">
        <f>VLOOKUP('Informe Kelly'!A3100,Base!A:B,2,FALSE)</f>
        <v>#N/A</v>
      </c>
      <c r="B3106" s="112" t="e">
        <f>VLOOKUP('Informe Kelly'!A3100,Base!A:G,7,FALSE)</f>
        <v>#N/A</v>
      </c>
      <c r="C3106" s="112">
        <f>'Informe Kelly'!E3100</f>
        <v>0</v>
      </c>
      <c r="D3106" s="112" t="e">
        <f>VLOOKUP(A3106,Ingreso!K:P,6,FALSE)</f>
        <v>#N/A</v>
      </c>
      <c r="E3106" s="142" t="e">
        <f>(VLOOKUP(D3106,$D$2:$E$4,2,FALSE))-(IF('Informe Kelly'!H3100=$A$2,'Informe Kelly'!F3100,VLOOKUP(D3106,$D$2:$E$4,2,FALSE)))</f>
        <v>#N/A</v>
      </c>
      <c r="F3106" s="142" t="e">
        <f>IF('Informe Kelly'!H3100=$A$3,'Informe Kelly'!F3100,VLOOKUP(D3106,$D$2:$F$4,3,FALSE))-(VLOOKUP(D3106,$D$2:$F$4,3,FALSE))</f>
        <v>#N/A</v>
      </c>
      <c r="G3106" s="137" t="e">
        <f t="shared" si="52"/>
        <v>#N/A</v>
      </c>
    </row>
    <row r="3107" spans="1:7">
      <c r="A3107" s="112" t="e">
        <f>VLOOKUP('Informe Kelly'!A3101,Base!A:B,2,FALSE)</f>
        <v>#N/A</v>
      </c>
      <c r="B3107" s="112" t="e">
        <f>VLOOKUP('Informe Kelly'!A3101,Base!A:G,7,FALSE)</f>
        <v>#N/A</v>
      </c>
      <c r="C3107" s="112">
        <f>'Informe Kelly'!E3101</f>
        <v>0</v>
      </c>
      <c r="D3107" s="112" t="e">
        <f>VLOOKUP(A3107,Ingreso!K:P,6,FALSE)</f>
        <v>#N/A</v>
      </c>
      <c r="E3107" s="142" t="e">
        <f>(VLOOKUP(D3107,$D$2:$E$4,2,FALSE))-(IF('Informe Kelly'!H3101=$A$2,'Informe Kelly'!F3101,VLOOKUP(D3107,$D$2:$E$4,2,FALSE)))</f>
        <v>#N/A</v>
      </c>
      <c r="F3107" s="142" t="e">
        <f>IF('Informe Kelly'!H3101=$A$3,'Informe Kelly'!F3101,VLOOKUP(D3107,$D$2:$F$4,3,FALSE))-(VLOOKUP(D3107,$D$2:$F$4,3,FALSE))</f>
        <v>#N/A</v>
      </c>
      <c r="G3107" s="137" t="e">
        <f t="shared" si="52"/>
        <v>#N/A</v>
      </c>
    </row>
    <row r="3108" spans="1:7">
      <c r="A3108" s="112" t="e">
        <f>VLOOKUP('Informe Kelly'!A3102,Base!A:B,2,FALSE)</f>
        <v>#N/A</v>
      </c>
      <c r="B3108" s="112" t="e">
        <f>VLOOKUP('Informe Kelly'!A3102,Base!A:G,7,FALSE)</f>
        <v>#N/A</v>
      </c>
      <c r="C3108" s="112">
        <f>'Informe Kelly'!E3102</f>
        <v>0</v>
      </c>
      <c r="D3108" s="112" t="e">
        <f>VLOOKUP(A3108,Ingreso!K:P,6,FALSE)</f>
        <v>#N/A</v>
      </c>
      <c r="E3108" s="142" t="e">
        <f>(VLOOKUP(D3108,$D$2:$E$4,2,FALSE))-(IF('Informe Kelly'!H3102=$A$2,'Informe Kelly'!F3102,VLOOKUP(D3108,$D$2:$E$4,2,FALSE)))</f>
        <v>#N/A</v>
      </c>
      <c r="F3108" s="142" t="e">
        <f>IF('Informe Kelly'!H3102=$A$3,'Informe Kelly'!F3102,VLOOKUP(D3108,$D$2:$F$4,3,FALSE))-(VLOOKUP(D3108,$D$2:$F$4,3,FALSE))</f>
        <v>#N/A</v>
      </c>
      <c r="G3108" s="137" t="e">
        <f t="shared" si="52"/>
        <v>#N/A</v>
      </c>
    </row>
    <row r="3109" spans="1:7">
      <c r="A3109" s="112" t="e">
        <f>VLOOKUP('Informe Kelly'!A3103,Base!A:B,2,FALSE)</f>
        <v>#N/A</v>
      </c>
      <c r="B3109" s="112" t="e">
        <f>VLOOKUP('Informe Kelly'!A3103,Base!A:G,7,FALSE)</f>
        <v>#N/A</v>
      </c>
      <c r="C3109" s="112">
        <f>'Informe Kelly'!E3103</f>
        <v>0</v>
      </c>
      <c r="D3109" s="112" t="e">
        <f>VLOOKUP(A3109,Ingreso!K:P,6,FALSE)</f>
        <v>#N/A</v>
      </c>
      <c r="E3109" s="142" t="e">
        <f>(VLOOKUP(D3109,$D$2:$E$4,2,FALSE))-(IF('Informe Kelly'!H3103=$A$2,'Informe Kelly'!F3103,VLOOKUP(D3109,$D$2:$E$4,2,FALSE)))</f>
        <v>#N/A</v>
      </c>
      <c r="F3109" s="142" t="e">
        <f>IF('Informe Kelly'!H3103=$A$3,'Informe Kelly'!F3103,VLOOKUP(D3109,$D$2:$F$4,3,FALSE))-(VLOOKUP(D3109,$D$2:$F$4,3,FALSE))</f>
        <v>#N/A</v>
      </c>
      <c r="G3109" s="137" t="e">
        <f t="shared" si="52"/>
        <v>#N/A</v>
      </c>
    </row>
    <row r="3110" spans="1:7">
      <c r="A3110" s="112" t="e">
        <f>VLOOKUP('Informe Kelly'!A3104,Base!A:B,2,FALSE)</f>
        <v>#N/A</v>
      </c>
      <c r="B3110" s="112" t="e">
        <f>VLOOKUP('Informe Kelly'!A3104,Base!A:G,7,FALSE)</f>
        <v>#N/A</v>
      </c>
      <c r="C3110" s="112">
        <f>'Informe Kelly'!E3104</f>
        <v>0</v>
      </c>
      <c r="D3110" s="112" t="e">
        <f>VLOOKUP(A3110,Ingreso!K:P,6,FALSE)</f>
        <v>#N/A</v>
      </c>
      <c r="E3110" s="142" t="e">
        <f>(VLOOKUP(D3110,$D$2:$E$4,2,FALSE))-(IF('Informe Kelly'!H3104=$A$2,'Informe Kelly'!F3104,VLOOKUP(D3110,$D$2:$E$4,2,FALSE)))</f>
        <v>#N/A</v>
      </c>
      <c r="F3110" s="142" t="e">
        <f>IF('Informe Kelly'!H3104=$A$3,'Informe Kelly'!F3104,VLOOKUP(D3110,$D$2:$F$4,3,FALSE))-(VLOOKUP(D3110,$D$2:$F$4,3,FALSE))</f>
        <v>#N/A</v>
      </c>
      <c r="G3110" s="137" t="e">
        <f t="shared" si="52"/>
        <v>#N/A</v>
      </c>
    </row>
    <row r="3111" spans="1:7">
      <c r="A3111" s="112" t="e">
        <f>VLOOKUP('Informe Kelly'!A3105,Base!A:B,2,FALSE)</f>
        <v>#N/A</v>
      </c>
      <c r="B3111" s="112" t="e">
        <f>VLOOKUP('Informe Kelly'!A3105,Base!A:G,7,FALSE)</f>
        <v>#N/A</v>
      </c>
      <c r="C3111" s="112">
        <f>'Informe Kelly'!E3105</f>
        <v>0</v>
      </c>
      <c r="D3111" s="112" t="e">
        <f>VLOOKUP(A3111,Ingreso!K:P,6,FALSE)</f>
        <v>#N/A</v>
      </c>
      <c r="E3111" s="142" t="e">
        <f>(VLOOKUP(D3111,$D$2:$E$4,2,FALSE))-(IF('Informe Kelly'!H3105=$A$2,'Informe Kelly'!F3105,VLOOKUP(D3111,$D$2:$E$4,2,FALSE)))</f>
        <v>#N/A</v>
      </c>
      <c r="F3111" s="142" t="e">
        <f>IF('Informe Kelly'!H3105=$A$3,'Informe Kelly'!F3105,VLOOKUP(D3111,$D$2:$F$4,3,FALSE))-(VLOOKUP(D3111,$D$2:$F$4,3,FALSE))</f>
        <v>#N/A</v>
      </c>
      <c r="G3111" s="137" t="e">
        <f t="shared" si="52"/>
        <v>#N/A</v>
      </c>
    </row>
    <row r="3112" spans="1:7">
      <c r="A3112" s="112" t="e">
        <f>VLOOKUP('Informe Kelly'!A3106,Base!A:B,2,FALSE)</f>
        <v>#N/A</v>
      </c>
      <c r="B3112" s="112" t="e">
        <f>VLOOKUP('Informe Kelly'!A3106,Base!A:G,7,FALSE)</f>
        <v>#N/A</v>
      </c>
      <c r="C3112" s="112">
        <f>'Informe Kelly'!E3106</f>
        <v>0</v>
      </c>
      <c r="D3112" s="112" t="e">
        <f>VLOOKUP(A3112,Ingreso!K:P,6,FALSE)</f>
        <v>#N/A</v>
      </c>
      <c r="E3112" s="142" t="e">
        <f>(VLOOKUP(D3112,$D$2:$E$4,2,FALSE))-(IF('Informe Kelly'!H3106=$A$2,'Informe Kelly'!F3106,VLOOKUP(D3112,$D$2:$E$4,2,FALSE)))</f>
        <v>#N/A</v>
      </c>
      <c r="F3112" s="142" t="e">
        <f>IF('Informe Kelly'!H3106=$A$3,'Informe Kelly'!F3106,VLOOKUP(D3112,$D$2:$F$4,3,FALSE))-(VLOOKUP(D3112,$D$2:$F$4,3,FALSE))</f>
        <v>#N/A</v>
      </c>
      <c r="G3112" s="137" t="e">
        <f t="shared" si="52"/>
        <v>#N/A</v>
      </c>
    </row>
    <row r="3113" spans="1:7">
      <c r="A3113" s="112" t="e">
        <f>VLOOKUP('Informe Kelly'!A3107,Base!A:B,2,FALSE)</f>
        <v>#N/A</v>
      </c>
      <c r="B3113" s="112" t="e">
        <f>VLOOKUP('Informe Kelly'!A3107,Base!A:G,7,FALSE)</f>
        <v>#N/A</v>
      </c>
      <c r="C3113" s="112">
        <f>'Informe Kelly'!E3107</f>
        <v>0</v>
      </c>
      <c r="D3113" s="112" t="e">
        <f>VLOOKUP(A3113,Ingreso!K:P,6,FALSE)</f>
        <v>#N/A</v>
      </c>
      <c r="E3113" s="142" t="e">
        <f>(VLOOKUP(D3113,$D$2:$E$4,2,FALSE))-(IF('Informe Kelly'!H3107=$A$2,'Informe Kelly'!F3107,VLOOKUP(D3113,$D$2:$E$4,2,FALSE)))</f>
        <v>#N/A</v>
      </c>
      <c r="F3113" s="142" t="e">
        <f>IF('Informe Kelly'!H3107=$A$3,'Informe Kelly'!F3107,VLOOKUP(D3113,$D$2:$F$4,3,FALSE))-(VLOOKUP(D3113,$D$2:$F$4,3,FALSE))</f>
        <v>#N/A</v>
      </c>
      <c r="G3113" s="137" t="e">
        <f t="shared" si="52"/>
        <v>#N/A</v>
      </c>
    </row>
    <row r="3114" spans="1:7">
      <c r="A3114" s="112" t="e">
        <f>VLOOKUP('Informe Kelly'!A3108,Base!A:B,2,FALSE)</f>
        <v>#N/A</v>
      </c>
      <c r="B3114" s="112" t="e">
        <f>VLOOKUP('Informe Kelly'!A3108,Base!A:G,7,FALSE)</f>
        <v>#N/A</v>
      </c>
      <c r="C3114" s="112">
        <f>'Informe Kelly'!E3108</f>
        <v>0</v>
      </c>
      <c r="D3114" s="112" t="e">
        <f>VLOOKUP(A3114,Ingreso!K:P,6,FALSE)</f>
        <v>#N/A</v>
      </c>
      <c r="E3114" s="142" t="e">
        <f>(VLOOKUP(D3114,$D$2:$E$4,2,FALSE))-(IF('Informe Kelly'!H3108=$A$2,'Informe Kelly'!F3108,VLOOKUP(D3114,$D$2:$E$4,2,FALSE)))</f>
        <v>#N/A</v>
      </c>
      <c r="F3114" s="142" t="e">
        <f>IF('Informe Kelly'!H3108=$A$3,'Informe Kelly'!F3108,VLOOKUP(D3114,$D$2:$F$4,3,FALSE))-(VLOOKUP(D3114,$D$2:$F$4,3,FALSE))</f>
        <v>#N/A</v>
      </c>
      <c r="G3114" s="137" t="e">
        <f t="shared" si="52"/>
        <v>#N/A</v>
      </c>
    </row>
    <row r="3115" spans="1:7">
      <c r="A3115" s="112" t="e">
        <f>VLOOKUP('Informe Kelly'!A3109,Base!A:B,2,FALSE)</f>
        <v>#N/A</v>
      </c>
      <c r="B3115" s="112" t="e">
        <f>VLOOKUP('Informe Kelly'!A3109,Base!A:G,7,FALSE)</f>
        <v>#N/A</v>
      </c>
      <c r="C3115" s="112">
        <f>'Informe Kelly'!E3109</f>
        <v>0</v>
      </c>
      <c r="D3115" s="112" t="e">
        <f>VLOOKUP(A3115,Ingreso!K:P,6,FALSE)</f>
        <v>#N/A</v>
      </c>
      <c r="E3115" s="142" t="e">
        <f>(VLOOKUP(D3115,$D$2:$E$4,2,FALSE))-(IF('Informe Kelly'!H3109=$A$2,'Informe Kelly'!F3109,VLOOKUP(D3115,$D$2:$E$4,2,FALSE)))</f>
        <v>#N/A</v>
      </c>
      <c r="F3115" s="142" t="e">
        <f>IF('Informe Kelly'!H3109=$A$3,'Informe Kelly'!F3109,VLOOKUP(D3115,$D$2:$F$4,3,FALSE))-(VLOOKUP(D3115,$D$2:$F$4,3,FALSE))</f>
        <v>#N/A</v>
      </c>
      <c r="G3115" s="137" t="e">
        <f t="shared" si="52"/>
        <v>#N/A</v>
      </c>
    </row>
    <row r="3116" spans="1:7">
      <c r="A3116" s="112" t="e">
        <f>VLOOKUP('Informe Kelly'!A3110,Base!A:B,2,FALSE)</f>
        <v>#N/A</v>
      </c>
      <c r="B3116" s="112" t="e">
        <f>VLOOKUP('Informe Kelly'!A3110,Base!A:G,7,FALSE)</f>
        <v>#N/A</v>
      </c>
      <c r="C3116" s="112">
        <f>'Informe Kelly'!E3110</f>
        <v>0</v>
      </c>
      <c r="D3116" s="112" t="e">
        <f>VLOOKUP(A3116,Ingreso!K:P,6,FALSE)</f>
        <v>#N/A</v>
      </c>
      <c r="E3116" s="142" t="e">
        <f>(VLOOKUP(D3116,$D$2:$E$4,2,FALSE))-(IF('Informe Kelly'!H3110=$A$2,'Informe Kelly'!F3110,VLOOKUP(D3116,$D$2:$E$4,2,FALSE)))</f>
        <v>#N/A</v>
      </c>
      <c r="F3116" s="142" t="e">
        <f>IF('Informe Kelly'!H3110=$A$3,'Informe Kelly'!F3110,VLOOKUP(D3116,$D$2:$F$4,3,FALSE))-(VLOOKUP(D3116,$D$2:$F$4,3,FALSE))</f>
        <v>#N/A</v>
      </c>
      <c r="G3116" s="137" t="e">
        <f t="shared" si="52"/>
        <v>#N/A</v>
      </c>
    </row>
    <row r="3117" spans="1:7">
      <c r="A3117" s="112" t="e">
        <f>VLOOKUP('Informe Kelly'!A3111,Base!A:B,2,FALSE)</f>
        <v>#N/A</v>
      </c>
      <c r="B3117" s="112" t="e">
        <f>VLOOKUP('Informe Kelly'!A3111,Base!A:G,7,FALSE)</f>
        <v>#N/A</v>
      </c>
      <c r="C3117" s="112">
        <f>'Informe Kelly'!E3111</f>
        <v>0</v>
      </c>
      <c r="D3117" s="112" t="e">
        <f>VLOOKUP(A3117,Ingreso!K:P,6,FALSE)</f>
        <v>#N/A</v>
      </c>
      <c r="E3117" s="142" t="e">
        <f>(VLOOKUP(D3117,$D$2:$E$4,2,FALSE))-(IF('Informe Kelly'!H3111=$A$2,'Informe Kelly'!F3111,VLOOKUP(D3117,$D$2:$E$4,2,FALSE)))</f>
        <v>#N/A</v>
      </c>
      <c r="F3117" s="142" t="e">
        <f>IF('Informe Kelly'!H3111=$A$3,'Informe Kelly'!F3111,VLOOKUP(D3117,$D$2:$F$4,3,FALSE))-(VLOOKUP(D3117,$D$2:$F$4,3,FALSE))</f>
        <v>#N/A</v>
      </c>
      <c r="G3117" s="137" t="e">
        <f t="shared" si="52"/>
        <v>#N/A</v>
      </c>
    </row>
    <row r="3118" spans="1:7">
      <c r="A3118" s="112" t="e">
        <f>VLOOKUP('Informe Kelly'!A3112,Base!A:B,2,FALSE)</f>
        <v>#N/A</v>
      </c>
      <c r="B3118" s="112" t="e">
        <f>VLOOKUP('Informe Kelly'!A3112,Base!A:G,7,FALSE)</f>
        <v>#N/A</v>
      </c>
      <c r="C3118" s="112">
        <f>'Informe Kelly'!E3112</f>
        <v>0</v>
      </c>
      <c r="D3118" s="112" t="e">
        <f>VLOOKUP(A3118,Ingreso!K:P,6,FALSE)</f>
        <v>#N/A</v>
      </c>
      <c r="E3118" s="142" t="e">
        <f>(VLOOKUP(D3118,$D$2:$E$4,2,FALSE))-(IF('Informe Kelly'!H3112=$A$2,'Informe Kelly'!F3112,VLOOKUP(D3118,$D$2:$E$4,2,FALSE)))</f>
        <v>#N/A</v>
      </c>
      <c r="F3118" s="142" t="e">
        <f>IF('Informe Kelly'!H3112=$A$3,'Informe Kelly'!F3112,VLOOKUP(D3118,$D$2:$F$4,3,FALSE))-(VLOOKUP(D3118,$D$2:$F$4,3,FALSE))</f>
        <v>#N/A</v>
      </c>
      <c r="G3118" s="137" t="e">
        <f t="shared" si="52"/>
        <v>#N/A</v>
      </c>
    </row>
    <row r="3119" spans="1:7">
      <c r="A3119" s="112" t="e">
        <f>VLOOKUP('Informe Kelly'!A3113,Base!A:B,2,FALSE)</f>
        <v>#N/A</v>
      </c>
      <c r="B3119" s="112" t="e">
        <f>VLOOKUP('Informe Kelly'!A3113,Base!A:G,7,FALSE)</f>
        <v>#N/A</v>
      </c>
      <c r="C3119" s="112">
        <f>'Informe Kelly'!E3113</f>
        <v>0</v>
      </c>
      <c r="D3119" s="112" t="e">
        <f>VLOOKUP(A3119,Ingreso!K:P,6,FALSE)</f>
        <v>#N/A</v>
      </c>
      <c r="E3119" s="142" t="e">
        <f>(VLOOKUP(D3119,$D$2:$E$4,2,FALSE))-(IF('Informe Kelly'!H3113=$A$2,'Informe Kelly'!F3113,VLOOKUP(D3119,$D$2:$E$4,2,FALSE)))</f>
        <v>#N/A</v>
      </c>
      <c r="F3119" s="142" t="e">
        <f>IF('Informe Kelly'!H3113=$A$3,'Informe Kelly'!F3113,VLOOKUP(D3119,$D$2:$F$4,3,FALSE))-(VLOOKUP(D3119,$D$2:$F$4,3,FALSE))</f>
        <v>#N/A</v>
      </c>
      <c r="G3119" s="137" t="e">
        <f t="shared" si="52"/>
        <v>#N/A</v>
      </c>
    </row>
    <row r="3120" spans="1:7">
      <c r="A3120" s="112" t="e">
        <f>VLOOKUP('Informe Kelly'!A3114,Base!A:B,2,FALSE)</f>
        <v>#N/A</v>
      </c>
      <c r="B3120" s="112" t="e">
        <f>VLOOKUP('Informe Kelly'!A3114,Base!A:G,7,FALSE)</f>
        <v>#N/A</v>
      </c>
      <c r="C3120" s="112">
        <f>'Informe Kelly'!E3114</f>
        <v>0</v>
      </c>
      <c r="D3120" s="112" t="e">
        <f>VLOOKUP(A3120,Ingreso!K:P,6,FALSE)</f>
        <v>#N/A</v>
      </c>
      <c r="E3120" s="142" t="e">
        <f>(VLOOKUP(D3120,$D$2:$E$4,2,FALSE))-(IF('Informe Kelly'!H3114=$A$2,'Informe Kelly'!F3114,VLOOKUP(D3120,$D$2:$E$4,2,FALSE)))</f>
        <v>#N/A</v>
      </c>
      <c r="F3120" s="142" t="e">
        <f>IF('Informe Kelly'!H3114=$A$3,'Informe Kelly'!F3114,VLOOKUP(D3120,$D$2:$F$4,3,FALSE))-(VLOOKUP(D3120,$D$2:$F$4,3,FALSE))</f>
        <v>#N/A</v>
      </c>
      <c r="G3120" s="137" t="e">
        <f t="shared" si="52"/>
        <v>#N/A</v>
      </c>
    </row>
    <row r="3121" spans="1:7">
      <c r="A3121" s="112" t="e">
        <f>VLOOKUP('Informe Kelly'!A3115,Base!A:B,2,FALSE)</f>
        <v>#N/A</v>
      </c>
      <c r="B3121" s="112" t="e">
        <f>VLOOKUP('Informe Kelly'!A3115,Base!A:G,7,FALSE)</f>
        <v>#N/A</v>
      </c>
      <c r="C3121" s="112">
        <f>'Informe Kelly'!E3115</f>
        <v>0</v>
      </c>
      <c r="D3121" s="112" t="e">
        <f>VLOOKUP(A3121,Ingreso!K:P,6,FALSE)</f>
        <v>#N/A</v>
      </c>
      <c r="E3121" s="142" t="e">
        <f>(VLOOKUP(D3121,$D$2:$E$4,2,FALSE))-(IF('Informe Kelly'!H3115=$A$2,'Informe Kelly'!F3115,VLOOKUP(D3121,$D$2:$E$4,2,FALSE)))</f>
        <v>#N/A</v>
      </c>
      <c r="F3121" s="142" t="e">
        <f>IF('Informe Kelly'!H3115=$A$3,'Informe Kelly'!F3115,VLOOKUP(D3121,$D$2:$F$4,3,FALSE))-(VLOOKUP(D3121,$D$2:$F$4,3,FALSE))</f>
        <v>#N/A</v>
      </c>
      <c r="G3121" s="137" t="e">
        <f t="shared" si="52"/>
        <v>#N/A</v>
      </c>
    </row>
    <row r="3122" spans="1:7">
      <c r="A3122" s="112" t="e">
        <f>VLOOKUP('Informe Kelly'!A3116,Base!A:B,2,FALSE)</f>
        <v>#N/A</v>
      </c>
      <c r="B3122" s="112" t="e">
        <f>VLOOKUP('Informe Kelly'!A3116,Base!A:G,7,FALSE)</f>
        <v>#N/A</v>
      </c>
      <c r="C3122" s="112">
        <f>'Informe Kelly'!E3116</f>
        <v>0</v>
      </c>
      <c r="D3122" s="112" t="e">
        <f>VLOOKUP(A3122,Ingreso!K:P,6,FALSE)</f>
        <v>#N/A</v>
      </c>
      <c r="E3122" s="142" t="e">
        <f>(VLOOKUP(D3122,$D$2:$E$4,2,FALSE))-(IF('Informe Kelly'!H3116=$A$2,'Informe Kelly'!F3116,VLOOKUP(D3122,$D$2:$E$4,2,FALSE)))</f>
        <v>#N/A</v>
      </c>
      <c r="F3122" s="142" t="e">
        <f>IF('Informe Kelly'!H3116=$A$3,'Informe Kelly'!F3116,VLOOKUP(D3122,$D$2:$F$4,3,FALSE))-(VLOOKUP(D3122,$D$2:$F$4,3,FALSE))</f>
        <v>#N/A</v>
      </c>
      <c r="G3122" s="137" t="e">
        <f t="shared" si="52"/>
        <v>#N/A</v>
      </c>
    </row>
    <row r="3123" spans="1:7">
      <c r="A3123" s="112" t="e">
        <f>VLOOKUP('Informe Kelly'!A3117,Base!A:B,2,FALSE)</f>
        <v>#N/A</v>
      </c>
      <c r="B3123" s="112" t="e">
        <f>VLOOKUP('Informe Kelly'!A3117,Base!A:G,7,FALSE)</f>
        <v>#N/A</v>
      </c>
      <c r="C3123" s="112">
        <f>'Informe Kelly'!E3117</f>
        <v>0</v>
      </c>
      <c r="D3123" s="112" t="e">
        <f>VLOOKUP(A3123,Ingreso!K:P,6,FALSE)</f>
        <v>#N/A</v>
      </c>
      <c r="E3123" s="142" t="e">
        <f>(VLOOKUP(D3123,$D$2:$E$4,2,FALSE))-(IF('Informe Kelly'!H3117=$A$2,'Informe Kelly'!F3117,VLOOKUP(D3123,$D$2:$E$4,2,FALSE)))</f>
        <v>#N/A</v>
      </c>
      <c r="F3123" s="142" t="e">
        <f>IF('Informe Kelly'!H3117=$A$3,'Informe Kelly'!F3117,VLOOKUP(D3123,$D$2:$F$4,3,FALSE))-(VLOOKUP(D3123,$D$2:$F$4,3,FALSE))</f>
        <v>#N/A</v>
      </c>
      <c r="G3123" s="137" t="e">
        <f t="shared" si="52"/>
        <v>#N/A</v>
      </c>
    </row>
    <row r="3124" spans="1:7">
      <c r="A3124" s="112" t="e">
        <f>VLOOKUP('Informe Kelly'!A3118,Base!A:B,2,FALSE)</f>
        <v>#N/A</v>
      </c>
      <c r="B3124" s="112" t="e">
        <f>VLOOKUP('Informe Kelly'!A3118,Base!A:G,7,FALSE)</f>
        <v>#N/A</v>
      </c>
      <c r="C3124" s="112">
        <f>'Informe Kelly'!E3118</f>
        <v>0</v>
      </c>
      <c r="D3124" s="112" t="e">
        <f>VLOOKUP(A3124,Ingreso!K:P,6,FALSE)</f>
        <v>#N/A</v>
      </c>
      <c r="E3124" s="142" t="e">
        <f>(VLOOKUP(D3124,$D$2:$E$4,2,FALSE))-(IF('Informe Kelly'!H3118=$A$2,'Informe Kelly'!F3118,VLOOKUP(D3124,$D$2:$E$4,2,FALSE)))</f>
        <v>#N/A</v>
      </c>
      <c r="F3124" s="142" t="e">
        <f>IF('Informe Kelly'!H3118=$A$3,'Informe Kelly'!F3118,VLOOKUP(D3124,$D$2:$F$4,3,FALSE))-(VLOOKUP(D3124,$D$2:$F$4,3,FALSE))</f>
        <v>#N/A</v>
      </c>
      <c r="G3124" s="137" t="e">
        <f t="shared" si="52"/>
        <v>#N/A</v>
      </c>
    </row>
    <row r="3125" spans="1:7">
      <c r="A3125" s="112" t="e">
        <f>VLOOKUP('Informe Kelly'!A3119,Base!A:B,2,FALSE)</f>
        <v>#N/A</v>
      </c>
      <c r="B3125" s="112" t="e">
        <f>VLOOKUP('Informe Kelly'!A3119,Base!A:G,7,FALSE)</f>
        <v>#N/A</v>
      </c>
      <c r="C3125" s="112">
        <f>'Informe Kelly'!E3119</f>
        <v>0</v>
      </c>
      <c r="D3125" s="112" t="e">
        <f>VLOOKUP(A3125,Ingreso!K:P,6,FALSE)</f>
        <v>#N/A</v>
      </c>
      <c r="E3125" s="142" t="e">
        <f>(VLOOKUP(D3125,$D$2:$E$4,2,FALSE))-(IF('Informe Kelly'!H3119=$A$2,'Informe Kelly'!F3119,VLOOKUP(D3125,$D$2:$E$4,2,FALSE)))</f>
        <v>#N/A</v>
      </c>
      <c r="F3125" s="142" t="e">
        <f>IF('Informe Kelly'!H3119=$A$3,'Informe Kelly'!F3119,VLOOKUP(D3125,$D$2:$F$4,3,FALSE))-(VLOOKUP(D3125,$D$2:$F$4,3,FALSE))</f>
        <v>#N/A</v>
      </c>
      <c r="G3125" s="137" t="e">
        <f t="shared" si="52"/>
        <v>#N/A</v>
      </c>
    </row>
    <row r="3126" spans="1:7">
      <c r="A3126" s="112" t="e">
        <f>VLOOKUP('Informe Kelly'!A3120,Base!A:B,2,FALSE)</f>
        <v>#N/A</v>
      </c>
      <c r="B3126" s="112" t="e">
        <f>VLOOKUP('Informe Kelly'!A3120,Base!A:G,7,FALSE)</f>
        <v>#N/A</v>
      </c>
      <c r="C3126" s="112">
        <f>'Informe Kelly'!E3120</f>
        <v>0</v>
      </c>
      <c r="D3126" s="112" t="e">
        <f>VLOOKUP(A3126,Ingreso!K:P,6,FALSE)</f>
        <v>#N/A</v>
      </c>
      <c r="E3126" s="142" t="e">
        <f>(VLOOKUP(D3126,$D$2:$E$4,2,FALSE))-(IF('Informe Kelly'!H3120=$A$2,'Informe Kelly'!F3120,VLOOKUP(D3126,$D$2:$E$4,2,FALSE)))</f>
        <v>#N/A</v>
      </c>
      <c r="F3126" s="142" t="e">
        <f>IF('Informe Kelly'!H3120=$A$3,'Informe Kelly'!F3120,VLOOKUP(D3126,$D$2:$F$4,3,FALSE))-(VLOOKUP(D3126,$D$2:$F$4,3,FALSE))</f>
        <v>#N/A</v>
      </c>
      <c r="G3126" s="137" t="e">
        <f t="shared" si="52"/>
        <v>#N/A</v>
      </c>
    </row>
    <row r="3127" spans="1:7">
      <c r="A3127" s="112" t="e">
        <f>VLOOKUP('Informe Kelly'!A3121,Base!A:B,2,FALSE)</f>
        <v>#N/A</v>
      </c>
      <c r="B3127" s="112" t="e">
        <f>VLOOKUP('Informe Kelly'!A3121,Base!A:G,7,FALSE)</f>
        <v>#N/A</v>
      </c>
      <c r="C3127" s="112">
        <f>'Informe Kelly'!E3121</f>
        <v>0</v>
      </c>
      <c r="D3127" s="112" t="e">
        <f>VLOOKUP(A3127,Ingreso!K:P,6,FALSE)</f>
        <v>#N/A</v>
      </c>
      <c r="E3127" s="142" t="e">
        <f>(VLOOKUP(D3127,$D$2:$E$4,2,FALSE))-(IF('Informe Kelly'!H3121=$A$2,'Informe Kelly'!F3121,VLOOKUP(D3127,$D$2:$E$4,2,FALSE)))</f>
        <v>#N/A</v>
      </c>
      <c r="F3127" s="142" t="e">
        <f>IF('Informe Kelly'!H3121=$A$3,'Informe Kelly'!F3121,VLOOKUP(D3127,$D$2:$F$4,3,FALSE))-(VLOOKUP(D3127,$D$2:$F$4,3,FALSE))</f>
        <v>#N/A</v>
      </c>
      <c r="G3127" s="137" t="e">
        <f t="shared" si="52"/>
        <v>#N/A</v>
      </c>
    </row>
    <row r="3128" spans="1:7">
      <c r="A3128" s="112" t="e">
        <f>VLOOKUP('Informe Kelly'!A3122,Base!A:B,2,FALSE)</f>
        <v>#N/A</v>
      </c>
      <c r="B3128" s="112" t="e">
        <f>VLOOKUP('Informe Kelly'!A3122,Base!A:G,7,FALSE)</f>
        <v>#N/A</v>
      </c>
      <c r="C3128" s="112">
        <f>'Informe Kelly'!E3122</f>
        <v>0</v>
      </c>
      <c r="D3128" s="112" t="e">
        <f>VLOOKUP(A3128,Ingreso!K:P,6,FALSE)</f>
        <v>#N/A</v>
      </c>
      <c r="E3128" s="142" t="e">
        <f>(VLOOKUP(D3128,$D$2:$E$4,2,FALSE))-(IF('Informe Kelly'!H3122=$A$2,'Informe Kelly'!F3122,VLOOKUP(D3128,$D$2:$E$4,2,FALSE)))</f>
        <v>#N/A</v>
      </c>
      <c r="F3128" s="142" t="e">
        <f>IF('Informe Kelly'!H3122=$A$3,'Informe Kelly'!F3122,VLOOKUP(D3128,$D$2:$F$4,3,FALSE))-(VLOOKUP(D3128,$D$2:$F$4,3,FALSE))</f>
        <v>#N/A</v>
      </c>
      <c r="G3128" s="137" t="e">
        <f t="shared" si="52"/>
        <v>#N/A</v>
      </c>
    </row>
    <row r="3129" spans="1:7">
      <c r="A3129" s="112" t="e">
        <f>VLOOKUP('Informe Kelly'!A3123,Base!A:B,2,FALSE)</f>
        <v>#N/A</v>
      </c>
      <c r="B3129" s="112" t="e">
        <f>VLOOKUP('Informe Kelly'!A3123,Base!A:G,7,FALSE)</f>
        <v>#N/A</v>
      </c>
      <c r="C3129" s="112">
        <f>'Informe Kelly'!E3123</f>
        <v>0</v>
      </c>
      <c r="D3129" s="112" t="e">
        <f>VLOOKUP(A3129,Ingreso!K:P,6,FALSE)</f>
        <v>#N/A</v>
      </c>
      <c r="E3129" s="142" t="e">
        <f>(VLOOKUP(D3129,$D$2:$E$4,2,FALSE))-(IF('Informe Kelly'!H3123=$A$2,'Informe Kelly'!F3123,VLOOKUP(D3129,$D$2:$E$4,2,FALSE)))</f>
        <v>#N/A</v>
      </c>
      <c r="F3129" s="142" t="e">
        <f>IF('Informe Kelly'!H3123=$A$3,'Informe Kelly'!F3123,VLOOKUP(D3129,$D$2:$F$4,3,FALSE))-(VLOOKUP(D3129,$D$2:$F$4,3,FALSE))</f>
        <v>#N/A</v>
      </c>
      <c r="G3129" s="137" t="e">
        <f t="shared" si="52"/>
        <v>#N/A</v>
      </c>
    </row>
    <row r="3130" spans="1:7">
      <c r="A3130" s="112" t="e">
        <f>VLOOKUP('Informe Kelly'!A3124,Base!A:B,2,FALSE)</f>
        <v>#N/A</v>
      </c>
      <c r="B3130" s="112" t="e">
        <f>VLOOKUP('Informe Kelly'!A3124,Base!A:G,7,FALSE)</f>
        <v>#N/A</v>
      </c>
      <c r="C3130" s="112">
        <f>'Informe Kelly'!E3124</f>
        <v>0</v>
      </c>
      <c r="D3130" s="112" t="e">
        <f>VLOOKUP(A3130,Ingreso!K:P,6,FALSE)</f>
        <v>#N/A</v>
      </c>
      <c r="E3130" s="142" t="e">
        <f>(VLOOKUP(D3130,$D$2:$E$4,2,FALSE))-(IF('Informe Kelly'!H3124=$A$2,'Informe Kelly'!F3124,VLOOKUP(D3130,$D$2:$E$4,2,FALSE)))</f>
        <v>#N/A</v>
      </c>
      <c r="F3130" s="142" t="e">
        <f>IF('Informe Kelly'!H3124=$A$3,'Informe Kelly'!F3124,VLOOKUP(D3130,$D$2:$F$4,3,FALSE))-(VLOOKUP(D3130,$D$2:$F$4,3,FALSE))</f>
        <v>#N/A</v>
      </c>
      <c r="G3130" s="137" t="e">
        <f t="shared" si="52"/>
        <v>#N/A</v>
      </c>
    </row>
    <row r="3131" spans="1:7">
      <c r="A3131" s="112" t="e">
        <f>VLOOKUP('Informe Kelly'!A3125,Base!A:B,2,FALSE)</f>
        <v>#N/A</v>
      </c>
      <c r="B3131" s="112" t="e">
        <f>VLOOKUP('Informe Kelly'!A3125,Base!A:G,7,FALSE)</f>
        <v>#N/A</v>
      </c>
      <c r="C3131" s="112">
        <f>'Informe Kelly'!E3125</f>
        <v>0</v>
      </c>
      <c r="D3131" s="112" t="e">
        <f>VLOOKUP(A3131,Ingreso!K:P,6,FALSE)</f>
        <v>#N/A</v>
      </c>
      <c r="E3131" s="142" t="e">
        <f>(VLOOKUP(D3131,$D$2:$E$4,2,FALSE))-(IF('Informe Kelly'!H3125=$A$2,'Informe Kelly'!F3125,VLOOKUP(D3131,$D$2:$E$4,2,FALSE)))</f>
        <v>#N/A</v>
      </c>
      <c r="F3131" s="142" t="e">
        <f>IF('Informe Kelly'!H3125=$A$3,'Informe Kelly'!F3125,VLOOKUP(D3131,$D$2:$F$4,3,FALSE))-(VLOOKUP(D3131,$D$2:$F$4,3,FALSE))</f>
        <v>#N/A</v>
      </c>
      <c r="G3131" s="137" t="e">
        <f t="shared" si="52"/>
        <v>#N/A</v>
      </c>
    </row>
    <row r="3132" spans="1:7">
      <c r="A3132" s="112" t="e">
        <f>VLOOKUP('Informe Kelly'!A3126,Base!A:B,2,FALSE)</f>
        <v>#N/A</v>
      </c>
      <c r="B3132" s="112" t="e">
        <f>VLOOKUP('Informe Kelly'!A3126,Base!A:G,7,FALSE)</f>
        <v>#N/A</v>
      </c>
      <c r="C3132" s="112">
        <f>'Informe Kelly'!E3126</f>
        <v>0</v>
      </c>
      <c r="D3132" s="112" t="e">
        <f>VLOOKUP(A3132,Ingreso!K:P,6,FALSE)</f>
        <v>#N/A</v>
      </c>
      <c r="E3132" s="142" t="e">
        <f>(VLOOKUP(D3132,$D$2:$E$4,2,FALSE))-(IF('Informe Kelly'!H3126=$A$2,'Informe Kelly'!F3126,VLOOKUP(D3132,$D$2:$E$4,2,FALSE)))</f>
        <v>#N/A</v>
      </c>
      <c r="F3132" s="142" t="e">
        <f>IF('Informe Kelly'!H3126=$A$3,'Informe Kelly'!F3126,VLOOKUP(D3132,$D$2:$F$4,3,FALSE))-(VLOOKUP(D3132,$D$2:$F$4,3,FALSE))</f>
        <v>#N/A</v>
      </c>
      <c r="G3132" s="137" t="e">
        <f t="shared" si="52"/>
        <v>#N/A</v>
      </c>
    </row>
    <row r="3133" spans="1:7">
      <c r="A3133" s="112" t="e">
        <f>VLOOKUP('Informe Kelly'!A3127,Base!A:B,2,FALSE)</f>
        <v>#N/A</v>
      </c>
      <c r="B3133" s="112" t="e">
        <f>VLOOKUP('Informe Kelly'!A3127,Base!A:G,7,FALSE)</f>
        <v>#N/A</v>
      </c>
      <c r="C3133" s="112">
        <f>'Informe Kelly'!E3127</f>
        <v>0</v>
      </c>
      <c r="D3133" s="112" t="e">
        <f>VLOOKUP(A3133,Ingreso!K:P,6,FALSE)</f>
        <v>#N/A</v>
      </c>
      <c r="E3133" s="142" t="e">
        <f>(VLOOKUP(D3133,$D$2:$E$4,2,FALSE))-(IF('Informe Kelly'!H3127=$A$2,'Informe Kelly'!F3127,VLOOKUP(D3133,$D$2:$E$4,2,FALSE)))</f>
        <v>#N/A</v>
      </c>
      <c r="F3133" s="142" t="e">
        <f>IF('Informe Kelly'!H3127=$A$3,'Informe Kelly'!F3127,VLOOKUP(D3133,$D$2:$F$4,3,FALSE))-(VLOOKUP(D3133,$D$2:$F$4,3,FALSE))</f>
        <v>#N/A</v>
      </c>
      <c r="G3133" s="137" t="e">
        <f t="shared" si="52"/>
        <v>#N/A</v>
      </c>
    </row>
    <row r="3134" spans="1:7">
      <c r="A3134" s="112" t="e">
        <f>VLOOKUP('Informe Kelly'!A3128,Base!A:B,2,FALSE)</f>
        <v>#N/A</v>
      </c>
      <c r="B3134" s="112" t="e">
        <f>VLOOKUP('Informe Kelly'!A3128,Base!A:G,7,FALSE)</f>
        <v>#N/A</v>
      </c>
      <c r="C3134" s="112">
        <f>'Informe Kelly'!E3128</f>
        <v>0</v>
      </c>
      <c r="D3134" s="112" t="e">
        <f>VLOOKUP(A3134,Ingreso!K:P,6,FALSE)</f>
        <v>#N/A</v>
      </c>
      <c r="E3134" s="142" t="e">
        <f>(VLOOKUP(D3134,$D$2:$E$4,2,FALSE))-(IF('Informe Kelly'!H3128=$A$2,'Informe Kelly'!F3128,VLOOKUP(D3134,$D$2:$E$4,2,FALSE)))</f>
        <v>#N/A</v>
      </c>
      <c r="F3134" s="142" t="e">
        <f>IF('Informe Kelly'!H3128=$A$3,'Informe Kelly'!F3128,VLOOKUP(D3134,$D$2:$F$4,3,FALSE))-(VLOOKUP(D3134,$D$2:$F$4,3,FALSE))</f>
        <v>#N/A</v>
      </c>
      <c r="G3134" s="137" t="e">
        <f t="shared" si="52"/>
        <v>#N/A</v>
      </c>
    </row>
    <row r="3135" spans="1:7">
      <c r="A3135" s="112" t="e">
        <f>VLOOKUP('Informe Kelly'!A3129,Base!A:B,2,FALSE)</f>
        <v>#N/A</v>
      </c>
      <c r="B3135" s="112" t="e">
        <f>VLOOKUP('Informe Kelly'!A3129,Base!A:G,7,FALSE)</f>
        <v>#N/A</v>
      </c>
      <c r="C3135" s="112">
        <f>'Informe Kelly'!E3129</f>
        <v>0</v>
      </c>
      <c r="D3135" s="112" t="e">
        <f>VLOOKUP(A3135,Ingreso!K:P,6,FALSE)</f>
        <v>#N/A</v>
      </c>
      <c r="E3135" s="142" t="e">
        <f>(VLOOKUP(D3135,$D$2:$E$4,2,FALSE))-(IF('Informe Kelly'!H3129=$A$2,'Informe Kelly'!F3129,VLOOKUP(D3135,$D$2:$E$4,2,FALSE)))</f>
        <v>#N/A</v>
      </c>
      <c r="F3135" s="142" t="e">
        <f>IF('Informe Kelly'!H3129=$A$3,'Informe Kelly'!F3129,VLOOKUP(D3135,$D$2:$F$4,3,FALSE))-(VLOOKUP(D3135,$D$2:$F$4,3,FALSE))</f>
        <v>#N/A</v>
      </c>
      <c r="G3135" s="137" t="e">
        <f t="shared" si="52"/>
        <v>#N/A</v>
      </c>
    </row>
    <row r="3136" spans="1:7">
      <c r="A3136" s="112" t="e">
        <f>VLOOKUP('Informe Kelly'!A3130,Base!A:B,2,FALSE)</f>
        <v>#N/A</v>
      </c>
      <c r="B3136" s="112" t="e">
        <f>VLOOKUP('Informe Kelly'!A3130,Base!A:G,7,FALSE)</f>
        <v>#N/A</v>
      </c>
      <c r="C3136" s="112">
        <f>'Informe Kelly'!E3130</f>
        <v>0</v>
      </c>
      <c r="D3136" s="112" t="e">
        <f>VLOOKUP(A3136,Ingreso!K:P,6,FALSE)</f>
        <v>#N/A</v>
      </c>
      <c r="E3136" s="142" t="e">
        <f>(VLOOKUP(D3136,$D$2:$E$4,2,FALSE))-(IF('Informe Kelly'!H3130=$A$2,'Informe Kelly'!F3130,VLOOKUP(D3136,$D$2:$E$4,2,FALSE)))</f>
        <v>#N/A</v>
      </c>
      <c r="F3136" s="142" t="e">
        <f>IF('Informe Kelly'!H3130=$A$3,'Informe Kelly'!F3130,VLOOKUP(D3136,$D$2:$F$4,3,FALSE))-(VLOOKUP(D3136,$D$2:$F$4,3,FALSE))</f>
        <v>#N/A</v>
      </c>
      <c r="G3136" s="137" t="e">
        <f t="shared" si="52"/>
        <v>#N/A</v>
      </c>
    </row>
    <row r="3137" spans="1:7">
      <c r="A3137" s="112" t="e">
        <f>VLOOKUP('Informe Kelly'!A3131,Base!A:B,2,FALSE)</f>
        <v>#N/A</v>
      </c>
      <c r="B3137" s="112" t="e">
        <f>VLOOKUP('Informe Kelly'!A3131,Base!A:G,7,FALSE)</f>
        <v>#N/A</v>
      </c>
      <c r="C3137" s="112">
        <f>'Informe Kelly'!E3131</f>
        <v>0</v>
      </c>
      <c r="D3137" s="112" t="e">
        <f>VLOOKUP(A3137,Ingreso!K:P,6,FALSE)</f>
        <v>#N/A</v>
      </c>
      <c r="E3137" s="142" t="e">
        <f>(VLOOKUP(D3137,$D$2:$E$4,2,FALSE))-(IF('Informe Kelly'!H3131=$A$2,'Informe Kelly'!F3131,VLOOKUP(D3137,$D$2:$E$4,2,FALSE)))</f>
        <v>#N/A</v>
      </c>
      <c r="F3137" s="142" t="e">
        <f>IF('Informe Kelly'!H3131=$A$3,'Informe Kelly'!F3131,VLOOKUP(D3137,$D$2:$F$4,3,FALSE))-(VLOOKUP(D3137,$D$2:$F$4,3,FALSE))</f>
        <v>#N/A</v>
      </c>
      <c r="G3137" s="137" t="e">
        <f t="shared" si="52"/>
        <v>#N/A</v>
      </c>
    </row>
    <row r="3138" spans="1:7">
      <c r="A3138" s="112" t="e">
        <f>VLOOKUP('Informe Kelly'!A3132,Base!A:B,2,FALSE)</f>
        <v>#N/A</v>
      </c>
      <c r="B3138" s="112" t="e">
        <f>VLOOKUP('Informe Kelly'!A3132,Base!A:G,7,FALSE)</f>
        <v>#N/A</v>
      </c>
      <c r="C3138" s="112">
        <f>'Informe Kelly'!E3132</f>
        <v>0</v>
      </c>
      <c r="D3138" s="112" t="e">
        <f>VLOOKUP(A3138,Ingreso!K:P,6,FALSE)</f>
        <v>#N/A</v>
      </c>
      <c r="E3138" s="142" t="e">
        <f>(VLOOKUP(D3138,$D$2:$E$4,2,FALSE))-(IF('Informe Kelly'!H3132=$A$2,'Informe Kelly'!F3132,VLOOKUP(D3138,$D$2:$E$4,2,FALSE)))</f>
        <v>#N/A</v>
      </c>
      <c r="F3138" s="142" t="e">
        <f>IF('Informe Kelly'!H3132=$A$3,'Informe Kelly'!F3132,VLOOKUP(D3138,$D$2:$F$4,3,FALSE))-(VLOOKUP(D3138,$D$2:$F$4,3,FALSE))</f>
        <v>#N/A</v>
      </c>
      <c r="G3138" s="137" t="e">
        <f t="shared" si="52"/>
        <v>#N/A</v>
      </c>
    </row>
    <row r="3139" spans="1:7">
      <c r="A3139" s="112" t="e">
        <f>VLOOKUP('Informe Kelly'!A3133,Base!A:B,2,FALSE)</f>
        <v>#N/A</v>
      </c>
      <c r="B3139" s="112" t="e">
        <f>VLOOKUP('Informe Kelly'!A3133,Base!A:G,7,FALSE)</f>
        <v>#N/A</v>
      </c>
      <c r="C3139" s="112">
        <f>'Informe Kelly'!E3133</f>
        <v>0</v>
      </c>
      <c r="D3139" s="112" t="e">
        <f>VLOOKUP(A3139,Ingreso!K:P,6,FALSE)</f>
        <v>#N/A</v>
      </c>
      <c r="E3139" s="142" t="e">
        <f>(VLOOKUP(D3139,$D$2:$E$4,2,FALSE))-(IF('Informe Kelly'!H3133=$A$2,'Informe Kelly'!F3133,VLOOKUP(D3139,$D$2:$E$4,2,FALSE)))</f>
        <v>#N/A</v>
      </c>
      <c r="F3139" s="142" t="e">
        <f>IF('Informe Kelly'!H3133=$A$3,'Informe Kelly'!F3133,VLOOKUP(D3139,$D$2:$F$4,3,FALSE))-(VLOOKUP(D3139,$D$2:$F$4,3,FALSE))</f>
        <v>#N/A</v>
      </c>
      <c r="G3139" s="137" t="e">
        <f t="shared" si="52"/>
        <v>#N/A</v>
      </c>
    </row>
    <row r="3140" spans="1:7">
      <c r="A3140" s="112" t="e">
        <f>VLOOKUP('Informe Kelly'!A3134,Base!A:B,2,FALSE)</f>
        <v>#N/A</v>
      </c>
      <c r="B3140" s="112" t="e">
        <f>VLOOKUP('Informe Kelly'!A3134,Base!A:G,7,FALSE)</f>
        <v>#N/A</v>
      </c>
      <c r="C3140" s="112">
        <f>'Informe Kelly'!E3134</f>
        <v>0</v>
      </c>
      <c r="D3140" s="112" t="e">
        <f>VLOOKUP(A3140,Ingreso!K:P,6,FALSE)</f>
        <v>#N/A</v>
      </c>
      <c r="E3140" s="142" t="e">
        <f>(VLOOKUP(D3140,$D$2:$E$4,2,FALSE))-(IF('Informe Kelly'!H3134=$A$2,'Informe Kelly'!F3134,VLOOKUP(D3140,$D$2:$E$4,2,FALSE)))</f>
        <v>#N/A</v>
      </c>
      <c r="F3140" s="142" t="e">
        <f>IF('Informe Kelly'!H3134=$A$3,'Informe Kelly'!F3134,VLOOKUP(D3140,$D$2:$F$4,3,FALSE))-(VLOOKUP(D3140,$D$2:$F$4,3,FALSE))</f>
        <v>#N/A</v>
      </c>
      <c r="G3140" s="137" t="e">
        <f t="shared" si="52"/>
        <v>#N/A</v>
      </c>
    </row>
    <row r="3141" spans="1:7">
      <c r="A3141" s="112" t="e">
        <f>VLOOKUP('Informe Kelly'!A3135,Base!A:B,2,FALSE)</f>
        <v>#N/A</v>
      </c>
      <c r="B3141" s="112" t="e">
        <f>VLOOKUP('Informe Kelly'!A3135,Base!A:G,7,FALSE)</f>
        <v>#N/A</v>
      </c>
      <c r="C3141" s="112">
        <f>'Informe Kelly'!E3135</f>
        <v>0</v>
      </c>
      <c r="D3141" s="112" t="e">
        <f>VLOOKUP(A3141,Ingreso!K:P,6,FALSE)</f>
        <v>#N/A</v>
      </c>
      <c r="E3141" s="142" t="e">
        <f>(VLOOKUP(D3141,$D$2:$E$4,2,FALSE))-(IF('Informe Kelly'!H3135=$A$2,'Informe Kelly'!F3135,VLOOKUP(D3141,$D$2:$E$4,2,FALSE)))</f>
        <v>#N/A</v>
      </c>
      <c r="F3141" s="142" t="e">
        <f>IF('Informe Kelly'!H3135=$A$3,'Informe Kelly'!F3135,VLOOKUP(D3141,$D$2:$F$4,3,FALSE))-(VLOOKUP(D3141,$D$2:$F$4,3,FALSE))</f>
        <v>#N/A</v>
      </c>
      <c r="G3141" s="137" t="e">
        <f t="shared" si="52"/>
        <v>#N/A</v>
      </c>
    </row>
    <row r="3142" spans="1:7">
      <c r="A3142" s="112" t="e">
        <f>VLOOKUP('Informe Kelly'!A3136,Base!A:B,2,FALSE)</f>
        <v>#N/A</v>
      </c>
      <c r="B3142" s="112" t="e">
        <f>VLOOKUP('Informe Kelly'!A3136,Base!A:G,7,FALSE)</f>
        <v>#N/A</v>
      </c>
      <c r="C3142" s="112">
        <f>'Informe Kelly'!E3136</f>
        <v>0</v>
      </c>
      <c r="D3142" s="112" t="e">
        <f>VLOOKUP(A3142,Ingreso!K:P,6,FALSE)</f>
        <v>#N/A</v>
      </c>
      <c r="E3142" s="142" t="e">
        <f>(VLOOKUP(D3142,$D$2:$E$4,2,FALSE))-(IF('Informe Kelly'!H3136=$A$2,'Informe Kelly'!F3136,VLOOKUP(D3142,$D$2:$E$4,2,FALSE)))</f>
        <v>#N/A</v>
      </c>
      <c r="F3142" s="142" t="e">
        <f>IF('Informe Kelly'!H3136=$A$3,'Informe Kelly'!F3136,VLOOKUP(D3142,$D$2:$F$4,3,FALSE))-(VLOOKUP(D3142,$D$2:$F$4,3,FALSE))</f>
        <v>#N/A</v>
      </c>
      <c r="G3142" s="137" t="e">
        <f t="shared" si="52"/>
        <v>#N/A</v>
      </c>
    </row>
    <row r="3143" spans="1:7">
      <c r="A3143" s="112" t="e">
        <f>VLOOKUP('Informe Kelly'!A3137,Base!A:B,2,FALSE)</f>
        <v>#N/A</v>
      </c>
      <c r="B3143" s="112" t="e">
        <f>VLOOKUP('Informe Kelly'!A3137,Base!A:G,7,FALSE)</f>
        <v>#N/A</v>
      </c>
      <c r="C3143" s="112">
        <f>'Informe Kelly'!E3137</f>
        <v>0</v>
      </c>
      <c r="D3143" s="112" t="e">
        <f>VLOOKUP(A3143,Ingreso!K:P,6,FALSE)</f>
        <v>#N/A</v>
      </c>
      <c r="E3143" s="142" t="e">
        <f>(VLOOKUP(D3143,$D$2:$E$4,2,FALSE))-(IF('Informe Kelly'!H3137=$A$2,'Informe Kelly'!F3137,VLOOKUP(D3143,$D$2:$E$4,2,FALSE)))</f>
        <v>#N/A</v>
      </c>
      <c r="F3143" s="142" t="e">
        <f>IF('Informe Kelly'!H3137=$A$3,'Informe Kelly'!F3137,VLOOKUP(D3143,$D$2:$F$4,3,FALSE))-(VLOOKUP(D3143,$D$2:$F$4,3,FALSE))</f>
        <v>#N/A</v>
      </c>
      <c r="G3143" s="137" t="e">
        <f t="shared" si="52"/>
        <v>#N/A</v>
      </c>
    </row>
    <row r="3144" spans="1:7">
      <c r="A3144" s="112" t="e">
        <f>VLOOKUP('Informe Kelly'!A3138,Base!A:B,2,FALSE)</f>
        <v>#N/A</v>
      </c>
      <c r="B3144" s="112" t="e">
        <f>VLOOKUP('Informe Kelly'!A3138,Base!A:G,7,FALSE)</f>
        <v>#N/A</v>
      </c>
      <c r="C3144" s="112">
        <f>'Informe Kelly'!E3138</f>
        <v>0</v>
      </c>
      <c r="D3144" s="112" t="e">
        <f>VLOOKUP(A3144,Ingreso!K:P,6,FALSE)</f>
        <v>#N/A</v>
      </c>
      <c r="E3144" s="142" t="e">
        <f>(VLOOKUP(D3144,$D$2:$E$4,2,FALSE))-(IF('Informe Kelly'!H3138=$A$2,'Informe Kelly'!F3138,VLOOKUP(D3144,$D$2:$E$4,2,FALSE)))</f>
        <v>#N/A</v>
      </c>
      <c r="F3144" s="142" t="e">
        <f>IF('Informe Kelly'!H3138=$A$3,'Informe Kelly'!F3138,VLOOKUP(D3144,$D$2:$F$4,3,FALSE))-(VLOOKUP(D3144,$D$2:$F$4,3,FALSE))</f>
        <v>#N/A</v>
      </c>
      <c r="G3144" s="137" t="e">
        <f t="shared" si="52"/>
        <v>#N/A</v>
      </c>
    </row>
    <row r="3145" spans="1:7">
      <c r="A3145" s="112" t="e">
        <f>VLOOKUP('Informe Kelly'!A3139,Base!A:B,2,FALSE)</f>
        <v>#N/A</v>
      </c>
      <c r="B3145" s="112" t="e">
        <f>VLOOKUP('Informe Kelly'!A3139,Base!A:G,7,FALSE)</f>
        <v>#N/A</v>
      </c>
      <c r="C3145" s="112">
        <f>'Informe Kelly'!E3139</f>
        <v>0</v>
      </c>
      <c r="D3145" s="112" t="e">
        <f>VLOOKUP(A3145,Ingreso!K:P,6,FALSE)</f>
        <v>#N/A</v>
      </c>
      <c r="E3145" s="142" t="e">
        <f>(VLOOKUP(D3145,$D$2:$E$4,2,FALSE))-(IF('Informe Kelly'!H3139=$A$2,'Informe Kelly'!F3139,VLOOKUP(D3145,$D$2:$E$4,2,FALSE)))</f>
        <v>#N/A</v>
      </c>
      <c r="F3145" s="142" t="e">
        <f>IF('Informe Kelly'!H3139=$A$3,'Informe Kelly'!F3139,VLOOKUP(D3145,$D$2:$F$4,3,FALSE))-(VLOOKUP(D3145,$D$2:$F$4,3,FALSE))</f>
        <v>#N/A</v>
      </c>
      <c r="G3145" s="137" t="e">
        <f t="shared" ref="G3145:G3208" si="53">IF(E3145="",IF(F3145&lt;0.0409722222222222,0,E3145),IF(E3145&lt;0.0409722222222222,0,E3145))</f>
        <v>#N/A</v>
      </c>
    </row>
    <row r="3146" spans="1:7">
      <c r="A3146" s="112" t="e">
        <f>VLOOKUP('Informe Kelly'!A3140,Base!A:B,2,FALSE)</f>
        <v>#N/A</v>
      </c>
      <c r="B3146" s="112" t="e">
        <f>VLOOKUP('Informe Kelly'!A3140,Base!A:G,7,FALSE)</f>
        <v>#N/A</v>
      </c>
      <c r="C3146" s="112">
        <f>'Informe Kelly'!E3140</f>
        <v>0</v>
      </c>
      <c r="D3146" s="112" t="e">
        <f>VLOOKUP(A3146,Ingreso!K:P,6,FALSE)</f>
        <v>#N/A</v>
      </c>
      <c r="E3146" s="142" t="e">
        <f>(VLOOKUP(D3146,$D$2:$E$4,2,FALSE))-(IF('Informe Kelly'!H3140=$A$2,'Informe Kelly'!F3140,VLOOKUP(D3146,$D$2:$E$4,2,FALSE)))</f>
        <v>#N/A</v>
      </c>
      <c r="F3146" s="142" t="e">
        <f>IF('Informe Kelly'!H3140=$A$3,'Informe Kelly'!F3140,VLOOKUP(D3146,$D$2:$F$4,3,FALSE))-(VLOOKUP(D3146,$D$2:$F$4,3,FALSE))</f>
        <v>#N/A</v>
      </c>
      <c r="G3146" s="137" t="e">
        <f t="shared" si="53"/>
        <v>#N/A</v>
      </c>
    </row>
    <row r="3147" spans="1:7">
      <c r="A3147" s="112" t="e">
        <f>VLOOKUP('Informe Kelly'!A3141,Base!A:B,2,FALSE)</f>
        <v>#N/A</v>
      </c>
      <c r="B3147" s="112" t="e">
        <f>VLOOKUP('Informe Kelly'!A3141,Base!A:G,7,FALSE)</f>
        <v>#N/A</v>
      </c>
      <c r="C3147" s="112">
        <f>'Informe Kelly'!E3141</f>
        <v>0</v>
      </c>
      <c r="D3147" s="112" t="e">
        <f>VLOOKUP(A3147,Ingreso!K:P,6,FALSE)</f>
        <v>#N/A</v>
      </c>
      <c r="E3147" s="142" t="e">
        <f>(VLOOKUP(D3147,$D$2:$E$4,2,FALSE))-(IF('Informe Kelly'!H3141=$A$2,'Informe Kelly'!F3141,VLOOKUP(D3147,$D$2:$E$4,2,FALSE)))</f>
        <v>#N/A</v>
      </c>
      <c r="F3147" s="142" t="e">
        <f>IF('Informe Kelly'!H3141=$A$3,'Informe Kelly'!F3141,VLOOKUP(D3147,$D$2:$F$4,3,FALSE))-(VLOOKUP(D3147,$D$2:$F$4,3,FALSE))</f>
        <v>#N/A</v>
      </c>
      <c r="G3147" s="137" t="e">
        <f t="shared" si="53"/>
        <v>#N/A</v>
      </c>
    </row>
    <row r="3148" spans="1:7">
      <c r="A3148" s="112" t="e">
        <f>VLOOKUP('Informe Kelly'!A3142,Base!A:B,2,FALSE)</f>
        <v>#N/A</v>
      </c>
      <c r="B3148" s="112" t="e">
        <f>VLOOKUP('Informe Kelly'!A3142,Base!A:G,7,FALSE)</f>
        <v>#N/A</v>
      </c>
      <c r="C3148" s="112">
        <f>'Informe Kelly'!E3142</f>
        <v>0</v>
      </c>
      <c r="D3148" s="112" t="e">
        <f>VLOOKUP(A3148,Ingreso!K:P,6,FALSE)</f>
        <v>#N/A</v>
      </c>
      <c r="E3148" s="142" t="e">
        <f>(VLOOKUP(D3148,$D$2:$E$4,2,FALSE))-(IF('Informe Kelly'!H3142=$A$2,'Informe Kelly'!F3142,VLOOKUP(D3148,$D$2:$E$4,2,FALSE)))</f>
        <v>#N/A</v>
      </c>
      <c r="F3148" s="142" t="e">
        <f>IF('Informe Kelly'!H3142=$A$3,'Informe Kelly'!F3142,VLOOKUP(D3148,$D$2:$F$4,3,FALSE))-(VLOOKUP(D3148,$D$2:$F$4,3,FALSE))</f>
        <v>#N/A</v>
      </c>
      <c r="G3148" s="137" t="e">
        <f t="shared" si="53"/>
        <v>#N/A</v>
      </c>
    </row>
    <row r="3149" spans="1:7">
      <c r="A3149" s="112" t="e">
        <f>VLOOKUP('Informe Kelly'!A3143,Base!A:B,2,FALSE)</f>
        <v>#N/A</v>
      </c>
      <c r="B3149" s="112" t="e">
        <f>VLOOKUP('Informe Kelly'!A3143,Base!A:G,7,FALSE)</f>
        <v>#N/A</v>
      </c>
      <c r="C3149" s="112">
        <f>'Informe Kelly'!E3143</f>
        <v>0</v>
      </c>
      <c r="D3149" s="112" t="e">
        <f>VLOOKUP(A3149,Ingreso!K:P,6,FALSE)</f>
        <v>#N/A</v>
      </c>
      <c r="E3149" s="142" t="e">
        <f>(VLOOKUP(D3149,$D$2:$E$4,2,FALSE))-(IF('Informe Kelly'!H3143=$A$2,'Informe Kelly'!F3143,VLOOKUP(D3149,$D$2:$E$4,2,FALSE)))</f>
        <v>#N/A</v>
      </c>
      <c r="F3149" s="142" t="e">
        <f>IF('Informe Kelly'!H3143=$A$3,'Informe Kelly'!F3143,VLOOKUP(D3149,$D$2:$F$4,3,FALSE))-(VLOOKUP(D3149,$D$2:$F$4,3,FALSE))</f>
        <v>#N/A</v>
      </c>
      <c r="G3149" s="137" t="e">
        <f t="shared" si="53"/>
        <v>#N/A</v>
      </c>
    </row>
    <row r="3150" spans="1:7">
      <c r="A3150" s="112" t="e">
        <f>VLOOKUP('Informe Kelly'!A3144,Base!A:B,2,FALSE)</f>
        <v>#N/A</v>
      </c>
      <c r="B3150" s="112" t="e">
        <f>VLOOKUP('Informe Kelly'!A3144,Base!A:G,7,FALSE)</f>
        <v>#N/A</v>
      </c>
      <c r="C3150" s="112">
        <f>'Informe Kelly'!E3144</f>
        <v>0</v>
      </c>
      <c r="D3150" s="112" t="e">
        <f>VLOOKUP(A3150,Ingreso!K:P,6,FALSE)</f>
        <v>#N/A</v>
      </c>
      <c r="E3150" s="142" t="e">
        <f>(VLOOKUP(D3150,$D$2:$E$4,2,FALSE))-(IF('Informe Kelly'!H3144=$A$2,'Informe Kelly'!F3144,VLOOKUP(D3150,$D$2:$E$4,2,FALSE)))</f>
        <v>#N/A</v>
      </c>
      <c r="F3150" s="142" t="e">
        <f>IF('Informe Kelly'!H3144=$A$3,'Informe Kelly'!F3144,VLOOKUP(D3150,$D$2:$F$4,3,FALSE))-(VLOOKUP(D3150,$D$2:$F$4,3,FALSE))</f>
        <v>#N/A</v>
      </c>
      <c r="G3150" s="137" t="e">
        <f t="shared" si="53"/>
        <v>#N/A</v>
      </c>
    </row>
    <row r="3151" spans="1:7">
      <c r="A3151" s="112" t="e">
        <f>VLOOKUP('Informe Kelly'!A3145,Base!A:B,2,FALSE)</f>
        <v>#N/A</v>
      </c>
      <c r="B3151" s="112" t="e">
        <f>VLOOKUP('Informe Kelly'!A3145,Base!A:G,7,FALSE)</f>
        <v>#N/A</v>
      </c>
      <c r="C3151" s="112">
        <f>'Informe Kelly'!E3145</f>
        <v>0</v>
      </c>
      <c r="D3151" s="112" t="e">
        <f>VLOOKUP(A3151,Ingreso!K:P,6,FALSE)</f>
        <v>#N/A</v>
      </c>
      <c r="E3151" s="142" t="e">
        <f>(VLOOKUP(D3151,$D$2:$E$4,2,FALSE))-(IF('Informe Kelly'!H3145=$A$2,'Informe Kelly'!F3145,VLOOKUP(D3151,$D$2:$E$4,2,FALSE)))</f>
        <v>#N/A</v>
      </c>
      <c r="F3151" s="142" t="e">
        <f>IF('Informe Kelly'!H3145=$A$3,'Informe Kelly'!F3145,VLOOKUP(D3151,$D$2:$F$4,3,FALSE))-(VLOOKUP(D3151,$D$2:$F$4,3,FALSE))</f>
        <v>#N/A</v>
      </c>
      <c r="G3151" s="137" t="e">
        <f t="shared" si="53"/>
        <v>#N/A</v>
      </c>
    </row>
    <row r="3152" spans="1:7">
      <c r="A3152" s="112" t="e">
        <f>VLOOKUP('Informe Kelly'!A3146,Base!A:B,2,FALSE)</f>
        <v>#N/A</v>
      </c>
      <c r="B3152" s="112" t="e">
        <f>VLOOKUP('Informe Kelly'!A3146,Base!A:G,7,FALSE)</f>
        <v>#N/A</v>
      </c>
      <c r="C3152" s="112">
        <f>'Informe Kelly'!E3146</f>
        <v>0</v>
      </c>
      <c r="D3152" s="112" t="e">
        <f>VLOOKUP(A3152,Ingreso!K:P,6,FALSE)</f>
        <v>#N/A</v>
      </c>
      <c r="E3152" s="142" t="e">
        <f>(VLOOKUP(D3152,$D$2:$E$4,2,FALSE))-(IF('Informe Kelly'!H3146=$A$2,'Informe Kelly'!F3146,VLOOKUP(D3152,$D$2:$E$4,2,FALSE)))</f>
        <v>#N/A</v>
      </c>
      <c r="F3152" s="142" t="e">
        <f>IF('Informe Kelly'!H3146=$A$3,'Informe Kelly'!F3146,VLOOKUP(D3152,$D$2:$F$4,3,FALSE))-(VLOOKUP(D3152,$D$2:$F$4,3,FALSE))</f>
        <v>#N/A</v>
      </c>
      <c r="G3152" s="137" t="e">
        <f t="shared" si="53"/>
        <v>#N/A</v>
      </c>
    </row>
    <row r="3153" spans="1:7">
      <c r="A3153" s="112" t="e">
        <f>VLOOKUP('Informe Kelly'!A3147,Base!A:B,2,FALSE)</f>
        <v>#N/A</v>
      </c>
      <c r="B3153" s="112" t="e">
        <f>VLOOKUP('Informe Kelly'!A3147,Base!A:G,7,FALSE)</f>
        <v>#N/A</v>
      </c>
      <c r="C3153" s="112">
        <f>'Informe Kelly'!E3147</f>
        <v>0</v>
      </c>
      <c r="D3153" s="112" t="e">
        <f>VLOOKUP(A3153,Ingreso!K:P,6,FALSE)</f>
        <v>#N/A</v>
      </c>
      <c r="E3153" s="142" t="e">
        <f>(VLOOKUP(D3153,$D$2:$E$4,2,FALSE))-(IF('Informe Kelly'!H3147=$A$2,'Informe Kelly'!F3147,VLOOKUP(D3153,$D$2:$E$4,2,FALSE)))</f>
        <v>#N/A</v>
      </c>
      <c r="F3153" s="142" t="e">
        <f>IF('Informe Kelly'!H3147=$A$3,'Informe Kelly'!F3147,VLOOKUP(D3153,$D$2:$F$4,3,FALSE))-(VLOOKUP(D3153,$D$2:$F$4,3,FALSE))</f>
        <v>#N/A</v>
      </c>
      <c r="G3153" s="137" t="e">
        <f t="shared" si="53"/>
        <v>#N/A</v>
      </c>
    </row>
    <row r="3154" spans="1:7">
      <c r="A3154" s="112" t="e">
        <f>VLOOKUP('Informe Kelly'!A3148,Base!A:B,2,FALSE)</f>
        <v>#N/A</v>
      </c>
      <c r="B3154" s="112" t="e">
        <f>VLOOKUP('Informe Kelly'!A3148,Base!A:G,7,FALSE)</f>
        <v>#N/A</v>
      </c>
      <c r="C3154" s="112">
        <f>'Informe Kelly'!E3148</f>
        <v>0</v>
      </c>
      <c r="D3154" s="112" t="e">
        <f>VLOOKUP(A3154,Ingreso!K:P,6,FALSE)</f>
        <v>#N/A</v>
      </c>
      <c r="E3154" s="142" t="e">
        <f>(VLOOKUP(D3154,$D$2:$E$4,2,FALSE))-(IF('Informe Kelly'!H3148=$A$2,'Informe Kelly'!F3148,VLOOKUP(D3154,$D$2:$E$4,2,FALSE)))</f>
        <v>#N/A</v>
      </c>
      <c r="F3154" s="142" t="e">
        <f>IF('Informe Kelly'!H3148=$A$3,'Informe Kelly'!F3148,VLOOKUP(D3154,$D$2:$F$4,3,FALSE))-(VLOOKUP(D3154,$D$2:$F$4,3,FALSE))</f>
        <v>#N/A</v>
      </c>
      <c r="G3154" s="137" t="e">
        <f t="shared" si="53"/>
        <v>#N/A</v>
      </c>
    </row>
    <row r="3155" spans="1:7">
      <c r="A3155" s="112" t="e">
        <f>VLOOKUP('Informe Kelly'!A3149,Base!A:B,2,FALSE)</f>
        <v>#N/A</v>
      </c>
      <c r="B3155" s="112" t="e">
        <f>VLOOKUP('Informe Kelly'!A3149,Base!A:G,7,FALSE)</f>
        <v>#N/A</v>
      </c>
      <c r="C3155" s="112">
        <f>'Informe Kelly'!E3149</f>
        <v>0</v>
      </c>
      <c r="D3155" s="112" t="e">
        <f>VLOOKUP(A3155,Ingreso!K:P,6,FALSE)</f>
        <v>#N/A</v>
      </c>
      <c r="E3155" s="142" t="e">
        <f>(VLOOKUP(D3155,$D$2:$E$4,2,FALSE))-(IF('Informe Kelly'!H3149=$A$2,'Informe Kelly'!F3149,VLOOKUP(D3155,$D$2:$E$4,2,FALSE)))</f>
        <v>#N/A</v>
      </c>
      <c r="F3155" s="142" t="e">
        <f>IF('Informe Kelly'!H3149=$A$3,'Informe Kelly'!F3149,VLOOKUP(D3155,$D$2:$F$4,3,FALSE))-(VLOOKUP(D3155,$D$2:$F$4,3,FALSE))</f>
        <v>#N/A</v>
      </c>
      <c r="G3155" s="137" t="e">
        <f t="shared" si="53"/>
        <v>#N/A</v>
      </c>
    </row>
    <row r="3156" spans="1:7">
      <c r="A3156" s="112" t="e">
        <f>VLOOKUP('Informe Kelly'!A3150,Base!A:B,2,FALSE)</f>
        <v>#N/A</v>
      </c>
      <c r="B3156" s="112" t="e">
        <f>VLOOKUP('Informe Kelly'!A3150,Base!A:G,7,FALSE)</f>
        <v>#N/A</v>
      </c>
      <c r="C3156" s="112">
        <f>'Informe Kelly'!E3150</f>
        <v>0</v>
      </c>
      <c r="D3156" s="112" t="e">
        <f>VLOOKUP(A3156,Ingreso!K:P,6,FALSE)</f>
        <v>#N/A</v>
      </c>
      <c r="E3156" s="142" t="e">
        <f>(VLOOKUP(D3156,$D$2:$E$4,2,FALSE))-(IF('Informe Kelly'!H3150=$A$2,'Informe Kelly'!F3150,VLOOKUP(D3156,$D$2:$E$4,2,FALSE)))</f>
        <v>#N/A</v>
      </c>
      <c r="F3156" s="142" t="e">
        <f>IF('Informe Kelly'!H3150=$A$3,'Informe Kelly'!F3150,VLOOKUP(D3156,$D$2:$F$4,3,FALSE))-(VLOOKUP(D3156,$D$2:$F$4,3,FALSE))</f>
        <v>#N/A</v>
      </c>
      <c r="G3156" s="137" t="e">
        <f t="shared" si="53"/>
        <v>#N/A</v>
      </c>
    </row>
    <row r="3157" spans="1:7">
      <c r="A3157" s="112" t="e">
        <f>VLOOKUP('Informe Kelly'!A3151,Base!A:B,2,FALSE)</f>
        <v>#N/A</v>
      </c>
      <c r="B3157" s="112" t="e">
        <f>VLOOKUP('Informe Kelly'!A3151,Base!A:G,7,FALSE)</f>
        <v>#N/A</v>
      </c>
      <c r="C3157" s="112">
        <f>'Informe Kelly'!E3151</f>
        <v>0</v>
      </c>
      <c r="D3157" s="112" t="e">
        <f>VLOOKUP(A3157,Ingreso!K:P,6,FALSE)</f>
        <v>#N/A</v>
      </c>
      <c r="E3157" s="142" t="e">
        <f>(VLOOKUP(D3157,$D$2:$E$4,2,FALSE))-(IF('Informe Kelly'!H3151=$A$2,'Informe Kelly'!F3151,VLOOKUP(D3157,$D$2:$E$4,2,FALSE)))</f>
        <v>#N/A</v>
      </c>
      <c r="F3157" s="142" t="e">
        <f>IF('Informe Kelly'!H3151=$A$3,'Informe Kelly'!F3151,VLOOKUP(D3157,$D$2:$F$4,3,FALSE))-(VLOOKUP(D3157,$D$2:$F$4,3,FALSE))</f>
        <v>#N/A</v>
      </c>
      <c r="G3157" s="137" t="e">
        <f t="shared" si="53"/>
        <v>#N/A</v>
      </c>
    </row>
    <row r="3158" spans="1:7">
      <c r="A3158" s="112" t="e">
        <f>VLOOKUP('Informe Kelly'!A3152,Base!A:B,2,FALSE)</f>
        <v>#N/A</v>
      </c>
      <c r="B3158" s="112" t="e">
        <f>VLOOKUP('Informe Kelly'!A3152,Base!A:G,7,FALSE)</f>
        <v>#N/A</v>
      </c>
      <c r="C3158" s="112">
        <f>'Informe Kelly'!E3152</f>
        <v>0</v>
      </c>
      <c r="D3158" s="112" t="e">
        <f>VLOOKUP(A3158,Ingreso!K:P,6,FALSE)</f>
        <v>#N/A</v>
      </c>
      <c r="E3158" s="142" t="e">
        <f>(VLOOKUP(D3158,$D$2:$E$4,2,FALSE))-(IF('Informe Kelly'!H3152=$A$2,'Informe Kelly'!F3152,VLOOKUP(D3158,$D$2:$E$4,2,FALSE)))</f>
        <v>#N/A</v>
      </c>
      <c r="F3158" s="142" t="e">
        <f>IF('Informe Kelly'!H3152=$A$3,'Informe Kelly'!F3152,VLOOKUP(D3158,$D$2:$F$4,3,FALSE))-(VLOOKUP(D3158,$D$2:$F$4,3,FALSE))</f>
        <v>#N/A</v>
      </c>
      <c r="G3158" s="137" t="e">
        <f t="shared" si="53"/>
        <v>#N/A</v>
      </c>
    </row>
    <row r="3159" spans="1:7">
      <c r="A3159" s="112" t="e">
        <f>VLOOKUP('Informe Kelly'!A3153,Base!A:B,2,FALSE)</f>
        <v>#N/A</v>
      </c>
      <c r="B3159" s="112" t="e">
        <f>VLOOKUP('Informe Kelly'!A3153,Base!A:G,7,FALSE)</f>
        <v>#N/A</v>
      </c>
      <c r="C3159" s="112">
        <f>'Informe Kelly'!E3153</f>
        <v>0</v>
      </c>
      <c r="D3159" s="112" t="e">
        <f>VLOOKUP(A3159,Ingreso!K:P,6,FALSE)</f>
        <v>#N/A</v>
      </c>
      <c r="E3159" s="142" t="e">
        <f>(VLOOKUP(D3159,$D$2:$E$4,2,FALSE))-(IF('Informe Kelly'!H3153=$A$2,'Informe Kelly'!F3153,VLOOKUP(D3159,$D$2:$E$4,2,FALSE)))</f>
        <v>#N/A</v>
      </c>
      <c r="F3159" s="142" t="e">
        <f>IF('Informe Kelly'!H3153=$A$3,'Informe Kelly'!F3153,VLOOKUP(D3159,$D$2:$F$4,3,FALSE))-(VLOOKUP(D3159,$D$2:$F$4,3,FALSE))</f>
        <v>#N/A</v>
      </c>
      <c r="G3159" s="137" t="e">
        <f t="shared" si="53"/>
        <v>#N/A</v>
      </c>
    </row>
    <row r="3160" spans="1:7">
      <c r="A3160" s="112" t="e">
        <f>VLOOKUP('Informe Kelly'!A3154,Base!A:B,2,FALSE)</f>
        <v>#N/A</v>
      </c>
      <c r="B3160" s="112" t="e">
        <f>VLOOKUP('Informe Kelly'!A3154,Base!A:G,7,FALSE)</f>
        <v>#N/A</v>
      </c>
      <c r="C3160" s="112">
        <f>'Informe Kelly'!E3154</f>
        <v>0</v>
      </c>
      <c r="D3160" s="112" t="e">
        <f>VLOOKUP(A3160,Ingreso!K:P,6,FALSE)</f>
        <v>#N/A</v>
      </c>
      <c r="E3160" s="142" t="e">
        <f>(VLOOKUP(D3160,$D$2:$E$4,2,FALSE))-(IF('Informe Kelly'!H3154=$A$2,'Informe Kelly'!F3154,VLOOKUP(D3160,$D$2:$E$4,2,FALSE)))</f>
        <v>#N/A</v>
      </c>
      <c r="F3160" s="142" t="e">
        <f>IF('Informe Kelly'!H3154=$A$3,'Informe Kelly'!F3154,VLOOKUP(D3160,$D$2:$F$4,3,FALSE))-(VLOOKUP(D3160,$D$2:$F$4,3,FALSE))</f>
        <v>#N/A</v>
      </c>
      <c r="G3160" s="137" t="e">
        <f t="shared" si="53"/>
        <v>#N/A</v>
      </c>
    </row>
    <row r="3161" spans="1:7">
      <c r="A3161" s="112" t="e">
        <f>VLOOKUP('Informe Kelly'!A3155,Base!A:B,2,FALSE)</f>
        <v>#N/A</v>
      </c>
      <c r="B3161" s="112" t="e">
        <f>VLOOKUP('Informe Kelly'!A3155,Base!A:G,7,FALSE)</f>
        <v>#N/A</v>
      </c>
      <c r="C3161" s="112">
        <f>'Informe Kelly'!E3155</f>
        <v>0</v>
      </c>
      <c r="D3161" s="112" t="e">
        <f>VLOOKUP(A3161,Ingreso!K:P,6,FALSE)</f>
        <v>#N/A</v>
      </c>
      <c r="E3161" s="142" t="e">
        <f>(VLOOKUP(D3161,$D$2:$E$4,2,FALSE))-(IF('Informe Kelly'!H3155=$A$2,'Informe Kelly'!F3155,VLOOKUP(D3161,$D$2:$E$4,2,FALSE)))</f>
        <v>#N/A</v>
      </c>
      <c r="F3161" s="142" t="e">
        <f>IF('Informe Kelly'!H3155=$A$3,'Informe Kelly'!F3155,VLOOKUP(D3161,$D$2:$F$4,3,FALSE))-(VLOOKUP(D3161,$D$2:$F$4,3,FALSE))</f>
        <v>#N/A</v>
      </c>
      <c r="G3161" s="137" t="e">
        <f t="shared" si="53"/>
        <v>#N/A</v>
      </c>
    </row>
    <row r="3162" spans="1:7">
      <c r="A3162" s="112" t="e">
        <f>VLOOKUP('Informe Kelly'!A3156,Base!A:B,2,FALSE)</f>
        <v>#N/A</v>
      </c>
      <c r="B3162" s="112" t="e">
        <f>VLOOKUP('Informe Kelly'!A3156,Base!A:G,7,FALSE)</f>
        <v>#N/A</v>
      </c>
      <c r="C3162" s="112">
        <f>'Informe Kelly'!E3156</f>
        <v>0</v>
      </c>
      <c r="D3162" s="112" t="e">
        <f>VLOOKUP(A3162,Ingreso!K:P,6,FALSE)</f>
        <v>#N/A</v>
      </c>
      <c r="E3162" s="142" t="e">
        <f>(VLOOKUP(D3162,$D$2:$E$4,2,FALSE))-(IF('Informe Kelly'!H3156=$A$2,'Informe Kelly'!F3156,VLOOKUP(D3162,$D$2:$E$4,2,FALSE)))</f>
        <v>#N/A</v>
      </c>
      <c r="F3162" s="142" t="e">
        <f>IF('Informe Kelly'!H3156=$A$3,'Informe Kelly'!F3156,VLOOKUP(D3162,$D$2:$F$4,3,FALSE))-(VLOOKUP(D3162,$D$2:$F$4,3,FALSE))</f>
        <v>#N/A</v>
      </c>
      <c r="G3162" s="137" t="e">
        <f t="shared" si="53"/>
        <v>#N/A</v>
      </c>
    </row>
    <row r="3163" spans="1:7">
      <c r="A3163" s="112" t="e">
        <f>VLOOKUP('Informe Kelly'!A3157,Base!A:B,2,FALSE)</f>
        <v>#N/A</v>
      </c>
      <c r="B3163" s="112" t="e">
        <f>VLOOKUP('Informe Kelly'!A3157,Base!A:G,7,FALSE)</f>
        <v>#N/A</v>
      </c>
      <c r="C3163" s="112">
        <f>'Informe Kelly'!E3157</f>
        <v>0</v>
      </c>
      <c r="D3163" s="112" t="e">
        <f>VLOOKUP(A3163,Ingreso!K:P,6,FALSE)</f>
        <v>#N/A</v>
      </c>
      <c r="E3163" s="142" t="e">
        <f>(VLOOKUP(D3163,$D$2:$E$4,2,FALSE))-(IF('Informe Kelly'!H3157=$A$2,'Informe Kelly'!F3157,VLOOKUP(D3163,$D$2:$E$4,2,FALSE)))</f>
        <v>#N/A</v>
      </c>
      <c r="F3163" s="142" t="e">
        <f>IF('Informe Kelly'!H3157=$A$3,'Informe Kelly'!F3157,VLOOKUP(D3163,$D$2:$F$4,3,FALSE))-(VLOOKUP(D3163,$D$2:$F$4,3,FALSE))</f>
        <v>#N/A</v>
      </c>
      <c r="G3163" s="137" t="e">
        <f t="shared" si="53"/>
        <v>#N/A</v>
      </c>
    </row>
    <row r="3164" spans="1:7">
      <c r="A3164" s="112" t="e">
        <f>VLOOKUP('Informe Kelly'!A3158,Base!A:B,2,FALSE)</f>
        <v>#N/A</v>
      </c>
      <c r="B3164" s="112" t="e">
        <f>VLOOKUP('Informe Kelly'!A3158,Base!A:G,7,FALSE)</f>
        <v>#N/A</v>
      </c>
      <c r="C3164" s="112">
        <f>'Informe Kelly'!E3158</f>
        <v>0</v>
      </c>
      <c r="D3164" s="112" t="e">
        <f>VLOOKUP(A3164,Ingreso!K:P,6,FALSE)</f>
        <v>#N/A</v>
      </c>
      <c r="E3164" s="142" t="e">
        <f>(VLOOKUP(D3164,$D$2:$E$4,2,FALSE))-(IF('Informe Kelly'!H3158=$A$2,'Informe Kelly'!F3158,VLOOKUP(D3164,$D$2:$E$4,2,FALSE)))</f>
        <v>#N/A</v>
      </c>
      <c r="F3164" s="142" t="e">
        <f>IF('Informe Kelly'!H3158=$A$3,'Informe Kelly'!F3158,VLOOKUP(D3164,$D$2:$F$4,3,FALSE))-(VLOOKUP(D3164,$D$2:$F$4,3,FALSE))</f>
        <v>#N/A</v>
      </c>
      <c r="G3164" s="137" t="e">
        <f t="shared" si="53"/>
        <v>#N/A</v>
      </c>
    </row>
    <row r="3165" spans="1:7">
      <c r="A3165" s="112" t="e">
        <f>VLOOKUP('Informe Kelly'!A3159,Base!A:B,2,FALSE)</f>
        <v>#N/A</v>
      </c>
      <c r="B3165" s="112" t="e">
        <f>VLOOKUP('Informe Kelly'!A3159,Base!A:G,7,FALSE)</f>
        <v>#N/A</v>
      </c>
      <c r="C3165" s="112">
        <f>'Informe Kelly'!E3159</f>
        <v>0</v>
      </c>
      <c r="D3165" s="112" t="e">
        <f>VLOOKUP(A3165,Ingreso!K:P,6,FALSE)</f>
        <v>#N/A</v>
      </c>
      <c r="E3165" s="142" t="e">
        <f>(VLOOKUP(D3165,$D$2:$E$4,2,FALSE))-(IF('Informe Kelly'!H3159=$A$2,'Informe Kelly'!F3159,VLOOKUP(D3165,$D$2:$E$4,2,FALSE)))</f>
        <v>#N/A</v>
      </c>
      <c r="F3165" s="142" t="e">
        <f>IF('Informe Kelly'!H3159=$A$3,'Informe Kelly'!F3159,VLOOKUP(D3165,$D$2:$F$4,3,FALSE))-(VLOOKUP(D3165,$D$2:$F$4,3,FALSE))</f>
        <v>#N/A</v>
      </c>
      <c r="G3165" s="137" t="e">
        <f t="shared" si="53"/>
        <v>#N/A</v>
      </c>
    </row>
    <row r="3166" spans="1:7">
      <c r="A3166" s="112" t="e">
        <f>VLOOKUP('Informe Kelly'!A3160,Base!A:B,2,FALSE)</f>
        <v>#N/A</v>
      </c>
      <c r="B3166" s="112" t="e">
        <f>VLOOKUP('Informe Kelly'!A3160,Base!A:G,7,FALSE)</f>
        <v>#N/A</v>
      </c>
      <c r="C3166" s="112">
        <f>'Informe Kelly'!E3160</f>
        <v>0</v>
      </c>
      <c r="D3166" s="112" t="e">
        <f>VLOOKUP(A3166,Ingreso!K:P,6,FALSE)</f>
        <v>#N/A</v>
      </c>
      <c r="E3166" s="142" t="e">
        <f>(VLOOKUP(D3166,$D$2:$E$4,2,FALSE))-(IF('Informe Kelly'!H3160=$A$2,'Informe Kelly'!F3160,VLOOKUP(D3166,$D$2:$E$4,2,FALSE)))</f>
        <v>#N/A</v>
      </c>
      <c r="F3166" s="142" t="e">
        <f>IF('Informe Kelly'!H3160=$A$3,'Informe Kelly'!F3160,VLOOKUP(D3166,$D$2:$F$4,3,FALSE))-(VLOOKUP(D3166,$D$2:$F$4,3,FALSE))</f>
        <v>#N/A</v>
      </c>
      <c r="G3166" s="137" t="e">
        <f t="shared" si="53"/>
        <v>#N/A</v>
      </c>
    </row>
    <row r="3167" spans="1:7">
      <c r="A3167" s="112" t="e">
        <f>VLOOKUP('Informe Kelly'!A3161,Base!A:B,2,FALSE)</f>
        <v>#N/A</v>
      </c>
      <c r="B3167" s="112" t="e">
        <f>VLOOKUP('Informe Kelly'!A3161,Base!A:G,7,FALSE)</f>
        <v>#N/A</v>
      </c>
      <c r="C3167" s="112">
        <f>'Informe Kelly'!E3161</f>
        <v>0</v>
      </c>
      <c r="D3167" s="112" t="e">
        <f>VLOOKUP(A3167,Ingreso!K:P,6,FALSE)</f>
        <v>#N/A</v>
      </c>
      <c r="E3167" s="142" t="e">
        <f>(VLOOKUP(D3167,$D$2:$E$4,2,FALSE))-(IF('Informe Kelly'!H3161=$A$2,'Informe Kelly'!F3161,VLOOKUP(D3167,$D$2:$E$4,2,FALSE)))</f>
        <v>#N/A</v>
      </c>
      <c r="F3167" s="142" t="e">
        <f>IF('Informe Kelly'!H3161=$A$3,'Informe Kelly'!F3161,VLOOKUP(D3167,$D$2:$F$4,3,FALSE))-(VLOOKUP(D3167,$D$2:$F$4,3,FALSE))</f>
        <v>#N/A</v>
      </c>
      <c r="G3167" s="137" t="e">
        <f t="shared" si="53"/>
        <v>#N/A</v>
      </c>
    </row>
    <row r="3168" spans="1:7">
      <c r="A3168" s="112" t="e">
        <f>VLOOKUP('Informe Kelly'!A3162,Base!A:B,2,FALSE)</f>
        <v>#N/A</v>
      </c>
      <c r="B3168" s="112" t="e">
        <f>VLOOKUP('Informe Kelly'!A3162,Base!A:G,7,FALSE)</f>
        <v>#N/A</v>
      </c>
      <c r="C3168" s="112">
        <f>'Informe Kelly'!E3162</f>
        <v>0</v>
      </c>
      <c r="D3168" s="112" t="e">
        <f>VLOOKUP(A3168,Ingreso!K:P,6,FALSE)</f>
        <v>#N/A</v>
      </c>
      <c r="E3168" s="142" t="e">
        <f>(VLOOKUP(D3168,$D$2:$E$4,2,FALSE))-(IF('Informe Kelly'!H3162=$A$2,'Informe Kelly'!F3162,VLOOKUP(D3168,$D$2:$E$4,2,FALSE)))</f>
        <v>#N/A</v>
      </c>
      <c r="F3168" s="142" t="e">
        <f>IF('Informe Kelly'!H3162=$A$3,'Informe Kelly'!F3162,VLOOKUP(D3168,$D$2:$F$4,3,FALSE))-(VLOOKUP(D3168,$D$2:$F$4,3,FALSE))</f>
        <v>#N/A</v>
      </c>
      <c r="G3168" s="137" t="e">
        <f t="shared" si="53"/>
        <v>#N/A</v>
      </c>
    </row>
    <row r="3169" spans="1:7">
      <c r="A3169" s="112" t="e">
        <f>VLOOKUP('Informe Kelly'!A3163,Base!A:B,2,FALSE)</f>
        <v>#N/A</v>
      </c>
      <c r="B3169" s="112" t="e">
        <f>VLOOKUP('Informe Kelly'!A3163,Base!A:G,7,FALSE)</f>
        <v>#N/A</v>
      </c>
      <c r="C3169" s="112">
        <f>'Informe Kelly'!E3163</f>
        <v>0</v>
      </c>
      <c r="D3169" s="112" t="e">
        <f>VLOOKUP(A3169,Ingreso!K:P,6,FALSE)</f>
        <v>#N/A</v>
      </c>
      <c r="E3169" s="142" t="e">
        <f>(VLOOKUP(D3169,$D$2:$E$4,2,FALSE))-(IF('Informe Kelly'!H3163=$A$2,'Informe Kelly'!F3163,VLOOKUP(D3169,$D$2:$E$4,2,FALSE)))</f>
        <v>#N/A</v>
      </c>
      <c r="F3169" s="142" t="e">
        <f>IF('Informe Kelly'!H3163=$A$3,'Informe Kelly'!F3163,VLOOKUP(D3169,$D$2:$F$4,3,FALSE))-(VLOOKUP(D3169,$D$2:$F$4,3,FALSE))</f>
        <v>#N/A</v>
      </c>
      <c r="G3169" s="137" t="e">
        <f t="shared" si="53"/>
        <v>#N/A</v>
      </c>
    </row>
    <row r="3170" spans="1:7">
      <c r="A3170" s="112" t="e">
        <f>VLOOKUP('Informe Kelly'!A3164,Base!A:B,2,FALSE)</f>
        <v>#N/A</v>
      </c>
      <c r="B3170" s="112" t="e">
        <f>VLOOKUP('Informe Kelly'!A3164,Base!A:G,7,FALSE)</f>
        <v>#N/A</v>
      </c>
      <c r="C3170" s="112">
        <f>'Informe Kelly'!E3164</f>
        <v>0</v>
      </c>
      <c r="D3170" s="112" t="e">
        <f>VLOOKUP(A3170,Ingreso!K:P,6,FALSE)</f>
        <v>#N/A</v>
      </c>
      <c r="E3170" s="142" t="e">
        <f>(VLOOKUP(D3170,$D$2:$E$4,2,FALSE))-(IF('Informe Kelly'!H3164=$A$2,'Informe Kelly'!F3164,VLOOKUP(D3170,$D$2:$E$4,2,FALSE)))</f>
        <v>#N/A</v>
      </c>
      <c r="F3170" s="142" t="e">
        <f>IF('Informe Kelly'!H3164=$A$3,'Informe Kelly'!F3164,VLOOKUP(D3170,$D$2:$F$4,3,FALSE))-(VLOOKUP(D3170,$D$2:$F$4,3,FALSE))</f>
        <v>#N/A</v>
      </c>
      <c r="G3170" s="137" t="e">
        <f t="shared" si="53"/>
        <v>#N/A</v>
      </c>
    </row>
    <row r="3171" spans="1:7">
      <c r="A3171" s="112" t="e">
        <f>VLOOKUP('Informe Kelly'!A3165,Base!A:B,2,FALSE)</f>
        <v>#N/A</v>
      </c>
      <c r="B3171" s="112" t="e">
        <f>VLOOKUP('Informe Kelly'!A3165,Base!A:G,7,FALSE)</f>
        <v>#N/A</v>
      </c>
      <c r="C3171" s="112">
        <f>'Informe Kelly'!E3165</f>
        <v>0</v>
      </c>
      <c r="D3171" s="112" t="e">
        <f>VLOOKUP(A3171,Ingreso!K:P,6,FALSE)</f>
        <v>#N/A</v>
      </c>
      <c r="E3171" s="142" t="e">
        <f>(VLOOKUP(D3171,$D$2:$E$4,2,FALSE))-(IF('Informe Kelly'!H3165=$A$2,'Informe Kelly'!F3165,VLOOKUP(D3171,$D$2:$E$4,2,FALSE)))</f>
        <v>#N/A</v>
      </c>
      <c r="F3171" s="142" t="e">
        <f>IF('Informe Kelly'!H3165=$A$3,'Informe Kelly'!F3165,VLOOKUP(D3171,$D$2:$F$4,3,FALSE))-(VLOOKUP(D3171,$D$2:$F$4,3,FALSE))</f>
        <v>#N/A</v>
      </c>
      <c r="G3171" s="137" t="e">
        <f t="shared" si="53"/>
        <v>#N/A</v>
      </c>
    </row>
    <row r="3172" spans="1:7">
      <c r="A3172" s="112" t="e">
        <f>VLOOKUP('Informe Kelly'!A3166,Base!A:B,2,FALSE)</f>
        <v>#N/A</v>
      </c>
      <c r="B3172" s="112" t="e">
        <f>VLOOKUP('Informe Kelly'!A3166,Base!A:G,7,FALSE)</f>
        <v>#N/A</v>
      </c>
      <c r="C3172" s="112">
        <f>'Informe Kelly'!E3166</f>
        <v>0</v>
      </c>
      <c r="D3172" s="112" t="e">
        <f>VLOOKUP(A3172,Ingreso!K:P,6,FALSE)</f>
        <v>#N/A</v>
      </c>
      <c r="E3172" s="142" t="e">
        <f>(VLOOKUP(D3172,$D$2:$E$4,2,FALSE))-(IF('Informe Kelly'!H3166=$A$2,'Informe Kelly'!F3166,VLOOKUP(D3172,$D$2:$E$4,2,FALSE)))</f>
        <v>#N/A</v>
      </c>
      <c r="F3172" s="142" t="e">
        <f>IF('Informe Kelly'!H3166=$A$3,'Informe Kelly'!F3166,VLOOKUP(D3172,$D$2:$F$4,3,FALSE))-(VLOOKUP(D3172,$D$2:$F$4,3,FALSE))</f>
        <v>#N/A</v>
      </c>
      <c r="G3172" s="137" t="e">
        <f t="shared" si="53"/>
        <v>#N/A</v>
      </c>
    </row>
    <row r="3173" spans="1:7">
      <c r="A3173" s="112" t="e">
        <f>VLOOKUP('Informe Kelly'!A3167,Base!A:B,2,FALSE)</f>
        <v>#N/A</v>
      </c>
      <c r="B3173" s="112" t="e">
        <f>VLOOKUP('Informe Kelly'!A3167,Base!A:G,7,FALSE)</f>
        <v>#N/A</v>
      </c>
      <c r="C3173" s="112">
        <f>'Informe Kelly'!E3167</f>
        <v>0</v>
      </c>
      <c r="D3173" s="112" t="e">
        <f>VLOOKUP(A3173,Ingreso!K:P,6,FALSE)</f>
        <v>#N/A</v>
      </c>
      <c r="E3173" s="142" t="e">
        <f>(VLOOKUP(D3173,$D$2:$E$4,2,FALSE))-(IF('Informe Kelly'!H3167=$A$2,'Informe Kelly'!F3167,VLOOKUP(D3173,$D$2:$E$4,2,FALSE)))</f>
        <v>#N/A</v>
      </c>
      <c r="F3173" s="142" t="e">
        <f>IF('Informe Kelly'!H3167=$A$3,'Informe Kelly'!F3167,VLOOKUP(D3173,$D$2:$F$4,3,FALSE))-(VLOOKUP(D3173,$D$2:$F$4,3,FALSE))</f>
        <v>#N/A</v>
      </c>
      <c r="G3173" s="137" t="e">
        <f t="shared" si="53"/>
        <v>#N/A</v>
      </c>
    </row>
    <row r="3174" spans="1:7">
      <c r="A3174" s="112" t="e">
        <f>VLOOKUP('Informe Kelly'!A3168,Base!A:B,2,FALSE)</f>
        <v>#N/A</v>
      </c>
      <c r="B3174" s="112" t="e">
        <f>VLOOKUP('Informe Kelly'!A3168,Base!A:G,7,FALSE)</f>
        <v>#N/A</v>
      </c>
      <c r="C3174" s="112">
        <f>'Informe Kelly'!E3168</f>
        <v>0</v>
      </c>
      <c r="D3174" s="112" t="e">
        <f>VLOOKUP(A3174,Ingreso!K:P,6,FALSE)</f>
        <v>#N/A</v>
      </c>
      <c r="E3174" s="142" t="e">
        <f>(VLOOKUP(D3174,$D$2:$E$4,2,FALSE))-(IF('Informe Kelly'!H3168=$A$2,'Informe Kelly'!F3168,VLOOKUP(D3174,$D$2:$E$4,2,FALSE)))</f>
        <v>#N/A</v>
      </c>
      <c r="F3174" s="142" t="e">
        <f>IF('Informe Kelly'!H3168=$A$3,'Informe Kelly'!F3168,VLOOKUP(D3174,$D$2:$F$4,3,FALSE))-(VLOOKUP(D3174,$D$2:$F$4,3,FALSE))</f>
        <v>#N/A</v>
      </c>
      <c r="G3174" s="137" t="e">
        <f t="shared" si="53"/>
        <v>#N/A</v>
      </c>
    </row>
    <row r="3175" spans="1:7">
      <c r="A3175" s="112" t="e">
        <f>VLOOKUP('Informe Kelly'!A3169,Base!A:B,2,FALSE)</f>
        <v>#N/A</v>
      </c>
      <c r="B3175" s="112" t="e">
        <f>VLOOKUP('Informe Kelly'!A3169,Base!A:G,7,FALSE)</f>
        <v>#N/A</v>
      </c>
      <c r="C3175" s="112">
        <f>'Informe Kelly'!E3169</f>
        <v>0</v>
      </c>
      <c r="D3175" s="112" t="e">
        <f>VLOOKUP(A3175,Ingreso!K:P,6,FALSE)</f>
        <v>#N/A</v>
      </c>
      <c r="E3175" s="142" t="e">
        <f>(VLOOKUP(D3175,$D$2:$E$4,2,FALSE))-(IF('Informe Kelly'!H3169=$A$2,'Informe Kelly'!F3169,VLOOKUP(D3175,$D$2:$E$4,2,FALSE)))</f>
        <v>#N/A</v>
      </c>
      <c r="F3175" s="142" t="e">
        <f>IF('Informe Kelly'!H3169=$A$3,'Informe Kelly'!F3169,VLOOKUP(D3175,$D$2:$F$4,3,FALSE))-(VLOOKUP(D3175,$D$2:$F$4,3,FALSE))</f>
        <v>#N/A</v>
      </c>
      <c r="G3175" s="137" t="e">
        <f t="shared" si="53"/>
        <v>#N/A</v>
      </c>
    </row>
    <row r="3176" spans="1:7">
      <c r="A3176" s="112" t="e">
        <f>VLOOKUP('Informe Kelly'!A3170,Base!A:B,2,FALSE)</f>
        <v>#N/A</v>
      </c>
      <c r="B3176" s="112" t="e">
        <f>VLOOKUP('Informe Kelly'!A3170,Base!A:G,7,FALSE)</f>
        <v>#N/A</v>
      </c>
      <c r="C3176" s="112">
        <f>'Informe Kelly'!E3170</f>
        <v>0</v>
      </c>
      <c r="D3176" s="112" t="e">
        <f>VLOOKUP(A3176,Ingreso!K:P,6,FALSE)</f>
        <v>#N/A</v>
      </c>
      <c r="E3176" s="142" t="e">
        <f>(VLOOKUP(D3176,$D$2:$E$4,2,FALSE))-(IF('Informe Kelly'!H3170=$A$2,'Informe Kelly'!F3170,VLOOKUP(D3176,$D$2:$E$4,2,FALSE)))</f>
        <v>#N/A</v>
      </c>
      <c r="F3176" s="142" t="e">
        <f>IF('Informe Kelly'!H3170=$A$3,'Informe Kelly'!F3170,VLOOKUP(D3176,$D$2:$F$4,3,FALSE))-(VLOOKUP(D3176,$D$2:$F$4,3,FALSE))</f>
        <v>#N/A</v>
      </c>
      <c r="G3176" s="137" t="e">
        <f t="shared" si="53"/>
        <v>#N/A</v>
      </c>
    </row>
    <row r="3177" spans="1:7">
      <c r="A3177" s="112" t="e">
        <f>VLOOKUP('Informe Kelly'!A3171,Base!A:B,2,FALSE)</f>
        <v>#N/A</v>
      </c>
      <c r="B3177" s="112" t="e">
        <f>VLOOKUP('Informe Kelly'!A3171,Base!A:G,7,FALSE)</f>
        <v>#N/A</v>
      </c>
      <c r="C3177" s="112">
        <f>'Informe Kelly'!E3171</f>
        <v>0</v>
      </c>
      <c r="D3177" s="112" t="e">
        <f>VLOOKUP(A3177,Ingreso!K:P,6,FALSE)</f>
        <v>#N/A</v>
      </c>
      <c r="E3177" s="142" t="e">
        <f>(VLOOKUP(D3177,$D$2:$E$4,2,FALSE))-(IF('Informe Kelly'!H3171=$A$2,'Informe Kelly'!F3171,VLOOKUP(D3177,$D$2:$E$4,2,FALSE)))</f>
        <v>#N/A</v>
      </c>
      <c r="F3177" s="142" t="e">
        <f>IF('Informe Kelly'!H3171=$A$3,'Informe Kelly'!F3171,VLOOKUP(D3177,$D$2:$F$4,3,FALSE))-(VLOOKUP(D3177,$D$2:$F$4,3,FALSE))</f>
        <v>#N/A</v>
      </c>
      <c r="G3177" s="137" t="e">
        <f t="shared" si="53"/>
        <v>#N/A</v>
      </c>
    </row>
    <row r="3178" spans="1:7">
      <c r="A3178" s="112" t="e">
        <f>VLOOKUP('Informe Kelly'!A3172,Base!A:B,2,FALSE)</f>
        <v>#N/A</v>
      </c>
      <c r="B3178" s="112" t="e">
        <f>VLOOKUP('Informe Kelly'!A3172,Base!A:G,7,FALSE)</f>
        <v>#N/A</v>
      </c>
      <c r="C3178" s="112">
        <f>'Informe Kelly'!E3172</f>
        <v>0</v>
      </c>
      <c r="D3178" s="112" t="e">
        <f>VLOOKUP(A3178,Ingreso!K:P,6,FALSE)</f>
        <v>#N/A</v>
      </c>
      <c r="E3178" s="142" t="e">
        <f>(VLOOKUP(D3178,$D$2:$E$4,2,FALSE))-(IF('Informe Kelly'!H3172=$A$2,'Informe Kelly'!F3172,VLOOKUP(D3178,$D$2:$E$4,2,FALSE)))</f>
        <v>#N/A</v>
      </c>
      <c r="F3178" s="142" t="e">
        <f>IF('Informe Kelly'!H3172=$A$3,'Informe Kelly'!F3172,VLOOKUP(D3178,$D$2:$F$4,3,FALSE))-(VLOOKUP(D3178,$D$2:$F$4,3,FALSE))</f>
        <v>#N/A</v>
      </c>
      <c r="G3178" s="137" t="e">
        <f t="shared" si="53"/>
        <v>#N/A</v>
      </c>
    </row>
    <row r="3179" spans="1:7">
      <c r="A3179" s="112" t="e">
        <f>VLOOKUP('Informe Kelly'!A3173,Base!A:B,2,FALSE)</f>
        <v>#N/A</v>
      </c>
      <c r="B3179" s="112" t="e">
        <f>VLOOKUP('Informe Kelly'!A3173,Base!A:G,7,FALSE)</f>
        <v>#N/A</v>
      </c>
      <c r="C3179" s="112">
        <f>'Informe Kelly'!E3173</f>
        <v>0</v>
      </c>
      <c r="D3179" s="112" t="e">
        <f>VLOOKUP(A3179,Ingreso!K:P,6,FALSE)</f>
        <v>#N/A</v>
      </c>
      <c r="E3179" s="142" t="e">
        <f>(VLOOKUP(D3179,$D$2:$E$4,2,FALSE))-(IF('Informe Kelly'!H3173=$A$2,'Informe Kelly'!F3173,VLOOKUP(D3179,$D$2:$E$4,2,FALSE)))</f>
        <v>#N/A</v>
      </c>
      <c r="F3179" s="142" t="e">
        <f>IF('Informe Kelly'!H3173=$A$3,'Informe Kelly'!F3173,VLOOKUP(D3179,$D$2:$F$4,3,FALSE))-(VLOOKUP(D3179,$D$2:$F$4,3,FALSE))</f>
        <v>#N/A</v>
      </c>
      <c r="G3179" s="137" t="e">
        <f t="shared" si="53"/>
        <v>#N/A</v>
      </c>
    </row>
    <row r="3180" spans="1:7">
      <c r="A3180" s="112" t="e">
        <f>VLOOKUP('Informe Kelly'!A3174,Base!A:B,2,FALSE)</f>
        <v>#N/A</v>
      </c>
      <c r="B3180" s="112" t="e">
        <f>VLOOKUP('Informe Kelly'!A3174,Base!A:G,7,FALSE)</f>
        <v>#N/A</v>
      </c>
      <c r="C3180" s="112">
        <f>'Informe Kelly'!E3174</f>
        <v>0</v>
      </c>
      <c r="D3180" s="112" t="e">
        <f>VLOOKUP(A3180,Ingreso!K:P,6,FALSE)</f>
        <v>#N/A</v>
      </c>
      <c r="E3180" s="142" t="e">
        <f>(VLOOKUP(D3180,$D$2:$E$4,2,FALSE))-(IF('Informe Kelly'!H3174=$A$2,'Informe Kelly'!F3174,VLOOKUP(D3180,$D$2:$E$4,2,FALSE)))</f>
        <v>#N/A</v>
      </c>
      <c r="F3180" s="142" t="e">
        <f>IF('Informe Kelly'!H3174=$A$3,'Informe Kelly'!F3174,VLOOKUP(D3180,$D$2:$F$4,3,FALSE))-(VLOOKUP(D3180,$D$2:$F$4,3,FALSE))</f>
        <v>#N/A</v>
      </c>
      <c r="G3180" s="137" t="e">
        <f t="shared" si="53"/>
        <v>#N/A</v>
      </c>
    </row>
    <row r="3181" spans="1:7">
      <c r="A3181" s="112" t="e">
        <f>VLOOKUP('Informe Kelly'!A3175,Base!A:B,2,FALSE)</f>
        <v>#N/A</v>
      </c>
      <c r="B3181" s="112" t="e">
        <f>VLOOKUP('Informe Kelly'!A3175,Base!A:G,7,FALSE)</f>
        <v>#N/A</v>
      </c>
      <c r="C3181" s="112">
        <f>'Informe Kelly'!E3175</f>
        <v>0</v>
      </c>
      <c r="D3181" s="112" t="e">
        <f>VLOOKUP(A3181,Ingreso!K:P,6,FALSE)</f>
        <v>#N/A</v>
      </c>
      <c r="E3181" s="142" t="e">
        <f>(VLOOKUP(D3181,$D$2:$E$4,2,FALSE))-(IF('Informe Kelly'!H3175=$A$2,'Informe Kelly'!F3175,VLOOKUP(D3181,$D$2:$E$4,2,FALSE)))</f>
        <v>#N/A</v>
      </c>
      <c r="F3181" s="142" t="e">
        <f>IF('Informe Kelly'!H3175=$A$3,'Informe Kelly'!F3175,VLOOKUP(D3181,$D$2:$F$4,3,FALSE))-(VLOOKUP(D3181,$D$2:$F$4,3,FALSE))</f>
        <v>#N/A</v>
      </c>
      <c r="G3181" s="137" t="e">
        <f t="shared" si="53"/>
        <v>#N/A</v>
      </c>
    </row>
    <row r="3182" spans="1:7">
      <c r="A3182" s="112" t="e">
        <f>VLOOKUP('Informe Kelly'!A3176,Base!A:B,2,FALSE)</f>
        <v>#N/A</v>
      </c>
      <c r="B3182" s="112" t="e">
        <f>VLOOKUP('Informe Kelly'!A3176,Base!A:G,7,FALSE)</f>
        <v>#N/A</v>
      </c>
      <c r="C3182" s="112">
        <f>'Informe Kelly'!E3176</f>
        <v>0</v>
      </c>
      <c r="D3182" s="112" t="e">
        <f>VLOOKUP(A3182,Ingreso!K:P,6,FALSE)</f>
        <v>#N/A</v>
      </c>
      <c r="E3182" s="142" t="e">
        <f>(VLOOKUP(D3182,$D$2:$E$4,2,FALSE))-(IF('Informe Kelly'!H3176=$A$2,'Informe Kelly'!F3176,VLOOKUP(D3182,$D$2:$E$4,2,FALSE)))</f>
        <v>#N/A</v>
      </c>
      <c r="F3182" s="142" t="e">
        <f>IF('Informe Kelly'!H3176=$A$3,'Informe Kelly'!F3176,VLOOKUP(D3182,$D$2:$F$4,3,FALSE))-(VLOOKUP(D3182,$D$2:$F$4,3,FALSE))</f>
        <v>#N/A</v>
      </c>
      <c r="G3182" s="137" t="e">
        <f t="shared" si="53"/>
        <v>#N/A</v>
      </c>
    </row>
    <row r="3183" spans="1:7">
      <c r="A3183" s="112" t="e">
        <f>VLOOKUP('Informe Kelly'!A3177,Base!A:B,2,FALSE)</f>
        <v>#N/A</v>
      </c>
      <c r="B3183" s="112" t="e">
        <f>VLOOKUP('Informe Kelly'!A3177,Base!A:G,7,FALSE)</f>
        <v>#N/A</v>
      </c>
      <c r="C3183" s="112">
        <f>'Informe Kelly'!E3177</f>
        <v>0</v>
      </c>
      <c r="D3183" s="112" t="e">
        <f>VLOOKUP(A3183,Ingreso!K:P,6,FALSE)</f>
        <v>#N/A</v>
      </c>
      <c r="E3183" s="142" t="e">
        <f>(VLOOKUP(D3183,$D$2:$E$4,2,FALSE))-(IF('Informe Kelly'!H3177=$A$2,'Informe Kelly'!F3177,VLOOKUP(D3183,$D$2:$E$4,2,FALSE)))</f>
        <v>#N/A</v>
      </c>
      <c r="F3183" s="142" t="e">
        <f>IF('Informe Kelly'!H3177=$A$3,'Informe Kelly'!F3177,VLOOKUP(D3183,$D$2:$F$4,3,FALSE))-(VLOOKUP(D3183,$D$2:$F$4,3,FALSE))</f>
        <v>#N/A</v>
      </c>
      <c r="G3183" s="137" t="e">
        <f t="shared" si="53"/>
        <v>#N/A</v>
      </c>
    </row>
    <row r="3184" spans="1:7">
      <c r="A3184" s="112" t="e">
        <f>VLOOKUP('Informe Kelly'!A3178,Base!A:B,2,FALSE)</f>
        <v>#N/A</v>
      </c>
      <c r="B3184" s="112" t="e">
        <f>VLOOKUP('Informe Kelly'!A3178,Base!A:G,7,FALSE)</f>
        <v>#N/A</v>
      </c>
      <c r="C3184" s="112">
        <f>'Informe Kelly'!E3178</f>
        <v>0</v>
      </c>
      <c r="D3184" s="112" t="e">
        <f>VLOOKUP(A3184,Ingreso!K:P,6,FALSE)</f>
        <v>#N/A</v>
      </c>
      <c r="E3184" s="142" t="e">
        <f>(VLOOKUP(D3184,$D$2:$E$4,2,FALSE))-(IF('Informe Kelly'!H3178=$A$2,'Informe Kelly'!F3178,VLOOKUP(D3184,$D$2:$E$4,2,FALSE)))</f>
        <v>#N/A</v>
      </c>
      <c r="F3184" s="142" t="e">
        <f>IF('Informe Kelly'!H3178=$A$3,'Informe Kelly'!F3178,VLOOKUP(D3184,$D$2:$F$4,3,FALSE))-(VLOOKUP(D3184,$D$2:$F$4,3,FALSE))</f>
        <v>#N/A</v>
      </c>
      <c r="G3184" s="137" t="e">
        <f t="shared" si="53"/>
        <v>#N/A</v>
      </c>
    </row>
    <row r="3185" spans="1:7">
      <c r="A3185" s="112" t="e">
        <f>VLOOKUP('Informe Kelly'!A3179,Base!A:B,2,FALSE)</f>
        <v>#N/A</v>
      </c>
      <c r="B3185" s="112" t="e">
        <f>VLOOKUP('Informe Kelly'!A3179,Base!A:G,7,FALSE)</f>
        <v>#N/A</v>
      </c>
      <c r="C3185" s="112">
        <f>'Informe Kelly'!E3179</f>
        <v>0</v>
      </c>
      <c r="D3185" s="112" t="e">
        <f>VLOOKUP(A3185,Ingreso!K:P,6,FALSE)</f>
        <v>#N/A</v>
      </c>
      <c r="E3185" s="142" t="e">
        <f>(VLOOKUP(D3185,$D$2:$E$4,2,FALSE))-(IF('Informe Kelly'!H3179=$A$2,'Informe Kelly'!F3179,VLOOKUP(D3185,$D$2:$E$4,2,FALSE)))</f>
        <v>#N/A</v>
      </c>
      <c r="F3185" s="142" t="e">
        <f>IF('Informe Kelly'!H3179=$A$3,'Informe Kelly'!F3179,VLOOKUP(D3185,$D$2:$F$4,3,FALSE))-(VLOOKUP(D3185,$D$2:$F$4,3,FALSE))</f>
        <v>#N/A</v>
      </c>
      <c r="G3185" s="137" t="e">
        <f t="shared" si="53"/>
        <v>#N/A</v>
      </c>
    </row>
    <row r="3186" spans="1:7">
      <c r="A3186" s="112" t="e">
        <f>VLOOKUP('Informe Kelly'!A3180,Base!A:B,2,FALSE)</f>
        <v>#N/A</v>
      </c>
      <c r="B3186" s="112" t="e">
        <f>VLOOKUP('Informe Kelly'!A3180,Base!A:G,7,FALSE)</f>
        <v>#N/A</v>
      </c>
      <c r="C3186" s="112">
        <f>'Informe Kelly'!E3180</f>
        <v>0</v>
      </c>
      <c r="D3186" s="112" t="e">
        <f>VLOOKUP(A3186,Ingreso!K:P,6,FALSE)</f>
        <v>#N/A</v>
      </c>
      <c r="E3186" s="142" t="e">
        <f>(VLOOKUP(D3186,$D$2:$E$4,2,FALSE))-(IF('Informe Kelly'!H3180=$A$2,'Informe Kelly'!F3180,VLOOKUP(D3186,$D$2:$E$4,2,FALSE)))</f>
        <v>#N/A</v>
      </c>
      <c r="F3186" s="142" t="e">
        <f>IF('Informe Kelly'!H3180=$A$3,'Informe Kelly'!F3180,VLOOKUP(D3186,$D$2:$F$4,3,FALSE))-(VLOOKUP(D3186,$D$2:$F$4,3,FALSE))</f>
        <v>#N/A</v>
      </c>
      <c r="G3186" s="137" t="e">
        <f t="shared" si="53"/>
        <v>#N/A</v>
      </c>
    </row>
    <row r="3187" spans="1:7">
      <c r="A3187" s="112" t="e">
        <f>VLOOKUP('Informe Kelly'!A3181,Base!A:B,2,FALSE)</f>
        <v>#N/A</v>
      </c>
      <c r="B3187" s="112" t="e">
        <f>VLOOKUP('Informe Kelly'!A3181,Base!A:G,7,FALSE)</f>
        <v>#N/A</v>
      </c>
      <c r="C3187" s="112">
        <f>'Informe Kelly'!E3181</f>
        <v>0</v>
      </c>
      <c r="D3187" s="112" t="e">
        <f>VLOOKUP(A3187,Ingreso!K:P,6,FALSE)</f>
        <v>#N/A</v>
      </c>
      <c r="E3187" s="142" t="e">
        <f>(VLOOKUP(D3187,$D$2:$E$4,2,FALSE))-(IF('Informe Kelly'!H3181=$A$2,'Informe Kelly'!F3181,VLOOKUP(D3187,$D$2:$E$4,2,FALSE)))</f>
        <v>#N/A</v>
      </c>
      <c r="F3187" s="142" t="e">
        <f>IF('Informe Kelly'!H3181=$A$3,'Informe Kelly'!F3181,VLOOKUP(D3187,$D$2:$F$4,3,FALSE))-(VLOOKUP(D3187,$D$2:$F$4,3,FALSE))</f>
        <v>#N/A</v>
      </c>
      <c r="G3187" s="137" t="e">
        <f t="shared" si="53"/>
        <v>#N/A</v>
      </c>
    </row>
    <row r="3188" spans="1:7">
      <c r="A3188" s="112" t="e">
        <f>VLOOKUP('Informe Kelly'!A3182,Base!A:B,2,FALSE)</f>
        <v>#N/A</v>
      </c>
      <c r="B3188" s="112" t="e">
        <f>VLOOKUP('Informe Kelly'!A3182,Base!A:G,7,FALSE)</f>
        <v>#N/A</v>
      </c>
      <c r="C3188" s="112">
        <f>'Informe Kelly'!E3182</f>
        <v>0</v>
      </c>
      <c r="D3188" s="112" t="e">
        <f>VLOOKUP(A3188,Ingreso!K:P,6,FALSE)</f>
        <v>#N/A</v>
      </c>
      <c r="E3188" s="142" t="e">
        <f>(VLOOKUP(D3188,$D$2:$E$4,2,FALSE))-(IF('Informe Kelly'!H3182=$A$2,'Informe Kelly'!F3182,VLOOKUP(D3188,$D$2:$E$4,2,FALSE)))</f>
        <v>#N/A</v>
      </c>
      <c r="F3188" s="142" t="e">
        <f>IF('Informe Kelly'!H3182=$A$3,'Informe Kelly'!F3182,VLOOKUP(D3188,$D$2:$F$4,3,FALSE))-(VLOOKUP(D3188,$D$2:$F$4,3,FALSE))</f>
        <v>#N/A</v>
      </c>
      <c r="G3188" s="137" t="e">
        <f t="shared" si="53"/>
        <v>#N/A</v>
      </c>
    </row>
    <row r="3189" spans="1:7">
      <c r="A3189" s="112" t="e">
        <f>VLOOKUP('Informe Kelly'!A3183,Base!A:B,2,FALSE)</f>
        <v>#N/A</v>
      </c>
      <c r="B3189" s="112" t="e">
        <f>VLOOKUP('Informe Kelly'!A3183,Base!A:G,7,FALSE)</f>
        <v>#N/A</v>
      </c>
      <c r="C3189" s="112">
        <f>'Informe Kelly'!E3183</f>
        <v>0</v>
      </c>
      <c r="D3189" s="112" t="e">
        <f>VLOOKUP(A3189,Ingreso!K:P,6,FALSE)</f>
        <v>#N/A</v>
      </c>
      <c r="E3189" s="142" t="e">
        <f>(VLOOKUP(D3189,$D$2:$E$4,2,FALSE))-(IF('Informe Kelly'!H3183=$A$2,'Informe Kelly'!F3183,VLOOKUP(D3189,$D$2:$E$4,2,FALSE)))</f>
        <v>#N/A</v>
      </c>
      <c r="F3189" s="142" t="e">
        <f>IF('Informe Kelly'!H3183=$A$3,'Informe Kelly'!F3183,VLOOKUP(D3189,$D$2:$F$4,3,FALSE))-(VLOOKUP(D3189,$D$2:$F$4,3,FALSE))</f>
        <v>#N/A</v>
      </c>
      <c r="G3189" s="137" t="e">
        <f t="shared" si="53"/>
        <v>#N/A</v>
      </c>
    </row>
    <row r="3190" spans="1:7">
      <c r="A3190" s="112" t="e">
        <f>VLOOKUP('Informe Kelly'!A3184,Base!A:B,2,FALSE)</f>
        <v>#N/A</v>
      </c>
      <c r="B3190" s="112" t="e">
        <f>VLOOKUP('Informe Kelly'!A3184,Base!A:G,7,FALSE)</f>
        <v>#N/A</v>
      </c>
      <c r="C3190" s="112">
        <f>'Informe Kelly'!E3184</f>
        <v>0</v>
      </c>
      <c r="D3190" s="112" t="e">
        <f>VLOOKUP(A3190,Ingreso!K:P,6,FALSE)</f>
        <v>#N/A</v>
      </c>
      <c r="E3190" s="142" t="e">
        <f>(VLOOKUP(D3190,$D$2:$E$4,2,FALSE))-(IF('Informe Kelly'!H3184=$A$2,'Informe Kelly'!F3184,VLOOKUP(D3190,$D$2:$E$4,2,FALSE)))</f>
        <v>#N/A</v>
      </c>
      <c r="F3190" s="142" t="e">
        <f>IF('Informe Kelly'!H3184=$A$3,'Informe Kelly'!F3184,VLOOKUP(D3190,$D$2:$F$4,3,FALSE))-(VLOOKUP(D3190,$D$2:$F$4,3,FALSE))</f>
        <v>#N/A</v>
      </c>
      <c r="G3190" s="137" t="e">
        <f t="shared" si="53"/>
        <v>#N/A</v>
      </c>
    </row>
    <row r="3191" spans="1:7">
      <c r="A3191" s="112" t="e">
        <f>VLOOKUP('Informe Kelly'!A3185,Base!A:B,2,FALSE)</f>
        <v>#N/A</v>
      </c>
      <c r="B3191" s="112" t="e">
        <f>VLOOKUP('Informe Kelly'!A3185,Base!A:G,7,FALSE)</f>
        <v>#N/A</v>
      </c>
      <c r="C3191" s="112">
        <f>'Informe Kelly'!E3185</f>
        <v>0</v>
      </c>
      <c r="D3191" s="112" t="e">
        <f>VLOOKUP(A3191,Ingreso!K:P,6,FALSE)</f>
        <v>#N/A</v>
      </c>
      <c r="E3191" s="142" t="e">
        <f>(VLOOKUP(D3191,$D$2:$E$4,2,FALSE))-(IF('Informe Kelly'!H3185=$A$2,'Informe Kelly'!F3185,VLOOKUP(D3191,$D$2:$E$4,2,FALSE)))</f>
        <v>#N/A</v>
      </c>
      <c r="F3191" s="142" t="e">
        <f>IF('Informe Kelly'!H3185=$A$3,'Informe Kelly'!F3185,VLOOKUP(D3191,$D$2:$F$4,3,FALSE))-(VLOOKUP(D3191,$D$2:$F$4,3,FALSE))</f>
        <v>#N/A</v>
      </c>
      <c r="G3191" s="137" t="e">
        <f t="shared" si="53"/>
        <v>#N/A</v>
      </c>
    </row>
    <row r="3192" spans="1:7">
      <c r="A3192" s="112" t="e">
        <f>VLOOKUP('Informe Kelly'!A3186,Base!A:B,2,FALSE)</f>
        <v>#N/A</v>
      </c>
      <c r="B3192" s="112" t="e">
        <f>VLOOKUP('Informe Kelly'!A3186,Base!A:G,7,FALSE)</f>
        <v>#N/A</v>
      </c>
      <c r="C3192" s="112">
        <f>'Informe Kelly'!E3186</f>
        <v>0</v>
      </c>
      <c r="D3192" s="112" t="e">
        <f>VLOOKUP(A3192,Ingreso!K:P,6,FALSE)</f>
        <v>#N/A</v>
      </c>
      <c r="E3192" s="142" t="e">
        <f>(VLOOKUP(D3192,$D$2:$E$4,2,FALSE))-(IF('Informe Kelly'!H3186=$A$2,'Informe Kelly'!F3186,VLOOKUP(D3192,$D$2:$E$4,2,FALSE)))</f>
        <v>#N/A</v>
      </c>
      <c r="F3192" s="142" t="e">
        <f>IF('Informe Kelly'!H3186=$A$3,'Informe Kelly'!F3186,VLOOKUP(D3192,$D$2:$F$4,3,FALSE))-(VLOOKUP(D3192,$D$2:$F$4,3,FALSE))</f>
        <v>#N/A</v>
      </c>
      <c r="G3192" s="137" t="e">
        <f t="shared" si="53"/>
        <v>#N/A</v>
      </c>
    </row>
    <row r="3193" spans="1:7">
      <c r="A3193" s="112" t="e">
        <f>VLOOKUP('Informe Kelly'!A3187,Base!A:B,2,FALSE)</f>
        <v>#N/A</v>
      </c>
      <c r="B3193" s="112" t="e">
        <f>VLOOKUP('Informe Kelly'!A3187,Base!A:G,7,FALSE)</f>
        <v>#N/A</v>
      </c>
      <c r="C3193" s="112">
        <f>'Informe Kelly'!E3187</f>
        <v>0</v>
      </c>
      <c r="D3193" s="112" t="e">
        <f>VLOOKUP(A3193,Ingreso!K:P,6,FALSE)</f>
        <v>#N/A</v>
      </c>
      <c r="E3193" s="142" t="e">
        <f>(VLOOKUP(D3193,$D$2:$E$4,2,FALSE))-(IF('Informe Kelly'!H3187=$A$2,'Informe Kelly'!F3187,VLOOKUP(D3193,$D$2:$E$4,2,FALSE)))</f>
        <v>#N/A</v>
      </c>
      <c r="F3193" s="142" t="e">
        <f>IF('Informe Kelly'!H3187=$A$3,'Informe Kelly'!F3187,VLOOKUP(D3193,$D$2:$F$4,3,FALSE))-(VLOOKUP(D3193,$D$2:$F$4,3,FALSE))</f>
        <v>#N/A</v>
      </c>
      <c r="G3193" s="137" t="e">
        <f t="shared" si="53"/>
        <v>#N/A</v>
      </c>
    </row>
    <row r="3194" spans="1:7">
      <c r="A3194" s="112" t="e">
        <f>VLOOKUP('Informe Kelly'!A3188,Base!A:B,2,FALSE)</f>
        <v>#N/A</v>
      </c>
      <c r="B3194" s="112" t="e">
        <f>VLOOKUP('Informe Kelly'!A3188,Base!A:G,7,FALSE)</f>
        <v>#N/A</v>
      </c>
      <c r="C3194" s="112">
        <f>'Informe Kelly'!E3188</f>
        <v>0</v>
      </c>
      <c r="D3194" s="112" t="e">
        <f>VLOOKUP(A3194,Ingreso!K:P,6,FALSE)</f>
        <v>#N/A</v>
      </c>
      <c r="E3194" s="142" t="e">
        <f>(VLOOKUP(D3194,$D$2:$E$4,2,FALSE))-(IF('Informe Kelly'!H3188=$A$2,'Informe Kelly'!F3188,VLOOKUP(D3194,$D$2:$E$4,2,FALSE)))</f>
        <v>#N/A</v>
      </c>
      <c r="F3194" s="142" t="e">
        <f>IF('Informe Kelly'!H3188=$A$3,'Informe Kelly'!F3188,VLOOKUP(D3194,$D$2:$F$4,3,FALSE))-(VLOOKUP(D3194,$D$2:$F$4,3,FALSE))</f>
        <v>#N/A</v>
      </c>
      <c r="G3194" s="137" t="e">
        <f t="shared" si="53"/>
        <v>#N/A</v>
      </c>
    </row>
    <row r="3195" spans="1:7">
      <c r="A3195" s="112" t="e">
        <f>VLOOKUP('Informe Kelly'!A3189,Base!A:B,2,FALSE)</f>
        <v>#N/A</v>
      </c>
      <c r="B3195" s="112" t="e">
        <f>VLOOKUP('Informe Kelly'!A3189,Base!A:G,7,FALSE)</f>
        <v>#N/A</v>
      </c>
      <c r="C3195" s="112">
        <f>'Informe Kelly'!E3189</f>
        <v>0</v>
      </c>
      <c r="D3195" s="112" t="e">
        <f>VLOOKUP(A3195,Ingreso!K:P,6,FALSE)</f>
        <v>#N/A</v>
      </c>
      <c r="E3195" s="142" t="e">
        <f>(VLOOKUP(D3195,$D$2:$E$4,2,FALSE))-(IF('Informe Kelly'!H3189=$A$2,'Informe Kelly'!F3189,VLOOKUP(D3195,$D$2:$E$4,2,FALSE)))</f>
        <v>#N/A</v>
      </c>
      <c r="F3195" s="142" t="e">
        <f>IF('Informe Kelly'!H3189=$A$3,'Informe Kelly'!F3189,VLOOKUP(D3195,$D$2:$F$4,3,FALSE))-(VLOOKUP(D3195,$D$2:$F$4,3,FALSE))</f>
        <v>#N/A</v>
      </c>
      <c r="G3195" s="137" t="e">
        <f t="shared" si="53"/>
        <v>#N/A</v>
      </c>
    </row>
    <row r="3196" spans="1:7">
      <c r="A3196" s="112" t="e">
        <f>VLOOKUP('Informe Kelly'!A3190,Base!A:B,2,FALSE)</f>
        <v>#N/A</v>
      </c>
      <c r="B3196" s="112" t="e">
        <f>VLOOKUP('Informe Kelly'!A3190,Base!A:G,7,FALSE)</f>
        <v>#N/A</v>
      </c>
      <c r="C3196" s="112">
        <f>'Informe Kelly'!E3190</f>
        <v>0</v>
      </c>
      <c r="D3196" s="112" t="e">
        <f>VLOOKUP(A3196,Ingreso!K:P,6,FALSE)</f>
        <v>#N/A</v>
      </c>
      <c r="E3196" s="142" t="e">
        <f>(VLOOKUP(D3196,$D$2:$E$4,2,FALSE))-(IF('Informe Kelly'!H3190=$A$2,'Informe Kelly'!F3190,VLOOKUP(D3196,$D$2:$E$4,2,FALSE)))</f>
        <v>#N/A</v>
      </c>
      <c r="F3196" s="142" t="e">
        <f>IF('Informe Kelly'!H3190=$A$3,'Informe Kelly'!F3190,VLOOKUP(D3196,$D$2:$F$4,3,FALSE))-(VLOOKUP(D3196,$D$2:$F$4,3,FALSE))</f>
        <v>#N/A</v>
      </c>
      <c r="G3196" s="137" t="e">
        <f t="shared" si="53"/>
        <v>#N/A</v>
      </c>
    </row>
    <row r="3197" spans="1:7">
      <c r="A3197" s="112" t="e">
        <f>VLOOKUP('Informe Kelly'!A3191,Base!A:B,2,FALSE)</f>
        <v>#N/A</v>
      </c>
      <c r="B3197" s="112" t="e">
        <f>VLOOKUP('Informe Kelly'!A3191,Base!A:G,7,FALSE)</f>
        <v>#N/A</v>
      </c>
      <c r="C3197" s="112">
        <f>'Informe Kelly'!E3191</f>
        <v>0</v>
      </c>
      <c r="D3197" s="112" t="e">
        <f>VLOOKUP(A3197,Ingreso!K:P,6,FALSE)</f>
        <v>#N/A</v>
      </c>
      <c r="E3197" s="142" t="e">
        <f>(VLOOKUP(D3197,$D$2:$E$4,2,FALSE))-(IF('Informe Kelly'!H3191=$A$2,'Informe Kelly'!F3191,VLOOKUP(D3197,$D$2:$E$4,2,FALSE)))</f>
        <v>#N/A</v>
      </c>
      <c r="F3197" s="142" t="e">
        <f>IF('Informe Kelly'!H3191=$A$3,'Informe Kelly'!F3191,VLOOKUP(D3197,$D$2:$F$4,3,FALSE))-(VLOOKUP(D3197,$D$2:$F$4,3,FALSE))</f>
        <v>#N/A</v>
      </c>
      <c r="G3197" s="137" t="e">
        <f t="shared" si="53"/>
        <v>#N/A</v>
      </c>
    </row>
    <row r="3198" spans="1:7">
      <c r="A3198" s="112" t="e">
        <f>VLOOKUP('Informe Kelly'!A3192,Base!A:B,2,FALSE)</f>
        <v>#N/A</v>
      </c>
      <c r="B3198" s="112" t="e">
        <f>VLOOKUP('Informe Kelly'!A3192,Base!A:G,7,FALSE)</f>
        <v>#N/A</v>
      </c>
      <c r="C3198" s="112">
        <f>'Informe Kelly'!E3192</f>
        <v>0</v>
      </c>
      <c r="D3198" s="112" t="e">
        <f>VLOOKUP(A3198,Ingreso!K:P,6,FALSE)</f>
        <v>#N/A</v>
      </c>
      <c r="E3198" s="142" t="e">
        <f>(VLOOKUP(D3198,$D$2:$E$4,2,FALSE))-(IF('Informe Kelly'!H3192=$A$2,'Informe Kelly'!F3192,VLOOKUP(D3198,$D$2:$E$4,2,FALSE)))</f>
        <v>#N/A</v>
      </c>
      <c r="F3198" s="142" t="e">
        <f>IF('Informe Kelly'!H3192=$A$3,'Informe Kelly'!F3192,VLOOKUP(D3198,$D$2:$F$4,3,FALSE))-(VLOOKUP(D3198,$D$2:$F$4,3,FALSE))</f>
        <v>#N/A</v>
      </c>
      <c r="G3198" s="137" t="e">
        <f t="shared" si="53"/>
        <v>#N/A</v>
      </c>
    </row>
    <row r="3199" spans="1:7">
      <c r="A3199" s="112" t="e">
        <f>VLOOKUP('Informe Kelly'!A3193,Base!A:B,2,FALSE)</f>
        <v>#N/A</v>
      </c>
      <c r="B3199" s="112" t="e">
        <f>VLOOKUP('Informe Kelly'!A3193,Base!A:G,7,FALSE)</f>
        <v>#N/A</v>
      </c>
      <c r="C3199" s="112">
        <f>'Informe Kelly'!E3193</f>
        <v>0</v>
      </c>
      <c r="D3199" s="112" t="e">
        <f>VLOOKUP(A3199,Ingreso!K:P,6,FALSE)</f>
        <v>#N/A</v>
      </c>
      <c r="E3199" s="142" t="e">
        <f>(VLOOKUP(D3199,$D$2:$E$4,2,FALSE))-(IF('Informe Kelly'!H3193=$A$2,'Informe Kelly'!F3193,VLOOKUP(D3199,$D$2:$E$4,2,FALSE)))</f>
        <v>#N/A</v>
      </c>
      <c r="F3199" s="142" t="e">
        <f>IF('Informe Kelly'!H3193=$A$3,'Informe Kelly'!F3193,VLOOKUP(D3199,$D$2:$F$4,3,FALSE))-(VLOOKUP(D3199,$D$2:$F$4,3,FALSE))</f>
        <v>#N/A</v>
      </c>
      <c r="G3199" s="137" t="e">
        <f t="shared" si="53"/>
        <v>#N/A</v>
      </c>
    </row>
    <row r="3200" spans="1:7">
      <c r="A3200" s="112" t="e">
        <f>VLOOKUP('Informe Kelly'!A3194,Base!A:B,2,FALSE)</f>
        <v>#N/A</v>
      </c>
      <c r="B3200" s="112" t="e">
        <f>VLOOKUP('Informe Kelly'!A3194,Base!A:G,7,FALSE)</f>
        <v>#N/A</v>
      </c>
      <c r="C3200" s="112">
        <f>'Informe Kelly'!E3194</f>
        <v>0</v>
      </c>
      <c r="D3200" s="112" t="e">
        <f>VLOOKUP(A3200,Ingreso!K:P,6,FALSE)</f>
        <v>#N/A</v>
      </c>
      <c r="E3200" s="142" t="e">
        <f>(VLOOKUP(D3200,$D$2:$E$4,2,FALSE))-(IF('Informe Kelly'!H3194=$A$2,'Informe Kelly'!F3194,VLOOKUP(D3200,$D$2:$E$4,2,FALSE)))</f>
        <v>#N/A</v>
      </c>
      <c r="F3200" s="142" t="e">
        <f>IF('Informe Kelly'!H3194=$A$3,'Informe Kelly'!F3194,VLOOKUP(D3200,$D$2:$F$4,3,FALSE))-(VLOOKUP(D3200,$D$2:$F$4,3,FALSE))</f>
        <v>#N/A</v>
      </c>
      <c r="G3200" s="137" t="e">
        <f t="shared" si="53"/>
        <v>#N/A</v>
      </c>
    </row>
    <row r="3201" spans="1:7">
      <c r="A3201" s="112" t="e">
        <f>VLOOKUP('Informe Kelly'!A3195,Base!A:B,2,FALSE)</f>
        <v>#N/A</v>
      </c>
      <c r="B3201" s="112" t="e">
        <f>VLOOKUP('Informe Kelly'!A3195,Base!A:G,7,FALSE)</f>
        <v>#N/A</v>
      </c>
      <c r="C3201" s="112">
        <f>'Informe Kelly'!E3195</f>
        <v>0</v>
      </c>
      <c r="D3201" s="112" t="e">
        <f>VLOOKUP(A3201,Ingreso!K:P,6,FALSE)</f>
        <v>#N/A</v>
      </c>
      <c r="E3201" s="142" t="e">
        <f>(VLOOKUP(D3201,$D$2:$E$4,2,FALSE))-(IF('Informe Kelly'!H3195=$A$2,'Informe Kelly'!F3195,VLOOKUP(D3201,$D$2:$E$4,2,FALSE)))</f>
        <v>#N/A</v>
      </c>
      <c r="F3201" s="142" t="e">
        <f>IF('Informe Kelly'!H3195=$A$3,'Informe Kelly'!F3195,VLOOKUP(D3201,$D$2:$F$4,3,FALSE))-(VLOOKUP(D3201,$D$2:$F$4,3,FALSE))</f>
        <v>#N/A</v>
      </c>
      <c r="G3201" s="137" t="e">
        <f t="shared" si="53"/>
        <v>#N/A</v>
      </c>
    </row>
    <row r="3202" spans="1:7">
      <c r="A3202" s="112" t="e">
        <f>VLOOKUP('Informe Kelly'!A3196,Base!A:B,2,FALSE)</f>
        <v>#N/A</v>
      </c>
      <c r="B3202" s="112" t="e">
        <f>VLOOKUP('Informe Kelly'!A3196,Base!A:G,7,FALSE)</f>
        <v>#N/A</v>
      </c>
      <c r="C3202" s="112">
        <f>'Informe Kelly'!E3196</f>
        <v>0</v>
      </c>
      <c r="D3202" s="112" t="e">
        <f>VLOOKUP(A3202,Ingreso!K:P,6,FALSE)</f>
        <v>#N/A</v>
      </c>
      <c r="E3202" s="142" t="e">
        <f>(VLOOKUP(D3202,$D$2:$E$4,2,FALSE))-(IF('Informe Kelly'!H3196=$A$2,'Informe Kelly'!F3196,VLOOKUP(D3202,$D$2:$E$4,2,FALSE)))</f>
        <v>#N/A</v>
      </c>
      <c r="F3202" s="142" t="e">
        <f>IF('Informe Kelly'!H3196=$A$3,'Informe Kelly'!F3196,VLOOKUP(D3202,$D$2:$F$4,3,FALSE))-(VLOOKUP(D3202,$D$2:$F$4,3,FALSE))</f>
        <v>#N/A</v>
      </c>
      <c r="G3202" s="137" t="e">
        <f t="shared" si="53"/>
        <v>#N/A</v>
      </c>
    </row>
    <row r="3203" spans="1:7">
      <c r="A3203" s="112" t="e">
        <f>VLOOKUP('Informe Kelly'!A3197,Base!A:B,2,FALSE)</f>
        <v>#N/A</v>
      </c>
      <c r="B3203" s="112" t="e">
        <f>VLOOKUP('Informe Kelly'!A3197,Base!A:G,7,FALSE)</f>
        <v>#N/A</v>
      </c>
      <c r="C3203" s="112">
        <f>'Informe Kelly'!E3197</f>
        <v>0</v>
      </c>
      <c r="D3203" s="112" t="e">
        <f>VLOOKUP(A3203,Ingreso!K:P,6,FALSE)</f>
        <v>#N/A</v>
      </c>
      <c r="E3203" s="142" t="e">
        <f>(VLOOKUP(D3203,$D$2:$E$4,2,FALSE))-(IF('Informe Kelly'!H3197=$A$2,'Informe Kelly'!F3197,VLOOKUP(D3203,$D$2:$E$4,2,FALSE)))</f>
        <v>#N/A</v>
      </c>
      <c r="F3203" s="142" t="e">
        <f>IF('Informe Kelly'!H3197=$A$3,'Informe Kelly'!F3197,VLOOKUP(D3203,$D$2:$F$4,3,FALSE))-(VLOOKUP(D3203,$D$2:$F$4,3,FALSE))</f>
        <v>#N/A</v>
      </c>
      <c r="G3203" s="137" t="e">
        <f t="shared" si="53"/>
        <v>#N/A</v>
      </c>
    </row>
    <row r="3204" spans="1:7">
      <c r="A3204" s="112" t="e">
        <f>VLOOKUP('Informe Kelly'!A3198,Base!A:B,2,FALSE)</f>
        <v>#N/A</v>
      </c>
      <c r="B3204" s="112" t="e">
        <f>VLOOKUP('Informe Kelly'!A3198,Base!A:G,7,FALSE)</f>
        <v>#N/A</v>
      </c>
      <c r="C3204" s="112">
        <f>'Informe Kelly'!E3198</f>
        <v>0</v>
      </c>
      <c r="D3204" s="112" t="e">
        <f>VLOOKUP(A3204,Ingreso!K:P,6,FALSE)</f>
        <v>#N/A</v>
      </c>
      <c r="E3204" s="142" t="e">
        <f>(VLOOKUP(D3204,$D$2:$E$4,2,FALSE))-(IF('Informe Kelly'!H3198=$A$2,'Informe Kelly'!F3198,VLOOKUP(D3204,$D$2:$E$4,2,FALSE)))</f>
        <v>#N/A</v>
      </c>
      <c r="F3204" s="142" t="e">
        <f>IF('Informe Kelly'!H3198=$A$3,'Informe Kelly'!F3198,VLOOKUP(D3204,$D$2:$F$4,3,FALSE))-(VLOOKUP(D3204,$D$2:$F$4,3,FALSE))</f>
        <v>#N/A</v>
      </c>
      <c r="G3204" s="137" t="e">
        <f t="shared" si="53"/>
        <v>#N/A</v>
      </c>
    </row>
    <row r="3205" spans="1:7">
      <c r="A3205" s="112" t="e">
        <f>VLOOKUP('Informe Kelly'!A3199,Base!A:B,2,FALSE)</f>
        <v>#N/A</v>
      </c>
      <c r="B3205" s="112" t="e">
        <f>VLOOKUP('Informe Kelly'!A3199,Base!A:G,7,FALSE)</f>
        <v>#N/A</v>
      </c>
      <c r="C3205" s="112">
        <f>'Informe Kelly'!E3199</f>
        <v>0</v>
      </c>
      <c r="D3205" s="112" t="e">
        <f>VLOOKUP(A3205,Ingreso!K:P,6,FALSE)</f>
        <v>#N/A</v>
      </c>
      <c r="E3205" s="142" t="e">
        <f>(VLOOKUP(D3205,$D$2:$E$4,2,FALSE))-(IF('Informe Kelly'!H3199=$A$2,'Informe Kelly'!F3199,VLOOKUP(D3205,$D$2:$E$4,2,FALSE)))</f>
        <v>#N/A</v>
      </c>
      <c r="F3205" s="142" t="e">
        <f>IF('Informe Kelly'!H3199=$A$3,'Informe Kelly'!F3199,VLOOKUP(D3205,$D$2:$F$4,3,FALSE))-(VLOOKUP(D3205,$D$2:$F$4,3,FALSE))</f>
        <v>#N/A</v>
      </c>
      <c r="G3205" s="137" t="e">
        <f t="shared" si="53"/>
        <v>#N/A</v>
      </c>
    </row>
    <row r="3206" spans="1:7">
      <c r="A3206" s="112" t="e">
        <f>VLOOKUP('Informe Kelly'!A3200,Base!A:B,2,FALSE)</f>
        <v>#N/A</v>
      </c>
      <c r="B3206" s="112" t="e">
        <f>VLOOKUP('Informe Kelly'!A3200,Base!A:G,7,FALSE)</f>
        <v>#N/A</v>
      </c>
      <c r="C3206" s="112">
        <f>'Informe Kelly'!E3200</f>
        <v>0</v>
      </c>
      <c r="D3206" s="112" t="e">
        <f>VLOOKUP(A3206,Ingreso!K:P,6,FALSE)</f>
        <v>#N/A</v>
      </c>
      <c r="E3206" s="142" t="e">
        <f>(VLOOKUP(D3206,$D$2:$E$4,2,FALSE))-(IF('Informe Kelly'!H3200=$A$2,'Informe Kelly'!F3200,VLOOKUP(D3206,$D$2:$E$4,2,FALSE)))</f>
        <v>#N/A</v>
      </c>
      <c r="F3206" s="142" t="e">
        <f>IF('Informe Kelly'!H3200=$A$3,'Informe Kelly'!F3200,VLOOKUP(D3206,$D$2:$F$4,3,FALSE))-(VLOOKUP(D3206,$D$2:$F$4,3,FALSE))</f>
        <v>#N/A</v>
      </c>
      <c r="G3206" s="137" t="e">
        <f t="shared" si="53"/>
        <v>#N/A</v>
      </c>
    </row>
    <row r="3207" spans="1:7">
      <c r="A3207" s="112" t="e">
        <f>VLOOKUP('Informe Kelly'!A3201,Base!A:B,2,FALSE)</f>
        <v>#N/A</v>
      </c>
      <c r="B3207" s="112" t="e">
        <f>VLOOKUP('Informe Kelly'!A3201,Base!A:G,7,FALSE)</f>
        <v>#N/A</v>
      </c>
      <c r="C3207" s="112">
        <f>'Informe Kelly'!E3201</f>
        <v>0</v>
      </c>
      <c r="D3207" s="112" t="e">
        <f>VLOOKUP(A3207,Ingreso!K:P,6,FALSE)</f>
        <v>#N/A</v>
      </c>
      <c r="E3207" s="142" t="e">
        <f>(VLOOKUP(D3207,$D$2:$E$4,2,FALSE))-(IF('Informe Kelly'!H3201=$A$2,'Informe Kelly'!F3201,VLOOKUP(D3207,$D$2:$E$4,2,FALSE)))</f>
        <v>#N/A</v>
      </c>
      <c r="F3207" s="142" t="e">
        <f>IF('Informe Kelly'!H3201=$A$3,'Informe Kelly'!F3201,VLOOKUP(D3207,$D$2:$F$4,3,FALSE))-(VLOOKUP(D3207,$D$2:$F$4,3,FALSE))</f>
        <v>#N/A</v>
      </c>
      <c r="G3207" s="137" t="e">
        <f t="shared" si="53"/>
        <v>#N/A</v>
      </c>
    </row>
    <row r="3208" spans="1:7">
      <c r="A3208" s="112" t="e">
        <f>VLOOKUP('Informe Kelly'!A3202,Base!A:B,2,FALSE)</f>
        <v>#N/A</v>
      </c>
      <c r="B3208" s="112" t="e">
        <f>VLOOKUP('Informe Kelly'!A3202,Base!A:G,7,FALSE)</f>
        <v>#N/A</v>
      </c>
      <c r="C3208" s="112">
        <f>'Informe Kelly'!E3202</f>
        <v>0</v>
      </c>
      <c r="D3208" s="112" t="e">
        <f>VLOOKUP(A3208,Ingreso!K:P,6,FALSE)</f>
        <v>#N/A</v>
      </c>
      <c r="E3208" s="142" t="e">
        <f>(VLOOKUP(D3208,$D$2:$E$4,2,FALSE))-(IF('Informe Kelly'!H3202=$A$2,'Informe Kelly'!F3202,VLOOKUP(D3208,$D$2:$E$4,2,FALSE)))</f>
        <v>#N/A</v>
      </c>
      <c r="F3208" s="142" t="e">
        <f>IF('Informe Kelly'!H3202=$A$3,'Informe Kelly'!F3202,VLOOKUP(D3208,$D$2:$F$4,3,FALSE))-(VLOOKUP(D3208,$D$2:$F$4,3,FALSE))</f>
        <v>#N/A</v>
      </c>
      <c r="G3208" s="137" t="e">
        <f t="shared" si="53"/>
        <v>#N/A</v>
      </c>
    </row>
    <row r="3209" spans="1:7">
      <c r="A3209" s="112" t="e">
        <f>VLOOKUP('Informe Kelly'!A3203,Base!A:B,2,FALSE)</f>
        <v>#N/A</v>
      </c>
      <c r="B3209" s="112" t="e">
        <f>VLOOKUP('Informe Kelly'!A3203,Base!A:G,7,FALSE)</f>
        <v>#N/A</v>
      </c>
      <c r="C3209" s="112">
        <f>'Informe Kelly'!E3203</f>
        <v>0</v>
      </c>
      <c r="D3209" s="112" t="e">
        <f>VLOOKUP(A3209,Ingreso!K:P,6,FALSE)</f>
        <v>#N/A</v>
      </c>
      <c r="E3209" s="142" t="e">
        <f>(VLOOKUP(D3209,$D$2:$E$4,2,FALSE))-(IF('Informe Kelly'!H3203=$A$2,'Informe Kelly'!F3203,VLOOKUP(D3209,$D$2:$E$4,2,FALSE)))</f>
        <v>#N/A</v>
      </c>
      <c r="F3209" s="142" t="e">
        <f>IF('Informe Kelly'!H3203=$A$3,'Informe Kelly'!F3203,VLOOKUP(D3209,$D$2:$F$4,3,FALSE))-(VLOOKUP(D3209,$D$2:$F$4,3,FALSE))</f>
        <v>#N/A</v>
      </c>
      <c r="G3209" s="137" t="e">
        <f t="shared" ref="G3209:G3272" si="54">IF(E3209="",IF(F3209&lt;0.0409722222222222,0,E3209),IF(E3209&lt;0.0409722222222222,0,E3209))</f>
        <v>#N/A</v>
      </c>
    </row>
    <row r="3210" spans="1:7">
      <c r="A3210" s="112" t="e">
        <f>VLOOKUP('Informe Kelly'!A3204,Base!A:B,2,FALSE)</f>
        <v>#N/A</v>
      </c>
      <c r="B3210" s="112" t="e">
        <f>VLOOKUP('Informe Kelly'!A3204,Base!A:G,7,FALSE)</f>
        <v>#N/A</v>
      </c>
      <c r="C3210" s="112">
        <f>'Informe Kelly'!E3204</f>
        <v>0</v>
      </c>
      <c r="D3210" s="112" t="e">
        <f>VLOOKUP(A3210,Ingreso!K:P,6,FALSE)</f>
        <v>#N/A</v>
      </c>
      <c r="E3210" s="142" t="e">
        <f>(VLOOKUP(D3210,$D$2:$E$4,2,FALSE))-(IF('Informe Kelly'!H3204=$A$2,'Informe Kelly'!F3204,VLOOKUP(D3210,$D$2:$E$4,2,FALSE)))</f>
        <v>#N/A</v>
      </c>
      <c r="F3210" s="142" t="e">
        <f>IF('Informe Kelly'!H3204=$A$3,'Informe Kelly'!F3204,VLOOKUP(D3210,$D$2:$F$4,3,FALSE))-(VLOOKUP(D3210,$D$2:$F$4,3,FALSE))</f>
        <v>#N/A</v>
      </c>
      <c r="G3210" s="137" t="e">
        <f t="shared" si="54"/>
        <v>#N/A</v>
      </c>
    </row>
    <row r="3211" spans="1:7">
      <c r="A3211" s="112" t="e">
        <f>VLOOKUP('Informe Kelly'!A3205,Base!A:B,2,FALSE)</f>
        <v>#N/A</v>
      </c>
      <c r="B3211" s="112" t="e">
        <f>VLOOKUP('Informe Kelly'!A3205,Base!A:G,7,FALSE)</f>
        <v>#N/A</v>
      </c>
      <c r="C3211" s="112">
        <f>'Informe Kelly'!E3205</f>
        <v>0</v>
      </c>
      <c r="D3211" s="112" t="e">
        <f>VLOOKUP(A3211,Ingreso!K:P,6,FALSE)</f>
        <v>#N/A</v>
      </c>
      <c r="E3211" s="142" t="e">
        <f>(VLOOKUP(D3211,$D$2:$E$4,2,FALSE))-(IF('Informe Kelly'!H3205=$A$2,'Informe Kelly'!F3205,VLOOKUP(D3211,$D$2:$E$4,2,FALSE)))</f>
        <v>#N/A</v>
      </c>
      <c r="F3211" s="142" t="e">
        <f>IF('Informe Kelly'!H3205=$A$3,'Informe Kelly'!F3205,VLOOKUP(D3211,$D$2:$F$4,3,FALSE))-(VLOOKUP(D3211,$D$2:$F$4,3,FALSE))</f>
        <v>#N/A</v>
      </c>
      <c r="G3211" s="137" t="e">
        <f t="shared" si="54"/>
        <v>#N/A</v>
      </c>
    </row>
    <row r="3212" spans="1:7">
      <c r="A3212" s="112" t="e">
        <f>VLOOKUP('Informe Kelly'!A3206,Base!A:B,2,FALSE)</f>
        <v>#N/A</v>
      </c>
      <c r="B3212" s="112" t="e">
        <f>VLOOKUP('Informe Kelly'!A3206,Base!A:G,7,FALSE)</f>
        <v>#N/A</v>
      </c>
      <c r="C3212" s="112">
        <f>'Informe Kelly'!E3206</f>
        <v>0</v>
      </c>
      <c r="D3212" s="112" t="e">
        <f>VLOOKUP(A3212,Ingreso!K:P,6,FALSE)</f>
        <v>#N/A</v>
      </c>
      <c r="E3212" s="142" t="e">
        <f>(VLOOKUP(D3212,$D$2:$E$4,2,FALSE))-(IF('Informe Kelly'!H3206=$A$2,'Informe Kelly'!F3206,VLOOKUP(D3212,$D$2:$E$4,2,FALSE)))</f>
        <v>#N/A</v>
      </c>
      <c r="F3212" s="142" t="e">
        <f>IF('Informe Kelly'!H3206=$A$3,'Informe Kelly'!F3206,VLOOKUP(D3212,$D$2:$F$4,3,FALSE))-(VLOOKUP(D3212,$D$2:$F$4,3,FALSE))</f>
        <v>#N/A</v>
      </c>
      <c r="G3212" s="137" t="e">
        <f t="shared" si="54"/>
        <v>#N/A</v>
      </c>
    </row>
    <row r="3213" spans="1:7">
      <c r="A3213" s="112" t="e">
        <f>VLOOKUP('Informe Kelly'!A3207,Base!A:B,2,FALSE)</f>
        <v>#N/A</v>
      </c>
      <c r="B3213" s="112" t="e">
        <f>VLOOKUP('Informe Kelly'!A3207,Base!A:G,7,FALSE)</f>
        <v>#N/A</v>
      </c>
      <c r="C3213" s="112">
        <f>'Informe Kelly'!E3207</f>
        <v>0</v>
      </c>
      <c r="D3213" s="112" t="e">
        <f>VLOOKUP(A3213,Ingreso!K:P,6,FALSE)</f>
        <v>#N/A</v>
      </c>
      <c r="E3213" s="142" t="e">
        <f>(VLOOKUP(D3213,$D$2:$E$4,2,FALSE))-(IF('Informe Kelly'!H3207=$A$2,'Informe Kelly'!F3207,VLOOKUP(D3213,$D$2:$E$4,2,FALSE)))</f>
        <v>#N/A</v>
      </c>
      <c r="F3213" s="142" t="e">
        <f>IF('Informe Kelly'!H3207=$A$3,'Informe Kelly'!F3207,VLOOKUP(D3213,$D$2:$F$4,3,FALSE))-(VLOOKUP(D3213,$D$2:$F$4,3,FALSE))</f>
        <v>#N/A</v>
      </c>
      <c r="G3213" s="137" t="e">
        <f t="shared" si="54"/>
        <v>#N/A</v>
      </c>
    </row>
    <row r="3214" spans="1:7">
      <c r="A3214" s="112" t="e">
        <f>VLOOKUP('Informe Kelly'!A3208,Base!A:B,2,FALSE)</f>
        <v>#N/A</v>
      </c>
      <c r="B3214" s="112" t="e">
        <f>VLOOKUP('Informe Kelly'!A3208,Base!A:G,7,FALSE)</f>
        <v>#N/A</v>
      </c>
      <c r="C3214" s="112">
        <f>'Informe Kelly'!E3208</f>
        <v>0</v>
      </c>
      <c r="D3214" s="112" t="e">
        <f>VLOOKUP(A3214,Ingreso!K:P,6,FALSE)</f>
        <v>#N/A</v>
      </c>
      <c r="E3214" s="142" t="e">
        <f>(VLOOKUP(D3214,$D$2:$E$4,2,FALSE))-(IF('Informe Kelly'!H3208=$A$2,'Informe Kelly'!F3208,VLOOKUP(D3214,$D$2:$E$4,2,FALSE)))</f>
        <v>#N/A</v>
      </c>
      <c r="F3214" s="142" t="e">
        <f>IF('Informe Kelly'!H3208=$A$3,'Informe Kelly'!F3208,VLOOKUP(D3214,$D$2:$F$4,3,FALSE))-(VLOOKUP(D3214,$D$2:$F$4,3,FALSE))</f>
        <v>#N/A</v>
      </c>
      <c r="G3214" s="137" t="e">
        <f t="shared" si="54"/>
        <v>#N/A</v>
      </c>
    </row>
    <row r="3215" spans="1:7">
      <c r="A3215" s="112" t="e">
        <f>VLOOKUP('Informe Kelly'!A3209,Base!A:B,2,FALSE)</f>
        <v>#N/A</v>
      </c>
      <c r="B3215" s="112" t="e">
        <f>VLOOKUP('Informe Kelly'!A3209,Base!A:G,7,FALSE)</f>
        <v>#N/A</v>
      </c>
      <c r="C3215" s="112">
        <f>'Informe Kelly'!E3209</f>
        <v>0</v>
      </c>
      <c r="D3215" s="112" t="e">
        <f>VLOOKUP(A3215,Ingreso!K:P,6,FALSE)</f>
        <v>#N/A</v>
      </c>
      <c r="E3215" s="142" t="e">
        <f>(VLOOKUP(D3215,$D$2:$E$4,2,FALSE))-(IF('Informe Kelly'!H3209=$A$2,'Informe Kelly'!F3209,VLOOKUP(D3215,$D$2:$E$4,2,FALSE)))</f>
        <v>#N/A</v>
      </c>
      <c r="F3215" s="142" t="e">
        <f>IF('Informe Kelly'!H3209=$A$3,'Informe Kelly'!F3209,VLOOKUP(D3215,$D$2:$F$4,3,FALSE))-(VLOOKUP(D3215,$D$2:$F$4,3,FALSE))</f>
        <v>#N/A</v>
      </c>
      <c r="G3215" s="137" t="e">
        <f t="shared" si="54"/>
        <v>#N/A</v>
      </c>
    </row>
    <row r="3216" spans="1:7">
      <c r="A3216" s="112" t="e">
        <f>VLOOKUP('Informe Kelly'!A3210,Base!A:B,2,FALSE)</f>
        <v>#N/A</v>
      </c>
      <c r="B3216" s="112" t="e">
        <f>VLOOKUP('Informe Kelly'!A3210,Base!A:G,7,FALSE)</f>
        <v>#N/A</v>
      </c>
      <c r="C3216" s="112">
        <f>'Informe Kelly'!E3210</f>
        <v>0</v>
      </c>
      <c r="D3216" s="112" t="e">
        <f>VLOOKUP(A3216,Ingreso!K:P,6,FALSE)</f>
        <v>#N/A</v>
      </c>
      <c r="E3216" s="142" t="e">
        <f>(VLOOKUP(D3216,$D$2:$E$4,2,FALSE))-(IF('Informe Kelly'!H3210=$A$2,'Informe Kelly'!F3210,VLOOKUP(D3216,$D$2:$E$4,2,FALSE)))</f>
        <v>#N/A</v>
      </c>
      <c r="F3216" s="142" t="e">
        <f>IF('Informe Kelly'!H3210=$A$3,'Informe Kelly'!F3210,VLOOKUP(D3216,$D$2:$F$4,3,FALSE))-(VLOOKUP(D3216,$D$2:$F$4,3,FALSE))</f>
        <v>#N/A</v>
      </c>
      <c r="G3216" s="137" t="e">
        <f t="shared" si="54"/>
        <v>#N/A</v>
      </c>
    </row>
    <row r="3217" spans="1:7">
      <c r="A3217" s="112" t="e">
        <f>VLOOKUP('Informe Kelly'!A3211,Base!A:B,2,FALSE)</f>
        <v>#N/A</v>
      </c>
      <c r="B3217" s="112" t="e">
        <f>VLOOKUP('Informe Kelly'!A3211,Base!A:G,7,FALSE)</f>
        <v>#N/A</v>
      </c>
      <c r="C3217" s="112">
        <f>'Informe Kelly'!E3211</f>
        <v>0</v>
      </c>
      <c r="D3217" s="112" t="e">
        <f>VLOOKUP(A3217,Ingreso!K:P,6,FALSE)</f>
        <v>#N/A</v>
      </c>
      <c r="E3217" s="142" t="e">
        <f>(VLOOKUP(D3217,$D$2:$E$4,2,FALSE))-(IF('Informe Kelly'!H3211=$A$2,'Informe Kelly'!F3211,VLOOKUP(D3217,$D$2:$E$4,2,FALSE)))</f>
        <v>#N/A</v>
      </c>
      <c r="F3217" s="142" t="e">
        <f>IF('Informe Kelly'!H3211=$A$3,'Informe Kelly'!F3211,VLOOKUP(D3217,$D$2:$F$4,3,FALSE))-(VLOOKUP(D3217,$D$2:$F$4,3,FALSE))</f>
        <v>#N/A</v>
      </c>
      <c r="G3217" s="137" t="e">
        <f t="shared" si="54"/>
        <v>#N/A</v>
      </c>
    </row>
    <row r="3218" spans="1:7">
      <c r="A3218" s="112" t="e">
        <f>VLOOKUP('Informe Kelly'!A3212,Base!A:B,2,FALSE)</f>
        <v>#N/A</v>
      </c>
      <c r="B3218" s="112" t="e">
        <f>VLOOKUP('Informe Kelly'!A3212,Base!A:G,7,FALSE)</f>
        <v>#N/A</v>
      </c>
      <c r="C3218" s="112">
        <f>'Informe Kelly'!E3212</f>
        <v>0</v>
      </c>
      <c r="D3218" s="112" t="e">
        <f>VLOOKUP(A3218,Ingreso!K:P,6,FALSE)</f>
        <v>#N/A</v>
      </c>
      <c r="E3218" s="142" t="e">
        <f>(VLOOKUP(D3218,$D$2:$E$4,2,FALSE))-(IF('Informe Kelly'!H3212=$A$2,'Informe Kelly'!F3212,VLOOKUP(D3218,$D$2:$E$4,2,FALSE)))</f>
        <v>#N/A</v>
      </c>
      <c r="F3218" s="142" t="e">
        <f>IF('Informe Kelly'!H3212=$A$3,'Informe Kelly'!F3212,VLOOKUP(D3218,$D$2:$F$4,3,FALSE))-(VLOOKUP(D3218,$D$2:$F$4,3,FALSE))</f>
        <v>#N/A</v>
      </c>
      <c r="G3218" s="137" t="e">
        <f t="shared" si="54"/>
        <v>#N/A</v>
      </c>
    </row>
    <row r="3219" spans="1:7">
      <c r="A3219" s="112" t="e">
        <f>VLOOKUP('Informe Kelly'!A3213,Base!A:B,2,FALSE)</f>
        <v>#N/A</v>
      </c>
      <c r="B3219" s="112" t="e">
        <f>VLOOKUP('Informe Kelly'!A3213,Base!A:G,7,FALSE)</f>
        <v>#N/A</v>
      </c>
      <c r="C3219" s="112">
        <f>'Informe Kelly'!E3213</f>
        <v>0</v>
      </c>
      <c r="D3219" s="112" t="e">
        <f>VLOOKUP(A3219,Ingreso!K:P,6,FALSE)</f>
        <v>#N/A</v>
      </c>
      <c r="E3219" s="142" t="e">
        <f>(VLOOKUP(D3219,$D$2:$E$4,2,FALSE))-(IF('Informe Kelly'!H3213=$A$2,'Informe Kelly'!F3213,VLOOKUP(D3219,$D$2:$E$4,2,FALSE)))</f>
        <v>#N/A</v>
      </c>
      <c r="F3219" s="142" t="e">
        <f>IF('Informe Kelly'!H3213=$A$3,'Informe Kelly'!F3213,VLOOKUP(D3219,$D$2:$F$4,3,FALSE))-(VLOOKUP(D3219,$D$2:$F$4,3,FALSE))</f>
        <v>#N/A</v>
      </c>
      <c r="G3219" s="137" t="e">
        <f t="shared" si="54"/>
        <v>#N/A</v>
      </c>
    </row>
    <row r="3220" spans="1:7">
      <c r="A3220" s="112" t="e">
        <f>VLOOKUP('Informe Kelly'!A3214,Base!A:B,2,FALSE)</f>
        <v>#N/A</v>
      </c>
      <c r="B3220" s="112" t="e">
        <f>VLOOKUP('Informe Kelly'!A3214,Base!A:G,7,FALSE)</f>
        <v>#N/A</v>
      </c>
      <c r="C3220" s="112">
        <f>'Informe Kelly'!E3214</f>
        <v>0</v>
      </c>
      <c r="D3220" s="112" t="e">
        <f>VLOOKUP(A3220,Ingreso!K:P,6,FALSE)</f>
        <v>#N/A</v>
      </c>
      <c r="E3220" s="142" t="e">
        <f>(VLOOKUP(D3220,$D$2:$E$4,2,FALSE))-(IF('Informe Kelly'!H3214=$A$2,'Informe Kelly'!F3214,VLOOKUP(D3220,$D$2:$E$4,2,FALSE)))</f>
        <v>#N/A</v>
      </c>
      <c r="F3220" s="142" t="e">
        <f>IF('Informe Kelly'!H3214=$A$3,'Informe Kelly'!F3214,VLOOKUP(D3220,$D$2:$F$4,3,FALSE))-(VLOOKUP(D3220,$D$2:$F$4,3,FALSE))</f>
        <v>#N/A</v>
      </c>
      <c r="G3220" s="137" t="e">
        <f t="shared" si="54"/>
        <v>#N/A</v>
      </c>
    </row>
    <row r="3221" spans="1:7">
      <c r="A3221" s="112" t="e">
        <f>VLOOKUP('Informe Kelly'!A3215,Base!A:B,2,FALSE)</f>
        <v>#N/A</v>
      </c>
      <c r="B3221" s="112" t="e">
        <f>VLOOKUP('Informe Kelly'!A3215,Base!A:G,7,FALSE)</f>
        <v>#N/A</v>
      </c>
      <c r="C3221" s="112">
        <f>'Informe Kelly'!E3215</f>
        <v>0</v>
      </c>
      <c r="D3221" s="112" t="e">
        <f>VLOOKUP(A3221,Ingreso!K:P,6,FALSE)</f>
        <v>#N/A</v>
      </c>
      <c r="E3221" s="142" t="e">
        <f>(VLOOKUP(D3221,$D$2:$E$4,2,FALSE))-(IF('Informe Kelly'!H3215=$A$2,'Informe Kelly'!F3215,VLOOKUP(D3221,$D$2:$E$4,2,FALSE)))</f>
        <v>#N/A</v>
      </c>
      <c r="F3221" s="142" t="e">
        <f>IF('Informe Kelly'!H3215=$A$3,'Informe Kelly'!F3215,VLOOKUP(D3221,$D$2:$F$4,3,FALSE))-(VLOOKUP(D3221,$D$2:$F$4,3,FALSE))</f>
        <v>#N/A</v>
      </c>
      <c r="G3221" s="137" t="e">
        <f t="shared" si="54"/>
        <v>#N/A</v>
      </c>
    </row>
    <row r="3222" spans="1:7">
      <c r="A3222" s="112" t="e">
        <f>VLOOKUP('Informe Kelly'!A3216,Base!A:B,2,FALSE)</f>
        <v>#N/A</v>
      </c>
      <c r="B3222" s="112" t="e">
        <f>VLOOKUP('Informe Kelly'!A3216,Base!A:G,7,FALSE)</f>
        <v>#N/A</v>
      </c>
      <c r="C3222" s="112">
        <f>'Informe Kelly'!E3216</f>
        <v>0</v>
      </c>
      <c r="D3222" s="112" t="e">
        <f>VLOOKUP(A3222,Ingreso!K:P,6,FALSE)</f>
        <v>#N/A</v>
      </c>
      <c r="E3222" s="142" t="e">
        <f>(VLOOKUP(D3222,$D$2:$E$4,2,FALSE))-(IF('Informe Kelly'!H3216=$A$2,'Informe Kelly'!F3216,VLOOKUP(D3222,$D$2:$E$4,2,FALSE)))</f>
        <v>#N/A</v>
      </c>
      <c r="F3222" s="142" t="e">
        <f>IF('Informe Kelly'!H3216=$A$3,'Informe Kelly'!F3216,VLOOKUP(D3222,$D$2:$F$4,3,FALSE))-(VLOOKUP(D3222,$D$2:$F$4,3,FALSE))</f>
        <v>#N/A</v>
      </c>
      <c r="G3222" s="137" t="e">
        <f t="shared" si="54"/>
        <v>#N/A</v>
      </c>
    </row>
    <row r="3223" spans="1:7">
      <c r="A3223" s="112" t="e">
        <f>VLOOKUP('Informe Kelly'!A3217,Base!A:B,2,FALSE)</f>
        <v>#N/A</v>
      </c>
      <c r="B3223" s="112" t="e">
        <f>VLOOKUP('Informe Kelly'!A3217,Base!A:G,7,FALSE)</f>
        <v>#N/A</v>
      </c>
      <c r="C3223" s="112">
        <f>'Informe Kelly'!E3217</f>
        <v>0</v>
      </c>
      <c r="D3223" s="112" t="e">
        <f>VLOOKUP(A3223,Ingreso!K:P,6,FALSE)</f>
        <v>#N/A</v>
      </c>
      <c r="E3223" s="142" t="e">
        <f>(VLOOKUP(D3223,$D$2:$E$4,2,FALSE))-(IF('Informe Kelly'!H3217=$A$2,'Informe Kelly'!F3217,VLOOKUP(D3223,$D$2:$E$4,2,FALSE)))</f>
        <v>#N/A</v>
      </c>
      <c r="F3223" s="142" t="e">
        <f>IF('Informe Kelly'!H3217=$A$3,'Informe Kelly'!F3217,VLOOKUP(D3223,$D$2:$F$4,3,FALSE))-(VLOOKUP(D3223,$D$2:$F$4,3,FALSE))</f>
        <v>#N/A</v>
      </c>
      <c r="G3223" s="137" t="e">
        <f t="shared" si="54"/>
        <v>#N/A</v>
      </c>
    </row>
    <row r="3224" spans="1:7">
      <c r="A3224" s="112" t="e">
        <f>VLOOKUP('Informe Kelly'!A3218,Base!A:B,2,FALSE)</f>
        <v>#N/A</v>
      </c>
      <c r="B3224" s="112" t="e">
        <f>VLOOKUP('Informe Kelly'!A3218,Base!A:G,7,FALSE)</f>
        <v>#N/A</v>
      </c>
      <c r="C3224" s="112">
        <f>'Informe Kelly'!E3218</f>
        <v>0</v>
      </c>
      <c r="D3224" s="112" t="e">
        <f>VLOOKUP(A3224,Ingreso!K:P,6,FALSE)</f>
        <v>#N/A</v>
      </c>
      <c r="E3224" s="142" t="e">
        <f>(VLOOKUP(D3224,$D$2:$E$4,2,FALSE))-(IF('Informe Kelly'!H3218=$A$2,'Informe Kelly'!F3218,VLOOKUP(D3224,$D$2:$E$4,2,FALSE)))</f>
        <v>#N/A</v>
      </c>
      <c r="F3224" s="142" t="e">
        <f>IF('Informe Kelly'!H3218=$A$3,'Informe Kelly'!F3218,VLOOKUP(D3224,$D$2:$F$4,3,FALSE))-(VLOOKUP(D3224,$D$2:$F$4,3,FALSE))</f>
        <v>#N/A</v>
      </c>
      <c r="G3224" s="137" t="e">
        <f t="shared" si="54"/>
        <v>#N/A</v>
      </c>
    </row>
    <row r="3225" spans="1:7">
      <c r="A3225" s="112" t="e">
        <f>VLOOKUP('Informe Kelly'!A3219,Base!A:B,2,FALSE)</f>
        <v>#N/A</v>
      </c>
      <c r="B3225" s="112" t="e">
        <f>VLOOKUP('Informe Kelly'!A3219,Base!A:G,7,FALSE)</f>
        <v>#N/A</v>
      </c>
      <c r="C3225" s="112">
        <f>'Informe Kelly'!E3219</f>
        <v>0</v>
      </c>
      <c r="D3225" s="112" t="e">
        <f>VLOOKUP(A3225,Ingreso!K:P,6,FALSE)</f>
        <v>#N/A</v>
      </c>
      <c r="E3225" s="142" t="e">
        <f>(VLOOKUP(D3225,$D$2:$E$4,2,FALSE))-(IF('Informe Kelly'!H3219=$A$2,'Informe Kelly'!F3219,VLOOKUP(D3225,$D$2:$E$4,2,FALSE)))</f>
        <v>#N/A</v>
      </c>
      <c r="F3225" s="142" t="e">
        <f>IF('Informe Kelly'!H3219=$A$3,'Informe Kelly'!F3219,VLOOKUP(D3225,$D$2:$F$4,3,FALSE))-(VLOOKUP(D3225,$D$2:$F$4,3,FALSE))</f>
        <v>#N/A</v>
      </c>
      <c r="G3225" s="137" t="e">
        <f t="shared" si="54"/>
        <v>#N/A</v>
      </c>
    </row>
    <row r="3226" spans="1:7">
      <c r="A3226" s="112" t="e">
        <f>VLOOKUP('Informe Kelly'!A3220,Base!A:B,2,FALSE)</f>
        <v>#N/A</v>
      </c>
      <c r="B3226" s="112" t="e">
        <f>VLOOKUP('Informe Kelly'!A3220,Base!A:G,7,FALSE)</f>
        <v>#N/A</v>
      </c>
      <c r="C3226" s="112">
        <f>'Informe Kelly'!E3220</f>
        <v>0</v>
      </c>
      <c r="D3226" s="112" t="e">
        <f>VLOOKUP(A3226,Ingreso!K:P,6,FALSE)</f>
        <v>#N/A</v>
      </c>
      <c r="E3226" s="142" t="e">
        <f>(VLOOKUP(D3226,$D$2:$E$4,2,FALSE))-(IF('Informe Kelly'!H3220=$A$2,'Informe Kelly'!F3220,VLOOKUP(D3226,$D$2:$E$4,2,FALSE)))</f>
        <v>#N/A</v>
      </c>
      <c r="F3226" s="142" t="e">
        <f>IF('Informe Kelly'!H3220=$A$3,'Informe Kelly'!F3220,VLOOKUP(D3226,$D$2:$F$4,3,FALSE))-(VLOOKUP(D3226,$D$2:$F$4,3,FALSE))</f>
        <v>#N/A</v>
      </c>
      <c r="G3226" s="137" t="e">
        <f t="shared" si="54"/>
        <v>#N/A</v>
      </c>
    </row>
    <row r="3227" spans="1:7">
      <c r="A3227" s="112" t="e">
        <f>VLOOKUP('Informe Kelly'!A3221,Base!A:B,2,FALSE)</f>
        <v>#N/A</v>
      </c>
      <c r="B3227" s="112" t="e">
        <f>VLOOKUP('Informe Kelly'!A3221,Base!A:G,7,FALSE)</f>
        <v>#N/A</v>
      </c>
      <c r="C3227" s="112">
        <f>'Informe Kelly'!E3221</f>
        <v>0</v>
      </c>
      <c r="D3227" s="112" t="e">
        <f>VLOOKUP(A3227,Ingreso!K:P,6,FALSE)</f>
        <v>#N/A</v>
      </c>
      <c r="E3227" s="142" t="e">
        <f>(VLOOKUP(D3227,$D$2:$E$4,2,FALSE))-(IF('Informe Kelly'!H3221=$A$2,'Informe Kelly'!F3221,VLOOKUP(D3227,$D$2:$E$4,2,FALSE)))</f>
        <v>#N/A</v>
      </c>
      <c r="F3227" s="142" t="e">
        <f>IF('Informe Kelly'!H3221=$A$3,'Informe Kelly'!F3221,VLOOKUP(D3227,$D$2:$F$4,3,FALSE))-(VLOOKUP(D3227,$D$2:$F$4,3,FALSE))</f>
        <v>#N/A</v>
      </c>
      <c r="G3227" s="137" t="e">
        <f t="shared" si="54"/>
        <v>#N/A</v>
      </c>
    </row>
    <row r="3228" spans="1:7">
      <c r="A3228" s="112" t="e">
        <f>VLOOKUP('Informe Kelly'!A3222,Base!A:B,2,FALSE)</f>
        <v>#N/A</v>
      </c>
      <c r="B3228" s="112" t="e">
        <f>VLOOKUP('Informe Kelly'!A3222,Base!A:G,7,FALSE)</f>
        <v>#N/A</v>
      </c>
      <c r="C3228" s="112">
        <f>'Informe Kelly'!E3222</f>
        <v>0</v>
      </c>
      <c r="D3228" s="112" t="e">
        <f>VLOOKUP(A3228,Ingreso!K:P,6,FALSE)</f>
        <v>#N/A</v>
      </c>
      <c r="E3228" s="142" t="e">
        <f>(VLOOKUP(D3228,$D$2:$E$4,2,FALSE))-(IF('Informe Kelly'!H3222=$A$2,'Informe Kelly'!F3222,VLOOKUP(D3228,$D$2:$E$4,2,FALSE)))</f>
        <v>#N/A</v>
      </c>
      <c r="F3228" s="142" t="e">
        <f>IF('Informe Kelly'!H3222=$A$3,'Informe Kelly'!F3222,VLOOKUP(D3228,$D$2:$F$4,3,FALSE))-(VLOOKUP(D3228,$D$2:$F$4,3,FALSE))</f>
        <v>#N/A</v>
      </c>
      <c r="G3228" s="137" t="e">
        <f t="shared" si="54"/>
        <v>#N/A</v>
      </c>
    </row>
    <row r="3229" spans="1:7">
      <c r="A3229" s="112" t="e">
        <f>VLOOKUP('Informe Kelly'!A3223,Base!A:B,2,FALSE)</f>
        <v>#N/A</v>
      </c>
      <c r="B3229" s="112" t="e">
        <f>VLOOKUP('Informe Kelly'!A3223,Base!A:G,7,FALSE)</f>
        <v>#N/A</v>
      </c>
      <c r="C3229" s="112">
        <f>'Informe Kelly'!E3223</f>
        <v>0</v>
      </c>
      <c r="D3229" s="112" t="e">
        <f>VLOOKUP(A3229,Ingreso!K:P,6,FALSE)</f>
        <v>#N/A</v>
      </c>
      <c r="E3229" s="142" t="e">
        <f>(VLOOKUP(D3229,$D$2:$E$4,2,FALSE))-(IF('Informe Kelly'!H3223=$A$2,'Informe Kelly'!F3223,VLOOKUP(D3229,$D$2:$E$4,2,FALSE)))</f>
        <v>#N/A</v>
      </c>
      <c r="F3229" s="142" t="e">
        <f>IF('Informe Kelly'!H3223=$A$3,'Informe Kelly'!F3223,VLOOKUP(D3229,$D$2:$F$4,3,FALSE))-(VLOOKUP(D3229,$D$2:$F$4,3,FALSE))</f>
        <v>#N/A</v>
      </c>
      <c r="G3229" s="137" t="e">
        <f t="shared" si="54"/>
        <v>#N/A</v>
      </c>
    </row>
    <row r="3230" spans="1:7">
      <c r="A3230" s="112" t="e">
        <f>VLOOKUP('Informe Kelly'!A3224,Base!A:B,2,FALSE)</f>
        <v>#N/A</v>
      </c>
      <c r="B3230" s="112" t="e">
        <f>VLOOKUP('Informe Kelly'!A3224,Base!A:G,7,FALSE)</f>
        <v>#N/A</v>
      </c>
      <c r="C3230" s="112">
        <f>'Informe Kelly'!E3224</f>
        <v>0</v>
      </c>
      <c r="D3230" s="112" t="e">
        <f>VLOOKUP(A3230,Ingreso!K:P,6,FALSE)</f>
        <v>#N/A</v>
      </c>
      <c r="E3230" s="142" t="e">
        <f>(VLOOKUP(D3230,$D$2:$E$4,2,FALSE))-(IF('Informe Kelly'!H3224=$A$2,'Informe Kelly'!F3224,VLOOKUP(D3230,$D$2:$E$4,2,FALSE)))</f>
        <v>#N/A</v>
      </c>
      <c r="F3230" s="142" t="e">
        <f>IF('Informe Kelly'!H3224=$A$3,'Informe Kelly'!F3224,VLOOKUP(D3230,$D$2:$F$4,3,FALSE))-(VLOOKUP(D3230,$D$2:$F$4,3,FALSE))</f>
        <v>#N/A</v>
      </c>
      <c r="G3230" s="137" t="e">
        <f t="shared" si="54"/>
        <v>#N/A</v>
      </c>
    </row>
    <row r="3231" spans="1:7">
      <c r="A3231" s="112" t="e">
        <f>VLOOKUP('Informe Kelly'!A3225,Base!A:B,2,FALSE)</f>
        <v>#N/A</v>
      </c>
      <c r="B3231" s="112" t="e">
        <f>VLOOKUP('Informe Kelly'!A3225,Base!A:G,7,FALSE)</f>
        <v>#N/A</v>
      </c>
      <c r="C3231" s="112">
        <f>'Informe Kelly'!E3225</f>
        <v>0</v>
      </c>
      <c r="D3231" s="112" t="e">
        <f>VLOOKUP(A3231,Ingreso!K:P,6,FALSE)</f>
        <v>#N/A</v>
      </c>
      <c r="E3231" s="142" t="e">
        <f>(VLOOKUP(D3231,$D$2:$E$4,2,FALSE))-(IF('Informe Kelly'!H3225=$A$2,'Informe Kelly'!F3225,VLOOKUP(D3231,$D$2:$E$4,2,FALSE)))</f>
        <v>#N/A</v>
      </c>
      <c r="F3231" s="142" t="e">
        <f>IF('Informe Kelly'!H3225=$A$3,'Informe Kelly'!F3225,VLOOKUP(D3231,$D$2:$F$4,3,FALSE))-(VLOOKUP(D3231,$D$2:$F$4,3,FALSE))</f>
        <v>#N/A</v>
      </c>
      <c r="G3231" s="137" t="e">
        <f t="shared" si="54"/>
        <v>#N/A</v>
      </c>
    </row>
    <row r="3232" spans="1:7">
      <c r="A3232" s="112" t="e">
        <f>VLOOKUP('Informe Kelly'!A3226,Base!A:B,2,FALSE)</f>
        <v>#N/A</v>
      </c>
      <c r="B3232" s="112" t="e">
        <f>VLOOKUP('Informe Kelly'!A3226,Base!A:G,7,FALSE)</f>
        <v>#N/A</v>
      </c>
      <c r="C3232" s="112">
        <f>'Informe Kelly'!E3226</f>
        <v>0</v>
      </c>
      <c r="D3232" s="112" t="e">
        <f>VLOOKUP(A3232,Ingreso!K:P,6,FALSE)</f>
        <v>#N/A</v>
      </c>
      <c r="E3232" s="142" t="e">
        <f>(VLOOKUP(D3232,$D$2:$E$4,2,FALSE))-(IF('Informe Kelly'!H3226=$A$2,'Informe Kelly'!F3226,VLOOKUP(D3232,$D$2:$E$4,2,FALSE)))</f>
        <v>#N/A</v>
      </c>
      <c r="F3232" s="142" t="e">
        <f>IF('Informe Kelly'!H3226=$A$3,'Informe Kelly'!F3226,VLOOKUP(D3232,$D$2:$F$4,3,FALSE))-(VLOOKUP(D3232,$D$2:$F$4,3,FALSE))</f>
        <v>#N/A</v>
      </c>
      <c r="G3232" s="137" t="e">
        <f t="shared" si="54"/>
        <v>#N/A</v>
      </c>
    </row>
    <row r="3233" spans="1:7">
      <c r="A3233" s="112" t="e">
        <f>VLOOKUP('Informe Kelly'!A3227,Base!A:B,2,FALSE)</f>
        <v>#N/A</v>
      </c>
      <c r="B3233" s="112" t="e">
        <f>VLOOKUP('Informe Kelly'!A3227,Base!A:G,7,FALSE)</f>
        <v>#N/A</v>
      </c>
      <c r="C3233" s="112">
        <f>'Informe Kelly'!E3227</f>
        <v>0</v>
      </c>
      <c r="D3233" s="112" t="e">
        <f>VLOOKUP(A3233,Ingreso!K:P,6,FALSE)</f>
        <v>#N/A</v>
      </c>
      <c r="E3233" s="142" t="e">
        <f>(VLOOKUP(D3233,$D$2:$E$4,2,FALSE))-(IF('Informe Kelly'!H3227=$A$2,'Informe Kelly'!F3227,VLOOKUP(D3233,$D$2:$E$4,2,FALSE)))</f>
        <v>#N/A</v>
      </c>
      <c r="F3233" s="142" t="e">
        <f>IF('Informe Kelly'!H3227=$A$3,'Informe Kelly'!F3227,VLOOKUP(D3233,$D$2:$F$4,3,FALSE))-(VLOOKUP(D3233,$D$2:$F$4,3,FALSE))</f>
        <v>#N/A</v>
      </c>
      <c r="G3233" s="137" t="e">
        <f t="shared" si="54"/>
        <v>#N/A</v>
      </c>
    </row>
    <row r="3234" spans="1:7">
      <c r="A3234" s="112" t="e">
        <f>VLOOKUP('Informe Kelly'!A3228,Base!A:B,2,FALSE)</f>
        <v>#N/A</v>
      </c>
      <c r="B3234" s="112" t="e">
        <f>VLOOKUP('Informe Kelly'!A3228,Base!A:G,7,FALSE)</f>
        <v>#N/A</v>
      </c>
      <c r="C3234" s="112">
        <f>'Informe Kelly'!E3228</f>
        <v>0</v>
      </c>
      <c r="D3234" s="112" t="e">
        <f>VLOOKUP(A3234,Ingreso!K:P,6,FALSE)</f>
        <v>#N/A</v>
      </c>
      <c r="E3234" s="142" t="e">
        <f>(VLOOKUP(D3234,$D$2:$E$4,2,FALSE))-(IF('Informe Kelly'!H3228=$A$2,'Informe Kelly'!F3228,VLOOKUP(D3234,$D$2:$E$4,2,FALSE)))</f>
        <v>#N/A</v>
      </c>
      <c r="F3234" s="142" t="e">
        <f>IF('Informe Kelly'!H3228=$A$3,'Informe Kelly'!F3228,VLOOKUP(D3234,$D$2:$F$4,3,FALSE))-(VLOOKUP(D3234,$D$2:$F$4,3,FALSE))</f>
        <v>#N/A</v>
      </c>
      <c r="G3234" s="137" t="e">
        <f t="shared" si="54"/>
        <v>#N/A</v>
      </c>
    </row>
    <row r="3235" spans="1:7">
      <c r="A3235" s="112" t="e">
        <f>VLOOKUP('Informe Kelly'!A3229,Base!A:B,2,FALSE)</f>
        <v>#N/A</v>
      </c>
      <c r="B3235" s="112" t="e">
        <f>VLOOKUP('Informe Kelly'!A3229,Base!A:G,7,FALSE)</f>
        <v>#N/A</v>
      </c>
      <c r="C3235" s="112">
        <f>'Informe Kelly'!E3229</f>
        <v>0</v>
      </c>
      <c r="D3235" s="112" t="e">
        <f>VLOOKUP(A3235,Ingreso!K:P,6,FALSE)</f>
        <v>#N/A</v>
      </c>
      <c r="E3235" s="142" t="e">
        <f>(VLOOKUP(D3235,$D$2:$E$4,2,FALSE))-(IF('Informe Kelly'!H3229=$A$2,'Informe Kelly'!F3229,VLOOKUP(D3235,$D$2:$E$4,2,FALSE)))</f>
        <v>#N/A</v>
      </c>
      <c r="F3235" s="142" t="e">
        <f>IF('Informe Kelly'!H3229=$A$3,'Informe Kelly'!F3229,VLOOKUP(D3235,$D$2:$F$4,3,FALSE))-(VLOOKUP(D3235,$D$2:$F$4,3,FALSE))</f>
        <v>#N/A</v>
      </c>
      <c r="G3235" s="137" t="e">
        <f t="shared" si="54"/>
        <v>#N/A</v>
      </c>
    </row>
    <row r="3236" spans="1:7">
      <c r="A3236" s="112" t="e">
        <f>VLOOKUP('Informe Kelly'!A3230,Base!A:B,2,FALSE)</f>
        <v>#N/A</v>
      </c>
      <c r="B3236" s="112" t="e">
        <f>VLOOKUP('Informe Kelly'!A3230,Base!A:G,7,FALSE)</f>
        <v>#N/A</v>
      </c>
      <c r="C3236" s="112">
        <f>'Informe Kelly'!E3230</f>
        <v>0</v>
      </c>
      <c r="D3236" s="112" t="e">
        <f>VLOOKUP(A3236,Ingreso!K:P,6,FALSE)</f>
        <v>#N/A</v>
      </c>
      <c r="E3236" s="142" t="e">
        <f>(VLOOKUP(D3236,$D$2:$E$4,2,FALSE))-(IF('Informe Kelly'!H3230=$A$2,'Informe Kelly'!F3230,VLOOKUP(D3236,$D$2:$E$4,2,FALSE)))</f>
        <v>#N/A</v>
      </c>
      <c r="F3236" s="142" t="e">
        <f>IF('Informe Kelly'!H3230=$A$3,'Informe Kelly'!F3230,VLOOKUP(D3236,$D$2:$F$4,3,FALSE))-(VLOOKUP(D3236,$D$2:$F$4,3,FALSE))</f>
        <v>#N/A</v>
      </c>
      <c r="G3236" s="137" t="e">
        <f t="shared" si="54"/>
        <v>#N/A</v>
      </c>
    </row>
    <row r="3237" spans="1:7">
      <c r="A3237" s="112" t="e">
        <f>VLOOKUP('Informe Kelly'!A3231,Base!A:B,2,FALSE)</f>
        <v>#N/A</v>
      </c>
      <c r="B3237" s="112" t="e">
        <f>VLOOKUP('Informe Kelly'!A3231,Base!A:G,7,FALSE)</f>
        <v>#N/A</v>
      </c>
      <c r="C3237" s="112">
        <f>'Informe Kelly'!E3231</f>
        <v>0</v>
      </c>
      <c r="D3237" s="112" t="e">
        <f>VLOOKUP(A3237,Ingreso!K:P,6,FALSE)</f>
        <v>#N/A</v>
      </c>
      <c r="E3237" s="142" t="e">
        <f>(VLOOKUP(D3237,$D$2:$E$4,2,FALSE))-(IF('Informe Kelly'!H3231=$A$2,'Informe Kelly'!F3231,VLOOKUP(D3237,$D$2:$E$4,2,FALSE)))</f>
        <v>#N/A</v>
      </c>
      <c r="F3237" s="142" t="e">
        <f>IF('Informe Kelly'!H3231=$A$3,'Informe Kelly'!F3231,VLOOKUP(D3237,$D$2:$F$4,3,FALSE))-(VLOOKUP(D3237,$D$2:$F$4,3,FALSE))</f>
        <v>#N/A</v>
      </c>
      <c r="G3237" s="137" t="e">
        <f t="shared" si="54"/>
        <v>#N/A</v>
      </c>
    </row>
    <row r="3238" spans="1:7">
      <c r="A3238" s="112" t="e">
        <f>VLOOKUP('Informe Kelly'!A3232,Base!A:B,2,FALSE)</f>
        <v>#N/A</v>
      </c>
      <c r="B3238" s="112" t="e">
        <f>VLOOKUP('Informe Kelly'!A3232,Base!A:G,7,FALSE)</f>
        <v>#N/A</v>
      </c>
      <c r="C3238" s="112">
        <f>'Informe Kelly'!E3232</f>
        <v>0</v>
      </c>
      <c r="D3238" s="112" t="e">
        <f>VLOOKUP(A3238,Ingreso!K:P,6,FALSE)</f>
        <v>#N/A</v>
      </c>
      <c r="E3238" s="142" t="e">
        <f>(VLOOKUP(D3238,$D$2:$E$4,2,FALSE))-(IF('Informe Kelly'!H3232=$A$2,'Informe Kelly'!F3232,VLOOKUP(D3238,$D$2:$E$4,2,FALSE)))</f>
        <v>#N/A</v>
      </c>
      <c r="F3238" s="142" t="e">
        <f>IF('Informe Kelly'!H3232=$A$3,'Informe Kelly'!F3232,VLOOKUP(D3238,$D$2:$F$4,3,FALSE))-(VLOOKUP(D3238,$D$2:$F$4,3,FALSE))</f>
        <v>#N/A</v>
      </c>
      <c r="G3238" s="137" t="e">
        <f t="shared" si="54"/>
        <v>#N/A</v>
      </c>
    </row>
    <row r="3239" spans="1:7">
      <c r="A3239" s="112" t="e">
        <f>VLOOKUP('Informe Kelly'!A3233,Base!A:B,2,FALSE)</f>
        <v>#N/A</v>
      </c>
      <c r="B3239" s="112" t="e">
        <f>VLOOKUP('Informe Kelly'!A3233,Base!A:G,7,FALSE)</f>
        <v>#N/A</v>
      </c>
      <c r="C3239" s="112">
        <f>'Informe Kelly'!E3233</f>
        <v>0</v>
      </c>
      <c r="D3239" s="112" t="e">
        <f>VLOOKUP(A3239,Ingreso!K:P,6,FALSE)</f>
        <v>#N/A</v>
      </c>
      <c r="E3239" s="142" t="e">
        <f>(VLOOKUP(D3239,$D$2:$E$4,2,FALSE))-(IF('Informe Kelly'!H3233=$A$2,'Informe Kelly'!F3233,VLOOKUP(D3239,$D$2:$E$4,2,FALSE)))</f>
        <v>#N/A</v>
      </c>
      <c r="F3239" s="142" t="e">
        <f>IF('Informe Kelly'!H3233=$A$3,'Informe Kelly'!F3233,VLOOKUP(D3239,$D$2:$F$4,3,FALSE))-(VLOOKUP(D3239,$D$2:$F$4,3,FALSE))</f>
        <v>#N/A</v>
      </c>
      <c r="G3239" s="137" t="e">
        <f t="shared" si="54"/>
        <v>#N/A</v>
      </c>
    </row>
    <row r="3240" spans="1:7">
      <c r="A3240" s="112" t="e">
        <f>VLOOKUP('Informe Kelly'!A3234,Base!A:B,2,FALSE)</f>
        <v>#N/A</v>
      </c>
      <c r="B3240" s="112" t="e">
        <f>VLOOKUP('Informe Kelly'!A3234,Base!A:G,7,FALSE)</f>
        <v>#N/A</v>
      </c>
      <c r="C3240" s="112">
        <f>'Informe Kelly'!E3234</f>
        <v>0</v>
      </c>
      <c r="D3240" s="112" t="e">
        <f>VLOOKUP(A3240,Ingreso!K:P,6,FALSE)</f>
        <v>#N/A</v>
      </c>
      <c r="E3240" s="142" t="e">
        <f>(VLOOKUP(D3240,$D$2:$E$4,2,FALSE))-(IF('Informe Kelly'!H3234=$A$2,'Informe Kelly'!F3234,VLOOKUP(D3240,$D$2:$E$4,2,FALSE)))</f>
        <v>#N/A</v>
      </c>
      <c r="F3240" s="142" t="e">
        <f>IF('Informe Kelly'!H3234=$A$3,'Informe Kelly'!F3234,VLOOKUP(D3240,$D$2:$F$4,3,FALSE))-(VLOOKUP(D3240,$D$2:$F$4,3,FALSE))</f>
        <v>#N/A</v>
      </c>
      <c r="G3240" s="137" t="e">
        <f t="shared" si="54"/>
        <v>#N/A</v>
      </c>
    </row>
    <row r="3241" spans="1:7">
      <c r="A3241" s="112" t="e">
        <f>VLOOKUP('Informe Kelly'!A3235,Base!A:B,2,FALSE)</f>
        <v>#N/A</v>
      </c>
      <c r="B3241" s="112" t="e">
        <f>VLOOKUP('Informe Kelly'!A3235,Base!A:G,7,FALSE)</f>
        <v>#N/A</v>
      </c>
      <c r="C3241" s="112">
        <f>'Informe Kelly'!E3235</f>
        <v>0</v>
      </c>
      <c r="D3241" s="112" t="e">
        <f>VLOOKUP(A3241,Ingreso!K:P,6,FALSE)</f>
        <v>#N/A</v>
      </c>
      <c r="E3241" s="142" t="e">
        <f>(VLOOKUP(D3241,$D$2:$E$4,2,FALSE))-(IF('Informe Kelly'!H3235=$A$2,'Informe Kelly'!F3235,VLOOKUP(D3241,$D$2:$E$4,2,FALSE)))</f>
        <v>#N/A</v>
      </c>
      <c r="F3241" s="142" t="e">
        <f>IF('Informe Kelly'!H3235=$A$3,'Informe Kelly'!F3235,VLOOKUP(D3241,$D$2:$F$4,3,FALSE))-(VLOOKUP(D3241,$D$2:$F$4,3,FALSE))</f>
        <v>#N/A</v>
      </c>
      <c r="G3241" s="137" t="e">
        <f t="shared" si="54"/>
        <v>#N/A</v>
      </c>
    </row>
    <row r="3242" spans="1:7">
      <c r="A3242" s="112" t="e">
        <f>VLOOKUP('Informe Kelly'!A3236,Base!A:B,2,FALSE)</f>
        <v>#N/A</v>
      </c>
      <c r="B3242" s="112" t="e">
        <f>VLOOKUP('Informe Kelly'!A3236,Base!A:G,7,FALSE)</f>
        <v>#N/A</v>
      </c>
      <c r="C3242" s="112">
        <f>'Informe Kelly'!E3236</f>
        <v>0</v>
      </c>
      <c r="D3242" s="112" t="e">
        <f>VLOOKUP(A3242,Ingreso!K:P,6,FALSE)</f>
        <v>#N/A</v>
      </c>
      <c r="E3242" s="142" t="e">
        <f>(VLOOKUP(D3242,$D$2:$E$4,2,FALSE))-(IF('Informe Kelly'!H3236=$A$2,'Informe Kelly'!F3236,VLOOKUP(D3242,$D$2:$E$4,2,FALSE)))</f>
        <v>#N/A</v>
      </c>
      <c r="F3242" s="142" t="e">
        <f>IF('Informe Kelly'!H3236=$A$3,'Informe Kelly'!F3236,VLOOKUP(D3242,$D$2:$F$4,3,FALSE))-(VLOOKUP(D3242,$D$2:$F$4,3,FALSE))</f>
        <v>#N/A</v>
      </c>
      <c r="G3242" s="137" t="e">
        <f t="shared" si="54"/>
        <v>#N/A</v>
      </c>
    </row>
    <row r="3243" spans="1:7">
      <c r="A3243" s="112" t="e">
        <f>VLOOKUP('Informe Kelly'!A3237,Base!A:B,2,FALSE)</f>
        <v>#N/A</v>
      </c>
      <c r="B3243" s="112" t="e">
        <f>VLOOKUP('Informe Kelly'!A3237,Base!A:G,7,FALSE)</f>
        <v>#N/A</v>
      </c>
      <c r="C3243" s="112">
        <f>'Informe Kelly'!E3237</f>
        <v>0</v>
      </c>
      <c r="D3243" s="112" t="e">
        <f>VLOOKUP(A3243,Ingreso!K:P,6,FALSE)</f>
        <v>#N/A</v>
      </c>
      <c r="E3243" s="142" t="e">
        <f>(VLOOKUP(D3243,$D$2:$E$4,2,FALSE))-(IF('Informe Kelly'!H3237=$A$2,'Informe Kelly'!F3237,VLOOKUP(D3243,$D$2:$E$4,2,FALSE)))</f>
        <v>#N/A</v>
      </c>
      <c r="F3243" s="142" t="e">
        <f>IF('Informe Kelly'!H3237=$A$3,'Informe Kelly'!F3237,VLOOKUP(D3243,$D$2:$F$4,3,FALSE))-(VLOOKUP(D3243,$D$2:$F$4,3,FALSE))</f>
        <v>#N/A</v>
      </c>
      <c r="G3243" s="137" t="e">
        <f t="shared" si="54"/>
        <v>#N/A</v>
      </c>
    </row>
    <row r="3244" spans="1:7">
      <c r="A3244" s="112" t="e">
        <f>VLOOKUP('Informe Kelly'!A3238,Base!A:B,2,FALSE)</f>
        <v>#N/A</v>
      </c>
      <c r="B3244" s="112" t="e">
        <f>VLOOKUP('Informe Kelly'!A3238,Base!A:G,7,FALSE)</f>
        <v>#N/A</v>
      </c>
      <c r="C3244" s="112">
        <f>'Informe Kelly'!E3238</f>
        <v>0</v>
      </c>
      <c r="D3244" s="112" t="e">
        <f>VLOOKUP(A3244,Ingreso!K:P,6,FALSE)</f>
        <v>#N/A</v>
      </c>
      <c r="E3244" s="142" t="e">
        <f>(VLOOKUP(D3244,$D$2:$E$4,2,FALSE))-(IF('Informe Kelly'!H3238=$A$2,'Informe Kelly'!F3238,VLOOKUP(D3244,$D$2:$E$4,2,FALSE)))</f>
        <v>#N/A</v>
      </c>
      <c r="F3244" s="142" t="e">
        <f>IF('Informe Kelly'!H3238=$A$3,'Informe Kelly'!F3238,VLOOKUP(D3244,$D$2:$F$4,3,FALSE))-(VLOOKUP(D3244,$D$2:$F$4,3,FALSE))</f>
        <v>#N/A</v>
      </c>
      <c r="G3244" s="137" t="e">
        <f t="shared" si="54"/>
        <v>#N/A</v>
      </c>
    </row>
    <row r="3245" spans="1:7">
      <c r="A3245" s="112" t="e">
        <f>VLOOKUP('Informe Kelly'!A3239,Base!A:B,2,FALSE)</f>
        <v>#N/A</v>
      </c>
      <c r="B3245" s="112" t="e">
        <f>VLOOKUP('Informe Kelly'!A3239,Base!A:G,7,FALSE)</f>
        <v>#N/A</v>
      </c>
      <c r="C3245" s="112">
        <f>'Informe Kelly'!E3239</f>
        <v>0</v>
      </c>
      <c r="D3245" s="112" t="e">
        <f>VLOOKUP(A3245,Ingreso!K:P,6,FALSE)</f>
        <v>#N/A</v>
      </c>
      <c r="E3245" s="142" t="e">
        <f>(VLOOKUP(D3245,$D$2:$E$4,2,FALSE))-(IF('Informe Kelly'!H3239=$A$2,'Informe Kelly'!F3239,VLOOKUP(D3245,$D$2:$E$4,2,FALSE)))</f>
        <v>#N/A</v>
      </c>
      <c r="F3245" s="142" t="e">
        <f>IF('Informe Kelly'!H3239=$A$3,'Informe Kelly'!F3239,VLOOKUP(D3245,$D$2:$F$4,3,FALSE))-(VLOOKUP(D3245,$D$2:$F$4,3,FALSE))</f>
        <v>#N/A</v>
      </c>
      <c r="G3245" s="137" t="e">
        <f t="shared" si="54"/>
        <v>#N/A</v>
      </c>
    </row>
    <row r="3246" spans="1:7">
      <c r="A3246" s="112" t="e">
        <f>VLOOKUP('Informe Kelly'!A3240,Base!A:B,2,FALSE)</f>
        <v>#N/A</v>
      </c>
      <c r="B3246" s="112" t="e">
        <f>VLOOKUP('Informe Kelly'!A3240,Base!A:G,7,FALSE)</f>
        <v>#N/A</v>
      </c>
      <c r="C3246" s="112">
        <f>'Informe Kelly'!E3240</f>
        <v>0</v>
      </c>
      <c r="D3246" s="112" t="e">
        <f>VLOOKUP(A3246,Ingreso!K:P,6,FALSE)</f>
        <v>#N/A</v>
      </c>
      <c r="E3246" s="142" t="e">
        <f>(VLOOKUP(D3246,$D$2:$E$4,2,FALSE))-(IF('Informe Kelly'!H3240=$A$2,'Informe Kelly'!F3240,VLOOKUP(D3246,$D$2:$E$4,2,FALSE)))</f>
        <v>#N/A</v>
      </c>
      <c r="F3246" s="142" t="e">
        <f>IF('Informe Kelly'!H3240=$A$3,'Informe Kelly'!F3240,VLOOKUP(D3246,$D$2:$F$4,3,FALSE))-(VLOOKUP(D3246,$D$2:$F$4,3,FALSE))</f>
        <v>#N/A</v>
      </c>
      <c r="G3246" s="137" t="e">
        <f t="shared" si="54"/>
        <v>#N/A</v>
      </c>
    </row>
    <row r="3247" spans="1:7">
      <c r="A3247" s="112" t="e">
        <f>VLOOKUP('Informe Kelly'!A3241,Base!A:B,2,FALSE)</f>
        <v>#N/A</v>
      </c>
      <c r="B3247" s="112" t="e">
        <f>VLOOKUP('Informe Kelly'!A3241,Base!A:G,7,FALSE)</f>
        <v>#N/A</v>
      </c>
      <c r="C3247" s="112">
        <f>'Informe Kelly'!E3241</f>
        <v>0</v>
      </c>
      <c r="D3247" s="112" t="e">
        <f>VLOOKUP(A3247,Ingreso!K:P,6,FALSE)</f>
        <v>#N/A</v>
      </c>
      <c r="E3247" s="142" t="e">
        <f>(VLOOKUP(D3247,$D$2:$E$4,2,FALSE))-(IF('Informe Kelly'!H3241=$A$2,'Informe Kelly'!F3241,VLOOKUP(D3247,$D$2:$E$4,2,FALSE)))</f>
        <v>#N/A</v>
      </c>
      <c r="F3247" s="142" t="e">
        <f>IF('Informe Kelly'!H3241=$A$3,'Informe Kelly'!F3241,VLOOKUP(D3247,$D$2:$F$4,3,FALSE))-(VLOOKUP(D3247,$D$2:$F$4,3,FALSE))</f>
        <v>#N/A</v>
      </c>
      <c r="G3247" s="137" t="e">
        <f t="shared" si="54"/>
        <v>#N/A</v>
      </c>
    </row>
    <row r="3248" spans="1:7">
      <c r="A3248" s="112" t="e">
        <f>VLOOKUP('Informe Kelly'!A3242,Base!A:B,2,FALSE)</f>
        <v>#N/A</v>
      </c>
      <c r="B3248" s="112" t="e">
        <f>VLOOKUP('Informe Kelly'!A3242,Base!A:G,7,FALSE)</f>
        <v>#N/A</v>
      </c>
      <c r="C3248" s="112">
        <f>'Informe Kelly'!E3242</f>
        <v>0</v>
      </c>
      <c r="D3248" s="112" t="e">
        <f>VLOOKUP(A3248,Ingreso!K:P,6,FALSE)</f>
        <v>#N/A</v>
      </c>
      <c r="E3248" s="142" t="e">
        <f>(VLOOKUP(D3248,$D$2:$E$4,2,FALSE))-(IF('Informe Kelly'!H3242=$A$2,'Informe Kelly'!F3242,VLOOKUP(D3248,$D$2:$E$4,2,FALSE)))</f>
        <v>#N/A</v>
      </c>
      <c r="F3248" s="142" t="e">
        <f>IF('Informe Kelly'!H3242=$A$3,'Informe Kelly'!F3242,VLOOKUP(D3248,$D$2:$F$4,3,FALSE))-(VLOOKUP(D3248,$D$2:$F$4,3,FALSE))</f>
        <v>#N/A</v>
      </c>
      <c r="G3248" s="137" t="e">
        <f t="shared" si="54"/>
        <v>#N/A</v>
      </c>
    </row>
    <row r="3249" spans="1:7">
      <c r="A3249" s="112" t="e">
        <f>VLOOKUP('Informe Kelly'!A3243,Base!A:B,2,FALSE)</f>
        <v>#N/A</v>
      </c>
      <c r="B3249" s="112" t="e">
        <f>VLOOKUP('Informe Kelly'!A3243,Base!A:G,7,FALSE)</f>
        <v>#N/A</v>
      </c>
      <c r="C3249" s="112">
        <f>'Informe Kelly'!E3243</f>
        <v>0</v>
      </c>
      <c r="D3249" s="112" t="e">
        <f>VLOOKUP(A3249,Ingreso!K:P,6,FALSE)</f>
        <v>#N/A</v>
      </c>
      <c r="E3249" s="142" t="e">
        <f>(VLOOKUP(D3249,$D$2:$E$4,2,FALSE))-(IF('Informe Kelly'!H3243=$A$2,'Informe Kelly'!F3243,VLOOKUP(D3249,$D$2:$E$4,2,FALSE)))</f>
        <v>#N/A</v>
      </c>
      <c r="F3249" s="142" t="e">
        <f>IF('Informe Kelly'!H3243=$A$3,'Informe Kelly'!F3243,VLOOKUP(D3249,$D$2:$F$4,3,FALSE))-(VLOOKUP(D3249,$D$2:$F$4,3,FALSE))</f>
        <v>#N/A</v>
      </c>
      <c r="G3249" s="137" t="e">
        <f t="shared" si="54"/>
        <v>#N/A</v>
      </c>
    </row>
    <row r="3250" spans="1:7">
      <c r="A3250" s="112" t="e">
        <f>VLOOKUP('Informe Kelly'!A3244,Base!A:B,2,FALSE)</f>
        <v>#N/A</v>
      </c>
      <c r="B3250" s="112" t="e">
        <f>VLOOKUP('Informe Kelly'!A3244,Base!A:G,7,FALSE)</f>
        <v>#N/A</v>
      </c>
      <c r="C3250" s="112">
        <f>'Informe Kelly'!E3244</f>
        <v>0</v>
      </c>
      <c r="D3250" s="112" t="e">
        <f>VLOOKUP(A3250,Ingreso!K:P,6,FALSE)</f>
        <v>#N/A</v>
      </c>
      <c r="E3250" s="142" t="e">
        <f>(VLOOKUP(D3250,$D$2:$E$4,2,FALSE))-(IF('Informe Kelly'!H3244=$A$2,'Informe Kelly'!F3244,VLOOKUP(D3250,$D$2:$E$4,2,FALSE)))</f>
        <v>#N/A</v>
      </c>
      <c r="F3250" s="142" t="e">
        <f>IF('Informe Kelly'!H3244=$A$3,'Informe Kelly'!F3244,VLOOKUP(D3250,$D$2:$F$4,3,FALSE))-(VLOOKUP(D3250,$D$2:$F$4,3,FALSE))</f>
        <v>#N/A</v>
      </c>
      <c r="G3250" s="137" t="e">
        <f t="shared" si="54"/>
        <v>#N/A</v>
      </c>
    </row>
    <row r="3251" spans="1:7">
      <c r="A3251" s="112" t="e">
        <f>VLOOKUP('Informe Kelly'!A3245,Base!A:B,2,FALSE)</f>
        <v>#N/A</v>
      </c>
      <c r="B3251" s="112" t="e">
        <f>VLOOKUP('Informe Kelly'!A3245,Base!A:G,7,FALSE)</f>
        <v>#N/A</v>
      </c>
      <c r="C3251" s="112">
        <f>'Informe Kelly'!E3245</f>
        <v>0</v>
      </c>
      <c r="D3251" s="112" t="e">
        <f>VLOOKUP(A3251,Ingreso!K:P,6,FALSE)</f>
        <v>#N/A</v>
      </c>
      <c r="E3251" s="142" t="e">
        <f>(VLOOKUP(D3251,$D$2:$E$4,2,FALSE))-(IF('Informe Kelly'!H3245=$A$2,'Informe Kelly'!F3245,VLOOKUP(D3251,$D$2:$E$4,2,FALSE)))</f>
        <v>#N/A</v>
      </c>
      <c r="F3251" s="142" t="e">
        <f>IF('Informe Kelly'!H3245=$A$3,'Informe Kelly'!F3245,VLOOKUP(D3251,$D$2:$F$4,3,FALSE))-(VLOOKUP(D3251,$D$2:$F$4,3,FALSE))</f>
        <v>#N/A</v>
      </c>
      <c r="G3251" s="137" t="e">
        <f t="shared" si="54"/>
        <v>#N/A</v>
      </c>
    </row>
    <row r="3252" spans="1:7">
      <c r="A3252" s="112" t="e">
        <f>VLOOKUP('Informe Kelly'!A3246,Base!A:B,2,FALSE)</f>
        <v>#N/A</v>
      </c>
      <c r="B3252" s="112" t="e">
        <f>VLOOKUP('Informe Kelly'!A3246,Base!A:G,7,FALSE)</f>
        <v>#N/A</v>
      </c>
      <c r="C3252" s="112">
        <f>'Informe Kelly'!E3246</f>
        <v>0</v>
      </c>
      <c r="D3252" s="112" t="e">
        <f>VLOOKUP(A3252,Ingreso!K:P,6,FALSE)</f>
        <v>#N/A</v>
      </c>
      <c r="E3252" s="142" t="e">
        <f>(VLOOKUP(D3252,$D$2:$E$4,2,FALSE))-(IF('Informe Kelly'!H3246=$A$2,'Informe Kelly'!F3246,VLOOKUP(D3252,$D$2:$E$4,2,FALSE)))</f>
        <v>#N/A</v>
      </c>
      <c r="F3252" s="142" t="e">
        <f>IF('Informe Kelly'!H3246=$A$3,'Informe Kelly'!F3246,VLOOKUP(D3252,$D$2:$F$4,3,FALSE))-(VLOOKUP(D3252,$D$2:$F$4,3,FALSE))</f>
        <v>#N/A</v>
      </c>
      <c r="G3252" s="137" t="e">
        <f t="shared" si="54"/>
        <v>#N/A</v>
      </c>
    </row>
    <row r="3253" spans="1:7">
      <c r="A3253" s="112" t="e">
        <f>VLOOKUP('Informe Kelly'!A3247,Base!A:B,2,FALSE)</f>
        <v>#N/A</v>
      </c>
      <c r="B3253" s="112" t="e">
        <f>VLOOKUP('Informe Kelly'!A3247,Base!A:G,7,FALSE)</f>
        <v>#N/A</v>
      </c>
      <c r="C3253" s="112">
        <f>'Informe Kelly'!E3247</f>
        <v>0</v>
      </c>
      <c r="D3253" s="112" t="e">
        <f>VLOOKUP(A3253,Ingreso!K:P,6,FALSE)</f>
        <v>#N/A</v>
      </c>
      <c r="E3253" s="142" t="e">
        <f>(VLOOKUP(D3253,$D$2:$E$4,2,FALSE))-(IF('Informe Kelly'!H3247=$A$2,'Informe Kelly'!F3247,VLOOKUP(D3253,$D$2:$E$4,2,FALSE)))</f>
        <v>#N/A</v>
      </c>
      <c r="F3253" s="142" t="e">
        <f>IF('Informe Kelly'!H3247=$A$3,'Informe Kelly'!F3247,VLOOKUP(D3253,$D$2:$F$4,3,FALSE))-(VLOOKUP(D3253,$D$2:$F$4,3,FALSE))</f>
        <v>#N/A</v>
      </c>
      <c r="G3253" s="137" t="e">
        <f t="shared" si="54"/>
        <v>#N/A</v>
      </c>
    </row>
    <row r="3254" spans="1:7">
      <c r="A3254" s="112" t="e">
        <f>VLOOKUP('Informe Kelly'!A3248,Base!A:B,2,FALSE)</f>
        <v>#N/A</v>
      </c>
      <c r="B3254" s="112" t="e">
        <f>VLOOKUP('Informe Kelly'!A3248,Base!A:G,7,FALSE)</f>
        <v>#N/A</v>
      </c>
      <c r="C3254" s="112">
        <f>'Informe Kelly'!E3248</f>
        <v>0</v>
      </c>
      <c r="D3254" s="112" t="e">
        <f>VLOOKUP(A3254,Ingreso!K:P,6,FALSE)</f>
        <v>#N/A</v>
      </c>
      <c r="E3254" s="142" t="e">
        <f>(VLOOKUP(D3254,$D$2:$E$4,2,FALSE))-(IF('Informe Kelly'!H3248=$A$2,'Informe Kelly'!F3248,VLOOKUP(D3254,$D$2:$E$4,2,FALSE)))</f>
        <v>#N/A</v>
      </c>
      <c r="F3254" s="142" t="e">
        <f>IF('Informe Kelly'!H3248=$A$3,'Informe Kelly'!F3248,VLOOKUP(D3254,$D$2:$F$4,3,FALSE))-(VLOOKUP(D3254,$D$2:$F$4,3,FALSE))</f>
        <v>#N/A</v>
      </c>
      <c r="G3254" s="137" t="e">
        <f t="shared" si="54"/>
        <v>#N/A</v>
      </c>
    </row>
    <row r="3255" spans="1:7">
      <c r="A3255" s="112" t="e">
        <f>VLOOKUP('Informe Kelly'!A3249,Base!A:B,2,FALSE)</f>
        <v>#N/A</v>
      </c>
      <c r="B3255" s="112" t="e">
        <f>VLOOKUP('Informe Kelly'!A3249,Base!A:G,7,FALSE)</f>
        <v>#N/A</v>
      </c>
      <c r="C3255" s="112">
        <f>'Informe Kelly'!E3249</f>
        <v>0</v>
      </c>
      <c r="D3255" s="112" t="e">
        <f>VLOOKUP(A3255,Ingreso!K:P,6,FALSE)</f>
        <v>#N/A</v>
      </c>
      <c r="E3255" s="142" t="e">
        <f>(VLOOKUP(D3255,$D$2:$E$4,2,FALSE))-(IF('Informe Kelly'!H3249=$A$2,'Informe Kelly'!F3249,VLOOKUP(D3255,$D$2:$E$4,2,FALSE)))</f>
        <v>#N/A</v>
      </c>
      <c r="F3255" s="142" t="e">
        <f>IF('Informe Kelly'!H3249=$A$3,'Informe Kelly'!F3249,VLOOKUP(D3255,$D$2:$F$4,3,FALSE))-(VLOOKUP(D3255,$D$2:$F$4,3,FALSE))</f>
        <v>#N/A</v>
      </c>
      <c r="G3255" s="137" t="e">
        <f t="shared" si="54"/>
        <v>#N/A</v>
      </c>
    </row>
    <row r="3256" spans="1:7">
      <c r="A3256" s="112" t="e">
        <f>VLOOKUP('Informe Kelly'!A3250,Base!A:B,2,FALSE)</f>
        <v>#N/A</v>
      </c>
      <c r="B3256" s="112" t="e">
        <f>VLOOKUP('Informe Kelly'!A3250,Base!A:G,7,FALSE)</f>
        <v>#N/A</v>
      </c>
      <c r="C3256" s="112">
        <f>'Informe Kelly'!E3250</f>
        <v>0</v>
      </c>
      <c r="D3256" s="112" t="e">
        <f>VLOOKUP(A3256,Ingreso!K:P,6,FALSE)</f>
        <v>#N/A</v>
      </c>
      <c r="E3256" s="142" t="e">
        <f>(VLOOKUP(D3256,$D$2:$E$4,2,FALSE))-(IF('Informe Kelly'!H3250=$A$2,'Informe Kelly'!F3250,VLOOKUP(D3256,$D$2:$E$4,2,FALSE)))</f>
        <v>#N/A</v>
      </c>
      <c r="F3256" s="142" t="e">
        <f>IF('Informe Kelly'!H3250=$A$3,'Informe Kelly'!F3250,VLOOKUP(D3256,$D$2:$F$4,3,FALSE))-(VLOOKUP(D3256,$D$2:$F$4,3,FALSE))</f>
        <v>#N/A</v>
      </c>
      <c r="G3256" s="137" t="e">
        <f t="shared" si="54"/>
        <v>#N/A</v>
      </c>
    </row>
    <row r="3257" spans="1:7">
      <c r="A3257" s="112" t="e">
        <f>VLOOKUP('Informe Kelly'!A3251,Base!A:B,2,FALSE)</f>
        <v>#N/A</v>
      </c>
      <c r="B3257" s="112" t="e">
        <f>VLOOKUP('Informe Kelly'!A3251,Base!A:G,7,FALSE)</f>
        <v>#N/A</v>
      </c>
      <c r="C3257" s="112">
        <f>'Informe Kelly'!E3251</f>
        <v>0</v>
      </c>
      <c r="D3257" s="112" t="e">
        <f>VLOOKUP(A3257,Ingreso!K:P,6,FALSE)</f>
        <v>#N/A</v>
      </c>
      <c r="E3257" s="142" t="e">
        <f>(VLOOKUP(D3257,$D$2:$E$4,2,FALSE))-(IF('Informe Kelly'!H3251=$A$2,'Informe Kelly'!F3251,VLOOKUP(D3257,$D$2:$E$4,2,FALSE)))</f>
        <v>#N/A</v>
      </c>
      <c r="F3257" s="142" t="e">
        <f>IF('Informe Kelly'!H3251=$A$3,'Informe Kelly'!F3251,VLOOKUP(D3257,$D$2:$F$4,3,FALSE))-(VLOOKUP(D3257,$D$2:$F$4,3,FALSE))</f>
        <v>#N/A</v>
      </c>
      <c r="G3257" s="137" t="e">
        <f t="shared" si="54"/>
        <v>#N/A</v>
      </c>
    </row>
    <row r="3258" spans="1:7">
      <c r="A3258" s="112" t="e">
        <f>VLOOKUP('Informe Kelly'!A3252,Base!A:B,2,FALSE)</f>
        <v>#N/A</v>
      </c>
      <c r="B3258" s="112" t="e">
        <f>VLOOKUP('Informe Kelly'!A3252,Base!A:G,7,FALSE)</f>
        <v>#N/A</v>
      </c>
      <c r="C3258" s="112">
        <f>'Informe Kelly'!E3252</f>
        <v>0</v>
      </c>
      <c r="D3258" s="112" t="e">
        <f>VLOOKUP(A3258,Ingreso!K:P,6,FALSE)</f>
        <v>#N/A</v>
      </c>
      <c r="E3258" s="142" t="e">
        <f>(VLOOKUP(D3258,$D$2:$E$4,2,FALSE))-(IF('Informe Kelly'!H3252=$A$2,'Informe Kelly'!F3252,VLOOKUP(D3258,$D$2:$E$4,2,FALSE)))</f>
        <v>#N/A</v>
      </c>
      <c r="F3258" s="142" t="e">
        <f>IF('Informe Kelly'!H3252=$A$3,'Informe Kelly'!F3252,VLOOKUP(D3258,$D$2:$F$4,3,FALSE))-(VLOOKUP(D3258,$D$2:$F$4,3,FALSE))</f>
        <v>#N/A</v>
      </c>
      <c r="G3258" s="137" t="e">
        <f t="shared" si="54"/>
        <v>#N/A</v>
      </c>
    </row>
    <row r="3259" spans="1:7">
      <c r="A3259" s="112" t="e">
        <f>VLOOKUP('Informe Kelly'!A3253,Base!A:B,2,FALSE)</f>
        <v>#N/A</v>
      </c>
      <c r="B3259" s="112" t="e">
        <f>VLOOKUP('Informe Kelly'!A3253,Base!A:G,7,FALSE)</f>
        <v>#N/A</v>
      </c>
      <c r="C3259" s="112">
        <f>'Informe Kelly'!E3253</f>
        <v>0</v>
      </c>
      <c r="D3259" s="112" t="e">
        <f>VLOOKUP(A3259,Ingreso!K:P,6,FALSE)</f>
        <v>#N/A</v>
      </c>
      <c r="E3259" s="142" t="e">
        <f>(VLOOKUP(D3259,$D$2:$E$4,2,FALSE))-(IF('Informe Kelly'!H3253=$A$2,'Informe Kelly'!F3253,VLOOKUP(D3259,$D$2:$E$4,2,FALSE)))</f>
        <v>#N/A</v>
      </c>
      <c r="F3259" s="142" t="e">
        <f>IF('Informe Kelly'!H3253=$A$3,'Informe Kelly'!F3253,VLOOKUP(D3259,$D$2:$F$4,3,FALSE))-(VLOOKUP(D3259,$D$2:$F$4,3,FALSE))</f>
        <v>#N/A</v>
      </c>
      <c r="G3259" s="137" t="e">
        <f t="shared" si="54"/>
        <v>#N/A</v>
      </c>
    </row>
    <row r="3260" spans="1:7">
      <c r="A3260" s="112" t="e">
        <f>VLOOKUP('Informe Kelly'!A3254,Base!A:B,2,FALSE)</f>
        <v>#N/A</v>
      </c>
      <c r="B3260" s="112" t="e">
        <f>VLOOKUP('Informe Kelly'!A3254,Base!A:G,7,FALSE)</f>
        <v>#N/A</v>
      </c>
      <c r="C3260" s="112">
        <f>'Informe Kelly'!E3254</f>
        <v>0</v>
      </c>
      <c r="D3260" s="112" t="e">
        <f>VLOOKUP(A3260,Ingreso!K:P,6,FALSE)</f>
        <v>#N/A</v>
      </c>
      <c r="E3260" s="142" t="e">
        <f>(VLOOKUP(D3260,$D$2:$E$4,2,FALSE))-(IF('Informe Kelly'!H3254=$A$2,'Informe Kelly'!F3254,VLOOKUP(D3260,$D$2:$E$4,2,FALSE)))</f>
        <v>#N/A</v>
      </c>
      <c r="F3260" s="142" t="e">
        <f>IF('Informe Kelly'!H3254=$A$3,'Informe Kelly'!F3254,VLOOKUP(D3260,$D$2:$F$4,3,FALSE))-(VLOOKUP(D3260,$D$2:$F$4,3,FALSE))</f>
        <v>#N/A</v>
      </c>
      <c r="G3260" s="137" t="e">
        <f t="shared" si="54"/>
        <v>#N/A</v>
      </c>
    </row>
    <row r="3261" spans="1:7">
      <c r="A3261" s="112" t="e">
        <f>VLOOKUP('Informe Kelly'!A3255,Base!A:B,2,FALSE)</f>
        <v>#N/A</v>
      </c>
      <c r="B3261" s="112" t="e">
        <f>VLOOKUP('Informe Kelly'!A3255,Base!A:G,7,FALSE)</f>
        <v>#N/A</v>
      </c>
      <c r="C3261" s="112">
        <f>'Informe Kelly'!E3255</f>
        <v>0</v>
      </c>
      <c r="D3261" s="112" t="e">
        <f>VLOOKUP(A3261,Ingreso!K:P,6,FALSE)</f>
        <v>#N/A</v>
      </c>
      <c r="E3261" s="142" t="e">
        <f>(VLOOKUP(D3261,$D$2:$E$4,2,FALSE))-(IF('Informe Kelly'!H3255=$A$2,'Informe Kelly'!F3255,VLOOKUP(D3261,$D$2:$E$4,2,FALSE)))</f>
        <v>#N/A</v>
      </c>
      <c r="F3261" s="142" t="e">
        <f>IF('Informe Kelly'!H3255=$A$3,'Informe Kelly'!F3255,VLOOKUP(D3261,$D$2:$F$4,3,FALSE))-(VLOOKUP(D3261,$D$2:$F$4,3,FALSE))</f>
        <v>#N/A</v>
      </c>
      <c r="G3261" s="137" t="e">
        <f t="shared" si="54"/>
        <v>#N/A</v>
      </c>
    </row>
    <row r="3262" spans="1:7">
      <c r="A3262" s="112" t="e">
        <f>VLOOKUP('Informe Kelly'!A3256,Base!A:B,2,FALSE)</f>
        <v>#N/A</v>
      </c>
      <c r="B3262" s="112" t="e">
        <f>VLOOKUP('Informe Kelly'!A3256,Base!A:G,7,FALSE)</f>
        <v>#N/A</v>
      </c>
      <c r="C3262" s="112">
        <f>'Informe Kelly'!E3256</f>
        <v>0</v>
      </c>
      <c r="D3262" s="112" t="e">
        <f>VLOOKUP(A3262,Ingreso!K:P,6,FALSE)</f>
        <v>#N/A</v>
      </c>
      <c r="E3262" s="142" t="e">
        <f>(VLOOKUP(D3262,$D$2:$E$4,2,FALSE))-(IF('Informe Kelly'!H3256=$A$2,'Informe Kelly'!F3256,VLOOKUP(D3262,$D$2:$E$4,2,FALSE)))</f>
        <v>#N/A</v>
      </c>
      <c r="F3262" s="142" t="e">
        <f>IF('Informe Kelly'!H3256=$A$3,'Informe Kelly'!F3256,VLOOKUP(D3262,$D$2:$F$4,3,FALSE))-(VLOOKUP(D3262,$D$2:$F$4,3,FALSE))</f>
        <v>#N/A</v>
      </c>
      <c r="G3262" s="137" t="e">
        <f t="shared" si="54"/>
        <v>#N/A</v>
      </c>
    </row>
    <row r="3263" spans="1:7">
      <c r="A3263" s="112" t="e">
        <f>VLOOKUP('Informe Kelly'!A3257,Base!A:B,2,FALSE)</f>
        <v>#N/A</v>
      </c>
      <c r="B3263" s="112" t="e">
        <f>VLOOKUP('Informe Kelly'!A3257,Base!A:G,7,FALSE)</f>
        <v>#N/A</v>
      </c>
      <c r="C3263" s="112">
        <f>'Informe Kelly'!E3257</f>
        <v>0</v>
      </c>
      <c r="D3263" s="112" t="e">
        <f>VLOOKUP(A3263,Ingreso!K:P,6,FALSE)</f>
        <v>#N/A</v>
      </c>
      <c r="E3263" s="142" t="e">
        <f>(VLOOKUP(D3263,$D$2:$E$4,2,FALSE))-(IF('Informe Kelly'!H3257=$A$2,'Informe Kelly'!F3257,VLOOKUP(D3263,$D$2:$E$4,2,FALSE)))</f>
        <v>#N/A</v>
      </c>
      <c r="F3263" s="142" t="e">
        <f>IF('Informe Kelly'!H3257=$A$3,'Informe Kelly'!F3257,VLOOKUP(D3263,$D$2:$F$4,3,FALSE))-(VLOOKUP(D3263,$D$2:$F$4,3,FALSE))</f>
        <v>#N/A</v>
      </c>
      <c r="G3263" s="137" t="e">
        <f t="shared" si="54"/>
        <v>#N/A</v>
      </c>
    </row>
    <row r="3264" spans="1:7">
      <c r="A3264" s="112" t="e">
        <f>VLOOKUP('Informe Kelly'!A3258,Base!A:B,2,FALSE)</f>
        <v>#N/A</v>
      </c>
      <c r="B3264" s="112" t="e">
        <f>VLOOKUP('Informe Kelly'!A3258,Base!A:G,7,FALSE)</f>
        <v>#N/A</v>
      </c>
      <c r="C3264" s="112">
        <f>'Informe Kelly'!E3258</f>
        <v>0</v>
      </c>
      <c r="D3264" s="112" t="e">
        <f>VLOOKUP(A3264,Ingreso!K:P,6,FALSE)</f>
        <v>#N/A</v>
      </c>
      <c r="E3264" s="142" t="e">
        <f>(VLOOKUP(D3264,$D$2:$E$4,2,FALSE))-(IF('Informe Kelly'!H3258=$A$2,'Informe Kelly'!F3258,VLOOKUP(D3264,$D$2:$E$4,2,FALSE)))</f>
        <v>#N/A</v>
      </c>
      <c r="F3264" s="142" t="e">
        <f>IF('Informe Kelly'!H3258=$A$3,'Informe Kelly'!F3258,VLOOKUP(D3264,$D$2:$F$4,3,FALSE))-(VLOOKUP(D3264,$D$2:$F$4,3,FALSE))</f>
        <v>#N/A</v>
      </c>
      <c r="G3264" s="137" t="e">
        <f t="shared" si="54"/>
        <v>#N/A</v>
      </c>
    </row>
    <row r="3265" spans="1:7">
      <c r="A3265" s="112" t="e">
        <f>VLOOKUP('Informe Kelly'!A3259,Base!A:B,2,FALSE)</f>
        <v>#N/A</v>
      </c>
      <c r="B3265" s="112" t="e">
        <f>VLOOKUP('Informe Kelly'!A3259,Base!A:G,7,FALSE)</f>
        <v>#N/A</v>
      </c>
      <c r="C3265" s="112">
        <f>'Informe Kelly'!E3259</f>
        <v>0</v>
      </c>
      <c r="D3265" s="112" t="e">
        <f>VLOOKUP(A3265,Ingreso!K:P,6,FALSE)</f>
        <v>#N/A</v>
      </c>
      <c r="E3265" s="142" t="e">
        <f>(VLOOKUP(D3265,$D$2:$E$4,2,FALSE))-(IF('Informe Kelly'!H3259=$A$2,'Informe Kelly'!F3259,VLOOKUP(D3265,$D$2:$E$4,2,FALSE)))</f>
        <v>#N/A</v>
      </c>
      <c r="F3265" s="142" t="e">
        <f>IF('Informe Kelly'!H3259=$A$3,'Informe Kelly'!F3259,VLOOKUP(D3265,$D$2:$F$4,3,FALSE))-(VLOOKUP(D3265,$D$2:$F$4,3,FALSE))</f>
        <v>#N/A</v>
      </c>
      <c r="G3265" s="137" t="e">
        <f t="shared" si="54"/>
        <v>#N/A</v>
      </c>
    </row>
    <row r="3266" spans="1:7">
      <c r="A3266" s="112" t="e">
        <f>VLOOKUP('Informe Kelly'!A3260,Base!A:B,2,FALSE)</f>
        <v>#N/A</v>
      </c>
      <c r="B3266" s="112" t="e">
        <f>VLOOKUP('Informe Kelly'!A3260,Base!A:G,7,FALSE)</f>
        <v>#N/A</v>
      </c>
      <c r="C3266" s="112">
        <f>'Informe Kelly'!E3260</f>
        <v>0</v>
      </c>
      <c r="D3266" s="112" t="e">
        <f>VLOOKUP(A3266,Ingreso!K:P,6,FALSE)</f>
        <v>#N/A</v>
      </c>
      <c r="E3266" s="142" t="e">
        <f>(VLOOKUP(D3266,$D$2:$E$4,2,FALSE))-(IF('Informe Kelly'!H3260=$A$2,'Informe Kelly'!F3260,VLOOKUP(D3266,$D$2:$E$4,2,FALSE)))</f>
        <v>#N/A</v>
      </c>
      <c r="F3266" s="142" t="e">
        <f>IF('Informe Kelly'!H3260=$A$3,'Informe Kelly'!F3260,VLOOKUP(D3266,$D$2:$F$4,3,FALSE))-(VLOOKUP(D3266,$D$2:$F$4,3,FALSE))</f>
        <v>#N/A</v>
      </c>
      <c r="G3266" s="137" t="e">
        <f t="shared" si="54"/>
        <v>#N/A</v>
      </c>
    </row>
    <row r="3267" spans="1:7">
      <c r="A3267" s="112" t="e">
        <f>VLOOKUP('Informe Kelly'!A3261,Base!A:B,2,FALSE)</f>
        <v>#N/A</v>
      </c>
      <c r="B3267" s="112" t="e">
        <f>VLOOKUP('Informe Kelly'!A3261,Base!A:G,7,FALSE)</f>
        <v>#N/A</v>
      </c>
      <c r="C3267" s="112">
        <f>'Informe Kelly'!E3261</f>
        <v>0</v>
      </c>
      <c r="D3267" s="112" t="e">
        <f>VLOOKUP(A3267,Ingreso!K:P,6,FALSE)</f>
        <v>#N/A</v>
      </c>
      <c r="E3267" s="142" t="e">
        <f>(VLOOKUP(D3267,$D$2:$E$4,2,FALSE))-(IF('Informe Kelly'!H3261=$A$2,'Informe Kelly'!F3261,VLOOKUP(D3267,$D$2:$E$4,2,FALSE)))</f>
        <v>#N/A</v>
      </c>
      <c r="F3267" s="142" t="e">
        <f>IF('Informe Kelly'!H3261=$A$3,'Informe Kelly'!F3261,VLOOKUP(D3267,$D$2:$F$4,3,FALSE))-(VLOOKUP(D3267,$D$2:$F$4,3,FALSE))</f>
        <v>#N/A</v>
      </c>
      <c r="G3267" s="137" t="e">
        <f t="shared" si="54"/>
        <v>#N/A</v>
      </c>
    </row>
    <row r="3268" spans="1:7">
      <c r="A3268" s="112" t="e">
        <f>VLOOKUP('Informe Kelly'!A3262,Base!A:B,2,FALSE)</f>
        <v>#N/A</v>
      </c>
      <c r="B3268" s="112" t="e">
        <f>VLOOKUP('Informe Kelly'!A3262,Base!A:G,7,FALSE)</f>
        <v>#N/A</v>
      </c>
      <c r="C3268" s="112">
        <f>'Informe Kelly'!E3262</f>
        <v>0</v>
      </c>
      <c r="D3268" s="112" t="e">
        <f>VLOOKUP(A3268,Ingreso!K:P,6,FALSE)</f>
        <v>#N/A</v>
      </c>
      <c r="E3268" s="142" t="e">
        <f>(VLOOKUP(D3268,$D$2:$E$4,2,FALSE))-(IF('Informe Kelly'!H3262=$A$2,'Informe Kelly'!F3262,VLOOKUP(D3268,$D$2:$E$4,2,FALSE)))</f>
        <v>#N/A</v>
      </c>
      <c r="F3268" s="142" t="e">
        <f>IF('Informe Kelly'!H3262=$A$3,'Informe Kelly'!F3262,VLOOKUP(D3268,$D$2:$F$4,3,FALSE))-(VLOOKUP(D3268,$D$2:$F$4,3,FALSE))</f>
        <v>#N/A</v>
      </c>
      <c r="G3268" s="137" t="e">
        <f t="shared" si="54"/>
        <v>#N/A</v>
      </c>
    </row>
    <row r="3269" spans="1:7">
      <c r="A3269" s="112" t="e">
        <f>VLOOKUP('Informe Kelly'!A3263,Base!A:B,2,FALSE)</f>
        <v>#N/A</v>
      </c>
      <c r="B3269" s="112" t="e">
        <f>VLOOKUP('Informe Kelly'!A3263,Base!A:G,7,FALSE)</f>
        <v>#N/A</v>
      </c>
      <c r="C3269" s="112">
        <f>'Informe Kelly'!E3263</f>
        <v>0</v>
      </c>
      <c r="D3269" s="112" t="e">
        <f>VLOOKUP(A3269,Ingreso!K:P,6,FALSE)</f>
        <v>#N/A</v>
      </c>
      <c r="E3269" s="142" t="e">
        <f>(VLOOKUP(D3269,$D$2:$E$4,2,FALSE))-(IF('Informe Kelly'!H3263=$A$2,'Informe Kelly'!F3263,VLOOKUP(D3269,$D$2:$E$4,2,FALSE)))</f>
        <v>#N/A</v>
      </c>
      <c r="F3269" s="142" t="e">
        <f>IF('Informe Kelly'!H3263=$A$3,'Informe Kelly'!F3263,VLOOKUP(D3269,$D$2:$F$4,3,FALSE))-(VLOOKUP(D3269,$D$2:$F$4,3,FALSE))</f>
        <v>#N/A</v>
      </c>
      <c r="G3269" s="137" t="e">
        <f t="shared" si="54"/>
        <v>#N/A</v>
      </c>
    </row>
    <row r="3270" spans="1:7">
      <c r="A3270" s="112" t="e">
        <f>VLOOKUP('Informe Kelly'!A3264,Base!A:B,2,FALSE)</f>
        <v>#N/A</v>
      </c>
      <c r="B3270" s="112" t="e">
        <f>VLOOKUP('Informe Kelly'!A3264,Base!A:G,7,FALSE)</f>
        <v>#N/A</v>
      </c>
      <c r="C3270" s="112">
        <f>'Informe Kelly'!E3264</f>
        <v>0</v>
      </c>
      <c r="D3270" s="112" t="e">
        <f>VLOOKUP(A3270,Ingreso!K:P,6,FALSE)</f>
        <v>#N/A</v>
      </c>
      <c r="E3270" s="142" t="e">
        <f>(VLOOKUP(D3270,$D$2:$E$4,2,FALSE))-(IF('Informe Kelly'!H3264=$A$2,'Informe Kelly'!F3264,VLOOKUP(D3270,$D$2:$E$4,2,FALSE)))</f>
        <v>#N/A</v>
      </c>
      <c r="F3270" s="142" t="e">
        <f>IF('Informe Kelly'!H3264=$A$3,'Informe Kelly'!F3264,VLOOKUP(D3270,$D$2:$F$4,3,FALSE))-(VLOOKUP(D3270,$D$2:$F$4,3,FALSE))</f>
        <v>#N/A</v>
      </c>
      <c r="G3270" s="137" t="e">
        <f t="shared" si="54"/>
        <v>#N/A</v>
      </c>
    </row>
    <row r="3271" spans="1:7">
      <c r="A3271" s="112" t="e">
        <f>VLOOKUP('Informe Kelly'!A3265,Base!A:B,2,FALSE)</f>
        <v>#N/A</v>
      </c>
      <c r="B3271" s="112" t="e">
        <f>VLOOKUP('Informe Kelly'!A3265,Base!A:G,7,FALSE)</f>
        <v>#N/A</v>
      </c>
      <c r="C3271" s="112">
        <f>'Informe Kelly'!E3265</f>
        <v>0</v>
      </c>
      <c r="D3271" s="112" t="e">
        <f>VLOOKUP(A3271,Ingreso!K:P,6,FALSE)</f>
        <v>#N/A</v>
      </c>
      <c r="E3271" s="142" t="e">
        <f>(VLOOKUP(D3271,$D$2:$E$4,2,FALSE))-(IF('Informe Kelly'!H3265=$A$2,'Informe Kelly'!F3265,VLOOKUP(D3271,$D$2:$E$4,2,FALSE)))</f>
        <v>#N/A</v>
      </c>
      <c r="F3271" s="142" t="e">
        <f>IF('Informe Kelly'!H3265=$A$3,'Informe Kelly'!F3265,VLOOKUP(D3271,$D$2:$F$4,3,FALSE))-(VLOOKUP(D3271,$D$2:$F$4,3,FALSE))</f>
        <v>#N/A</v>
      </c>
      <c r="G3271" s="137" t="e">
        <f t="shared" si="54"/>
        <v>#N/A</v>
      </c>
    </row>
    <row r="3272" spans="1:7">
      <c r="A3272" s="112" t="e">
        <f>VLOOKUP('Informe Kelly'!A3266,Base!A:B,2,FALSE)</f>
        <v>#N/A</v>
      </c>
      <c r="B3272" s="112" t="e">
        <f>VLOOKUP('Informe Kelly'!A3266,Base!A:G,7,FALSE)</f>
        <v>#N/A</v>
      </c>
      <c r="C3272" s="112">
        <f>'Informe Kelly'!E3266</f>
        <v>0</v>
      </c>
      <c r="D3272" s="112" t="e">
        <f>VLOOKUP(A3272,Ingreso!K:P,6,FALSE)</f>
        <v>#N/A</v>
      </c>
      <c r="E3272" s="142" t="e">
        <f>(VLOOKUP(D3272,$D$2:$E$4,2,FALSE))-(IF('Informe Kelly'!H3266=$A$2,'Informe Kelly'!F3266,VLOOKUP(D3272,$D$2:$E$4,2,FALSE)))</f>
        <v>#N/A</v>
      </c>
      <c r="F3272" s="142" t="e">
        <f>IF('Informe Kelly'!H3266=$A$3,'Informe Kelly'!F3266,VLOOKUP(D3272,$D$2:$F$4,3,FALSE))-(VLOOKUP(D3272,$D$2:$F$4,3,FALSE))</f>
        <v>#N/A</v>
      </c>
      <c r="G3272" s="137" t="e">
        <f t="shared" si="54"/>
        <v>#N/A</v>
      </c>
    </row>
    <row r="3273" spans="1:7">
      <c r="A3273" s="112" t="e">
        <f>VLOOKUP('Informe Kelly'!A3267,Base!A:B,2,FALSE)</f>
        <v>#N/A</v>
      </c>
      <c r="B3273" s="112" t="e">
        <f>VLOOKUP('Informe Kelly'!A3267,Base!A:G,7,FALSE)</f>
        <v>#N/A</v>
      </c>
      <c r="C3273" s="112">
        <f>'Informe Kelly'!E3267</f>
        <v>0</v>
      </c>
      <c r="D3273" s="112" t="e">
        <f>VLOOKUP(A3273,Ingreso!K:P,6,FALSE)</f>
        <v>#N/A</v>
      </c>
      <c r="E3273" s="142" t="e">
        <f>(VLOOKUP(D3273,$D$2:$E$4,2,FALSE))-(IF('Informe Kelly'!H3267=$A$2,'Informe Kelly'!F3267,VLOOKUP(D3273,$D$2:$E$4,2,FALSE)))</f>
        <v>#N/A</v>
      </c>
      <c r="F3273" s="142" t="e">
        <f>IF('Informe Kelly'!H3267=$A$3,'Informe Kelly'!F3267,VLOOKUP(D3273,$D$2:$F$4,3,FALSE))-(VLOOKUP(D3273,$D$2:$F$4,3,FALSE))</f>
        <v>#N/A</v>
      </c>
      <c r="G3273" s="137" t="e">
        <f t="shared" ref="G3273:G3336" si="55">IF(E3273="",IF(F3273&lt;0.0409722222222222,0,E3273),IF(E3273&lt;0.0409722222222222,0,E3273))</f>
        <v>#N/A</v>
      </c>
    </row>
    <row r="3274" spans="1:7">
      <c r="A3274" s="112" t="e">
        <f>VLOOKUP('Informe Kelly'!A3268,Base!A:B,2,FALSE)</f>
        <v>#N/A</v>
      </c>
      <c r="B3274" s="112" t="e">
        <f>VLOOKUP('Informe Kelly'!A3268,Base!A:G,7,FALSE)</f>
        <v>#N/A</v>
      </c>
      <c r="C3274" s="112">
        <f>'Informe Kelly'!E3268</f>
        <v>0</v>
      </c>
      <c r="D3274" s="112" t="e">
        <f>VLOOKUP(A3274,Ingreso!K:P,6,FALSE)</f>
        <v>#N/A</v>
      </c>
      <c r="E3274" s="142" t="e">
        <f>(VLOOKUP(D3274,$D$2:$E$4,2,FALSE))-(IF('Informe Kelly'!H3268=$A$2,'Informe Kelly'!F3268,VLOOKUP(D3274,$D$2:$E$4,2,FALSE)))</f>
        <v>#N/A</v>
      </c>
      <c r="F3274" s="142" t="e">
        <f>IF('Informe Kelly'!H3268=$A$3,'Informe Kelly'!F3268,VLOOKUP(D3274,$D$2:$F$4,3,FALSE))-(VLOOKUP(D3274,$D$2:$F$4,3,FALSE))</f>
        <v>#N/A</v>
      </c>
      <c r="G3274" s="137" t="e">
        <f t="shared" si="55"/>
        <v>#N/A</v>
      </c>
    </row>
    <row r="3275" spans="1:7">
      <c r="A3275" s="112" t="e">
        <f>VLOOKUP('Informe Kelly'!A3269,Base!A:B,2,FALSE)</f>
        <v>#N/A</v>
      </c>
      <c r="B3275" s="112" t="e">
        <f>VLOOKUP('Informe Kelly'!A3269,Base!A:G,7,FALSE)</f>
        <v>#N/A</v>
      </c>
      <c r="C3275" s="112">
        <f>'Informe Kelly'!E3269</f>
        <v>0</v>
      </c>
      <c r="D3275" s="112" t="e">
        <f>VLOOKUP(A3275,Ingreso!K:P,6,FALSE)</f>
        <v>#N/A</v>
      </c>
      <c r="E3275" s="142" t="e">
        <f>(VLOOKUP(D3275,$D$2:$E$4,2,FALSE))-(IF('Informe Kelly'!H3269=$A$2,'Informe Kelly'!F3269,VLOOKUP(D3275,$D$2:$E$4,2,FALSE)))</f>
        <v>#N/A</v>
      </c>
      <c r="F3275" s="142" t="e">
        <f>IF('Informe Kelly'!H3269=$A$3,'Informe Kelly'!F3269,VLOOKUP(D3275,$D$2:$F$4,3,FALSE))-(VLOOKUP(D3275,$D$2:$F$4,3,FALSE))</f>
        <v>#N/A</v>
      </c>
      <c r="G3275" s="137" t="e">
        <f t="shared" si="55"/>
        <v>#N/A</v>
      </c>
    </row>
    <row r="3276" spans="1:7">
      <c r="A3276" s="112" t="e">
        <f>VLOOKUP('Informe Kelly'!A3270,Base!A:B,2,FALSE)</f>
        <v>#N/A</v>
      </c>
      <c r="B3276" s="112" t="e">
        <f>VLOOKUP('Informe Kelly'!A3270,Base!A:G,7,FALSE)</f>
        <v>#N/A</v>
      </c>
      <c r="C3276" s="112">
        <f>'Informe Kelly'!E3270</f>
        <v>0</v>
      </c>
      <c r="D3276" s="112" t="e">
        <f>VLOOKUP(A3276,Ingreso!K:P,6,FALSE)</f>
        <v>#N/A</v>
      </c>
      <c r="E3276" s="142" t="e">
        <f>(VLOOKUP(D3276,$D$2:$E$4,2,FALSE))-(IF('Informe Kelly'!H3270=$A$2,'Informe Kelly'!F3270,VLOOKUP(D3276,$D$2:$E$4,2,FALSE)))</f>
        <v>#N/A</v>
      </c>
      <c r="F3276" s="142" t="e">
        <f>IF('Informe Kelly'!H3270=$A$3,'Informe Kelly'!F3270,VLOOKUP(D3276,$D$2:$F$4,3,FALSE))-(VLOOKUP(D3276,$D$2:$F$4,3,FALSE))</f>
        <v>#N/A</v>
      </c>
      <c r="G3276" s="137" t="e">
        <f t="shared" si="55"/>
        <v>#N/A</v>
      </c>
    </row>
    <row r="3277" spans="1:7">
      <c r="A3277" s="112" t="e">
        <f>VLOOKUP('Informe Kelly'!A3271,Base!A:B,2,FALSE)</f>
        <v>#N/A</v>
      </c>
      <c r="B3277" s="112" t="e">
        <f>VLOOKUP('Informe Kelly'!A3271,Base!A:G,7,FALSE)</f>
        <v>#N/A</v>
      </c>
      <c r="C3277" s="112">
        <f>'Informe Kelly'!E3271</f>
        <v>0</v>
      </c>
      <c r="D3277" s="112" t="e">
        <f>VLOOKUP(A3277,Ingreso!K:P,6,FALSE)</f>
        <v>#N/A</v>
      </c>
      <c r="E3277" s="142" t="e">
        <f>(VLOOKUP(D3277,$D$2:$E$4,2,FALSE))-(IF('Informe Kelly'!H3271=$A$2,'Informe Kelly'!F3271,VLOOKUP(D3277,$D$2:$E$4,2,FALSE)))</f>
        <v>#N/A</v>
      </c>
      <c r="F3277" s="142" t="e">
        <f>IF('Informe Kelly'!H3271=$A$3,'Informe Kelly'!F3271,VLOOKUP(D3277,$D$2:$F$4,3,FALSE))-(VLOOKUP(D3277,$D$2:$F$4,3,FALSE))</f>
        <v>#N/A</v>
      </c>
      <c r="G3277" s="137" t="e">
        <f t="shared" si="55"/>
        <v>#N/A</v>
      </c>
    </row>
    <row r="3278" spans="1:7">
      <c r="A3278" s="112" t="e">
        <f>VLOOKUP('Informe Kelly'!A3272,Base!A:B,2,FALSE)</f>
        <v>#N/A</v>
      </c>
      <c r="B3278" s="112" t="e">
        <f>VLOOKUP('Informe Kelly'!A3272,Base!A:G,7,FALSE)</f>
        <v>#N/A</v>
      </c>
      <c r="C3278" s="112">
        <f>'Informe Kelly'!E3272</f>
        <v>0</v>
      </c>
      <c r="D3278" s="112" t="e">
        <f>VLOOKUP(A3278,Ingreso!K:P,6,FALSE)</f>
        <v>#N/A</v>
      </c>
      <c r="E3278" s="142" t="e">
        <f>(VLOOKUP(D3278,$D$2:$E$4,2,FALSE))-(IF('Informe Kelly'!H3272=$A$2,'Informe Kelly'!F3272,VLOOKUP(D3278,$D$2:$E$4,2,FALSE)))</f>
        <v>#N/A</v>
      </c>
      <c r="F3278" s="142" t="e">
        <f>IF('Informe Kelly'!H3272=$A$3,'Informe Kelly'!F3272,VLOOKUP(D3278,$D$2:$F$4,3,FALSE))-(VLOOKUP(D3278,$D$2:$F$4,3,FALSE))</f>
        <v>#N/A</v>
      </c>
      <c r="G3278" s="137" t="e">
        <f t="shared" si="55"/>
        <v>#N/A</v>
      </c>
    </row>
    <row r="3279" spans="1:7">
      <c r="A3279" s="112" t="e">
        <f>VLOOKUP('Informe Kelly'!A3273,Base!A:B,2,FALSE)</f>
        <v>#N/A</v>
      </c>
      <c r="B3279" s="112" t="e">
        <f>VLOOKUP('Informe Kelly'!A3273,Base!A:G,7,FALSE)</f>
        <v>#N/A</v>
      </c>
      <c r="C3279" s="112">
        <f>'Informe Kelly'!E3273</f>
        <v>0</v>
      </c>
      <c r="D3279" s="112" t="e">
        <f>VLOOKUP(A3279,Ingreso!K:P,6,FALSE)</f>
        <v>#N/A</v>
      </c>
      <c r="E3279" s="142" t="e">
        <f>(VLOOKUP(D3279,$D$2:$E$4,2,FALSE))-(IF('Informe Kelly'!H3273=$A$2,'Informe Kelly'!F3273,VLOOKUP(D3279,$D$2:$E$4,2,FALSE)))</f>
        <v>#N/A</v>
      </c>
      <c r="F3279" s="142" t="e">
        <f>IF('Informe Kelly'!H3273=$A$3,'Informe Kelly'!F3273,VLOOKUP(D3279,$D$2:$F$4,3,FALSE))-(VLOOKUP(D3279,$D$2:$F$4,3,FALSE))</f>
        <v>#N/A</v>
      </c>
      <c r="G3279" s="137" t="e">
        <f t="shared" si="55"/>
        <v>#N/A</v>
      </c>
    </row>
    <row r="3280" spans="1:7">
      <c r="A3280" s="112" t="e">
        <f>VLOOKUP('Informe Kelly'!A3274,Base!A:B,2,FALSE)</f>
        <v>#N/A</v>
      </c>
      <c r="B3280" s="112" t="e">
        <f>VLOOKUP('Informe Kelly'!A3274,Base!A:G,7,FALSE)</f>
        <v>#N/A</v>
      </c>
      <c r="C3280" s="112">
        <f>'Informe Kelly'!E3274</f>
        <v>0</v>
      </c>
      <c r="D3280" s="112" t="e">
        <f>VLOOKUP(A3280,Ingreso!K:P,6,FALSE)</f>
        <v>#N/A</v>
      </c>
      <c r="E3280" s="142" t="e">
        <f>(VLOOKUP(D3280,$D$2:$E$4,2,FALSE))-(IF('Informe Kelly'!H3274=$A$2,'Informe Kelly'!F3274,VLOOKUP(D3280,$D$2:$E$4,2,FALSE)))</f>
        <v>#N/A</v>
      </c>
      <c r="F3280" s="142" t="e">
        <f>IF('Informe Kelly'!H3274=$A$3,'Informe Kelly'!F3274,VLOOKUP(D3280,$D$2:$F$4,3,FALSE))-(VLOOKUP(D3280,$D$2:$F$4,3,FALSE))</f>
        <v>#N/A</v>
      </c>
      <c r="G3280" s="137" t="e">
        <f t="shared" si="55"/>
        <v>#N/A</v>
      </c>
    </row>
    <row r="3281" spans="1:7">
      <c r="A3281" s="112" t="e">
        <f>VLOOKUP('Informe Kelly'!A3275,Base!A:B,2,FALSE)</f>
        <v>#N/A</v>
      </c>
      <c r="B3281" s="112" t="e">
        <f>VLOOKUP('Informe Kelly'!A3275,Base!A:G,7,FALSE)</f>
        <v>#N/A</v>
      </c>
      <c r="C3281" s="112">
        <f>'Informe Kelly'!E3275</f>
        <v>0</v>
      </c>
      <c r="D3281" s="112" t="e">
        <f>VLOOKUP(A3281,Ingreso!K:P,6,FALSE)</f>
        <v>#N/A</v>
      </c>
      <c r="E3281" s="142" t="e">
        <f>(VLOOKUP(D3281,$D$2:$E$4,2,FALSE))-(IF('Informe Kelly'!H3275=$A$2,'Informe Kelly'!F3275,VLOOKUP(D3281,$D$2:$E$4,2,FALSE)))</f>
        <v>#N/A</v>
      </c>
      <c r="F3281" s="142" t="e">
        <f>IF('Informe Kelly'!H3275=$A$3,'Informe Kelly'!F3275,VLOOKUP(D3281,$D$2:$F$4,3,FALSE))-(VLOOKUP(D3281,$D$2:$F$4,3,FALSE))</f>
        <v>#N/A</v>
      </c>
      <c r="G3281" s="137" t="e">
        <f t="shared" si="55"/>
        <v>#N/A</v>
      </c>
    </row>
    <row r="3282" spans="1:7">
      <c r="A3282" s="112" t="e">
        <f>VLOOKUP('Informe Kelly'!A3276,Base!A:B,2,FALSE)</f>
        <v>#N/A</v>
      </c>
      <c r="B3282" s="112" t="e">
        <f>VLOOKUP('Informe Kelly'!A3276,Base!A:G,7,FALSE)</f>
        <v>#N/A</v>
      </c>
      <c r="C3282" s="112">
        <f>'Informe Kelly'!E3276</f>
        <v>0</v>
      </c>
      <c r="D3282" s="112" t="e">
        <f>VLOOKUP(A3282,Ingreso!K:P,6,FALSE)</f>
        <v>#N/A</v>
      </c>
      <c r="E3282" s="142" t="e">
        <f>(VLOOKUP(D3282,$D$2:$E$4,2,FALSE))-(IF('Informe Kelly'!H3276=$A$2,'Informe Kelly'!F3276,VLOOKUP(D3282,$D$2:$E$4,2,FALSE)))</f>
        <v>#N/A</v>
      </c>
      <c r="F3282" s="142" t="e">
        <f>IF('Informe Kelly'!H3276=$A$3,'Informe Kelly'!F3276,VLOOKUP(D3282,$D$2:$F$4,3,FALSE))-(VLOOKUP(D3282,$D$2:$F$4,3,FALSE))</f>
        <v>#N/A</v>
      </c>
      <c r="G3282" s="137" t="e">
        <f t="shared" si="55"/>
        <v>#N/A</v>
      </c>
    </row>
    <row r="3283" spans="1:7">
      <c r="A3283" s="112" t="e">
        <f>VLOOKUP('Informe Kelly'!A3277,Base!A:B,2,FALSE)</f>
        <v>#N/A</v>
      </c>
      <c r="B3283" s="112" t="e">
        <f>VLOOKUP('Informe Kelly'!A3277,Base!A:G,7,FALSE)</f>
        <v>#N/A</v>
      </c>
      <c r="C3283" s="112">
        <f>'Informe Kelly'!E3277</f>
        <v>0</v>
      </c>
      <c r="D3283" s="112" t="e">
        <f>VLOOKUP(A3283,Ingreso!K:P,6,FALSE)</f>
        <v>#N/A</v>
      </c>
      <c r="E3283" s="142" t="e">
        <f>(VLOOKUP(D3283,$D$2:$E$4,2,FALSE))-(IF('Informe Kelly'!H3277=$A$2,'Informe Kelly'!F3277,VLOOKUP(D3283,$D$2:$E$4,2,FALSE)))</f>
        <v>#N/A</v>
      </c>
      <c r="F3283" s="142" t="e">
        <f>IF('Informe Kelly'!H3277=$A$3,'Informe Kelly'!F3277,VLOOKUP(D3283,$D$2:$F$4,3,FALSE))-(VLOOKUP(D3283,$D$2:$F$4,3,FALSE))</f>
        <v>#N/A</v>
      </c>
      <c r="G3283" s="137" t="e">
        <f t="shared" si="55"/>
        <v>#N/A</v>
      </c>
    </row>
    <row r="3284" spans="1:7">
      <c r="A3284" s="112" t="e">
        <f>VLOOKUP('Informe Kelly'!A3278,Base!A:B,2,FALSE)</f>
        <v>#N/A</v>
      </c>
      <c r="B3284" s="112" t="e">
        <f>VLOOKUP('Informe Kelly'!A3278,Base!A:G,7,FALSE)</f>
        <v>#N/A</v>
      </c>
      <c r="C3284" s="112">
        <f>'Informe Kelly'!E3278</f>
        <v>0</v>
      </c>
      <c r="D3284" s="112" t="e">
        <f>VLOOKUP(A3284,Ingreso!K:P,6,FALSE)</f>
        <v>#N/A</v>
      </c>
      <c r="E3284" s="142" t="e">
        <f>(VLOOKUP(D3284,$D$2:$E$4,2,FALSE))-(IF('Informe Kelly'!H3278=$A$2,'Informe Kelly'!F3278,VLOOKUP(D3284,$D$2:$E$4,2,FALSE)))</f>
        <v>#N/A</v>
      </c>
      <c r="F3284" s="142" t="e">
        <f>IF('Informe Kelly'!H3278=$A$3,'Informe Kelly'!F3278,VLOOKUP(D3284,$D$2:$F$4,3,FALSE))-(VLOOKUP(D3284,$D$2:$F$4,3,FALSE))</f>
        <v>#N/A</v>
      </c>
      <c r="G3284" s="137" t="e">
        <f t="shared" si="55"/>
        <v>#N/A</v>
      </c>
    </row>
    <row r="3285" spans="1:7">
      <c r="A3285" s="112" t="e">
        <f>VLOOKUP('Informe Kelly'!A3279,Base!A:B,2,FALSE)</f>
        <v>#N/A</v>
      </c>
      <c r="B3285" s="112" t="e">
        <f>VLOOKUP('Informe Kelly'!A3279,Base!A:G,7,FALSE)</f>
        <v>#N/A</v>
      </c>
      <c r="C3285" s="112">
        <f>'Informe Kelly'!E3279</f>
        <v>0</v>
      </c>
      <c r="D3285" s="112" t="e">
        <f>VLOOKUP(A3285,Ingreso!K:P,6,FALSE)</f>
        <v>#N/A</v>
      </c>
      <c r="E3285" s="142" t="e">
        <f>(VLOOKUP(D3285,$D$2:$E$4,2,FALSE))-(IF('Informe Kelly'!H3279=$A$2,'Informe Kelly'!F3279,VLOOKUP(D3285,$D$2:$E$4,2,FALSE)))</f>
        <v>#N/A</v>
      </c>
      <c r="F3285" s="142" t="e">
        <f>IF('Informe Kelly'!H3279=$A$3,'Informe Kelly'!F3279,VLOOKUP(D3285,$D$2:$F$4,3,FALSE))-(VLOOKUP(D3285,$D$2:$F$4,3,FALSE))</f>
        <v>#N/A</v>
      </c>
      <c r="G3285" s="137" t="e">
        <f t="shared" si="55"/>
        <v>#N/A</v>
      </c>
    </row>
    <row r="3286" spans="1:7">
      <c r="A3286" s="112" t="e">
        <f>VLOOKUP('Informe Kelly'!A3280,Base!A:B,2,FALSE)</f>
        <v>#N/A</v>
      </c>
      <c r="B3286" s="112" t="e">
        <f>VLOOKUP('Informe Kelly'!A3280,Base!A:G,7,FALSE)</f>
        <v>#N/A</v>
      </c>
      <c r="C3286" s="112">
        <f>'Informe Kelly'!E3280</f>
        <v>0</v>
      </c>
      <c r="D3286" s="112" t="e">
        <f>VLOOKUP(A3286,Ingreso!K:P,6,FALSE)</f>
        <v>#N/A</v>
      </c>
      <c r="E3286" s="142" t="e">
        <f>(VLOOKUP(D3286,$D$2:$E$4,2,FALSE))-(IF('Informe Kelly'!H3280=$A$2,'Informe Kelly'!F3280,VLOOKUP(D3286,$D$2:$E$4,2,FALSE)))</f>
        <v>#N/A</v>
      </c>
      <c r="F3286" s="142" t="e">
        <f>IF('Informe Kelly'!H3280=$A$3,'Informe Kelly'!F3280,VLOOKUP(D3286,$D$2:$F$4,3,FALSE))-(VLOOKUP(D3286,$D$2:$F$4,3,FALSE))</f>
        <v>#N/A</v>
      </c>
      <c r="G3286" s="137" t="e">
        <f t="shared" si="55"/>
        <v>#N/A</v>
      </c>
    </row>
    <row r="3287" spans="1:7">
      <c r="A3287" s="112" t="e">
        <f>VLOOKUP('Informe Kelly'!A3281,Base!A:B,2,FALSE)</f>
        <v>#N/A</v>
      </c>
      <c r="B3287" s="112" t="e">
        <f>VLOOKUP('Informe Kelly'!A3281,Base!A:G,7,FALSE)</f>
        <v>#N/A</v>
      </c>
      <c r="C3287" s="112">
        <f>'Informe Kelly'!E3281</f>
        <v>0</v>
      </c>
      <c r="D3287" s="112" t="e">
        <f>VLOOKUP(A3287,Ingreso!K:P,6,FALSE)</f>
        <v>#N/A</v>
      </c>
      <c r="E3287" s="142" t="e">
        <f>(VLOOKUP(D3287,$D$2:$E$4,2,FALSE))-(IF('Informe Kelly'!H3281=$A$2,'Informe Kelly'!F3281,VLOOKUP(D3287,$D$2:$E$4,2,FALSE)))</f>
        <v>#N/A</v>
      </c>
      <c r="F3287" s="142" t="e">
        <f>IF('Informe Kelly'!H3281=$A$3,'Informe Kelly'!F3281,VLOOKUP(D3287,$D$2:$F$4,3,FALSE))-(VLOOKUP(D3287,$D$2:$F$4,3,FALSE))</f>
        <v>#N/A</v>
      </c>
      <c r="G3287" s="137" t="e">
        <f t="shared" si="55"/>
        <v>#N/A</v>
      </c>
    </row>
    <row r="3288" spans="1:7">
      <c r="A3288" s="112" t="e">
        <f>VLOOKUP('Informe Kelly'!A3282,Base!A:B,2,FALSE)</f>
        <v>#N/A</v>
      </c>
      <c r="B3288" s="112" t="e">
        <f>VLOOKUP('Informe Kelly'!A3282,Base!A:G,7,FALSE)</f>
        <v>#N/A</v>
      </c>
      <c r="C3288" s="112">
        <f>'Informe Kelly'!E3282</f>
        <v>0</v>
      </c>
      <c r="D3288" s="112" t="e">
        <f>VLOOKUP(A3288,Ingreso!K:P,6,FALSE)</f>
        <v>#N/A</v>
      </c>
      <c r="E3288" s="142" t="e">
        <f>(VLOOKUP(D3288,$D$2:$E$4,2,FALSE))-(IF('Informe Kelly'!H3282=$A$2,'Informe Kelly'!F3282,VLOOKUP(D3288,$D$2:$E$4,2,FALSE)))</f>
        <v>#N/A</v>
      </c>
      <c r="F3288" s="142" t="e">
        <f>IF('Informe Kelly'!H3282=$A$3,'Informe Kelly'!F3282,VLOOKUP(D3288,$D$2:$F$4,3,FALSE))-(VLOOKUP(D3288,$D$2:$F$4,3,FALSE))</f>
        <v>#N/A</v>
      </c>
      <c r="G3288" s="137" t="e">
        <f t="shared" si="55"/>
        <v>#N/A</v>
      </c>
    </row>
    <row r="3289" spans="1:7">
      <c r="A3289" s="112" t="e">
        <f>VLOOKUP('Informe Kelly'!A3283,Base!A:B,2,FALSE)</f>
        <v>#N/A</v>
      </c>
      <c r="B3289" s="112" t="e">
        <f>VLOOKUP('Informe Kelly'!A3283,Base!A:G,7,FALSE)</f>
        <v>#N/A</v>
      </c>
      <c r="C3289" s="112">
        <f>'Informe Kelly'!E3283</f>
        <v>0</v>
      </c>
      <c r="D3289" s="112" t="e">
        <f>VLOOKUP(A3289,Ingreso!K:P,6,FALSE)</f>
        <v>#N/A</v>
      </c>
      <c r="E3289" s="142" t="e">
        <f>(VLOOKUP(D3289,$D$2:$E$4,2,FALSE))-(IF('Informe Kelly'!H3283=$A$2,'Informe Kelly'!F3283,VLOOKUP(D3289,$D$2:$E$4,2,FALSE)))</f>
        <v>#N/A</v>
      </c>
      <c r="F3289" s="142" t="e">
        <f>IF('Informe Kelly'!H3283=$A$3,'Informe Kelly'!F3283,VLOOKUP(D3289,$D$2:$F$4,3,FALSE))-(VLOOKUP(D3289,$D$2:$F$4,3,FALSE))</f>
        <v>#N/A</v>
      </c>
      <c r="G3289" s="137" t="e">
        <f t="shared" si="55"/>
        <v>#N/A</v>
      </c>
    </row>
    <row r="3290" spans="1:7">
      <c r="A3290" s="112" t="e">
        <f>VLOOKUP('Informe Kelly'!A3284,Base!A:B,2,FALSE)</f>
        <v>#N/A</v>
      </c>
      <c r="B3290" s="112" t="e">
        <f>VLOOKUP('Informe Kelly'!A3284,Base!A:G,7,FALSE)</f>
        <v>#N/A</v>
      </c>
      <c r="C3290" s="112">
        <f>'Informe Kelly'!E3284</f>
        <v>0</v>
      </c>
      <c r="D3290" s="112" t="e">
        <f>VLOOKUP(A3290,Ingreso!K:P,6,FALSE)</f>
        <v>#N/A</v>
      </c>
      <c r="E3290" s="142" t="e">
        <f>(VLOOKUP(D3290,$D$2:$E$4,2,FALSE))-(IF('Informe Kelly'!H3284=$A$2,'Informe Kelly'!F3284,VLOOKUP(D3290,$D$2:$E$4,2,FALSE)))</f>
        <v>#N/A</v>
      </c>
      <c r="F3290" s="142" t="e">
        <f>IF('Informe Kelly'!H3284=$A$3,'Informe Kelly'!F3284,VLOOKUP(D3290,$D$2:$F$4,3,FALSE))-(VLOOKUP(D3290,$D$2:$F$4,3,FALSE))</f>
        <v>#N/A</v>
      </c>
      <c r="G3290" s="137" t="e">
        <f t="shared" si="55"/>
        <v>#N/A</v>
      </c>
    </row>
    <row r="3291" spans="1:7">
      <c r="A3291" s="112" t="e">
        <f>VLOOKUP('Informe Kelly'!A3285,Base!A:B,2,FALSE)</f>
        <v>#N/A</v>
      </c>
      <c r="B3291" s="112" t="e">
        <f>VLOOKUP('Informe Kelly'!A3285,Base!A:G,7,FALSE)</f>
        <v>#N/A</v>
      </c>
      <c r="C3291" s="112">
        <f>'Informe Kelly'!E3285</f>
        <v>0</v>
      </c>
      <c r="D3291" s="112" t="e">
        <f>VLOOKUP(A3291,Ingreso!K:P,6,FALSE)</f>
        <v>#N/A</v>
      </c>
      <c r="E3291" s="142" t="e">
        <f>(VLOOKUP(D3291,$D$2:$E$4,2,FALSE))-(IF('Informe Kelly'!H3285=$A$2,'Informe Kelly'!F3285,VLOOKUP(D3291,$D$2:$E$4,2,FALSE)))</f>
        <v>#N/A</v>
      </c>
      <c r="F3291" s="142" t="e">
        <f>IF('Informe Kelly'!H3285=$A$3,'Informe Kelly'!F3285,VLOOKUP(D3291,$D$2:$F$4,3,FALSE))-(VLOOKUP(D3291,$D$2:$F$4,3,FALSE))</f>
        <v>#N/A</v>
      </c>
      <c r="G3291" s="137" t="e">
        <f t="shared" si="55"/>
        <v>#N/A</v>
      </c>
    </row>
    <row r="3292" spans="1:7">
      <c r="A3292" s="112" t="e">
        <f>VLOOKUP('Informe Kelly'!A3286,Base!A:B,2,FALSE)</f>
        <v>#N/A</v>
      </c>
      <c r="B3292" s="112" t="e">
        <f>VLOOKUP('Informe Kelly'!A3286,Base!A:G,7,FALSE)</f>
        <v>#N/A</v>
      </c>
      <c r="C3292" s="112">
        <f>'Informe Kelly'!E3286</f>
        <v>0</v>
      </c>
      <c r="D3292" s="112" t="e">
        <f>VLOOKUP(A3292,Ingreso!K:P,6,FALSE)</f>
        <v>#N/A</v>
      </c>
      <c r="E3292" s="142" t="e">
        <f>(VLOOKUP(D3292,$D$2:$E$4,2,FALSE))-(IF('Informe Kelly'!H3286=$A$2,'Informe Kelly'!F3286,VLOOKUP(D3292,$D$2:$E$4,2,FALSE)))</f>
        <v>#N/A</v>
      </c>
      <c r="F3292" s="142" t="e">
        <f>IF('Informe Kelly'!H3286=$A$3,'Informe Kelly'!F3286,VLOOKUP(D3292,$D$2:$F$4,3,FALSE))-(VLOOKUP(D3292,$D$2:$F$4,3,FALSE))</f>
        <v>#N/A</v>
      </c>
      <c r="G3292" s="137" t="e">
        <f t="shared" si="55"/>
        <v>#N/A</v>
      </c>
    </row>
    <row r="3293" spans="1:7">
      <c r="A3293" s="112" t="e">
        <f>VLOOKUP('Informe Kelly'!A3287,Base!A:B,2,FALSE)</f>
        <v>#N/A</v>
      </c>
      <c r="B3293" s="112" t="e">
        <f>VLOOKUP('Informe Kelly'!A3287,Base!A:G,7,FALSE)</f>
        <v>#N/A</v>
      </c>
      <c r="C3293" s="112">
        <f>'Informe Kelly'!E3287</f>
        <v>0</v>
      </c>
      <c r="D3293" s="112" t="e">
        <f>VLOOKUP(A3293,Ingreso!K:P,6,FALSE)</f>
        <v>#N/A</v>
      </c>
      <c r="E3293" s="142" t="e">
        <f>(VLOOKUP(D3293,$D$2:$E$4,2,FALSE))-(IF('Informe Kelly'!H3287=$A$2,'Informe Kelly'!F3287,VLOOKUP(D3293,$D$2:$E$4,2,FALSE)))</f>
        <v>#N/A</v>
      </c>
      <c r="F3293" s="142" t="e">
        <f>IF('Informe Kelly'!H3287=$A$3,'Informe Kelly'!F3287,VLOOKUP(D3293,$D$2:$F$4,3,FALSE))-(VLOOKUP(D3293,$D$2:$F$4,3,FALSE))</f>
        <v>#N/A</v>
      </c>
      <c r="G3293" s="137" t="e">
        <f t="shared" si="55"/>
        <v>#N/A</v>
      </c>
    </row>
    <row r="3294" spans="1:7">
      <c r="A3294" s="112" t="e">
        <f>VLOOKUP('Informe Kelly'!A3288,Base!A:B,2,FALSE)</f>
        <v>#N/A</v>
      </c>
      <c r="B3294" s="112" t="e">
        <f>VLOOKUP('Informe Kelly'!A3288,Base!A:G,7,FALSE)</f>
        <v>#N/A</v>
      </c>
      <c r="C3294" s="112">
        <f>'Informe Kelly'!E3288</f>
        <v>0</v>
      </c>
      <c r="D3294" s="112" t="e">
        <f>VLOOKUP(A3294,Ingreso!K:P,6,FALSE)</f>
        <v>#N/A</v>
      </c>
      <c r="E3294" s="142" t="e">
        <f>(VLOOKUP(D3294,$D$2:$E$4,2,FALSE))-(IF('Informe Kelly'!H3288=$A$2,'Informe Kelly'!F3288,VLOOKUP(D3294,$D$2:$E$4,2,FALSE)))</f>
        <v>#N/A</v>
      </c>
      <c r="F3294" s="142" t="e">
        <f>IF('Informe Kelly'!H3288=$A$3,'Informe Kelly'!F3288,VLOOKUP(D3294,$D$2:$F$4,3,FALSE))-(VLOOKUP(D3294,$D$2:$F$4,3,FALSE))</f>
        <v>#N/A</v>
      </c>
      <c r="G3294" s="137" t="e">
        <f t="shared" si="55"/>
        <v>#N/A</v>
      </c>
    </row>
    <row r="3295" spans="1:7">
      <c r="A3295" s="112" t="e">
        <f>VLOOKUP('Informe Kelly'!A3289,Base!A:B,2,FALSE)</f>
        <v>#N/A</v>
      </c>
      <c r="B3295" s="112" t="e">
        <f>VLOOKUP('Informe Kelly'!A3289,Base!A:G,7,FALSE)</f>
        <v>#N/A</v>
      </c>
      <c r="C3295" s="112">
        <f>'Informe Kelly'!E3289</f>
        <v>0</v>
      </c>
      <c r="D3295" s="112" t="e">
        <f>VLOOKUP(A3295,Ingreso!K:P,6,FALSE)</f>
        <v>#N/A</v>
      </c>
      <c r="E3295" s="142" t="e">
        <f>(VLOOKUP(D3295,$D$2:$E$4,2,FALSE))-(IF('Informe Kelly'!H3289=$A$2,'Informe Kelly'!F3289,VLOOKUP(D3295,$D$2:$E$4,2,FALSE)))</f>
        <v>#N/A</v>
      </c>
      <c r="F3295" s="142" t="e">
        <f>IF('Informe Kelly'!H3289=$A$3,'Informe Kelly'!F3289,VLOOKUP(D3295,$D$2:$F$4,3,FALSE))-(VLOOKUP(D3295,$D$2:$F$4,3,FALSE))</f>
        <v>#N/A</v>
      </c>
      <c r="G3295" s="137" t="e">
        <f t="shared" si="55"/>
        <v>#N/A</v>
      </c>
    </row>
    <row r="3296" spans="1:7">
      <c r="A3296" s="112" t="e">
        <f>VLOOKUP('Informe Kelly'!A3290,Base!A:B,2,FALSE)</f>
        <v>#N/A</v>
      </c>
      <c r="B3296" s="112" t="e">
        <f>VLOOKUP('Informe Kelly'!A3290,Base!A:G,7,FALSE)</f>
        <v>#N/A</v>
      </c>
      <c r="C3296" s="112">
        <f>'Informe Kelly'!E3290</f>
        <v>0</v>
      </c>
      <c r="D3296" s="112" t="e">
        <f>VLOOKUP(A3296,Ingreso!K:P,6,FALSE)</f>
        <v>#N/A</v>
      </c>
      <c r="E3296" s="142" t="e">
        <f>(VLOOKUP(D3296,$D$2:$E$4,2,FALSE))-(IF('Informe Kelly'!H3290=$A$2,'Informe Kelly'!F3290,VLOOKUP(D3296,$D$2:$E$4,2,FALSE)))</f>
        <v>#N/A</v>
      </c>
      <c r="F3296" s="142" t="e">
        <f>IF('Informe Kelly'!H3290=$A$3,'Informe Kelly'!F3290,VLOOKUP(D3296,$D$2:$F$4,3,FALSE))-(VLOOKUP(D3296,$D$2:$F$4,3,FALSE))</f>
        <v>#N/A</v>
      </c>
      <c r="G3296" s="137" t="e">
        <f t="shared" si="55"/>
        <v>#N/A</v>
      </c>
    </row>
    <row r="3297" spans="1:7">
      <c r="A3297" s="112" t="e">
        <f>VLOOKUP('Informe Kelly'!A3291,Base!A:B,2,FALSE)</f>
        <v>#N/A</v>
      </c>
      <c r="B3297" s="112" t="e">
        <f>VLOOKUP('Informe Kelly'!A3291,Base!A:G,7,FALSE)</f>
        <v>#N/A</v>
      </c>
      <c r="C3297" s="112">
        <f>'Informe Kelly'!E3291</f>
        <v>0</v>
      </c>
      <c r="D3297" s="112" t="e">
        <f>VLOOKUP(A3297,Ingreso!K:P,6,FALSE)</f>
        <v>#N/A</v>
      </c>
      <c r="E3297" s="142" t="e">
        <f>(VLOOKUP(D3297,$D$2:$E$4,2,FALSE))-(IF('Informe Kelly'!H3291=$A$2,'Informe Kelly'!F3291,VLOOKUP(D3297,$D$2:$E$4,2,FALSE)))</f>
        <v>#N/A</v>
      </c>
      <c r="F3297" s="142" t="e">
        <f>IF('Informe Kelly'!H3291=$A$3,'Informe Kelly'!F3291,VLOOKUP(D3297,$D$2:$F$4,3,FALSE))-(VLOOKUP(D3297,$D$2:$F$4,3,FALSE))</f>
        <v>#N/A</v>
      </c>
      <c r="G3297" s="137" t="e">
        <f t="shared" si="55"/>
        <v>#N/A</v>
      </c>
    </row>
    <row r="3298" spans="1:7">
      <c r="A3298" s="112" t="e">
        <f>VLOOKUP('Informe Kelly'!A3292,Base!A:B,2,FALSE)</f>
        <v>#N/A</v>
      </c>
      <c r="B3298" s="112" t="e">
        <f>VLOOKUP('Informe Kelly'!A3292,Base!A:G,7,FALSE)</f>
        <v>#N/A</v>
      </c>
      <c r="C3298" s="112">
        <f>'Informe Kelly'!E3292</f>
        <v>0</v>
      </c>
      <c r="D3298" s="112" t="e">
        <f>VLOOKUP(A3298,Ingreso!K:P,6,FALSE)</f>
        <v>#N/A</v>
      </c>
      <c r="E3298" s="142" t="e">
        <f>(VLOOKUP(D3298,$D$2:$E$4,2,FALSE))-(IF('Informe Kelly'!H3292=$A$2,'Informe Kelly'!F3292,VLOOKUP(D3298,$D$2:$E$4,2,FALSE)))</f>
        <v>#N/A</v>
      </c>
      <c r="F3298" s="142" t="e">
        <f>IF('Informe Kelly'!H3292=$A$3,'Informe Kelly'!F3292,VLOOKUP(D3298,$D$2:$F$4,3,FALSE))-(VLOOKUP(D3298,$D$2:$F$4,3,FALSE))</f>
        <v>#N/A</v>
      </c>
      <c r="G3298" s="137" t="e">
        <f t="shared" si="55"/>
        <v>#N/A</v>
      </c>
    </row>
    <row r="3299" spans="1:7">
      <c r="A3299" s="112" t="e">
        <f>VLOOKUP('Informe Kelly'!A3293,Base!A:B,2,FALSE)</f>
        <v>#N/A</v>
      </c>
      <c r="B3299" s="112" t="e">
        <f>VLOOKUP('Informe Kelly'!A3293,Base!A:G,7,FALSE)</f>
        <v>#N/A</v>
      </c>
      <c r="C3299" s="112">
        <f>'Informe Kelly'!E3293</f>
        <v>0</v>
      </c>
      <c r="D3299" s="112" t="e">
        <f>VLOOKUP(A3299,Ingreso!K:P,6,FALSE)</f>
        <v>#N/A</v>
      </c>
      <c r="E3299" s="142" t="e">
        <f>(VLOOKUP(D3299,$D$2:$E$4,2,FALSE))-(IF('Informe Kelly'!H3293=$A$2,'Informe Kelly'!F3293,VLOOKUP(D3299,$D$2:$E$4,2,FALSE)))</f>
        <v>#N/A</v>
      </c>
      <c r="F3299" s="142" t="e">
        <f>IF('Informe Kelly'!H3293=$A$3,'Informe Kelly'!F3293,VLOOKUP(D3299,$D$2:$F$4,3,FALSE))-(VLOOKUP(D3299,$D$2:$F$4,3,FALSE))</f>
        <v>#N/A</v>
      </c>
      <c r="G3299" s="137" t="e">
        <f t="shared" si="55"/>
        <v>#N/A</v>
      </c>
    </row>
    <row r="3300" spans="1:7">
      <c r="A3300" s="112" t="e">
        <f>VLOOKUP('Informe Kelly'!A3294,Base!A:B,2,FALSE)</f>
        <v>#N/A</v>
      </c>
      <c r="B3300" s="112" t="e">
        <f>VLOOKUP('Informe Kelly'!A3294,Base!A:G,7,FALSE)</f>
        <v>#N/A</v>
      </c>
      <c r="C3300" s="112">
        <f>'Informe Kelly'!E3294</f>
        <v>0</v>
      </c>
      <c r="D3300" s="112" t="e">
        <f>VLOOKUP(A3300,Ingreso!K:P,6,FALSE)</f>
        <v>#N/A</v>
      </c>
      <c r="E3300" s="142" t="e">
        <f>(VLOOKUP(D3300,$D$2:$E$4,2,FALSE))-(IF('Informe Kelly'!H3294=$A$2,'Informe Kelly'!F3294,VLOOKUP(D3300,$D$2:$E$4,2,FALSE)))</f>
        <v>#N/A</v>
      </c>
      <c r="F3300" s="142" t="e">
        <f>IF('Informe Kelly'!H3294=$A$3,'Informe Kelly'!F3294,VLOOKUP(D3300,$D$2:$F$4,3,FALSE))-(VLOOKUP(D3300,$D$2:$F$4,3,FALSE))</f>
        <v>#N/A</v>
      </c>
      <c r="G3300" s="137" t="e">
        <f t="shared" si="55"/>
        <v>#N/A</v>
      </c>
    </row>
    <row r="3301" spans="1:7">
      <c r="A3301" s="112" t="e">
        <f>VLOOKUP('Informe Kelly'!A3295,Base!A:B,2,FALSE)</f>
        <v>#N/A</v>
      </c>
      <c r="B3301" s="112" t="e">
        <f>VLOOKUP('Informe Kelly'!A3295,Base!A:G,7,FALSE)</f>
        <v>#N/A</v>
      </c>
      <c r="C3301" s="112">
        <f>'Informe Kelly'!E3295</f>
        <v>0</v>
      </c>
      <c r="D3301" s="112" t="e">
        <f>VLOOKUP(A3301,Ingreso!K:P,6,FALSE)</f>
        <v>#N/A</v>
      </c>
      <c r="E3301" s="142" t="e">
        <f>(VLOOKUP(D3301,$D$2:$E$4,2,FALSE))-(IF('Informe Kelly'!H3295=$A$2,'Informe Kelly'!F3295,VLOOKUP(D3301,$D$2:$E$4,2,FALSE)))</f>
        <v>#N/A</v>
      </c>
      <c r="F3301" s="142" t="e">
        <f>IF('Informe Kelly'!H3295=$A$3,'Informe Kelly'!F3295,VLOOKUP(D3301,$D$2:$F$4,3,FALSE))-(VLOOKUP(D3301,$D$2:$F$4,3,FALSE))</f>
        <v>#N/A</v>
      </c>
      <c r="G3301" s="137" t="e">
        <f t="shared" si="55"/>
        <v>#N/A</v>
      </c>
    </row>
    <row r="3302" spans="1:7">
      <c r="A3302" s="112" t="e">
        <f>VLOOKUP('Informe Kelly'!A3296,Base!A:B,2,FALSE)</f>
        <v>#N/A</v>
      </c>
      <c r="B3302" s="112" t="e">
        <f>VLOOKUP('Informe Kelly'!A3296,Base!A:G,7,FALSE)</f>
        <v>#N/A</v>
      </c>
      <c r="C3302" s="112">
        <f>'Informe Kelly'!E3296</f>
        <v>0</v>
      </c>
      <c r="D3302" s="112" t="e">
        <f>VLOOKUP(A3302,Ingreso!K:P,6,FALSE)</f>
        <v>#N/A</v>
      </c>
      <c r="E3302" s="142" t="e">
        <f>(VLOOKUP(D3302,$D$2:$E$4,2,FALSE))-(IF('Informe Kelly'!H3296=$A$2,'Informe Kelly'!F3296,VLOOKUP(D3302,$D$2:$E$4,2,FALSE)))</f>
        <v>#N/A</v>
      </c>
      <c r="F3302" s="142" t="e">
        <f>IF('Informe Kelly'!H3296=$A$3,'Informe Kelly'!F3296,VLOOKUP(D3302,$D$2:$F$4,3,FALSE))-(VLOOKUP(D3302,$D$2:$F$4,3,FALSE))</f>
        <v>#N/A</v>
      </c>
      <c r="G3302" s="137" t="e">
        <f t="shared" si="55"/>
        <v>#N/A</v>
      </c>
    </row>
    <row r="3303" spans="1:7">
      <c r="A3303" s="112" t="e">
        <f>VLOOKUP('Informe Kelly'!A3297,Base!A:B,2,FALSE)</f>
        <v>#N/A</v>
      </c>
      <c r="B3303" s="112" t="e">
        <f>VLOOKUP('Informe Kelly'!A3297,Base!A:G,7,FALSE)</f>
        <v>#N/A</v>
      </c>
      <c r="C3303" s="112">
        <f>'Informe Kelly'!E3297</f>
        <v>0</v>
      </c>
      <c r="D3303" s="112" t="e">
        <f>VLOOKUP(A3303,Ingreso!K:P,6,FALSE)</f>
        <v>#N/A</v>
      </c>
      <c r="E3303" s="142" t="e">
        <f>(VLOOKUP(D3303,$D$2:$E$4,2,FALSE))-(IF('Informe Kelly'!H3297=$A$2,'Informe Kelly'!F3297,VLOOKUP(D3303,$D$2:$E$4,2,FALSE)))</f>
        <v>#N/A</v>
      </c>
      <c r="F3303" s="142" t="e">
        <f>IF('Informe Kelly'!H3297=$A$3,'Informe Kelly'!F3297,VLOOKUP(D3303,$D$2:$F$4,3,FALSE))-(VLOOKUP(D3303,$D$2:$F$4,3,FALSE))</f>
        <v>#N/A</v>
      </c>
      <c r="G3303" s="137" t="e">
        <f t="shared" si="55"/>
        <v>#N/A</v>
      </c>
    </row>
    <row r="3304" spans="1:7">
      <c r="A3304" s="112" t="e">
        <f>VLOOKUP('Informe Kelly'!A3298,Base!A:B,2,FALSE)</f>
        <v>#N/A</v>
      </c>
      <c r="B3304" s="112" t="e">
        <f>VLOOKUP('Informe Kelly'!A3298,Base!A:G,7,FALSE)</f>
        <v>#N/A</v>
      </c>
      <c r="C3304" s="112">
        <f>'Informe Kelly'!E3298</f>
        <v>0</v>
      </c>
      <c r="D3304" s="112" t="e">
        <f>VLOOKUP(A3304,Ingreso!K:P,6,FALSE)</f>
        <v>#N/A</v>
      </c>
      <c r="E3304" s="142" t="e">
        <f>(VLOOKUP(D3304,$D$2:$E$4,2,FALSE))-(IF('Informe Kelly'!H3298=$A$2,'Informe Kelly'!F3298,VLOOKUP(D3304,$D$2:$E$4,2,FALSE)))</f>
        <v>#N/A</v>
      </c>
      <c r="F3304" s="142" t="e">
        <f>IF('Informe Kelly'!H3298=$A$3,'Informe Kelly'!F3298,VLOOKUP(D3304,$D$2:$F$4,3,FALSE))-(VLOOKUP(D3304,$D$2:$F$4,3,FALSE))</f>
        <v>#N/A</v>
      </c>
      <c r="G3304" s="137" t="e">
        <f t="shared" si="55"/>
        <v>#N/A</v>
      </c>
    </row>
    <row r="3305" spans="1:7">
      <c r="A3305" s="112" t="e">
        <f>VLOOKUP('Informe Kelly'!A3299,Base!A:B,2,FALSE)</f>
        <v>#N/A</v>
      </c>
      <c r="B3305" s="112" t="e">
        <f>VLOOKUP('Informe Kelly'!A3299,Base!A:G,7,FALSE)</f>
        <v>#N/A</v>
      </c>
      <c r="C3305" s="112">
        <f>'Informe Kelly'!E3299</f>
        <v>0</v>
      </c>
      <c r="D3305" s="112" t="e">
        <f>VLOOKUP(A3305,Ingreso!K:P,6,FALSE)</f>
        <v>#N/A</v>
      </c>
      <c r="E3305" s="142" t="e">
        <f>(VLOOKUP(D3305,$D$2:$E$4,2,FALSE))-(IF('Informe Kelly'!H3299=$A$2,'Informe Kelly'!F3299,VLOOKUP(D3305,$D$2:$E$4,2,FALSE)))</f>
        <v>#N/A</v>
      </c>
      <c r="F3305" s="142" t="e">
        <f>IF('Informe Kelly'!H3299=$A$3,'Informe Kelly'!F3299,VLOOKUP(D3305,$D$2:$F$4,3,FALSE))-(VLOOKUP(D3305,$D$2:$F$4,3,FALSE))</f>
        <v>#N/A</v>
      </c>
      <c r="G3305" s="137" t="e">
        <f t="shared" si="55"/>
        <v>#N/A</v>
      </c>
    </row>
    <row r="3306" spans="1:7">
      <c r="A3306" s="112" t="e">
        <f>VLOOKUP('Informe Kelly'!A3300,Base!A:B,2,FALSE)</f>
        <v>#N/A</v>
      </c>
      <c r="B3306" s="112" t="e">
        <f>VLOOKUP('Informe Kelly'!A3300,Base!A:G,7,FALSE)</f>
        <v>#N/A</v>
      </c>
      <c r="C3306" s="112">
        <f>'Informe Kelly'!E3300</f>
        <v>0</v>
      </c>
      <c r="D3306" s="112" t="e">
        <f>VLOOKUP(A3306,Ingreso!K:P,6,FALSE)</f>
        <v>#N/A</v>
      </c>
      <c r="E3306" s="142" t="e">
        <f>(VLOOKUP(D3306,$D$2:$E$4,2,FALSE))-(IF('Informe Kelly'!H3300=$A$2,'Informe Kelly'!F3300,VLOOKUP(D3306,$D$2:$E$4,2,FALSE)))</f>
        <v>#N/A</v>
      </c>
      <c r="F3306" s="142" t="e">
        <f>IF('Informe Kelly'!H3300=$A$3,'Informe Kelly'!F3300,VLOOKUP(D3306,$D$2:$F$4,3,FALSE))-(VLOOKUP(D3306,$D$2:$F$4,3,FALSE))</f>
        <v>#N/A</v>
      </c>
      <c r="G3306" s="137" t="e">
        <f t="shared" si="55"/>
        <v>#N/A</v>
      </c>
    </row>
    <row r="3307" spans="1:7">
      <c r="A3307" s="112" t="e">
        <f>VLOOKUP('Informe Kelly'!A3301,Base!A:B,2,FALSE)</f>
        <v>#N/A</v>
      </c>
      <c r="B3307" s="112" t="e">
        <f>VLOOKUP('Informe Kelly'!A3301,Base!A:G,7,FALSE)</f>
        <v>#N/A</v>
      </c>
      <c r="C3307" s="112">
        <f>'Informe Kelly'!E3301</f>
        <v>0</v>
      </c>
      <c r="D3307" s="112" t="e">
        <f>VLOOKUP(A3307,Ingreso!K:P,6,FALSE)</f>
        <v>#N/A</v>
      </c>
      <c r="E3307" s="142" t="e">
        <f>(VLOOKUP(D3307,$D$2:$E$4,2,FALSE))-(IF('Informe Kelly'!H3301=$A$2,'Informe Kelly'!F3301,VLOOKUP(D3307,$D$2:$E$4,2,FALSE)))</f>
        <v>#N/A</v>
      </c>
      <c r="F3307" s="142" t="e">
        <f>IF('Informe Kelly'!H3301=$A$3,'Informe Kelly'!F3301,VLOOKUP(D3307,$D$2:$F$4,3,FALSE))-(VLOOKUP(D3307,$D$2:$F$4,3,FALSE))</f>
        <v>#N/A</v>
      </c>
      <c r="G3307" s="137" t="e">
        <f t="shared" si="55"/>
        <v>#N/A</v>
      </c>
    </row>
    <row r="3308" spans="1:7">
      <c r="A3308" s="112" t="e">
        <f>VLOOKUP('Informe Kelly'!A3302,Base!A:B,2,FALSE)</f>
        <v>#N/A</v>
      </c>
      <c r="B3308" s="112" t="e">
        <f>VLOOKUP('Informe Kelly'!A3302,Base!A:G,7,FALSE)</f>
        <v>#N/A</v>
      </c>
      <c r="C3308" s="112">
        <f>'Informe Kelly'!E3302</f>
        <v>0</v>
      </c>
      <c r="D3308" s="112" t="e">
        <f>VLOOKUP(A3308,Ingreso!K:P,6,FALSE)</f>
        <v>#N/A</v>
      </c>
      <c r="E3308" s="142" t="e">
        <f>(VLOOKUP(D3308,$D$2:$E$4,2,FALSE))-(IF('Informe Kelly'!H3302=$A$2,'Informe Kelly'!F3302,VLOOKUP(D3308,$D$2:$E$4,2,FALSE)))</f>
        <v>#N/A</v>
      </c>
      <c r="F3308" s="142" t="e">
        <f>IF('Informe Kelly'!H3302=$A$3,'Informe Kelly'!F3302,VLOOKUP(D3308,$D$2:$F$4,3,FALSE))-(VLOOKUP(D3308,$D$2:$F$4,3,FALSE))</f>
        <v>#N/A</v>
      </c>
      <c r="G3308" s="137" t="e">
        <f t="shared" si="55"/>
        <v>#N/A</v>
      </c>
    </row>
    <row r="3309" spans="1:7">
      <c r="A3309" s="112" t="e">
        <f>VLOOKUP('Informe Kelly'!A3303,Base!A:B,2,FALSE)</f>
        <v>#N/A</v>
      </c>
      <c r="B3309" s="112" t="e">
        <f>VLOOKUP('Informe Kelly'!A3303,Base!A:G,7,FALSE)</f>
        <v>#N/A</v>
      </c>
      <c r="C3309" s="112">
        <f>'Informe Kelly'!E3303</f>
        <v>0</v>
      </c>
      <c r="D3309" s="112" t="e">
        <f>VLOOKUP(A3309,Ingreso!K:P,6,FALSE)</f>
        <v>#N/A</v>
      </c>
      <c r="E3309" s="142" t="e">
        <f>(VLOOKUP(D3309,$D$2:$E$4,2,FALSE))-(IF('Informe Kelly'!H3303=$A$2,'Informe Kelly'!F3303,VLOOKUP(D3309,$D$2:$E$4,2,FALSE)))</f>
        <v>#N/A</v>
      </c>
      <c r="F3309" s="142" t="e">
        <f>IF('Informe Kelly'!H3303=$A$3,'Informe Kelly'!F3303,VLOOKUP(D3309,$D$2:$F$4,3,FALSE))-(VLOOKUP(D3309,$D$2:$F$4,3,FALSE))</f>
        <v>#N/A</v>
      </c>
      <c r="G3309" s="137" t="e">
        <f t="shared" si="55"/>
        <v>#N/A</v>
      </c>
    </row>
    <row r="3310" spans="1:7">
      <c r="A3310" s="112" t="e">
        <f>VLOOKUP('Informe Kelly'!A3304,Base!A:B,2,FALSE)</f>
        <v>#N/A</v>
      </c>
      <c r="B3310" s="112" t="e">
        <f>VLOOKUP('Informe Kelly'!A3304,Base!A:G,7,FALSE)</f>
        <v>#N/A</v>
      </c>
      <c r="C3310" s="112">
        <f>'Informe Kelly'!E3304</f>
        <v>0</v>
      </c>
      <c r="D3310" s="112" t="e">
        <f>VLOOKUP(A3310,Ingreso!K:P,6,FALSE)</f>
        <v>#N/A</v>
      </c>
      <c r="E3310" s="142" t="e">
        <f>(VLOOKUP(D3310,$D$2:$E$4,2,FALSE))-(IF('Informe Kelly'!H3304=$A$2,'Informe Kelly'!F3304,VLOOKUP(D3310,$D$2:$E$4,2,FALSE)))</f>
        <v>#N/A</v>
      </c>
      <c r="F3310" s="142" t="e">
        <f>IF('Informe Kelly'!H3304=$A$3,'Informe Kelly'!F3304,VLOOKUP(D3310,$D$2:$F$4,3,FALSE))-(VLOOKUP(D3310,$D$2:$F$4,3,FALSE))</f>
        <v>#N/A</v>
      </c>
      <c r="G3310" s="137" t="e">
        <f t="shared" si="55"/>
        <v>#N/A</v>
      </c>
    </row>
    <row r="3311" spans="1:7">
      <c r="A3311" s="112" t="e">
        <f>VLOOKUP('Informe Kelly'!A3305,Base!A:B,2,FALSE)</f>
        <v>#N/A</v>
      </c>
      <c r="B3311" s="112" t="e">
        <f>VLOOKUP('Informe Kelly'!A3305,Base!A:G,7,FALSE)</f>
        <v>#N/A</v>
      </c>
      <c r="C3311" s="112">
        <f>'Informe Kelly'!E3305</f>
        <v>0</v>
      </c>
      <c r="D3311" s="112" t="e">
        <f>VLOOKUP(A3311,Ingreso!K:P,6,FALSE)</f>
        <v>#N/A</v>
      </c>
      <c r="E3311" s="142" t="e">
        <f>(VLOOKUP(D3311,$D$2:$E$4,2,FALSE))-(IF('Informe Kelly'!H3305=$A$2,'Informe Kelly'!F3305,VLOOKUP(D3311,$D$2:$E$4,2,FALSE)))</f>
        <v>#N/A</v>
      </c>
      <c r="F3311" s="142" t="e">
        <f>IF('Informe Kelly'!H3305=$A$3,'Informe Kelly'!F3305,VLOOKUP(D3311,$D$2:$F$4,3,FALSE))-(VLOOKUP(D3311,$D$2:$F$4,3,FALSE))</f>
        <v>#N/A</v>
      </c>
      <c r="G3311" s="137" t="e">
        <f t="shared" si="55"/>
        <v>#N/A</v>
      </c>
    </row>
    <row r="3312" spans="1:7">
      <c r="A3312" s="112" t="e">
        <f>VLOOKUP('Informe Kelly'!A3306,Base!A:B,2,FALSE)</f>
        <v>#N/A</v>
      </c>
      <c r="B3312" s="112" t="e">
        <f>VLOOKUP('Informe Kelly'!A3306,Base!A:G,7,FALSE)</f>
        <v>#N/A</v>
      </c>
      <c r="C3312" s="112">
        <f>'Informe Kelly'!E3306</f>
        <v>0</v>
      </c>
      <c r="D3312" s="112" t="e">
        <f>VLOOKUP(A3312,Ingreso!K:P,6,FALSE)</f>
        <v>#N/A</v>
      </c>
      <c r="E3312" s="142" t="e">
        <f>(VLOOKUP(D3312,$D$2:$E$4,2,FALSE))-(IF('Informe Kelly'!H3306=$A$2,'Informe Kelly'!F3306,VLOOKUP(D3312,$D$2:$E$4,2,FALSE)))</f>
        <v>#N/A</v>
      </c>
      <c r="F3312" s="142" t="e">
        <f>IF('Informe Kelly'!H3306=$A$3,'Informe Kelly'!F3306,VLOOKUP(D3312,$D$2:$F$4,3,FALSE))-(VLOOKUP(D3312,$D$2:$F$4,3,FALSE))</f>
        <v>#N/A</v>
      </c>
      <c r="G3312" s="137" t="e">
        <f t="shared" si="55"/>
        <v>#N/A</v>
      </c>
    </row>
    <row r="3313" spans="1:7">
      <c r="A3313" s="112" t="e">
        <f>VLOOKUP('Informe Kelly'!A3307,Base!A:B,2,FALSE)</f>
        <v>#N/A</v>
      </c>
      <c r="B3313" s="112" t="e">
        <f>VLOOKUP('Informe Kelly'!A3307,Base!A:G,7,FALSE)</f>
        <v>#N/A</v>
      </c>
      <c r="C3313" s="112">
        <f>'Informe Kelly'!E3307</f>
        <v>0</v>
      </c>
      <c r="D3313" s="112" t="e">
        <f>VLOOKUP(A3313,Ingreso!K:P,6,FALSE)</f>
        <v>#N/A</v>
      </c>
      <c r="E3313" s="142" t="e">
        <f>(VLOOKUP(D3313,$D$2:$E$4,2,FALSE))-(IF('Informe Kelly'!H3307=$A$2,'Informe Kelly'!F3307,VLOOKUP(D3313,$D$2:$E$4,2,FALSE)))</f>
        <v>#N/A</v>
      </c>
      <c r="F3313" s="142" t="e">
        <f>IF('Informe Kelly'!H3307=$A$3,'Informe Kelly'!F3307,VLOOKUP(D3313,$D$2:$F$4,3,FALSE))-(VLOOKUP(D3313,$D$2:$F$4,3,FALSE))</f>
        <v>#N/A</v>
      </c>
      <c r="G3313" s="137" t="e">
        <f t="shared" si="55"/>
        <v>#N/A</v>
      </c>
    </row>
    <row r="3314" spans="1:7">
      <c r="A3314" s="112" t="e">
        <f>VLOOKUP('Informe Kelly'!A3308,Base!A:B,2,FALSE)</f>
        <v>#N/A</v>
      </c>
      <c r="B3314" s="112" t="e">
        <f>VLOOKUP('Informe Kelly'!A3308,Base!A:G,7,FALSE)</f>
        <v>#N/A</v>
      </c>
      <c r="C3314" s="112">
        <f>'Informe Kelly'!E3308</f>
        <v>0</v>
      </c>
      <c r="D3314" s="112" t="e">
        <f>VLOOKUP(A3314,Ingreso!K:P,6,FALSE)</f>
        <v>#N/A</v>
      </c>
      <c r="E3314" s="142" t="e">
        <f>(VLOOKUP(D3314,$D$2:$E$4,2,FALSE))-(IF('Informe Kelly'!H3308=$A$2,'Informe Kelly'!F3308,VLOOKUP(D3314,$D$2:$E$4,2,FALSE)))</f>
        <v>#N/A</v>
      </c>
      <c r="F3314" s="142" t="e">
        <f>IF('Informe Kelly'!H3308=$A$3,'Informe Kelly'!F3308,VLOOKUP(D3314,$D$2:$F$4,3,FALSE))-(VLOOKUP(D3314,$D$2:$F$4,3,FALSE))</f>
        <v>#N/A</v>
      </c>
      <c r="G3314" s="137" t="e">
        <f t="shared" si="55"/>
        <v>#N/A</v>
      </c>
    </row>
    <row r="3315" spans="1:7">
      <c r="A3315" s="112" t="e">
        <f>VLOOKUP('Informe Kelly'!A3309,Base!A:B,2,FALSE)</f>
        <v>#N/A</v>
      </c>
      <c r="B3315" s="112" t="e">
        <f>VLOOKUP('Informe Kelly'!A3309,Base!A:G,7,FALSE)</f>
        <v>#N/A</v>
      </c>
      <c r="C3315" s="112">
        <f>'Informe Kelly'!E3309</f>
        <v>0</v>
      </c>
      <c r="D3315" s="112" t="e">
        <f>VLOOKUP(A3315,Ingreso!K:P,6,FALSE)</f>
        <v>#N/A</v>
      </c>
      <c r="E3315" s="142" t="e">
        <f>(VLOOKUP(D3315,$D$2:$E$4,2,FALSE))-(IF('Informe Kelly'!H3309=$A$2,'Informe Kelly'!F3309,VLOOKUP(D3315,$D$2:$E$4,2,FALSE)))</f>
        <v>#N/A</v>
      </c>
      <c r="F3315" s="142" t="e">
        <f>IF('Informe Kelly'!H3309=$A$3,'Informe Kelly'!F3309,VLOOKUP(D3315,$D$2:$F$4,3,FALSE))-(VLOOKUP(D3315,$D$2:$F$4,3,FALSE))</f>
        <v>#N/A</v>
      </c>
      <c r="G3315" s="137" t="e">
        <f t="shared" si="55"/>
        <v>#N/A</v>
      </c>
    </row>
    <row r="3316" spans="1:7">
      <c r="A3316" s="112" t="e">
        <f>VLOOKUP('Informe Kelly'!A3310,Base!A:B,2,FALSE)</f>
        <v>#N/A</v>
      </c>
      <c r="B3316" s="112" t="e">
        <f>VLOOKUP('Informe Kelly'!A3310,Base!A:G,7,FALSE)</f>
        <v>#N/A</v>
      </c>
      <c r="C3316" s="112">
        <f>'Informe Kelly'!E3310</f>
        <v>0</v>
      </c>
      <c r="D3316" s="112" t="e">
        <f>VLOOKUP(A3316,Ingreso!K:P,6,FALSE)</f>
        <v>#N/A</v>
      </c>
      <c r="E3316" s="142" t="e">
        <f>(VLOOKUP(D3316,$D$2:$E$4,2,FALSE))-(IF('Informe Kelly'!H3310=$A$2,'Informe Kelly'!F3310,VLOOKUP(D3316,$D$2:$E$4,2,FALSE)))</f>
        <v>#N/A</v>
      </c>
      <c r="F3316" s="142" t="e">
        <f>IF('Informe Kelly'!H3310=$A$3,'Informe Kelly'!F3310,VLOOKUP(D3316,$D$2:$F$4,3,FALSE))-(VLOOKUP(D3316,$D$2:$F$4,3,FALSE))</f>
        <v>#N/A</v>
      </c>
      <c r="G3316" s="137" t="e">
        <f t="shared" si="55"/>
        <v>#N/A</v>
      </c>
    </row>
    <row r="3317" spans="1:7">
      <c r="A3317" s="112" t="e">
        <f>VLOOKUP('Informe Kelly'!A3311,Base!A:B,2,FALSE)</f>
        <v>#N/A</v>
      </c>
      <c r="B3317" s="112" t="e">
        <f>VLOOKUP('Informe Kelly'!A3311,Base!A:G,7,FALSE)</f>
        <v>#N/A</v>
      </c>
      <c r="C3317" s="112">
        <f>'Informe Kelly'!E3311</f>
        <v>0</v>
      </c>
      <c r="D3317" s="112" t="e">
        <f>VLOOKUP(A3317,Ingreso!K:P,6,FALSE)</f>
        <v>#N/A</v>
      </c>
      <c r="E3317" s="142" t="e">
        <f>(VLOOKUP(D3317,$D$2:$E$4,2,FALSE))-(IF('Informe Kelly'!H3311=$A$2,'Informe Kelly'!F3311,VLOOKUP(D3317,$D$2:$E$4,2,FALSE)))</f>
        <v>#N/A</v>
      </c>
      <c r="F3317" s="142" t="e">
        <f>IF('Informe Kelly'!H3311=$A$3,'Informe Kelly'!F3311,VLOOKUP(D3317,$D$2:$F$4,3,FALSE))-(VLOOKUP(D3317,$D$2:$F$4,3,FALSE))</f>
        <v>#N/A</v>
      </c>
      <c r="G3317" s="137" t="e">
        <f t="shared" si="55"/>
        <v>#N/A</v>
      </c>
    </row>
    <row r="3318" spans="1:7">
      <c r="A3318" s="112" t="e">
        <f>VLOOKUP('Informe Kelly'!A3312,Base!A:B,2,FALSE)</f>
        <v>#N/A</v>
      </c>
      <c r="B3318" s="112" t="e">
        <f>VLOOKUP('Informe Kelly'!A3312,Base!A:G,7,FALSE)</f>
        <v>#N/A</v>
      </c>
      <c r="C3318" s="112">
        <f>'Informe Kelly'!E3312</f>
        <v>0</v>
      </c>
      <c r="D3318" s="112" t="e">
        <f>VLOOKUP(A3318,Ingreso!K:P,6,FALSE)</f>
        <v>#N/A</v>
      </c>
      <c r="E3318" s="142" t="e">
        <f>(VLOOKUP(D3318,$D$2:$E$4,2,FALSE))-(IF('Informe Kelly'!H3312=$A$2,'Informe Kelly'!F3312,VLOOKUP(D3318,$D$2:$E$4,2,FALSE)))</f>
        <v>#N/A</v>
      </c>
      <c r="F3318" s="142" t="e">
        <f>IF('Informe Kelly'!H3312=$A$3,'Informe Kelly'!F3312,VLOOKUP(D3318,$D$2:$F$4,3,FALSE))-(VLOOKUP(D3318,$D$2:$F$4,3,FALSE))</f>
        <v>#N/A</v>
      </c>
      <c r="G3318" s="137" t="e">
        <f t="shared" si="55"/>
        <v>#N/A</v>
      </c>
    </row>
    <row r="3319" spans="1:7">
      <c r="A3319" s="112" t="e">
        <f>VLOOKUP('Informe Kelly'!A3313,Base!A:B,2,FALSE)</f>
        <v>#N/A</v>
      </c>
      <c r="B3319" s="112" t="e">
        <f>VLOOKUP('Informe Kelly'!A3313,Base!A:G,7,FALSE)</f>
        <v>#N/A</v>
      </c>
      <c r="C3319" s="112">
        <f>'Informe Kelly'!E3313</f>
        <v>0</v>
      </c>
      <c r="D3319" s="112" t="e">
        <f>VLOOKUP(A3319,Ingreso!K:P,6,FALSE)</f>
        <v>#N/A</v>
      </c>
      <c r="E3319" s="142" t="e">
        <f>(VLOOKUP(D3319,$D$2:$E$4,2,FALSE))-(IF('Informe Kelly'!H3313=$A$2,'Informe Kelly'!F3313,VLOOKUP(D3319,$D$2:$E$4,2,FALSE)))</f>
        <v>#N/A</v>
      </c>
      <c r="F3319" s="142" t="e">
        <f>IF('Informe Kelly'!H3313=$A$3,'Informe Kelly'!F3313,VLOOKUP(D3319,$D$2:$F$4,3,FALSE))-(VLOOKUP(D3319,$D$2:$F$4,3,FALSE))</f>
        <v>#N/A</v>
      </c>
      <c r="G3319" s="137" t="e">
        <f t="shared" si="55"/>
        <v>#N/A</v>
      </c>
    </row>
    <row r="3320" spans="1:7">
      <c r="A3320" s="112" t="e">
        <f>VLOOKUP('Informe Kelly'!A3314,Base!A:B,2,FALSE)</f>
        <v>#N/A</v>
      </c>
      <c r="B3320" s="112" t="e">
        <f>VLOOKUP('Informe Kelly'!A3314,Base!A:G,7,FALSE)</f>
        <v>#N/A</v>
      </c>
      <c r="C3320" s="112">
        <f>'Informe Kelly'!E3314</f>
        <v>0</v>
      </c>
      <c r="D3320" s="112" t="e">
        <f>VLOOKUP(A3320,Ingreso!K:P,6,FALSE)</f>
        <v>#N/A</v>
      </c>
      <c r="E3320" s="142" t="e">
        <f>(VLOOKUP(D3320,$D$2:$E$4,2,FALSE))-(IF('Informe Kelly'!H3314=$A$2,'Informe Kelly'!F3314,VLOOKUP(D3320,$D$2:$E$4,2,FALSE)))</f>
        <v>#N/A</v>
      </c>
      <c r="F3320" s="142" t="e">
        <f>IF('Informe Kelly'!H3314=$A$3,'Informe Kelly'!F3314,VLOOKUP(D3320,$D$2:$F$4,3,FALSE))-(VLOOKUP(D3320,$D$2:$F$4,3,FALSE))</f>
        <v>#N/A</v>
      </c>
      <c r="G3320" s="137" t="e">
        <f t="shared" si="55"/>
        <v>#N/A</v>
      </c>
    </row>
    <row r="3321" spans="1:7">
      <c r="A3321" s="112" t="e">
        <f>VLOOKUP('Informe Kelly'!A3315,Base!A:B,2,FALSE)</f>
        <v>#N/A</v>
      </c>
      <c r="B3321" s="112" t="e">
        <f>VLOOKUP('Informe Kelly'!A3315,Base!A:G,7,FALSE)</f>
        <v>#N/A</v>
      </c>
      <c r="C3321" s="112">
        <f>'Informe Kelly'!E3315</f>
        <v>0</v>
      </c>
      <c r="D3321" s="112" t="e">
        <f>VLOOKUP(A3321,Ingreso!K:P,6,FALSE)</f>
        <v>#N/A</v>
      </c>
      <c r="E3321" s="142" t="e">
        <f>(VLOOKUP(D3321,$D$2:$E$4,2,FALSE))-(IF('Informe Kelly'!H3315=$A$2,'Informe Kelly'!F3315,VLOOKUP(D3321,$D$2:$E$4,2,FALSE)))</f>
        <v>#N/A</v>
      </c>
      <c r="F3321" s="142" t="e">
        <f>IF('Informe Kelly'!H3315=$A$3,'Informe Kelly'!F3315,VLOOKUP(D3321,$D$2:$F$4,3,FALSE))-(VLOOKUP(D3321,$D$2:$F$4,3,FALSE))</f>
        <v>#N/A</v>
      </c>
      <c r="G3321" s="137" t="e">
        <f t="shared" si="55"/>
        <v>#N/A</v>
      </c>
    </row>
    <row r="3322" spans="1:7">
      <c r="A3322" s="112" t="e">
        <f>VLOOKUP('Informe Kelly'!A3316,Base!A:B,2,FALSE)</f>
        <v>#N/A</v>
      </c>
      <c r="B3322" s="112" t="e">
        <f>VLOOKUP('Informe Kelly'!A3316,Base!A:G,7,FALSE)</f>
        <v>#N/A</v>
      </c>
      <c r="C3322" s="112">
        <f>'Informe Kelly'!E3316</f>
        <v>0</v>
      </c>
      <c r="D3322" s="112" t="e">
        <f>VLOOKUP(A3322,Ingreso!K:P,6,FALSE)</f>
        <v>#N/A</v>
      </c>
      <c r="E3322" s="142" t="e">
        <f>(VLOOKUP(D3322,$D$2:$E$4,2,FALSE))-(IF('Informe Kelly'!H3316=$A$2,'Informe Kelly'!F3316,VLOOKUP(D3322,$D$2:$E$4,2,FALSE)))</f>
        <v>#N/A</v>
      </c>
      <c r="F3322" s="142" t="e">
        <f>IF('Informe Kelly'!H3316=$A$3,'Informe Kelly'!F3316,VLOOKUP(D3322,$D$2:$F$4,3,FALSE))-(VLOOKUP(D3322,$D$2:$F$4,3,FALSE))</f>
        <v>#N/A</v>
      </c>
      <c r="G3322" s="137" t="e">
        <f t="shared" si="55"/>
        <v>#N/A</v>
      </c>
    </row>
    <row r="3323" spans="1:7">
      <c r="A3323" s="112" t="e">
        <f>VLOOKUP('Informe Kelly'!A3317,Base!A:B,2,FALSE)</f>
        <v>#N/A</v>
      </c>
      <c r="B3323" s="112" t="e">
        <f>VLOOKUP('Informe Kelly'!A3317,Base!A:G,7,FALSE)</f>
        <v>#N/A</v>
      </c>
      <c r="C3323" s="112">
        <f>'Informe Kelly'!E3317</f>
        <v>0</v>
      </c>
      <c r="D3323" s="112" t="e">
        <f>VLOOKUP(A3323,Ingreso!K:P,6,FALSE)</f>
        <v>#N/A</v>
      </c>
      <c r="E3323" s="142" t="e">
        <f>(VLOOKUP(D3323,$D$2:$E$4,2,FALSE))-(IF('Informe Kelly'!H3317=$A$2,'Informe Kelly'!F3317,VLOOKUP(D3323,$D$2:$E$4,2,FALSE)))</f>
        <v>#N/A</v>
      </c>
      <c r="F3323" s="142" t="e">
        <f>IF('Informe Kelly'!H3317=$A$3,'Informe Kelly'!F3317,VLOOKUP(D3323,$D$2:$F$4,3,FALSE))-(VLOOKUP(D3323,$D$2:$F$4,3,FALSE))</f>
        <v>#N/A</v>
      </c>
      <c r="G3323" s="137" t="e">
        <f t="shared" si="55"/>
        <v>#N/A</v>
      </c>
    </row>
    <row r="3324" spans="1:7">
      <c r="A3324" s="112" t="e">
        <f>VLOOKUP('Informe Kelly'!A3318,Base!A:B,2,FALSE)</f>
        <v>#N/A</v>
      </c>
      <c r="B3324" s="112" t="e">
        <f>VLOOKUP('Informe Kelly'!A3318,Base!A:G,7,FALSE)</f>
        <v>#N/A</v>
      </c>
      <c r="C3324" s="112">
        <f>'Informe Kelly'!E3318</f>
        <v>0</v>
      </c>
      <c r="D3324" s="112" t="e">
        <f>VLOOKUP(A3324,Ingreso!K:P,6,FALSE)</f>
        <v>#N/A</v>
      </c>
      <c r="E3324" s="142" t="e">
        <f>(VLOOKUP(D3324,$D$2:$E$4,2,FALSE))-(IF('Informe Kelly'!H3318=$A$2,'Informe Kelly'!F3318,VLOOKUP(D3324,$D$2:$E$4,2,FALSE)))</f>
        <v>#N/A</v>
      </c>
      <c r="F3324" s="142" t="e">
        <f>IF('Informe Kelly'!H3318=$A$3,'Informe Kelly'!F3318,VLOOKUP(D3324,$D$2:$F$4,3,FALSE))-(VLOOKUP(D3324,$D$2:$F$4,3,FALSE))</f>
        <v>#N/A</v>
      </c>
      <c r="G3324" s="137" t="e">
        <f t="shared" si="55"/>
        <v>#N/A</v>
      </c>
    </row>
    <row r="3325" spans="1:7">
      <c r="A3325" s="112" t="e">
        <f>VLOOKUP('Informe Kelly'!A3319,Base!A:B,2,FALSE)</f>
        <v>#N/A</v>
      </c>
      <c r="B3325" s="112" t="e">
        <f>VLOOKUP('Informe Kelly'!A3319,Base!A:G,7,FALSE)</f>
        <v>#N/A</v>
      </c>
      <c r="C3325" s="112">
        <f>'Informe Kelly'!E3319</f>
        <v>0</v>
      </c>
      <c r="D3325" s="112" t="e">
        <f>VLOOKUP(A3325,Ingreso!K:P,6,FALSE)</f>
        <v>#N/A</v>
      </c>
      <c r="E3325" s="142" t="e">
        <f>(VLOOKUP(D3325,$D$2:$E$4,2,FALSE))-(IF('Informe Kelly'!H3319=$A$2,'Informe Kelly'!F3319,VLOOKUP(D3325,$D$2:$E$4,2,FALSE)))</f>
        <v>#N/A</v>
      </c>
      <c r="F3325" s="142" t="e">
        <f>IF('Informe Kelly'!H3319=$A$3,'Informe Kelly'!F3319,VLOOKUP(D3325,$D$2:$F$4,3,FALSE))-(VLOOKUP(D3325,$D$2:$F$4,3,FALSE))</f>
        <v>#N/A</v>
      </c>
      <c r="G3325" s="137" t="e">
        <f t="shared" si="55"/>
        <v>#N/A</v>
      </c>
    </row>
    <row r="3326" spans="1:7">
      <c r="A3326" s="112" t="e">
        <f>VLOOKUP('Informe Kelly'!A3320,Base!A:B,2,FALSE)</f>
        <v>#N/A</v>
      </c>
      <c r="B3326" s="112" t="e">
        <f>VLOOKUP('Informe Kelly'!A3320,Base!A:G,7,FALSE)</f>
        <v>#N/A</v>
      </c>
      <c r="C3326" s="112">
        <f>'Informe Kelly'!E3320</f>
        <v>0</v>
      </c>
      <c r="D3326" s="112" t="e">
        <f>VLOOKUP(A3326,Ingreso!K:P,6,FALSE)</f>
        <v>#N/A</v>
      </c>
      <c r="E3326" s="142" t="e">
        <f>(VLOOKUP(D3326,$D$2:$E$4,2,FALSE))-(IF('Informe Kelly'!H3320=$A$2,'Informe Kelly'!F3320,VLOOKUP(D3326,$D$2:$E$4,2,FALSE)))</f>
        <v>#N/A</v>
      </c>
      <c r="F3326" s="142" t="e">
        <f>IF('Informe Kelly'!H3320=$A$3,'Informe Kelly'!F3320,VLOOKUP(D3326,$D$2:$F$4,3,FALSE))-(VLOOKUP(D3326,$D$2:$F$4,3,FALSE))</f>
        <v>#N/A</v>
      </c>
      <c r="G3326" s="137" t="e">
        <f t="shared" si="55"/>
        <v>#N/A</v>
      </c>
    </row>
    <row r="3327" spans="1:7">
      <c r="A3327" s="112" t="e">
        <f>VLOOKUP('Informe Kelly'!A3321,Base!A:B,2,FALSE)</f>
        <v>#N/A</v>
      </c>
      <c r="B3327" s="112" t="e">
        <f>VLOOKUP('Informe Kelly'!A3321,Base!A:G,7,FALSE)</f>
        <v>#N/A</v>
      </c>
      <c r="C3327" s="112">
        <f>'Informe Kelly'!E3321</f>
        <v>0</v>
      </c>
      <c r="D3327" s="112" t="e">
        <f>VLOOKUP(A3327,Ingreso!K:P,6,FALSE)</f>
        <v>#N/A</v>
      </c>
      <c r="E3327" s="142" t="e">
        <f>(VLOOKUP(D3327,$D$2:$E$4,2,FALSE))-(IF('Informe Kelly'!H3321=$A$2,'Informe Kelly'!F3321,VLOOKUP(D3327,$D$2:$E$4,2,FALSE)))</f>
        <v>#N/A</v>
      </c>
      <c r="F3327" s="142" t="e">
        <f>IF('Informe Kelly'!H3321=$A$3,'Informe Kelly'!F3321,VLOOKUP(D3327,$D$2:$F$4,3,FALSE))-(VLOOKUP(D3327,$D$2:$F$4,3,FALSE))</f>
        <v>#N/A</v>
      </c>
      <c r="G3327" s="137" t="e">
        <f t="shared" si="55"/>
        <v>#N/A</v>
      </c>
    </row>
    <row r="3328" spans="1:7">
      <c r="A3328" s="112" t="e">
        <f>VLOOKUP('Informe Kelly'!A3322,Base!A:B,2,FALSE)</f>
        <v>#N/A</v>
      </c>
      <c r="B3328" s="112" t="e">
        <f>VLOOKUP('Informe Kelly'!A3322,Base!A:G,7,FALSE)</f>
        <v>#N/A</v>
      </c>
      <c r="C3328" s="112">
        <f>'Informe Kelly'!E3322</f>
        <v>0</v>
      </c>
      <c r="D3328" s="112" t="e">
        <f>VLOOKUP(A3328,Ingreso!K:P,6,FALSE)</f>
        <v>#N/A</v>
      </c>
      <c r="E3328" s="142" t="e">
        <f>(VLOOKUP(D3328,$D$2:$E$4,2,FALSE))-(IF('Informe Kelly'!H3322=$A$2,'Informe Kelly'!F3322,VLOOKUP(D3328,$D$2:$E$4,2,FALSE)))</f>
        <v>#N/A</v>
      </c>
      <c r="F3328" s="142" t="e">
        <f>IF('Informe Kelly'!H3322=$A$3,'Informe Kelly'!F3322,VLOOKUP(D3328,$D$2:$F$4,3,FALSE))-(VLOOKUP(D3328,$D$2:$F$4,3,FALSE))</f>
        <v>#N/A</v>
      </c>
      <c r="G3328" s="137" t="e">
        <f t="shared" si="55"/>
        <v>#N/A</v>
      </c>
    </row>
    <row r="3329" spans="1:7">
      <c r="A3329" s="112" t="e">
        <f>VLOOKUP('Informe Kelly'!A3323,Base!A:B,2,FALSE)</f>
        <v>#N/A</v>
      </c>
      <c r="B3329" s="112" t="e">
        <f>VLOOKUP('Informe Kelly'!A3323,Base!A:G,7,FALSE)</f>
        <v>#N/A</v>
      </c>
      <c r="C3329" s="112">
        <f>'Informe Kelly'!E3323</f>
        <v>0</v>
      </c>
      <c r="D3329" s="112" t="e">
        <f>VLOOKUP(A3329,Ingreso!K:P,6,FALSE)</f>
        <v>#N/A</v>
      </c>
      <c r="E3329" s="142" t="e">
        <f>(VLOOKUP(D3329,$D$2:$E$4,2,FALSE))-(IF('Informe Kelly'!H3323=$A$2,'Informe Kelly'!F3323,VLOOKUP(D3329,$D$2:$E$4,2,FALSE)))</f>
        <v>#N/A</v>
      </c>
      <c r="F3329" s="142" t="e">
        <f>IF('Informe Kelly'!H3323=$A$3,'Informe Kelly'!F3323,VLOOKUP(D3329,$D$2:$F$4,3,FALSE))-(VLOOKUP(D3329,$D$2:$F$4,3,FALSE))</f>
        <v>#N/A</v>
      </c>
      <c r="G3329" s="137" t="e">
        <f t="shared" si="55"/>
        <v>#N/A</v>
      </c>
    </row>
    <row r="3330" spans="1:7">
      <c r="A3330" s="112" t="e">
        <f>VLOOKUP('Informe Kelly'!A3324,Base!A:B,2,FALSE)</f>
        <v>#N/A</v>
      </c>
      <c r="B3330" s="112" t="e">
        <f>VLOOKUP('Informe Kelly'!A3324,Base!A:G,7,FALSE)</f>
        <v>#N/A</v>
      </c>
      <c r="C3330" s="112">
        <f>'Informe Kelly'!E3324</f>
        <v>0</v>
      </c>
      <c r="D3330" s="112" t="e">
        <f>VLOOKUP(A3330,Ingreso!K:P,6,FALSE)</f>
        <v>#N/A</v>
      </c>
      <c r="E3330" s="142" t="e">
        <f>(VLOOKUP(D3330,$D$2:$E$4,2,FALSE))-(IF('Informe Kelly'!H3324=$A$2,'Informe Kelly'!F3324,VLOOKUP(D3330,$D$2:$E$4,2,FALSE)))</f>
        <v>#N/A</v>
      </c>
      <c r="F3330" s="142" t="e">
        <f>IF('Informe Kelly'!H3324=$A$3,'Informe Kelly'!F3324,VLOOKUP(D3330,$D$2:$F$4,3,FALSE))-(VLOOKUP(D3330,$D$2:$F$4,3,FALSE))</f>
        <v>#N/A</v>
      </c>
      <c r="G3330" s="137" t="e">
        <f t="shared" si="55"/>
        <v>#N/A</v>
      </c>
    </row>
    <row r="3331" spans="1:7">
      <c r="A3331" s="112" t="e">
        <f>VLOOKUP('Informe Kelly'!A3325,Base!A:B,2,FALSE)</f>
        <v>#N/A</v>
      </c>
      <c r="B3331" s="112" t="e">
        <f>VLOOKUP('Informe Kelly'!A3325,Base!A:G,7,FALSE)</f>
        <v>#N/A</v>
      </c>
      <c r="C3331" s="112">
        <f>'Informe Kelly'!E3325</f>
        <v>0</v>
      </c>
      <c r="D3331" s="112" t="e">
        <f>VLOOKUP(A3331,Ingreso!K:P,6,FALSE)</f>
        <v>#N/A</v>
      </c>
      <c r="E3331" s="142" t="e">
        <f>(VLOOKUP(D3331,$D$2:$E$4,2,FALSE))-(IF('Informe Kelly'!H3325=$A$2,'Informe Kelly'!F3325,VLOOKUP(D3331,$D$2:$E$4,2,FALSE)))</f>
        <v>#N/A</v>
      </c>
      <c r="F3331" s="142" t="e">
        <f>IF('Informe Kelly'!H3325=$A$3,'Informe Kelly'!F3325,VLOOKUP(D3331,$D$2:$F$4,3,FALSE))-(VLOOKUP(D3331,$D$2:$F$4,3,FALSE))</f>
        <v>#N/A</v>
      </c>
      <c r="G3331" s="137" t="e">
        <f t="shared" si="55"/>
        <v>#N/A</v>
      </c>
    </row>
    <row r="3332" spans="1:7">
      <c r="A3332" s="112" t="e">
        <f>VLOOKUP('Informe Kelly'!A3326,Base!A:B,2,FALSE)</f>
        <v>#N/A</v>
      </c>
      <c r="B3332" s="112" t="e">
        <f>VLOOKUP('Informe Kelly'!A3326,Base!A:G,7,FALSE)</f>
        <v>#N/A</v>
      </c>
      <c r="C3332" s="112">
        <f>'Informe Kelly'!E3326</f>
        <v>0</v>
      </c>
      <c r="D3332" s="112" t="e">
        <f>VLOOKUP(A3332,Ingreso!K:P,6,FALSE)</f>
        <v>#N/A</v>
      </c>
      <c r="E3332" s="142" t="e">
        <f>(VLOOKUP(D3332,$D$2:$E$4,2,FALSE))-(IF('Informe Kelly'!H3326=$A$2,'Informe Kelly'!F3326,VLOOKUP(D3332,$D$2:$E$4,2,FALSE)))</f>
        <v>#N/A</v>
      </c>
      <c r="F3332" s="142" t="e">
        <f>IF('Informe Kelly'!H3326=$A$3,'Informe Kelly'!F3326,VLOOKUP(D3332,$D$2:$F$4,3,FALSE))-(VLOOKUP(D3332,$D$2:$F$4,3,FALSE))</f>
        <v>#N/A</v>
      </c>
      <c r="G3332" s="137" t="e">
        <f t="shared" si="55"/>
        <v>#N/A</v>
      </c>
    </row>
    <row r="3333" spans="1:7">
      <c r="A3333" s="112" t="e">
        <f>VLOOKUP('Informe Kelly'!A3327,Base!A:B,2,FALSE)</f>
        <v>#N/A</v>
      </c>
      <c r="B3333" s="112" t="e">
        <f>VLOOKUP('Informe Kelly'!A3327,Base!A:G,7,FALSE)</f>
        <v>#N/A</v>
      </c>
      <c r="C3333" s="112">
        <f>'Informe Kelly'!E3327</f>
        <v>0</v>
      </c>
      <c r="D3333" s="112" t="e">
        <f>VLOOKUP(A3333,Ingreso!K:P,6,FALSE)</f>
        <v>#N/A</v>
      </c>
      <c r="E3333" s="142" t="e">
        <f>(VLOOKUP(D3333,$D$2:$E$4,2,FALSE))-(IF('Informe Kelly'!H3327=$A$2,'Informe Kelly'!F3327,VLOOKUP(D3333,$D$2:$E$4,2,FALSE)))</f>
        <v>#N/A</v>
      </c>
      <c r="F3333" s="142" t="e">
        <f>IF('Informe Kelly'!H3327=$A$3,'Informe Kelly'!F3327,VLOOKUP(D3333,$D$2:$F$4,3,FALSE))-(VLOOKUP(D3333,$D$2:$F$4,3,FALSE))</f>
        <v>#N/A</v>
      </c>
      <c r="G3333" s="137" t="e">
        <f t="shared" si="55"/>
        <v>#N/A</v>
      </c>
    </row>
    <row r="3334" spans="1:7">
      <c r="A3334" s="112" t="e">
        <f>VLOOKUP('Informe Kelly'!A3328,Base!A:B,2,FALSE)</f>
        <v>#N/A</v>
      </c>
      <c r="B3334" s="112" t="e">
        <f>VLOOKUP('Informe Kelly'!A3328,Base!A:G,7,FALSE)</f>
        <v>#N/A</v>
      </c>
      <c r="C3334" s="112">
        <f>'Informe Kelly'!E3328</f>
        <v>0</v>
      </c>
      <c r="D3334" s="112" t="e">
        <f>VLOOKUP(A3334,Ingreso!K:P,6,FALSE)</f>
        <v>#N/A</v>
      </c>
      <c r="E3334" s="142" t="e">
        <f>(VLOOKUP(D3334,$D$2:$E$4,2,FALSE))-(IF('Informe Kelly'!H3328=$A$2,'Informe Kelly'!F3328,VLOOKUP(D3334,$D$2:$E$4,2,FALSE)))</f>
        <v>#N/A</v>
      </c>
      <c r="F3334" s="142" t="e">
        <f>IF('Informe Kelly'!H3328=$A$3,'Informe Kelly'!F3328,VLOOKUP(D3334,$D$2:$F$4,3,FALSE))-(VLOOKUP(D3334,$D$2:$F$4,3,FALSE))</f>
        <v>#N/A</v>
      </c>
      <c r="G3334" s="137" t="e">
        <f t="shared" si="55"/>
        <v>#N/A</v>
      </c>
    </row>
    <row r="3335" spans="1:7">
      <c r="A3335" s="112" t="e">
        <f>VLOOKUP('Informe Kelly'!A3329,Base!A:B,2,FALSE)</f>
        <v>#N/A</v>
      </c>
      <c r="B3335" s="112" t="e">
        <f>VLOOKUP('Informe Kelly'!A3329,Base!A:G,7,FALSE)</f>
        <v>#N/A</v>
      </c>
      <c r="C3335" s="112">
        <f>'Informe Kelly'!E3329</f>
        <v>0</v>
      </c>
      <c r="D3335" s="112" t="e">
        <f>VLOOKUP(A3335,Ingreso!K:P,6,FALSE)</f>
        <v>#N/A</v>
      </c>
      <c r="E3335" s="142" t="e">
        <f>(VLOOKUP(D3335,$D$2:$E$4,2,FALSE))-(IF('Informe Kelly'!H3329=$A$2,'Informe Kelly'!F3329,VLOOKUP(D3335,$D$2:$E$4,2,FALSE)))</f>
        <v>#N/A</v>
      </c>
      <c r="F3335" s="142" t="e">
        <f>IF('Informe Kelly'!H3329=$A$3,'Informe Kelly'!F3329,VLOOKUP(D3335,$D$2:$F$4,3,FALSE))-(VLOOKUP(D3335,$D$2:$F$4,3,FALSE))</f>
        <v>#N/A</v>
      </c>
      <c r="G3335" s="137" t="e">
        <f t="shared" si="55"/>
        <v>#N/A</v>
      </c>
    </row>
    <row r="3336" spans="1:7">
      <c r="A3336" s="112" t="e">
        <f>VLOOKUP('Informe Kelly'!A3330,Base!A:B,2,FALSE)</f>
        <v>#N/A</v>
      </c>
      <c r="B3336" s="112" t="e">
        <f>VLOOKUP('Informe Kelly'!A3330,Base!A:G,7,FALSE)</f>
        <v>#N/A</v>
      </c>
      <c r="C3336" s="112">
        <f>'Informe Kelly'!E3330</f>
        <v>0</v>
      </c>
      <c r="D3336" s="112" t="e">
        <f>VLOOKUP(A3336,Ingreso!K:P,6,FALSE)</f>
        <v>#N/A</v>
      </c>
      <c r="E3336" s="142" t="e">
        <f>(VLOOKUP(D3336,$D$2:$E$4,2,FALSE))-(IF('Informe Kelly'!H3330=$A$2,'Informe Kelly'!F3330,VLOOKUP(D3336,$D$2:$E$4,2,FALSE)))</f>
        <v>#N/A</v>
      </c>
      <c r="F3336" s="142" t="e">
        <f>IF('Informe Kelly'!H3330=$A$3,'Informe Kelly'!F3330,VLOOKUP(D3336,$D$2:$F$4,3,FALSE))-(VLOOKUP(D3336,$D$2:$F$4,3,FALSE))</f>
        <v>#N/A</v>
      </c>
      <c r="G3336" s="137" t="e">
        <f t="shared" si="55"/>
        <v>#N/A</v>
      </c>
    </row>
    <row r="3337" spans="1:7">
      <c r="A3337" s="112" t="e">
        <f>VLOOKUP('Informe Kelly'!A3331,Base!A:B,2,FALSE)</f>
        <v>#N/A</v>
      </c>
      <c r="B3337" s="112" t="e">
        <f>VLOOKUP('Informe Kelly'!A3331,Base!A:G,7,FALSE)</f>
        <v>#N/A</v>
      </c>
      <c r="C3337" s="112">
        <f>'Informe Kelly'!E3331</f>
        <v>0</v>
      </c>
      <c r="D3337" s="112" t="e">
        <f>VLOOKUP(A3337,Ingreso!K:P,6,FALSE)</f>
        <v>#N/A</v>
      </c>
      <c r="E3337" s="142" t="e">
        <f>(VLOOKUP(D3337,$D$2:$E$4,2,FALSE))-(IF('Informe Kelly'!H3331=$A$2,'Informe Kelly'!F3331,VLOOKUP(D3337,$D$2:$E$4,2,FALSE)))</f>
        <v>#N/A</v>
      </c>
      <c r="F3337" s="142" t="e">
        <f>IF('Informe Kelly'!H3331=$A$3,'Informe Kelly'!F3331,VLOOKUP(D3337,$D$2:$F$4,3,FALSE))-(VLOOKUP(D3337,$D$2:$F$4,3,FALSE))</f>
        <v>#N/A</v>
      </c>
      <c r="G3337" s="137" t="e">
        <f t="shared" ref="G3337:G3400" si="56">IF(E3337="",IF(F3337&lt;0.0409722222222222,0,E3337),IF(E3337&lt;0.0409722222222222,0,E3337))</f>
        <v>#N/A</v>
      </c>
    </row>
    <row r="3338" spans="1:7">
      <c r="A3338" s="112" t="e">
        <f>VLOOKUP('Informe Kelly'!A3332,Base!A:B,2,FALSE)</f>
        <v>#N/A</v>
      </c>
      <c r="B3338" s="112" t="e">
        <f>VLOOKUP('Informe Kelly'!A3332,Base!A:G,7,FALSE)</f>
        <v>#N/A</v>
      </c>
      <c r="C3338" s="112">
        <f>'Informe Kelly'!E3332</f>
        <v>0</v>
      </c>
      <c r="D3338" s="112" t="e">
        <f>VLOOKUP(A3338,Ingreso!K:P,6,FALSE)</f>
        <v>#N/A</v>
      </c>
      <c r="E3338" s="142" t="e">
        <f>(VLOOKUP(D3338,$D$2:$E$4,2,FALSE))-(IF('Informe Kelly'!H3332=$A$2,'Informe Kelly'!F3332,VLOOKUP(D3338,$D$2:$E$4,2,FALSE)))</f>
        <v>#N/A</v>
      </c>
      <c r="F3338" s="142" t="e">
        <f>IF('Informe Kelly'!H3332=$A$3,'Informe Kelly'!F3332,VLOOKUP(D3338,$D$2:$F$4,3,FALSE))-(VLOOKUP(D3338,$D$2:$F$4,3,FALSE))</f>
        <v>#N/A</v>
      </c>
      <c r="G3338" s="137" t="e">
        <f t="shared" si="56"/>
        <v>#N/A</v>
      </c>
    </row>
    <row r="3339" spans="1:7">
      <c r="A3339" s="112" t="e">
        <f>VLOOKUP('Informe Kelly'!A3333,Base!A:B,2,FALSE)</f>
        <v>#N/A</v>
      </c>
      <c r="B3339" s="112" t="e">
        <f>VLOOKUP('Informe Kelly'!A3333,Base!A:G,7,FALSE)</f>
        <v>#N/A</v>
      </c>
      <c r="C3339" s="112">
        <f>'Informe Kelly'!E3333</f>
        <v>0</v>
      </c>
      <c r="D3339" s="112" t="e">
        <f>VLOOKUP(A3339,Ingreso!K:P,6,FALSE)</f>
        <v>#N/A</v>
      </c>
      <c r="E3339" s="142" t="e">
        <f>(VLOOKUP(D3339,$D$2:$E$4,2,FALSE))-(IF('Informe Kelly'!H3333=$A$2,'Informe Kelly'!F3333,VLOOKUP(D3339,$D$2:$E$4,2,FALSE)))</f>
        <v>#N/A</v>
      </c>
      <c r="F3339" s="142" t="e">
        <f>IF('Informe Kelly'!H3333=$A$3,'Informe Kelly'!F3333,VLOOKUP(D3339,$D$2:$F$4,3,FALSE))-(VLOOKUP(D3339,$D$2:$F$4,3,FALSE))</f>
        <v>#N/A</v>
      </c>
      <c r="G3339" s="137" t="e">
        <f t="shared" si="56"/>
        <v>#N/A</v>
      </c>
    </row>
    <row r="3340" spans="1:7">
      <c r="A3340" s="112" t="e">
        <f>VLOOKUP('Informe Kelly'!A3334,Base!A:B,2,FALSE)</f>
        <v>#N/A</v>
      </c>
      <c r="B3340" s="112" t="e">
        <f>VLOOKUP('Informe Kelly'!A3334,Base!A:G,7,FALSE)</f>
        <v>#N/A</v>
      </c>
      <c r="C3340" s="112">
        <f>'Informe Kelly'!E3334</f>
        <v>0</v>
      </c>
      <c r="D3340" s="112" t="e">
        <f>VLOOKUP(A3340,Ingreso!K:P,6,FALSE)</f>
        <v>#N/A</v>
      </c>
      <c r="E3340" s="142" t="e">
        <f>(VLOOKUP(D3340,$D$2:$E$4,2,FALSE))-(IF('Informe Kelly'!H3334=$A$2,'Informe Kelly'!F3334,VLOOKUP(D3340,$D$2:$E$4,2,FALSE)))</f>
        <v>#N/A</v>
      </c>
      <c r="F3340" s="142" t="e">
        <f>IF('Informe Kelly'!H3334=$A$3,'Informe Kelly'!F3334,VLOOKUP(D3340,$D$2:$F$4,3,FALSE))-(VLOOKUP(D3340,$D$2:$F$4,3,FALSE))</f>
        <v>#N/A</v>
      </c>
      <c r="G3340" s="137" t="e">
        <f t="shared" si="56"/>
        <v>#N/A</v>
      </c>
    </row>
    <row r="3341" spans="1:7">
      <c r="A3341" s="112" t="e">
        <f>VLOOKUP('Informe Kelly'!A3335,Base!A:B,2,FALSE)</f>
        <v>#N/A</v>
      </c>
      <c r="B3341" s="112" t="e">
        <f>VLOOKUP('Informe Kelly'!A3335,Base!A:G,7,FALSE)</f>
        <v>#N/A</v>
      </c>
      <c r="C3341" s="112">
        <f>'Informe Kelly'!E3335</f>
        <v>0</v>
      </c>
      <c r="D3341" s="112" t="e">
        <f>VLOOKUP(A3341,Ingreso!K:P,6,FALSE)</f>
        <v>#N/A</v>
      </c>
      <c r="E3341" s="142" t="e">
        <f>(VLOOKUP(D3341,$D$2:$E$4,2,FALSE))-(IF('Informe Kelly'!H3335=$A$2,'Informe Kelly'!F3335,VLOOKUP(D3341,$D$2:$E$4,2,FALSE)))</f>
        <v>#N/A</v>
      </c>
      <c r="F3341" s="142" t="e">
        <f>IF('Informe Kelly'!H3335=$A$3,'Informe Kelly'!F3335,VLOOKUP(D3341,$D$2:$F$4,3,FALSE))-(VLOOKUP(D3341,$D$2:$F$4,3,FALSE))</f>
        <v>#N/A</v>
      </c>
      <c r="G3341" s="137" t="e">
        <f t="shared" si="56"/>
        <v>#N/A</v>
      </c>
    </row>
    <row r="3342" spans="1:7">
      <c r="A3342" s="112" t="e">
        <f>VLOOKUP('Informe Kelly'!A3336,Base!A:B,2,FALSE)</f>
        <v>#N/A</v>
      </c>
      <c r="B3342" s="112" t="e">
        <f>VLOOKUP('Informe Kelly'!A3336,Base!A:G,7,FALSE)</f>
        <v>#N/A</v>
      </c>
      <c r="C3342" s="112">
        <f>'Informe Kelly'!E3336</f>
        <v>0</v>
      </c>
      <c r="D3342" s="112" t="e">
        <f>VLOOKUP(A3342,Ingreso!K:P,6,FALSE)</f>
        <v>#N/A</v>
      </c>
      <c r="E3342" s="142" t="e">
        <f>(VLOOKUP(D3342,$D$2:$E$4,2,FALSE))-(IF('Informe Kelly'!H3336=$A$2,'Informe Kelly'!F3336,VLOOKUP(D3342,$D$2:$E$4,2,FALSE)))</f>
        <v>#N/A</v>
      </c>
      <c r="F3342" s="142" t="e">
        <f>IF('Informe Kelly'!H3336=$A$3,'Informe Kelly'!F3336,VLOOKUP(D3342,$D$2:$F$4,3,FALSE))-(VLOOKUP(D3342,$D$2:$F$4,3,FALSE))</f>
        <v>#N/A</v>
      </c>
      <c r="G3342" s="137" t="e">
        <f t="shared" si="56"/>
        <v>#N/A</v>
      </c>
    </row>
    <row r="3343" spans="1:7">
      <c r="A3343" s="112" t="e">
        <f>VLOOKUP('Informe Kelly'!A3337,Base!A:B,2,FALSE)</f>
        <v>#N/A</v>
      </c>
      <c r="B3343" s="112" t="e">
        <f>VLOOKUP('Informe Kelly'!A3337,Base!A:G,7,FALSE)</f>
        <v>#N/A</v>
      </c>
      <c r="C3343" s="112">
        <f>'Informe Kelly'!E3337</f>
        <v>0</v>
      </c>
      <c r="D3343" s="112" t="e">
        <f>VLOOKUP(A3343,Ingreso!K:P,6,FALSE)</f>
        <v>#N/A</v>
      </c>
      <c r="E3343" s="142" t="e">
        <f>(VLOOKUP(D3343,$D$2:$E$4,2,FALSE))-(IF('Informe Kelly'!H3337=$A$2,'Informe Kelly'!F3337,VLOOKUP(D3343,$D$2:$E$4,2,FALSE)))</f>
        <v>#N/A</v>
      </c>
      <c r="F3343" s="142" t="e">
        <f>IF('Informe Kelly'!H3337=$A$3,'Informe Kelly'!F3337,VLOOKUP(D3343,$D$2:$F$4,3,FALSE))-(VLOOKUP(D3343,$D$2:$F$4,3,FALSE))</f>
        <v>#N/A</v>
      </c>
      <c r="G3343" s="137" t="e">
        <f t="shared" si="56"/>
        <v>#N/A</v>
      </c>
    </row>
    <row r="3344" spans="1:7">
      <c r="A3344" s="112" t="e">
        <f>VLOOKUP('Informe Kelly'!A3338,Base!A:B,2,FALSE)</f>
        <v>#N/A</v>
      </c>
      <c r="B3344" s="112" t="e">
        <f>VLOOKUP('Informe Kelly'!A3338,Base!A:G,7,FALSE)</f>
        <v>#N/A</v>
      </c>
      <c r="C3344" s="112">
        <f>'Informe Kelly'!E3338</f>
        <v>0</v>
      </c>
      <c r="D3344" s="112" t="e">
        <f>VLOOKUP(A3344,Ingreso!K:P,6,FALSE)</f>
        <v>#N/A</v>
      </c>
      <c r="E3344" s="142" t="e">
        <f>(VLOOKUP(D3344,$D$2:$E$4,2,FALSE))-(IF('Informe Kelly'!H3338=$A$2,'Informe Kelly'!F3338,VLOOKUP(D3344,$D$2:$E$4,2,FALSE)))</f>
        <v>#N/A</v>
      </c>
      <c r="F3344" s="142" t="e">
        <f>IF('Informe Kelly'!H3338=$A$3,'Informe Kelly'!F3338,VLOOKUP(D3344,$D$2:$F$4,3,FALSE))-(VLOOKUP(D3344,$D$2:$F$4,3,FALSE))</f>
        <v>#N/A</v>
      </c>
      <c r="G3344" s="137" t="e">
        <f t="shared" si="56"/>
        <v>#N/A</v>
      </c>
    </row>
    <row r="3345" spans="1:7">
      <c r="A3345" s="112" t="e">
        <f>VLOOKUP('Informe Kelly'!A3339,Base!A:B,2,FALSE)</f>
        <v>#N/A</v>
      </c>
      <c r="B3345" s="112" t="e">
        <f>VLOOKUP('Informe Kelly'!A3339,Base!A:G,7,FALSE)</f>
        <v>#N/A</v>
      </c>
      <c r="C3345" s="112">
        <f>'Informe Kelly'!E3339</f>
        <v>0</v>
      </c>
      <c r="D3345" s="112" t="e">
        <f>VLOOKUP(A3345,Ingreso!K:P,6,FALSE)</f>
        <v>#N/A</v>
      </c>
      <c r="E3345" s="142" t="e">
        <f>(VLOOKUP(D3345,$D$2:$E$4,2,FALSE))-(IF('Informe Kelly'!H3339=$A$2,'Informe Kelly'!F3339,VLOOKUP(D3345,$D$2:$E$4,2,FALSE)))</f>
        <v>#N/A</v>
      </c>
      <c r="F3345" s="142" t="e">
        <f>IF('Informe Kelly'!H3339=$A$3,'Informe Kelly'!F3339,VLOOKUP(D3345,$D$2:$F$4,3,FALSE))-(VLOOKUP(D3345,$D$2:$F$4,3,FALSE))</f>
        <v>#N/A</v>
      </c>
      <c r="G3345" s="137" t="e">
        <f t="shared" si="56"/>
        <v>#N/A</v>
      </c>
    </row>
    <row r="3346" spans="1:7">
      <c r="A3346" s="112" t="e">
        <f>VLOOKUP('Informe Kelly'!A3340,Base!A:B,2,FALSE)</f>
        <v>#N/A</v>
      </c>
      <c r="B3346" s="112" t="e">
        <f>VLOOKUP('Informe Kelly'!A3340,Base!A:G,7,FALSE)</f>
        <v>#N/A</v>
      </c>
      <c r="C3346" s="112">
        <f>'Informe Kelly'!E3340</f>
        <v>0</v>
      </c>
      <c r="D3346" s="112" t="e">
        <f>VLOOKUP(A3346,Ingreso!K:P,6,FALSE)</f>
        <v>#N/A</v>
      </c>
      <c r="E3346" s="142" t="e">
        <f>(VLOOKUP(D3346,$D$2:$E$4,2,FALSE))-(IF('Informe Kelly'!H3340=$A$2,'Informe Kelly'!F3340,VLOOKUP(D3346,$D$2:$E$4,2,FALSE)))</f>
        <v>#N/A</v>
      </c>
      <c r="F3346" s="142" t="e">
        <f>IF('Informe Kelly'!H3340=$A$3,'Informe Kelly'!F3340,VLOOKUP(D3346,$D$2:$F$4,3,FALSE))-(VLOOKUP(D3346,$D$2:$F$4,3,FALSE))</f>
        <v>#N/A</v>
      </c>
      <c r="G3346" s="137" t="e">
        <f t="shared" si="56"/>
        <v>#N/A</v>
      </c>
    </row>
    <row r="3347" spans="1:7">
      <c r="A3347" s="112" t="e">
        <f>VLOOKUP('Informe Kelly'!A3341,Base!A:B,2,FALSE)</f>
        <v>#N/A</v>
      </c>
      <c r="B3347" s="112" t="e">
        <f>VLOOKUP('Informe Kelly'!A3341,Base!A:G,7,FALSE)</f>
        <v>#N/A</v>
      </c>
      <c r="C3347" s="112">
        <f>'Informe Kelly'!E3341</f>
        <v>0</v>
      </c>
      <c r="D3347" s="112" t="e">
        <f>VLOOKUP(A3347,Ingreso!K:P,6,FALSE)</f>
        <v>#N/A</v>
      </c>
      <c r="E3347" s="142" t="e">
        <f>(VLOOKUP(D3347,$D$2:$E$4,2,FALSE))-(IF('Informe Kelly'!H3341=$A$2,'Informe Kelly'!F3341,VLOOKUP(D3347,$D$2:$E$4,2,FALSE)))</f>
        <v>#N/A</v>
      </c>
      <c r="F3347" s="142" t="e">
        <f>IF('Informe Kelly'!H3341=$A$3,'Informe Kelly'!F3341,VLOOKUP(D3347,$D$2:$F$4,3,FALSE))-(VLOOKUP(D3347,$D$2:$F$4,3,FALSE))</f>
        <v>#N/A</v>
      </c>
      <c r="G3347" s="137" t="e">
        <f t="shared" si="56"/>
        <v>#N/A</v>
      </c>
    </row>
    <row r="3348" spans="1:7">
      <c r="A3348" s="112" t="e">
        <f>VLOOKUP('Informe Kelly'!A3342,Base!A:B,2,FALSE)</f>
        <v>#N/A</v>
      </c>
      <c r="B3348" s="112" t="e">
        <f>VLOOKUP('Informe Kelly'!A3342,Base!A:G,7,FALSE)</f>
        <v>#N/A</v>
      </c>
      <c r="C3348" s="112">
        <f>'Informe Kelly'!E3342</f>
        <v>0</v>
      </c>
      <c r="D3348" s="112" t="e">
        <f>VLOOKUP(A3348,Ingreso!K:P,6,FALSE)</f>
        <v>#N/A</v>
      </c>
      <c r="E3348" s="142" t="e">
        <f>(VLOOKUP(D3348,$D$2:$E$4,2,FALSE))-(IF('Informe Kelly'!H3342=$A$2,'Informe Kelly'!F3342,VLOOKUP(D3348,$D$2:$E$4,2,FALSE)))</f>
        <v>#N/A</v>
      </c>
      <c r="F3348" s="142" t="e">
        <f>IF('Informe Kelly'!H3342=$A$3,'Informe Kelly'!F3342,VLOOKUP(D3348,$D$2:$F$4,3,FALSE))-(VLOOKUP(D3348,$D$2:$F$4,3,FALSE))</f>
        <v>#N/A</v>
      </c>
      <c r="G3348" s="137" t="e">
        <f t="shared" si="56"/>
        <v>#N/A</v>
      </c>
    </row>
    <row r="3349" spans="1:7">
      <c r="A3349" s="112" t="e">
        <f>VLOOKUP('Informe Kelly'!A3343,Base!A:B,2,FALSE)</f>
        <v>#N/A</v>
      </c>
      <c r="B3349" s="112" t="e">
        <f>VLOOKUP('Informe Kelly'!A3343,Base!A:G,7,FALSE)</f>
        <v>#N/A</v>
      </c>
      <c r="C3349" s="112">
        <f>'Informe Kelly'!E3343</f>
        <v>0</v>
      </c>
      <c r="D3349" s="112" t="e">
        <f>VLOOKUP(A3349,Ingreso!K:P,6,FALSE)</f>
        <v>#N/A</v>
      </c>
      <c r="E3349" s="142" t="e">
        <f>(VLOOKUP(D3349,$D$2:$E$4,2,FALSE))-(IF('Informe Kelly'!H3343=$A$2,'Informe Kelly'!F3343,VLOOKUP(D3349,$D$2:$E$4,2,FALSE)))</f>
        <v>#N/A</v>
      </c>
      <c r="F3349" s="142" t="e">
        <f>IF('Informe Kelly'!H3343=$A$3,'Informe Kelly'!F3343,VLOOKUP(D3349,$D$2:$F$4,3,FALSE))-(VLOOKUP(D3349,$D$2:$F$4,3,FALSE))</f>
        <v>#N/A</v>
      </c>
      <c r="G3349" s="137" t="e">
        <f t="shared" si="56"/>
        <v>#N/A</v>
      </c>
    </row>
    <row r="3350" spans="1:7">
      <c r="A3350" s="112" t="e">
        <f>VLOOKUP('Informe Kelly'!A3344,Base!A:B,2,FALSE)</f>
        <v>#N/A</v>
      </c>
      <c r="B3350" s="112" t="e">
        <f>VLOOKUP('Informe Kelly'!A3344,Base!A:G,7,FALSE)</f>
        <v>#N/A</v>
      </c>
      <c r="C3350" s="112">
        <f>'Informe Kelly'!E3344</f>
        <v>0</v>
      </c>
      <c r="D3350" s="112" t="e">
        <f>VLOOKUP(A3350,Ingreso!K:P,6,FALSE)</f>
        <v>#N/A</v>
      </c>
      <c r="E3350" s="142" t="e">
        <f>(VLOOKUP(D3350,$D$2:$E$4,2,FALSE))-(IF('Informe Kelly'!H3344=$A$2,'Informe Kelly'!F3344,VLOOKUP(D3350,$D$2:$E$4,2,FALSE)))</f>
        <v>#N/A</v>
      </c>
      <c r="F3350" s="142" t="e">
        <f>IF('Informe Kelly'!H3344=$A$3,'Informe Kelly'!F3344,VLOOKUP(D3350,$D$2:$F$4,3,FALSE))-(VLOOKUP(D3350,$D$2:$F$4,3,FALSE))</f>
        <v>#N/A</v>
      </c>
      <c r="G3350" s="137" t="e">
        <f t="shared" si="56"/>
        <v>#N/A</v>
      </c>
    </row>
    <row r="3351" spans="1:7">
      <c r="A3351" s="112" t="e">
        <f>VLOOKUP('Informe Kelly'!A3345,Base!A:B,2,FALSE)</f>
        <v>#N/A</v>
      </c>
      <c r="B3351" s="112" t="e">
        <f>VLOOKUP('Informe Kelly'!A3345,Base!A:G,7,FALSE)</f>
        <v>#N/A</v>
      </c>
      <c r="C3351" s="112">
        <f>'Informe Kelly'!E3345</f>
        <v>0</v>
      </c>
      <c r="D3351" s="112" t="e">
        <f>VLOOKUP(A3351,Ingreso!K:P,6,FALSE)</f>
        <v>#N/A</v>
      </c>
      <c r="E3351" s="142" t="e">
        <f>(VLOOKUP(D3351,$D$2:$E$4,2,FALSE))-(IF('Informe Kelly'!H3345=$A$2,'Informe Kelly'!F3345,VLOOKUP(D3351,$D$2:$E$4,2,FALSE)))</f>
        <v>#N/A</v>
      </c>
      <c r="F3351" s="142" t="e">
        <f>IF('Informe Kelly'!H3345=$A$3,'Informe Kelly'!F3345,VLOOKUP(D3351,$D$2:$F$4,3,FALSE))-(VLOOKUP(D3351,$D$2:$F$4,3,FALSE))</f>
        <v>#N/A</v>
      </c>
      <c r="G3351" s="137" t="e">
        <f t="shared" si="56"/>
        <v>#N/A</v>
      </c>
    </row>
    <row r="3352" spans="1:7">
      <c r="A3352" s="112" t="e">
        <f>VLOOKUP('Informe Kelly'!A3346,Base!A:B,2,FALSE)</f>
        <v>#N/A</v>
      </c>
      <c r="B3352" s="112" t="e">
        <f>VLOOKUP('Informe Kelly'!A3346,Base!A:G,7,FALSE)</f>
        <v>#N/A</v>
      </c>
      <c r="C3352" s="112">
        <f>'Informe Kelly'!E3346</f>
        <v>0</v>
      </c>
      <c r="D3352" s="112" t="e">
        <f>VLOOKUP(A3352,Ingreso!K:P,6,FALSE)</f>
        <v>#N/A</v>
      </c>
      <c r="E3352" s="142" t="e">
        <f>(VLOOKUP(D3352,$D$2:$E$4,2,FALSE))-(IF('Informe Kelly'!H3346=$A$2,'Informe Kelly'!F3346,VLOOKUP(D3352,$D$2:$E$4,2,FALSE)))</f>
        <v>#N/A</v>
      </c>
      <c r="F3352" s="142" t="e">
        <f>IF('Informe Kelly'!H3346=$A$3,'Informe Kelly'!F3346,VLOOKUP(D3352,$D$2:$F$4,3,FALSE))-(VLOOKUP(D3352,$D$2:$F$4,3,FALSE))</f>
        <v>#N/A</v>
      </c>
      <c r="G3352" s="137" t="e">
        <f t="shared" si="56"/>
        <v>#N/A</v>
      </c>
    </row>
    <row r="3353" spans="1:7">
      <c r="A3353" s="112" t="e">
        <f>VLOOKUP('Informe Kelly'!A3347,Base!A:B,2,FALSE)</f>
        <v>#N/A</v>
      </c>
      <c r="B3353" s="112" t="e">
        <f>VLOOKUP('Informe Kelly'!A3347,Base!A:G,7,FALSE)</f>
        <v>#N/A</v>
      </c>
      <c r="C3353" s="112">
        <f>'Informe Kelly'!E3347</f>
        <v>0</v>
      </c>
      <c r="D3353" s="112" t="e">
        <f>VLOOKUP(A3353,Ingreso!K:P,6,FALSE)</f>
        <v>#N/A</v>
      </c>
      <c r="E3353" s="142" t="e">
        <f>(VLOOKUP(D3353,$D$2:$E$4,2,FALSE))-(IF('Informe Kelly'!H3347=$A$2,'Informe Kelly'!F3347,VLOOKUP(D3353,$D$2:$E$4,2,FALSE)))</f>
        <v>#N/A</v>
      </c>
      <c r="F3353" s="142" t="e">
        <f>IF('Informe Kelly'!H3347=$A$3,'Informe Kelly'!F3347,VLOOKUP(D3353,$D$2:$F$4,3,FALSE))-(VLOOKUP(D3353,$D$2:$F$4,3,FALSE))</f>
        <v>#N/A</v>
      </c>
      <c r="G3353" s="137" t="e">
        <f t="shared" si="56"/>
        <v>#N/A</v>
      </c>
    </row>
    <row r="3354" spans="1:7">
      <c r="A3354" s="112" t="e">
        <f>VLOOKUP('Informe Kelly'!A3348,Base!A:B,2,FALSE)</f>
        <v>#N/A</v>
      </c>
      <c r="B3354" s="112" t="e">
        <f>VLOOKUP('Informe Kelly'!A3348,Base!A:G,7,FALSE)</f>
        <v>#N/A</v>
      </c>
      <c r="C3354" s="112">
        <f>'Informe Kelly'!E3348</f>
        <v>0</v>
      </c>
      <c r="D3354" s="112" t="e">
        <f>VLOOKUP(A3354,Ingreso!K:P,6,FALSE)</f>
        <v>#N/A</v>
      </c>
      <c r="E3354" s="142" t="e">
        <f>(VLOOKUP(D3354,$D$2:$E$4,2,FALSE))-(IF('Informe Kelly'!H3348=$A$2,'Informe Kelly'!F3348,VLOOKUP(D3354,$D$2:$E$4,2,FALSE)))</f>
        <v>#N/A</v>
      </c>
      <c r="F3354" s="142" t="e">
        <f>IF('Informe Kelly'!H3348=$A$3,'Informe Kelly'!F3348,VLOOKUP(D3354,$D$2:$F$4,3,FALSE))-(VLOOKUP(D3354,$D$2:$F$4,3,FALSE))</f>
        <v>#N/A</v>
      </c>
      <c r="G3354" s="137" t="e">
        <f t="shared" si="56"/>
        <v>#N/A</v>
      </c>
    </row>
    <row r="3355" spans="1:7">
      <c r="A3355" s="112" t="e">
        <f>VLOOKUP('Informe Kelly'!A3349,Base!A:B,2,FALSE)</f>
        <v>#N/A</v>
      </c>
      <c r="B3355" s="112" t="e">
        <f>VLOOKUP('Informe Kelly'!A3349,Base!A:G,7,FALSE)</f>
        <v>#N/A</v>
      </c>
      <c r="C3355" s="112">
        <f>'Informe Kelly'!E3349</f>
        <v>0</v>
      </c>
      <c r="D3355" s="112" t="e">
        <f>VLOOKUP(A3355,Ingreso!K:P,6,FALSE)</f>
        <v>#N/A</v>
      </c>
      <c r="E3355" s="142" t="e">
        <f>(VLOOKUP(D3355,$D$2:$E$4,2,FALSE))-(IF('Informe Kelly'!H3349=$A$2,'Informe Kelly'!F3349,VLOOKUP(D3355,$D$2:$E$4,2,FALSE)))</f>
        <v>#N/A</v>
      </c>
      <c r="F3355" s="142" t="e">
        <f>IF('Informe Kelly'!H3349=$A$3,'Informe Kelly'!F3349,VLOOKUP(D3355,$D$2:$F$4,3,FALSE))-(VLOOKUP(D3355,$D$2:$F$4,3,FALSE))</f>
        <v>#N/A</v>
      </c>
      <c r="G3355" s="137" t="e">
        <f t="shared" si="56"/>
        <v>#N/A</v>
      </c>
    </row>
    <row r="3356" spans="1:7">
      <c r="A3356" s="112" t="e">
        <f>VLOOKUP('Informe Kelly'!A3350,Base!A:B,2,FALSE)</f>
        <v>#N/A</v>
      </c>
      <c r="B3356" s="112" t="e">
        <f>VLOOKUP('Informe Kelly'!A3350,Base!A:G,7,FALSE)</f>
        <v>#N/A</v>
      </c>
      <c r="C3356" s="112">
        <f>'Informe Kelly'!E3350</f>
        <v>0</v>
      </c>
      <c r="D3356" s="112" t="e">
        <f>VLOOKUP(A3356,Ingreso!K:P,6,FALSE)</f>
        <v>#N/A</v>
      </c>
      <c r="E3356" s="142" t="e">
        <f>(VLOOKUP(D3356,$D$2:$E$4,2,FALSE))-(IF('Informe Kelly'!H3350=$A$2,'Informe Kelly'!F3350,VLOOKUP(D3356,$D$2:$E$4,2,FALSE)))</f>
        <v>#N/A</v>
      </c>
      <c r="F3356" s="142" t="e">
        <f>IF('Informe Kelly'!H3350=$A$3,'Informe Kelly'!F3350,VLOOKUP(D3356,$D$2:$F$4,3,FALSE))-(VLOOKUP(D3356,$D$2:$F$4,3,FALSE))</f>
        <v>#N/A</v>
      </c>
      <c r="G3356" s="137" t="e">
        <f t="shared" si="56"/>
        <v>#N/A</v>
      </c>
    </row>
    <row r="3357" spans="1:7">
      <c r="A3357" s="112" t="e">
        <f>VLOOKUP('Informe Kelly'!A3351,Base!A:B,2,FALSE)</f>
        <v>#N/A</v>
      </c>
      <c r="B3357" s="112" t="e">
        <f>VLOOKUP('Informe Kelly'!A3351,Base!A:G,7,FALSE)</f>
        <v>#N/A</v>
      </c>
      <c r="C3357" s="112">
        <f>'Informe Kelly'!E3351</f>
        <v>0</v>
      </c>
      <c r="D3357" s="112" t="e">
        <f>VLOOKUP(A3357,Ingreso!K:P,6,FALSE)</f>
        <v>#N/A</v>
      </c>
      <c r="E3357" s="142" t="e">
        <f>(VLOOKUP(D3357,$D$2:$E$4,2,FALSE))-(IF('Informe Kelly'!H3351=$A$2,'Informe Kelly'!F3351,VLOOKUP(D3357,$D$2:$E$4,2,FALSE)))</f>
        <v>#N/A</v>
      </c>
      <c r="F3357" s="142" t="e">
        <f>IF('Informe Kelly'!H3351=$A$3,'Informe Kelly'!F3351,VLOOKUP(D3357,$D$2:$F$4,3,FALSE))-(VLOOKUP(D3357,$D$2:$F$4,3,FALSE))</f>
        <v>#N/A</v>
      </c>
      <c r="G3357" s="137" t="e">
        <f t="shared" si="56"/>
        <v>#N/A</v>
      </c>
    </row>
    <row r="3358" spans="1:7">
      <c r="A3358" s="112" t="e">
        <f>VLOOKUP('Informe Kelly'!A3352,Base!A:B,2,FALSE)</f>
        <v>#N/A</v>
      </c>
      <c r="B3358" s="112" t="e">
        <f>VLOOKUP('Informe Kelly'!A3352,Base!A:G,7,FALSE)</f>
        <v>#N/A</v>
      </c>
      <c r="C3358" s="112">
        <f>'Informe Kelly'!E3352</f>
        <v>0</v>
      </c>
      <c r="D3358" s="112" t="e">
        <f>VLOOKUP(A3358,Ingreso!K:P,6,FALSE)</f>
        <v>#N/A</v>
      </c>
      <c r="E3358" s="142" t="e">
        <f>(VLOOKUP(D3358,$D$2:$E$4,2,FALSE))-(IF('Informe Kelly'!H3352=$A$2,'Informe Kelly'!F3352,VLOOKUP(D3358,$D$2:$E$4,2,FALSE)))</f>
        <v>#N/A</v>
      </c>
      <c r="F3358" s="142" t="e">
        <f>IF('Informe Kelly'!H3352=$A$3,'Informe Kelly'!F3352,VLOOKUP(D3358,$D$2:$F$4,3,FALSE))-(VLOOKUP(D3358,$D$2:$F$4,3,FALSE))</f>
        <v>#N/A</v>
      </c>
      <c r="G3358" s="137" t="e">
        <f t="shared" si="56"/>
        <v>#N/A</v>
      </c>
    </row>
    <row r="3359" spans="1:7">
      <c r="A3359" s="112" t="e">
        <f>VLOOKUP('Informe Kelly'!A3353,Base!A:B,2,FALSE)</f>
        <v>#N/A</v>
      </c>
      <c r="B3359" s="112" t="e">
        <f>VLOOKUP('Informe Kelly'!A3353,Base!A:G,7,FALSE)</f>
        <v>#N/A</v>
      </c>
      <c r="C3359" s="112">
        <f>'Informe Kelly'!E3353</f>
        <v>0</v>
      </c>
      <c r="D3359" s="112" t="e">
        <f>VLOOKUP(A3359,Ingreso!K:P,6,FALSE)</f>
        <v>#N/A</v>
      </c>
      <c r="E3359" s="142" t="e">
        <f>(VLOOKUP(D3359,$D$2:$E$4,2,FALSE))-(IF('Informe Kelly'!H3353=$A$2,'Informe Kelly'!F3353,VLOOKUP(D3359,$D$2:$E$4,2,FALSE)))</f>
        <v>#N/A</v>
      </c>
      <c r="F3359" s="142" t="e">
        <f>IF('Informe Kelly'!H3353=$A$3,'Informe Kelly'!F3353,VLOOKUP(D3359,$D$2:$F$4,3,FALSE))-(VLOOKUP(D3359,$D$2:$F$4,3,FALSE))</f>
        <v>#N/A</v>
      </c>
      <c r="G3359" s="137" t="e">
        <f t="shared" si="56"/>
        <v>#N/A</v>
      </c>
    </row>
    <row r="3360" spans="1:7">
      <c r="A3360" s="112" t="e">
        <f>VLOOKUP('Informe Kelly'!A3354,Base!A:B,2,FALSE)</f>
        <v>#N/A</v>
      </c>
      <c r="B3360" s="112" t="e">
        <f>VLOOKUP('Informe Kelly'!A3354,Base!A:G,7,FALSE)</f>
        <v>#N/A</v>
      </c>
      <c r="C3360" s="112">
        <f>'Informe Kelly'!E3354</f>
        <v>0</v>
      </c>
      <c r="D3360" s="112" t="e">
        <f>VLOOKUP(A3360,Ingreso!K:P,6,FALSE)</f>
        <v>#N/A</v>
      </c>
      <c r="E3360" s="142" t="e">
        <f>(VLOOKUP(D3360,$D$2:$E$4,2,FALSE))-(IF('Informe Kelly'!H3354=$A$2,'Informe Kelly'!F3354,VLOOKUP(D3360,$D$2:$E$4,2,FALSE)))</f>
        <v>#N/A</v>
      </c>
      <c r="F3360" s="142" t="e">
        <f>IF('Informe Kelly'!H3354=$A$3,'Informe Kelly'!F3354,VLOOKUP(D3360,$D$2:$F$4,3,FALSE))-(VLOOKUP(D3360,$D$2:$F$4,3,FALSE))</f>
        <v>#N/A</v>
      </c>
      <c r="G3360" s="137" t="e">
        <f t="shared" si="56"/>
        <v>#N/A</v>
      </c>
    </row>
    <row r="3361" spans="1:7">
      <c r="A3361" s="112" t="e">
        <f>VLOOKUP('Informe Kelly'!A3355,Base!A:B,2,FALSE)</f>
        <v>#N/A</v>
      </c>
      <c r="B3361" s="112" t="e">
        <f>VLOOKUP('Informe Kelly'!A3355,Base!A:G,7,FALSE)</f>
        <v>#N/A</v>
      </c>
      <c r="C3361" s="112">
        <f>'Informe Kelly'!E3355</f>
        <v>0</v>
      </c>
      <c r="D3361" s="112" t="e">
        <f>VLOOKUP(A3361,Ingreso!K:P,6,FALSE)</f>
        <v>#N/A</v>
      </c>
      <c r="E3361" s="142" t="e">
        <f>(VLOOKUP(D3361,$D$2:$E$4,2,FALSE))-(IF('Informe Kelly'!H3355=$A$2,'Informe Kelly'!F3355,VLOOKUP(D3361,$D$2:$E$4,2,FALSE)))</f>
        <v>#N/A</v>
      </c>
      <c r="F3361" s="142" t="e">
        <f>IF('Informe Kelly'!H3355=$A$3,'Informe Kelly'!F3355,VLOOKUP(D3361,$D$2:$F$4,3,FALSE))-(VLOOKUP(D3361,$D$2:$F$4,3,FALSE))</f>
        <v>#N/A</v>
      </c>
      <c r="G3361" s="137" t="e">
        <f t="shared" si="56"/>
        <v>#N/A</v>
      </c>
    </row>
    <row r="3362" spans="1:7">
      <c r="A3362" s="112" t="e">
        <f>VLOOKUP('Informe Kelly'!A3356,Base!A:B,2,FALSE)</f>
        <v>#N/A</v>
      </c>
      <c r="B3362" s="112" t="e">
        <f>VLOOKUP('Informe Kelly'!A3356,Base!A:G,7,FALSE)</f>
        <v>#N/A</v>
      </c>
      <c r="C3362" s="112">
        <f>'Informe Kelly'!E3356</f>
        <v>0</v>
      </c>
      <c r="D3362" s="112" t="e">
        <f>VLOOKUP(A3362,Ingreso!K:P,6,FALSE)</f>
        <v>#N/A</v>
      </c>
      <c r="E3362" s="142" t="e">
        <f>(VLOOKUP(D3362,$D$2:$E$4,2,FALSE))-(IF('Informe Kelly'!H3356=$A$2,'Informe Kelly'!F3356,VLOOKUP(D3362,$D$2:$E$4,2,FALSE)))</f>
        <v>#N/A</v>
      </c>
      <c r="F3362" s="142" t="e">
        <f>IF('Informe Kelly'!H3356=$A$3,'Informe Kelly'!F3356,VLOOKUP(D3362,$D$2:$F$4,3,FALSE))-(VLOOKUP(D3362,$D$2:$F$4,3,FALSE))</f>
        <v>#N/A</v>
      </c>
      <c r="G3362" s="137" t="e">
        <f t="shared" si="56"/>
        <v>#N/A</v>
      </c>
    </row>
    <row r="3363" spans="1:7">
      <c r="A3363" s="112" t="e">
        <f>VLOOKUP('Informe Kelly'!A3357,Base!A:B,2,FALSE)</f>
        <v>#N/A</v>
      </c>
      <c r="B3363" s="112" t="e">
        <f>VLOOKUP('Informe Kelly'!A3357,Base!A:G,7,FALSE)</f>
        <v>#N/A</v>
      </c>
      <c r="C3363" s="112">
        <f>'Informe Kelly'!E3357</f>
        <v>0</v>
      </c>
      <c r="D3363" s="112" t="e">
        <f>VLOOKUP(A3363,Ingreso!K:P,6,FALSE)</f>
        <v>#N/A</v>
      </c>
      <c r="E3363" s="142" t="e">
        <f>(VLOOKUP(D3363,$D$2:$E$4,2,FALSE))-(IF('Informe Kelly'!H3357=$A$2,'Informe Kelly'!F3357,VLOOKUP(D3363,$D$2:$E$4,2,FALSE)))</f>
        <v>#N/A</v>
      </c>
      <c r="F3363" s="142" t="e">
        <f>IF('Informe Kelly'!H3357=$A$3,'Informe Kelly'!F3357,VLOOKUP(D3363,$D$2:$F$4,3,FALSE))-(VLOOKUP(D3363,$D$2:$F$4,3,FALSE))</f>
        <v>#N/A</v>
      </c>
      <c r="G3363" s="137" t="e">
        <f t="shared" si="56"/>
        <v>#N/A</v>
      </c>
    </row>
    <row r="3364" spans="1:7">
      <c r="A3364" s="112" t="e">
        <f>VLOOKUP('Informe Kelly'!A3358,Base!A:B,2,FALSE)</f>
        <v>#N/A</v>
      </c>
      <c r="B3364" s="112" t="e">
        <f>VLOOKUP('Informe Kelly'!A3358,Base!A:G,7,FALSE)</f>
        <v>#N/A</v>
      </c>
      <c r="C3364" s="112">
        <f>'Informe Kelly'!E3358</f>
        <v>0</v>
      </c>
      <c r="D3364" s="112" t="e">
        <f>VLOOKUP(A3364,Ingreso!K:P,6,FALSE)</f>
        <v>#N/A</v>
      </c>
      <c r="E3364" s="142" t="e">
        <f>(VLOOKUP(D3364,$D$2:$E$4,2,FALSE))-(IF('Informe Kelly'!H3358=$A$2,'Informe Kelly'!F3358,VLOOKUP(D3364,$D$2:$E$4,2,FALSE)))</f>
        <v>#N/A</v>
      </c>
      <c r="F3364" s="142" t="e">
        <f>IF('Informe Kelly'!H3358=$A$3,'Informe Kelly'!F3358,VLOOKUP(D3364,$D$2:$F$4,3,FALSE))-(VLOOKUP(D3364,$D$2:$F$4,3,FALSE))</f>
        <v>#N/A</v>
      </c>
      <c r="G3364" s="137" t="e">
        <f t="shared" si="56"/>
        <v>#N/A</v>
      </c>
    </row>
    <row r="3365" spans="1:7">
      <c r="A3365" s="112" t="e">
        <f>VLOOKUP('Informe Kelly'!A3359,Base!A:B,2,FALSE)</f>
        <v>#N/A</v>
      </c>
      <c r="B3365" s="112" t="e">
        <f>VLOOKUP('Informe Kelly'!A3359,Base!A:G,7,FALSE)</f>
        <v>#N/A</v>
      </c>
      <c r="C3365" s="112">
        <f>'Informe Kelly'!E3359</f>
        <v>0</v>
      </c>
      <c r="D3365" s="112" t="e">
        <f>VLOOKUP(A3365,Ingreso!K:P,6,FALSE)</f>
        <v>#N/A</v>
      </c>
      <c r="E3365" s="142" t="e">
        <f>(VLOOKUP(D3365,$D$2:$E$4,2,FALSE))-(IF('Informe Kelly'!H3359=$A$2,'Informe Kelly'!F3359,VLOOKUP(D3365,$D$2:$E$4,2,FALSE)))</f>
        <v>#N/A</v>
      </c>
      <c r="F3365" s="142" t="e">
        <f>IF('Informe Kelly'!H3359=$A$3,'Informe Kelly'!F3359,VLOOKUP(D3365,$D$2:$F$4,3,FALSE))-(VLOOKUP(D3365,$D$2:$F$4,3,FALSE))</f>
        <v>#N/A</v>
      </c>
      <c r="G3365" s="137" t="e">
        <f t="shared" si="56"/>
        <v>#N/A</v>
      </c>
    </row>
    <row r="3366" spans="1:7">
      <c r="A3366" s="112" t="e">
        <f>VLOOKUP('Informe Kelly'!A3360,Base!A:B,2,FALSE)</f>
        <v>#N/A</v>
      </c>
      <c r="B3366" s="112" t="e">
        <f>VLOOKUP('Informe Kelly'!A3360,Base!A:G,7,FALSE)</f>
        <v>#N/A</v>
      </c>
      <c r="C3366" s="112">
        <f>'Informe Kelly'!E3360</f>
        <v>0</v>
      </c>
      <c r="D3366" s="112" t="e">
        <f>VLOOKUP(A3366,Ingreso!K:P,6,FALSE)</f>
        <v>#N/A</v>
      </c>
      <c r="E3366" s="142" t="e">
        <f>(VLOOKUP(D3366,$D$2:$E$4,2,FALSE))-(IF('Informe Kelly'!H3360=$A$2,'Informe Kelly'!F3360,VLOOKUP(D3366,$D$2:$E$4,2,FALSE)))</f>
        <v>#N/A</v>
      </c>
      <c r="F3366" s="142" t="e">
        <f>IF('Informe Kelly'!H3360=$A$3,'Informe Kelly'!F3360,VLOOKUP(D3366,$D$2:$F$4,3,FALSE))-(VLOOKUP(D3366,$D$2:$F$4,3,FALSE))</f>
        <v>#N/A</v>
      </c>
      <c r="G3366" s="137" t="e">
        <f t="shared" si="56"/>
        <v>#N/A</v>
      </c>
    </row>
    <row r="3367" spans="1:7">
      <c r="A3367" s="112" t="e">
        <f>VLOOKUP('Informe Kelly'!A3361,Base!A:B,2,FALSE)</f>
        <v>#N/A</v>
      </c>
      <c r="B3367" s="112" t="e">
        <f>VLOOKUP('Informe Kelly'!A3361,Base!A:G,7,FALSE)</f>
        <v>#N/A</v>
      </c>
      <c r="C3367" s="112">
        <f>'Informe Kelly'!E3361</f>
        <v>0</v>
      </c>
      <c r="D3367" s="112" t="e">
        <f>VLOOKUP(A3367,Ingreso!K:P,6,FALSE)</f>
        <v>#N/A</v>
      </c>
      <c r="E3367" s="142" t="e">
        <f>(VLOOKUP(D3367,$D$2:$E$4,2,FALSE))-(IF('Informe Kelly'!H3361=$A$2,'Informe Kelly'!F3361,VLOOKUP(D3367,$D$2:$E$4,2,FALSE)))</f>
        <v>#N/A</v>
      </c>
      <c r="F3367" s="142" t="e">
        <f>IF('Informe Kelly'!H3361=$A$3,'Informe Kelly'!F3361,VLOOKUP(D3367,$D$2:$F$4,3,FALSE))-(VLOOKUP(D3367,$D$2:$F$4,3,FALSE))</f>
        <v>#N/A</v>
      </c>
      <c r="G3367" s="137" t="e">
        <f t="shared" si="56"/>
        <v>#N/A</v>
      </c>
    </row>
    <row r="3368" spans="1:7">
      <c r="A3368" s="112" t="e">
        <f>VLOOKUP('Informe Kelly'!A3362,Base!A:B,2,FALSE)</f>
        <v>#N/A</v>
      </c>
      <c r="B3368" s="112" t="e">
        <f>VLOOKUP('Informe Kelly'!A3362,Base!A:G,7,FALSE)</f>
        <v>#N/A</v>
      </c>
      <c r="C3368" s="112">
        <f>'Informe Kelly'!E3362</f>
        <v>0</v>
      </c>
      <c r="D3368" s="112" t="e">
        <f>VLOOKUP(A3368,Ingreso!K:P,6,FALSE)</f>
        <v>#N/A</v>
      </c>
      <c r="E3368" s="142" t="e">
        <f>(VLOOKUP(D3368,$D$2:$E$4,2,FALSE))-(IF('Informe Kelly'!H3362=$A$2,'Informe Kelly'!F3362,VLOOKUP(D3368,$D$2:$E$4,2,FALSE)))</f>
        <v>#N/A</v>
      </c>
      <c r="F3368" s="142" t="e">
        <f>IF('Informe Kelly'!H3362=$A$3,'Informe Kelly'!F3362,VLOOKUP(D3368,$D$2:$F$4,3,FALSE))-(VLOOKUP(D3368,$D$2:$F$4,3,FALSE))</f>
        <v>#N/A</v>
      </c>
      <c r="G3368" s="137" t="e">
        <f t="shared" si="56"/>
        <v>#N/A</v>
      </c>
    </row>
    <row r="3369" spans="1:7">
      <c r="A3369" s="112" t="e">
        <f>VLOOKUP('Informe Kelly'!A3363,Base!A:B,2,FALSE)</f>
        <v>#N/A</v>
      </c>
      <c r="B3369" s="112" t="e">
        <f>VLOOKUP('Informe Kelly'!A3363,Base!A:G,7,FALSE)</f>
        <v>#N/A</v>
      </c>
      <c r="C3369" s="112">
        <f>'Informe Kelly'!E3363</f>
        <v>0</v>
      </c>
      <c r="D3369" s="112" t="e">
        <f>VLOOKUP(A3369,Ingreso!K:P,6,FALSE)</f>
        <v>#N/A</v>
      </c>
      <c r="E3369" s="142" t="e">
        <f>(VLOOKUP(D3369,$D$2:$E$4,2,FALSE))-(IF('Informe Kelly'!H3363=$A$2,'Informe Kelly'!F3363,VLOOKUP(D3369,$D$2:$E$4,2,FALSE)))</f>
        <v>#N/A</v>
      </c>
      <c r="F3369" s="142" t="e">
        <f>IF('Informe Kelly'!H3363=$A$3,'Informe Kelly'!F3363,VLOOKUP(D3369,$D$2:$F$4,3,FALSE))-(VLOOKUP(D3369,$D$2:$F$4,3,FALSE))</f>
        <v>#N/A</v>
      </c>
      <c r="G3369" s="137" t="e">
        <f t="shared" si="56"/>
        <v>#N/A</v>
      </c>
    </row>
    <row r="3370" spans="1:7">
      <c r="A3370" s="112" t="e">
        <f>VLOOKUP('Informe Kelly'!A3364,Base!A:B,2,FALSE)</f>
        <v>#N/A</v>
      </c>
      <c r="B3370" s="112" t="e">
        <f>VLOOKUP('Informe Kelly'!A3364,Base!A:G,7,FALSE)</f>
        <v>#N/A</v>
      </c>
      <c r="C3370" s="112">
        <f>'Informe Kelly'!E3364</f>
        <v>0</v>
      </c>
      <c r="D3370" s="112" t="e">
        <f>VLOOKUP(A3370,Ingreso!K:P,6,FALSE)</f>
        <v>#N/A</v>
      </c>
      <c r="E3370" s="142" t="e">
        <f>(VLOOKUP(D3370,$D$2:$E$4,2,FALSE))-(IF('Informe Kelly'!H3364=$A$2,'Informe Kelly'!F3364,VLOOKUP(D3370,$D$2:$E$4,2,FALSE)))</f>
        <v>#N/A</v>
      </c>
      <c r="F3370" s="142" t="e">
        <f>IF('Informe Kelly'!H3364=$A$3,'Informe Kelly'!F3364,VLOOKUP(D3370,$D$2:$F$4,3,FALSE))-(VLOOKUP(D3370,$D$2:$F$4,3,FALSE))</f>
        <v>#N/A</v>
      </c>
      <c r="G3370" s="137" t="e">
        <f t="shared" si="56"/>
        <v>#N/A</v>
      </c>
    </row>
    <row r="3371" spans="1:7">
      <c r="A3371" s="112" t="e">
        <f>VLOOKUP('Informe Kelly'!A3365,Base!A:B,2,FALSE)</f>
        <v>#N/A</v>
      </c>
      <c r="B3371" s="112" t="e">
        <f>VLOOKUP('Informe Kelly'!A3365,Base!A:G,7,FALSE)</f>
        <v>#N/A</v>
      </c>
      <c r="C3371" s="112">
        <f>'Informe Kelly'!E3365</f>
        <v>0</v>
      </c>
      <c r="D3371" s="112" t="e">
        <f>VLOOKUP(A3371,Ingreso!K:P,6,FALSE)</f>
        <v>#N/A</v>
      </c>
      <c r="E3371" s="142" t="e">
        <f>(VLOOKUP(D3371,$D$2:$E$4,2,FALSE))-(IF('Informe Kelly'!H3365=$A$2,'Informe Kelly'!F3365,VLOOKUP(D3371,$D$2:$E$4,2,FALSE)))</f>
        <v>#N/A</v>
      </c>
      <c r="F3371" s="142" t="e">
        <f>IF('Informe Kelly'!H3365=$A$3,'Informe Kelly'!F3365,VLOOKUP(D3371,$D$2:$F$4,3,FALSE))-(VLOOKUP(D3371,$D$2:$F$4,3,FALSE))</f>
        <v>#N/A</v>
      </c>
      <c r="G3371" s="137" t="e">
        <f t="shared" si="56"/>
        <v>#N/A</v>
      </c>
    </row>
    <row r="3372" spans="1:7">
      <c r="A3372" s="112" t="e">
        <f>VLOOKUP('Informe Kelly'!A3366,Base!A:B,2,FALSE)</f>
        <v>#N/A</v>
      </c>
      <c r="B3372" s="112" t="e">
        <f>VLOOKUP('Informe Kelly'!A3366,Base!A:G,7,FALSE)</f>
        <v>#N/A</v>
      </c>
      <c r="C3372" s="112">
        <f>'Informe Kelly'!E3366</f>
        <v>0</v>
      </c>
      <c r="D3372" s="112" t="e">
        <f>VLOOKUP(A3372,Ingreso!K:P,6,FALSE)</f>
        <v>#N/A</v>
      </c>
      <c r="E3372" s="142" t="e">
        <f>(VLOOKUP(D3372,$D$2:$E$4,2,FALSE))-(IF('Informe Kelly'!H3366=$A$2,'Informe Kelly'!F3366,VLOOKUP(D3372,$D$2:$E$4,2,FALSE)))</f>
        <v>#N/A</v>
      </c>
      <c r="F3372" s="142" t="e">
        <f>IF('Informe Kelly'!H3366=$A$3,'Informe Kelly'!F3366,VLOOKUP(D3372,$D$2:$F$4,3,FALSE))-(VLOOKUP(D3372,$D$2:$F$4,3,FALSE))</f>
        <v>#N/A</v>
      </c>
      <c r="G3372" s="137" t="e">
        <f t="shared" si="56"/>
        <v>#N/A</v>
      </c>
    </row>
    <row r="3373" spans="1:7">
      <c r="A3373" s="112" t="e">
        <f>VLOOKUP('Informe Kelly'!A3367,Base!A:B,2,FALSE)</f>
        <v>#N/A</v>
      </c>
      <c r="B3373" s="112" t="e">
        <f>VLOOKUP('Informe Kelly'!A3367,Base!A:G,7,FALSE)</f>
        <v>#N/A</v>
      </c>
      <c r="C3373" s="112">
        <f>'Informe Kelly'!E3367</f>
        <v>0</v>
      </c>
      <c r="D3373" s="112" t="e">
        <f>VLOOKUP(A3373,Ingreso!K:P,6,FALSE)</f>
        <v>#N/A</v>
      </c>
      <c r="E3373" s="142" t="e">
        <f>(VLOOKUP(D3373,$D$2:$E$4,2,FALSE))-(IF('Informe Kelly'!H3367=$A$2,'Informe Kelly'!F3367,VLOOKUP(D3373,$D$2:$E$4,2,FALSE)))</f>
        <v>#N/A</v>
      </c>
      <c r="F3373" s="142" t="e">
        <f>IF('Informe Kelly'!H3367=$A$3,'Informe Kelly'!F3367,VLOOKUP(D3373,$D$2:$F$4,3,FALSE))-(VLOOKUP(D3373,$D$2:$F$4,3,FALSE))</f>
        <v>#N/A</v>
      </c>
      <c r="G3373" s="137" t="e">
        <f t="shared" si="56"/>
        <v>#N/A</v>
      </c>
    </row>
    <row r="3374" spans="1:7">
      <c r="A3374" s="112" t="e">
        <f>VLOOKUP('Informe Kelly'!A3368,Base!A:B,2,FALSE)</f>
        <v>#N/A</v>
      </c>
      <c r="B3374" s="112" t="e">
        <f>VLOOKUP('Informe Kelly'!A3368,Base!A:G,7,FALSE)</f>
        <v>#N/A</v>
      </c>
      <c r="C3374" s="112">
        <f>'Informe Kelly'!E3368</f>
        <v>0</v>
      </c>
      <c r="D3374" s="112" t="e">
        <f>VLOOKUP(A3374,Ingreso!K:P,6,FALSE)</f>
        <v>#N/A</v>
      </c>
      <c r="E3374" s="142" t="e">
        <f>(VLOOKUP(D3374,$D$2:$E$4,2,FALSE))-(IF('Informe Kelly'!H3368=$A$2,'Informe Kelly'!F3368,VLOOKUP(D3374,$D$2:$E$4,2,FALSE)))</f>
        <v>#N/A</v>
      </c>
      <c r="F3374" s="142" t="e">
        <f>IF('Informe Kelly'!H3368=$A$3,'Informe Kelly'!F3368,VLOOKUP(D3374,$D$2:$F$4,3,FALSE))-(VLOOKUP(D3374,$D$2:$F$4,3,FALSE))</f>
        <v>#N/A</v>
      </c>
      <c r="G3374" s="137" t="e">
        <f t="shared" si="56"/>
        <v>#N/A</v>
      </c>
    </row>
    <row r="3375" spans="1:7">
      <c r="A3375" s="112" t="e">
        <f>VLOOKUP('Informe Kelly'!A3369,Base!A:B,2,FALSE)</f>
        <v>#N/A</v>
      </c>
      <c r="B3375" s="112" t="e">
        <f>VLOOKUP('Informe Kelly'!A3369,Base!A:G,7,FALSE)</f>
        <v>#N/A</v>
      </c>
      <c r="C3375" s="112">
        <f>'Informe Kelly'!E3369</f>
        <v>0</v>
      </c>
      <c r="D3375" s="112" t="e">
        <f>VLOOKUP(A3375,Ingreso!K:P,6,FALSE)</f>
        <v>#N/A</v>
      </c>
      <c r="E3375" s="142" t="e">
        <f>(VLOOKUP(D3375,$D$2:$E$4,2,FALSE))-(IF('Informe Kelly'!H3369=$A$2,'Informe Kelly'!F3369,VLOOKUP(D3375,$D$2:$E$4,2,FALSE)))</f>
        <v>#N/A</v>
      </c>
      <c r="F3375" s="142" t="e">
        <f>IF('Informe Kelly'!H3369=$A$3,'Informe Kelly'!F3369,VLOOKUP(D3375,$D$2:$F$4,3,FALSE))-(VLOOKUP(D3375,$D$2:$F$4,3,FALSE))</f>
        <v>#N/A</v>
      </c>
      <c r="G3375" s="137" t="e">
        <f t="shared" si="56"/>
        <v>#N/A</v>
      </c>
    </row>
    <row r="3376" spans="1:7">
      <c r="A3376" s="112" t="e">
        <f>VLOOKUP('Informe Kelly'!A3370,Base!A:B,2,FALSE)</f>
        <v>#N/A</v>
      </c>
      <c r="B3376" s="112" t="e">
        <f>VLOOKUP('Informe Kelly'!A3370,Base!A:G,7,FALSE)</f>
        <v>#N/A</v>
      </c>
      <c r="C3376" s="112">
        <f>'Informe Kelly'!E3370</f>
        <v>0</v>
      </c>
      <c r="D3376" s="112" t="e">
        <f>VLOOKUP(A3376,Ingreso!K:P,6,FALSE)</f>
        <v>#N/A</v>
      </c>
      <c r="E3376" s="142" t="e">
        <f>(VLOOKUP(D3376,$D$2:$E$4,2,FALSE))-(IF('Informe Kelly'!H3370=$A$2,'Informe Kelly'!F3370,VLOOKUP(D3376,$D$2:$E$4,2,FALSE)))</f>
        <v>#N/A</v>
      </c>
      <c r="F3376" s="142" t="e">
        <f>IF('Informe Kelly'!H3370=$A$3,'Informe Kelly'!F3370,VLOOKUP(D3376,$D$2:$F$4,3,FALSE))-(VLOOKUP(D3376,$D$2:$F$4,3,FALSE))</f>
        <v>#N/A</v>
      </c>
      <c r="G3376" s="137" t="e">
        <f t="shared" si="56"/>
        <v>#N/A</v>
      </c>
    </row>
    <row r="3377" spans="1:7">
      <c r="A3377" s="112" t="e">
        <f>VLOOKUP('Informe Kelly'!A3371,Base!A:B,2,FALSE)</f>
        <v>#N/A</v>
      </c>
      <c r="B3377" s="112" t="e">
        <f>VLOOKUP('Informe Kelly'!A3371,Base!A:G,7,FALSE)</f>
        <v>#N/A</v>
      </c>
      <c r="C3377" s="112">
        <f>'Informe Kelly'!E3371</f>
        <v>0</v>
      </c>
      <c r="D3377" s="112" t="e">
        <f>VLOOKUP(A3377,Ingreso!K:P,6,FALSE)</f>
        <v>#N/A</v>
      </c>
      <c r="E3377" s="142" t="e">
        <f>(VLOOKUP(D3377,$D$2:$E$4,2,FALSE))-(IF('Informe Kelly'!H3371=$A$2,'Informe Kelly'!F3371,VLOOKUP(D3377,$D$2:$E$4,2,FALSE)))</f>
        <v>#N/A</v>
      </c>
      <c r="F3377" s="142" t="e">
        <f>IF('Informe Kelly'!H3371=$A$3,'Informe Kelly'!F3371,VLOOKUP(D3377,$D$2:$F$4,3,FALSE))-(VLOOKUP(D3377,$D$2:$F$4,3,FALSE))</f>
        <v>#N/A</v>
      </c>
      <c r="G3377" s="137" t="e">
        <f t="shared" si="56"/>
        <v>#N/A</v>
      </c>
    </row>
    <row r="3378" spans="1:7">
      <c r="A3378" s="112" t="e">
        <f>VLOOKUP('Informe Kelly'!A3372,Base!A:B,2,FALSE)</f>
        <v>#N/A</v>
      </c>
      <c r="B3378" s="112" t="e">
        <f>VLOOKUP('Informe Kelly'!A3372,Base!A:G,7,FALSE)</f>
        <v>#N/A</v>
      </c>
      <c r="C3378" s="112">
        <f>'Informe Kelly'!E3372</f>
        <v>0</v>
      </c>
      <c r="D3378" s="112" t="e">
        <f>VLOOKUP(A3378,Ingreso!K:P,6,FALSE)</f>
        <v>#N/A</v>
      </c>
      <c r="E3378" s="142" t="e">
        <f>(VLOOKUP(D3378,$D$2:$E$4,2,FALSE))-(IF('Informe Kelly'!H3372=$A$2,'Informe Kelly'!F3372,VLOOKUP(D3378,$D$2:$E$4,2,FALSE)))</f>
        <v>#N/A</v>
      </c>
      <c r="F3378" s="142" t="e">
        <f>IF('Informe Kelly'!H3372=$A$3,'Informe Kelly'!F3372,VLOOKUP(D3378,$D$2:$F$4,3,FALSE))-(VLOOKUP(D3378,$D$2:$F$4,3,FALSE))</f>
        <v>#N/A</v>
      </c>
      <c r="G3378" s="137" t="e">
        <f t="shared" si="56"/>
        <v>#N/A</v>
      </c>
    </row>
    <row r="3379" spans="1:7">
      <c r="A3379" s="112" t="e">
        <f>VLOOKUP('Informe Kelly'!A3373,Base!A:B,2,FALSE)</f>
        <v>#N/A</v>
      </c>
      <c r="B3379" s="112" t="e">
        <f>VLOOKUP('Informe Kelly'!A3373,Base!A:G,7,FALSE)</f>
        <v>#N/A</v>
      </c>
      <c r="C3379" s="112">
        <f>'Informe Kelly'!E3373</f>
        <v>0</v>
      </c>
      <c r="D3379" s="112" t="e">
        <f>VLOOKUP(A3379,Ingreso!K:P,6,FALSE)</f>
        <v>#N/A</v>
      </c>
      <c r="E3379" s="142" t="e">
        <f>(VLOOKUP(D3379,$D$2:$E$4,2,FALSE))-(IF('Informe Kelly'!H3373=$A$2,'Informe Kelly'!F3373,VLOOKUP(D3379,$D$2:$E$4,2,FALSE)))</f>
        <v>#N/A</v>
      </c>
      <c r="F3379" s="142" t="e">
        <f>IF('Informe Kelly'!H3373=$A$3,'Informe Kelly'!F3373,VLOOKUP(D3379,$D$2:$F$4,3,FALSE))-(VLOOKUP(D3379,$D$2:$F$4,3,FALSE))</f>
        <v>#N/A</v>
      </c>
      <c r="G3379" s="137" t="e">
        <f t="shared" si="56"/>
        <v>#N/A</v>
      </c>
    </row>
    <row r="3380" spans="1:7">
      <c r="A3380" s="112" t="e">
        <f>VLOOKUP('Informe Kelly'!A3374,Base!A:B,2,FALSE)</f>
        <v>#N/A</v>
      </c>
      <c r="B3380" s="112" t="e">
        <f>VLOOKUP('Informe Kelly'!A3374,Base!A:G,7,FALSE)</f>
        <v>#N/A</v>
      </c>
      <c r="C3380" s="112">
        <f>'Informe Kelly'!E3374</f>
        <v>0</v>
      </c>
      <c r="D3380" s="112" t="e">
        <f>VLOOKUP(A3380,Ingreso!K:P,6,FALSE)</f>
        <v>#N/A</v>
      </c>
      <c r="E3380" s="142" t="e">
        <f>(VLOOKUP(D3380,$D$2:$E$4,2,FALSE))-(IF('Informe Kelly'!H3374=$A$2,'Informe Kelly'!F3374,VLOOKUP(D3380,$D$2:$E$4,2,FALSE)))</f>
        <v>#N/A</v>
      </c>
      <c r="F3380" s="142" t="e">
        <f>IF('Informe Kelly'!H3374=$A$3,'Informe Kelly'!F3374,VLOOKUP(D3380,$D$2:$F$4,3,FALSE))-(VLOOKUP(D3380,$D$2:$F$4,3,FALSE))</f>
        <v>#N/A</v>
      </c>
      <c r="G3380" s="137" t="e">
        <f t="shared" si="56"/>
        <v>#N/A</v>
      </c>
    </row>
    <row r="3381" spans="1:7">
      <c r="A3381" s="112" t="e">
        <f>VLOOKUP('Informe Kelly'!A3375,Base!A:B,2,FALSE)</f>
        <v>#N/A</v>
      </c>
      <c r="B3381" s="112" t="e">
        <f>VLOOKUP('Informe Kelly'!A3375,Base!A:G,7,FALSE)</f>
        <v>#N/A</v>
      </c>
      <c r="C3381" s="112">
        <f>'Informe Kelly'!E3375</f>
        <v>0</v>
      </c>
      <c r="D3381" s="112" t="e">
        <f>VLOOKUP(A3381,Ingreso!K:P,6,FALSE)</f>
        <v>#N/A</v>
      </c>
      <c r="E3381" s="142" t="e">
        <f>(VLOOKUP(D3381,$D$2:$E$4,2,FALSE))-(IF('Informe Kelly'!H3375=$A$2,'Informe Kelly'!F3375,VLOOKUP(D3381,$D$2:$E$4,2,FALSE)))</f>
        <v>#N/A</v>
      </c>
      <c r="F3381" s="142" t="e">
        <f>IF('Informe Kelly'!H3375=$A$3,'Informe Kelly'!F3375,VLOOKUP(D3381,$D$2:$F$4,3,FALSE))-(VLOOKUP(D3381,$D$2:$F$4,3,FALSE))</f>
        <v>#N/A</v>
      </c>
      <c r="G3381" s="137" t="e">
        <f t="shared" si="56"/>
        <v>#N/A</v>
      </c>
    </row>
    <row r="3382" spans="1:7">
      <c r="A3382" s="112" t="e">
        <f>VLOOKUP('Informe Kelly'!A3376,Base!A:B,2,FALSE)</f>
        <v>#N/A</v>
      </c>
      <c r="B3382" s="112" t="e">
        <f>VLOOKUP('Informe Kelly'!A3376,Base!A:G,7,FALSE)</f>
        <v>#N/A</v>
      </c>
      <c r="C3382" s="112">
        <f>'Informe Kelly'!E3376</f>
        <v>0</v>
      </c>
      <c r="D3382" s="112" t="e">
        <f>VLOOKUP(A3382,Ingreso!K:P,6,FALSE)</f>
        <v>#N/A</v>
      </c>
      <c r="E3382" s="142" t="e">
        <f>(VLOOKUP(D3382,$D$2:$E$4,2,FALSE))-(IF('Informe Kelly'!H3376=$A$2,'Informe Kelly'!F3376,VLOOKUP(D3382,$D$2:$E$4,2,FALSE)))</f>
        <v>#N/A</v>
      </c>
      <c r="F3382" s="142" t="e">
        <f>IF('Informe Kelly'!H3376=$A$3,'Informe Kelly'!F3376,VLOOKUP(D3382,$D$2:$F$4,3,FALSE))-(VLOOKUP(D3382,$D$2:$F$4,3,FALSE))</f>
        <v>#N/A</v>
      </c>
      <c r="G3382" s="137" t="e">
        <f t="shared" si="56"/>
        <v>#N/A</v>
      </c>
    </row>
    <row r="3383" spans="1:7">
      <c r="A3383" s="112" t="e">
        <f>VLOOKUP('Informe Kelly'!A3377,Base!A:B,2,FALSE)</f>
        <v>#N/A</v>
      </c>
      <c r="B3383" s="112" t="e">
        <f>VLOOKUP('Informe Kelly'!A3377,Base!A:G,7,FALSE)</f>
        <v>#N/A</v>
      </c>
      <c r="C3383" s="112">
        <f>'Informe Kelly'!E3377</f>
        <v>0</v>
      </c>
      <c r="D3383" s="112" t="e">
        <f>VLOOKUP(A3383,Ingreso!K:P,6,FALSE)</f>
        <v>#N/A</v>
      </c>
      <c r="E3383" s="142" t="e">
        <f>(VLOOKUP(D3383,$D$2:$E$4,2,FALSE))-(IF('Informe Kelly'!H3377=$A$2,'Informe Kelly'!F3377,VLOOKUP(D3383,$D$2:$E$4,2,FALSE)))</f>
        <v>#N/A</v>
      </c>
      <c r="F3383" s="142" t="e">
        <f>IF('Informe Kelly'!H3377=$A$3,'Informe Kelly'!F3377,VLOOKUP(D3383,$D$2:$F$4,3,FALSE))-(VLOOKUP(D3383,$D$2:$F$4,3,FALSE))</f>
        <v>#N/A</v>
      </c>
      <c r="G3383" s="137" t="e">
        <f t="shared" si="56"/>
        <v>#N/A</v>
      </c>
    </row>
    <row r="3384" spans="1:7">
      <c r="A3384" s="112" t="e">
        <f>VLOOKUP('Informe Kelly'!A3378,Base!A:B,2,FALSE)</f>
        <v>#N/A</v>
      </c>
      <c r="B3384" s="112" t="e">
        <f>VLOOKUP('Informe Kelly'!A3378,Base!A:G,7,FALSE)</f>
        <v>#N/A</v>
      </c>
      <c r="C3384" s="112">
        <f>'Informe Kelly'!E3378</f>
        <v>0</v>
      </c>
      <c r="D3384" s="112" t="e">
        <f>VLOOKUP(A3384,Ingreso!K:P,6,FALSE)</f>
        <v>#N/A</v>
      </c>
      <c r="E3384" s="142" t="e">
        <f>(VLOOKUP(D3384,$D$2:$E$4,2,FALSE))-(IF('Informe Kelly'!H3378=$A$2,'Informe Kelly'!F3378,VLOOKUP(D3384,$D$2:$E$4,2,FALSE)))</f>
        <v>#N/A</v>
      </c>
      <c r="F3384" s="142" t="e">
        <f>IF('Informe Kelly'!H3378=$A$3,'Informe Kelly'!F3378,VLOOKUP(D3384,$D$2:$F$4,3,FALSE))-(VLOOKUP(D3384,$D$2:$F$4,3,FALSE))</f>
        <v>#N/A</v>
      </c>
      <c r="G3384" s="137" t="e">
        <f t="shared" si="56"/>
        <v>#N/A</v>
      </c>
    </row>
    <row r="3385" spans="1:7">
      <c r="A3385" s="112" t="e">
        <f>VLOOKUP('Informe Kelly'!A3379,Base!A:B,2,FALSE)</f>
        <v>#N/A</v>
      </c>
      <c r="B3385" s="112" t="e">
        <f>VLOOKUP('Informe Kelly'!A3379,Base!A:G,7,FALSE)</f>
        <v>#N/A</v>
      </c>
      <c r="C3385" s="112">
        <f>'Informe Kelly'!E3379</f>
        <v>0</v>
      </c>
      <c r="D3385" s="112" t="e">
        <f>VLOOKUP(A3385,Ingreso!K:P,6,FALSE)</f>
        <v>#N/A</v>
      </c>
      <c r="E3385" s="142" t="e">
        <f>(VLOOKUP(D3385,$D$2:$E$4,2,FALSE))-(IF('Informe Kelly'!H3379=$A$2,'Informe Kelly'!F3379,VLOOKUP(D3385,$D$2:$E$4,2,FALSE)))</f>
        <v>#N/A</v>
      </c>
      <c r="F3385" s="142" t="e">
        <f>IF('Informe Kelly'!H3379=$A$3,'Informe Kelly'!F3379,VLOOKUP(D3385,$D$2:$F$4,3,FALSE))-(VLOOKUP(D3385,$D$2:$F$4,3,FALSE))</f>
        <v>#N/A</v>
      </c>
      <c r="G3385" s="137" t="e">
        <f t="shared" si="56"/>
        <v>#N/A</v>
      </c>
    </row>
    <row r="3386" spans="1:7">
      <c r="A3386" s="112" t="e">
        <f>VLOOKUP('Informe Kelly'!A3380,Base!A:B,2,FALSE)</f>
        <v>#N/A</v>
      </c>
      <c r="B3386" s="112" t="e">
        <f>VLOOKUP('Informe Kelly'!A3380,Base!A:G,7,FALSE)</f>
        <v>#N/A</v>
      </c>
      <c r="C3386" s="112">
        <f>'Informe Kelly'!E3380</f>
        <v>0</v>
      </c>
      <c r="D3386" s="112" t="e">
        <f>VLOOKUP(A3386,Ingreso!K:P,6,FALSE)</f>
        <v>#N/A</v>
      </c>
      <c r="E3386" s="142" t="e">
        <f>(VLOOKUP(D3386,$D$2:$E$4,2,FALSE))-(IF('Informe Kelly'!H3380=$A$2,'Informe Kelly'!F3380,VLOOKUP(D3386,$D$2:$E$4,2,FALSE)))</f>
        <v>#N/A</v>
      </c>
      <c r="F3386" s="142" t="e">
        <f>IF('Informe Kelly'!H3380=$A$3,'Informe Kelly'!F3380,VLOOKUP(D3386,$D$2:$F$4,3,FALSE))-(VLOOKUP(D3386,$D$2:$F$4,3,FALSE))</f>
        <v>#N/A</v>
      </c>
      <c r="G3386" s="137" t="e">
        <f t="shared" si="56"/>
        <v>#N/A</v>
      </c>
    </row>
    <row r="3387" spans="1:7">
      <c r="A3387" s="112" t="e">
        <f>VLOOKUP('Informe Kelly'!A3381,Base!A:B,2,FALSE)</f>
        <v>#N/A</v>
      </c>
      <c r="B3387" s="112" t="e">
        <f>VLOOKUP('Informe Kelly'!A3381,Base!A:G,7,FALSE)</f>
        <v>#N/A</v>
      </c>
      <c r="C3387" s="112">
        <f>'Informe Kelly'!E3381</f>
        <v>0</v>
      </c>
      <c r="D3387" s="112" t="e">
        <f>VLOOKUP(A3387,Ingreso!K:P,6,FALSE)</f>
        <v>#N/A</v>
      </c>
      <c r="E3387" s="142" t="e">
        <f>(VLOOKUP(D3387,$D$2:$E$4,2,FALSE))-(IF('Informe Kelly'!H3381=$A$2,'Informe Kelly'!F3381,VLOOKUP(D3387,$D$2:$E$4,2,FALSE)))</f>
        <v>#N/A</v>
      </c>
      <c r="F3387" s="142" t="e">
        <f>IF('Informe Kelly'!H3381=$A$3,'Informe Kelly'!F3381,VLOOKUP(D3387,$D$2:$F$4,3,FALSE))-(VLOOKUP(D3387,$D$2:$F$4,3,FALSE))</f>
        <v>#N/A</v>
      </c>
      <c r="G3387" s="137" t="e">
        <f t="shared" si="56"/>
        <v>#N/A</v>
      </c>
    </row>
    <row r="3388" spans="1:7">
      <c r="A3388" s="112" t="e">
        <f>VLOOKUP('Informe Kelly'!A3382,Base!A:B,2,FALSE)</f>
        <v>#N/A</v>
      </c>
      <c r="B3388" s="112" t="e">
        <f>VLOOKUP('Informe Kelly'!A3382,Base!A:G,7,FALSE)</f>
        <v>#N/A</v>
      </c>
      <c r="C3388" s="112">
        <f>'Informe Kelly'!E3382</f>
        <v>0</v>
      </c>
      <c r="D3388" s="112" t="e">
        <f>VLOOKUP(A3388,Ingreso!K:P,6,FALSE)</f>
        <v>#N/A</v>
      </c>
      <c r="E3388" s="142" t="e">
        <f>(VLOOKUP(D3388,$D$2:$E$4,2,FALSE))-(IF('Informe Kelly'!H3382=$A$2,'Informe Kelly'!F3382,VLOOKUP(D3388,$D$2:$E$4,2,FALSE)))</f>
        <v>#N/A</v>
      </c>
      <c r="F3388" s="142" t="e">
        <f>IF('Informe Kelly'!H3382=$A$3,'Informe Kelly'!F3382,VLOOKUP(D3388,$D$2:$F$4,3,FALSE))-(VLOOKUP(D3388,$D$2:$F$4,3,FALSE))</f>
        <v>#N/A</v>
      </c>
      <c r="G3388" s="137" t="e">
        <f t="shared" si="56"/>
        <v>#N/A</v>
      </c>
    </row>
    <row r="3389" spans="1:7">
      <c r="A3389" s="112" t="e">
        <f>VLOOKUP('Informe Kelly'!A3383,Base!A:B,2,FALSE)</f>
        <v>#N/A</v>
      </c>
      <c r="B3389" s="112" t="e">
        <f>VLOOKUP('Informe Kelly'!A3383,Base!A:G,7,FALSE)</f>
        <v>#N/A</v>
      </c>
      <c r="C3389" s="112">
        <f>'Informe Kelly'!E3383</f>
        <v>0</v>
      </c>
      <c r="D3389" s="112" t="e">
        <f>VLOOKUP(A3389,Ingreso!K:P,6,FALSE)</f>
        <v>#N/A</v>
      </c>
      <c r="E3389" s="142" t="e">
        <f>(VLOOKUP(D3389,$D$2:$E$4,2,FALSE))-(IF('Informe Kelly'!H3383=$A$2,'Informe Kelly'!F3383,VLOOKUP(D3389,$D$2:$E$4,2,FALSE)))</f>
        <v>#N/A</v>
      </c>
      <c r="F3389" s="142" t="e">
        <f>IF('Informe Kelly'!H3383=$A$3,'Informe Kelly'!F3383,VLOOKUP(D3389,$D$2:$F$4,3,FALSE))-(VLOOKUP(D3389,$D$2:$F$4,3,FALSE))</f>
        <v>#N/A</v>
      </c>
      <c r="G3389" s="137" t="e">
        <f t="shared" si="56"/>
        <v>#N/A</v>
      </c>
    </row>
    <row r="3390" spans="1:7">
      <c r="A3390" s="112" t="e">
        <f>VLOOKUP('Informe Kelly'!A3384,Base!A:B,2,FALSE)</f>
        <v>#N/A</v>
      </c>
      <c r="B3390" s="112" t="e">
        <f>VLOOKUP('Informe Kelly'!A3384,Base!A:G,7,FALSE)</f>
        <v>#N/A</v>
      </c>
      <c r="C3390" s="112">
        <f>'Informe Kelly'!E3384</f>
        <v>0</v>
      </c>
      <c r="D3390" s="112" t="e">
        <f>VLOOKUP(A3390,Ingreso!K:P,6,FALSE)</f>
        <v>#N/A</v>
      </c>
      <c r="E3390" s="142" t="e">
        <f>(VLOOKUP(D3390,$D$2:$E$4,2,FALSE))-(IF('Informe Kelly'!H3384=$A$2,'Informe Kelly'!F3384,VLOOKUP(D3390,$D$2:$E$4,2,FALSE)))</f>
        <v>#N/A</v>
      </c>
      <c r="F3390" s="142" t="e">
        <f>IF('Informe Kelly'!H3384=$A$3,'Informe Kelly'!F3384,VLOOKUP(D3390,$D$2:$F$4,3,FALSE))-(VLOOKUP(D3390,$D$2:$F$4,3,FALSE))</f>
        <v>#N/A</v>
      </c>
      <c r="G3390" s="137" t="e">
        <f t="shared" si="56"/>
        <v>#N/A</v>
      </c>
    </row>
    <row r="3391" spans="1:7">
      <c r="A3391" s="112" t="e">
        <f>VLOOKUP('Informe Kelly'!A3385,Base!A:B,2,FALSE)</f>
        <v>#N/A</v>
      </c>
      <c r="B3391" s="112" t="e">
        <f>VLOOKUP('Informe Kelly'!A3385,Base!A:G,7,FALSE)</f>
        <v>#N/A</v>
      </c>
      <c r="C3391" s="112">
        <f>'Informe Kelly'!E3385</f>
        <v>0</v>
      </c>
      <c r="D3391" s="112" t="e">
        <f>VLOOKUP(A3391,Ingreso!K:P,6,FALSE)</f>
        <v>#N/A</v>
      </c>
      <c r="E3391" s="142" t="e">
        <f>(VLOOKUP(D3391,$D$2:$E$4,2,FALSE))-(IF('Informe Kelly'!H3385=$A$2,'Informe Kelly'!F3385,VLOOKUP(D3391,$D$2:$E$4,2,FALSE)))</f>
        <v>#N/A</v>
      </c>
      <c r="F3391" s="142" t="e">
        <f>IF('Informe Kelly'!H3385=$A$3,'Informe Kelly'!F3385,VLOOKUP(D3391,$D$2:$F$4,3,FALSE))-(VLOOKUP(D3391,$D$2:$F$4,3,FALSE))</f>
        <v>#N/A</v>
      </c>
      <c r="G3391" s="137" t="e">
        <f t="shared" si="56"/>
        <v>#N/A</v>
      </c>
    </row>
    <row r="3392" spans="1:7">
      <c r="A3392" s="112" t="e">
        <f>VLOOKUP('Informe Kelly'!A3386,Base!A:B,2,FALSE)</f>
        <v>#N/A</v>
      </c>
      <c r="B3392" s="112" t="e">
        <f>VLOOKUP('Informe Kelly'!A3386,Base!A:G,7,FALSE)</f>
        <v>#N/A</v>
      </c>
      <c r="C3392" s="112">
        <f>'Informe Kelly'!E3386</f>
        <v>0</v>
      </c>
      <c r="D3392" s="112" t="e">
        <f>VLOOKUP(A3392,Ingreso!K:P,6,FALSE)</f>
        <v>#N/A</v>
      </c>
      <c r="E3392" s="142" t="e">
        <f>(VLOOKUP(D3392,$D$2:$E$4,2,FALSE))-(IF('Informe Kelly'!H3386=$A$2,'Informe Kelly'!F3386,VLOOKUP(D3392,$D$2:$E$4,2,FALSE)))</f>
        <v>#N/A</v>
      </c>
      <c r="F3392" s="142" t="e">
        <f>IF('Informe Kelly'!H3386=$A$3,'Informe Kelly'!F3386,VLOOKUP(D3392,$D$2:$F$4,3,FALSE))-(VLOOKUP(D3392,$D$2:$F$4,3,FALSE))</f>
        <v>#N/A</v>
      </c>
      <c r="G3392" s="137" t="e">
        <f t="shared" si="56"/>
        <v>#N/A</v>
      </c>
    </row>
    <row r="3393" spans="1:7">
      <c r="A3393" s="112" t="e">
        <f>VLOOKUP('Informe Kelly'!A3387,Base!A:B,2,FALSE)</f>
        <v>#N/A</v>
      </c>
      <c r="B3393" s="112" t="e">
        <f>VLOOKUP('Informe Kelly'!A3387,Base!A:G,7,FALSE)</f>
        <v>#N/A</v>
      </c>
      <c r="C3393" s="112">
        <f>'Informe Kelly'!E3387</f>
        <v>0</v>
      </c>
      <c r="D3393" s="112" t="e">
        <f>VLOOKUP(A3393,Ingreso!K:P,6,FALSE)</f>
        <v>#N/A</v>
      </c>
      <c r="E3393" s="142" t="e">
        <f>(VLOOKUP(D3393,$D$2:$E$4,2,FALSE))-(IF('Informe Kelly'!H3387=$A$2,'Informe Kelly'!F3387,VLOOKUP(D3393,$D$2:$E$4,2,FALSE)))</f>
        <v>#N/A</v>
      </c>
      <c r="F3393" s="142" t="e">
        <f>IF('Informe Kelly'!H3387=$A$3,'Informe Kelly'!F3387,VLOOKUP(D3393,$D$2:$F$4,3,FALSE))-(VLOOKUP(D3393,$D$2:$F$4,3,FALSE))</f>
        <v>#N/A</v>
      </c>
      <c r="G3393" s="137" t="e">
        <f t="shared" si="56"/>
        <v>#N/A</v>
      </c>
    </row>
    <row r="3394" spans="1:7">
      <c r="A3394" s="112" t="e">
        <f>VLOOKUP('Informe Kelly'!A3388,Base!A:B,2,FALSE)</f>
        <v>#N/A</v>
      </c>
      <c r="B3394" s="112" t="e">
        <f>VLOOKUP('Informe Kelly'!A3388,Base!A:G,7,FALSE)</f>
        <v>#N/A</v>
      </c>
      <c r="C3394" s="112">
        <f>'Informe Kelly'!E3388</f>
        <v>0</v>
      </c>
      <c r="D3394" s="112" t="e">
        <f>VLOOKUP(A3394,Ingreso!K:P,6,FALSE)</f>
        <v>#N/A</v>
      </c>
      <c r="E3394" s="142" t="e">
        <f>(VLOOKUP(D3394,$D$2:$E$4,2,FALSE))-(IF('Informe Kelly'!H3388=$A$2,'Informe Kelly'!F3388,VLOOKUP(D3394,$D$2:$E$4,2,FALSE)))</f>
        <v>#N/A</v>
      </c>
      <c r="F3394" s="142" t="e">
        <f>IF('Informe Kelly'!H3388=$A$3,'Informe Kelly'!F3388,VLOOKUP(D3394,$D$2:$F$4,3,FALSE))-(VLOOKUP(D3394,$D$2:$F$4,3,FALSE))</f>
        <v>#N/A</v>
      </c>
      <c r="G3394" s="137" t="e">
        <f t="shared" si="56"/>
        <v>#N/A</v>
      </c>
    </row>
    <row r="3395" spans="1:7">
      <c r="A3395" s="112" t="e">
        <f>VLOOKUP('Informe Kelly'!A3389,Base!A:B,2,FALSE)</f>
        <v>#N/A</v>
      </c>
      <c r="B3395" s="112" t="e">
        <f>VLOOKUP('Informe Kelly'!A3389,Base!A:G,7,FALSE)</f>
        <v>#N/A</v>
      </c>
      <c r="C3395" s="112">
        <f>'Informe Kelly'!E3389</f>
        <v>0</v>
      </c>
      <c r="D3395" s="112" t="e">
        <f>VLOOKUP(A3395,Ingreso!K:P,6,FALSE)</f>
        <v>#N/A</v>
      </c>
      <c r="E3395" s="142" t="e">
        <f>(VLOOKUP(D3395,$D$2:$E$4,2,FALSE))-(IF('Informe Kelly'!H3389=$A$2,'Informe Kelly'!F3389,VLOOKUP(D3395,$D$2:$E$4,2,FALSE)))</f>
        <v>#N/A</v>
      </c>
      <c r="F3395" s="142" t="e">
        <f>IF('Informe Kelly'!H3389=$A$3,'Informe Kelly'!F3389,VLOOKUP(D3395,$D$2:$F$4,3,FALSE))-(VLOOKUP(D3395,$D$2:$F$4,3,FALSE))</f>
        <v>#N/A</v>
      </c>
      <c r="G3395" s="137" t="e">
        <f t="shared" si="56"/>
        <v>#N/A</v>
      </c>
    </row>
    <row r="3396" spans="1:7">
      <c r="A3396" s="112" t="e">
        <f>VLOOKUP('Informe Kelly'!A3390,Base!A:B,2,FALSE)</f>
        <v>#N/A</v>
      </c>
      <c r="B3396" s="112" t="e">
        <f>VLOOKUP('Informe Kelly'!A3390,Base!A:G,7,FALSE)</f>
        <v>#N/A</v>
      </c>
      <c r="C3396" s="112">
        <f>'Informe Kelly'!E3390</f>
        <v>0</v>
      </c>
      <c r="D3396" s="112" t="e">
        <f>VLOOKUP(A3396,Ingreso!K:P,6,FALSE)</f>
        <v>#N/A</v>
      </c>
      <c r="E3396" s="142" t="e">
        <f>(VLOOKUP(D3396,$D$2:$E$4,2,FALSE))-(IF('Informe Kelly'!H3390=$A$2,'Informe Kelly'!F3390,VLOOKUP(D3396,$D$2:$E$4,2,FALSE)))</f>
        <v>#N/A</v>
      </c>
      <c r="F3396" s="142" t="e">
        <f>IF('Informe Kelly'!H3390=$A$3,'Informe Kelly'!F3390,VLOOKUP(D3396,$D$2:$F$4,3,FALSE))-(VLOOKUP(D3396,$D$2:$F$4,3,FALSE))</f>
        <v>#N/A</v>
      </c>
      <c r="G3396" s="137" t="e">
        <f t="shared" si="56"/>
        <v>#N/A</v>
      </c>
    </row>
    <row r="3397" spans="1:7">
      <c r="A3397" s="112" t="e">
        <f>VLOOKUP('Informe Kelly'!A3391,Base!A:B,2,FALSE)</f>
        <v>#N/A</v>
      </c>
      <c r="B3397" s="112" t="e">
        <f>VLOOKUP('Informe Kelly'!A3391,Base!A:G,7,FALSE)</f>
        <v>#N/A</v>
      </c>
      <c r="C3397" s="112">
        <f>'Informe Kelly'!E3391</f>
        <v>0</v>
      </c>
      <c r="D3397" s="112" t="e">
        <f>VLOOKUP(A3397,Ingreso!K:P,6,FALSE)</f>
        <v>#N/A</v>
      </c>
      <c r="E3397" s="142" t="e">
        <f>(VLOOKUP(D3397,$D$2:$E$4,2,FALSE))-(IF('Informe Kelly'!H3391=$A$2,'Informe Kelly'!F3391,VLOOKUP(D3397,$D$2:$E$4,2,FALSE)))</f>
        <v>#N/A</v>
      </c>
      <c r="F3397" s="142" t="e">
        <f>IF('Informe Kelly'!H3391=$A$3,'Informe Kelly'!F3391,VLOOKUP(D3397,$D$2:$F$4,3,FALSE))-(VLOOKUP(D3397,$D$2:$F$4,3,FALSE))</f>
        <v>#N/A</v>
      </c>
      <c r="G3397" s="137" t="e">
        <f t="shared" si="56"/>
        <v>#N/A</v>
      </c>
    </row>
    <row r="3398" spans="1:7">
      <c r="A3398" s="112" t="e">
        <f>VLOOKUP('Informe Kelly'!A3392,Base!A:B,2,FALSE)</f>
        <v>#N/A</v>
      </c>
      <c r="B3398" s="112" t="e">
        <f>VLOOKUP('Informe Kelly'!A3392,Base!A:G,7,FALSE)</f>
        <v>#N/A</v>
      </c>
      <c r="C3398" s="112">
        <f>'Informe Kelly'!E3392</f>
        <v>0</v>
      </c>
      <c r="D3398" s="112" t="e">
        <f>VLOOKUP(A3398,Ingreso!K:P,6,FALSE)</f>
        <v>#N/A</v>
      </c>
      <c r="E3398" s="142" t="e">
        <f>(VLOOKUP(D3398,$D$2:$E$4,2,FALSE))-(IF('Informe Kelly'!H3392=$A$2,'Informe Kelly'!F3392,VLOOKUP(D3398,$D$2:$E$4,2,FALSE)))</f>
        <v>#N/A</v>
      </c>
      <c r="F3398" s="142" t="e">
        <f>IF('Informe Kelly'!H3392=$A$3,'Informe Kelly'!F3392,VLOOKUP(D3398,$D$2:$F$4,3,FALSE))-(VLOOKUP(D3398,$D$2:$F$4,3,FALSE))</f>
        <v>#N/A</v>
      </c>
      <c r="G3398" s="137" t="e">
        <f t="shared" si="56"/>
        <v>#N/A</v>
      </c>
    </row>
    <row r="3399" spans="1:7">
      <c r="A3399" s="112" t="e">
        <f>VLOOKUP('Informe Kelly'!A3393,Base!A:B,2,FALSE)</f>
        <v>#N/A</v>
      </c>
      <c r="B3399" s="112" t="e">
        <f>VLOOKUP('Informe Kelly'!A3393,Base!A:G,7,FALSE)</f>
        <v>#N/A</v>
      </c>
      <c r="C3399" s="112">
        <f>'Informe Kelly'!E3393</f>
        <v>0</v>
      </c>
      <c r="D3399" s="112" t="e">
        <f>VLOOKUP(A3399,Ingreso!K:P,6,FALSE)</f>
        <v>#N/A</v>
      </c>
      <c r="E3399" s="142" t="e">
        <f>(VLOOKUP(D3399,$D$2:$E$4,2,FALSE))-(IF('Informe Kelly'!H3393=$A$2,'Informe Kelly'!F3393,VLOOKUP(D3399,$D$2:$E$4,2,FALSE)))</f>
        <v>#N/A</v>
      </c>
      <c r="F3399" s="142" t="e">
        <f>IF('Informe Kelly'!H3393=$A$3,'Informe Kelly'!F3393,VLOOKUP(D3399,$D$2:$F$4,3,FALSE))-(VLOOKUP(D3399,$D$2:$F$4,3,FALSE))</f>
        <v>#N/A</v>
      </c>
      <c r="G3399" s="137" t="e">
        <f t="shared" si="56"/>
        <v>#N/A</v>
      </c>
    </row>
    <row r="3400" spans="1:7">
      <c r="A3400" s="112" t="e">
        <f>VLOOKUP('Informe Kelly'!A3394,Base!A:B,2,FALSE)</f>
        <v>#N/A</v>
      </c>
      <c r="B3400" s="112" t="e">
        <f>VLOOKUP('Informe Kelly'!A3394,Base!A:G,7,FALSE)</f>
        <v>#N/A</v>
      </c>
      <c r="C3400" s="112">
        <f>'Informe Kelly'!E3394</f>
        <v>0</v>
      </c>
      <c r="D3400" s="112" t="e">
        <f>VLOOKUP(A3400,Ingreso!K:P,6,FALSE)</f>
        <v>#N/A</v>
      </c>
      <c r="E3400" s="142" t="e">
        <f>(VLOOKUP(D3400,$D$2:$E$4,2,FALSE))-(IF('Informe Kelly'!H3394=$A$2,'Informe Kelly'!F3394,VLOOKUP(D3400,$D$2:$E$4,2,FALSE)))</f>
        <v>#N/A</v>
      </c>
      <c r="F3400" s="142" t="e">
        <f>IF('Informe Kelly'!H3394=$A$3,'Informe Kelly'!F3394,VLOOKUP(D3400,$D$2:$F$4,3,FALSE))-(VLOOKUP(D3400,$D$2:$F$4,3,FALSE))</f>
        <v>#N/A</v>
      </c>
      <c r="G3400" s="137" t="e">
        <f t="shared" si="56"/>
        <v>#N/A</v>
      </c>
    </row>
    <row r="3401" spans="1:7">
      <c r="A3401" s="112" t="e">
        <f>VLOOKUP('Informe Kelly'!A3395,Base!A:B,2,FALSE)</f>
        <v>#N/A</v>
      </c>
      <c r="B3401" s="112" t="e">
        <f>VLOOKUP('Informe Kelly'!A3395,Base!A:G,7,FALSE)</f>
        <v>#N/A</v>
      </c>
      <c r="C3401" s="112">
        <f>'Informe Kelly'!E3395</f>
        <v>0</v>
      </c>
      <c r="D3401" s="112" t="e">
        <f>VLOOKUP(A3401,Ingreso!K:P,6,FALSE)</f>
        <v>#N/A</v>
      </c>
      <c r="E3401" s="142" t="e">
        <f>(VLOOKUP(D3401,$D$2:$E$4,2,FALSE))-(IF('Informe Kelly'!H3395=$A$2,'Informe Kelly'!F3395,VLOOKUP(D3401,$D$2:$E$4,2,FALSE)))</f>
        <v>#N/A</v>
      </c>
      <c r="F3401" s="142" t="e">
        <f>IF('Informe Kelly'!H3395=$A$3,'Informe Kelly'!F3395,VLOOKUP(D3401,$D$2:$F$4,3,FALSE))-(VLOOKUP(D3401,$D$2:$F$4,3,FALSE))</f>
        <v>#N/A</v>
      </c>
      <c r="G3401" s="137" t="e">
        <f t="shared" ref="G3401:G3464" si="57">IF(E3401="",IF(F3401&lt;0.0409722222222222,0,E3401),IF(E3401&lt;0.0409722222222222,0,E3401))</f>
        <v>#N/A</v>
      </c>
    </row>
    <row r="3402" spans="1:7">
      <c r="A3402" s="112" t="e">
        <f>VLOOKUP('Informe Kelly'!A3396,Base!A:B,2,FALSE)</f>
        <v>#N/A</v>
      </c>
      <c r="B3402" s="112" t="e">
        <f>VLOOKUP('Informe Kelly'!A3396,Base!A:G,7,FALSE)</f>
        <v>#N/A</v>
      </c>
      <c r="C3402" s="112">
        <f>'Informe Kelly'!E3396</f>
        <v>0</v>
      </c>
      <c r="D3402" s="112" t="e">
        <f>VLOOKUP(A3402,Ingreso!K:P,6,FALSE)</f>
        <v>#N/A</v>
      </c>
      <c r="E3402" s="142" t="e">
        <f>(VLOOKUP(D3402,$D$2:$E$4,2,FALSE))-(IF('Informe Kelly'!H3396=$A$2,'Informe Kelly'!F3396,VLOOKUP(D3402,$D$2:$E$4,2,FALSE)))</f>
        <v>#N/A</v>
      </c>
      <c r="F3402" s="142" t="e">
        <f>IF('Informe Kelly'!H3396=$A$3,'Informe Kelly'!F3396,VLOOKUP(D3402,$D$2:$F$4,3,FALSE))-(VLOOKUP(D3402,$D$2:$F$4,3,FALSE))</f>
        <v>#N/A</v>
      </c>
      <c r="G3402" s="137" t="e">
        <f t="shared" si="57"/>
        <v>#N/A</v>
      </c>
    </row>
    <row r="3403" spans="1:7">
      <c r="A3403" s="112" t="e">
        <f>VLOOKUP('Informe Kelly'!A3397,Base!A:B,2,FALSE)</f>
        <v>#N/A</v>
      </c>
      <c r="B3403" s="112" t="e">
        <f>VLOOKUP('Informe Kelly'!A3397,Base!A:G,7,FALSE)</f>
        <v>#N/A</v>
      </c>
      <c r="C3403" s="112">
        <f>'Informe Kelly'!E3397</f>
        <v>0</v>
      </c>
      <c r="D3403" s="112" t="e">
        <f>VLOOKUP(A3403,Ingreso!K:P,6,FALSE)</f>
        <v>#N/A</v>
      </c>
      <c r="E3403" s="142" t="e">
        <f>(VLOOKUP(D3403,$D$2:$E$4,2,FALSE))-(IF('Informe Kelly'!H3397=$A$2,'Informe Kelly'!F3397,VLOOKUP(D3403,$D$2:$E$4,2,FALSE)))</f>
        <v>#N/A</v>
      </c>
      <c r="F3403" s="142" t="e">
        <f>IF('Informe Kelly'!H3397=$A$3,'Informe Kelly'!F3397,VLOOKUP(D3403,$D$2:$F$4,3,FALSE))-(VLOOKUP(D3403,$D$2:$F$4,3,FALSE))</f>
        <v>#N/A</v>
      </c>
      <c r="G3403" s="137" t="e">
        <f t="shared" si="57"/>
        <v>#N/A</v>
      </c>
    </row>
    <row r="3404" spans="1:7">
      <c r="A3404" s="112" t="e">
        <f>VLOOKUP('Informe Kelly'!A3398,Base!A:B,2,FALSE)</f>
        <v>#N/A</v>
      </c>
      <c r="B3404" s="112" t="e">
        <f>VLOOKUP('Informe Kelly'!A3398,Base!A:G,7,FALSE)</f>
        <v>#N/A</v>
      </c>
      <c r="C3404" s="112">
        <f>'Informe Kelly'!E3398</f>
        <v>0</v>
      </c>
      <c r="D3404" s="112" t="e">
        <f>VLOOKUP(A3404,Ingreso!K:P,6,FALSE)</f>
        <v>#N/A</v>
      </c>
      <c r="E3404" s="142" t="e">
        <f>(VLOOKUP(D3404,$D$2:$E$4,2,FALSE))-(IF('Informe Kelly'!H3398=$A$2,'Informe Kelly'!F3398,VLOOKUP(D3404,$D$2:$E$4,2,FALSE)))</f>
        <v>#N/A</v>
      </c>
      <c r="F3404" s="142" t="e">
        <f>IF('Informe Kelly'!H3398=$A$3,'Informe Kelly'!F3398,VLOOKUP(D3404,$D$2:$F$4,3,FALSE))-(VLOOKUP(D3404,$D$2:$F$4,3,FALSE))</f>
        <v>#N/A</v>
      </c>
      <c r="G3404" s="137" t="e">
        <f t="shared" si="57"/>
        <v>#N/A</v>
      </c>
    </row>
    <row r="3405" spans="1:7">
      <c r="A3405" s="112" t="e">
        <f>VLOOKUP('Informe Kelly'!A3399,Base!A:B,2,FALSE)</f>
        <v>#N/A</v>
      </c>
      <c r="B3405" s="112" t="e">
        <f>VLOOKUP('Informe Kelly'!A3399,Base!A:G,7,FALSE)</f>
        <v>#N/A</v>
      </c>
      <c r="C3405" s="112">
        <f>'Informe Kelly'!E3399</f>
        <v>0</v>
      </c>
      <c r="D3405" s="112" t="e">
        <f>VLOOKUP(A3405,Ingreso!K:P,6,FALSE)</f>
        <v>#N/A</v>
      </c>
      <c r="E3405" s="142" t="e">
        <f>(VLOOKUP(D3405,$D$2:$E$4,2,FALSE))-(IF('Informe Kelly'!H3399=$A$2,'Informe Kelly'!F3399,VLOOKUP(D3405,$D$2:$E$4,2,FALSE)))</f>
        <v>#N/A</v>
      </c>
      <c r="F3405" s="142" t="e">
        <f>IF('Informe Kelly'!H3399=$A$3,'Informe Kelly'!F3399,VLOOKUP(D3405,$D$2:$F$4,3,FALSE))-(VLOOKUP(D3405,$D$2:$F$4,3,FALSE))</f>
        <v>#N/A</v>
      </c>
      <c r="G3405" s="137" t="e">
        <f t="shared" si="57"/>
        <v>#N/A</v>
      </c>
    </row>
    <row r="3406" spans="1:7">
      <c r="A3406" s="112" t="e">
        <f>VLOOKUP('Informe Kelly'!A3400,Base!A:B,2,FALSE)</f>
        <v>#N/A</v>
      </c>
      <c r="B3406" s="112" t="e">
        <f>VLOOKUP('Informe Kelly'!A3400,Base!A:G,7,FALSE)</f>
        <v>#N/A</v>
      </c>
      <c r="C3406" s="112">
        <f>'Informe Kelly'!E3400</f>
        <v>0</v>
      </c>
      <c r="D3406" s="112" t="e">
        <f>VLOOKUP(A3406,Ingreso!K:P,6,FALSE)</f>
        <v>#N/A</v>
      </c>
      <c r="E3406" s="142" t="e">
        <f>(VLOOKUP(D3406,$D$2:$E$4,2,FALSE))-(IF('Informe Kelly'!H3400=$A$2,'Informe Kelly'!F3400,VLOOKUP(D3406,$D$2:$E$4,2,FALSE)))</f>
        <v>#N/A</v>
      </c>
      <c r="F3406" s="142" t="e">
        <f>IF('Informe Kelly'!H3400=$A$3,'Informe Kelly'!F3400,VLOOKUP(D3406,$D$2:$F$4,3,FALSE))-(VLOOKUP(D3406,$D$2:$F$4,3,FALSE))</f>
        <v>#N/A</v>
      </c>
      <c r="G3406" s="137" t="e">
        <f t="shared" si="57"/>
        <v>#N/A</v>
      </c>
    </row>
    <row r="3407" spans="1:7">
      <c r="A3407" s="112" t="e">
        <f>VLOOKUP('Informe Kelly'!A3401,Base!A:B,2,FALSE)</f>
        <v>#N/A</v>
      </c>
      <c r="B3407" s="112" t="e">
        <f>VLOOKUP('Informe Kelly'!A3401,Base!A:G,7,FALSE)</f>
        <v>#N/A</v>
      </c>
      <c r="C3407" s="112">
        <f>'Informe Kelly'!E3401</f>
        <v>0</v>
      </c>
      <c r="D3407" s="112" t="e">
        <f>VLOOKUP(A3407,Ingreso!K:P,6,FALSE)</f>
        <v>#N/A</v>
      </c>
      <c r="E3407" s="142" t="e">
        <f>(VLOOKUP(D3407,$D$2:$E$4,2,FALSE))-(IF('Informe Kelly'!H3401=$A$2,'Informe Kelly'!F3401,VLOOKUP(D3407,$D$2:$E$4,2,FALSE)))</f>
        <v>#N/A</v>
      </c>
      <c r="F3407" s="142" t="e">
        <f>IF('Informe Kelly'!H3401=$A$3,'Informe Kelly'!F3401,VLOOKUP(D3407,$D$2:$F$4,3,FALSE))-(VLOOKUP(D3407,$D$2:$F$4,3,FALSE))</f>
        <v>#N/A</v>
      </c>
      <c r="G3407" s="137" t="e">
        <f t="shared" si="57"/>
        <v>#N/A</v>
      </c>
    </row>
    <row r="3408" spans="1:7">
      <c r="A3408" s="112" t="e">
        <f>VLOOKUP('Informe Kelly'!A3402,Base!A:B,2,FALSE)</f>
        <v>#N/A</v>
      </c>
      <c r="B3408" s="112" t="e">
        <f>VLOOKUP('Informe Kelly'!A3402,Base!A:G,7,FALSE)</f>
        <v>#N/A</v>
      </c>
      <c r="C3408" s="112">
        <f>'Informe Kelly'!E3402</f>
        <v>0</v>
      </c>
      <c r="D3408" s="112" t="e">
        <f>VLOOKUP(A3408,Ingreso!K:P,6,FALSE)</f>
        <v>#N/A</v>
      </c>
      <c r="E3408" s="142" t="e">
        <f>(VLOOKUP(D3408,$D$2:$E$4,2,FALSE))-(IF('Informe Kelly'!H3402=$A$2,'Informe Kelly'!F3402,VLOOKUP(D3408,$D$2:$E$4,2,FALSE)))</f>
        <v>#N/A</v>
      </c>
      <c r="F3408" s="142" t="e">
        <f>IF('Informe Kelly'!H3402=$A$3,'Informe Kelly'!F3402,VLOOKUP(D3408,$D$2:$F$4,3,FALSE))-(VLOOKUP(D3408,$D$2:$F$4,3,FALSE))</f>
        <v>#N/A</v>
      </c>
      <c r="G3408" s="137" t="e">
        <f t="shared" si="57"/>
        <v>#N/A</v>
      </c>
    </row>
    <row r="3409" spans="1:7">
      <c r="A3409" s="112" t="e">
        <f>VLOOKUP('Informe Kelly'!A3403,Base!A:B,2,FALSE)</f>
        <v>#N/A</v>
      </c>
      <c r="B3409" s="112" t="e">
        <f>VLOOKUP('Informe Kelly'!A3403,Base!A:G,7,FALSE)</f>
        <v>#N/A</v>
      </c>
      <c r="C3409" s="112">
        <f>'Informe Kelly'!E3403</f>
        <v>0</v>
      </c>
      <c r="D3409" s="112" t="e">
        <f>VLOOKUP(A3409,Ingreso!K:P,6,FALSE)</f>
        <v>#N/A</v>
      </c>
      <c r="E3409" s="142" t="e">
        <f>(VLOOKUP(D3409,$D$2:$E$4,2,FALSE))-(IF('Informe Kelly'!H3403=$A$2,'Informe Kelly'!F3403,VLOOKUP(D3409,$D$2:$E$4,2,FALSE)))</f>
        <v>#N/A</v>
      </c>
      <c r="F3409" s="142" t="e">
        <f>IF('Informe Kelly'!H3403=$A$3,'Informe Kelly'!F3403,VLOOKUP(D3409,$D$2:$F$4,3,FALSE))-(VLOOKUP(D3409,$D$2:$F$4,3,FALSE))</f>
        <v>#N/A</v>
      </c>
      <c r="G3409" s="137" t="e">
        <f t="shared" si="57"/>
        <v>#N/A</v>
      </c>
    </row>
    <row r="3410" spans="1:7">
      <c r="A3410" s="112" t="e">
        <f>VLOOKUP('Informe Kelly'!A3404,Base!A:B,2,FALSE)</f>
        <v>#N/A</v>
      </c>
      <c r="B3410" s="112" t="e">
        <f>VLOOKUP('Informe Kelly'!A3404,Base!A:G,7,FALSE)</f>
        <v>#N/A</v>
      </c>
      <c r="C3410" s="112">
        <f>'Informe Kelly'!E3404</f>
        <v>0</v>
      </c>
      <c r="D3410" s="112" t="e">
        <f>VLOOKUP(A3410,Ingreso!K:P,6,FALSE)</f>
        <v>#N/A</v>
      </c>
      <c r="E3410" s="142" t="e">
        <f>(VLOOKUP(D3410,$D$2:$E$4,2,FALSE))-(IF('Informe Kelly'!H3404=$A$2,'Informe Kelly'!F3404,VLOOKUP(D3410,$D$2:$E$4,2,FALSE)))</f>
        <v>#N/A</v>
      </c>
      <c r="F3410" s="142" t="e">
        <f>IF('Informe Kelly'!H3404=$A$3,'Informe Kelly'!F3404,VLOOKUP(D3410,$D$2:$F$4,3,FALSE))-(VLOOKUP(D3410,$D$2:$F$4,3,FALSE))</f>
        <v>#N/A</v>
      </c>
      <c r="G3410" s="137" t="e">
        <f t="shared" si="57"/>
        <v>#N/A</v>
      </c>
    </row>
    <row r="3411" spans="1:7">
      <c r="A3411" s="112" t="e">
        <f>VLOOKUP('Informe Kelly'!A3405,Base!A:B,2,FALSE)</f>
        <v>#N/A</v>
      </c>
      <c r="B3411" s="112" t="e">
        <f>VLOOKUP('Informe Kelly'!A3405,Base!A:G,7,FALSE)</f>
        <v>#N/A</v>
      </c>
      <c r="C3411" s="112">
        <f>'Informe Kelly'!E3405</f>
        <v>0</v>
      </c>
      <c r="D3411" s="112" t="e">
        <f>VLOOKUP(A3411,Ingreso!K:P,6,FALSE)</f>
        <v>#N/A</v>
      </c>
      <c r="E3411" s="142" t="e">
        <f>(VLOOKUP(D3411,$D$2:$E$4,2,FALSE))-(IF('Informe Kelly'!H3405=$A$2,'Informe Kelly'!F3405,VLOOKUP(D3411,$D$2:$E$4,2,FALSE)))</f>
        <v>#N/A</v>
      </c>
      <c r="F3411" s="142" t="e">
        <f>IF('Informe Kelly'!H3405=$A$3,'Informe Kelly'!F3405,VLOOKUP(D3411,$D$2:$F$4,3,FALSE))-(VLOOKUP(D3411,$D$2:$F$4,3,FALSE))</f>
        <v>#N/A</v>
      </c>
      <c r="G3411" s="137" t="e">
        <f t="shared" si="57"/>
        <v>#N/A</v>
      </c>
    </row>
    <row r="3412" spans="1:7">
      <c r="A3412" s="112" t="e">
        <f>VLOOKUP('Informe Kelly'!A3406,Base!A:B,2,FALSE)</f>
        <v>#N/A</v>
      </c>
      <c r="B3412" s="112" t="e">
        <f>VLOOKUP('Informe Kelly'!A3406,Base!A:G,7,FALSE)</f>
        <v>#N/A</v>
      </c>
      <c r="C3412" s="112">
        <f>'Informe Kelly'!E3406</f>
        <v>0</v>
      </c>
      <c r="D3412" s="112" t="e">
        <f>VLOOKUP(A3412,Ingreso!K:P,6,FALSE)</f>
        <v>#N/A</v>
      </c>
      <c r="E3412" s="142" t="e">
        <f>(VLOOKUP(D3412,$D$2:$E$4,2,FALSE))-(IF('Informe Kelly'!H3406=$A$2,'Informe Kelly'!F3406,VLOOKUP(D3412,$D$2:$E$4,2,FALSE)))</f>
        <v>#N/A</v>
      </c>
      <c r="F3412" s="142" t="e">
        <f>IF('Informe Kelly'!H3406=$A$3,'Informe Kelly'!F3406,VLOOKUP(D3412,$D$2:$F$4,3,FALSE))-(VLOOKUP(D3412,$D$2:$F$4,3,FALSE))</f>
        <v>#N/A</v>
      </c>
      <c r="G3412" s="137" t="e">
        <f t="shared" si="57"/>
        <v>#N/A</v>
      </c>
    </row>
    <row r="3413" spans="1:7">
      <c r="A3413" s="112" t="e">
        <f>VLOOKUP('Informe Kelly'!A3407,Base!A:B,2,FALSE)</f>
        <v>#N/A</v>
      </c>
      <c r="B3413" s="112" t="e">
        <f>VLOOKUP('Informe Kelly'!A3407,Base!A:G,7,FALSE)</f>
        <v>#N/A</v>
      </c>
      <c r="C3413" s="112">
        <f>'Informe Kelly'!E3407</f>
        <v>0</v>
      </c>
      <c r="D3413" s="112" t="e">
        <f>VLOOKUP(A3413,Ingreso!K:P,6,FALSE)</f>
        <v>#N/A</v>
      </c>
      <c r="E3413" s="142" t="e">
        <f>(VLOOKUP(D3413,$D$2:$E$4,2,FALSE))-(IF('Informe Kelly'!H3407=$A$2,'Informe Kelly'!F3407,VLOOKUP(D3413,$D$2:$E$4,2,FALSE)))</f>
        <v>#N/A</v>
      </c>
      <c r="F3413" s="142" t="e">
        <f>IF('Informe Kelly'!H3407=$A$3,'Informe Kelly'!F3407,VLOOKUP(D3413,$D$2:$F$4,3,FALSE))-(VLOOKUP(D3413,$D$2:$F$4,3,FALSE))</f>
        <v>#N/A</v>
      </c>
      <c r="G3413" s="137" t="e">
        <f t="shared" si="57"/>
        <v>#N/A</v>
      </c>
    </row>
    <row r="3414" spans="1:7">
      <c r="A3414" s="112" t="e">
        <f>VLOOKUP('Informe Kelly'!A3408,Base!A:B,2,FALSE)</f>
        <v>#N/A</v>
      </c>
      <c r="B3414" s="112" t="e">
        <f>VLOOKUP('Informe Kelly'!A3408,Base!A:G,7,FALSE)</f>
        <v>#N/A</v>
      </c>
      <c r="C3414" s="112">
        <f>'Informe Kelly'!E3408</f>
        <v>0</v>
      </c>
      <c r="D3414" s="112" t="e">
        <f>VLOOKUP(A3414,Ingreso!K:P,6,FALSE)</f>
        <v>#N/A</v>
      </c>
      <c r="E3414" s="142" t="e">
        <f>(VLOOKUP(D3414,$D$2:$E$4,2,FALSE))-(IF('Informe Kelly'!H3408=$A$2,'Informe Kelly'!F3408,VLOOKUP(D3414,$D$2:$E$4,2,FALSE)))</f>
        <v>#N/A</v>
      </c>
      <c r="F3414" s="142" t="e">
        <f>IF('Informe Kelly'!H3408=$A$3,'Informe Kelly'!F3408,VLOOKUP(D3414,$D$2:$F$4,3,FALSE))-(VLOOKUP(D3414,$D$2:$F$4,3,FALSE))</f>
        <v>#N/A</v>
      </c>
      <c r="G3414" s="137" t="e">
        <f t="shared" si="57"/>
        <v>#N/A</v>
      </c>
    </row>
    <row r="3415" spans="1:7">
      <c r="A3415" s="112" t="e">
        <f>VLOOKUP('Informe Kelly'!A3409,Base!A:B,2,FALSE)</f>
        <v>#N/A</v>
      </c>
      <c r="B3415" s="112" t="e">
        <f>VLOOKUP('Informe Kelly'!A3409,Base!A:G,7,FALSE)</f>
        <v>#N/A</v>
      </c>
      <c r="C3415" s="112">
        <f>'Informe Kelly'!E3409</f>
        <v>0</v>
      </c>
      <c r="D3415" s="112" t="e">
        <f>VLOOKUP(A3415,Ingreso!K:P,6,FALSE)</f>
        <v>#N/A</v>
      </c>
      <c r="E3415" s="142" t="e">
        <f>(VLOOKUP(D3415,$D$2:$E$4,2,FALSE))-(IF('Informe Kelly'!H3409=$A$2,'Informe Kelly'!F3409,VLOOKUP(D3415,$D$2:$E$4,2,FALSE)))</f>
        <v>#N/A</v>
      </c>
      <c r="F3415" s="142" t="e">
        <f>IF('Informe Kelly'!H3409=$A$3,'Informe Kelly'!F3409,VLOOKUP(D3415,$D$2:$F$4,3,FALSE))-(VLOOKUP(D3415,$D$2:$F$4,3,FALSE))</f>
        <v>#N/A</v>
      </c>
      <c r="G3415" s="137" t="e">
        <f t="shared" si="57"/>
        <v>#N/A</v>
      </c>
    </row>
    <row r="3416" spans="1:7">
      <c r="A3416" s="112" t="e">
        <f>VLOOKUP('Informe Kelly'!A3410,Base!A:B,2,FALSE)</f>
        <v>#N/A</v>
      </c>
      <c r="B3416" s="112" t="e">
        <f>VLOOKUP('Informe Kelly'!A3410,Base!A:G,7,FALSE)</f>
        <v>#N/A</v>
      </c>
      <c r="C3416" s="112">
        <f>'Informe Kelly'!E3410</f>
        <v>0</v>
      </c>
      <c r="D3416" s="112" t="e">
        <f>VLOOKUP(A3416,Ingreso!K:P,6,FALSE)</f>
        <v>#N/A</v>
      </c>
      <c r="E3416" s="142" t="e">
        <f>(VLOOKUP(D3416,$D$2:$E$4,2,FALSE))-(IF('Informe Kelly'!H3410=$A$2,'Informe Kelly'!F3410,VLOOKUP(D3416,$D$2:$E$4,2,FALSE)))</f>
        <v>#N/A</v>
      </c>
      <c r="F3416" s="142" t="e">
        <f>IF('Informe Kelly'!H3410=$A$3,'Informe Kelly'!F3410,VLOOKUP(D3416,$D$2:$F$4,3,FALSE))-(VLOOKUP(D3416,$D$2:$F$4,3,FALSE))</f>
        <v>#N/A</v>
      </c>
      <c r="G3416" s="137" t="e">
        <f t="shared" si="57"/>
        <v>#N/A</v>
      </c>
    </row>
    <row r="3417" spans="1:7">
      <c r="A3417" s="112" t="e">
        <f>VLOOKUP('Informe Kelly'!A3411,Base!A:B,2,FALSE)</f>
        <v>#N/A</v>
      </c>
      <c r="B3417" s="112" t="e">
        <f>VLOOKUP('Informe Kelly'!A3411,Base!A:G,7,FALSE)</f>
        <v>#N/A</v>
      </c>
      <c r="C3417" s="112">
        <f>'Informe Kelly'!E3411</f>
        <v>0</v>
      </c>
      <c r="D3417" s="112" t="e">
        <f>VLOOKUP(A3417,Ingreso!K:P,6,FALSE)</f>
        <v>#N/A</v>
      </c>
      <c r="E3417" s="142" t="e">
        <f>(VLOOKUP(D3417,$D$2:$E$4,2,FALSE))-(IF('Informe Kelly'!H3411=$A$2,'Informe Kelly'!F3411,VLOOKUP(D3417,$D$2:$E$4,2,FALSE)))</f>
        <v>#N/A</v>
      </c>
      <c r="F3417" s="142" t="e">
        <f>IF('Informe Kelly'!H3411=$A$3,'Informe Kelly'!F3411,VLOOKUP(D3417,$D$2:$F$4,3,FALSE))-(VLOOKUP(D3417,$D$2:$F$4,3,FALSE))</f>
        <v>#N/A</v>
      </c>
      <c r="G3417" s="137" t="e">
        <f t="shared" si="57"/>
        <v>#N/A</v>
      </c>
    </row>
    <row r="3418" spans="1:7">
      <c r="A3418" s="112" t="e">
        <f>VLOOKUP('Informe Kelly'!A3412,Base!A:B,2,FALSE)</f>
        <v>#N/A</v>
      </c>
      <c r="B3418" s="112" t="e">
        <f>VLOOKUP('Informe Kelly'!A3412,Base!A:G,7,FALSE)</f>
        <v>#N/A</v>
      </c>
      <c r="C3418" s="112">
        <f>'Informe Kelly'!E3412</f>
        <v>0</v>
      </c>
      <c r="D3418" s="112" t="e">
        <f>VLOOKUP(A3418,Ingreso!K:P,6,FALSE)</f>
        <v>#N/A</v>
      </c>
      <c r="E3418" s="142" t="e">
        <f>(VLOOKUP(D3418,$D$2:$E$4,2,FALSE))-(IF('Informe Kelly'!H3412=$A$2,'Informe Kelly'!F3412,VLOOKUP(D3418,$D$2:$E$4,2,FALSE)))</f>
        <v>#N/A</v>
      </c>
      <c r="F3418" s="142" t="e">
        <f>IF('Informe Kelly'!H3412=$A$3,'Informe Kelly'!F3412,VLOOKUP(D3418,$D$2:$F$4,3,FALSE))-(VLOOKUP(D3418,$D$2:$F$4,3,FALSE))</f>
        <v>#N/A</v>
      </c>
      <c r="G3418" s="137" t="e">
        <f t="shared" si="57"/>
        <v>#N/A</v>
      </c>
    </row>
    <row r="3419" spans="1:7">
      <c r="A3419" s="112" t="e">
        <f>VLOOKUP('Informe Kelly'!A3413,Base!A:B,2,FALSE)</f>
        <v>#N/A</v>
      </c>
      <c r="B3419" s="112" t="e">
        <f>VLOOKUP('Informe Kelly'!A3413,Base!A:G,7,FALSE)</f>
        <v>#N/A</v>
      </c>
      <c r="C3419" s="112">
        <f>'Informe Kelly'!E3413</f>
        <v>0</v>
      </c>
      <c r="D3419" s="112" t="e">
        <f>VLOOKUP(A3419,Ingreso!K:P,6,FALSE)</f>
        <v>#N/A</v>
      </c>
      <c r="E3419" s="142" t="e">
        <f>(VLOOKUP(D3419,$D$2:$E$4,2,FALSE))-(IF('Informe Kelly'!H3413=$A$2,'Informe Kelly'!F3413,VLOOKUP(D3419,$D$2:$E$4,2,FALSE)))</f>
        <v>#N/A</v>
      </c>
      <c r="F3419" s="142" t="e">
        <f>IF('Informe Kelly'!H3413=$A$3,'Informe Kelly'!F3413,VLOOKUP(D3419,$D$2:$F$4,3,FALSE))-(VLOOKUP(D3419,$D$2:$F$4,3,FALSE))</f>
        <v>#N/A</v>
      </c>
      <c r="G3419" s="137" t="e">
        <f t="shared" si="57"/>
        <v>#N/A</v>
      </c>
    </row>
    <row r="3420" spans="1:7">
      <c r="A3420" s="112" t="e">
        <f>VLOOKUP('Informe Kelly'!A3414,Base!A:B,2,FALSE)</f>
        <v>#N/A</v>
      </c>
      <c r="B3420" s="112" t="e">
        <f>VLOOKUP('Informe Kelly'!A3414,Base!A:G,7,FALSE)</f>
        <v>#N/A</v>
      </c>
      <c r="C3420" s="112">
        <f>'Informe Kelly'!E3414</f>
        <v>0</v>
      </c>
      <c r="D3420" s="112" t="e">
        <f>VLOOKUP(A3420,Ingreso!K:P,6,FALSE)</f>
        <v>#N/A</v>
      </c>
      <c r="E3420" s="142" t="e">
        <f>(VLOOKUP(D3420,$D$2:$E$4,2,FALSE))-(IF('Informe Kelly'!H3414=$A$2,'Informe Kelly'!F3414,VLOOKUP(D3420,$D$2:$E$4,2,FALSE)))</f>
        <v>#N/A</v>
      </c>
      <c r="F3420" s="142" t="e">
        <f>IF('Informe Kelly'!H3414=$A$3,'Informe Kelly'!F3414,VLOOKUP(D3420,$D$2:$F$4,3,FALSE))-(VLOOKUP(D3420,$D$2:$F$4,3,FALSE))</f>
        <v>#N/A</v>
      </c>
      <c r="G3420" s="137" t="e">
        <f t="shared" si="57"/>
        <v>#N/A</v>
      </c>
    </row>
    <row r="3421" spans="1:7">
      <c r="A3421" s="112" t="e">
        <f>VLOOKUP('Informe Kelly'!A3415,Base!A:B,2,FALSE)</f>
        <v>#N/A</v>
      </c>
      <c r="B3421" s="112" t="e">
        <f>VLOOKUP('Informe Kelly'!A3415,Base!A:G,7,FALSE)</f>
        <v>#N/A</v>
      </c>
      <c r="C3421" s="112">
        <f>'Informe Kelly'!E3415</f>
        <v>0</v>
      </c>
      <c r="D3421" s="112" t="e">
        <f>VLOOKUP(A3421,Ingreso!K:P,6,FALSE)</f>
        <v>#N/A</v>
      </c>
      <c r="E3421" s="142" t="e">
        <f>(VLOOKUP(D3421,$D$2:$E$4,2,FALSE))-(IF('Informe Kelly'!H3415=$A$2,'Informe Kelly'!F3415,VLOOKUP(D3421,$D$2:$E$4,2,FALSE)))</f>
        <v>#N/A</v>
      </c>
      <c r="F3421" s="142" t="e">
        <f>IF('Informe Kelly'!H3415=$A$3,'Informe Kelly'!F3415,VLOOKUP(D3421,$D$2:$F$4,3,FALSE))-(VLOOKUP(D3421,$D$2:$F$4,3,FALSE))</f>
        <v>#N/A</v>
      </c>
      <c r="G3421" s="137" t="e">
        <f t="shared" si="57"/>
        <v>#N/A</v>
      </c>
    </row>
    <row r="3422" spans="1:7">
      <c r="A3422" s="112" t="e">
        <f>VLOOKUP('Informe Kelly'!A3416,Base!A:B,2,FALSE)</f>
        <v>#N/A</v>
      </c>
      <c r="B3422" s="112" t="e">
        <f>VLOOKUP('Informe Kelly'!A3416,Base!A:G,7,FALSE)</f>
        <v>#N/A</v>
      </c>
      <c r="C3422" s="112">
        <f>'Informe Kelly'!E3416</f>
        <v>0</v>
      </c>
      <c r="D3422" s="112" t="e">
        <f>VLOOKUP(A3422,Ingreso!K:P,6,FALSE)</f>
        <v>#N/A</v>
      </c>
      <c r="E3422" s="142" t="e">
        <f>(VLOOKUP(D3422,$D$2:$E$4,2,FALSE))-(IF('Informe Kelly'!H3416=$A$2,'Informe Kelly'!F3416,VLOOKUP(D3422,$D$2:$E$4,2,FALSE)))</f>
        <v>#N/A</v>
      </c>
      <c r="F3422" s="142" t="e">
        <f>IF('Informe Kelly'!H3416=$A$3,'Informe Kelly'!F3416,VLOOKUP(D3422,$D$2:$F$4,3,FALSE))-(VLOOKUP(D3422,$D$2:$F$4,3,FALSE))</f>
        <v>#N/A</v>
      </c>
      <c r="G3422" s="137" t="e">
        <f t="shared" si="57"/>
        <v>#N/A</v>
      </c>
    </row>
    <row r="3423" spans="1:7">
      <c r="A3423" s="112" t="e">
        <f>VLOOKUP('Informe Kelly'!A3417,Base!A:B,2,FALSE)</f>
        <v>#N/A</v>
      </c>
      <c r="B3423" s="112" t="e">
        <f>VLOOKUP('Informe Kelly'!A3417,Base!A:G,7,FALSE)</f>
        <v>#N/A</v>
      </c>
      <c r="C3423" s="112">
        <f>'Informe Kelly'!E3417</f>
        <v>0</v>
      </c>
      <c r="D3423" s="112" t="e">
        <f>VLOOKUP(A3423,Ingreso!K:P,6,FALSE)</f>
        <v>#N/A</v>
      </c>
      <c r="E3423" s="142" t="e">
        <f>(VLOOKUP(D3423,$D$2:$E$4,2,FALSE))-(IF('Informe Kelly'!H3417=$A$2,'Informe Kelly'!F3417,VLOOKUP(D3423,$D$2:$E$4,2,FALSE)))</f>
        <v>#N/A</v>
      </c>
      <c r="F3423" s="142" t="e">
        <f>IF('Informe Kelly'!H3417=$A$3,'Informe Kelly'!F3417,VLOOKUP(D3423,$D$2:$F$4,3,FALSE))-(VLOOKUP(D3423,$D$2:$F$4,3,FALSE))</f>
        <v>#N/A</v>
      </c>
      <c r="G3423" s="137" t="e">
        <f t="shared" si="57"/>
        <v>#N/A</v>
      </c>
    </row>
    <row r="3424" spans="1:7">
      <c r="A3424" s="112" t="e">
        <f>VLOOKUP('Informe Kelly'!A3418,Base!A:B,2,FALSE)</f>
        <v>#N/A</v>
      </c>
      <c r="B3424" s="112" t="e">
        <f>VLOOKUP('Informe Kelly'!A3418,Base!A:G,7,FALSE)</f>
        <v>#N/A</v>
      </c>
      <c r="C3424" s="112">
        <f>'Informe Kelly'!E3418</f>
        <v>0</v>
      </c>
      <c r="D3424" s="112" t="e">
        <f>VLOOKUP(A3424,Ingreso!K:P,6,FALSE)</f>
        <v>#N/A</v>
      </c>
      <c r="E3424" s="142" t="e">
        <f>(VLOOKUP(D3424,$D$2:$E$4,2,FALSE))-(IF('Informe Kelly'!H3418=$A$2,'Informe Kelly'!F3418,VLOOKUP(D3424,$D$2:$E$4,2,FALSE)))</f>
        <v>#N/A</v>
      </c>
      <c r="F3424" s="142" t="e">
        <f>IF('Informe Kelly'!H3418=$A$3,'Informe Kelly'!F3418,VLOOKUP(D3424,$D$2:$F$4,3,FALSE))-(VLOOKUP(D3424,$D$2:$F$4,3,FALSE))</f>
        <v>#N/A</v>
      </c>
      <c r="G3424" s="137" t="e">
        <f t="shared" si="57"/>
        <v>#N/A</v>
      </c>
    </row>
    <row r="3425" spans="1:7">
      <c r="A3425" s="112" t="e">
        <f>VLOOKUP('Informe Kelly'!A3419,Base!A:B,2,FALSE)</f>
        <v>#N/A</v>
      </c>
      <c r="B3425" s="112" t="e">
        <f>VLOOKUP('Informe Kelly'!A3419,Base!A:G,7,FALSE)</f>
        <v>#N/A</v>
      </c>
      <c r="C3425" s="112">
        <f>'Informe Kelly'!E3419</f>
        <v>0</v>
      </c>
      <c r="D3425" s="112" t="e">
        <f>VLOOKUP(A3425,Ingreso!K:P,6,FALSE)</f>
        <v>#N/A</v>
      </c>
      <c r="E3425" s="142" t="e">
        <f>(VLOOKUP(D3425,$D$2:$E$4,2,FALSE))-(IF('Informe Kelly'!H3419=$A$2,'Informe Kelly'!F3419,VLOOKUP(D3425,$D$2:$E$4,2,FALSE)))</f>
        <v>#N/A</v>
      </c>
      <c r="F3425" s="142" t="e">
        <f>IF('Informe Kelly'!H3419=$A$3,'Informe Kelly'!F3419,VLOOKUP(D3425,$D$2:$F$4,3,FALSE))-(VLOOKUP(D3425,$D$2:$F$4,3,FALSE))</f>
        <v>#N/A</v>
      </c>
      <c r="G3425" s="137" t="e">
        <f t="shared" si="57"/>
        <v>#N/A</v>
      </c>
    </row>
    <row r="3426" spans="1:7">
      <c r="A3426" s="112" t="e">
        <f>VLOOKUP('Informe Kelly'!A3420,Base!A:B,2,FALSE)</f>
        <v>#N/A</v>
      </c>
      <c r="B3426" s="112" t="e">
        <f>VLOOKUP('Informe Kelly'!A3420,Base!A:G,7,FALSE)</f>
        <v>#N/A</v>
      </c>
      <c r="C3426" s="112">
        <f>'Informe Kelly'!E3420</f>
        <v>0</v>
      </c>
      <c r="D3426" s="112" t="e">
        <f>VLOOKUP(A3426,Ingreso!K:P,6,FALSE)</f>
        <v>#N/A</v>
      </c>
      <c r="E3426" s="142" t="e">
        <f>(VLOOKUP(D3426,$D$2:$E$4,2,FALSE))-(IF('Informe Kelly'!H3420=$A$2,'Informe Kelly'!F3420,VLOOKUP(D3426,$D$2:$E$4,2,FALSE)))</f>
        <v>#N/A</v>
      </c>
      <c r="F3426" s="142" t="e">
        <f>IF('Informe Kelly'!H3420=$A$3,'Informe Kelly'!F3420,VLOOKUP(D3426,$D$2:$F$4,3,FALSE))-(VLOOKUP(D3426,$D$2:$F$4,3,FALSE))</f>
        <v>#N/A</v>
      </c>
      <c r="G3426" s="137" t="e">
        <f t="shared" si="57"/>
        <v>#N/A</v>
      </c>
    </row>
    <row r="3427" spans="1:7">
      <c r="A3427" s="112" t="e">
        <f>VLOOKUP('Informe Kelly'!A3421,Base!A:B,2,FALSE)</f>
        <v>#N/A</v>
      </c>
      <c r="B3427" s="112" t="e">
        <f>VLOOKUP('Informe Kelly'!A3421,Base!A:G,7,FALSE)</f>
        <v>#N/A</v>
      </c>
      <c r="C3427" s="112">
        <f>'Informe Kelly'!E3421</f>
        <v>0</v>
      </c>
      <c r="D3427" s="112" t="e">
        <f>VLOOKUP(A3427,Ingreso!K:P,6,FALSE)</f>
        <v>#N/A</v>
      </c>
      <c r="E3427" s="142" t="e">
        <f>(VLOOKUP(D3427,$D$2:$E$4,2,FALSE))-(IF('Informe Kelly'!H3421=$A$2,'Informe Kelly'!F3421,VLOOKUP(D3427,$D$2:$E$4,2,FALSE)))</f>
        <v>#N/A</v>
      </c>
      <c r="F3427" s="142" t="e">
        <f>IF('Informe Kelly'!H3421=$A$3,'Informe Kelly'!F3421,VLOOKUP(D3427,$D$2:$F$4,3,FALSE))-(VLOOKUP(D3427,$D$2:$F$4,3,FALSE))</f>
        <v>#N/A</v>
      </c>
      <c r="G3427" s="137" t="e">
        <f t="shared" si="57"/>
        <v>#N/A</v>
      </c>
    </row>
    <row r="3428" spans="1:7">
      <c r="A3428" s="112" t="e">
        <f>VLOOKUP('Informe Kelly'!A3422,Base!A:B,2,FALSE)</f>
        <v>#N/A</v>
      </c>
      <c r="B3428" s="112" t="e">
        <f>VLOOKUP('Informe Kelly'!A3422,Base!A:G,7,FALSE)</f>
        <v>#N/A</v>
      </c>
      <c r="C3428" s="112">
        <f>'Informe Kelly'!E3422</f>
        <v>0</v>
      </c>
      <c r="D3428" s="112" t="e">
        <f>VLOOKUP(A3428,Ingreso!K:P,6,FALSE)</f>
        <v>#N/A</v>
      </c>
      <c r="E3428" s="142" t="e">
        <f>(VLOOKUP(D3428,$D$2:$E$4,2,FALSE))-(IF('Informe Kelly'!H3422=$A$2,'Informe Kelly'!F3422,VLOOKUP(D3428,$D$2:$E$4,2,FALSE)))</f>
        <v>#N/A</v>
      </c>
      <c r="F3428" s="142" t="e">
        <f>IF('Informe Kelly'!H3422=$A$3,'Informe Kelly'!F3422,VLOOKUP(D3428,$D$2:$F$4,3,FALSE))-(VLOOKUP(D3428,$D$2:$F$4,3,FALSE))</f>
        <v>#N/A</v>
      </c>
      <c r="G3428" s="137" t="e">
        <f t="shared" si="57"/>
        <v>#N/A</v>
      </c>
    </row>
    <row r="3429" spans="1:7">
      <c r="A3429" s="112" t="e">
        <f>VLOOKUP('Informe Kelly'!A3423,Base!A:B,2,FALSE)</f>
        <v>#N/A</v>
      </c>
      <c r="B3429" s="112" t="e">
        <f>VLOOKUP('Informe Kelly'!A3423,Base!A:G,7,FALSE)</f>
        <v>#N/A</v>
      </c>
      <c r="C3429" s="112">
        <f>'Informe Kelly'!E3423</f>
        <v>0</v>
      </c>
      <c r="D3429" s="112" t="e">
        <f>VLOOKUP(A3429,Ingreso!K:P,6,FALSE)</f>
        <v>#N/A</v>
      </c>
      <c r="E3429" s="142" t="e">
        <f>(VLOOKUP(D3429,$D$2:$E$4,2,FALSE))-(IF('Informe Kelly'!H3423=$A$2,'Informe Kelly'!F3423,VLOOKUP(D3429,$D$2:$E$4,2,FALSE)))</f>
        <v>#N/A</v>
      </c>
      <c r="F3429" s="142" t="e">
        <f>IF('Informe Kelly'!H3423=$A$3,'Informe Kelly'!F3423,VLOOKUP(D3429,$D$2:$F$4,3,FALSE))-(VLOOKUP(D3429,$D$2:$F$4,3,FALSE))</f>
        <v>#N/A</v>
      </c>
      <c r="G3429" s="137" t="e">
        <f t="shared" si="57"/>
        <v>#N/A</v>
      </c>
    </row>
    <row r="3430" spans="1:7">
      <c r="A3430" s="112" t="e">
        <f>VLOOKUP('Informe Kelly'!A3424,Base!A:B,2,FALSE)</f>
        <v>#N/A</v>
      </c>
      <c r="B3430" s="112" t="e">
        <f>VLOOKUP('Informe Kelly'!A3424,Base!A:G,7,FALSE)</f>
        <v>#N/A</v>
      </c>
      <c r="C3430" s="112">
        <f>'Informe Kelly'!E3424</f>
        <v>0</v>
      </c>
      <c r="D3430" s="112" t="e">
        <f>VLOOKUP(A3430,Ingreso!K:P,6,FALSE)</f>
        <v>#N/A</v>
      </c>
      <c r="E3430" s="142" t="e">
        <f>(VLOOKUP(D3430,$D$2:$E$4,2,FALSE))-(IF('Informe Kelly'!H3424=$A$2,'Informe Kelly'!F3424,VLOOKUP(D3430,$D$2:$E$4,2,FALSE)))</f>
        <v>#N/A</v>
      </c>
      <c r="F3430" s="142" t="e">
        <f>IF('Informe Kelly'!H3424=$A$3,'Informe Kelly'!F3424,VLOOKUP(D3430,$D$2:$F$4,3,FALSE))-(VLOOKUP(D3430,$D$2:$F$4,3,FALSE))</f>
        <v>#N/A</v>
      </c>
      <c r="G3430" s="137" t="e">
        <f t="shared" si="57"/>
        <v>#N/A</v>
      </c>
    </row>
    <row r="3431" spans="1:7">
      <c r="A3431" s="112" t="e">
        <f>VLOOKUP('Informe Kelly'!A3425,Base!A:B,2,FALSE)</f>
        <v>#N/A</v>
      </c>
      <c r="B3431" s="112" t="e">
        <f>VLOOKUP('Informe Kelly'!A3425,Base!A:G,7,FALSE)</f>
        <v>#N/A</v>
      </c>
      <c r="C3431" s="112">
        <f>'Informe Kelly'!E3425</f>
        <v>0</v>
      </c>
      <c r="D3431" s="112" t="e">
        <f>VLOOKUP(A3431,Ingreso!K:P,6,FALSE)</f>
        <v>#N/A</v>
      </c>
      <c r="E3431" s="142" t="e">
        <f>(VLOOKUP(D3431,$D$2:$E$4,2,FALSE))-(IF('Informe Kelly'!H3425=$A$2,'Informe Kelly'!F3425,VLOOKUP(D3431,$D$2:$E$4,2,FALSE)))</f>
        <v>#N/A</v>
      </c>
      <c r="F3431" s="142" t="e">
        <f>IF('Informe Kelly'!H3425=$A$3,'Informe Kelly'!F3425,VLOOKUP(D3431,$D$2:$F$4,3,FALSE))-(VLOOKUP(D3431,$D$2:$F$4,3,FALSE))</f>
        <v>#N/A</v>
      </c>
      <c r="G3431" s="137" t="e">
        <f t="shared" si="57"/>
        <v>#N/A</v>
      </c>
    </row>
    <row r="3432" spans="1:7">
      <c r="A3432" s="112" t="e">
        <f>VLOOKUP('Informe Kelly'!A3426,Base!A:B,2,FALSE)</f>
        <v>#N/A</v>
      </c>
      <c r="B3432" s="112" t="e">
        <f>VLOOKUP('Informe Kelly'!A3426,Base!A:G,7,FALSE)</f>
        <v>#N/A</v>
      </c>
      <c r="C3432" s="112">
        <f>'Informe Kelly'!E3426</f>
        <v>0</v>
      </c>
      <c r="D3432" s="112" t="e">
        <f>VLOOKUP(A3432,Ingreso!K:P,6,FALSE)</f>
        <v>#N/A</v>
      </c>
      <c r="E3432" s="142" t="e">
        <f>(VLOOKUP(D3432,$D$2:$E$4,2,FALSE))-(IF('Informe Kelly'!H3426=$A$2,'Informe Kelly'!F3426,VLOOKUP(D3432,$D$2:$E$4,2,FALSE)))</f>
        <v>#N/A</v>
      </c>
      <c r="F3432" s="142" t="e">
        <f>IF('Informe Kelly'!H3426=$A$3,'Informe Kelly'!F3426,VLOOKUP(D3432,$D$2:$F$4,3,FALSE))-(VLOOKUP(D3432,$D$2:$F$4,3,FALSE))</f>
        <v>#N/A</v>
      </c>
      <c r="G3432" s="137" t="e">
        <f t="shared" si="57"/>
        <v>#N/A</v>
      </c>
    </row>
    <row r="3433" spans="1:7">
      <c r="A3433" s="112" t="e">
        <f>VLOOKUP('Informe Kelly'!A3427,Base!A:B,2,FALSE)</f>
        <v>#N/A</v>
      </c>
      <c r="B3433" s="112" t="e">
        <f>VLOOKUP('Informe Kelly'!A3427,Base!A:G,7,FALSE)</f>
        <v>#N/A</v>
      </c>
      <c r="C3433" s="112">
        <f>'Informe Kelly'!E3427</f>
        <v>0</v>
      </c>
      <c r="D3433" s="112" t="e">
        <f>VLOOKUP(A3433,Ingreso!K:P,6,FALSE)</f>
        <v>#N/A</v>
      </c>
      <c r="E3433" s="142" t="e">
        <f>(VLOOKUP(D3433,$D$2:$E$4,2,FALSE))-(IF('Informe Kelly'!H3427=$A$2,'Informe Kelly'!F3427,VLOOKUP(D3433,$D$2:$E$4,2,FALSE)))</f>
        <v>#N/A</v>
      </c>
      <c r="F3433" s="142" t="e">
        <f>IF('Informe Kelly'!H3427=$A$3,'Informe Kelly'!F3427,VLOOKUP(D3433,$D$2:$F$4,3,FALSE))-(VLOOKUP(D3433,$D$2:$F$4,3,FALSE))</f>
        <v>#N/A</v>
      </c>
      <c r="G3433" s="137" t="e">
        <f t="shared" si="57"/>
        <v>#N/A</v>
      </c>
    </row>
    <row r="3434" spans="1:7">
      <c r="A3434" s="112" t="e">
        <f>VLOOKUP('Informe Kelly'!A3428,Base!A:B,2,FALSE)</f>
        <v>#N/A</v>
      </c>
      <c r="B3434" s="112" t="e">
        <f>VLOOKUP('Informe Kelly'!A3428,Base!A:G,7,FALSE)</f>
        <v>#N/A</v>
      </c>
      <c r="C3434" s="112">
        <f>'Informe Kelly'!E3428</f>
        <v>0</v>
      </c>
      <c r="D3434" s="112" t="e">
        <f>VLOOKUP(A3434,Ingreso!K:P,6,FALSE)</f>
        <v>#N/A</v>
      </c>
      <c r="E3434" s="142" t="e">
        <f>(VLOOKUP(D3434,$D$2:$E$4,2,FALSE))-(IF('Informe Kelly'!H3428=$A$2,'Informe Kelly'!F3428,VLOOKUP(D3434,$D$2:$E$4,2,FALSE)))</f>
        <v>#N/A</v>
      </c>
      <c r="F3434" s="142" t="e">
        <f>IF('Informe Kelly'!H3428=$A$3,'Informe Kelly'!F3428,VLOOKUP(D3434,$D$2:$F$4,3,FALSE))-(VLOOKUP(D3434,$D$2:$F$4,3,FALSE))</f>
        <v>#N/A</v>
      </c>
      <c r="G3434" s="137" t="e">
        <f t="shared" si="57"/>
        <v>#N/A</v>
      </c>
    </row>
    <row r="3435" spans="1:7">
      <c r="A3435" s="112" t="e">
        <f>VLOOKUP('Informe Kelly'!A3429,Base!A:B,2,FALSE)</f>
        <v>#N/A</v>
      </c>
      <c r="B3435" s="112" t="e">
        <f>VLOOKUP('Informe Kelly'!A3429,Base!A:G,7,FALSE)</f>
        <v>#N/A</v>
      </c>
      <c r="C3435" s="112">
        <f>'Informe Kelly'!E3429</f>
        <v>0</v>
      </c>
      <c r="D3435" s="112" t="e">
        <f>VLOOKUP(A3435,Ingreso!K:P,6,FALSE)</f>
        <v>#N/A</v>
      </c>
      <c r="E3435" s="142" t="e">
        <f>(VLOOKUP(D3435,$D$2:$E$4,2,FALSE))-(IF('Informe Kelly'!H3429=$A$2,'Informe Kelly'!F3429,VLOOKUP(D3435,$D$2:$E$4,2,FALSE)))</f>
        <v>#N/A</v>
      </c>
      <c r="F3435" s="142" t="e">
        <f>IF('Informe Kelly'!H3429=$A$3,'Informe Kelly'!F3429,VLOOKUP(D3435,$D$2:$F$4,3,FALSE))-(VLOOKUP(D3435,$D$2:$F$4,3,FALSE))</f>
        <v>#N/A</v>
      </c>
      <c r="G3435" s="137" t="e">
        <f t="shared" si="57"/>
        <v>#N/A</v>
      </c>
    </row>
    <row r="3436" spans="1:7">
      <c r="A3436" s="112" t="e">
        <f>VLOOKUP('Informe Kelly'!A3430,Base!A:B,2,FALSE)</f>
        <v>#N/A</v>
      </c>
      <c r="B3436" s="112" t="e">
        <f>VLOOKUP('Informe Kelly'!A3430,Base!A:G,7,FALSE)</f>
        <v>#N/A</v>
      </c>
      <c r="C3436" s="112">
        <f>'Informe Kelly'!E3430</f>
        <v>0</v>
      </c>
      <c r="D3436" s="112" t="e">
        <f>VLOOKUP(A3436,Ingreso!K:P,6,FALSE)</f>
        <v>#N/A</v>
      </c>
      <c r="E3436" s="142" t="e">
        <f>(VLOOKUP(D3436,$D$2:$E$4,2,FALSE))-(IF('Informe Kelly'!H3430=$A$2,'Informe Kelly'!F3430,VLOOKUP(D3436,$D$2:$E$4,2,FALSE)))</f>
        <v>#N/A</v>
      </c>
      <c r="F3436" s="142" t="e">
        <f>IF('Informe Kelly'!H3430=$A$3,'Informe Kelly'!F3430,VLOOKUP(D3436,$D$2:$F$4,3,FALSE))-(VLOOKUP(D3436,$D$2:$F$4,3,FALSE))</f>
        <v>#N/A</v>
      </c>
      <c r="G3436" s="137" t="e">
        <f t="shared" si="57"/>
        <v>#N/A</v>
      </c>
    </row>
    <row r="3437" spans="1:7">
      <c r="A3437" s="112" t="e">
        <f>VLOOKUP('Informe Kelly'!A3431,Base!A:B,2,FALSE)</f>
        <v>#N/A</v>
      </c>
      <c r="B3437" s="112" t="e">
        <f>VLOOKUP('Informe Kelly'!A3431,Base!A:G,7,FALSE)</f>
        <v>#N/A</v>
      </c>
      <c r="C3437" s="112">
        <f>'Informe Kelly'!E3431</f>
        <v>0</v>
      </c>
      <c r="D3437" s="112" t="e">
        <f>VLOOKUP(A3437,Ingreso!K:P,6,FALSE)</f>
        <v>#N/A</v>
      </c>
      <c r="E3437" s="142" t="e">
        <f>(VLOOKUP(D3437,$D$2:$E$4,2,FALSE))-(IF('Informe Kelly'!H3431=$A$2,'Informe Kelly'!F3431,VLOOKUP(D3437,$D$2:$E$4,2,FALSE)))</f>
        <v>#N/A</v>
      </c>
      <c r="F3437" s="142" t="e">
        <f>IF('Informe Kelly'!H3431=$A$3,'Informe Kelly'!F3431,VLOOKUP(D3437,$D$2:$F$4,3,FALSE))-(VLOOKUP(D3437,$D$2:$F$4,3,FALSE))</f>
        <v>#N/A</v>
      </c>
      <c r="G3437" s="137" t="e">
        <f t="shared" si="57"/>
        <v>#N/A</v>
      </c>
    </row>
    <row r="3438" spans="1:7">
      <c r="A3438" s="112" t="e">
        <f>VLOOKUP('Informe Kelly'!A3432,Base!A:B,2,FALSE)</f>
        <v>#N/A</v>
      </c>
      <c r="B3438" s="112" t="e">
        <f>VLOOKUP('Informe Kelly'!A3432,Base!A:G,7,FALSE)</f>
        <v>#N/A</v>
      </c>
      <c r="C3438" s="112">
        <f>'Informe Kelly'!E3432</f>
        <v>0</v>
      </c>
      <c r="D3438" s="112" t="e">
        <f>VLOOKUP(A3438,Ingreso!K:P,6,FALSE)</f>
        <v>#N/A</v>
      </c>
      <c r="E3438" s="142" t="e">
        <f>(VLOOKUP(D3438,$D$2:$E$4,2,FALSE))-(IF('Informe Kelly'!H3432=$A$2,'Informe Kelly'!F3432,VLOOKUP(D3438,$D$2:$E$4,2,FALSE)))</f>
        <v>#N/A</v>
      </c>
      <c r="F3438" s="142" t="e">
        <f>IF('Informe Kelly'!H3432=$A$3,'Informe Kelly'!F3432,VLOOKUP(D3438,$D$2:$F$4,3,FALSE))-(VLOOKUP(D3438,$D$2:$F$4,3,FALSE))</f>
        <v>#N/A</v>
      </c>
      <c r="G3438" s="137" t="e">
        <f t="shared" si="57"/>
        <v>#N/A</v>
      </c>
    </row>
    <row r="3439" spans="1:7">
      <c r="A3439" s="112" t="e">
        <f>VLOOKUP('Informe Kelly'!A3433,Base!A:B,2,FALSE)</f>
        <v>#N/A</v>
      </c>
      <c r="B3439" s="112" t="e">
        <f>VLOOKUP('Informe Kelly'!A3433,Base!A:G,7,FALSE)</f>
        <v>#N/A</v>
      </c>
      <c r="C3439" s="112">
        <f>'Informe Kelly'!E3433</f>
        <v>0</v>
      </c>
      <c r="D3439" s="112" t="e">
        <f>VLOOKUP(A3439,Ingreso!K:P,6,FALSE)</f>
        <v>#N/A</v>
      </c>
      <c r="E3439" s="142" t="e">
        <f>(VLOOKUP(D3439,$D$2:$E$4,2,FALSE))-(IF('Informe Kelly'!H3433=$A$2,'Informe Kelly'!F3433,VLOOKUP(D3439,$D$2:$E$4,2,FALSE)))</f>
        <v>#N/A</v>
      </c>
      <c r="F3439" s="142" t="e">
        <f>IF('Informe Kelly'!H3433=$A$3,'Informe Kelly'!F3433,VLOOKUP(D3439,$D$2:$F$4,3,FALSE))-(VLOOKUP(D3439,$D$2:$F$4,3,FALSE))</f>
        <v>#N/A</v>
      </c>
      <c r="G3439" s="137" t="e">
        <f t="shared" si="57"/>
        <v>#N/A</v>
      </c>
    </row>
    <row r="3440" spans="1:7">
      <c r="A3440" s="112" t="e">
        <f>VLOOKUP('Informe Kelly'!A3434,Base!A:B,2,FALSE)</f>
        <v>#N/A</v>
      </c>
      <c r="B3440" s="112" t="e">
        <f>VLOOKUP('Informe Kelly'!A3434,Base!A:G,7,FALSE)</f>
        <v>#N/A</v>
      </c>
      <c r="C3440" s="112">
        <f>'Informe Kelly'!E3434</f>
        <v>0</v>
      </c>
      <c r="D3440" s="112" t="e">
        <f>VLOOKUP(A3440,Ingreso!K:P,6,FALSE)</f>
        <v>#N/A</v>
      </c>
      <c r="E3440" s="142" t="e">
        <f>(VLOOKUP(D3440,$D$2:$E$4,2,FALSE))-(IF('Informe Kelly'!H3434=$A$2,'Informe Kelly'!F3434,VLOOKUP(D3440,$D$2:$E$4,2,FALSE)))</f>
        <v>#N/A</v>
      </c>
      <c r="F3440" s="142" t="e">
        <f>IF('Informe Kelly'!H3434=$A$3,'Informe Kelly'!F3434,VLOOKUP(D3440,$D$2:$F$4,3,FALSE))-(VLOOKUP(D3440,$D$2:$F$4,3,FALSE))</f>
        <v>#N/A</v>
      </c>
      <c r="G3440" s="137" t="e">
        <f t="shared" si="57"/>
        <v>#N/A</v>
      </c>
    </row>
    <row r="3441" spans="1:7">
      <c r="A3441" s="112" t="e">
        <f>VLOOKUP('Informe Kelly'!A3435,Base!A:B,2,FALSE)</f>
        <v>#N/A</v>
      </c>
      <c r="B3441" s="112" t="e">
        <f>VLOOKUP('Informe Kelly'!A3435,Base!A:G,7,FALSE)</f>
        <v>#N/A</v>
      </c>
      <c r="C3441" s="112">
        <f>'Informe Kelly'!E3435</f>
        <v>0</v>
      </c>
      <c r="D3441" s="112" t="e">
        <f>VLOOKUP(A3441,Ingreso!K:P,6,FALSE)</f>
        <v>#N/A</v>
      </c>
      <c r="E3441" s="142" t="e">
        <f>(VLOOKUP(D3441,$D$2:$E$4,2,FALSE))-(IF('Informe Kelly'!H3435=$A$2,'Informe Kelly'!F3435,VLOOKUP(D3441,$D$2:$E$4,2,FALSE)))</f>
        <v>#N/A</v>
      </c>
      <c r="F3441" s="142" t="e">
        <f>IF('Informe Kelly'!H3435=$A$3,'Informe Kelly'!F3435,VLOOKUP(D3441,$D$2:$F$4,3,FALSE))-(VLOOKUP(D3441,$D$2:$F$4,3,FALSE))</f>
        <v>#N/A</v>
      </c>
      <c r="G3441" s="137" t="e">
        <f t="shared" si="57"/>
        <v>#N/A</v>
      </c>
    </row>
    <row r="3442" spans="1:7">
      <c r="A3442" s="112" t="e">
        <f>VLOOKUP('Informe Kelly'!A3436,Base!A:B,2,FALSE)</f>
        <v>#N/A</v>
      </c>
      <c r="B3442" s="112" t="e">
        <f>VLOOKUP('Informe Kelly'!A3436,Base!A:G,7,FALSE)</f>
        <v>#N/A</v>
      </c>
      <c r="C3442" s="112">
        <f>'Informe Kelly'!E3436</f>
        <v>0</v>
      </c>
      <c r="D3442" s="112" t="e">
        <f>VLOOKUP(A3442,Ingreso!K:P,6,FALSE)</f>
        <v>#N/A</v>
      </c>
      <c r="E3442" s="142" t="e">
        <f>(VLOOKUP(D3442,$D$2:$E$4,2,FALSE))-(IF('Informe Kelly'!H3436=$A$2,'Informe Kelly'!F3436,VLOOKUP(D3442,$D$2:$E$4,2,FALSE)))</f>
        <v>#N/A</v>
      </c>
      <c r="F3442" s="142" t="e">
        <f>IF('Informe Kelly'!H3436=$A$3,'Informe Kelly'!F3436,VLOOKUP(D3442,$D$2:$F$4,3,FALSE))-(VLOOKUP(D3442,$D$2:$F$4,3,FALSE))</f>
        <v>#N/A</v>
      </c>
      <c r="G3442" s="137" t="e">
        <f t="shared" si="57"/>
        <v>#N/A</v>
      </c>
    </row>
    <row r="3443" spans="1:7">
      <c r="A3443" s="112" t="e">
        <f>VLOOKUP('Informe Kelly'!A3437,Base!A:B,2,FALSE)</f>
        <v>#N/A</v>
      </c>
      <c r="B3443" s="112" t="e">
        <f>VLOOKUP('Informe Kelly'!A3437,Base!A:G,7,FALSE)</f>
        <v>#N/A</v>
      </c>
      <c r="C3443" s="112">
        <f>'Informe Kelly'!E3437</f>
        <v>0</v>
      </c>
      <c r="D3443" s="112" t="e">
        <f>VLOOKUP(A3443,Ingreso!K:P,6,FALSE)</f>
        <v>#N/A</v>
      </c>
      <c r="E3443" s="142" t="e">
        <f>(VLOOKUP(D3443,$D$2:$E$4,2,FALSE))-(IF('Informe Kelly'!H3437=$A$2,'Informe Kelly'!F3437,VLOOKUP(D3443,$D$2:$E$4,2,FALSE)))</f>
        <v>#N/A</v>
      </c>
      <c r="F3443" s="142" t="e">
        <f>IF('Informe Kelly'!H3437=$A$3,'Informe Kelly'!F3437,VLOOKUP(D3443,$D$2:$F$4,3,FALSE))-(VLOOKUP(D3443,$D$2:$F$4,3,FALSE))</f>
        <v>#N/A</v>
      </c>
      <c r="G3443" s="137" t="e">
        <f t="shared" si="57"/>
        <v>#N/A</v>
      </c>
    </row>
    <row r="3444" spans="1:7">
      <c r="A3444" s="112" t="e">
        <f>VLOOKUP('Informe Kelly'!A3438,Base!A:B,2,FALSE)</f>
        <v>#N/A</v>
      </c>
      <c r="B3444" s="112" t="e">
        <f>VLOOKUP('Informe Kelly'!A3438,Base!A:G,7,FALSE)</f>
        <v>#N/A</v>
      </c>
      <c r="C3444" s="112">
        <f>'Informe Kelly'!E3438</f>
        <v>0</v>
      </c>
      <c r="D3444" s="112" t="e">
        <f>VLOOKUP(A3444,Ingreso!K:P,6,FALSE)</f>
        <v>#N/A</v>
      </c>
      <c r="E3444" s="142" t="e">
        <f>(VLOOKUP(D3444,$D$2:$E$4,2,FALSE))-(IF('Informe Kelly'!H3438=$A$2,'Informe Kelly'!F3438,VLOOKUP(D3444,$D$2:$E$4,2,FALSE)))</f>
        <v>#N/A</v>
      </c>
      <c r="F3444" s="142" t="e">
        <f>IF('Informe Kelly'!H3438=$A$3,'Informe Kelly'!F3438,VLOOKUP(D3444,$D$2:$F$4,3,FALSE))-(VLOOKUP(D3444,$D$2:$F$4,3,FALSE))</f>
        <v>#N/A</v>
      </c>
      <c r="G3444" s="137" t="e">
        <f t="shared" si="57"/>
        <v>#N/A</v>
      </c>
    </row>
    <row r="3445" spans="1:7">
      <c r="A3445" s="112" t="e">
        <f>VLOOKUP('Informe Kelly'!A3439,Base!A:B,2,FALSE)</f>
        <v>#N/A</v>
      </c>
      <c r="B3445" s="112" t="e">
        <f>VLOOKUP('Informe Kelly'!A3439,Base!A:G,7,FALSE)</f>
        <v>#N/A</v>
      </c>
      <c r="C3445" s="112">
        <f>'Informe Kelly'!E3439</f>
        <v>0</v>
      </c>
      <c r="D3445" s="112" t="e">
        <f>VLOOKUP(A3445,Ingreso!K:P,6,FALSE)</f>
        <v>#N/A</v>
      </c>
      <c r="E3445" s="142" t="e">
        <f>(VLOOKUP(D3445,$D$2:$E$4,2,FALSE))-(IF('Informe Kelly'!H3439=$A$2,'Informe Kelly'!F3439,VLOOKUP(D3445,$D$2:$E$4,2,FALSE)))</f>
        <v>#N/A</v>
      </c>
      <c r="F3445" s="142" t="e">
        <f>IF('Informe Kelly'!H3439=$A$3,'Informe Kelly'!F3439,VLOOKUP(D3445,$D$2:$F$4,3,FALSE))-(VLOOKUP(D3445,$D$2:$F$4,3,FALSE))</f>
        <v>#N/A</v>
      </c>
      <c r="G3445" s="137" t="e">
        <f t="shared" si="57"/>
        <v>#N/A</v>
      </c>
    </row>
    <row r="3446" spans="1:7">
      <c r="A3446" s="112" t="e">
        <f>VLOOKUP('Informe Kelly'!A3440,Base!A:B,2,FALSE)</f>
        <v>#N/A</v>
      </c>
      <c r="B3446" s="112" t="e">
        <f>VLOOKUP('Informe Kelly'!A3440,Base!A:G,7,FALSE)</f>
        <v>#N/A</v>
      </c>
      <c r="C3446" s="112">
        <f>'Informe Kelly'!E3440</f>
        <v>0</v>
      </c>
      <c r="D3446" s="112" t="e">
        <f>VLOOKUP(A3446,Ingreso!K:P,6,FALSE)</f>
        <v>#N/A</v>
      </c>
      <c r="E3446" s="142" t="e">
        <f>(VLOOKUP(D3446,$D$2:$E$4,2,FALSE))-(IF('Informe Kelly'!H3440=$A$2,'Informe Kelly'!F3440,VLOOKUP(D3446,$D$2:$E$4,2,FALSE)))</f>
        <v>#N/A</v>
      </c>
      <c r="F3446" s="142" t="e">
        <f>IF('Informe Kelly'!H3440=$A$3,'Informe Kelly'!F3440,VLOOKUP(D3446,$D$2:$F$4,3,FALSE))-(VLOOKUP(D3446,$D$2:$F$4,3,FALSE))</f>
        <v>#N/A</v>
      </c>
      <c r="G3446" s="137" t="e">
        <f t="shared" si="57"/>
        <v>#N/A</v>
      </c>
    </row>
    <row r="3447" spans="1:7">
      <c r="A3447" s="112" t="e">
        <f>VLOOKUP('Informe Kelly'!A3441,Base!A:B,2,FALSE)</f>
        <v>#N/A</v>
      </c>
      <c r="B3447" s="112" t="e">
        <f>VLOOKUP('Informe Kelly'!A3441,Base!A:G,7,FALSE)</f>
        <v>#N/A</v>
      </c>
      <c r="C3447" s="112">
        <f>'Informe Kelly'!E3441</f>
        <v>0</v>
      </c>
      <c r="D3447" s="112" t="e">
        <f>VLOOKUP(A3447,Ingreso!K:P,6,FALSE)</f>
        <v>#N/A</v>
      </c>
      <c r="E3447" s="142" t="e">
        <f>(VLOOKUP(D3447,$D$2:$E$4,2,FALSE))-(IF('Informe Kelly'!H3441=$A$2,'Informe Kelly'!F3441,VLOOKUP(D3447,$D$2:$E$4,2,FALSE)))</f>
        <v>#N/A</v>
      </c>
      <c r="F3447" s="142" t="e">
        <f>IF('Informe Kelly'!H3441=$A$3,'Informe Kelly'!F3441,VLOOKUP(D3447,$D$2:$F$4,3,FALSE))-(VLOOKUP(D3447,$D$2:$F$4,3,FALSE))</f>
        <v>#N/A</v>
      </c>
      <c r="G3447" s="137" t="e">
        <f t="shared" si="57"/>
        <v>#N/A</v>
      </c>
    </row>
    <row r="3448" spans="1:7">
      <c r="A3448" s="112" t="e">
        <f>VLOOKUP('Informe Kelly'!A3442,Base!A:B,2,FALSE)</f>
        <v>#N/A</v>
      </c>
      <c r="B3448" s="112" t="e">
        <f>VLOOKUP('Informe Kelly'!A3442,Base!A:G,7,FALSE)</f>
        <v>#N/A</v>
      </c>
      <c r="C3448" s="112">
        <f>'Informe Kelly'!E3442</f>
        <v>0</v>
      </c>
      <c r="D3448" s="112" t="e">
        <f>VLOOKUP(A3448,Ingreso!K:P,6,FALSE)</f>
        <v>#N/A</v>
      </c>
      <c r="E3448" s="142" t="e">
        <f>(VLOOKUP(D3448,$D$2:$E$4,2,FALSE))-(IF('Informe Kelly'!H3442=$A$2,'Informe Kelly'!F3442,VLOOKUP(D3448,$D$2:$E$4,2,FALSE)))</f>
        <v>#N/A</v>
      </c>
      <c r="F3448" s="142" t="e">
        <f>IF('Informe Kelly'!H3442=$A$3,'Informe Kelly'!F3442,VLOOKUP(D3448,$D$2:$F$4,3,FALSE))-(VLOOKUP(D3448,$D$2:$F$4,3,FALSE))</f>
        <v>#N/A</v>
      </c>
      <c r="G3448" s="137" t="e">
        <f t="shared" si="57"/>
        <v>#N/A</v>
      </c>
    </row>
    <row r="3449" spans="1:7">
      <c r="A3449" s="112" t="e">
        <f>VLOOKUP('Informe Kelly'!A3443,Base!A:B,2,FALSE)</f>
        <v>#N/A</v>
      </c>
      <c r="B3449" s="112" t="e">
        <f>VLOOKUP('Informe Kelly'!A3443,Base!A:G,7,FALSE)</f>
        <v>#N/A</v>
      </c>
      <c r="C3449" s="112">
        <f>'Informe Kelly'!E3443</f>
        <v>0</v>
      </c>
      <c r="D3449" s="112" t="e">
        <f>VLOOKUP(A3449,Ingreso!K:P,6,FALSE)</f>
        <v>#N/A</v>
      </c>
      <c r="E3449" s="142" t="e">
        <f>(VLOOKUP(D3449,$D$2:$E$4,2,FALSE))-(IF('Informe Kelly'!H3443=$A$2,'Informe Kelly'!F3443,VLOOKUP(D3449,$D$2:$E$4,2,FALSE)))</f>
        <v>#N/A</v>
      </c>
      <c r="F3449" s="142" t="e">
        <f>IF('Informe Kelly'!H3443=$A$3,'Informe Kelly'!F3443,VLOOKUP(D3449,$D$2:$F$4,3,FALSE))-(VLOOKUP(D3449,$D$2:$F$4,3,FALSE))</f>
        <v>#N/A</v>
      </c>
      <c r="G3449" s="137" t="e">
        <f t="shared" si="57"/>
        <v>#N/A</v>
      </c>
    </row>
    <row r="3450" spans="1:7">
      <c r="A3450" s="112" t="e">
        <f>VLOOKUP('Informe Kelly'!A3444,Base!A:B,2,FALSE)</f>
        <v>#N/A</v>
      </c>
      <c r="B3450" s="112" t="e">
        <f>VLOOKUP('Informe Kelly'!A3444,Base!A:G,7,FALSE)</f>
        <v>#N/A</v>
      </c>
      <c r="C3450" s="112">
        <f>'Informe Kelly'!E3444</f>
        <v>0</v>
      </c>
      <c r="D3450" s="112" t="e">
        <f>VLOOKUP(A3450,Ingreso!K:P,6,FALSE)</f>
        <v>#N/A</v>
      </c>
      <c r="E3450" s="142" t="e">
        <f>(VLOOKUP(D3450,$D$2:$E$4,2,FALSE))-(IF('Informe Kelly'!H3444=$A$2,'Informe Kelly'!F3444,VLOOKUP(D3450,$D$2:$E$4,2,FALSE)))</f>
        <v>#N/A</v>
      </c>
      <c r="F3450" s="142" t="e">
        <f>IF('Informe Kelly'!H3444=$A$3,'Informe Kelly'!F3444,VLOOKUP(D3450,$D$2:$F$4,3,FALSE))-(VLOOKUP(D3450,$D$2:$F$4,3,FALSE))</f>
        <v>#N/A</v>
      </c>
      <c r="G3450" s="137" t="e">
        <f t="shared" si="57"/>
        <v>#N/A</v>
      </c>
    </row>
    <row r="3451" spans="1:7">
      <c r="A3451" s="112" t="e">
        <f>VLOOKUP('Informe Kelly'!A3445,Base!A:B,2,FALSE)</f>
        <v>#N/A</v>
      </c>
      <c r="B3451" s="112" t="e">
        <f>VLOOKUP('Informe Kelly'!A3445,Base!A:G,7,FALSE)</f>
        <v>#N/A</v>
      </c>
      <c r="C3451" s="112">
        <f>'Informe Kelly'!E3445</f>
        <v>0</v>
      </c>
      <c r="D3451" s="112" t="e">
        <f>VLOOKUP(A3451,Ingreso!K:P,6,FALSE)</f>
        <v>#N/A</v>
      </c>
      <c r="E3451" s="142" t="e">
        <f>(VLOOKUP(D3451,$D$2:$E$4,2,FALSE))-(IF('Informe Kelly'!H3445=$A$2,'Informe Kelly'!F3445,VLOOKUP(D3451,$D$2:$E$4,2,FALSE)))</f>
        <v>#N/A</v>
      </c>
      <c r="F3451" s="142" t="e">
        <f>IF('Informe Kelly'!H3445=$A$3,'Informe Kelly'!F3445,VLOOKUP(D3451,$D$2:$F$4,3,FALSE))-(VLOOKUP(D3451,$D$2:$F$4,3,FALSE))</f>
        <v>#N/A</v>
      </c>
      <c r="G3451" s="137" t="e">
        <f t="shared" si="57"/>
        <v>#N/A</v>
      </c>
    </row>
    <row r="3452" spans="1:7">
      <c r="A3452" s="112" t="e">
        <f>VLOOKUP('Informe Kelly'!A3446,Base!A:B,2,FALSE)</f>
        <v>#N/A</v>
      </c>
      <c r="B3452" s="112" t="e">
        <f>VLOOKUP('Informe Kelly'!A3446,Base!A:G,7,FALSE)</f>
        <v>#N/A</v>
      </c>
      <c r="C3452" s="112">
        <f>'Informe Kelly'!E3446</f>
        <v>0</v>
      </c>
      <c r="D3452" s="112" t="e">
        <f>VLOOKUP(A3452,Ingreso!K:P,6,FALSE)</f>
        <v>#N/A</v>
      </c>
      <c r="E3452" s="142" t="e">
        <f>(VLOOKUP(D3452,$D$2:$E$4,2,FALSE))-(IF('Informe Kelly'!H3446=$A$2,'Informe Kelly'!F3446,VLOOKUP(D3452,$D$2:$E$4,2,FALSE)))</f>
        <v>#N/A</v>
      </c>
      <c r="F3452" s="142" t="e">
        <f>IF('Informe Kelly'!H3446=$A$3,'Informe Kelly'!F3446,VLOOKUP(D3452,$D$2:$F$4,3,FALSE))-(VLOOKUP(D3452,$D$2:$F$4,3,FALSE))</f>
        <v>#N/A</v>
      </c>
      <c r="G3452" s="137" t="e">
        <f t="shared" si="57"/>
        <v>#N/A</v>
      </c>
    </row>
    <row r="3453" spans="1:7">
      <c r="A3453" s="112" t="e">
        <f>VLOOKUP('Informe Kelly'!A3447,Base!A:B,2,FALSE)</f>
        <v>#N/A</v>
      </c>
      <c r="B3453" s="112" t="e">
        <f>VLOOKUP('Informe Kelly'!A3447,Base!A:G,7,FALSE)</f>
        <v>#N/A</v>
      </c>
      <c r="C3453" s="112">
        <f>'Informe Kelly'!E3447</f>
        <v>0</v>
      </c>
      <c r="D3453" s="112" t="e">
        <f>VLOOKUP(A3453,Ingreso!K:P,6,FALSE)</f>
        <v>#N/A</v>
      </c>
      <c r="E3453" s="142" t="e">
        <f>(VLOOKUP(D3453,$D$2:$E$4,2,FALSE))-(IF('Informe Kelly'!H3447=$A$2,'Informe Kelly'!F3447,VLOOKUP(D3453,$D$2:$E$4,2,FALSE)))</f>
        <v>#N/A</v>
      </c>
      <c r="F3453" s="142" t="e">
        <f>IF('Informe Kelly'!H3447=$A$3,'Informe Kelly'!F3447,VLOOKUP(D3453,$D$2:$F$4,3,FALSE))-(VLOOKUP(D3453,$D$2:$F$4,3,FALSE))</f>
        <v>#N/A</v>
      </c>
      <c r="G3453" s="137" t="e">
        <f t="shared" si="57"/>
        <v>#N/A</v>
      </c>
    </row>
    <row r="3454" spans="1:7">
      <c r="A3454" s="112" t="e">
        <f>VLOOKUP('Informe Kelly'!A3448,Base!A:B,2,FALSE)</f>
        <v>#N/A</v>
      </c>
      <c r="B3454" s="112" t="e">
        <f>VLOOKUP('Informe Kelly'!A3448,Base!A:G,7,FALSE)</f>
        <v>#N/A</v>
      </c>
      <c r="C3454" s="112">
        <f>'Informe Kelly'!E3448</f>
        <v>0</v>
      </c>
      <c r="D3454" s="112" t="e">
        <f>VLOOKUP(A3454,Ingreso!K:P,6,FALSE)</f>
        <v>#N/A</v>
      </c>
      <c r="E3454" s="142" t="e">
        <f>(VLOOKUP(D3454,$D$2:$E$4,2,FALSE))-(IF('Informe Kelly'!H3448=$A$2,'Informe Kelly'!F3448,VLOOKUP(D3454,$D$2:$E$4,2,FALSE)))</f>
        <v>#N/A</v>
      </c>
      <c r="F3454" s="142" t="e">
        <f>IF('Informe Kelly'!H3448=$A$3,'Informe Kelly'!F3448,VLOOKUP(D3454,$D$2:$F$4,3,FALSE))-(VLOOKUP(D3454,$D$2:$F$4,3,FALSE))</f>
        <v>#N/A</v>
      </c>
      <c r="G3454" s="137" t="e">
        <f t="shared" si="57"/>
        <v>#N/A</v>
      </c>
    </row>
    <row r="3455" spans="1:7">
      <c r="A3455" s="112" t="e">
        <f>VLOOKUP('Informe Kelly'!A3449,Base!A:B,2,FALSE)</f>
        <v>#N/A</v>
      </c>
      <c r="B3455" s="112" t="e">
        <f>VLOOKUP('Informe Kelly'!A3449,Base!A:G,7,FALSE)</f>
        <v>#N/A</v>
      </c>
      <c r="C3455" s="112">
        <f>'Informe Kelly'!E3449</f>
        <v>0</v>
      </c>
      <c r="D3455" s="112" t="e">
        <f>VLOOKUP(A3455,Ingreso!K:P,6,FALSE)</f>
        <v>#N/A</v>
      </c>
      <c r="E3455" s="142" t="e">
        <f>(VLOOKUP(D3455,$D$2:$E$4,2,FALSE))-(IF('Informe Kelly'!H3449=$A$2,'Informe Kelly'!F3449,VLOOKUP(D3455,$D$2:$E$4,2,FALSE)))</f>
        <v>#N/A</v>
      </c>
      <c r="F3455" s="142" t="e">
        <f>IF('Informe Kelly'!H3449=$A$3,'Informe Kelly'!F3449,VLOOKUP(D3455,$D$2:$F$4,3,FALSE))-(VLOOKUP(D3455,$D$2:$F$4,3,FALSE))</f>
        <v>#N/A</v>
      </c>
      <c r="G3455" s="137" t="e">
        <f t="shared" si="57"/>
        <v>#N/A</v>
      </c>
    </row>
    <row r="3456" spans="1:7">
      <c r="A3456" s="112" t="e">
        <f>VLOOKUP('Informe Kelly'!A3450,Base!A:B,2,FALSE)</f>
        <v>#N/A</v>
      </c>
      <c r="B3456" s="112" t="e">
        <f>VLOOKUP('Informe Kelly'!A3450,Base!A:G,7,FALSE)</f>
        <v>#N/A</v>
      </c>
      <c r="C3456" s="112">
        <f>'Informe Kelly'!E3450</f>
        <v>0</v>
      </c>
      <c r="D3456" s="112" t="e">
        <f>VLOOKUP(A3456,Ingreso!K:P,6,FALSE)</f>
        <v>#N/A</v>
      </c>
      <c r="E3456" s="142" t="e">
        <f>(VLOOKUP(D3456,$D$2:$E$4,2,FALSE))-(IF('Informe Kelly'!H3450=$A$2,'Informe Kelly'!F3450,VLOOKUP(D3456,$D$2:$E$4,2,FALSE)))</f>
        <v>#N/A</v>
      </c>
      <c r="F3456" s="142" t="e">
        <f>IF('Informe Kelly'!H3450=$A$3,'Informe Kelly'!F3450,VLOOKUP(D3456,$D$2:$F$4,3,FALSE))-(VLOOKUP(D3456,$D$2:$F$4,3,FALSE))</f>
        <v>#N/A</v>
      </c>
      <c r="G3456" s="137" t="e">
        <f t="shared" si="57"/>
        <v>#N/A</v>
      </c>
    </row>
    <row r="3457" spans="1:7">
      <c r="A3457" s="112" t="e">
        <f>VLOOKUP('Informe Kelly'!A3451,Base!A:B,2,FALSE)</f>
        <v>#N/A</v>
      </c>
      <c r="B3457" s="112" t="e">
        <f>VLOOKUP('Informe Kelly'!A3451,Base!A:G,7,FALSE)</f>
        <v>#N/A</v>
      </c>
      <c r="C3457" s="112">
        <f>'Informe Kelly'!E3451</f>
        <v>0</v>
      </c>
      <c r="D3457" s="112" t="e">
        <f>VLOOKUP(A3457,Ingreso!K:P,6,FALSE)</f>
        <v>#N/A</v>
      </c>
      <c r="E3457" s="142" t="e">
        <f>(VLOOKUP(D3457,$D$2:$E$4,2,FALSE))-(IF('Informe Kelly'!H3451=$A$2,'Informe Kelly'!F3451,VLOOKUP(D3457,$D$2:$E$4,2,FALSE)))</f>
        <v>#N/A</v>
      </c>
      <c r="F3457" s="142" t="e">
        <f>IF('Informe Kelly'!H3451=$A$3,'Informe Kelly'!F3451,VLOOKUP(D3457,$D$2:$F$4,3,FALSE))-(VLOOKUP(D3457,$D$2:$F$4,3,FALSE))</f>
        <v>#N/A</v>
      </c>
      <c r="G3457" s="137" t="e">
        <f t="shared" si="57"/>
        <v>#N/A</v>
      </c>
    </row>
    <row r="3458" spans="1:7">
      <c r="A3458" s="112" t="e">
        <f>VLOOKUP('Informe Kelly'!A3452,Base!A:B,2,FALSE)</f>
        <v>#N/A</v>
      </c>
      <c r="B3458" s="112" t="e">
        <f>VLOOKUP('Informe Kelly'!A3452,Base!A:G,7,FALSE)</f>
        <v>#N/A</v>
      </c>
      <c r="C3458" s="112">
        <f>'Informe Kelly'!E3452</f>
        <v>0</v>
      </c>
      <c r="D3458" s="112" t="e">
        <f>VLOOKUP(A3458,Ingreso!K:P,6,FALSE)</f>
        <v>#N/A</v>
      </c>
      <c r="E3458" s="142" t="e">
        <f>(VLOOKUP(D3458,$D$2:$E$4,2,FALSE))-(IF('Informe Kelly'!H3452=$A$2,'Informe Kelly'!F3452,VLOOKUP(D3458,$D$2:$E$4,2,FALSE)))</f>
        <v>#N/A</v>
      </c>
      <c r="F3458" s="142" t="e">
        <f>IF('Informe Kelly'!H3452=$A$3,'Informe Kelly'!F3452,VLOOKUP(D3458,$D$2:$F$4,3,FALSE))-(VLOOKUP(D3458,$D$2:$F$4,3,FALSE))</f>
        <v>#N/A</v>
      </c>
      <c r="G3458" s="137" t="e">
        <f t="shared" si="57"/>
        <v>#N/A</v>
      </c>
    </row>
    <row r="3459" spans="1:7">
      <c r="A3459" s="112" t="e">
        <f>VLOOKUP('Informe Kelly'!A3453,Base!A:B,2,FALSE)</f>
        <v>#N/A</v>
      </c>
      <c r="B3459" s="112" t="e">
        <f>VLOOKUP('Informe Kelly'!A3453,Base!A:G,7,FALSE)</f>
        <v>#N/A</v>
      </c>
      <c r="C3459" s="112">
        <f>'Informe Kelly'!E3453</f>
        <v>0</v>
      </c>
      <c r="D3459" s="112" t="e">
        <f>VLOOKUP(A3459,Ingreso!K:P,6,FALSE)</f>
        <v>#N/A</v>
      </c>
      <c r="E3459" s="142" t="e">
        <f>(VLOOKUP(D3459,$D$2:$E$4,2,FALSE))-(IF('Informe Kelly'!H3453=$A$2,'Informe Kelly'!F3453,VLOOKUP(D3459,$D$2:$E$4,2,FALSE)))</f>
        <v>#N/A</v>
      </c>
      <c r="F3459" s="142" t="e">
        <f>IF('Informe Kelly'!H3453=$A$3,'Informe Kelly'!F3453,VLOOKUP(D3459,$D$2:$F$4,3,FALSE))-(VLOOKUP(D3459,$D$2:$F$4,3,FALSE))</f>
        <v>#N/A</v>
      </c>
      <c r="G3459" s="137" t="e">
        <f t="shared" si="57"/>
        <v>#N/A</v>
      </c>
    </row>
    <row r="3460" spans="1:7">
      <c r="A3460" s="112" t="e">
        <f>VLOOKUP('Informe Kelly'!A3454,Base!A:B,2,FALSE)</f>
        <v>#N/A</v>
      </c>
      <c r="B3460" s="112" t="e">
        <f>VLOOKUP('Informe Kelly'!A3454,Base!A:G,7,FALSE)</f>
        <v>#N/A</v>
      </c>
      <c r="C3460" s="112">
        <f>'Informe Kelly'!E3454</f>
        <v>0</v>
      </c>
      <c r="D3460" s="112" t="e">
        <f>VLOOKUP(A3460,Ingreso!K:P,6,FALSE)</f>
        <v>#N/A</v>
      </c>
      <c r="E3460" s="142" t="e">
        <f>(VLOOKUP(D3460,$D$2:$E$4,2,FALSE))-(IF('Informe Kelly'!H3454=$A$2,'Informe Kelly'!F3454,VLOOKUP(D3460,$D$2:$E$4,2,FALSE)))</f>
        <v>#N/A</v>
      </c>
      <c r="F3460" s="142" t="e">
        <f>IF('Informe Kelly'!H3454=$A$3,'Informe Kelly'!F3454,VLOOKUP(D3460,$D$2:$F$4,3,FALSE))-(VLOOKUP(D3460,$D$2:$F$4,3,FALSE))</f>
        <v>#N/A</v>
      </c>
      <c r="G3460" s="137" t="e">
        <f t="shared" si="57"/>
        <v>#N/A</v>
      </c>
    </row>
    <row r="3461" spans="1:7">
      <c r="A3461" s="112" t="e">
        <f>VLOOKUP('Informe Kelly'!A3455,Base!A:B,2,FALSE)</f>
        <v>#N/A</v>
      </c>
      <c r="B3461" s="112" t="e">
        <f>VLOOKUP('Informe Kelly'!A3455,Base!A:G,7,FALSE)</f>
        <v>#N/A</v>
      </c>
      <c r="C3461" s="112">
        <f>'Informe Kelly'!E3455</f>
        <v>0</v>
      </c>
      <c r="D3461" s="112" t="e">
        <f>VLOOKUP(A3461,Ingreso!K:P,6,FALSE)</f>
        <v>#N/A</v>
      </c>
      <c r="E3461" s="142" t="e">
        <f>(VLOOKUP(D3461,$D$2:$E$4,2,FALSE))-(IF('Informe Kelly'!H3455=$A$2,'Informe Kelly'!F3455,VLOOKUP(D3461,$D$2:$E$4,2,FALSE)))</f>
        <v>#N/A</v>
      </c>
      <c r="F3461" s="142" t="e">
        <f>IF('Informe Kelly'!H3455=$A$3,'Informe Kelly'!F3455,VLOOKUP(D3461,$D$2:$F$4,3,FALSE))-(VLOOKUP(D3461,$D$2:$F$4,3,FALSE))</f>
        <v>#N/A</v>
      </c>
      <c r="G3461" s="137" t="e">
        <f t="shared" si="57"/>
        <v>#N/A</v>
      </c>
    </row>
    <row r="3462" spans="1:7">
      <c r="A3462" s="112" t="e">
        <f>VLOOKUP('Informe Kelly'!A3456,Base!A:B,2,FALSE)</f>
        <v>#N/A</v>
      </c>
      <c r="B3462" s="112" t="e">
        <f>VLOOKUP('Informe Kelly'!A3456,Base!A:G,7,FALSE)</f>
        <v>#N/A</v>
      </c>
      <c r="C3462" s="112">
        <f>'Informe Kelly'!E3456</f>
        <v>0</v>
      </c>
      <c r="D3462" s="112" t="e">
        <f>VLOOKUP(A3462,Ingreso!K:P,6,FALSE)</f>
        <v>#N/A</v>
      </c>
      <c r="E3462" s="142" t="e">
        <f>(VLOOKUP(D3462,$D$2:$E$4,2,FALSE))-(IF('Informe Kelly'!H3456=$A$2,'Informe Kelly'!F3456,VLOOKUP(D3462,$D$2:$E$4,2,FALSE)))</f>
        <v>#N/A</v>
      </c>
      <c r="F3462" s="142" t="e">
        <f>IF('Informe Kelly'!H3456=$A$3,'Informe Kelly'!F3456,VLOOKUP(D3462,$D$2:$F$4,3,FALSE))-(VLOOKUP(D3462,$D$2:$F$4,3,FALSE))</f>
        <v>#N/A</v>
      </c>
      <c r="G3462" s="137" t="e">
        <f t="shared" si="57"/>
        <v>#N/A</v>
      </c>
    </row>
    <row r="3463" spans="1:7">
      <c r="A3463" s="112" t="e">
        <f>VLOOKUP('Informe Kelly'!A3457,Base!A:B,2,FALSE)</f>
        <v>#N/A</v>
      </c>
      <c r="B3463" s="112" t="e">
        <f>VLOOKUP('Informe Kelly'!A3457,Base!A:G,7,FALSE)</f>
        <v>#N/A</v>
      </c>
      <c r="C3463" s="112">
        <f>'Informe Kelly'!E3457</f>
        <v>0</v>
      </c>
      <c r="D3463" s="112" t="e">
        <f>VLOOKUP(A3463,Ingreso!K:P,6,FALSE)</f>
        <v>#N/A</v>
      </c>
      <c r="E3463" s="142" t="e">
        <f>(VLOOKUP(D3463,$D$2:$E$4,2,FALSE))-(IF('Informe Kelly'!H3457=$A$2,'Informe Kelly'!F3457,VLOOKUP(D3463,$D$2:$E$4,2,FALSE)))</f>
        <v>#N/A</v>
      </c>
      <c r="F3463" s="142" t="e">
        <f>IF('Informe Kelly'!H3457=$A$3,'Informe Kelly'!F3457,VLOOKUP(D3463,$D$2:$F$4,3,FALSE))-(VLOOKUP(D3463,$D$2:$F$4,3,FALSE))</f>
        <v>#N/A</v>
      </c>
      <c r="G3463" s="137" t="e">
        <f t="shared" si="57"/>
        <v>#N/A</v>
      </c>
    </row>
    <row r="3464" spans="1:7">
      <c r="A3464" s="112" t="e">
        <f>VLOOKUP('Informe Kelly'!A3458,Base!A:B,2,FALSE)</f>
        <v>#N/A</v>
      </c>
      <c r="B3464" s="112" t="e">
        <f>VLOOKUP('Informe Kelly'!A3458,Base!A:G,7,FALSE)</f>
        <v>#N/A</v>
      </c>
      <c r="C3464" s="112">
        <f>'Informe Kelly'!E3458</f>
        <v>0</v>
      </c>
      <c r="D3464" s="112" t="e">
        <f>VLOOKUP(A3464,Ingreso!K:P,6,FALSE)</f>
        <v>#N/A</v>
      </c>
      <c r="E3464" s="142" t="e">
        <f>(VLOOKUP(D3464,$D$2:$E$4,2,FALSE))-(IF('Informe Kelly'!H3458=$A$2,'Informe Kelly'!F3458,VLOOKUP(D3464,$D$2:$E$4,2,FALSE)))</f>
        <v>#N/A</v>
      </c>
      <c r="F3464" s="142" t="e">
        <f>IF('Informe Kelly'!H3458=$A$3,'Informe Kelly'!F3458,VLOOKUP(D3464,$D$2:$F$4,3,FALSE))-(VLOOKUP(D3464,$D$2:$F$4,3,FALSE))</f>
        <v>#N/A</v>
      </c>
      <c r="G3464" s="137" t="e">
        <f t="shared" si="57"/>
        <v>#N/A</v>
      </c>
    </row>
    <row r="3465" spans="1:7">
      <c r="A3465" s="112" t="e">
        <f>VLOOKUP('Informe Kelly'!A3459,Base!A:B,2,FALSE)</f>
        <v>#N/A</v>
      </c>
      <c r="B3465" s="112" t="e">
        <f>VLOOKUP('Informe Kelly'!A3459,Base!A:G,7,FALSE)</f>
        <v>#N/A</v>
      </c>
      <c r="C3465" s="112">
        <f>'Informe Kelly'!E3459</f>
        <v>0</v>
      </c>
      <c r="D3465" s="112" t="e">
        <f>VLOOKUP(A3465,Ingreso!K:P,6,FALSE)</f>
        <v>#N/A</v>
      </c>
      <c r="E3465" s="142" t="e">
        <f>(VLOOKUP(D3465,$D$2:$E$4,2,FALSE))-(IF('Informe Kelly'!H3459=$A$2,'Informe Kelly'!F3459,VLOOKUP(D3465,$D$2:$E$4,2,FALSE)))</f>
        <v>#N/A</v>
      </c>
      <c r="F3465" s="142" t="e">
        <f>IF('Informe Kelly'!H3459=$A$3,'Informe Kelly'!F3459,VLOOKUP(D3465,$D$2:$F$4,3,FALSE))-(VLOOKUP(D3465,$D$2:$F$4,3,FALSE))</f>
        <v>#N/A</v>
      </c>
      <c r="G3465" s="137" t="e">
        <f t="shared" ref="G3465:G3528" si="58">IF(E3465="",IF(F3465&lt;0.0409722222222222,0,E3465),IF(E3465&lt;0.0409722222222222,0,E3465))</f>
        <v>#N/A</v>
      </c>
    </row>
    <row r="3466" spans="1:7">
      <c r="A3466" s="112" t="e">
        <f>VLOOKUP('Informe Kelly'!A3460,Base!A:B,2,FALSE)</f>
        <v>#N/A</v>
      </c>
      <c r="B3466" s="112" t="e">
        <f>VLOOKUP('Informe Kelly'!A3460,Base!A:G,7,FALSE)</f>
        <v>#N/A</v>
      </c>
      <c r="C3466" s="112">
        <f>'Informe Kelly'!E3460</f>
        <v>0</v>
      </c>
      <c r="D3466" s="112" t="e">
        <f>VLOOKUP(A3466,Ingreso!K:P,6,FALSE)</f>
        <v>#N/A</v>
      </c>
      <c r="E3466" s="142" t="e">
        <f>(VLOOKUP(D3466,$D$2:$E$4,2,FALSE))-(IF('Informe Kelly'!H3460=$A$2,'Informe Kelly'!F3460,VLOOKUP(D3466,$D$2:$E$4,2,FALSE)))</f>
        <v>#N/A</v>
      </c>
      <c r="F3466" s="142" t="e">
        <f>IF('Informe Kelly'!H3460=$A$3,'Informe Kelly'!F3460,VLOOKUP(D3466,$D$2:$F$4,3,FALSE))-(VLOOKUP(D3466,$D$2:$F$4,3,FALSE))</f>
        <v>#N/A</v>
      </c>
      <c r="G3466" s="137" t="e">
        <f t="shared" si="58"/>
        <v>#N/A</v>
      </c>
    </row>
    <row r="3467" spans="1:7">
      <c r="A3467" s="112" t="e">
        <f>VLOOKUP('Informe Kelly'!A3461,Base!A:B,2,FALSE)</f>
        <v>#N/A</v>
      </c>
      <c r="B3467" s="112" t="e">
        <f>VLOOKUP('Informe Kelly'!A3461,Base!A:G,7,FALSE)</f>
        <v>#N/A</v>
      </c>
      <c r="C3467" s="112">
        <f>'Informe Kelly'!E3461</f>
        <v>0</v>
      </c>
      <c r="D3467" s="112" t="e">
        <f>VLOOKUP(A3467,Ingreso!K:P,6,FALSE)</f>
        <v>#N/A</v>
      </c>
      <c r="E3467" s="142" t="e">
        <f>(VLOOKUP(D3467,$D$2:$E$4,2,FALSE))-(IF('Informe Kelly'!H3461=$A$2,'Informe Kelly'!F3461,VLOOKUP(D3467,$D$2:$E$4,2,FALSE)))</f>
        <v>#N/A</v>
      </c>
      <c r="F3467" s="142" t="e">
        <f>IF('Informe Kelly'!H3461=$A$3,'Informe Kelly'!F3461,VLOOKUP(D3467,$D$2:$F$4,3,FALSE))-(VLOOKUP(D3467,$D$2:$F$4,3,FALSE))</f>
        <v>#N/A</v>
      </c>
      <c r="G3467" s="137" t="e">
        <f t="shared" si="58"/>
        <v>#N/A</v>
      </c>
    </row>
    <row r="3468" spans="1:7">
      <c r="A3468" s="112" t="e">
        <f>VLOOKUP('Informe Kelly'!A3462,Base!A:B,2,FALSE)</f>
        <v>#N/A</v>
      </c>
      <c r="B3468" s="112" t="e">
        <f>VLOOKUP('Informe Kelly'!A3462,Base!A:G,7,FALSE)</f>
        <v>#N/A</v>
      </c>
      <c r="C3468" s="112">
        <f>'Informe Kelly'!E3462</f>
        <v>0</v>
      </c>
      <c r="D3468" s="112" t="e">
        <f>VLOOKUP(A3468,Ingreso!K:P,6,FALSE)</f>
        <v>#N/A</v>
      </c>
      <c r="E3468" s="142" t="e">
        <f>(VLOOKUP(D3468,$D$2:$E$4,2,FALSE))-(IF('Informe Kelly'!H3462=$A$2,'Informe Kelly'!F3462,VLOOKUP(D3468,$D$2:$E$4,2,FALSE)))</f>
        <v>#N/A</v>
      </c>
      <c r="F3468" s="142" t="e">
        <f>IF('Informe Kelly'!H3462=$A$3,'Informe Kelly'!F3462,VLOOKUP(D3468,$D$2:$F$4,3,FALSE))-(VLOOKUP(D3468,$D$2:$F$4,3,FALSE))</f>
        <v>#N/A</v>
      </c>
      <c r="G3468" s="137" t="e">
        <f t="shared" si="58"/>
        <v>#N/A</v>
      </c>
    </row>
    <row r="3469" spans="1:7">
      <c r="A3469" s="112" t="e">
        <f>VLOOKUP('Informe Kelly'!A3463,Base!A:B,2,FALSE)</f>
        <v>#N/A</v>
      </c>
      <c r="B3469" s="112" t="e">
        <f>VLOOKUP('Informe Kelly'!A3463,Base!A:G,7,FALSE)</f>
        <v>#N/A</v>
      </c>
      <c r="C3469" s="112">
        <f>'Informe Kelly'!E3463</f>
        <v>0</v>
      </c>
      <c r="D3469" s="112" t="e">
        <f>VLOOKUP(A3469,Ingreso!K:P,6,FALSE)</f>
        <v>#N/A</v>
      </c>
      <c r="E3469" s="142" t="e">
        <f>(VLOOKUP(D3469,$D$2:$E$4,2,FALSE))-(IF('Informe Kelly'!H3463=$A$2,'Informe Kelly'!F3463,VLOOKUP(D3469,$D$2:$E$4,2,FALSE)))</f>
        <v>#N/A</v>
      </c>
      <c r="F3469" s="142" t="e">
        <f>IF('Informe Kelly'!H3463=$A$3,'Informe Kelly'!F3463,VLOOKUP(D3469,$D$2:$F$4,3,FALSE))-(VLOOKUP(D3469,$D$2:$F$4,3,FALSE))</f>
        <v>#N/A</v>
      </c>
      <c r="G3469" s="137" t="e">
        <f t="shared" si="58"/>
        <v>#N/A</v>
      </c>
    </row>
    <row r="3470" spans="1:7">
      <c r="A3470" s="112" t="e">
        <f>VLOOKUP('Informe Kelly'!A3464,Base!A:B,2,FALSE)</f>
        <v>#N/A</v>
      </c>
      <c r="B3470" s="112" t="e">
        <f>VLOOKUP('Informe Kelly'!A3464,Base!A:G,7,FALSE)</f>
        <v>#N/A</v>
      </c>
      <c r="C3470" s="112">
        <f>'Informe Kelly'!E3464</f>
        <v>0</v>
      </c>
      <c r="D3470" s="112" t="e">
        <f>VLOOKUP(A3470,Ingreso!K:P,6,FALSE)</f>
        <v>#N/A</v>
      </c>
      <c r="E3470" s="142" t="e">
        <f>(VLOOKUP(D3470,$D$2:$E$4,2,FALSE))-(IF('Informe Kelly'!H3464=$A$2,'Informe Kelly'!F3464,VLOOKUP(D3470,$D$2:$E$4,2,FALSE)))</f>
        <v>#N/A</v>
      </c>
      <c r="F3470" s="142" t="e">
        <f>IF('Informe Kelly'!H3464=$A$3,'Informe Kelly'!F3464,VLOOKUP(D3470,$D$2:$F$4,3,FALSE))-(VLOOKUP(D3470,$D$2:$F$4,3,FALSE))</f>
        <v>#N/A</v>
      </c>
      <c r="G3470" s="137" t="e">
        <f t="shared" si="58"/>
        <v>#N/A</v>
      </c>
    </row>
    <row r="3471" spans="1:7">
      <c r="A3471" s="112" t="e">
        <f>VLOOKUP('Informe Kelly'!A3465,Base!A:B,2,FALSE)</f>
        <v>#N/A</v>
      </c>
      <c r="B3471" s="112" t="e">
        <f>VLOOKUP('Informe Kelly'!A3465,Base!A:G,7,FALSE)</f>
        <v>#N/A</v>
      </c>
      <c r="C3471" s="112">
        <f>'Informe Kelly'!E3465</f>
        <v>0</v>
      </c>
      <c r="D3471" s="112" t="e">
        <f>VLOOKUP(A3471,Ingreso!K:P,6,FALSE)</f>
        <v>#N/A</v>
      </c>
      <c r="E3471" s="142" t="e">
        <f>(VLOOKUP(D3471,$D$2:$E$4,2,FALSE))-(IF('Informe Kelly'!H3465=$A$2,'Informe Kelly'!F3465,VLOOKUP(D3471,$D$2:$E$4,2,FALSE)))</f>
        <v>#N/A</v>
      </c>
      <c r="F3471" s="142" t="e">
        <f>IF('Informe Kelly'!H3465=$A$3,'Informe Kelly'!F3465,VLOOKUP(D3471,$D$2:$F$4,3,FALSE))-(VLOOKUP(D3471,$D$2:$F$4,3,FALSE))</f>
        <v>#N/A</v>
      </c>
      <c r="G3471" s="137" t="e">
        <f t="shared" si="58"/>
        <v>#N/A</v>
      </c>
    </row>
    <row r="3472" spans="1:7">
      <c r="A3472" s="112" t="e">
        <f>VLOOKUP('Informe Kelly'!A3466,Base!A:B,2,FALSE)</f>
        <v>#N/A</v>
      </c>
      <c r="B3472" s="112" t="e">
        <f>VLOOKUP('Informe Kelly'!A3466,Base!A:G,7,FALSE)</f>
        <v>#N/A</v>
      </c>
      <c r="C3472" s="112">
        <f>'Informe Kelly'!E3466</f>
        <v>0</v>
      </c>
      <c r="D3472" s="112" t="e">
        <f>VLOOKUP(A3472,Ingreso!K:P,6,FALSE)</f>
        <v>#N/A</v>
      </c>
      <c r="E3472" s="142" t="e">
        <f>(VLOOKUP(D3472,$D$2:$E$4,2,FALSE))-(IF('Informe Kelly'!H3466=$A$2,'Informe Kelly'!F3466,VLOOKUP(D3472,$D$2:$E$4,2,FALSE)))</f>
        <v>#N/A</v>
      </c>
      <c r="F3472" s="142" t="e">
        <f>IF('Informe Kelly'!H3466=$A$3,'Informe Kelly'!F3466,VLOOKUP(D3472,$D$2:$F$4,3,FALSE))-(VLOOKUP(D3472,$D$2:$F$4,3,FALSE))</f>
        <v>#N/A</v>
      </c>
      <c r="G3472" s="137" t="e">
        <f t="shared" si="58"/>
        <v>#N/A</v>
      </c>
    </row>
    <row r="3473" spans="1:7">
      <c r="A3473" s="112" t="e">
        <f>VLOOKUP('Informe Kelly'!A3467,Base!A:B,2,FALSE)</f>
        <v>#N/A</v>
      </c>
      <c r="B3473" s="112" t="e">
        <f>VLOOKUP('Informe Kelly'!A3467,Base!A:G,7,FALSE)</f>
        <v>#N/A</v>
      </c>
      <c r="C3473" s="112">
        <f>'Informe Kelly'!E3467</f>
        <v>0</v>
      </c>
      <c r="D3473" s="112" t="e">
        <f>VLOOKUP(A3473,Ingreso!K:P,6,FALSE)</f>
        <v>#N/A</v>
      </c>
      <c r="E3473" s="142" t="e">
        <f>(VLOOKUP(D3473,$D$2:$E$4,2,FALSE))-(IF('Informe Kelly'!H3467=$A$2,'Informe Kelly'!F3467,VLOOKUP(D3473,$D$2:$E$4,2,FALSE)))</f>
        <v>#N/A</v>
      </c>
      <c r="F3473" s="142" t="e">
        <f>IF('Informe Kelly'!H3467=$A$3,'Informe Kelly'!F3467,VLOOKUP(D3473,$D$2:$F$4,3,FALSE))-(VLOOKUP(D3473,$D$2:$F$4,3,FALSE))</f>
        <v>#N/A</v>
      </c>
      <c r="G3473" s="137" t="e">
        <f t="shared" si="58"/>
        <v>#N/A</v>
      </c>
    </row>
    <row r="3474" spans="1:7">
      <c r="A3474" s="112" t="e">
        <f>VLOOKUP('Informe Kelly'!A3468,Base!A:B,2,FALSE)</f>
        <v>#N/A</v>
      </c>
      <c r="B3474" s="112" t="e">
        <f>VLOOKUP('Informe Kelly'!A3468,Base!A:G,7,FALSE)</f>
        <v>#N/A</v>
      </c>
      <c r="C3474" s="112">
        <f>'Informe Kelly'!E3468</f>
        <v>0</v>
      </c>
      <c r="D3474" s="112" t="e">
        <f>VLOOKUP(A3474,Ingreso!K:P,6,FALSE)</f>
        <v>#N/A</v>
      </c>
      <c r="E3474" s="142" t="e">
        <f>(VLOOKUP(D3474,$D$2:$E$4,2,FALSE))-(IF('Informe Kelly'!H3468=$A$2,'Informe Kelly'!F3468,VLOOKUP(D3474,$D$2:$E$4,2,FALSE)))</f>
        <v>#N/A</v>
      </c>
      <c r="F3474" s="142" t="e">
        <f>IF('Informe Kelly'!H3468=$A$3,'Informe Kelly'!F3468,VLOOKUP(D3474,$D$2:$F$4,3,FALSE))-(VLOOKUP(D3474,$D$2:$F$4,3,FALSE))</f>
        <v>#N/A</v>
      </c>
      <c r="G3474" s="137" t="e">
        <f t="shared" si="58"/>
        <v>#N/A</v>
      </c>
    </row>
    <row r="3475" spans="1:7">
      <c r="A3475" s="112" t="e">
        <f>VLOOKUP('Informe Kelly'!A3469,Base!A:B,2,FALSE)</f>
        <v>#N/A</v>
      </c>
      <c r="B3475" s="112" t="e">
        <f>VLOOKUP('Informe Kelly'!A3469,Base!A:G,7,FALSE)</f>
        <v>#N/A</v>
      </c>
      <c r="C3475" s="112">
        <f>'Informe Kelly'!E3469</f>
        <v>0</v>
      </c>
      <c r="D3475" s="112" t="e">
        <f>VLOOKUP(A3475,Ingreso!K:P,6,FALSE)</f>
        <v>#N/A</v>
      </c>
      <c r="E3475" s="142" t="e">
        <f>(VLOOKUP(D3475,$D$2:$E$4,2,FALSE))-(IF('Informe Kelly'!H3469=$A$2,'Informe Kelly'!F3469,VLOOKUP(D3475,$D$2:$E$4,2,FALSE)))</f>
        <v>#N/A</v>
      </c>
      <c r="F3475" s="142" t="e">
        <f>IF('Informe Kelly'!H3469=$A$3,'Informe Kelly'!F3469,VLOOKUP(D3475,$D$2:$F$4,3,FALSE))-(VLOOKUP(D3475,$D$2:$F$4,3,FALSE))</f>
        <v>#N/A</v>
      </c>
      <c r="G3475" s="137" t="e">
        <f t="shared" si="58"/>
        <v>#N/A</v>
      </c>
    </row>
    <row r="3476" spans="1:7">
      <c r="A3476" s="112" t="e">
        <f>VLOOKUP('Informe Kelly'!A3470,Base!A:B,2,FALSE)</f>
        <v>#N/A</v>
      </c>
      <c r="B3476" s="112" t="e">
        <f>VLOOKUP('Informe Kelly'!A3470,Base!A:G,7,FALSE)</f>
        <v>#N/A</v>
      </c>
      <c r="C3476" s="112">
        <f>'Informe Kelly'!E3470</f>
        <v>0</v>
      </c>
      <c r="D3476" s="112" t="e">
        <f>VLOOKUP(A3476,Ingreso!K:P,6,FALSE)</f>
        <v>#N/A</v>
      </c>
      <c r="E3476" s="142" t="e">
        <f>(VLOOKUP(D3476,$D$2:$E$4,2,FALSE))-(IF('Informe Kelly'!H3470=$A$2,'Informe Kelly'!F3470,VLOOKUP(D3476,$D$2:$E$4,2,FALSE)))</f>
        <v>#N/A</v>
      </c>
      <c r="F3476" s="142" t="e">
        <f>IF('Informe Kelly'!H3470=$A$3,'Informe Kelly'!F3470,VLOOKUP(D3476,$D$2:$F$4,3,FALSE))-(VLOOKUP(D3476,$D$2:$F$4,3,FALSE))</f>
        <v>#N/A</v>
      </c>
      <c r="G3476" s="137" t="e">
        <f t="shared" si="58"/>
        <v>#N/A</v>
      </c>
    </row>
    <row r="3477" spans="1:7">
      <c r="A3477" s="112" t="e">
        <f>VLOOKUP('Informe Kelly'!A3471,Base!A:B,2,FALSE)</f>
        <v>#N/A</v>
      </c>
      <c r="B3477" s="112" t="e">
        <f>VLOOKUP('Informe Kelly'!A3471,Base!A:G,7,FALSE)</f>
        <v>#N/A</v>
      </c>
      <c r="C3477" s="112">
        <f>'Informe Kelly'!E3471</f>
        <v>0</v>
      </c>
      <c r="D3477" s="112" t="e">
        <f>VLOOKUP(A3477,Ingreso!K:P,6,FALSE)</f>
        <v>#N/A</v>
      </c>
      <c r="E3477" s="142" t="e">
        <f>(VLOOKUP(D3477,$D$2:$E$4,2,FALSE))-(IF('Informe Kelly'!H3471=$A$2,'Informe Kelly'!F3471,VLOOKUP(D3477,$D$2:$E$4,2,FALSE)))</f>
        <v>#N/A</v>
      </c>
      <c r="F3477" s="142" t="e">
        <f>IF('Informe Kelly'!H3471=$A$3,'Informe Kelly'!F3471,VLOOKUP(D3477,$D$2:$F$4,3,FALSE))-(VLOOKUP(D3477,$D$2:$F$4,3,FALSE))</f>
        <v>#N/A</v>
      </c>
      <c r="G3477" s="137" t="e">
        <f t="shared" si="58"/>
        <v>#N/A</v>
      </c>
    </row>
    <row r="3478" spans="1:7">
      <c r="A3478" s="112" t="e">
        <f>VLOOKUP('Informe Kelly'!A3472,Base!A:B,2,FALSE)</f>
        <v>#N/A</v>
      </c>
      <c r="B3478" s="112" t="e">
        <f>VLOOKUP('Informe Kelly'!A3472,Base!A:G,7,FALSE)</f>
        <v>#N/A</v>
      </c>
      <c r="C3478" s="112">
        <f>'Informe Kelly'!E3472</f>
        <v>0</v>
      </c>
      <c r="D3478" s="112" t="e">
        <f>VLOOKUP(A3478,Ingreso!K:P,6,FALSE)</f>
        <v>#N/A</v>
      </c>
      <c r="E3478" s="142" t="e">
        <f>(VLOOKUP(D3478,$D$2:$E$4,2,FALSE))-(IF('Informe Kelly'!H3472=$A$2,'Informe Kelly'!F3472,VLOOKUP(D3478,$D$2:$E$4,2,FALSE)))</f>
        <v>#N/A</v>
      </c>
      <c r="F3478" s="142" t="e">
        <f>IF('Informe Kelly'!H3472=$A$3,'Informe Kelly'!F3472,VLOOKUP(D3478,$D$2:$F$4,3,FALSE))-(VLOOKUP(D3478,$D$2:$F$4,3,FALSE))</f>
        <v>#N/A</v>
      </c>
      <c r="G3478" s="137" t="e">
        <f t="shared" si="58"/>
        <v>#N/A</v>
      </c>
    </row>
    <row r="3479" spans="1:7">
      <c r="A3479" s="112" t="e">
        <f>VLOOKUP('Informe Kelly'!A3473,Base!A:B,2,FALSE)</f>
        <v>#N/A</v>
      </c>
      <c r="B3479" s="112" t="e">
        <f>VLOOKUP('Informe Kelly'!A3473,Base!A:G,7,FALSE)</f>
        <v>#N/A</v>
      </c>
      <c r="C3479" s="112">
        <f>'Informe Kelly'!E3473</f>
        <v>0</v>
      </c>
      <c r="D3479" s="112" t="e">
        <f>VLOOKUP(A3479,Ingreso!K:P,6,FALSE)</f>
        <v>#N/A</v>
      </c>
      <c r="E3479" s="142" t="e">
        <f>(VLOOKUP(D3479,$D$2:$E$4,2,FALSE))-(IF('Informe Kelly'!H3473=$A$2,'Informe Kelly'!F3473,VLOOKUP(D3479,$D$2:$E$4,2,FALSE)))</f>
        <v>#N/A</v>
      </c>
      <c r="F3479" s="142" t="e">
        <f>IF('Informe Kelly'!H3473=$A$3,'Informe Kelly'!F3473,VLOOKUP(D3479,$D$2:$F$4,3,FALSE))-(VLOOKUP(D3479,$D$2:$F$4,3,FALSE))</f>
        <v>#N/A</v>
      </c>
      <c r="G3479" s="137" t="e">
        <f t="shared" si="58"/>
        <v>#N/A</v>
      </c>
    </row>
    <row r="3480" spans="1:7">
      <c r="A3480" s="112" t="e">
        <f>VLOOKUP('Informe Kelly'!A3474,Base!A:B,2,FALSE)</f>
        <v>#N/A</v>
      </c>
      <c r="B3480" s="112" t="e">
        <f>VLOOKUP('Informe Kelly'!A3474,Base!A:G,7,FALSE)</f>
        <v>#N/A</v>
      </c>
      <c r="C3480" s="112">
        <f>'Informe Kelly'!E3474</f>
        <v>0</v>
      </c>
      <c r="D3480" s="112" t="e">
        <f>VLOOKUP(A3480,Ingreso!K:P,6,FALSE)</f>
        <v>#N/A</v>
      </c>
      <c r="E3480" s="142" t="e">
        <f>(VLOOKUP(D3480,$D$2:$E$4,2,FALSE))-(IF('Informe Kelly'!H3474=$A$2,'Informe Kelly'!F3474,VLOOKUP(D3480,$D$2:$E$4,2,FALSE)))</f>
        <v>#N/A</v>
      </c>
      <c r="F3480" s="142" t="e">
        <f>IF('Informe Kelly'!H3474=$A$3,'Informe Kelly'!F3474,VLOOKUP(D3480,$D$2:$F$4,3,FALSE))-(VLOOKUP(D3480,$D$2:$F$4,3,FALSE))</f>
        <v>#N/A</v>
      </c>
      <c r="G3480" s="137" t="e">
        <f t="shared" si="58"/>
        <v>#N/A</v>
      </c>
    </row>
    <row r="3481" spans="1:7">
      <c r="A3481" s="112" t="e">
        <f>VLOOKUP('Informe Kelly'!A3475,Base!A:B,2,FALSE)</f>
        <v>#N/A</v>
      </c>
      <c r="B3481" s="112" t="e">
        <f>VLOOKUP('Informe Kelly'!A3475,Base!A:G,7,FALSE)</f>
        <v>#N/A</v>
      </c>
      <c r="C3481" s="112">
        <f>'Informe Kelly'!E3475</f>
        <v>0</v>
      </c>
      <c r="D3481" s="112" t="e">
        <f>VLOOKUP(A3481,Ingreso!K:P,6,FALSE)</f>
        <v>#N/A</v>
      </c>
      <c r="E3481" s="142" t="e">
        <f>(VLOOKUP(D3481,$D$2:$E$4,2,FALSE))-(IF('Informe Kelly'!H3475=$A$2,'Informe Kelly'!F3475,VLOOKUP(D3481,$D$2:$E$4,2,FALSE)))</f>
        <v>#N/A</v>
      </c>
      <c r="F3481" s="142" t="e">
        <f>IF('Informe Kelly'!H3475=$A$3,'Informe Kelly'!F3475,VLOOKUP(D3481,$D$2:$F$4,3,FALSE))-(VLOOKUP(D3481,$D$2:$F$4,3,FALSE))</f>
        <v>#N/A</v>
      </c>
      <c r="G3481" s="137" t="e">
        <f t="shared" si="58"/>
        <v>#N/A</v>
      </c>
    </row>
    <row r="3482" spans="1:7">
      <c r="A3482" s="112" t="e">
        <f>VLOOKUP('Informe Kelly'!A3476,Base!A:B,2,FALSE)</f>
        <v>#N/A</v>
      </c>
      <c r="B3482" s="112" t="e">
        <f>VLOOKUP('Informe Kelly'!A3476,Base!A:G,7,FALSE)</f>
        <v>#N/A</v>
      </c>
      <c r="C3482" s="112">
        <f>'Informe Kelly'!E3476</f>
        <v>0</v>
      </c>
      <c r="D3482" s="112" t="e">
        <f>VLOOKUP(A3482,Ingreso!K:P,6,FALSE)</f>
        <v>#N/A</v>
      </c>
      <c r="E3482" s="142" t="e">
        <f>(VLOOKUP(D3482,$D$2:$E$4,2,FALSE))-(IF('Informe Kelly'!H3476=$A$2,'Informe Kelly'!F3476,VLOOKUP(D3482,$D$2:$E$4,2,FALSE)))</f>
        <v>#N/A</v>
      </c>
      <c r="F3482" s="142" t="e">
        <f>IF('Informe Kelly'!H3476=$A$3,'Informe Kelly'!F3476,VLOOKUP(D3482,$D$2:$F$4,3,FALSE))-(VLOOKUP(D3482,$D$2:$F$4,3,FALSE))</f>
        <v>#N/A</v>
      </c>
      <c r="G3482" s="137" t="e">
        <f t="shared" si="58"/>
        <v>#N/A</v>
      </c>
    </row>
    <row r="3483" spans="1:7">
      <c r="A3483" s="112" t="e">
        <f>VLOOKUP('Informe Kelly'!A3477,Base!A:B,2,FALSE)</f>
        <v>#N/A</v>
      </c>
      <c r="B3483" s="112" t="e">
        <f>VLOOKUP('Informe Kelly'!A3477,Base!A:G,7,FALSE)</f>
        <v>#N/A</v>
      </c>
      <c r="C3483" s="112">
        <f>'Informe Kelly'!E3477</f>
        <v>0</v>
      </c>
      <c r="D3483" s="112" t="e">
        <f>VLOOKUP(A3483,Ingreso!K:P,6,FALSE)</f>
        <v>#N/A</v>
      </c>
      <c r="E3483" s="142" t="e">
        <f>(VLOOKUP(D3483,$D$2:$E$4,2,FALSE))-(IF('Informe Kelly'!H3477=$A$2,'Informe Kelly'!F3477,VLOOKUP(D3483,$D$2:$E$4,2,FALSE)))</f>
        <v>#N/A</v>
      </c>
      <c r="F3483" s="142" t="e">
        <f>IF('Informe Kelly'!H3477=$A$3,'Informe Kelly'!F3477,VLOOKUP(D3483,$D$2:$F$4,3,FALSE))-(VLOOKUP(D3483,$D$2:$F$4,3,FALSE))</f>
        <v>#N/A</v>
      </c>
      <c r="G3483" s="137" t="e">
        <f t="shared" si="58"/>
        <v>#N/A</v>
      </c>
    </row>
    <row r="3484" spans="1:7">
      <c r="A3484" s="112" t="e">
        <f>VLOOKUP('Informe Kelly'!A3478,Base!A:B,2,FALSE)</f>
        <v>#N/A</v>
      </c>
      <c r="B3484" s="112" t="e">
        <f>VLOOKUP('Informe Kelly'!A3478,Base!A:G,7,FALSE)</f>
        <v>#N/A</v>
      </c>
      <c r="C3484" s="112">
        <f>'Informe Kelly'!E3478</f>
        <v>0</v>
      </c>
      <c r="D3484" s="112" t="e">
        <f>VLOOKUP(A3484,Ingreso!K:P,6,FALSE)</f>
        <v>#N/A</v>
      </c>
      <c r="E3484" s="142" t="e">
        <f>(VLOOKUP(D3484,$D$2:$E$4,2,FALSE))-(IF('Informe Kelly'!H3478=$A$2,'Informe Kelly'!F3478,VLOOKUP(D3484,$D$2:$E$4,2,FALSE)))</f>
        <v>#N/A</v>
      </c>
      <c r="F3484" s="142" t="e">
        <f>IF('Informe Kelly'!H3478=$A$3,'Informe Kelly'!F3478,VLOOKUP(D3484,$D$2:$F$4,3,FALSE))-(VLOOKUP(D3484,$D$2:$F$4,3,FALSE))</f>
        <v>#N/A</v>
      </c>
      <c r="G3484" s="137" t="e">
        <f t="shared" si="58"/>
        <v>#N/A</v>
      </c>
    </row>
    <row r="3485" spans="1:7">
      <c r="A3485" s="112" t="e">
        <f>VLOOKUP('Informe Kelly'!A3479,Base!A:B,2,FALSE)</f>
        <v>#N/A</v>
      </c>
      <c r="B3485" s="112" t="e">
        <f>VLOOKUP('Informe Kelly'!A3479,Base!A:G,7,FALSE)</f>
        <v>#N/A</v>
      </c>
      <c r="C3485" s="112">
        <f>'Informe Kelly'!E3479</f>
        <v>0</v>
      </c>
      <c r="D3485" s="112" t="e">
        <f>VLOOKUP(A3485,Ingreso!K:P,6,FALSE)</f>
        <v>#N/A</v>
      </c>
      <c r="E3485" s="142" t="e">
        <f>(VLOOKUP(D3485,$D$2:$E$4,2,FALSE))-(IF('Informe Kelly'!H3479=$A$2,'Informe Kelly'!F3479,VLOOKUP(D3485,$D$2:$E$4,2,FALSE)))</f>
        <v>#N/A</v>
      </c>
      <c r="F3485" s="142" t="e">
        <f>IF('Informe Kelly'!H3479=$A$3,'Informe Kelly'!F3479,VLOOKUP(D3485,$D$2:$F$4,3,FALSE))-(VLOOKUP(D3485,$D$2:$F$4,3,FALSE))</f>
        <v>#N/A</v>
      </c>
      <c r="G3485" s="137" t="e">
        <f t="shared" si="58"/>
        <v>#N/A</v>
      </c>
    </row>
    <row r="3486" spans="1:7">
      <c r="A3486" s="112" t="e">
        <f>VLOOKUP('Informe Kelly'!A3480,Base!A:B,2,FALSE)</f>
        <v>#N/A</v>
      </c>
      <c r="B3486" s="112" t="e">
        <f>VLOOKUP('Informe Kelly'!A3480,Base!A:G,7,FALSE)</f>
        <v>#N/A</v>
      </c>
      <c r="C3486" s="112">
        <f>'Informe Kelly'!E3480</f>
        <v>0</v>
      </c>
      <c r="D3486" s="112" t="e">
        <f>VLOOKUP(A3486,Ingreso!K:P,6,FALSE)</f>
        <v>#N/A</v>
      </c>
      <c r="E3486" s="142" t="e">
        <f>(VLOOKUP(D3486,$D$2:$E$4,2,FALSE))-(IF('Informe Kelly'!H3480=$A$2,'Informe Kelly'!F3480,VLOOKUP(D3486,$D$2:$E$4,2,FALSE)))</f>
        <v>#N/A</v>
      </c>
      <c r="F3486" s="142" t="e">
        <f>IF('Informe Kelly'!H3480=$A$3,'Informe Kelly'!F3480,VLOOKUP(D3486,$D$2:$F$4,3,FALSE))-(VLOOKUP(D3486,$D$2:$F$4,3,FALSE))</f>
        <v>#N/A</v>
      </c>
      <c r="G3486" s="137" t="e">
        <f t="shared" si="58"/>
        <v>#N/A</v>
      </c>
    </row>
    <row r="3487" spans="1:7">
      <c r="A3487" s="112" t="e">
        <f>VLOOKUP('Informe Kelly'!A3481,Base!A:B,2,FALSE)</f>
        <v>#N/A</v>
      </c>
      <c r="B3487" s="112" t="e">
        <f>VLOOKUP('Informe Kelly'!A3481,Base!A:G,7,FALSE)</f>
        <v>#N/A</v>
      </c>
      <c r="C3487" s="112">
        <f>'Informe Kelly'!E3481</f>
        <v>0</v>
      </c>
      <c r="D3487" s="112" t="e">
        <f>VLOOKUP(A3487,Ingreso!K:P,6,FALSE)</f>
        <v>#N/A</v>
      </c>
      <c r="E3487" s="142" t="e">
        <f>(VLOOKUP(D3487,$D$2:$E$4,2,FALSE))-(IF('Informe Kelly'!H3481=$A$2,'Informe Kelly'!F3481,VLOOKUP(D3487,$D$2:$E$4,2,FALSE)))</f>
        <v>#N/A</v>
      </c>
      <c r="F3487" s="142" t="e">
        <f>IF('Informe Kelly'!H3481=$A$3,'Informe Kelly'!F3481,VLOOKUP(D3487,$D$2:$F$4,3,FALSE))-(VLOOKUP(D3487,$D$2:$F$4,3,FALSE))</f>
        <v>#N/A</v>
      </c>
      <c r="G3487" s="137" t="e">
        <f t="shared" si="58"/>
        <v>#N/A</v>
      </c>
    </row>
    <row r="3488" spans="1:7">
      <c r="A3488" s="112" t="e">
        <f>VLOOKUP('Informe Kelly'!A3482,Base!A:B,2,FALSE)</f>
        <v>#N/A</v>
      </c>
      <c r="B3488" s="112" t="e">
        <f>VLOOKUP('Informe Kelly'!A3482,Base!A:G,7,FALSE)</f>
        <v>#N/A</v>
      </c>
      <c r="C3488" s="112">
        <f>'Informe Kelly'!E3482</f>
        <v>0</v>
      </c>
      <c r="D3488" s="112" t="e">
        <f>VLOOKUP(A3488,Ingreso!K:P,6,FALSE)</f>
        <v>#N/A</v>
      </c>
      <c r="E3488" s="142" t="e">
        <f>(VLOOKUP(D3488,$D$2:$E$4,2,FALSE))-(IF('Informe Kelly'!H3482=$A$2,'Informe Kelly'!F3482,VLOOKUP(D3488,$D$2:$E$4,2,FALSE)))</f>
        <v>#N/A</v>
      </c>
      <c r="F3488" s="142" t="e">
        <f>IF('Informe Kelly'!H3482=$A$3,'Informe Kelly'!F3482,VLOOKUP(D3488,$D$2:$F$4,3,FALSE))-(VLOOKUP(D3488,$D$2:$F$4,3,FALSE))</f>
        <v>#N/A</v>
      </c>
      <c r="G3488" s="137" t="e">
        <f t="shared" si="58"/>
        <v>#N/A</v>
      </c>
    </row>
    <row r="3489" spans="1:7">
      <c r="A3489" s="112" t="e">
        <f>VLOOKUP('Informe Kelly'!A3483,Base!A:B,2,FALSE)</f>
        <v>#N/A</v>
      </c>
      <c r="B3489" s="112" t="e">
        <f>VLOOKUP('Informe Kelly'!A3483,Base!A:G,7,FALSE)</f>
        <v>#N/A</v>
      </c>
      <c r="C3489" s="112">
        <f>'Informe Kelly'!E3483</f>
        <v>0</v>
      </c>
      <c r="D3489" s="112" t="e">
        <f>VLOOKUP(A3489,Ingreso!K:P,6,FALSE)</f>
        <v>#N/A</v>
      </c>
      <c r="E3489" s="142" t="e">
        <f>(VLOOKUP(D3489,$D$2:$E$4,2,FALSE))-(IF('Informe Kelly'!H3483=$A$2,'Informe Kelly'!F3483,VLOOKUP(D3489,$D$2:$E$4,2,FALSE)))</f>
        <v>#N/A</v>
      </c>
      <c r="F3489" s="142" t="e">
        <f>IF('Informe Kelly'!H3483=$A$3,'Informe Kelly'!F3483,VLOOKUP(D3489,$D$2:$F$4,3,FALSE))-(VLOOKUP(D3489,$D$2:$F$4,3,FALSE))</f>
        <v>#N/A</v>
      </c>
      <c r="G3489" s="137" t="e">
        <f t="shared" si="58"/>
        <v>#N/A</v>
      </c>
    </row>
    <row r="3490" spans="1:7">
      <c r="A3490" s="112" t="e">
        <f>VLOOKUP('Informe Kelly'!A3484,Base!A:B,2,FALSE)</f>
        <v>#N/A</v>
      </c>
      <c r="B3490" s="112" t="e">
        <f>VLOOKUP('Informe Kelly'!A3484,Base!A:G,7,FALSE)</f>
        <v>#N/A</v>
      </c>
      <c r="C3490" s="112">
        <f>'Informe Kelly'!E3484</f>
        <v>0</v>
      </c>
      <c r="D3490" s="112" t="e">
        <f>VLOOKUP(A3490,Ingreso!K:P,6,FALSE)</f>
        <v>#N/A</v>
      </c>
      <c r="E3490" s="142" t="e">
        <f>(VLOOKUP(D3490,$D$2:$E$4,2,FALSE))-(IF('Informe Kelly'!H3484=$A$2,'Informe Kelly'!F3484,VLOOKUP(D3490,$D$2:$E$4,2,FALSE)))</f>
        <v>#N/A</v>
      </c>
      <c r="F3490" s="142" t="e">
        <f>IF('Informe Kelly'!H3484=$A$3,'Informe Kelly'!F3484,VLOOKUP(D3490,$D$2:$F$4,3,FALSE))-(VLOOKUP(D3490,$D$2:$F$4,3,FALSE))</f>
        <v>#N/A</v>
      </c>
      <c r="G3490" s="137" t="e">
        <f t="shared" si="58"/>
        <v>#N/A</v>
      </c>
    </row>
    <row r="3491" spans="1:7">
      <c r="A3491" s="112" t="e">
        <f>VLOOKUP('Informe Kelly'!A3485,Base!A:B,2,FALSE)</f>
        <v>#N/A</v>
      </c>
      <c r="B3491" s="112" t="e">
        <f>VLOOKUP('Informe Kelly'!A3485,Base!A:G,7,FALSE)</f>
        <v>#N/A</v>
      </c>
      <c r="C3491" s="112">
        <f>'Informe Kelly'!E3485</f>
        <v>0</v>
      </c>
      <c r="D3491" s="112" t="e">
        <f>VLOOKUP(A3491,Ingreso!K:P,6,FALSE)</f>
        <v>#N/A</v>
      </c>
      <c r="E3491" s="142" t="e">
        <f>(VLOOKUP(D3491,$D$2:$E$4,2,FALSE))-(IF('Informe Kelly'!H3485=$A$2,'Informe Kelly'!F3485,VLOOKUP(D3491,$D$2:$E$4,2,FALSE)))</f>
        <v>#N/A</v>
      </c>
      <c r="F3491" s="142" t="e">
        <f>IF('Informe Kelly'!H3485=$A$3,'Informe Kelly'!F3485,VLOOKUP(D3491,$D$2:$F$4,3,FALSE))-(VLOOKUP(D3491,$D$2:$F$4,3,FALSE))</f>
        <v>#N/A</v>
      </c>
      <c r="G3491" s="137" t="e">
        <f t="shared" si="58"/>
        <v>#N/A</v>
      </c>
    </row>
    <row r="3492" spans="1:7">
      <c r="A3492" s="112" t="e">
        <f>VLOOKUP('Informe Kelly'!A3486,Base!A:B,2,FALSE)</f>
        <v>#N/A</v>
      </c>
      <c r="B3492" s="112" t="e">
        <f>VLOOKUP('Informe Kelly'!A3486,Base!A:G,7,FALSE)</f>
        <v>#N/A</v>
      </c>
      <c r="C3492" s="112">
        <f>'Informe Kelly'!E3486</f>
        <v>0</v>
      </c>
      <c r="D3492" s="112" t="e">
        <f>VLOOKUP(A3492,Ingreso!K:P,6,FALSE)</f>
        <v>#N/A</v>
      </c>
      <c r="E3492" s="142" t="e">
        <f>(VLOOKUP(D3492,$D$2:$E$4,2,FALSE))-(IF('Informe Kelly'!H3486=$A$2,'Informe Kelly'!F3486,VLOOKUP(D3492,$D$2:$E$4,2,FALSE)))</f>
        <v>#N/A</v>
      </c>
      <c r="F3492" s="142" t="e">
        <f>IF('Informe Kelly'!H3486=$A$3,'Informe Kelly'!F3486,VLOOKUP(D3492,$D$2:$F$4,3,FALSE))-(VLOOKUP(D3492,$D$2:$F$4,3,FALSE))</f>
        <v>#N/A</v>
      </c>
      <c r="G3492" s="137" t="e">
        <f t="shared" si="58"/>
        <v>#N/A</v>
      </c>
    </row>
    <row r="3493" spans="1:7">
      <c r="A3493" s="112" t="e">
        <f>VLOOKUP('Informe Kelly'!A3487,Base!A:B,2,FALSE)</f>
        <v>#N/A</v>
      </c>
      <c r="B3493" s="112" t="e">
        <f>VLOOKUP('Informe Kelly'!A3487,Base!A:G,7,FALSE)</f>
        <v>#N/A</v>
      </c>
      <c r="C3493" s="112">
        <f>'Informe Kelly'!E3487</f>
        <v>0</v>
      </c>
      <c r="D3493" s="112" t="e">
        <f>VLOOKUP(A3493,Ingreso!K:P,6,FALSE)</f>
        <v>#N/A</v>
      </c>
      <c r="E3493" s="142" t="e">
        <f>(VLOOKUP(D3493,$D$2:$E$4,2,FALSE))-(IF('Informe Kelly'!H3487=$A$2,'Informe Kelly'!F3487,VLOOKUP(D3493,$D$2:$E$4,2,FALSE)))</f>
        <v>#N/A</v>
      </c>
      <c r="F3493" s="142" t="e">
        <f>IF('Informe Kelly'!H3487=$A$3,'Informe Kelly'!F3487,VLOOKUP(D3493,$D$2:$F$4,3,FALSE))-(VLOOKUP(D3493,$D$2:$F$4,3,FALSE))</f>
        <v>#N/A</v>
      </c>
      <c r="G3493" s="137" t="e">
        <f t="shared" si="58"/>
        <v>#N/A</v>
      </c>
    </row>
    <row r="3494" spans="1:7">
      <c r="A3494" s="112" t="e">
        <f>VLOOKUP('Informe Kelly'!A3488,Base!A:B,2,FALSE)</f>
        <v>#N/A</v>
      </c>
      <c r="B3494" s="112" t="e">
        <f>VLOOKUP('Informe Kelly'!A3488,Base!A:G,7,FALSE)</f>
        <v>#N/A</v>
      </c>
      <c r="C3494" s="112">
        <f>'Informe Kelly'!E3488</f>
        <v>0</v>
      </c>
      <c r="D3494" s="112" t="e">
        <f>VLOOKUP(A3494,Ingreso!K:P,6,FALSE)</f>
        <v>#N/A</v>
      </c>
      <c r="E3494" s="142" t="e">
        <f>(VLOOKUP(D3494,$D$2:$E$4,2,FALSE))-(IF('Informe Kelly'!H3488=$A$2,'Informe Kelly'!F3488,VLOOKUP(D3494,$D$2:$E$4,2,FALSE)))</f>
        <v>#N/A</v>
      </c>
      <c r="F3494" s="142" t="e">
        <f>IF('Informe Kelly'!H3488=$A$3,'Informe Kelly'!F3488,VLOOKUP(D3494,$D$2:$F$4,3,FALSE))-(VLOOKUP(D3494,$D$2:$F$4,3,FALSE))</f>
        <v>#N/A</v>
      </c>
      <c r="G3494" s="137" t="e">
        <f t="shared" si="58"/>
        <v>#N/A</v>
      </c>
    </row>
    <row r="3495" spans="1:7">
      <c r="A3495" s="112" t="e">
        <f>VLOOKUP('Informe Kelly'!A3489,Base!A:B,2,FALSE)</f>
        <v>#N/A</v>
      </c>
      <c r="B3495" s="112" t="e">
        <f>VLOOKUP('Informe Kelly'!A3489,Base!A:G,7,FALSE)</f>
        <v>#N/A</v>
      </c>
      <c r="C3495" s="112">
        <f>'Informe Kelly'!E3489</f>
        <v>0</v>
      </c>
      <c r="D3495" s="112" t="e">
        <f>VLOOKUP(A3495,Ingreso!K:P,6,FALSE)</f>
        <v>#N/A</v>
      </c>
      <c r="E3495" s="142" t="e">
        <f>(VLOOKUP(D3495,$D$2:$E$4,2,FALSE))-(IF('Informe Kelly'!H3489=$A$2,'Informe Kelly'!F3489,VLOOKUP(D3495,$D$2:$E$4,2,FALSE)))</f>
        <v>#N/A</v>
      </c>
      <c r="F3495" s="142" t="e">
        <f>IF('Informe Kelly'!H3489=$A$3,'Informe Kelly'!F3489,VLOOKUP(D3495,$D$2:$F$4,3,FALSE))-(VLOOKUP(D3495,$D$2:$F$4,3,FALSE))</f>
        <v>#N/A</v>
      </c>
      <c r="G3495" s="137" t="e">
        <f t="shared" si="58"/>
        <v>#N/A</v>
      </c>
    </row>
    <row r="3496" spans="1:7">
      <c r="A3496" s="112" t="e">
        <f>VLOOKUP('Informe Kelly'!A3490,Base!A:B,2,FALSE)</f>
        <v>#N/A</v>
      </c>
      <c r="B3496" s="112" t="e">
        <f>VLOOKUP('Informe Kelly'!A3490,Base!A:G,7,FALSE)</f>
        <v>#N/A</v>
      </c>
      <c r="C3496" s="112">
        <f>'Informe Kelly'!E3490</f>
        <v>0</v>
      </c>
      <c r="D3496" s="112" t="e">
        <f>VLOOKUP(A3496,Ingreso!K:P,6,FALSE)</f>
        <v>#N/A</v>
      </c>
      <c r="E3496" s="142" t="e">
        <f>(VLOOKUP(D3496,$D$2:$E$4,2,FALSE))-(IF('Informe Kelly'!H3490=$A$2,'Informe Kelly'!F3490,VLOOKUP(D3496,$D$2:$E$4,2,FALSE)))</f>
        <v>#N/A</v>
      </c>
      <c r="F3496" s="142" t="e">
        <f>IF('Informe Kelly'!H3490=$A$3,'Informe Kelly'!F3490,VLOOKUP(D3496,$D$2:$F$4,3,FALSE))-(VLOOKUP(D3496,$D$2:$F$4,3,FALSE))</f>
        <v>#N/A</v>
      </c>
      <c r="G3496" s="137" t="e">
        <f t="shared" si="58"/>
        <v>#N/A</v>
      </c>
    </row>
    <row r="3497" spans="1:7">
      <c r="A3497" s="112" t="e">
        <f>VLOOKUP('Informe Kelly'!A3491,Base!A:B,2,FALSE)</f>
        <v>#N/A</v>
      </c>
      <c r="B3497" s="112" t="e">
        <f>VLOOKUP('Informe Kelly'!A3491,Base!A:G,7,FALSE)</f>
        <v>#N/A</v>
      </c>
      <c r="C3497" s="112">
        <f>'Informe Kelly'!E3491</f>
        <v>0</v>
      </c>
      <c r="D3497" s="112" t="e">
        <f>VLOOKUP(A3497,Ingreso!K:P,6,FALSE)</f>
        <v>#N/A</v>
      </c>
      <c r="E3497" s="142" t="e">
        <f>(VLOOKUP(D3497,$D$2:$E$4,2,FALSE))-(IF('Informe Kelly'!H3491=$A$2,'Informe Kelly'!F3491,VLOOKUP(D3497,$D$2:$E$4,2,FALSE)))</f>
        <v>#N/A</v>
      </c>
      <c r="F3497" s="142" t="e">
        <f>IF('Informe Kelly'!H3491=$A$3,'Informe Kelly'!F3491,VLOOKUP(D3497,$D$2:$F$4,3,FALSE))-(VLOOKUP(D3497,$D$2:$F$4,3,FALSE))</f>
        <v>#N/A</v>
      </c>
      <c r="G3497" s="137" t="e">
        <f t="shared" si="58"/>
        <v>#N/A</v>
      </c>
    </row>
    <row r="3498" spans="1:7">
      <c r="A3498" s="112" t="e">
        <f>VLOOKUP('Informe Kelly'!A3492,Base!A:B,2,FALSE)</f>
        <v>#N/A</v>
      </c>
      <c r="B3498" s="112" t="e">
        <f>VLOOKUP('Informe Kelly'!A3492,Base!A:G,7,FALSE)</f>
        <v>#N/A</v>
      </c>
      <c r="C3498" s="112">
        <f>'Informe Kelly'!E3492</f>
        <v>0</v>
      </c>
      <c r="D3498" s="112" t="e">
        <f>VLOOKUP(A3498,Ingreso!K:P,6,FALSE)</f>
        <v>#N/A</v>
      </c>
      <c r="E3498" s="142" t="e">
        <f>(VLOOKUP(D3498,$D$2:$E$4,2,FALSE))-(IF('Informe Kelly'!H3492=$A$2,'Informe Kelly'!F3492,VLOOKUP(D3498,$D$2:$E$4,2,FALSE)))</f>
        <v>#N/A</v>
      </c>
      <c r="F3498" s="142" t="e">
        <f>IF('Informe Kelly'!H3492=$A$3,'Informe Kelly'!F3492,VLOOKUP(D3498,$D$2:$F$4,3,FALSE))-(VLOOKUP(D3498,$D$2:$F$4,3,FALSE))</f>
        <v>#N/A</v>
      </c>
      <c r="G3498" s="137" t="e">
        <f t="shared" si="58"/>
        <v>#N/A</v>
      </c>
    </row>
    <row r="3499" spans="1:7">
      <c r="A3499" s="112" t="e">
        <f>VLOOKUP('Informe Kelly'!A3493,Base!A:B,2,FALSE)</f>
        <v>#N/A</v>
      </c>
      <c r="B3499" s="112" t="e">
        <f>VLOOKUP('Informe Kelly'!A3493,Base!A:G,7,FALSE)</f>
        <v>#N/A</v>
      </c>
      <c r="C3499" s="112">
        <f>'Informe Kelly'!E3493</f>
        <v>0</v>
      </c>
      <c r="D3499" s="112" t="e">
        <f>VLOOKUP(A3499,Ingreso!K:P,6,FALSE)</f>
        <v>#N/A</v>
      </c>
      <c r="E3499" s="142" t="e">
        <f>(VLOOKUP(D3499,$D$2:$E$4,2,FALSE))-(IF('Informe Kelly'!H3493=$A$2,'Informe Kelly'!F3493,VLOOKUP(D3499,$D$2:$E$4,2,FALSE)))</f>
        <v>#N/A</v>
      </c>
      <c r="F3499" s="142" t="e">
        <f>IF('Informe Kelly'!H3493=$A$3,'Informe Kelly'!F3493,VLOOKUP(D3499,$D$2:$F$4,3,FALSE))-(VLOOKUP(D3499,$D$2:$F$4,3,FALSE))</f>
        <v>#N/A</v>
      </c>
      <c r="G3499" s="137" t="e">
        <f t="shared" si="58"/>
        <v>#N/A</v>
      </c>
    </row>
    <row r="3500" spans="1:7">
      <c r="A3500" s="112" t="e">
        <f>VLOOKUP('Informe Kelly'!A3494,Base!A:B,2,FALSE)</f>
        <v>#N/A</v>
      </c>
      <c r="B3500" s="112" t="e">
        <f>VLOOKUP('Informe Kelly'!A3494,Base!A:G,7,FALSE)</f>
        <v>#N/A</v>
      </c>
      <c r="C3500" s="112">
        <f>'Informe Kelly'!E3494</f>
        <v>0</v>
      </c>
      <c r="D3500" s="112" t="e">
        <f>VLOOKUP(A3500,Ingreso!K:P,6,FALSE)</f>
        <v>#N/A</v>
      </c>
      <c r="E3500" s="142" t="e">
        <f>(VLOOKUP(D3500,$D$2:$E$4,2,FALSE))-(IF('Informe Kelly'!H3494=$A$2,'Informe Kelly'!F3494,VLOOKUP(D3500,$D$2:$E$4,2,FALSE)))</f>
        <v>#N/A</v>
      </c>
      <c r="F3500" s="142" t="e">
        <f>IF('Informe Kelly'!H3494=$A$3,'Informe Kelly'!F3494,VLOOKUP(D3500,$D$2:$F$4,3,FALSE))-(VLOOKUP(D3500,$D$2:$F$4,3,FALSE))</f>
        <v>#N/A</v>
      </c>
      <c r="G3500" s="137" t="e">
        <f t="shared" si="58"/>
        <v>#N/A</v>
      </c>
    </row>
    <row r="3501" spans="1:7">
      <c r="A3501" s="112" t="e">
        <f>VLOOKUP('Informe Kelly'!A3495,Base!A:B,2,FALSE)</f>
        <v>#N/A</v>
      </c>
      <c r="B3501" s="112" t="e">
        <f>VLOOKUP('Informe Kelly'!A3495,Base!A:G,7,FALSE)</f>
        <v>#N/A</v>
      </c>
      <c r="C3501" s="112">
        <f>'Informe Kelly'!E3495</f>
        <v>0</v>
      </c>
      <c r="D3501" s="112" t="e">
        <f>VLOOKUP(A3501,Ingreso!K:P,6,FALSE)</f>
        <v>#N/A</v>
      </c>
      <c r="E3501" s="142" t="e">
        <f>(VLOOKUP(D3501,$D$2:$E$4,2,FALSE))-(IF('Informe Kelly'!H3495=$A$2,'Informe Kelly'!F3495,VLOOKUP(D3501,$D$2:$E$4,2,FALSE)))</f>
        <v>#N/A</v>
      </c>
      <c r="F3501" s="142" t="e">
        <f>IF('Informe Kelly'!H3495=$A$3,'Informe Kelly'!F3495,VLOOKUP(D3501,$D$2:$F$4,3,FALSE))-(VLOOKUP(D3501,$D$2:$F$4,3,FALSE))</f>
        <v>#N/A</v>
      </c>
      <c r="G3501" s="137" t="e">
        <f t="shared" si="58"/>
        <v>#N/A</v>
      </c>
    </row>
    <row r="3502" spans="1:7">
      <c r="A3502" s="112" t="e">
        <f>VLOOKUP('Informe Kelly'!A3496,Base!A:B,2,FALSE)</f>
        <v>#N/A</v>
      </c>
      <c r="B3502" s="112" t="e">
        <f>VLOOKUP('Informe Kelly'!A3496,Base!A:G,7,FALSE)</f>
        <v>#N/A</v>
      </c>
      <c r="C3502" s="112">
        <f>'Informe Kelly'!E3496</f>
        <v>0</v>
      </c>
      <c r="D3502" s="112" t="e">
        <f>VLOOKUP(A3502,Ingreso!K:P,6,FALSE)</f>
        <v>#N/A</v>
      </c>
      <c r="E3502" s="142" t="e">
        <f>(VLOOKUP(D3502,$D$2:$E$4,2,FALSE))-(IF('Informe Kelly'!H3496=$A$2,'Informe Kelly'!F3496,VLOOKUP(D3502,$D$2:$E$4,2,FALSE)))</f>
        <v>#N/A</v>
      </c>
      <c r="F3502" s="142" t="e">
        <f>IF('Informe Kelly'!H3496=$A$3,'Informe Kelly'!F3496,VLOOKUP(D3502,$D$2:$F$4,3,FALSE))-(VLOOKUP(D3502,$D$2:$F$4,3,FALSE))</f>
        <v>#N/A</v>
      </c>
      <c r="G3502" s="137" t="e">
        <f t="shared" si="58"/>
        <v>#N/A</v>
      </c>
    </row>
    <row r="3503" spans="1:7">
      <c r="A3503" s="112" t="e">
        <f>VLOOKUP('Informe Kelly'!A3497,Base!A:B,2,FALSE)</f>
        <v>#N/A</v>
      </c>
      <c r="B3503" s="112" t="e">
        <f>VLOOKUP('Informe Kelly'!A3497,Base!A:G,7,FALSE)</f>
        <v>#N/A</v>
      </c>
      <c r="C3503" s="112">
        <f>'Informe Kelly'!E3497</f>
        <v>0</v>
      </c>
      <c r="D3503" s="112" t="e">
        <f>VLOOKUP(A3503,Ingreso!K:P,6,FALSE)</f>
        <v>#N/A</v>
      </c>
      <c r="E3503" s="142" t="e">
        <f>(VLOOKUP(D3503,$D$2:$E$4,2,FALSE))-(IF('Informe Kelly'!H3497=$A$2,'Informe Kelly'!F3497,VLOOKUP(D3503,$D$2:$E$4,2,FALSE)))</f>
        <v>#N/A</v>
      </c>
      <c r="F3503" s="142" t="e">
        <f>IF('Informe Kelly'!H3497=$A$3,'Informe Kelly'!F3497,VLOOKUP(D3503,$D$2:$F$4,3,FALSE))-(VLOOKUP(D3503,$D$2:$F$4,3,FALSE))</f>
        <v>#N/A</v>
      </c>
      <c r="G3503" s="137" t="e">
        <f t="shared" si="58"/>
        <v>#N/A</v>
      </c>
    </row>
    <row r="3504" spans="1:7">
      <c r="A3504" s="112" t="e">
        <f>VLOOKUP('Informe Kelly'!A3498,Base!A:B,2,FALSE)</f>
        <v>#N/A</v>
      </c>
      <c r="B3504" s="112" t="e">
        <f>VLOOKUP('Informe Kelly'!A3498,Base!A:G,7,FALSE)</f>
        <v>#N/A</v>
      </c>
      <c r="C3504" s="112">
        <f>'Informe Kelly'!E3498</f>
        <v>0</v>
      </c>
      <c r="D3504" s="112" t="e">
        <f>VLOOKUP(A3504,Ingreso!K:P,6,FALSE)</f>
        <v>#N/A</v>
      </c>
      <c r="E3504" s="142" t="e">
        <f>(VLOOKUP(D3504,$D$2:$E$4,2,FALSE))-(IF('Informe Kelly'!H3498=$A$2,'Informe Kelly'!F3498,VLOOKUP(D3504,$D$2:$E$4,2,FALSE)))</f>
        <v>#N/A</v>
      </c>
      <c r="F3504" s="142" t="e">
        <f>IF('Informe Kelly'!H3498=$A$3,'Informe Kelly'!F3498,VLOOKUP(D3504,$D$2:$F$4,3,FALSE))-(VLOOKUP(D3504,$D$2:$F$4,3,FALSE))</f>
        <v>#N/A</v>
      </c>
      <c r="G3504" s="137" t="e">
        <f t="shared" si="58"/>
        <v>#N/A</v>
      </c>
    </row>
    <row r="3505" spans="1:7">
      <c r="A3505" s="112" t="e">
        <f>VLOOKUP('Informe Kelly'!A3499,Base!A:B,2,FALSE)</f>
        <v>#N/A</v>
      </c>
      <c r="B3505" s="112" t="e">
        <f>VLOOKUP('Informe Kelly'!A3499,Base!A:G,7,FALSE)</f>
        <v>#N/A</v>
      </c>
      <c r="C3505" s="112">
        <f>'Informe Kelly'!E3499</f>
        <v>0</v>
      </c>
      <c r="D3505" s="112" t="e">
        <f>VLOOKUP(A3505,Ingreso!K:P,6,FALSE)</f>
        <v>#N/A</v>
      </c>
      <c r="E3505" s="142" t="e">
        <f>(VLOOKUP(D3505,$D$2:$E$4,2,FALSE))-(IF('Informe Kelly'!H3499=$A$2,'Informe Kelly'!F3499,VLOOKUP(D3505,$D$2:$E$4,2,FALSE)))</f>
        <v>#N/A</v>
      </c>
      <c r="F3505" s="142" t="e">
        <f>IF('Informe Kelly'!H3499=$A$3,'Informe Kelly'!F3499,VLOOKUP(D3505,$D$2:$F$4,3,FALSE))-(VLOOKUP(D3505,$D$2:$F$4,3,FALSE))</f>
        <v>#N/A</v>
      </c>
      <c r="G3505" s="137" t="e">
        <f t="shared" si="58"/>
        <v>#N/A</v>
      </c>
    </row>
    <row r="3506" spans="1:7">
      <c r="A3506" s="112" t="e">
        <f>VLOOKUP('Informe Kelly'!A3500,Base!A:B,2,FALSE)</f>
        <v>#N/A</v>
      </c>
      <c r="B3506" s="112" t="e">
        <f>VLOOKUP('Informe Kelly'!A3500,Base!A:G,7,FALSE)</f>
        <v>#N/A</v>
      </c>
      <c r="C3506" s="112">
        <f>'Informe Kelly'!E3500</f>
        <v>0</v>
      </c>
      <c r="D3506" s="112" t="e">
        <f>VLOOKUP(A3506,Ingreso!K:P,6,FALSE)</f>
        <v>#N/A</v>
      </c>
      <c r="E3506" s="142" t="e">
        <f>(VLOOKUP(D3506,$D$2:$E$4,2,FALSE))-(IF('Informe Kelly'!H3500=$A$2,'Informe Kelly'!F3500,VLOOKUP(D3506,$D$2:$E$4,2,FALSE)))</f>
        <v>#N/A</v>
      </c>
      <c r="F3506" s="142" t="e">
        <f>IF('Informe Kelly'!H3500=$A$3,'Informe Kelly'!F3500,VLOOKUP(D3506,$D$2:$F$4,3,FALSE))-(VLOOKUP(D3506,$D$2:$F$4,3,FALSE))</f>
        <v>#N/A</v>
      </c>
      <c r="G3506" s="137" t="e">
        <f t="shared" si="58"/>
        <v>#N/A</v>
      </c>
    </row>
    <row r="3507" spans="1:7">
      <c r="A3507" s="112" t="e">
        <f>VLOOKUP('Informe Kelly'!A3501,Base!A:B,2,FALSE)</f>
        <v>#N/A</v>
      </c>
      <c r="B3507" s="112" t="e">
        <f>VLOOKUP('Informe Kelly'!A3501,Base!A:G,7,FALSE)</f>
        <v>#N/A</v>
      </c>
      <c r="C3507" s="112">
        <f>'Informe Kelly'!E3501</f>
        <v>0</v>
      </c>
      <c r="D3507" s="112" t="e">
        <f>VLOOKUP(A3507,Ingreso!K:P,6,FALSE)</f>
        <v>#N/A</v>
      </c>
      <c r="E3507" s="142" t="e">
        <f>(VLOOKUP(D3507,$D$2:$E$4,2,FALSE))-(IF('Informe Kelly'!H3501=$A$2,'Informe Kelly'!F3501,VLOOKUP(D3507,$D$2:$E$4,2,FALSE)))</f>
        <v>#N/A</v>
      </c>
      <c r="F3507" s="142" t="e">
        <f>IF('Informe Kelly'!H3501=$A$3,'Informe Kelly'!F3501,VLOOKUP(D3507,$D$2:$F$4,3,FALSE))-(VLOOKUP(D3507,$D$2:$F$4,3,FALSE))</f>
        <v>#N/A</v>
      </c>
      <c r="G3507" s="137" t="e">
        <f t="shared" si="58"/>
        <v>#N/A</v>
      </c>
    </row>
    <row r="3508" spans="1:7">
      <c r="A3508" s="112" t="e">
        <f>VLOOKUP('Informe Kelly'!A3502,Base!A:B,2,FALSE)</f>
        <v>#N/A</v>
      </c>
      <c r="B3508" s="112" t="e">
        <f>VLOOKUP('Informe Kelly'!A3502,Base!A:G,7,FALSE)</f>
        <v>#N/A</v>
      </c>
      <c r="C3508" s="112">
        <f>'Informe Kelly'!E3502</f>
        <v>0</v>
      </c>
      <c r="D3508" s="112" t="e">
        <f>VLOOKUP(A3508,Ingreso!K:P,6,FALSE)</f>
        <v>#N/A</v>
      </c>
      <c r="E3508" s="142" t="e">
        <f>(VLOOKUP(D3508,$D$2:$E$4,2,FALSE))-(IF('Informe Kelly'!H3502=$A$2,'Informe Kelly'!F3502,VLOOKUP(D3508,$D$2:$E$4,2,FALSE)))</f>
        <v>#N/A</v>
      </c>
      <c r="F3508" s="142" t="e">
        <f>IF('Informe Kelly'!H3502=$A$3,'Informe Kelly'!F3502,VLOOKUP(D3508,$D$2:$F$4,3,FALSE))-(VLOOKUP(D3508,$D$2:$F$4,3,FALSE))</f>
        <v>#N/A</v>
      </c>
      <c r="G3508" s="137" t="e">
        <f t="shared" si="58"/>
        <v>#N/A</v>
      </c>
    </row>
    <row r="3509" spans="1:7">
      <c r="A3509" s="112" t="e">
        <f>VLOOKUP('Informe Kelly'!A3503,Base!A:B,2,FALSE)</f>
        <v>#N/A</v>
      </c>
      <c r="B3509" s="112" t="e">
        <f>VLOOKUP('Informe Kelly'!A3503,Base!A:G,7,FALSE)</f>
        <v>#N/A</v>
      </c>
      <c r="C3509" s="112">
        <f>'Informe Kelly'!E3503</f>
        <v>0</v>
      </c>
      <c r="D3509" s="112" t="e">
        <f>VLOOKUP(A3509,Ingreso!K:P,6,FALSE)</f>
        <v>#N/A</v>
      </c>
      <c r="E3509" s="142" t="e">
        <f>(VLOOKUP(D3509,$D$2:$E$4,2,FALSE))-(IF('Informe Kelly'!H3503=$A$2,'Informe Kelly'!F3503,VLOOKUP(D3509,$D$2:$E$4,2,FALSE)))</f>
        <v>#N/A</v>
      </c>
      <c r="F3509" s="142" t="e">
        <f>IF('Informe Kelly'!H3503=$A$3,'Informe Kelly'!F3503,VLOOKUP(D3509,$D$2:$F$4,3,FALSE))-(VLOOKUP(D3509,$D$2:$F$4,3,FALSE))</f>
        <v>#N/A</v>
      </c>
      <c r="G3509" s="137" t="e">
        <f t="shared" si="58"/>
        <v>#N/A</v>
      </c>
    </row>
    <row r="3510" spans="1:7">
      <c r="A3510" s="112" t="e">
        <f>VLOOKUP('Informe Kelly'!A3504,Base!A:B,2,FALSE)</f>
        <v>#N/A</v>
      </c>
      <c r="B3510" s="112" t="e">
        <f>VLOOKUP('Informe Kelly'!A3504,Base!A:G,7,FALSE)</f>
        <v>#N/A</v>
      </c>
      <c r="C3510" s="112">
        <f>'Informe Kelly'!E3504</f>
        <v>0</v>
      </c>
      <c r="D3510" s="112" t="e">
        <f>VLOOKUP(A3510,Ingreso!K:P,6,FALSE)</f>
        <v>#N/A</v>
      </c>
      <c r="E3510" s="142" t="e">
        <f>(VLOOKUP(D3510,$D$2:$E$4,2,FALSE))-(IF('Informe Kelly'!H3504=$A$2,'Informe Kelly'!F3504,VLOOKUP(D3510,$D$2:$E$4,2,FALSE)))</f>
        <v>#N/A</v>
      </c>
      <c r="F3510" s="142" t="e">
        <f>IF('Informe Kelly'!H3504=$A$3,'Informe Kelly'!F3504,VLOOKUP(D3510,$D$2:$F$4,3,FALSE))-(VLOOKUP(D3510,$D$2:$F$4,3,FALSE))</f>
        <v>#N/A</v>
      </c>
      <c r="G3510" s="137" t="e">
        <f t="shared" si="58"/>
        <v>#N/A</v>
      </c>
    </row>
    <row r="3511" spans="1:7">
      <c r="A3511" s="112" t="e">
        <f>VLOOKUP('Informe Kelly'!A3505,Base!A:B,2,FALSE)</f>
        <v>#N/A</v>
      </c>
      <c r="B3511" s="112" t="e">
        <f>VLOOKUP('Informe Kelly'!A3505,Base!A:G,7,FALSE)</f>
        <v>#N/A</v>
      </c>
      <c r="C3511" s="112">
        <f>'Informe Kelly'!E3505</f>
        <v>0</v>
      </c>
      <c r="D3511" s="112" t="e">
        <f>VLOOKUP(A3511,Ingreso!K:P,6,FALSE)</f>
        <v>#N/A</v>
      </c>
      <c r="E3511" s="142" t="e">
        <f>(VLOOKUP(D3511,$D$2:$E$4,2,FALSE))-(IF('Informe Kelly'!H3505=$A$2,'Informe Kelly'!F3505,VLOOKUP(D3511,$D$2:$E$4,2,FALSE)))</f>
        <v>#N/A</v>
      </c>
      <c r="F3511" s="142" t="e">
        <f>IF('Informe Kelly'!H3505=$A$3,'Informe Kelly'!F3505,VLOOKUP(D3511,$D$2:$F$4,3,FALSE))-(VLOOKUP(D3511,$D$2:$F$4,3,FALSE))</f>
        <v>#N/A</v>
      </c>
      <c r="G3511" s="137" t="e">
        <f t="shared" si="58"/>
        <v>#N/A</v>
      </c>
    </row>
    <row r="3512" spans="1:7">
      <c r="A3512" s="112" t="e">
        <f>VLOOKUP('Informe Kelly'!A3506,Base!A:B,2,FALSE)</f>
        <v>#N/A</v>
      </c>
      <c r="B3512" s="112" t="e">
        <f>VLOOKUP('Informe Kelly'!A3506,Base!A:G,7,FALSE)</f>
        <v>#N/A</v>
      </c>
      <c r="C3512" s="112">
        <f>'Informe Kelly'!E3506</f>
        <v>0</v>
      </c>
      <c r="D3512" s="112" t="e">
        <f>VLOOKUP(A3512,Ingreso!K:P,6,FALSE)</f>
        <v>#N/A</v>
      </c>
      <c r="E3512" s="142" t="e">
        <f>(VLOOKUP(D3512,$D$2:$E$4,2,FALSE))-(IF('Informe Kelly'!H3506=$A$2,'Informe Kelly'!F3506,VLOOKUP(D3512,$D$2:$E$4,2,FALSE)))</f>
        <v>#N/A</v>
      </c>
      <c r="F3512" s="142" t="e">
        <f>IF('Informe Kelly'!H3506=$A$3,'Informe Kelly'!F3506,VLOOKUP(D3512,$D$2:$F$4,3,FALSE))-(VLOOKUP(D3512,$D$2:$F$4,3,FALSE))</f>
        <v>#N/A</v>
      </c>
      <c r="G3512" s="137" t="e">
        <f t="shared" si="58"/>
        <v>#N/A</v>
      </c>
    </row>
    <row r="3513" spans="1:7">
      <c r="A3513" s="112" t="e">
        <f>VLOOKUP('Informe Kelly'!A3507,Base!A:B,2,FALSE)</f>
        <v>#N/A</v>
      </c>
      <c r="B3513" s="112" t="e">
        <f>VLOOKUP('Informe Kelly'!A3507,Base!A:G,7,FALSE)</f>
        <v>#N/A</v>
      </c>
      <c r="C3513" s="112">
        <f>'Informe Kelly'!E3507</f>
        <v>0</v>
      </c>
      <c r="D3513" s="112" t="e">
        <f>VLOOKUP(A3513,Ingreso!K:P,6,FALSE)</f>
        <v>#N/A</v>
      </c>
      <c r="E3513" s="142" t="e">
        <f>(VLOOKUP(D3513,$D$2:$E$4,2,FALSE))-(IF('Informe Kelly'!H3507=$A$2,'Informe Kelly'!F3507,VLOOKUP(D3513,$D$2:$E$4,2,FALSE)))</f>
        <v>#N/A</v>
      </c>
      <c r="F3513" s="142" t="e">
        <f>IF('Informe Kelly'!H3507=$A$3,'Informe Kelly'!F3507,VLOOKUP(D3513,$D$2:$F$4,3,FALSE))-(VLOOKUP(D3513,$D$2:$F$4,3,FALSE))</f>
        <v>#N/A</v>
      </c>
      <c r="G3513" s="137" t="e">
        <f t="shared" si="58"/>
        <v>#N/A</v>
      </c>
    </row>
    <row r="3514" spans="1:7">
      <c r="A3514" s="112" t="e">
        <f>VLOOKUP('Informe Kelly'!A3508,Base!A:B,2,FALSE)</f>
        <v>#N/A</v>
      </c>
      <c r="B3514" s="112" t="e">
        <f>VLOOKUP('Informe Kelly'!A3508,Base!A:G,7,FALSE)</f>
        <v>#N/A</v>
      </c>
      <c r="C3514" s="112">
        <f>'Informe Kelly'!E3508</f>
        <v>0</v>
      </c>
      <c r="D3514" s="112" t="e">
        <f>VLOOKUP(A3514,Ingreso!K:P,6,FALSE)</f>
        <v>#N/A</v>
      </c>
      <c r="E3514" s="142" t="e">
        <f>(VLOOKUP(D3514,$D$2:$E$4,2,FALSE))-(IF('Informe Kelly'!H3508=$A$2,'Informe Kelly'!F3508,VLOOKUP(D3514,$D$2:$E$4,2,FALSE)))</f>
        <v>#N/A</v>
      </c>
      <c r="F3514" s="142" t="e">
        <f>IF('Informe Kelly'!H3508=$A$3,'Informe Kelly'!F3508,VLOOKUP(D3514,$D$2:$F$4,3,FALSE))-(VLOOKUP(D3514,$D$2:$F$4,3,FALSE))</f>
        <v>#N/A</v>
      </c>
      <c r="G3514" s="137" t="e">
        <f t="shared" si="58"/>
        <v>#N/A</v>
      </c>
    </row>
    <row r="3515" spans="1:7">
      <c r="A3515" s="112" t="e">
        <f>VLOOKUP('Informe Kelly'!A3509,Base!A:B,2,FALSE)</f>
        <v>#N/A</v>
      </c>
      <c r="B3515" s="112" t="e">
        <f>VLOOKUP('Informe Kelly'!A3509,Base!A:G,7,FALSE)</f>
        <v>#N/A</v>
      </c>
      <c r="C3515" s="112">
        <f>'Informe Kelly'!E3509</f>
        <v>0</v>
      </c>
      <c r="D3515" s="112" t="e">
        <f>VLOOKUP(A3515,Ingreso!K:P,6,FALSE)</f>
        <v>#N/A</v>
      </c>
      <c r="E3515" s="142" t="e">
        <f>(VLOOKUP(D3515,$D$2:$E$4,2,FALSE))-(IF('Informe Kelly'!H3509=$A$2,'Informe Kelly'!F3509,VLOOKUP(D3515,$D$2:$E$4,2,FALSE)))</f>
        <v>#N/A</v>
      </c>
      <c r="F3515" s="142" t="e">
        <f>IF('Informe Kelly'!H3509=$A$3,'Informe Kelly'!F3509,VLOOKUP(D3515,$D$2:$F$4,3,FALSE))-(VLOOKUP(D3515,$D$2:$F$4,3,FALSE))</f>
        <v>#N/A</v>
      </c>
      <c r="G3515" s="137" t="e">
        <f t="shared" si="58"/>
        <v>#N/A</v>
      </c>
    </row>
    <row r="3516" spans="1:7">
      <c r="A3516" s="112" t="e">
        <f>VLOOKUP('Informe Kelly'!A3510,Base!A:B,2,FALSE)</f>
        <v>#N/A</v>
      </c>
      <c r="B3516" s="112" t="e">
        <f>VLOOKUP('Informe Kelly'!A3510,Base!A:G,7,FALSE)</f>
        <v>#N/A</v>
      </c>
      <c r="C3516" s="112">
        <f>'Informe Kelly'!E3510</f>
        <v>0</v>
      </c>
      <c r="D3516" s="112" t="e">
        <f>VLOOKUP(A3516,Ingreso!K:P,6,FALSE)</f>
        <v>#N/A</v>
      </c>
      <c r="E3516" s="142" t="e">
        <f>(VLOOKUP(D3516,$D$2:$E$4,2,FALSE))-(IF('Informe Kelly'!H3510=$A$2,'Informe Kelly'!F3510,VLOOKUP(D3516,$D$2:$E$4,2,FALSE)))</f>
        <v>#N/A</v>
      </c>
      <c r="F3516" s="142" t="e">
        <f>IF('Informe Kelly'!H3510=$A$3,'Informe Kelly'!F3510,VLOOKUP(D3516,$D$2:$F$4,3,FALSE))-(VLOOKUP(D3516,$D$2:$F$4,3,FALSE))</f>
        <v>#N/A</v>
      </c>
      <c r="G3516" s="137" t="e">
        <f t="shared" si="58"/>
        <v>#N/A</v>
      </c>
    </row>
    <row r="3517" spans="1:7">
      <c r="A3517" s="112" t="e">
        <f>VLOOKUP('Informe Kelly'!A3511,Base!A:B,2,FALSE)</f>
        <v>#N/A</v>
      </c>
      <c r="B3517" s="112" t="e">
        <f>VLOOKUP('Informe Kelly'!A3511,Base!A:G,7,FALSE)</f>
        <v>#N/A</v>
      </c>
      <c r="C3517" s="112">
        <f>'Informe Kelly'!E3511</f>
        <v>0</v>
      </c>
      <c r="D3517" s="112" t="e">
        <f>VLOOKUP(A3517,Ingreso!K:P,6,FALSE)</f>
        <v>#N/A</v>
      </c>
      <c r="E3517" s="142" t="e">
        <f>(VLOOKUP(D3517,$D$2:$E$4,2,FALSE))-(IF('Informe Kelly'!H3511=$A$2,'Informe Kelly'!F3511,VLOOKUP(D3517,$D$2:$E$4,2,FALSE)))</f>
        <v>#N/A</v>
      </c>
      <c r="F3517" s="142" t="e">
        <f>IF('Informe Kelly'!H3511=$A$3,'Informe Kelly'!F3511,VLOOKUP(D3517,$D$2:$F$4,3,FALSE))-(VLOOKUP(D3517,$D$2:$F$4,3,FALSE))</f>
        <v>#N/A</v>
      </c>
      <c r="G3517" s="137" t="e">
        <f t="shared" si="58"/>
        <v>#N/A</v>
      </c>
    </row>
    <row r="3518" spans="1:7">
      <c r="A3518" s="112" t="e">
        <f>VLOOKUP('Informe Kelly'!A3512,Base!A:B,2,FALSE)</f>
        <v>#N/A</v>
      </c>
      <c r="B3518" s="112" t="e">
        <f>VLOOKUP('Informe Kelly'!A3512,Base!A:G,7,FALSE)</f>
        <v>#N/A</v>
      </c>
      <c r="C3518" s="112">
        <f>'Informe Kelly'!E3512</f>
        <v>0</v>
      </c>
      <c r="D3518" s="112" t="e">
        <f>VLOOKUP(A3518,Ingreso!K:P,6,FALSE)</f>
        <v>#N/A</v>
      </c>
      <c r="E3518" s="142" t="e">
        <f>(VLOOKUP(D3518,$D$2:$E$4,2,FALSE))-(IF('Informe Kelly'!H3512=$A$2,'Informe Kelly'!F3512,VLOOKUP(D3518,$D$2:$E$4,2,FALSE)))</f>
        <v>#N/A</v>
      </c>
      <c r="F3518" s="142" t="e">
        <f>IF('Informe Kelly'!H3512=$A$3,'Informe Kelly'!F3512,VLOOKUP(D3518,$D$2:$F$4,3,FALSE))-(VLOOKUP(D3518,$D$2:$F$4,3,FALSE))</f>
        <v>#N/A</v>
      </c>
      <c r="G3518" s="137" t="e">
        <f t="shared" si="58"/>
        <v>#N/A</v>
      </c>
    </row>
    <row r="3519" spans="1:7">
      <c r="A3519" s="112" t="e">
        <f>VLOOKUP('Informe Kelly'!A3513,Base!A:B,2,FALSE)</f>
        <v>#N/A</v>
      </c>
      <c r="B3519" s="112" t="e">
        <f>VLOOKUP('Informe Kelly'!A3513,Base!A:G,7,FALSE)</f>
        <v>#N/A</v>
      </c>
      <c r="C3519" s="112">
        <f>'Informe Kelly'!E3513</f>
        <v>0</v>
      </c>
      <c r="D3519" s="112" t="e">
        <f>VLOOKUP(A3519,Ingreso!K:P,6,FALSE)</f>
        <v>#N/A</v>
      </c>
      <c r="E3519" s="142" t="e">
        <f>(VLOOKUP(D3519,$D$2:$E$4,2,FALSE))-(IF('Informe Kelly'!H3513=$A$2,'Informe Kelly'!F3513,VLOOKUP(D3519,$D$2:$E$4,2,FALSE)))</f>
        <v>#N/A</v>
      </c>
      <c r="F3519" s="142" t="e">
        <f>IF('Informe Kelly'!H3513=$A$3,'Informe Kelly'!F3513,VLOOKUP(D3519,$D$2:$F$4,3,FALSE))-(VLOOKUP(D3519,$D$2:$F$4,3,FALSE))</f>
        <v>#N/A</v>
      </c>
      <c r="G3519" s="137" t="e">
        <f t="shared" si="58"/>
        <v>#N/A</v>
      </c>
    </row>
    <row r="3520" spans="1:7">
      <c r="A3520" s="112" t="e">
        <f>VLOOKUP('Informe Kelly'!A3514,Base!A:B,2,FALSE)</f>
        <v>#N/A</v>
      </c>
      <c r="B3520" s="112" t="e">
        <f>VLOOKUP('Informe Kelly'!A3514,Base!A:G,7,FALSE)</f>
        <v>#N/A</v>
      </c>
      <c r="C3520" s="112">
        <f>'Informe Kelly'!E3514</f>
        <v>0</v>
      </c>
      <c r="D3520" s="112" t="e">
        <f>VLOOKUP(A3520,Ingreso!K:P,6,FALSE)</f>
        <v>#N/A</v>
      </c>
      <c r="E3520" s="142" t="e">
        <f>(VLOOKUP(D3520,$D$2:$E$4,2,FALSE))-(IF('Informe Kelly'!H3514=$A$2,'Informe Kelly'!F3514,VLOOKUP(D3520,$D$2:$E$4,2,FALSE)))</f>
        <v>#N/A</v>
      </c>
      <c r="F3520" s="142" t="e">
        <f>IF('Informe Kelly'!H3514=$A$3,'Informe Kelly'!F3514,VLOOKUP(D3520,$D$2:$F$4,3,FALSE))-(VLOOKUP(D3520,$D$2:$F$4,3,FALSE))</f>
        <v>#N/A</v>
      </c>
      <c r="G3520" s="137" t="e">
        <f t="shared" si="58"/>
        <v>#N/A</v>
      </c>
    </row>
    <row r="3521" spans="1:7">
      <c r="A3521" s="112" t="e">
        <f>VLOOKUP('Informe Kelly'!A3515,Base!A:B,2,FALSE)</f>
        <v>#N/A</v>
      </c>
      <c r="B3521" s="112" t="e">
        <f>VLOOKUP('Informe Kelly'!A3515,Base!A:G,7,FALSE)</f>
        <v>#N/A</v>
      </c>
      <c r="C3521" s="112">
        <f>'Informe Kelly'!E3515</f>
        <v>0</v>
      </c>
      <c r="D3521" s="112" t="e">
        <f>VLOOKUP(A3521,Ingreso!K:P,6,FALSE)</f>
        <v>#N/A</v>
      </c>
      <c r="E3521" s="142" t="e">
        <f>(VLOOKUP(D3521,$D$2:$E$4,2,FALSE))-(IF('Informe Kelly'!H3515=$A$2,'Informe Kelly'!F3515,VLOOKUP(D3521,$D$2:$E$4,2,FALSE)))</f>
        <v>#N/A</v>
      </c>
      <c r="F3521" s="142" t="e">
        <f>IF('Informe Kelly'!H3515=$A$3,'Informe Kelly'!F3515,VLOOKUP(D3521,$D$2:$F$4,3,FALSE))-(VLOOKUP(D3521,$D$2:$F$4,3,FALSE))</f>
        <v>#N/A</v>
      </c>
      <c r="G3521" s="137" t="e">
        <f t="shared" si="58"/>
        <v>#N/A</v>
      </c>
    </row>
    <row r="3522" spans="1:7">
      <c r="A3522" s="112" t="e">
        <f>VLOOKUP('Informe Kelly'!A3516,Base!A:B,2,FALSE)</f>
        <v>#N/A</v>
      </c>
      <c r="B3522" s="112" t="e">
        <f>VLOOKUP('Informe Kelly'!A3516,Base!A:G,7,FALSE)</f>
        <v>#N/A</v>
      </c>
      <c r="C3522" s="112">
        <f>'Informe Kelly'!E3516</f>
        <v>0</v>
      </c>
      <c r="D3522" s="112" t="e">
        <f>VLOOKUP(A3522,Ingreso!K:P,6,FALSE)</f>
        <v>#N/A</v>
      </c>
      <c r="E3522" s="142" t="e">
        <f>(VLOOKUP(D3522,$D$2:$E$4,2,FALSE))-(IF('Informe Kelly'!H3516=$A$2,'Informe Kelly'!F3516,VLOOKUP(D3522,$D$2:$E$4,2,FALSE)))</f>
        <v>#N/A</v>
      </c>
      <c r="F3522" s="142" t="e">
        <f>IF('Informe Kelly'!H3516=$A$3,'Informe Kelly'!F3516,VLOOKUP(D3522,$D$2:$F$4,3,FALSE))-(VLOOKUP(D3522,$D$2:$F$4,3,FALSE))</f>
        <v>#N/A</v>
      </c>
      <c r="G3522" s="137" t="e">
        <f t="shared" si="58"/>
        <v>#N/A</v>
      </c>
    </row>
    <row r="3523" spans="1:7">
      <c r="A3523" s="112" t="e">
        <f>VLOOKUP('Informe Kelly'!A3517,Base!A:B,2,FALSE)</f>
        <v>#N/A</v>
      </c>
      <c r="B3523" s="112" t="e">
        <f>VLOOKUP('Informe Kelly'!A3517,Base!A:G,7,FALSE)</f>
        <v>#N/A</v>
      </c>
      <c r="C3523" s="112">
        <f>'Informe Kelly'!E3517</f>
        <v>0</v>
      </c>
      <c r="D3523" s="112" t="e">
        <f>VLOOKUP(A3523,Ingreso!K:P,6,FALSE)</f>
        <v>#N/A</v>
      </c>
      <c r="E3523" s="142" t="e">
        <f>(VLOOKUP(D3523,$D$2:$E$4,2,FALSE))-(IF('Informe Kelly'!H3517=$A$2,'Informe Kelly'!F3517,VLOOKUP(D3523,$D$2:$E$4,2,FALSE)))</f>
        <v>#N/A</v>
      </c>
      <c r="F3523" s="142" t="e">
        <f>IF('Informe Kelly'!H3517=$A$3,'Informe Kelly'!F3517,VLOOKUP(D3523,$D$2:$F$4,3,FALSE))-(VLOOKUP(D3523,$D$2:$F$4,3,FALSE))</f>
        <v>#N/A</v>
      </c>
      <c r="G3523" s="137" t="e">
        <f t="shared" si="58"/>
        <v>#N/A</v>
      </c>
    </row>
    <row r="3524" spans="1:7">
      <c r="A3524" s="112" t="e">
        <f>VLOOKUP('Informe Kelly'!A3518,Base!A:B,2,FALSE)</f>
        <v>#N/A</v>
      </c>
      <c r="B3524" s="112" t="e">
        <f>VLOOKUP('Informe Kelly'!A3518,Base!A:G,7,FALSE)</f>
        <v>#N/A</v>
      </c>
      <c r="C3524" s="112">
        <f>'Informe Kelly'!E3518</f>
        <v>0</v>
      </c>
      <c r="D3524" s="112" t="e">
        <f>VLOOKUP(A3524,Ingreso!K:P,6,FALSE)</f>
        <v>#N/A</v>
      </c>
      <c r="E3524" s="142" t="e">
        <f>(VLOOKUP(D3524,$D$2:$E$4,2,FALSE))-(IF('Informe Kelly'!H3518=$A$2,'Informe Kelly'!F3518,VLOOKUP(D3524,$D$2:$E$4,2,FALSE)))</f>
        <v>#N/A</v>
      </c>
      <c r="F3524" s="142" t="e">
        <f>IF('Informe Kelly'!H3518=$A$3,'Informe Kelly'!F3518,VLOOKUP(D3524,$D$2:$F$4,3,FALSE))-(VLOOKUP(D3524,$D$2:$F$4,3,FALSE))</f>
        <v>#N/A</v>
      </c>
      <c r="G3524" s="137" t="e">
        <f t="shared" si="58"/>
        <v>#N/A</v>
      </c>
    </row>
    <row r="3525" spans="1:7">
      <c r="A3525" s="112" t="e">
        <f>VLOOKUP('Informe Kelly'!A3519,Base!A:B,2,FALSE)</f>
        <v>#N/A</v>
      </c>
      <c r="B3525" s="112" t="e">
        <f>VLOOKUP('Informe Kelly'!A3519,Base!A:G,7,FALSE)</f>
        <v>#N/A</v>
      </c>
      <c r="C3525" s="112">
        <f>'Informe Kelly'!E3519</f>
        <v>0</v>
      </c>
      <c r="D3525" s="112" t="e">
        <f>VLOOKUP(A3525,Ingreso!K:P,6,FALSE)</f>
        <v>#N/A</v>
      </c>
      <c r="E3525" s="142" t="e">
        <f>(VLOOKUP(D3525,$D$2:$E$4,2,FALSE))-(IF('Informe Kelly'!H3519=$A$2,'Informe Kelly'!F3519,VLOOKUP(D3525,$D$2:$E$4,2,FALSE)))</f>
        <v>#N/A</v>
      </c>
      <c r="F3525" s="142" t="e">
        <f>IF('Informe Kelly'!H3519=$A$3,'Informe Kelly'!F3519,VLOOKUP(D3525,$D$2:$F$4,3,FALSE))-(VLOOKUP(D3525,$D$2:$F$4,3,FALSE))</f>
        <v>#N/A</v>
      </c>
      <c r="G3525" s="137" t="e">
        <f t="shared" si="58"/>
        <v>#N/A</v>
      </c>
    </row>
    <row r="3526" spans="1:7">
      <c r="A3526" s="112" t="e">
        <f>VLOOKUP('Informe Kelly'!A3520,Base!A:B,2,FALSE)</f>
        <v>#N/A</v>
      </c>
      <c r="B3526" s="112" t="e">
        <f>VLOOKUP('Informe Kelly'!A3520,Base!A:G,7,FALSE)</f>
        <v>#N/A</v>
      </c>
      <c r="C3526" s="112">
        <f>'Informe Kelly'!E3520</f>
        <v>0</v>
      </c>
      <c r="D3526" s="112" t="e">
        <f>VLOOKUP(A3526,Ingreso!K:P,6,FALSE)</f>
        <v>#N/A</v>
      </c>
      <c r="E3526" s="142" t="e">
        <f>(VLOOKUP(D3526,$D$2:$E$4,2,FALSE))-(IF('Informe Kelly'!H3520=$A$2,'Informe Kelly'!F3520,VLOOKUP(D3526,$D$2:$E$4,2,FALSE)))</f>
        <v>#N/A</v>
      </c>
      <c r="F3526" s="142" t="e">
        <f>IF('Informe Kelly'!H3520=$A$3,'Informe Kelly'!F3520,VLOOKUP(D3526,$D$2:$F$4,3,FALSE))-(VLOOKUP(D3526,$D$2:$F$4,3,FALSE))</f>
        <v>#N/A</v>
      </c>
      <c r="G3526" s="137" t="e">
        <f t="shared" si="58"/>
        <v>#N/A</v>
      </c>
    </row>
    <row r="3527" spans="1:7">
      <c r="A3527" s="112" t="e">
        <f>VLOOKUP('Informe Kelly'!A3521,Base!A:B,2,FALSE)</f>
        <v>#N/A</v>
      </c>
      <c r="B3527" s="112" t="e">
        <f>VLOOKUP('Informe Kelly'!A3521,Base!A:G,7,FALSE)</f>
        <v>#N/A</v>
      </c>
      <c r="C3527" s="112">
        <f>'Informe Kelly'!E3521</f>
        <v>0</v>
      </c>
      <c r="D3527" s="112" t="e">
        <f>VLOOKUP(A3527,Ingreso!K:P,6,FALSE)</f>
        <v>#N/A</v>
      </c>
      <c r="E3527" s="142" t="e">
        <f>(VLOOKUP(D3527,$D$2:$E$4,2,FALSE))-(IF('Informe Kelly'!H3521=$A$2,'Informe Kelly'!F3521,VLOOKUP(D3527,$D$2:$E$4,2,FALSE)))</f>
        <v>#N/A</v>
      </c>
      <c r="F3527" s="142" t="e">
        <f>IF('Informe Kelly'!H3521=$A$3,'Informe Kelly'!F3521,VLOOKUP(D3527,$D$2:$F$4,3,FALSE))-(VLOOKUP(D3527,$D$2:$F$4,3,FALSE))</f>
        <v>#N/A</v>
      </c>
      <c r="G3527" s="137" t="e">
        <f t="shared" si="58"/>
        <v>#N/A</v>
      </c>
    </row>
    <row r="3528" spans="1:7">
      <c r="A3528" s="112" t="e">
        <f>VLOOKUP('Informe Kelly'!A3522,Base!A:B,2,FALSE)</f>
        <v>#N/A</v>
      </c>
      <c r="B3528" s="112" t="e">
        <f>VLOOKUP('Informe Kelly'!A3522,Base!A:G,7,FALSE)</f>
        <v>#N/A</v>
      </c>
      <c r="C3528" s="112">
        <f>'Informe Kelly'!E3522</f>
        <v>0</v>
      </c>
      <c r="D3528" s="112" t="e">
        <f>VLOOKUP(A3528,Ingreso!K:P,6,FALSE)</f>
        <v>#N/A</v>
      </c>
      <c r="E3528" s="142" t="e">
        <f>(VLOOKUP(D3528,$D$2:$E$4,2,FALSE))-(IF('Informe Kelly'!H3522=$A$2,'Informe Kelly'!F3522,VLOOKUP(D3528,$D$2:$E$4,2,FALSE)))</f>
        <v>#N/A</v>
      </c>
      <c r="F3528" s="142" t="e">
        <f>IF('Informe Kelly'!H3522=$A$3,'Informe Kelly'!F3522,VLOOKUP(D3528,$D$2:$F$4,3,FALSE))-(VLOOKUP(D3528,$D$2:$F$4,3,FALSE))</f>
        <v>#N/A</v>
      </c>
      <c r="G3528" s="137" t="e">
        <f t="shared" si="58"/>
        <v>#N/A</v>
      </c>
    </row>
    <row r="3529" spans="1:7">
      <c r="A3529" s="112" t="e">
        <f>VLOOKUP('Informe Kelly'!A3523,Base!A:B,2,FALSE)</f>
        <v>#N/A</v>
      </c>
      <c r="B3529" s="112" t="e">
        <f>VLOOKUP('Informe Kelly'!A3523,Base!A:G,7,FALSE)</f>
        <v>#N/A</v>
      </c>
      <c r="C3529" s="112">
        <f>'Informe Kelly'!E3523</f>
        <v>0</v>
      </c>
      <c r="D3529" s="112" t="e">
        <f>VLOOKUP(A3529,Ingreso!K:P,6,FALSE)</f>
        <v>#N/A</v>
      </c>
      <c r="E3529" s="142" t="e">
        <f>(VLOOKUP(D3529,$D$2:$E$4,2,FALSE))-(IF('Informe Kelly'!H3523=$A$2,'Informe Kelly'!F3523,VLOOKUP(D3529,$D$2:$E$4,2,FALSE)))</f>
        <v>#N/A</v>
      </c>
      <c r="F3529" s="142" t="e">
        <f>IF('Informe Kelly'!H3523=$A$3,'Informe Kelly'!F3523,VLOOKUP(D3529,$D$2:$F$4,3,FALSE))-(VLOOKUP(D3529,$D$2:$F$4,3,FALSE))</f>
        <v>#N/A</v>
      </c>
      <c r="G3529" s="137" t="e">
        <f t="shared" ref="G3529:G3592" si="59">IF(E3529="",IF(F3529&lt;0.0409722222222222,0,E3529),IF(E3529&lt;0.0409722222222222,0,E3529))</f>
        <v>#N/A</v>
      </c>
    </row>
    <row r="3530" spans="1:7">
      <c r="A3530" s="112" t="e">
        <f>VLOOKUP('Informe Kelly'!A3524,Base!A:B,2,FALSE)</f>
        <v>#N/A</v>
      </c>
      <c r="B3530" s="112" t="e">
        <f>VLOOKUP('Informe Kelly'!A3524,Base!A:G,7,FALSE)</f>
        <v>#N/A</v>
      </c>
      <c r="C3530" s="112">
        <f>'Informe Kelly'!E3524</f>
        <v>0</v>
      </c>
      <c r="D3530" s="112" t="e">
        <f>VLOOKUP(A3530,Ingreso!K:P,6,FALSE)</f>
        <v>#N/A</v>
      </c>
      <c r="E3530" s="142" t="e">
        <f>(VLOOKUP(D3530,$D$2:$E$4,2,FALSE))-(IF('Informe Kelly'!H3524=$A$2,'Informe Kelly'!F3524,VLOOKUP(D3530,$D$2:$E$4,2,FALSE)))</f>
        <v>#N/A</v>
      </c>
      <c r="F3530" s="142" t="e">
        <f>IF('Informe Kelly'!H3524=$A$3,'Informe Kelly'!F3524,VLOOKUP(D3530,$D$2:$F$4,3,FALSE))-(VLOOKUP(D3530,$D$2:$F$4,3,FALSE))</f>
        <v>#N/A</v>
      </c>
      <c r="G3530" s="137" t="e">
        <f t="shared" si="59"/>
        <v>#N/A</v>
      </c>
    </row>
    <row r="3531" spans="1:7">
      <c r="A3531" s="112" t="e">
        <f>VLOOKUP('Informe Kelly'!A3525,Base!A:B,2,FALSE)</f>
        <v>#N/A</v>
      </c>
      <c r="B3531" s="112" t="e">
        <f>VLOOKUP('Informe Kelly'!A3525,Base!A:G,7,FALSE)</f>
        <v>#N/A</v>
      </c>
      <c r="C3531" s="112">
        <f>'Informe Kelly'!E3525</f>
        <v>0</v>
      </c>
      <c r="D3531" s="112" t="e">
        <f>VLOOKUP(A3531,Ingreso!K:P,6,FALSE)</f>
        <v>#N/A</v>
      </c>
      <c r="E3531" s="142" t="e">
        <f>(VLOOKUP(D3531,$D$2:$E$4,2,FALSE))-(IF('Informe Kelly'!H3525=$A$2,'Informe Kelly'!F3525,VLOOKUP(D3531,$D$2:$E$4,2,FALSE)))</f>
        <v>#N/A</v>
      </c>
      <c r="F3531" s="142" t="e">
        <f>IF('Informe Kelly'!H3525=$A$3,'Informe Kelly'!F3525,VLOOKUP(D3531,$D$2:$F$4,3,FALSE))-(VLOOKUP(D3531,$D$2:$F$4,3,FALSE))</f>
        <v>#N/A</v>
      </c>
      <c r="G3531" s="137" t="e">
        <f t="shared" si="59"/>
        <v>#N/A</v>
      </c>
    </row>
    <row r="3532" spans="1:7">
      <c r="A3532" s="112" t="e">
        <f>VLOOKUP('Informe Kelly'!A3526,Base!A:B,2,FALSE)</f>
        <v>#N/A</v>
      </c>
      <c r="B3532" s="112" t="e">
        <f>VLOOKUP('Informe Kelly'!A3526,Base!A:G,7,FALSE)</f>
        <v>#N/A</v>
      </c>
      <c r="C3532" s="112">
        <f>'Informe Kelly'!E3526</f>
        <v>0</v>
      </c>
      <c r="D3532" s="112" t="e">
        <f>VLOOKUP(A3532,Ingreso!K:P,6,FALSE)</f>
        <v>#N/A</v>
      </c>
      <c r="E3532" s="142" t="e">
        <f>(VLOOKUP(D3532,$D$2:$E$4,2,FALSE))-(IF('Informe Kelly'!H3526=$A$2,'Informe Kelly'!F3526,VLOOKUP(D3532,$D$2:$E$4,2,FALSE)))</f>
        <v>#N/A</v>
      </c>
      <c r="F3532" s="142" t="e">
        <f>IF('Informe Kelly'!H3526=$A$3,'Informe Kelly'!F3526,VLOOKUP(D3532,$D$2:$F$4,3,FALSE))-(VLOOKUP(D3532,$D$2:$F$4,3,FALSE))</f>
        <v>#N/A</v>
      </c>
      <c r="G3532" s="137" t="e">
        <f t="shared" si="59"/>
        <v>#N/A</v>
      </c>
    </row>
    <row r="3533" spans="1:7">
      <c r="A3533" s="112" t="e">
        <f>VLOOKUP('Informe Kelly'!A3527,Base!A:B,2,FALSE)</f>
        <v>#N/A</v>
      </c>
      <c r="B3533" s="112" t="e">
        <f>VLOOKUP('Informe Kelly'!A3527,Base!A:G,7,FALSE)</f>
        <v>#N/A</v>
      </c>
      <c r="C3533" s="112">
        <f>'Informe Kelly'!E3527</f>
        <v>0</v>
      </c>
      <c r="D3533" s="112" t="e">
        <f>VLOOKUP(A3533,Ingreso!K:P,6,FALSE)</f>
        <v>#N/A</v>
      </c>
      <c r="E3533" s="142" t="e">
        <f>(VLOOKUP(D3533,$D$2:$E$4,2,FALSE))-(IF('Informe Kelly'!H3527=$A$2,'Informe Kelly'!F3527,VLOOKUP(D3533,$D$2:$E$4,2,FALSE)))</f>
        <v>#N/A</v>
      </c>
      <c r="F3533" s="142" t="e">
        <f>IF('Informe Kelly'!H3527=$A$3,'Informe Kelly'!F3527,VLOOKUP(D3533,$D$2:$F$4,3,FALSE))-(VLOOKUP(D3533,$D$2:$F$4,3,FALSE))</f>
        <v>#N/A</v>
      </c>
      <c r="G3533" s="137" t="e">
        <f t="shared" si="59"/>
        <v>#N/A</v>
      </c>
    </row>
    <row r="3534" spans="1:7">
      <c r="A3534" s="112" t="e">
        <f>VLOOKUP('Informe Kelly'!A3528,Base!A:B,2,FALSE)</f>
        <v>#N/A</v>
      </c>
      <c r="B3534" s="112" t="e">
        <f>VLOOKUP('Informe Kelly'!A3528,Base!A:G,7,FALSE)</f>
        <v>#N/A</v>
      </c>
      <c r="C3534" s="112">
        <f>'Informe Kelly'!E3528</f>
        <v>0</v>
      </c>
      <c r="D3534" s="112" t="e">
        <f>VLOOKUP(A3534,Ingreso!K:P,6,FALSE)</f>
        <v>#N/A</v>
      </c>
      <c r="E3534" s="142" t="e">
        <f>(VLOOKUP(D3534,$D$2:$E$4,2,FALSE))-(IF('Informe Kelly'!H3528=$A$2,'Informe Kelly'!F3528,VLOOKUP(D3534,$D$2:$E$4,2,FALSE)))</f>
        <v>#N/A</v>
      </c>
      <c r="F3534" s="142" t="e">
        <f>IF('Informe Kelly'!H3528=$A$3,'Informe Kelly'!F3528,VLOOKUP(D3534,$D$2:$F$4,3,FALSE))-(VLOOKUP(D3534,$D$2:$F$4,3,FALSE))</f>
        <v>#N/A</v>
      </c>
      <c r="G3534" s="137" t="e">
        <f t="shared" si="59"/>
        <v>#N/A</v>
      </c>
    </row>
    <row r="3535" spans="1:7">
      <c r="A3535" s="112" t="e">
        <f>VLOOKUP('Informe Kelly'!A3529,Base!A:B,2,FALSE)</f>
        <v>#N/A</v>
      </c>
      <c r="B3535" s="112" t="e">
        <f>VLOOKUP('Informe Kelly'!A3529,Base!A:G,7,FALSE)</f>
        <v>#N/A</v>
      </c>
      <c r="C3535" s="112">
        <f>'Informe Kelly'!E3529</f>
        <v>0</v>
      </c>
      <c r="D3535" s="112" t="e">
        <f>VLOOKUP(A3535,Ingreso!K:P,6,FALSE)</f>
        <v>#N/A</v>
      </c>
      <c r="E3535" s="142" t="e">
        <f>(VLOOKUP(D3535,$D$2:$E$4,2,FALSE))-(IF('Informe Kelly'!H3529=$A$2,'Informe Kelly'!F3529,VLOOKUP(D3535,$D$2:$E$4,2,FALSE)))</f>
        <v>#N/A</v>
      </c>
      <c r="F3535" s="142" t="e">
        <f>IF('Informe Kelly'!H3529=$A$3,'Informe Kelly'!F3529,VLOOKUP(D3535,$D$2:$F$4,3,FALSE))-(VLOOKUP(D3535,$D$2:$F$4,3,FALSE))</f>
        <v>#N/A</v>
      </c>
      <c r="G3535" s="137" t="e">
        <f t="shared" si="59"/>
        <v>#N/A</v>
      </c>
    </row>
    <row r="3536" spans="1:7">
      <c r="A3536" s="112" t="e">
        <f>VLOOKUP('Informe Kelly'!A3530,Base!A:B,2,FALSE)</f>
        <v>#N/A</v>
      </c>
      <c r="B3536" s="112" t="e">
        <f>VLOOKUP('Informe Kelly'!A3530,Base!A:G,7,FALSE)</f>
        <v>#N/A</v>
      </c>
      <c r="C3536" s="112">
        <f>'Informe Kelly'!E3530</f>
        <v>0</v>
      </c>
      <c r="D3536" s="112" t="e">
        <f>VLOOKUP(A3536,Ingreso!K:P,6,FALSE)</f>
        <v>#N/A</v>
      </c>
      <c r="E3536" s="142" t="e">
        <f>(VLOOKUP(D3536,$D$2:$E$4,2,FALSE))-(IF('Informe Kelly'!H3530=$A$2,'Informe Kelly'!F3530,VLOOKUP(D3536,$D$2:$E$4,2,FALSE)))</f>
        <v>#N/A</v>
      </c>
      <c r="F3536" s="142" t="e">
        <f>IF('Informe Kelly'!H3530=$A$3,'Informe Kelly'!F3530,VLOOKUP(D3536,$D$2:$F$4,3,FALSE))-(VLOOKUP(D3536,$D$2:$F$4,3,FALSE))</f>
        <v>#N/A</v>
      </c>
      <c r="G3536" s="137" t="e">
        <f t="shared" si="59"/>
        <v>#N/A</v>
      </c>
    </row>
    <row r="3537" spans="1:7">
      <c r="A3537" s="112" t="e">
        <f>VLOOKUP('Informe Kelly'!A3531,Base!A:B,2,FALSE)</f>
        <v>#N/A</v>
      </c>
      <c r="B3537" s="112" t="e">
        <f>VLOOKUP('Informe Kelly'!A3531,Base!A:G,7,FALSE)</f>
        <v>#N/A</v>
      </c>
      <c r="C3537" s="112">
        <f>'Informe Kelly'!E3531</f>
        <v>0</v>
      </c>
      <c r="D3537" s="112" t="e">
        <f>VLOOKUP(A3537,Ingreso!K:P,6,FALSE)</f>
        <v>#N/A</v>
      </c>
      <c r="E3537" s="142" t="e">
        <f>(VLOOKUP(D3537,$D$2:$E$4,2,FALSE))-(IF('Informe Kelly'!H3531=$A$2,'Informe Kelly'!F3531,VLOOKUP(D3537,$D$2:$E$4,2,FALSE)))</f>
        <v>#N/A</v>
      </c>
      <c r="F3537" s="142" t="e">
        <f>IF('Informe Kelly'!H3531=$A$3,'Informe Kelly'!F3531,VLOOKUP(D3537,$D$2:$F$4,3,FALSE))-(VLOOKUP(D3537,$D$2:$F$4,3,FALSE))</f>
        <v>#N/A</v>
      </c>
      <c r="G3537" s="137" t="e">
        <f t="shared" si="59"/>
        <v>#N/A</v>
      </c>
    </row>
    <row r="3538" spans="1:7">
      <c r="A3538" s="112" t="e">
        <f>VLOOKUP('Informe Kelly'!A3532,Base!A:B,2,FALSE)</f>
        <v>#N/A</v>
      </c>
      <c r="B3538" s="112" t="e">
        <f>VLOOKUP('Informe Kelly'!A3532,Base!A:G,7,FALSE)</f>
        <v>#N/A</v>
      </c>
      <c r="C3538" s="112">
        <f>'Informe Kelly'!E3532</f>
        <v>0</v>
      </c>
      <c r="D3538" s="112" t="e">
        <f>VLOOKUP(A3538,Ingreso!K:P,6,FALSE)</f>
        <v>#N/A</v>
      </c>
      <c r="E3538" s="142" t="e">
        <f>(VLOOKUP(D3538,$D$2:$E$4,2,FALSE))-(IF('Informe Kelly'!H3532=$A$2,'Informe Kelly'!F3532,VLOOKUP(D3538,$D$2:$E$4,2,FALSE)))</f>
        <v>#N/A</v>
      </c>
      <c r="F3538" s="142" t="e">
        <f>IF('Informe Kelly'!H3532=$A$3,'Informe Kelly'!F3532,VLOOKUP(D3538,$D$2:$F$4,3,FALSE))-(VLOOKUP(D3538,$D$2:$F$4,3,FALSE))</f>
        <v>#N/A</v>
      </c>
      <c r="G3538" s="137" t="e">
        <f t="shared" si="59"/>
        <v>#N/A</v>
      </c>
    </row>
    <row r="3539" spans="1:7">
      <c r="A3539" s="112" t="e">
        <f>VLOOKUP('Informe Kelly'!A3533,Base!A:B,2,FALSE)</f>
        <v>#N/A</v>
      </c>
      <c r="B3539" s="112" t="e">
        <f>VLOOKUP('Informe Kelly'!A3533,Base!A:G,7,FALSE)</f>
        <v>#N/A</v>
      </c>
      <c r="C3539" s="112">
        <f>'Informe Kelly'!E3533</f>
        <v>0</v>
      </c>
      <c r="D3539" s="112" t="e">
        <f>VLOOKUP(A3539,Ingreso!K:P,6,FALSE)</f>
        <v>#N/A</v>
      </c>
      <c r="E3539" s="142" t="e">
        <f>(VLOOKUP(D3539,$D$2:$E$4,2,FALSE))-(IF('Informe Kelly'!H3533=$A$2,'Informe Kelly'!F3533,VLOOKUP(D3539,$D$2:$E$4,2,FALSE)))</f>
        <v>#N/A</v>
      </c>
      <c r="F3539" s="142" t="e">
        <f>IF('Informe Kelly'!H3533=$A$3,'Informe Kelly'!F3533,VLOOKUP(D3539,$D$2:$F$4,3,FALSE))-(VLOOKUP(D3539,$D$2:$F$4,3,FALSE))</f>
        <v>#N/A</v>
      </c>
      <c r="G3539" s="137" t="e">
        <f t="shared" si="59"/>
        <v>#N/A</v>
      </c>
    </row>
    <row r="3540" spans="1:7">
      <c r="A3540" s="112" t="e">
        <f>VLOOKUP('Informe Kelly'!A3534,Base!A:B,2,FALSE)</f>
        <v>#N/A</v>
      </c>
      <c r="B3540" s="112" t="e">
        <f>VLOOKUP('Informe Kelly'!A3534,Base!A:G,7,FALSE)</f>
        <v>#N/A</v>
      </c>
      <c r="C3540" s="112">
        <f>'Informe Kelly'!E3534</f>
        <v>0</v>
      </c>
      <c r="D3540" s="112" t="e">
        <f>VLOOKUP(A3540,Ingreso!K:P,6,FALSE)</f>
        <v>#N/A</v>
      </c>
      <c r="E3540" s="142" t="e">
        <f>(VLOOKUP(D3540,$D$2:$E$4,2,FALSE))-(IF('Informe Kelly'!H3534=$A$2,'Informe Kelly'!F3534,VLOOKUP(D3540,$D$2:$E$4,2,FALSE)))</f>
        <v>#N/A</v>
      </c>
      <c r="F3540" s="142" t="e">
        <f>IF('Informe Kelly'!H3534=$A$3,'Informe Kelly'!F3534,VLOOKUP(D3540,$D$2:$F$4,3,FALSE))-(VLOOKUP(D3540,$D$2:$F$4,3,FALSE))</f>
        <v>#N/A</v>
      </c>
      <c r="G3540" s="137" t="e">
        <f t="shared" si="59"/>
        <v>#N/A</v>
      </c>
    </row>
    <row r="3541" spans="1:7">
      <c r="A3541" s="112" t="e">
        <f>VLOOKUP('Informe Kelly'!A3535,Base!A:B,2,FALSE)</f>
        <v>#N/A</v>
      </c>
      <c r="B3541" s="112" t="e">
        <f>VLOOKUP('Informe Kelly'!A3535,Base!A:G,7,FALSE)</f>
        <v>#N/A</v>
      </c>
      <c r="C3541" s="112">
        <f>'Informe Kelly'!E3535</f>
        <v>0</v>
      </c>
      <c r="D3541" s="112" t="e">
        <f>VLOOKUP(A3541,Ingreso!K:P,6,FALSE)</f>
        <v>#N/A</v>
      </c>
      <c r="E3541" s="142" t="e">
        <f>(VLOOKUP(D3541,$D$2:$E$4,2,FALSE))-(IF('Informe Kelly'!H3535=$A$2,'Informe Kelly'!F3535,VLOOKUP(D3541,$D$2:$E$4,2,FALSE)))</f>
        <v>#N/A</v>
      </c>
      <c r="F3541" s="142" t="e">
        <f>IF('Informe Kelly'!H3535=$A$3,'Informe Kelly'!F3535,VLOOKUP(D3541,$D$2:$F$4,3,FALSE))-(VLOOKUP(D3541,$D$2:$F$4,3,FALSE))</f>
        <v>#N/A</v>
      </c>
      <c r="G3541" s="137" t="e">
        <f t="shared" si="59"/>
        <v>#N/A</v>
      </c>
    </row>
    <row r="3542" spans="1:7">
      <c r="A3542" s="112" t="e">
        <f>VLOOKUP('Informe Kelly'!A3536,Base!A:B,2,FALSE)</f>
        <v>#N/A</v>
      </c>
      <c r="B3542" s="112" t="e">
        <f>VLOOKUP('Informe Kelly'!A3536,Base!A:G,7,FALSE)</f>
        <v>#N/A</v>
      </c>
      <c r="C3542" s="112">
        <f>'Informe Kelly'!E3536</f>
        <v>0</v>
      </c>
      <c r="D3542" s="112" t="e">
        <f>VLOOKUP(A3542,Ingreso!K:P,6,FALSE)</f>
        <v>#N/A</v>
      </c>
      <c r="E3542" s="142" t="e">
        <f>(VLOOKUP(D3542,$D$2:$E$4,2,FALSE))-(IF('Informe Kelly'!H3536=$A$2,'Informe Kelly'!F3536,VLOOKUP(D3542,$D$2:$E$4,2,FALSE)))</f>
        <v>#N/A</v>
      </c>
      <c r="F3542" s="142" t="e">
        <f>IF('Informe Kelly'!H3536=$A$3,'Informe Kelly'!F3536,VLOOKUP(D3542,$D$2:$F$4,3,FALSE))-(VLOOKUP(D3542,$D$2:$F$4,3,FALSE))</f>
        <v>#N/A</v>
      </c>
      <c r="G3542" s="137" t="e">
        <f t="shared" si="59"/>
        <v>#N/A</v>
      </c>
    </row>
    <row r="3543" spans="1:7">
      <c r="A3543" s="112" t="e">
        <f>VLOOKUP('Informe Kelly'!A3537,Base!A:B,2,FALSE)</f>
        <v>#N/A</v>
      </c>
      <c r="B3543" s="112" t="e">
        <f>VLOOKUP('Informe Kelly'!A3537,Base!A:G,7,FALSE)</f>
        <v>#N/A</v>
      </c>
      <c r="C3543" s="112">
        <f>'Informe Kelly'!E3537</f>
        <v>0</v>
      </c>
      <c r="D3543" s="112" t="e">
        <f>VLOOKUP(A3543,Ingreso!K:P,6,FALSE)</f>
        <v>#N/A</v>
      </c>
      <c r="E3543" s="142" t="e">
        <f>(VLOOKUP(D3543,$D$2:$E$4,2,FALSE))-(IF('Informe Kelly'!H3537=$A$2,'Informe Kelly'!F3537,VLOOKUP(D3543,$D$2:$E$4,2,FALSE)))</f>
        <v>#N/A</v>
      </c>
      <c r="F3543" s="142" t="e">
        <f>IF('Informe Kelly'!H3537=$A$3,'Informe Kelly'!F3537,VLOOKUP(D3543,$D$2:$F$4,3,FALSE))-(VLOOKUP(D3543,$D$2:$F$4,3,FALSE))</f>
        <v>#N/A</v>
      </c>
      <c r="G3543" s="137" t="e">
        <f t="shared" si="59"/>
        <v>#N/A</v>
      </c>
    </row>
    <row r="3544" spans="1:7">
      <c r="A3544" s="112" t="e">
        <f>VLOOKUP('Informe Kelly'!A3538,Base!A:B,2,FALSE)</f>
        <v>#N/A</v>
      </c>
      <c r="B3544" s="112" t="e">
        <f>VLOOKUP('Informe Kelly'!A3538,Base!A:G,7,FALSE)</f>
        <v>#N/A</v>
      </c>
      <c r="C3544" s="112">
        <f>'Informe Kelly'!E3538</f>
        <v>0</v>
      </c>
      <c r="D3544" s="112" t="e">
        <f>VLOOKUP(A3544,Ingreso!K:P,6,FALSE)</f>
        <v>#N/A</v>
      </c>
      <c r="E3544" s="142" t="e">
        <f>(VLOOKUP(D3544,$D$2:$E$4,2,FALSE))-(IF('Informe Kelly'!H3538=$A$2,'Informe Kelly'!F3538,VLOOKUP(D3544,$D$2:$E$4,2,FALSE)))</f>
        <v>#N/A</v>
      </c>
      <c r="F3544" s="142" t="e">
        <f>IF('Informe Kelly'!H3538=$A$3,'Informe Kelly'!F3538,VLOOKUP(D3544,$D$2:$F$4,3,FALSE))-(VLOOKUP(D3544,$D$2:$F$4,3,FALSE))</f>
        <v>#N/A</v>
      </c>
      <c r="G3544" s="137" t="e">
        <f t="shared" si="59"/>
        <v>#N/A</v>
      </c>
    </row>
    <row r="3545" spans="1:7">
      <c r="A3545" s="112" t="e">
        <f>VLOOKUP('Informe Kelly'!A3539,Base!A:B,2,FALSE)</f>
        <v>#N/A</v>
      </c>
      <c r="B3545" s="112" t="e">
        <f>VLOOKUP('Informe Kelly'!A3539,Base!A:G,7,FALSE)</f>
        <v>#N/A</v>
      </c>
      <c r="C3545" s="112">
        <f>'Informe Kelly'!E3539</f>
        <v>0</v>
      </c>
      <c r="D3545" s="112" t="e">
        <f>VLOOKUP(A3545,Ingreso!K:P,6,FALSE)</f>
        <v>#N/A</v>
      </c>
      <c r="E3545" s="142" t="e">
        <f>(VLOOKUP(D3545,$D$2:$E$4,2,FALSE))-(IF('Informe Kelly'!H3539=$A$2,'Informe Kelly'!F3539,VLOOKUP(D3545,$D$2:$E$4,2,FALSE)))</f>
        <v>#N/A</v>
      </c>
      <c r="F3545" s="142" t="e">
        <f>IF('Informe Kelly'!H3539=$A$3,'Informe Kelly'!F3539,VLOOKUP(D3545,$D$2:$F$4,3,FALSE))-(VLOOKUP(D3545,$D$2:$F$4,3,FALSE))</f>
        <v>#N/A</v>
      </c>
      <c r="G3545" s="137" t="e">
        <f t="shared" si="59"/>
        <v>#N/A</v>
      </c>
    </row>
    <row r="3546" spans="1:7">
      <c r="A3546" s="112" t="e">
        <f>VLOOKUP('Informe Kelly'!A3540,Base!A:B,2,FALSE)</f>
        <v>#N/A</v>
      </c>
      <c r="B3546" s="112" t="e">
        <f>VLOOKUP('Informe Kelly'!A3540,Base!A:G,7,FALSE)</f>
        <v>#N/A</v>
      </c>
      <c r="C3546" s="112">
        <f>'Informe Kelly'!E3540</f>
        <v>0</v>
      </c>
      <c r="D3546" s="112" t="e">
        <f>VLOOKUP(A3546,Ingreso!K:P,6,FALSE)</f>
        <v>#N/A</v>
      </c>
      <c r="E3546" s="142" t="e">
        <f>(VLOOKUP(D3546,$D$2:$E$4,2,FALSE))-(IF('Informe Kelly'!H3540=$A$2,'Informe Kelly'!F3540,VLOOKUP(D3546,$D$2:$E$4,2,FALSE)))</f>
        <v>#N/A</v>
      </c>
      <c r="F3546" s="142" t="e">
        <f>IF('Informe Kelly'!H3540=$A$3,'Informe Kelly'!F3540,VLOOKUP(D3546,$D$2:$F$4,3,FALSE))-(VLOOKUP(D3546,$D$2:$F$4,3,FALSE))</f>
        <v>#N/A</v>
      </c>
      <c r="G3546" s="137" t="e">
        <f t="shared" si="59"/>
        <v>#N/A</v>
      </c>
    </row>
    <row r="3547" spans="1:7">
      <c r="A3547" s="112" t="e">
        <f>VLOOKUP('Informe Kelly'!A3541,Base!A:B,2,FALSE)</f>
        <v>#N/A</v>
      </c>
      <c r="B3547" s="112" t="e">
        <f>VLOOKUP('Informe Kelly'!A3541,Base!A:G,7,FALSE)</f>
        <v>#N/A</v>
      </c>
      <c r="C3547" s="112">
        <f>'Informe Kelly'!E3541</f>
        <v>0</v>
      </c>
      <c r="D3547" s="112" t="e">
        <f>VLOOKUP(A3547,Ingreso!K:P,6,FALSE)</f>
        <v>#N/A</v>
      </c>
      <c r="E3547" s="142" t="e">
        <f>(VLOOKUP(D3547,$D$2:$E$4,2,FALSE))-(IF('Informe Kelly'!H3541=$A$2,'Informe Kelly'!F3541,VLOOKUP(D3547,$D$2:$E$4,2,FALSE)))</f>
        <v>#N/A</v>
      </c>
      <c r="F3547" s="142" t="e">
        <f>IF('Informe Kelly'!H3541=$A$3,'Informe Kelly'!F3541,VLOOKUP(D3547,$D$2:$F$4,3,FALSE))-(VLOOKUP(D3547,$D$2:$F$4,3,FALSE))</f>
        <v>#N/A</v>
      </c>
      <c r="G3547" s="137" t="e">
        <f t="shared" si="59"/>
        <v>#N/A</v>
      </c>
    </row>
    <row r="3548" spans="1:7">
      <c r="A3548" s="112" t="e">
        <f>VLOOKUP('Informe Kelly'!A3542,Base!A:B,2,FALSE)</f>
        <v>#N/A</v>
      </c>
      <c r="B3548" s="112" t="e">
        <f>VLOOKUP('Informe Kelly'!A3542,Base!A:G,7,FALSE)</f>
        <v>#N/A</v>
      </c>
      <c r="C3548" s="112">
        <f>'Informe Kelly'!E3542</f>
        <v>0</v>
      </c>
      <c r="D3548" s="112" t="e">
        <f>VLOOKUP(A3548,Ingreso!K:P,6,FALSE)</f>
        <v>#N/A</v>
      </c>
      <c r="E3548" s="142" t="e">
        <f>(VLOOKUP(D3548,$D$2:$E$4,2,FALSE))-(IF('Informe Kelly'!H3542=$A$2,'Informe Kelly'!F3542,VLOOKUP(D3548,$D$2:$E$4,2,FALSE)))</f>
        <v>#N/A</v>
      </c>
      <c r="F3548" s="142" t="e">
        <f>IF('Informe Kelly'!H3542=$A$3,'Informe Kelly'!F3542,VLOOKUP(D3548,$D$2:$F$4,3,FALSE))-(VLOOKUP(D3548,$D$2:$F$4,3,FALSE))</f>
        <v>#N/A</v>
      </c>
      <c r="G3548" s="137" t="e">
        <f t="shared" si="59"/>
        <v>#N/A</v>
      </c>
    </row>
    <row r="3549" spans="1:7">
      <c r="A3549" s="112" t="e">
        <f>VLOOKUP('Informe Kelly'!A3543,Base!A:B,2,FALSE)</f>
        <v>#N/A</v>
      </c>
      <c r="B3549" s="112" t="e">
        <f>VLOOKUP('Informe Kelly'!A3543,Base!A:G,7,FALSE)</f>
        <v>#N/A</v>
      </c>
      <c r="C3549" s="112">
        <f>'Informe Kelly'!E3543</f>
        <v>0</v>
      </c>
      <c r="D3549" s="112" t="e">
        <f>VLOOKUP(A3549,Ingreso!K:P,6,FALSE)</f>
        <v>#N/A</v>
      </c>
      <c r="E3549" s="142" t="e">
        <f>(VLOOKUP(D3549,$D$2:$E$4,2,FALSE))-(IF('Informe Kelly'!H3543=$A$2,'Informe Kelly'!F3543,VLOOKUP(D3549,$D$2:$E$4,2,FALSE)))</f>
        <v>#N/A</v>
      </c>
      <c r="F3549" s="142" t="e">
        <f>IF('Informe Kelly'!H3543=$A$3,'Informe Kelly'!F3543,VLOOKUP(D3549,$D$2:$F$4,3,FALSE))-(VLOOKUP(D3549,$D$2:$F$4,3,FALSE))</f>
        <v>#N/A</v>
      </c>
      <c r="G3549" s="137" t="e">
        <f t="shared" si="59"/>
        <v>#N/A</v>
      </c>
    </row>
    <row r="3550" spans="1:7">
      <c r="A3550" s="112" t="e">
        <f>VLOOKUP('Informe Kelly'!A3544,Base!A:B,2,FALSE)</f>
        <v>#N/A</v>
      </c>
      <c r="B3550" s="112" t="e">
        <f>VLOOKUP('Informe Kelly'!A3544,Base!A:G,7,FALSE)</f>
        <v>#N/A</v>
      </c>
      <c r="C3550" s="112">
        <f>'Informe Kelly'!E3544</f>
        <v>0</v>
      </c>
      <c r="D3550" s="112" t="e">
        <f>VLOOKUP(A3550,Ingreso!K:P,6,FALSE)</f>
        <v>#N/A</v>
      </c>
      <c r="E3550" s="142" t="e">
        <f>(VLOOKUP(D3550,$D$2:$E$4,2,FALSE))-(IF('Informe Kelly'!H3544=$A$2,'Informe Kelly'!F3544,VLOOKUP(D3550,$D$2:$E$4,2,FALSE)))</f>
        <v>#N/A</v>
      </c>
      <c r="F3550" s="142" t="e">
        <f>IF('Informe Kelly'!H3544=$A$3,'Informe Kelly'!F3544,VLOOKUP(D3550,$D$2:$F$4,3,FALSE))-(VLOOKUP(D3550,$D$2:$F$4,3,FALSE))</f>
        <v>#N/A</v>
      </c>
      <c r="G3550" s="137" t="e">
        <f t="shared" si="59"/>
        <v>#N/A</v>
      </c>
    </row>
    <row r="3551" spans="1:7">
      <c r="A3551" s="112" t="e">
        <f>VLOOKUP('Informe Kelly'!A3545,Base!A:B,2,FALSE)</f>
        <v>#N/A</v>
      </c>
      <c r="B3551" s="112" t="e">
        <f>VLOOKUP('Informe Kelly'!A3545,Base!A:G,7,FALSE)</f>
        <v>#N/A</v>
      </c>
      <c r="C3551" s="112">
        <f>'Informe Kelly'!E3545</f>
        <v>0</v>
      </c>
      <c r="D3551" s="112" t="e">
        <f>VLOOKUP(A3551,Ingreso!K:P,6,FALSE)</f>
        <v>#N/A</v>
      </c>
      <c r="E3551" s="142" t="e">
        <f>(VLOOKUP(D3551,$D$2:$E$4,2,FALSE))-(IF('Informe Kelly'!H3545=$A$2,'Informe Kelly'!F3545,VLOOKUP(D3551,$D$2:$E$4,2,FALSE)))</f>
        <v>#N/A</v>
      </c>
      <c r="F3551" s="142" t="e">
        <f>IF('Informe Kelly'!H3545=$A$3,'Informe Kelly'!F3545,VLOOKUP(D3551,$D$2:$F$4,3,FALSE))-(VLOOKUP(D3551,$D$2:$F$4,3,FALSE))</f>
        <v>#N/A</v>
      </c>
      <c r="G3551" s="137" t="e">
        <f t="shared" si="59"/>
        <v>#N/A</v>
      </c>
    </row>
    <row r="3552" spans="1:7">
      <c r="A3552" s="112" t="e">
        <f>VLOOKUP('Informe Kelly'!A3546,Base!A:B,2,FALSE)</f>
        <v>#N/A</v>
      </c>
      <c r="B3552" s="112" t="e">
        <f>VLOOKUP('Informe Kelly'!A3546,Base!A:G,7,FALSE)</f>
        <v>#N/A</v>
      </c>
      <c r="C3552" s="112">
        <f>'Informe Kelly'!E3546</f>
        <v>0</v>
      </c>
      <c r="D3552" s="112" t="e">
        <f>VLOOKUP(A3552,Ingreso!K:P,6,FALSE)</f>
        <v>#N/A</v>
      </c>
      <c r="E3552" s="142" t="e">
        <f>(VLOOKUP(D3552,$D$2:$E$4,2,FALSE))-(IF('Informe Kelly'!H3546=$A$2,'Informe Kelly'!F3546,VLOOKUP(D3552,$D$2:$E$4,2,FALSE)))</f>
        <v>#N/A</v>
      </c>
      <c r="F3552" s="142" t="e">
        <f>IF('Informe Kelly'!H3546=$A$3,'Informe Kelly'!F3546,VLOOKUP(D3552,$D$2:$F$4,3,FALSE))-(VLOOKUP(D3552,$D$2:$F$4,3,FALSE))</f>
        <v>#N/A</v>
      </c>
      <c r="G3552" s="137" t="e">
        <f t="shared" si="59"/>
        <v>#N/A</v>
      </c>
    </row>
    <row r="3553" spans="1:7">
      <c r="A3553" s="112" t="e">
        <f>VLOOKUP('Informe Kelly'!A3547,Base!A:B,2,FALSE)</f>
        <v>#N/A</v>
      </c>
      <c r="B3553" s="112" t="e">
        <f>VLOOKUP('Informe Kelly'!A3547,Base!A:G,7,FALSE)</f>
        <v>#N/A</v>
      </c>
      <c r="C3553" s="112">
        <f>'Informe Kelly'!E3547</f>
        <v>0</v>
      </c>
      <c r="D3553" s="112" t="e">
        <f>VLOOKUP(A3553,Ingreso!K:P,6,FALSE)</f>
        <v>#N/A</v>
      </c>
      <c r="E3553" s="142" t="e">
        <f>(VLOOKUP(D3553,$D$2:$E$4,2,FALSE))-(IF('Informe Kelly'!H3547=$A$2,'Informe Kelly'!F3547,VLOOKUP(D3553,$D$2:$E$4,2,FALSE)))</f>
        <v>#N/A</v>
      </c>
      <c r="F3553" s="142" t="e">
        <f>IF('Informe Kelly'!H3547=$A$3,'Informe Kelly'!F3547,VLOOKUP(D3553,$D$2:$F$4,3,FALSE))-(VLOOKUP(D3553,$D$2:$F$4,3,FALSE))</f>
        <v>#N/A</v>
      </c>
      <c r="G3553" s="137" t="e">
        <f t="shared" si="59"/>
        <v>#N/A</v>
      </c>
    </row>
    <row r="3554" spans="1:7">
      <c r="A3554" s="112" t="e">
        <f>VLOOKUP('Informe Kelly'!A3548,Base!A:B,2,FALSE)</f>
        <v>#N/A</v>
      </c>
      <c r="B3554" s="112" t="e">
        <f>VLOOKUP('Informe Kelly'!A3548,Base!A:G,7,FALSE)</f>
        <v>#N/A</v>
      </c>
      <c r="C3554" s="112">
        <f>'Informe Kelly'!E3548</f>
        <v>0</v>
      </c>
      <c r="D3554" s="112" t="e">
        <f>VLOOKUP(A3554,Ingreso!K:P,6,FALSE)</f>
        <v>#N/A</v>
      </c>
      <c r="E3554" s="142" t="e">
        <f>(VLOOKUP(D3554,$D$2:$E$4,2,FALSE))-(IF('Informe Kelly'!H3548=$A$2,'Informe Kelly'!F3548,VLOOKUP(D3554,$D$2:$E$4,2,FALSE)))</f>
        <v>#N/A</v>
      </c>
      <c r="F3554" s="142" t="e">
        <f>IF('Informe Kelly'!H3548=$A$3,'Informe Kelly'!F3548,VLOOKUP(D3554,$D$2:$F$4,3,FALSE))-(VLOOKUP(D3554,$D$2:$F$4,3,FALSE))</f>
        <v>#N/A</v>
      </c>
      <c r="G3554" s="137" t="e">
        <f t="shared" si="59"/>
        <v>#N/A</v>
      </c>
    </row>
    <row r="3555" spans="1:7">
      <c r="A3555" s="112" t="e">
        <f>VLOOKUP('Informe Kelly'!A3549,Base!A:B,2,FALSE)</f>
        <v>#N/A</v>
      </c>
      <c r="B3555" s="112" t="e">
        <f>VLOOKUP('Informe Kelly'!A3549,Base!A:G,7,FALSE)</f>
        <v>#N/A</v>
      </c>
      <c r="C3555" s="112">
        <f>'Informe Kelly'!E3549</f>
        <v>0</v>
      </c>
      <c r="D3555" s="112" t="e">
        <f>VLOOKUP(A3555,Ingreso!K:P,6,FALSE)</f>
        <v>#N/A</v>
      </c>
      <c r="E3555" s="142" t="e">
        <f>(VLOOKUP(D3555,$D$2:$E$4,2,FALSE))-(IF('Informe Kelly'!H3549=$A$2,'Informe Kelly'!F3549,VLOOKUP(D3555,$D$2:$E$4,2,FALSE)))</f>
        <v>#N/A</v>
      </c>
      <c r="F3555" s="142" t="e">
        <f>IF('Informe Kelly'!H3549=$A$3,'Informe Kelly'!F3549,VLOOKUP(D3555,$D$2:$F$4,3,FALSE))-(VLOOKUP(D3555,$D$2:$F$4,3,FALSE))</f>
        <v>#N/A</v>
      </c>
      <c r="G3555" s="137" t="e">
        <f t="shared" si="59"/>
        <v>#N/A</v>
      </c>
    </row>
    <row r="3556" spans="1:7">
      <c r="A3556" s="112" t="e">
        <f>VLOOKUP('Informe Kelly'!A3550,Base!A:B,2,FALSE)</f>
        <v>#N/A</v>
      </c>
      <c r="B3556" s="112" t="e">
        <f>VLOOKUP('Informe Kelly'!A3550,Base!A:G,7,FALSE)</f>
        <v>#N/A</v>
      </c>
      <c r="C3556" s="112">
        <f>'Informe Kelly'!E3550</f>
        <v>0</v>
      </c>
      <c r="D3556" s="112" t="e">
        <f>VLOOKUP(A3556,Ingreso!K:P,6,FALSE)</f>
        <v>#N/A</v>
      </c>
      <c r="E3556" s="142" t="e">
        <f>(VLOOKUP(D3556,$D$2:$E$4,2,FALSE))-(IF('Informe Kelly'!H3550=$A$2,'Informe Kelly'!F3550,VLOOKUP(D3556,$D$2:$E$4,2,FALSE)))</f>
        <v>#N/A</v>
      </c>
      <c r="F3556" s="142" t="e">
        <f>IF('Informe Kelly'!H3550=$A$3,'Informe Kelly'!F3550,VLOOKUP(D3556,$D$2:$F$4,3,FALSE))-(VLOOKUP(D3556,$D$2:$F$4,3,FALSE))</f>
        <v>#N/A</v>
      </c>
      <c r="G3556" s="137" t="e">
        <f t="shared" si="59"/>
        <v>#N/A</v>
      </c>
    </row>
    <row r="3557" spans="1:7">
      <c r="A3557" s="112" t="e">
        <f>VLOOKUP('Informe Kelly'!A3551,Base!A:B,2,FALSE)</f>
        <v>#N/A</v>
      </c>
      <c r="B3557" s="112" t="e">
        <f>VLOOKUP('Informe Kelly'!A3551,Base!A:G,7,FALSE)</f>
        <v>#N/A</v>
      </c>
      <c r="C3557" s="112">
        <f>'Informe Kelly'!E3551</f>
        <v>0</v>
      </c>
      <c r="D3557" s="112" t="e">
        <f>VLOOKUP(A3557,Ingreso!K:P,6,FALSE)</f>
        <v>#N/A</v>
      </c>
      <c r="E3557" s="142" t="e">
        <f>(VLOOKUP(D3557,$D$2:$E$4,2,FALSE))-(IF('Informe Kelly'!H3551=$A$2,'Informe Kelly'!F3551,VLOOKUP(D3557,$D$2:$E$4,2,FALSE)))</f>
        <v>#N/A</v>
      </c>
      <c r="F3557" s="142" t="e">
        <f>IF('Informe Kelly'!H3551=$A$3,'Informe Kelly'!F3551,VLOOKUP(D3557,$D$2:$F$4,3,FALSE))-(VLOOKUP(D3557,$D$2:$F$4,3,FALSE))</f>
        <v>#N/A</v>
      </c>
      <c r="G3557" s="137" t="e">
        <f t="shared" si="59"/>
        <v>#N/A</v>
      </c>
    </row>
    <row r="3558" spans="1:7">
      <c r="A3558" s="112" t="e">
        <f>VLOOKUP('Informe Kelly'!A3552,Base!A:B,2,FALSE)</f>
        <v>#N/A</v>
      </c>
      <c r="B3558" s="112" t="e">
        <f>VLOOKUP('Informe Kelly'!A3552,Base!A:G,7,FALSE)</f>
        <v>#N/A</v>
      </c>
      <c r="C3558" s="112">
        <f>'Informe Kelly'!E3552</f>
        <v>0</v>
      </c>
      <c r="D3558" s="112" t="e">
        <f>VLOOKUP(A3558,Ingreso!K:P,6,FALSE)</f>
        <v>#N/A</v>
      </c>
      <c r="E3558" s="142" t="e">
        <f>(VLOOKUP(D3558,$D$2:$E$4,2,FALSE))-(IF('Informe Kelly'!H3552=$A$2,'Informe Kelly'!F3552,VLOOKUP(D3558,$D$2:$E$4,2,FALSE)))</f>
        <v>#N/A</v>
      </c>
      <c r="F3558" s="142" t="e">
        <f>IF('Informe Kelly'!H3552=$A$3,'Informe Kelly'!F3552,VLOOKUP(D3558,$D$2:$F$4,3,FALSE))-(VLOOKUP(D3558,$D$2:$F$4,3,FALSE))</f>
        <v>#N/A</v>
      </c>
      <c r="G3558" s="137" t="e">
        <f t="shared" si="59"/>
        <v>#N/A</v>
      </c>
    </row>
    <row r="3559" spans="1:7">
      <c r="A3559" s="112" t="e">
        <f>VLOOKUP('Informe Kelly'!A3553,Base!A:B,2,FALSE)</f>
        <v>#N/A</v>
      </c>
      <c r="B3559" s="112" t="e">
        <f>VLOOKUP('Informe Kelly'!A3553,Base!A:G,7,FALSE)</f>
        <v>#N/A</v>
      </c>
      <c r="C3559" s="112">
        <f>'Informe Kelly'!E3553</f>
        <v>0</v>
      </c>
      <c r="D3559" s="112" t="e">
        <f>VLOOKUP(A3559,Ingreso!K:P,6,FALSE)</f>
        <v>#N/A</v>
      </c>
      <c r="E3559" s="142" t="e">
        <f>(VLOOKUP(D3559,$D$2:$E$4,2,FALSE))-(IF('Informe Kelly'!H3553=$A$2,'Informe Kelly'!F3553,VLOOKUP(D3559,$D$2:$E$4,2,FALSE)))</f>
        <v>#N/A</v>
      </c>
      <c r="F3559" s="142" t="e">
        <f>IF('Informe Kelly'!H3553=$A$3,'Informe Kelly'!F3553,VLOOKUP(D3559,$D$2:$F$4,3,FALSE))-(VLOOKUP(D3559,$D$2:$F$4,3,FALSE))</f>
        <v>#N/A</v>
      </c>
      <c r="G3559" s="137" t="e">
        <f t="shared" si="59"/>
        <v>#N/A</v>
      </c>
    </row>
    <row r="3560" spans="1:7">
      <c r="A3560" s="112" t="e">
        <f>VLOOKUP('Informe Kelly'!A3554,Base!A:B,2,FALSE)</f>
        <v>#N/A</v>
      </c>
      <c r="B3560" s="112" t="e">
        <f>VLOOKUP('Informe Kelly'!A3554,Base!A:G,7,FALSE)</f>
        <v>#N/A</v>
      </c>
      <c r="C3560" s="112">
        <f>'Informe Kelly'!E3554</f>
        <v>0</v>
      </c>
      <c r="D3560" s="112" t="e">
        <f>VLOOKUP(A3560,Ingreso!K:P,6,FALSE)</f>
        <v>#N/A</v>
      </c>
      <c r="E3560" s="142" t="e">
        <f>(VLOOKUP(D3560,$D$2:$E$4,2,FALSE))-(IF('Informe Kelly'!H3554=$A$2,'Informe Kelly'!F3554,VLOOKUP(D3560,$D$2:$E$4,2,FALSE)))</f>
        <v>#N/A</v>
      </c>
      <c r="F3560" s="142" t="e">
        <f>IF('Informe Kelly'!H3554=$A$3,'Informe Kelly'!F3554,VLOOKUP(D3560,$D$2:$F$4,3,FALSE))-(VLOOKUP(D3560,$D$2:$F$4,3,FALSE))</f>
        <v>#N/A</v>
      </c>
      <c r="G3560" s="137" t="e">
        <f t="shared" si="59"/>
        <v>#N/A</v>
      </c>
    </row>
    <row r="3561" spans="1:7">
      <c r="A3561" s="112" t="e">
        <f>VLOOKUP('Informe Kelly'!A3555,Base!A:B,2,FALSE)</f>
        <v>#N/A</v>
      </c>
      <c r="B3561" s="112" t="e">
        <f>VLOOKUP('Informe Kelly'!A3555,Base!A:G,7,FALSE)</f>
        <v>#N/A</v>
      </c>
      <c r="C3561" s="112">
        <f>'Informe Kelly'!E3555</f>
        <v>0</v>
      </c>
      <c r="D3561" s="112" t="e">
        <f>VLOOKUP(A3561,Ingreso!K:P,6,FALSE)</f>
        <v>#N/A</v>
      </c>
      <c r="E3561" s="142" t="e">
        <f>(VLOOKUP(D3561,$D$2:$E$4,2,FALSE))-(IF('Informe Kelly'!H3555=$A$2,'Informe Kelly'!F3555,VLOOKUP(D3561,$D$2:$E$4,2,FALSE)))</f>
        <v>#N/A</v>
      </c>
      <c r="F3561" s="142" t="e">
        <f>IF('Informe Kelly'!H3555=$A$3,'Informe Kelly'!F3555,VLOOKUP(D3561,$D$2:$F$4,3,FALSE))-(VLOOKUP(D3561,$D$2:$F$4,3,FALSE))</f>
        <v>#N/A</v>
      </c>
      <c r="G3561" s="137" t="e">
        <f t="shared" si="59"/>
        <v>#N/A</v>
      </c>
    </row>
    <row r="3562" spans="1:7">
      <c r="A3562" s="112" t="e">
        <f>VLOOKUP('Informe Kelly'!A3556,Base!A:B,2,FALSE)</f>
        <v>#N/A</v>
      </c>
      <c r="B3562" s="112" t="e">
        <f>VLOOKUP('Informe Kelly'!A3556,Base!A:G,7,FALSE)</f>
        <v>#N/A</v>
      </c>
      <c r="C3562" s="112">
        <f>'Informe Kelly'!E3556</f>
        <v>0</v>
      </c>
      <c r="D3562" s="112" t="e">
        <f>VLOOKUP(A3562,Ingreso!K:P,6,FALSE)</f>
        <v>#N/A</v>
      </c>
      <c r="E3562" s="142" t="e">
        <f>(VLOOKUP(D3562,$D$2:$E$4,2,FALSE))-(IF('Informe Kelly'!H3556=$A$2,'Informe Kelly'!F3556,VLOOKUP(D3562,$D$2:$E$4,2,FALSE)))</f>
        <v>#N/A</v>
      </c>
      <c r="F3562" s="142" t="e">
        <f>IF('Informe Kelly'!H3556=$A$3,'Informe Kelly'!F3556,VLOOKUP(D3562,$D$2:$F$4,3,FALSE))-(VLOOKUP(D3562,$D$2:$F$4,3,FALSE))</f>
        <v>#N/A</v>
      </c>
      <c r="G3562" s="137" t="e">
        <f t="shared" si="59"/>
        <v>#N/A</v>
      </c>
    </row>
    <row r="3563" spans="1:7">
      <c r="A3563" s="112" t="e">
        <f>VLOOKUP('Informe Kelly'!A3557,Base!A:B,2,FALSE)</f>
        <v>#N/A</v>
      </c>
      <c r="B3563" s="112" t="e">
        <f>VLOOKUP('Informe Kelly'!A3557,Base!A:G,7,FALSE)</f>
        <v>#N/A</v>
      </c>
      <c r="C3563" s="112">
        <f>'Informe Kelly'!E3557</f>
        <v>0</v>
      </c>
      <c r="D3563" s="112" t="e">
        <f>VLOOKUP(A3563,Ingreso!K:P,6,FALSE)</f>
        <v>#N/A</v>
      </c>
      <c r="E3563" s="142" t="e">
        <f>(VLOOKUP(D3563,$D$2:$E$4,2,FALSE))-(IF('Informe Kelly'!H3557=$A$2,'Informe Kelly'!F3557,VLOOKUP(D3563,$D$2:$E$4,2,FALSE)))</f>
        <v>#N/A</v>
      </c>
      <c r="F3563" s="142" t="e">
        <f>IF('Informe Kelly'!H3557=$A$3,'Informe Kelly'!F3557,VLOOKUP(D3563,$D$2:$F$4,3,FALSE))-(VLOOKUP(D3563,$D$2:$F$4,3,FALSE))</f>
        <v>#N/A</v>
      </c>
      <c r="G3563" s="137" t="e">
        <f t="shared" si="59"/>
        <v>#N/A</v>
      </c>
    </row>
    <row r="3564" spans="1:7">
      <c r="A3564" s="112" t="e">
        <f>VLOOKUP('Informe Kelly'!A3558,Base!A:B,2,FALSE)</f>
        <v>#N/A</v>
      </c>
      <c r="B3564" s="112" t="e">
        <f>VLOOKUP('Informe Kelly'!A3558,Base!A:G,7,FALSE)</f>
        <v>#N/A</v>
      </c>
      <c r="C3564" s="112">
        <f>'Informe Kelly'!E3558</f>
        <v>0</v>
      </c>
      <c r="D3564" s="112" t="e">
        <f>VLOOKUP(A3564,Ingreso!K:P,6,FALSE)</f>
        <v>#N/A</v>
      </c>
      <c r="E3564" s="142" t="e">
        <f>(VLOOKUP(D3564,$D$2:$E$4,2,FALSE))-(IF('Informe Kelly'!H3558=$A$2,'Informe Kelly'!F3558,VLOOKUP(D3564,$D$2:$E$4,2,FALSE)))</f>
        <v>#N/A</v>
      </c>
      <c r="F3564" s="142" t="e">
        <f>IF('Informe Kelly'!H3558=$A$3,'Informe Kelly'!F3558,VLOOKUP(D3564,$D$2:$F$4,3,FALSE))-(VLOOKUP(D3564,$D$2:$F$4,3,FALSE))</f>
        <v>#N/A</v>
      </c>
      <c r="G3564" s="137" t="e">
        <f t="shared" si="59"/>
        <v>#N/A</v>
      </c>
    </row>
    <row r="3565" spans="1:7">
      <c r="A3565" s="112" t="e">
        <f>VLOOKUP('Informe Kelly'!A3559,Base!A:B,2,FALSE)</f>
        <v>#N/A</v>
      </c>
      <c r="B3565" s="112" t="e">
        <f>VLOOKUP('Informe Kelly'!A3559,Base!A:G,7,FALSE)</f>
        <v>#N/A</v>
      </c>
      <c r="C3565" s="112">
        <f>'Informe Kelly'!E3559</f>
        <v>0</v>
      </c>
      <c r="D3565" s="112" t="e">
        <f>VLOOKUP(A3565,Ingreso!K:P,6,FALSE)</f>
        <v>#N/A</v>
      </c>
      <c r="E3565" s="142" t="e">
        <f>(VLOOKUP(D3565,$D$2:$E$4,2,FALSE))-(IF('Informe Kelly'!H3559=$A$2,'Informe Kelly'!F3559,VLOOKUP(D3565,$D$2:$E$4,2,FALSE)))</f>
        <v>#N/A</v>
      </c>
      <c r="F3565" s="142" t="e">
        <f>IF('Informe Kelly'!H3559=$A$3,'Informe Kelly'!F3559,VLOOKUP(D3565,$D$2:$F$4,3,FALSE))-(VLOOKUP(D3565,$D$2:$F$4,3,FALSE))</f>
        <v>#N/A</v>
      </c>
      <c r="G3565" s="137" t="e">
        <f t="shared" si="59"/>
        <v>#N/A</v>
      </c>
    </row>
    <row r="3566" spans="1:7">
      <c r="A3566" s="112" t="e">
        <f>VLOOKUP('Informe Kelly'!A3560,Base!A:B,2,FALSE)</f>
        <v>#N/A</v>
      </c>
      <c r="B3566" s="112" t="e">
        <f>VLOOKUP('Informe Kelly'!A3560,Base!A:G,7,FALSE)</f>
        <v>#N/A</v>
      </c>
      <c r="C3566" s="112">
        <f>'Informe Kelly'!E3560</f>
        <v>0</v>
      </c>
      <c r="D3566" s="112" t="e">
        <f>VLOOKUP(A3566,Ingreso!K:P,6,FALSE)</f>
        <v>#N/A</v>
      </c>
      <c r="E3566" s="142" t="e">
        <f>(VLOOKUP(D3566,$D$2:$E$4,2,FALSE))-(IF('Informe Kelly'!H3560=$A$2,'Informe Kelly'!F3560,VLOOKUP(D3566,$D$2:$E$4,2,FALSE)))</f>
        <v>#N/A</v>
      </c>
      <c r="F3566" s="142" t="e">
        <f>IF('Informe Kelly'!H3560=$A$3,'Informe Kelly'!F3560,VLOOKUP(D3566,$D$2:$F$4,3,FALSE))-(VLOOKUP(D3566,$D$2:$F$4,3,FALSE))</f>
        <v>#N/A</v>
      </c>
      <c r="G3566" s="137" t="e">
        <f t="shared" si="59"/>
        <v>#N/A</v>
      </c>
    </row>
    <row r="3567" spans="1:7">
      <c r="A3567" s="112" t="e">
        <f>VLOOKUP('Informe Kelly'!A3561,Base!A:B,2,FALSE)</f>
        <v>#N/A</v>
      </c>
      <c r="B3567" s="112" t="e">
        <f>VLOOKUP('Informe Kelly'!A3561,Base!A:G,7,FALSE)</f>
        <v>#N/A</v>
      </c>
      <c r="C3567" s="112">
        <f>'Informe Kelly'!E3561</f>
        <v>0</v>
      </c>
      <c r="D3567" s="112" t="e">
        <f>VLOOKUP(A3567,Ingreso!K:P,6,FALSE)</f>
        <v>#N/A</v>
      </c>
      <c r="E3567" s="142" t="e">
        <f>(VLOOKUP(D3567,$D$2:$E$4,2,FALSE))-(IF('Informe Kelly'!H3561=$A$2,'Informe Kelly'!F3561,VLOOKUP(D3567,$D$2:$E$4,2,FALSE)))</f>
        <v>#N/A</v>
      </c>
      <c r="F3567" s="142" t="e">
        <f>IF('Informe Kelly'!H3561=$A$3,'Informe Kelly'!F3561,VLOOKUP(D3567,$D$2:$F$4,3,FALSE))-(VLOOKUP(D3567,$D$2:$F$4,3,FALSE))</f>
        <v>#N/A</v>
      </c>
      <c r="G3567" s="137" t="e">
        <f t="shared" si="59"/>
        <v>#N/A</v>
      </c>
    </row>
    <row r="3568" spans="1:7">
      <c r="A3568" s="112" t="e">
        <f>VLOOKUP('Informe Kelly'!A3562,Base!A:B,2,FALSE)</f>
        <v>#N/A</v>
      </c>
      <c r="B3568" s="112" t="e">
        <f>VLOOKUP('Informe Kelly'!A3562,Base!A:G,7,FALSE)</f>
        <v>#N/A</v>
      </c>
      <c r="C3568" s="112">
        <f>'Informe Kelly'!E3562</f>
        <v>0</v>
      </c>
      <c r="D3568" s="112" t="e">
        <f>VLOOKUP(A3568,Ingreso!K:P,6,FALSE)</f>
        <v>#N/A</v>
      </c>
      <c r="E3568" s="142" t="e">
        <f>(VLOOKUP(D3568,$D$2:$E$4,2,FALSE))-(IF('Informe Kelly'!H3562=$A$2,'Informe Kelly'!F3562,VLOOKUP(D3568,$D$2:$E$4,2,FALSE)))</f>
        <v>#N/A</v>
      </c>
      <c r="F3568" s="142" t="e">
        <f>IF('Informe Kelly'!H3562=$A$3,'Informe Kelly'!F3562,VLOOKUP(D3568,$D$2:$F$4,3,FALSE))-(VLOOKUP(D3568,$D$2:$F$4,3,FALSE))</f>
        <v>#N/A</v>
      </c>
      <c r="G3568" s="137" t="e">
        <f t="shared" si="59"/>
        <v>#N/A</v>
      </c>
    </row>
    <row r="3569" spans="1:7">
      <c r="A3569" s="112" t="e">
        <f>VLOOKUP('Informe Kelly'!A3563,Base!A:B,2,FALSE)</f>
        <v>#N/A</v>
      </c>
      <c r="B3569" s="112" t="e">
        <f>VLOOKUP('Informe Kelly'!A3563,Base!A:G,7,FALSE)</f>
        <v>#N/A</v>
      </c>
      <c r="C3569" s="112">
        <f>'Informe Kelly'!E3563</f>
        <v>0</v>
      </c>
      <c r="D3569" s="112" t="e">
        <f>VLOOKUP(A3569,Ingreso!K:P,6,FALSE)</f>
        <v>#N/A</v>
      </c>
      <c r="E3569" s="142" t="e">
        <f>(VLOOKUP(D3569,$D$2:$E$4,2,FALSE))-(IF('Informe Kelly'!H3563=$A$2,'Informe Kelly'!F3563,VLOOKUP(D3569,$D$2:$E$4,2,FALSE)))</f>
        <v>#N/A</v>
      </c>
      <c r="F3569" s="142" t="e">
        <f>IF('Informe Kelly'!H3563=$A$3,'Informe Kelly'!F3563,VLOOKUP(D3569,$D$2:$F$4,3,FALSE))-(VLOOKUP(D3569,$D$2:$F$4,3,FALSE))</f>
        <v>#N/A</v>
      </c>
      <c r="G3569" s="137" t="e">
        <f t="shared" si="59"/>
        <v>#N/A</v>
      </c>
    </row>
    <row r="3570" spans="1:7">
      <c r="A3570" s="112" t="e">
        <f>VLOOKUP('Informe Kelly'!A3564,Base!A:B,2,FALSE)</f>
        <v>#N/A</v>
      </c>
      <c r="B3570" s="112" t="e">
        <f>VLOOKUP('Informe Kelly'!A3564,Base!A:G,7,FALSE)</f>
        <v>#N/A</v>
      </c>
      <c r="C3570" s="112">
        <f>'Informe Kelly'!E3564</f>
        <v>0</v>
      </c>
      <c r="D3570" s="112" t="e">
        <f>VLOOKUP(A3570,Ingreso!K:P,6,FALSE)</f>
        <v>#N/A</v>
      </c>
      <c r="E3570" s="142" t="e">
        <f>(VLOOKUP(D3570,$D$2:$E$4,2,FALSE))-(IF('Informe Kelly'!H3564=$A$2,'Informe Kelly'!F3564,VLOOKUP(D3570,$D$2:$E$4,2,FALSE)))</f>
        <v>#N/A</v>
      </c>
      <c r="F3570" s="142" t="e">
        <f>IF('Informe Kelly'!H3564=$A$3,'Informe Kelly'!F3564,VLOOKUP(D3570,$D$2:$F$4,3,FALSE))-(VLOOKUP(D3570,$D$2:$F$4,3,FALSE))</f>
        <v>#N/A</v>
      </c>
      <c r="G3570" s="137" t="e">
        <f t="shared" si="59"/>
        <v>#N/A</v>
      </c>
    </row>
    <row r="3571" spans="1:7">
      <c r="A3571" s="112" t="e">
        <f>VLOOKUP('Informe Kelly'!A3565,Base!A:B,2,FALSE)</f>
        <v>#N/A</v>
      </c>
      <c r="B3571" s="112" t="e">
        <f>VLOOKUP('Informe Kelly'!A3565,Base!A:G,7,FALSE)</f>
        <v>#N/A</v>
      </c>
      <c r="C3571" s="112">
        <f>'Informe Kelly'!E3565</f>
        <v>0</v>
      </c>
      <c r="D3571" s="112" t="e">
        <f>VLOOKUP(A3571,Ingreso!K:P,6,FALSE)</f>
        <v>#N/A</v>
      </c>
      <c r="E3571" s="142" t="e">
        <f>(VLOOKUP(D3571,$D$2:$E$4,2,FALSE))-(IF('Informe Kelly'!H3565=$A$2,'Informe Kelly'!F3565,VLOOKUP(D3571,$D$2:$E$4,2,FALSE)))</f>
        <v>#N/A</v>
      </c>
      <c r="F3571" s="142" t="e">
        <f>IF('Informe Kelly'!H3565=$A$3,'Informe Kelly'!F3565,VLOOKUP(D3571,$D$2:$F$4,3,FALSE))-(VLOOKUP(D3571,$D$2:$F$4,3,FALSE))</f>
        <v>#N/A</v>
      </c>
      <c r="G3571" s="137" t="e">
        <f t="shared" si="59"/>
        <v>#N/A</v>
      </c>
    </row>
    <row r="3572" spans="1:7">
      <c r="A3572" s="112" t="e">
        <f>VLOOKUP('Informe Kelly'!A3566,Base!A:B,2,FALSE)</f>
        <v>#N/A</v>
      </c>
      <c r="B3572" s="112" t="e">
        <f>VLOOKUP('Informe Kelly'!A3566,Base!A:G,7,FALSE)</f>
        <v>#N/A</v>
      </c>
      <c r="C3572" s="112">
        <f>'Informe Kelly'!E3566</f>
        <v>0</v>
      </c>
      <c r="D3572" s="112" t="e">
        <f>VLOOKUP(A3572,Ingreso!K:P,6,FALSE)</f>
        <v>#N/A</v>
      </c>
      <c r="E3572" s="142" t="e">
        <f>(VLOOKUP(D3572,$D$2:$E$4,2,FALSE))-(IF('Informe Kelly'!H3566=$A$2,'Informe Kelly'!F3566,VLOOKUP(D3572,$D$2:$E$4,2,FALSE)))</f>
        <v>#N/A</v>
      </c>
      <c r="F3572" s="142" t="e">
        <f>IF('Informe Kelly'!H3566=$A$3,'Informe Kelly'!F3566,VLOOKUP(D3572,$D$2:$F$4,3,FALSE))-(VLOOKUP(D3572,$D$2:$F$4,3,FALSE))</f>
        <v>#N/A</v>
      </c>
      <c r="G3572" s="137" t="e">
        <f t="shared" si="59"/>
        <v>#N/A</v>
      </c>
    </row>
    <row r="3573" spans="1:7">
      <c r="A3573" s="112" t="e">
        <f>VLOOKUP('Informe Kelly'!A3567,Base!A:B,2,FALSE)</f>
        <v>#N/A</v>
      </c>
      <c r="B3573" s="112" t="e">
        <f>VLOOKUP('Informe Kelly'!A3567,Base!A:G,7,FALSE)</f>
        <v>#N/A</v>
      </c>
      <c r="C3573" s="112">
        <f>'Informe Kelly'!E3567</f>
        <v>0</v>
      </c>
      <c r="D3573" s="112" t="e">
        <f>VLOOKUP(A3573,Ingreso!K:P,6,FALSE)</f>
        <v>#N/A</v>
      </c>
      <c r="E3573" s="142" t="e">
        <f>(VLOOKUP(D3573,$D$2:$E$4,2,FALSE))-(IF('Informe Kelly'!H3567=$A$2,'Informe Kelly'!F3567,VLOOKUP(D3573,$D$2:$E$4,2,FALSE)))</f>
        <v>#N/A</v>
      </c>
      <c r="F3573" s="142" t="e">
        <f>IF('Informe Kelly'!H3567=$A$3,'Informe Kelly'!F3567,VLOOKUP(D3573,$D$2:$F$4,3,FALSE))-(VLOOKUP(D3573,$D$2:$F$4,3,FALSE))</f>
        <v>#N/A</v>
      </c>
      <c r="G3573" s="137" t="e">
        <f t="shared" si="59"/>
        <v>#N/A</v>
      </c>
    </row>
    <row r="3574" spans="1:7">
      <c r="A3574" s="112" t="e">
        <f>VLOOKUP('Informe Kelly'!A3568,Base!A:B,2,FALSE)</f>
        <v>#N/A</v>
      </c>
      <c r="B3574" s="112" t="e">
        <f>VLOOKUP('Informe Kelly'!A3568,Base!A:G,7,FALSE)</f>
        <v>#N/A</v>
      </c>
      <c r="C3574" s="112">
        <f>'Informe Kelly'!E3568</f>
        <v>0</v>
      </c>
      <c r="D3574" s="112" t="e">
        <f>VLOOKUP(A3574,Ingreso!K:P,6,FALSE)</f>
        <v>#N/A</v>
      </c>
      <c r="E3574" s="142" t="e">
        <f>(VLOOKUP(D3574,$D$2:$E$4,2,FALSE))-(IF('Informe Kelly'!H3568=$A$2,'Informe Kelly'!F3568,VLOOKUP(D3574,$D$2:$E$4,2,FALSE)))</f>
        <v>#N/A</v>
      </c>
      <c r="F3574" s="142" t="e">
        <f>IF('Informe Kelly'!H3568=$A$3,'Informe Kelly'!F3568,VLOOKUP(D3574,$D$2:$F$4,3,FALSE))-(VLOOKUP(D3574,$D$2:$F$4,3,FALSE))</f>
        <v>#N/A</v>
      </c>
      <c r="G3574" s="137" t="e">
        <f t="shared" si="59"/>
        <v>#N/A</v>
      </c>
    </row>
    <row r="3575" spans="1:7">
      <c r="A3575" s="112" t="e">
        <f>VLOOKUP('Informe Kelly'!A3569,Base!A:B,2,FALSE)</f>
        <v>#N/A</v>
      </c>
      <c r="B3575" s="112" t="e">
        <f>VLOOKUP('Informe Kelly'!A3569,Base!A:G,7,FALSE)</f>
        <v>#N/A</v>
      </c>
      <c r="C3575" s="112">
        <f>'Informe Kelly'!E3569</f>
        <v>0</v>
      </c>
      <c r="D3575" s="112" t="e">
        <f>VLOOKUP(A3575,Ingreso!K:P,6,FALSE)</f>
        <v>#N/A</v>
      </c>
      <c r="E3575" s="142" t="e">
        <f>(VLOOKUP(D3575,$D$2:$E$4,2,FALSE))-(IF('Informe Kelly'!H3569=$A$2,'Informe Kelly'!F3569,VLOOKUP(D3575,$D$2:$E$4,2,FALSE)))</f>
        <v>#N/A</v>
      </c>
      <c r="F3575" s="142" t="e">
        <f>IF('Informe Kelly'!H3569=$A$3,'Informe Kelly'!F3569,VLOOKUP(D3575,$D$2:$F$4,3,FALSE))-(VLOOKUP(D3575,$D$2:$F$4,3,FALSE))</f>
        <v>#N/A</v>
      </c>
      <c r="G3575" s="137" t="e">
        <f t="shared" si="59"/>
        <v>#N/A</v>
      </c>
    </row>
    <row r="3576" spans="1:7">
      <c r="A3576" s="112" t="e">
        <f>VLOOKUP('Informe Kelly'!A3570,Base!A:B,2,FALSE)</f>
        <v>#N/A</v>
      </c>
      <c r="B3576" s="112" t="e">
        <f>VLOOKUP('Informe Kelly'!A3570,Base!A:G,7,FALSE)</f>
        <v>#N/A</v>
      </c>
      <c r="C3576" s="112">
        <f>'Informe Kelly'!E3570</f>
        <v>0</v>
      </c>
      <c r="D3576" s="112" t="e">
        <f>VLOOKUP(A3576,Ingreso!K:P,6,FALSE)</f>
        <v>#N/A</v>
      </c>
      <c r="E3576" s="142" t="e">
        <f>(VLOOKUP(D3576,$D$2:$E$4,2,FALSE))-(IF('Informe Kelly'!H3570=$A$2,'Informe Kelly'!F3570,VLOOKUP(D3576,$D$2:$E$4,2,FALSE)))</f>
        <v>#N/A</v>
      </c>
      <c r="F3576" s="142" t="e">
        <f>IF('Informe Kelly'!H3570=$A$3,'Informe Kelly'!F3570,VLOOKUP(D3576,$D$2:$F$4,3,FALSE))-(VLOOKUP(D3576,$D$2:$F$4,3,FALSE))</f>
        <v>#N/A</v>
      </c>
      <c r="G3576" s="137" t="e">
        <f t="shared" si="59"/>
        <v>#N/A</v>
      </c>
    </row>
    <row r="3577" spans="1:7">
      <c r="A3577" s="112" t="e">
        <f>VLOOKUP('Informe Kelly'!A3571,Base!A:B,2,FALSE)</f>
        <v>#N/A</v>
      </c>
      <c r="B3577" s="112" t="e">
        <f>VLOOKUP('Informe Kelly'!A3571,Base!A:G,7,FALSE)</f>
        <v>#N/A</v>
      </c>
      <c r="C3577" s="112">
        <f>'Informe Kelly'!E3571</f>
        <v>0</v>
      </c>
      <c r="D3577" s="112" t="e">
        <f>VLOOKUP(A3577,Ingreso!K:P,6,FALSE)</f>
        <v>#N/A</v>
      </c>
      <c r="E3577" s="142" t="e">
        <f>(VLOOKUP(D3577,$D$2:$E$4,2,FALSE))-(IF('Informe Kelly'!H3571=$A$2,'Informe Kelly'!F3571,VLOOKUP(D3577,$D$2:$E$4,2,FALSE)))</f>
        <v>#N/A</v>
      </c>
      <c r="F3577" s="142" t="e">
        <f>IF('Informe Kelly'!H3571=$A$3,'Informe Kelly'!F3571,VLOOKUP(D3577,$D$2:$F$4,3,FALSE))-(VLOOKUP(D3577,$D$2:$F$4,3,FALSE))</f>
        <v>#N/A</v>
      </c>
      <c r="G3577" s="137" t="e">
        <f t="shared" si="59"/>
        <v>#N/A</v>
      </c>
    </row>
    <row r="3578" spans="1:7">
      <c r="A3578" s="112" t="e">
        <f>VLOOKUP('Informe Kelly'!A3572,Base!A:B,2,FALSE)</f>
        <v>#N/A</v>
      </c>
      <c r="B3578" s="112" t="e">
        <f>VLOOKUP('Informe Kelly'!A3572,Base!A:G,7,FALSE)</f>
        <v>#N/A</v>
      </c>
      <c r="C3578" s="112">
        <f>'Informe Kelly'!E3572</f>
        <v>0</v>
      </c>
      <c r="D3578" s="112" t="e">
        <f>VLOOKUP(A3578,Ingreso!K:P,6,FALSE)</f>
        <v>#N/A</v>
      </c>
      <c r="E3578" s="142" t="e">
        <f>(VLOOKUP(D3578,$D$2:$E$4,2,FALSE))-(IF('Informe Kelly'!H3572=$A$2,'Informe Kelly'!F3572,VLOOKUP(D3578,$D$2:$E$4,2,FALSE)))</f>
        <v>#N/A</v>
      </c>
      <c r="F3578" s="142" t="e">
        <f>IF('Informe Kelly'!H3572=$A$3,'Informe Kelly'!F3572,VLOOKUP(D3578,$D$2:$F$4,3,FALSE))-(VLOOKUP(D3578,$D$2:$F$4,3,FALSE))</f>
        <v>#N/A</v>
      </c>
      <c r="G3578" s="137" t="e">
        <f t="shared" si="59"/>
        <v>#N/A</v>
      </c>
    </row>
    <row r="3579" spans="1:7">
      <c r="A3579" s="112" t="e">
        <f>VLOOKUP('Informe Kelly'!A3573,Base!A:B,2,FALSE)</f>
        <v>#N/A</v>
      </c>
      <c r="B3579" s="112" t="e">
        <f>VLOOKUP('Informe Kelly'!A3573,Base!A:G,7,FALSE)</f>
        <v>#N/A</v>
      </c>
      <c r="C3579" s="112">
        <f>'Informe Kelly'!E3573</f>
        <v>0</v>
      </c>
      <c r="D3579" s="112" t="e">
        <f>VLOOKUP(A3579,Ingreso!K:P,6,FALSE)</f>
        <v>#N/A</v>
      </c>
      <c r="E3579" s="142" t="e">
        <f>(VLOOKUP(D3579,$D$2:$E$4,2,FALSE))-(IF('Informe Kelly'!H3573=$A$2,'Informe Kelly'!F3573,VLOOKUP(D3579,$D$2:$E$4,2,FALSE)))</f>
        <v>#N/A</v>
      </c>
      <c r="F3579" s="142" t="e">
        <f>IF('Informe Kelly'!H3573=$A$3,'Informe Kelly'!F3573,VLOOKUP(D3579,$D$2:$F$4,3,FALSE))-(VLOOKUP(D3579,$D$2:$F$4,3,FALSE))</f>
        <v>#N/A</v>
      </c>
      <c r="G3579" s="137" t="e">
        <f t="shared" si="59"/>
        <v>#N/A</v>
      </c>
    </row>
    <row r="3580" spans="1:7">
      <c r="A3580" s="112" t="e">
        <f>VLOOKUP('Informe Kelly'!A3574,Base!A:B,2,FALSE)</f>
        <v>#N/A</v>
      </c>
      <c r="B3580" s="112" t="e">
        <f>VLOOKUP('Informe Kelly'!A3574,Base!A:G,7,FALSE)</f>
        <v>#N/A</v>
      </c>
      <c r="C3580" s="112">
        <f>'Informe Kelly'!E3574</f>
        <v>0</v>
      </c>
      <c r="D3580" s="112" t="e">
        <f>VLOOKUP(A3580,Ingreso!K:P,6,FALSE)</f>
        <v>#N/A</v>
      </c>
      <c r="E3580" s="142" t="e">
        <f>(VLOOKUP(D3580,$D$2:$E$4,2,FALSE))-(IF('Informe Kelly'!H3574=$A$2,'Informe Kelly'!F3574,VLOOKUP(D3580,$D$2:$E$4,2,FALSE)))</f>
        <v>#N/A</v>
      </c>
      <c r="F3580" s="142" t="e">
        <f>IF('Informe Kelly'!H3574=$A$3,'Informe Kelly'!F3574,VLOOKUP(D3580,$D$2:$F$4,3,FALSE))-(VLOOKUP(D3580,$D$2:$F$4,3,FALSE))</f>
        <v>#N/A</v>
      </c>
      <c r="G3580" s="137" t="e">
        <f t="shared" si="59"/>
        <v>#N/A</v>
      </c>
    </row>
    <row r="3581" spans="1:7">
      <c r="A3581" s="112" t="e">
        <f>VLOOKUP('Informe Kelly'!A3575,Base!A:B,2,FALSE)</f>
        <v>#N/A</v>
      </c>
      <c r="B3581" s="112" t="e">
        <f>VLOOKUP('Informe Kelly'!A3575,Base!A:G,7,FALSE)</f>
        <v>#N/A</v>
      </c>
      <c r="C3581" s="112">
        <f>'Informe Kelly'!E3575</f>
        <v>0</v>
      </c>
      <c r="D3581" s="112" t="e">
        <f>VLOOKUP(A3581,Ingreso!K:P,6,FALSE)</f>
        <v>#N/A</v>
      </c>
      <c r="E3581" s="142" t="e">
        <f>(VLOOKUP(D3581,$D$2:$E$4,2,FALSE))-(IF('Informe Kelly'!H3575=$A$2,'Informe Kelly'!F3575,VLOOKUP(D3581,$D$2:$E$4,2,FALSE)))</f>
        <v>#N/A</v>
      </c>
      <c r="F3581" s="142" t="e">
        <f>IF('Informe Kelly'!H3575=$A$3,'Informe Kelly'!F3575,VLOOKUP(D3581,$D$2:$F$4,3,FALSE))-(VLOOKUP(D3581,$D$2:$F$4,3,FALSE))</f>
        <v>#N/A</v>
      </c>
      <c r="G3581" s="137" t="e">
        <f t="shared" si="59"/>
        <v>#N/A</v>
      </c>
    </row>
    <row r="3582" spans="1:7">
      <c r="A3582" s="112" t="e">
        <f>VLOOKUP('Informe Kelly'!A3576,Base!A:B,2,FALSE)</f>
        <v>#N/A</v>
      </c>
      <c r="B3582" s="112" t="e">
        <f>VLOOKUP('Informe Kelly'!A3576,Base!A:G,7,FALSE)</f>
        <v>#N/A</v>
      </c>
      <c r="C3582" s="112">
        <f>'Informe Kelly'!E3576</f>
        <v>0</v>
      </c>
      <c r="D3582" s="112" t="e">
        <f>VLOOKUP(A3582,Ingreso!K:P,6,FALSE)</f>
        <v>#N/A</v>
      </c>
      <c r="E3582" s="142" t="e">
        <f>(VLOOKUP(D3582,$D$2:$E$4,2,FALSE))-(IF('Informe Kelly'!H3576=$A$2,'Informe Kelly'!F3576,VLOOKUP(D3582,$D$2:$E$4,2,FALSE)))</f>
        <v>#N/A</v>
      </c>
      <c r="F3582" s="142" t="e">
        <f>IF('Informe Kelly'!H3576=$A$3,'Informe Kelly'!F3576,VLOOKUP(D3582,$D$2:$F$4,3,FALSE))-(VLOOKUP(D3582,$D$2:$F$4,3,FALSE))</f>
        <v>#N/A</v>
      </c>
      <c r="G3582" s="137" t="e">
        <f t="shared" si="59"/>
        <v>#N/A</v>
      </c>
    </row>
    <row r="3583" spans="1:7">
      <c r="A3583" s="112" t="e">
        <f>VLOOKUP('Informe Kelly'!A3577,Base!A:B,2,FALSE)</f>
        <v>#N/A</v>
      </c>
      <c r="B3583" s="112" t="e">
        <f>VLOOKUP('Informe Kelly'!A3577,Base!A:G,7,FALSE)</f>
        <v>#N/A</v>
      </c>
      <c r="C3583" s="112">
        <f>'Informe Kelly'!E3577</f>
        <v>0</v>
      </c>
      <c r="D3583" s="112" t="e">
        <f>VLOOKUP(A3583,Ingreso!K:P,6,FALSE)</f>
        <v>#N/A</v>
      </c>
      <c r="E3583" s="142" t="e">
        <f>(VLOOKUP(D3583,$D$2:$E$4,2,FALSE))-(IF('Informe Kelly'!H3577=$A$2,'Informe Kelly'!F3577,VLOOKUP(D3583,$D$2:$E$4,2,FALSE)))</f>
        <v>#N/A</v>
      </c>
      <c r="F3583" s="142" t="e">
        <f>IF('Informe Kelly'!H3577=$A$3,'Informe Kelly'!F3577,VLOOKUP(D3583,$D$2:$F$4,3,FALSE))-(VLOOKUP(D3583,$D$2:$F$4,3,FALSE))</f>
        <v>#N/A</v>
      </c>
      <c r="G3583" s="137" t="e">
        <f t="shared" si="59"/>
        <v>#N/A</v>
      </c>
    </row>
    <row r="3584" spans="1:7">
      <c r="A3584" s="112" t="e">
        <f>VLOOKUP('Informe Kelly'!A3578,Base!A:B,2,FALSE)</f>
        <v>#N/A</v>
      </c>
      <c r="B3584" s="112" t="e">
        <f>VLOOKUP('Informe Kelly'!A3578,Base!A:G,7,FALSE)</f>
        <v>#N/A</v>
      </c>
      <c r="C3584" s="112">
        <f>'Informe Kelly'!E3578</f>
        <v>0</v>
      </c>
      <c r="D3584" s="112" t="e">
        <f>VLOOKUP(A3584,Ingreso!K:P,6,FALSE)</f>
        <v>#N/A</v>
      </c>
      <c r="E3584" s="142" t="e">
        <f>(VLOOKUP(D3584,$D$2:$E$4,2,FALSE))-(IF('Informe Kelly'!H3578=$A$2,'Informe Kelly'!F3578,VLOOKUP(D3584,$D$2:$E$4,2,FALSE)))</f>
        <v>#N/A</v>
      </c>
      <c r="F3584" s="142" t="e">
        <f>IF('Informe Kelly'!H3578=$A$3,'Informe Kelly'!F3578,VLOOKUP(D3584,$D$2:$F$4,3,FALSE))-(VLOOKUP(D3584,$D$2:$F$4,3,FALSE))</f>
        <v>#N/A</v>
      </c>
      <c r="G3584" s="137" t="e">
        <f t="shared" si="59"/>
        <v>#N/A</v>
      </c>
    </row>
    <row r="3585" spans="1:7">
      <c r="A3585" s="112" t="e">
        <f>VLOOKUP('Informe Kelly'!A3579,Base!A:B,2,FALSE)</f>
        <v>#N/A</v>
      </c>
      <c r="B3585" s="112" t="e">
        <f>VLOOKUP('Informe Kelly'!A3579,Base!A:G,7,FALSE)</f>
        <v>#N/A</v>
      </c>
      <c r="C3585" s="112">
        <f>'Informe Kelly'!E3579</f>
        <v>0</v>
      </c>
      <c r="D3585" s="112" t="e">
        <f>VLOOKUP(A3585,Ingreso!K:P,6,FALSE)</f>
        <v>#N/A</v>
      </c>
      <c r="E3585" s="142" t="e">
        <f>(VLOOKUP(D3585,$D$2:$E$4,2,FALSE))-(IF('Informe Kelly'!H3579=$A$2,'Informe Kelly'!F3579,VLOOKUP(D3585,$D$2:$E$4,2,FALSE)))</f>
        <v>#N/A</v>
      </c>
      <c r="F3585" s="142" t="e">
        <f>IF('Informe Kelly'!H3579=$A$3,'Informe Kelly'!F3579,VLOOKUP(D3585,$D$2:$F$4,3,FALSE))-(VLOOKUP(D3585,$D$2:$F$4,3,FALSE))</f>
        <v>#N/A</v>
      </c>
      <c r="G3585" s="137" t="e">
        <f t="shared" si="59"/>
        <v>#N/A</v>
      </c>
    </row>
    <row r="3586" spans="1:7">
      <c r="A3586" s="112" t="e">
        <f>VLOOKUP('Informe Kelly'!A3580,Base!A:B,2,FALSE)</f>
        <v>#N/A</v>
      </c>
      <c r="B3586" s="112" t="e">
        <f>VLOOKUP('Informe Kelly'!A3580,Base!A:G,7,FALSE)</f>
        <v>#N/A</v>
      </c>
      <c r="C3586" s="112">
        <f>'Informe Kelly'!E3580</f>
        <v>0</v>
      </c>
      <c r="D3586" s="112" t="e">
        <f>VLOOKUP(A3586,Ingreso!K:P,6,FALSE)</f>
        <v>#N/A</v>
      </c>
      <c r="E3586" s="142" t="e">
        <f>(VLOOKUP(D3586,$D$2:$E$4,2,FALSE))-(IF('Informe Kelly'!H3580=$A$2,'Informe Kelly'!F3580,VLOOKUP(D3586,$D$2:$E$4,2,FALSE)))</f>
        <v>#N/A</v>
      </c>
      <c r="F3586" s="142" t="e">
        <f>IF('Informe Kelly'!H3580=$A$3,'Informe Kelly'!F3580,VLOOKUP(D3586,$D$2:$F$4,3,FALSE))-(VLOOKUP(D3586,$D$2:$F$4,3,FALSE))</f>
        <v>#N/A</v>
      </c>
      <c r="G3586" s="137" t="e">
        <f t="shared" si="59"/>
        <v>#N/A</v>
      </c>
    </row>
    <row r="3587" spans="1:7">
      <c r="A3587" s="112" t="e">
        <f>VLOOKUP('Informe Kelly'!A3581,Base!A:B,2,FALSE)</f>
        <v>#N/A</v>
      </c>
      <c r="B3587" s="112" t="e">
        <f>VLOOKUP('Informe Kelly'!A3581,Base!A:G,7,FALSE)</f>
        <v>#N/A</v>
      </c>
      <c r="C3587" s="112">
        <f>'Informe Kelly'!E3581</f>
        <v>0</v>
      </c>
      <c r="D3587" s="112" t="e">
        <f>VLOOKUP(A3587,Ingreso!K:P,6,FALSE)</f>
        <v>#N/A</v>
      </c>
      <c r="E3587" s="142" t="e">
        <f>(VLOOKUP(D3587,$D$2:$E$4,2,FALSE))-(IF('Informe Kelly'!H3581=$A$2,'Informe Kelly'!F3581,VLOOKUP(D3587,$D$2:$E$4,2,FALSE)))</f>
        <v>#N/A</v>
      </c>
      <c r="F3587" s="142" t="e">
        <f>IF('Informe Kelly'!H3581=$A$3,'Informe Kelly'!F3581,VLOOKUP(D3587,$D$2:$F$4,3,FALSE))-(VLOOKUP(D3587,$D$2:$F$4,3,FALSE))</f>
        <v>#N/A</v>
      </c>
      <c r="G3587" s="137" t="e">
        <f t="shared" si="59"/>
        <v>#N/A</v>
      </c>
    </row>
    <row r="3588" spans="1:7">
      <c r="A3588" s="112" t="e">
        <f>VLOOKUP('Informe Kelly'!A3582,Base!A:B,2,FALSE)</f>
        <v>#N/A</v>
      </c>
      <c r="B3588" s="112" t="e">
        <f>VLOOKUP('Informe Kelly'!A3582,Base!A:G,7,FALSE)</f>
        <v>#N/A</v>
      </c>
      <c r="C3588" s="112">
        <f>'Informe Kelly'!E3582</f>
        <v>0</v>
      </c>
      <c r="D3588" s="112" t="e">
        <f>VLOOKUP(A3588,Ingreso!K:P,6,FALSE)</f>
        <v>#N/A</v>
      </c>
      <c r="E3588" s="142" t="e">
        <f>(VLOOKUP(D3588,$D$2:$E$4,2,FALSE))-(IF('Informe Kelly'!H3582=$A$2,'Informe Kelly'!F3582,VLOOKUP(D3588,$D$2:$E$4,2,FALSE)))</f>
        <v>#N/A</v>
      </c>
      <c r="F3588" s="142" t="e">
        <f>IF('Informe Kelly'!H3582=$A$3,'Informe Kelly'!F3582,VLOOKUP(D3588,$D$2:$F$4,3,FALSE))-(VLOOKUP(D3588,$D$2:$F$4,3,FALSE))</f>
        <v>#N/A</v>
      </c>
      <c r="G3588" s="137" t="e">
        <f t="shared" si="59"/>
        <v>#N/A</v>
      </c>
    </row>
    <row r="3589" spans="1:7">
      <c r="A3589" s="112" t="e">
        <f>VLOOKUP('Informe Kelly'!A3583,Base!A:B,2,FALSE)</f>
        <v>#N/A</v>
      </c>
      <c r="B3589" s="112" t="e">
        <f>VLOOKUP('Informe Kelly'!A3583,Base!A:G,7,FALSE)</f>
        <v>#N/A</v>
      </c>
      <c r="C3589" s="112">
        <f>'Informe Kelly'!E3583</f>
        <v>0</v>
      </c>
      <c r="D3589" s="112" t="e">
        <f>VLOOKUP(A3589,Ingreso!K:P,6,FALSE)</f>
        <v>#N/A</v>
      </c>
      <c r="E3589" s="142" t="e">
        <f>(VLOOKUP(D3589,$D$2:$E$4,2,FALSE))-(IF('Informe Kelly'!H3583=$A$2,'Informe Kelly'!F3583,VLOOKUP(D3589,$D$2:$E$4,2,FALSE)))</f>
        <v>#N/A</v>
      </c>
      <c r="F3589" s="142" t="e">
        <f>IF('Informe Kelly'!H3583=$A$3,'Informe Kelly'!F3583,VLOOKUP(D3589,$D$2:$F$4,3,FALSE))-(VLOOKUP(D3589,$D$2:$F$4,3,FALSE))</f>
        <v>#N/A</v>
      </c>
      <c r="G3589" s="137" t="e">
        <f t="shared" si="59"/>
        <v>#N/A</v>
      </c>
    </row>
    <row r="3590" spans="1:7">
      <c r="A3590" s="112" t="e">
        <f>VLOOKUP('Informe Kelly'!A3584,Base!A:B,2,FALSE)</f>
        <v>#N/A</v>
      </c>
      <c r="B3590" s="112" t="e">
        <f>VLOOKUP('Informe Kelly'!A3584,Base!A:G,7,FALSE)</f>
        <v>#N/A</v>
      </c>
      <c r="C3590" s="112">
        <f>'Informe Kelly'!E3584</f>
        <v>0</v>
      </c>
      <c r="D3590" s="112" t="e">
        <f>VLOOKUP(A3590,Ingreso!K:P,6,FALSE)</f>
        <v>#N/A</v>
      </c>
      <c r="E3590" s="142" t="e">
        <f>(VLOOKUP(D3590,$D$2:$E$4,2,FALSE))-(IF('Informe Kelly'!H3584=$A$2,'Informe Kelly'!F3584,VLOOKUP(D3590,$D$2:$E$4,2,FALSE)))</f>
        <v>#N/A</v>
      </c>
      <c r="F3590" s="142" t="e">
        <f>IF('Informe Kelly'!H3584=$A$3,'Informe Kelly'!F3584,VLOOKUP(D3590,$D$2:$F$4,3,FALSE))-(VLOOKUP(D3590,$D$2:$F$4,3,FALSE))</f>
        <v>#N/A</v>
      </c>
      <c r="G3590" s="137" t="e">
        <f t="shared" si="59"/>
        <v>#N/A</v>
      </c>
    </row>
    <row r="3591" spans="1:7">
      <c r="A3591" s="112" t="e">
        <f>VLOOKUP('Informe Kelly'!A3585,Base!A:B,2,FALSE)</f>
        <v>#N/A</v>
      </c>
      <c r="B3591" s="112" t="e">
        <f>VLOOKUP('Informe Kelly'!A3585,Base!A:G,7,FALSE)</f>
        <v>#N/A</v>
      </c>
      <c r="C3591" s="112">
        <f>'Informe Kelly'!E3585</f>
        <v>0</v>
      </c>
      <c r="D3591" s="112" t="e">
        <f>VLOOKUP(A3591,Ingreso!K:P,6,FALSE)</f>
        <v>#N/A</v>
      </c>
      <c r="E3591" s="142" t="e">
        <f>(VLOOKUP(D3591,$D$2:$E$4,2,FALSE))-(IF('Informe Kelly'!H3585=$A$2,'Informe Kelly'!F3585,VLOOKUP(D3591,$D$2:$E$4,2,FALSE)))</f>
        <v>#N/A</v>
      </c>
      <c r="F3591" s="142" t="e">
        <f>IF('Informe Kelly'!H3585=$A$3,'Informe Kelly'!F3585,VLOOKUP(D3591,$D$2:$F$4,3,FALSE))-(VLOOKUP(D3591,$D$2:$F$4,3,FALSE))</f>
        <v>#N/A</v>
      </c>
      <c r="G3591" s="137" t="e">
        <f t="shared" si="59"/>
        <v>#N/A</v>
      </c>
    </row>
    <row r="3592" spans="1:7">
      <c r="A3592" s="112" t="e">
        <f>VLOOKUP('Informe Kelly'!A3586,Base!A:B,2,FALSE)</f>
        <v>#N/A</v>
      </c>
      <c r="B3592" s="112" t="e">
        <f>VLOOKUP('Informe Kelly'!A3586,Base!A:G,7,FALSE)</f>
        <v>#N/A</v>
      </c>
      <c r="C3592" s="112">
        <f>'Informe Kelly'!E3586</f>
        <v>0</v>
      </c>
      <c r="D3592" s="112" t="e">
        <f>VLOOKUP(A3592,Ingreso!K:P,6,FALSE)</f>
        <v>#N/A</v>
      </c>
      <c r="E3592" s="142" t="e">
        <f>(VLOOKUP(D3592,$D$2:$E$4,2,FALSE))-(IF('Informe Kelly'!H3586=$A$2,'Informe Kelly'!F3586,VLOOKUP(D3592,$D$2:$E$4,2,FALSE)))</f>
        <v>#N/A</v>
      </c>
      <c r="F3592" s="142" t="e">
        <f>IF('Informe Kelly'!H3586=$A$3,'Informe Kelly'!F3586,VLOOKUP(D3592,$D$2:$F$4,3,FALSE))-(VLOOKUP(D3592,$D$2:$F$4,3,FALSE))</f>
        <v>#N/A</v>
      </c>
      <c r="G3592" s="137" t="e">
        <f t="shared" si="59"/>
        <v>#N/A</v>
      </c>
    </row>
    <row r="3593" spans="1:7">
      <c r="A3593" s="112" t="e">
        <f>VLOOKUP('Informe Kelly'!A3587,Base!A:B,2,FALSE)</f>
        <v>#N/A</v>
      </c>
      <c r="B3593" s="112" t="e">
        <f>VLOOKUP('Informe Kelly'!A3587,Base!A:G,7,FALSE)</f>
        <v>#N/A</v>
      </c>
      <c r="C3593" s="112">
        <f>'Informe Kelly'!E3587</f>
        <v>0</v>
      </c>
      <c r="D3593" s="112" t="e">
        <f>VLOOKUP(A3593,Ingreso!K:P,6,FALSE)</f>
        <v>#N/A</v>
      </c>
      <c r="E3593" s="142" t="e">
        <f>(VLOOKUP(D3593,$D$2:$E$4,2,FALSE))-(IF('Informe Kelly'!H3587=$A$2,'Informe Kelly'!F3587,VLOOKUP(D3593,$D$2:$E$4,2,FALSE)))</f>
        <v>#N/A</v>
      </c>
      <c r="F3593" s="142" t="e">
        <f>IF('Informe Kelly'!H3587=$A$3,'Informe Kelly'!F3587,VLOOKUP(D3593,$D$2:$F$4,3,FALSE))-(VLOOKUP(D3593,$D$2:$F$4,3,FALSE))</f>
        <v>#N/A</v>
      </c>
      <c r="G3593" s="137" t="e">
        <f t="shared" ref="G3593:G3656" si="60">IF(E3593="",IF(F3593&lt;0.0409722222222222,0,E3593),IF(E3593&lt;0.0409722222222222,0,E3593))</f>
        <v>#N/A</v>
      </c>
    </row>
    <row r="3594" spans="1:7">
      <c r="A3594" s="112" t="e">
        <f>VLOOKUP('Informe Kelly'!A3588,Base!A:B,2,FALSE)</f>
        <v>#N/A</v>
      </c>
      <c r="B3594" s="112" t="e">
        <f>VLOOKUP('Informe Kelly'!A3588,Base!A:G,7,FALSE)</f>
        <v>#N/A</v>
      </c>
      <c r="C3594" s="112">
        <f>'Informe Kelly'!E3588</f>
        <v>0</v>
      </c>
      <c r="D3594" s="112" t="e">
        <f>VLOOKUP(A3594,Ingreso!K:P,6,FALSE)</f>
        <v>#N/A</v>
      </c>
      <c r="E3594" s="142" t="e">
        <f>(VLOOKUP(D3594,$D$2:$E$4,2,FALSE))-(IF('Informe Kelly'!H3588=$A$2,'Informe Kelly'!F3588,VLOOKUP(D3594,$D$2:$E$4,2,FALSE)))</f>
        <v>#N/A</v>
      </c>
      <c r="F3594" s="142" t="e">
        <f>IF('Informe Kelly'!H3588=$A$3,'Informe Kelly'!F3588,VLOOKUP(D3594,$D$2:$F$4,3,FALSE))-(VLOOKUP(D3594,$D$2:$F$4,3,FALSE))</f>
        <v>#N/A</v>
      </c>
      <c r="G3594" s="137" t="e">
        <f t="shared" si="60"/>
        <v>#N/A</v>
      </c>
    </row>
    <row r="3595" spans="1:7">
      <c r="A3595" s="112" t="e">
        <f>VLOOKUP('Informe Kelly'!A3589,Base!A:B,2,FALSE)</f>
        <v>#N/A</v>
      </c>
      <c r="B3595" s="112" t="e">
        <f>VLOOKUP('Informe Kelly'!A3589,Base!A:G,7,FALSE)</f>
        <v>#N/A</v>
      </c>
      <c r="C3595" s="112">
        <f>'Informe Kelly'!E3589</f>
        <v>0</v>
      </c>
      <c r="D3595" s="112" t="e">
        <f>VLOOKUP(A3595,Ingreso!K:P,6,FALSE)</f>
        <v>#N/A</v>
      </c>
      <c r="E3595" s="142" t="e">
        <f>(VLOOKUP(D3595,$D$2:$E$4,2,FALSE))-(IF('Informe Kelly'!H3589=$A$2,'Informe Kelly'!F3589,VLOOKUP(D3595,$D$2:$E$4,2,FALSE)))</f>
        <v>#N/A</v>
      </c>
      <c r="F3595" s="142" t="e">
        <f>IF('Informe Kelly'!H3589=$A$3,'Informe Kelly'!F3589,VLOOKUP(D3595,$D$2:$F$4,3,FALSE))-(VLOOKUP(D3595,$D$2:$F$4,3,FALSE))</f>
        <v>#N/A</v>
      </c>
      <c r="G3595" s="137" t="e">
        <f t="shared" si="60"/>
        <v>#N/A</v>
      </c>
    </row>
    <row r="3596" spans="1:7">
      <c r="A3596" s="112" t="e">
        <f>VLOOKUP('Informe Kelly'!A3590,Base!A:B,2,FALSE)</f>
        <v>#N/A</v>
      </c>
      <c r="B3596" s="112" t="e">
        <f>VLOOKUP('Informe Kelly'!A3590,Base!A:G,7,FALSE)</f>
        <v>#N/A</v>
      </c>
      <c r="C3596" s="112">
        <f>'Informe Kelly'!E3590</f>
        <v>0</v>
      </c>
      <c r="D3596" s="112" t="e">
        <f>VLOOKUP(A3596,Ingreso!K:P,6,FALSE)</f>
        <v>#N/A</v>
      </c>
      <c r="E3596" s="142" t="e">
        <f>(VLOOKUP(D3596,$D$2:$E$4,2,FALSE))-(IF('Informe Kelly'!H3590=$A$2,'Informe Kelly'!F3590,VLOOKUP(D3596,$D$2:$E$4,2,FALSE)))</f>
        <v>#N/A</v>
      </c>
      <c r="F3596" s="142" t="e">
        <f>IF('Informe Kelly'!H3590=$A$3,'Informe Kelly'!F3590,VLOOKUP(D3596,$D$2:$F$4,3,FALSE))-(VLOOKUP(D3596,$D$2:$F$4,3,FALSE))</f>
        <v>#N/A</v>
      </c>
      <c r="G3596" s="137" t="e">
        <f t="shared" si="60"/>
        <v>#N/A</v>
      </c>
    </row>
    <row r="3597" spans="1:7">
      <c r="A3597" s="112" t="e">
        <f>VLOOKUP('Informe Kelly'!A3591,Base!A:B,2,FALSE)</f>
        <v>#N/A</v>
      </c>
      <c r="B3597" s="112" t="e">
        <f>VLOOKUP('Informe Kelly'!A3591,Base!A:G,7,FALSE)</f>
        <v>#N/A</v>
      </c>
      <c r="C3597" s="112">
        <f>'Informe Kelly'!E3591</f>
        <v>0</v>
      </c>
      <c r="D3597" s="112" t="e">
        <f>VLOOKUP(A3597,Ingreso!K:P,6,FALSE)</f>
        <v>#N/A</v>
      </c>
      <c r="E3597" s="142" t="e">
        <f>(VLOOKUP(D3597,$D$2:$E$4,2,FALSE))-(IF('Informe Kelly'!H3591=$A$2,'Informe Kelly'!F3591,VLOOKUP(D3597,$D$2:$E$4,2,FALSE)))</f>
        <v>#N/A</v>
      </c>
      <c r="F3597" s="142" t="e">
        <f>IF('Informe Kelly'!H3591=$A$3,'Informe Kelly'!F3591,VLOOKUP(D3597,$D$2:$F$4,3,FALSE))-(VLOOKUP(D3597,$D$2:$F$4,3,FALSE))</f>
        <v>#N/A</v>
      </c>
      <c r="G3597" s="137" t="e">
        <f t="shared" si="60"/>
        <v>#N/A</v>
      </c>
    </row>
    <row r="3598" spans="1:7">
      <c r="A3598" s="112" t="e">
        <f>VLOOKUP('Informe Kelly'!A3592,Base!A:B,2,FALSE)</f>
        <v>#N/A</v>
      </c>
      <c r="B3598" s="112" t="e">
        <f>VLOOKUP('Informe Kelly'!A3592,Base!A:G,7,FALSE)</f>
        <v>#N/A</v>
      </c>
      <c r="C3598" s="112">
        <f>'Informe Kelly'!E3592</f>
        <v>0</v>
      </c>
      <c r="D3598" s="112" t="e">
        <f>VLOOKUP(A3598,Ingreso!K:P,6,FALSE)</f>
        <v>#N/A</v>
      </c>
      <c r="E3598" s="142" t="e">
        <f>(VLOOKUP(D3598,$D$2:$E$4,2,FALSE))-(IF('Informe Kelly'!H3592=$A$2,'Informe Kelly'!F3592,VLOOKUP(D3598,$D$2:$E$4,2,FALSE)))</f>
        <v>#N/A</v>
      </c>
      <c r="F3598" s="142" t="e">
        <f>IF('Informe Kelly'!H3592=$A$3,'Informe Kelly'!F3592,VLOOKUP(D3598,$D$2:$F$4,3,FALSE))-(VLOOKUP(D3598,$D$2:$F$4,3,FALSE))</f>
        <v>#N/A</v>
      </c>
      <c r="G3598" s="137" t="e">
        <f t="shared" si="60"/>
        <v>#N/A</v>
      </c>
    </row>
    <row r="3599" spans="1:7">
      <c r="A3599" s="112" t="e">
        <f>VLOOKUP('Informe Kelly'!A3593,Base!A:B,2,FALSE)</f>
        <v>#N/A</v>
      </c>
      <c r="B3599" s="112" t="e">
        <f>VLOOKUP('Informe Kelly'!A3593,Base!A:G,7,FALSE)</f>
        <v>#N/A</v>
      </c>
      <c r="C3599" s="112">
        <f>'Informe Kelly'!E3593</f>
        <v>0</v>
      </c>
      <c r="D3599" s="112" t="e">
        <f>VLOOKUP(A3599,Ingreso!K:P,6,FALSE)</f>
        <v>#N/A</v>
      </c>
      <c r="E3599" s="142" t="e">
        <f>(VLOOKUP(D3599,$D$2:$E$4,2,FALSE))-(IF('Informe Kelly'!H3593=$A$2,'Informe Kelly'!F3593,VLOOKUP(D3599,$D$2:$E$4,2,FALSE)))</f>
        <v>#N/A</v>
      </c>
      <c r="F3599" s="142" t="e">
        <f>IF('Informe Kelly'!H3593=$A$3,'Informe Kelly'!F3593,VLOOKUP(D3599,$D$2:$F$4,3,FALSE))-(VLOOKUP(D3599,$D$2:$F$4,3,FALSE))</f>
        <v>#N/A</v>
      </c>
      <c r="G3599" s="137" t="e">
        <f t="shared" si="60"/>
        <v>#N/A</v>
      </c>
    </row>
    <row r="3600" spans="1:7">
      <c r="A3600" s="112" t="e">
        <f>VLOOKUP('Informe Kelly'!A3594,Base!A:B,2,FALSE)</f>
        <v>#N/A</v>
      </c>
      <c r="B3600" s="112" t="e">
        <f>VLOOKUP('Informe Kelly'!A3594,Base!A:G,7,FALSE)</f>
        <v>#N/A</v>
      </c>
      <c r="C3600" s="112">
        <f>'Informe Kelly'!E3594</f>
        <v>0</v>
      </c>
      <c r="D3600" s="112" t="e">
        <f>VLOOKUP(A3600,Ingreso!K:P,6,FALSE)</f>
        <v>#N/A</v>
      </c>
      <c r="E3600" s="142" t="e">
        <f>(VLOOKUP(D3600,$D$2:$E$4,2,FALSE))-(IF('Informe Kelly'!H3594=$A$2,'Informe Kelly'!F3594,VLOOKUP(D3600,$D$2:$E$4,2,FALSE)))</f>
        <v>#N/A</v>
      </c>
      <c r="F3600" s="142" t="e">
        <f>IF('Informe Kelly'!H3594=$A$3,'Informe Kelly'!F3594,VLOOKUP(D3600,$D$2:$F$4,3,FALSE))-(VLOOKUP(D3600,$D$2:$F$4,3,FALSE))</f>
        <v>#N/A</v>
      </c>
      <c r="G3600" s="137" t="e">
        <f t="shared" si="60"/>
        <v>#N/A</v>
      </c>
    </row>
    <row r="3601" spans="1:7">
      <c r="A3601" s="112" t="e">
        <f>VLOOKUP('Informe Kelly'!A3595,Base!A:B,2,FALSE)</f>
        <v>#N/A</v>
      </c>
      <c r="B3601" s="112" t="e">
        <f>VLOOKUP('Informe Kelly'!A3595,Base!A:G,7,FALSE)</f>
        <v>#N/A</v>
      </c>
      <c r="C3601" s="112">
        <f>'Informe Kelly'!E3595</f>
        <v>0</v>
      </c>
      <c r="D3601" s="112" t="e">
        <f>VLOOKUP(A3601,Ingreso!K:P,6,FALSE)</f>
        <v>#N/A</v>
      </c>
      <c r="E3601" s="142" t="e">
        <f>(VLOOKUP(D3601,$D$2:$E$4,2,FALSE))-(IF('Informe Kelly'!H3595=$A$2,'Informe Kelly'!F3595,VLOOKUP(D3601,$D$2:$E$4,2,FALSE)))</f>
        <v>#N/A</v>
      </c>
      <c r="F3601" s="142" t="e">
        <f>IF('Informe Kelly'!H3595=$A$3,'Informe Kelly'!F3595,VLOOKUP(D3601,$D$2:$F$4,3,FALSE))-(VLOOKUP(D3601,$D$2:$F$4,3,FALSE))</f>
        <v>#N/A</v>
      </c>
      <c r="G3601" s="137" t="e">
        <f t="shared" si="60"/>
        <v>#N/A</v>
      </c>
    </row>
    <row r="3602" spans="1:7">
      <c r="A3602" s="112" t="e">
        <f>VLOOKUP('Informe Kelly'!A3596,Base!A:B,2,FALSE)</f>
        <v>#N/A</v>
      </c>
      <c r="B3602" s="112" t="e">
        <f>VLOOKUP('Informe Kelly'!A3596,Base!A:G,7,FALSE)</f>
        <v>#N/A</v>
      </c>
      <c r="C3602" s="112">
        <f>'Informe Kelly'!E3596</f>
        <v>0</v>
      </c>
      <c r="D3602" s="112" t="e">
        <f>VLOOKUP(A3602,Ingreso!K:P,6,FALSE)</f>
        <v>#N/A</v>
      </c>
      <c r="E3602" s="142" t="e">
        <f>(VLOOKUP(D3602,$D$2:$E$4,2,FALSE))-(IF('Informe Kelly'!H3596=$A$2,'Informe Kelly'!F3596,VLOOKUP(D3602,$D$2:$E$4,2,FALSE)))</f>
        <v>#N/A</v>
      </c>
      <c r="F3602" s="142" t="e">
        <f>IF('Informe Kelly'!H3596=$A$3,'Informe Kelly'!F3596,VLOOKUP(D3602,$D$2:$F$4,3,FALSE))-(VLOOKUP(D3602,$D$2:$F$4,3,FALSE))</f>
        <v>#N/A</v>
      </c>
      <c r="G3602" s="137" t="e">
        <f t="shared" si="60"/>
        <v>#N/A</v>
      </c>
    </row>
    <row r="3603" spans="1:7">
      <c r="A3603" s="112" t="e">
        <f>VLOOKUP('Informe Kelly'!A3597,Base!A:B,2,FALSE)</f>
        <v>#N/A</v>
      </c>
      <c r="B3603" s="112" t="e">
        <f>VLOOKUP('Informe Kelly'!A3597,Base!A:G,7,FALSE)</f>
        <v>#N/A</v>
      </c>
      <c r="C3603" s="112">
        <f>'Informe Kelly'!E3597</f>
        <v>0</v>
      </c>
      <c r="D3603" s="112" t="e">
        <f>VLOOKUP(A3603,Ingreso!K:P,6,FALSE)</f>
        <v>#N/A</v>
      </c>
      <c r="E3603" s="142" t="e">
        <f>(VLOOKUP(D3603,$D$2:$E$4,2,FALSE))-(IF('Informe Kelly'!H3597=$A$2,'Informe Kelly'!F3597,VLOOKUP(D3603,$D$2:$E$4,2,FALSE)))</f>
        <v>#N/A</v>
      </c>
      <c r="F3603" s="142" t="e">
        <f>IF('Informe Kelly'!H3597=$A$3,'Informe Kelly'!F3597,VLOOKUP(D3603,$D$2:$F$4,3,FALSE))-(VLOOKUP(D3603,$D$2:$F$4,3,FALSE))</f>
        <v>#N/A</v>
      </c>
      <c r="G3603" s="137" t="e">
        <f t="shared" si="60"/>
        <v>#N/A</v>
      </c>
    </row>
    <row r="3604" spans="1:7">
      <c r="A3604" s="112" t="e">
        <f>VLOOKUP('Informe Kelly'!A3598,Base!A:B,2,FALSE)</f>
        <v>#N/A</v>
      </c>
      <c r="B3604" s="112" t="e">
        <f>VLOOKUP('Informe Kelly'!A3598,Base!A:G,7,FALSE)</f>
        <v>#N/A</v>
      </c>
      <c r="C3604" s="112">
        <f>'Informe Kelly'!E3598</f>
        <v>0</v>
      </c>
      <c r="D3604" s="112" t="e">
        <f>VLOOKUP(A3604,Ingreso!K:P,6,FALSE)</f>
        <v>#N/A</v>
      </c>
      <c r="E3604" s="142" t="e">
        <f>(VLOOKUP(D3604,$D$2:$E$4,2,FALSE))-(IF('Informe Kelly'!H3598=$A$2,'Informe Kelly'!F3598,VLOOKUP(D3604,$D$2:$E$4,2,FALSE)))</f>
        <v>#N/A</v>
      </c>
      <c r="F3604" s="142" t="e">
        <f>IF('Informe Kelly'!H3598=$A$3,'Informe Kelly'!F3598,VLOOKUP(D3604,$D$2:$F$4,3,FALSE))-(VLOOKUP(D3604,$D$2:$F$4,3,FALSE))</f>
        <v>#N/A</v>
      </c>
      <c r="G3604" s="137" t="e">
        <f t="shared" si="60"/>
        <v>#N/A</v>
      </c>
    </row>
    <row r="3605" spans="1:7">
      <c r="A3605" s="112" t="e">
        <f>VLOOKUP('Informe Kelly'!A3599,Base!A:B,2,FALSE)</f>
        <v>#N/A</v>
      </c>
      <c r="B3605" s="112" t="e">
        <f>VLOOKUP('Informe Kelly'!A3599,Base!A:G,7,FALSE)</f>
        <v>#N/A</v>
      </c>
      <c r="C3605" s="112">
        <f>'Informe Kelly'!E3599</f>
        <v>0</v>
      </c>
      <c r="D3605" s="112" t="e">
        <f>VLOOKUP(A3605,Ingreso!K:P,6,FALSE)</f>
        <v>#N/A</v>
      </c>
      <c r="E3605" s="142" t="e">
        <f>(VLOOKUP(D3605,$D$2:$E$4,2,FALSE))-(IF('Informe Kelly'!H3599=$A$2,'Informe Kelly'!F3599,VLOOKUP(D3605,$D$2:$E$4,2,FALSE)))</f>
        <v>#N/A</v>
      </c>
      <c r="F3605" s="142" t="e">
        <f>IF('Informe Kelly'!H3599=$A$3,'Informe Kelly'!F3599,VLOOKUP(D3605,$D$2:$F$4,3,FALSE))-(VLOOKUP(D3605,$D$2:$F$4,3,FALSE))</f>
        <v>#N/A</v>
      </c>
      <c r="G3605" s="137" t="e">
        <f t="shared" si="60"/>
        <v>#N/A</v>
      </c>
    </row>
    <row r="3606" spans="1:7">
      <c r="A3606" s="112" t="e">
        <f>VLOOKUP('Informe Kelly'!A3600,Base!A:B,2,FALSE)</f>
        <v>#N/A</v>
      </c>
      <c r="B3606" s="112" t="e">
        <f>VLOOKUP('Informe Kelly'!A3600,Base!A:G,7,FALSE)</f>
        <v>#N/A</v>
      </c>
      <c r="C3606" s="112">
        <f>'Informe Kelly'!E3600</f>
        <v>0</v>
      </c>
      <c r="D3606" s="112" t="e">
        <f>VLOOKUP(A3606,Ingreso!K:P,6,FALSE)</f>
        <v>#N/A</v>
      </c>
      <c r="E3606" s="142" t="e">
        <f>(VLOOKUP(D3606,$D$2:$E$4,2,FALSE))-(IF('Informe Kelly'!H3600=$A$2,'Informe Kelly'!F3600,VLOOKUP(D3606,$D$2:$E$4,2,FALSE)))</f>
        <v>#N/A</v>
      </c>
      <c r="F3606" s="142" t="e">
        <f>IF('Informe Kelly'!H3600=$A$3,'Informe Kelly'!F3600,VLOOKUP(D3606,$D$2:$F$4,3,FALSE))-(VLOOKUP(D3606,$D$2:$F$4,3,FALSE))</f>
        <v>#N/A</v>
      </c>
      <c r="G3606" s="137" t="e">
        <f t="shared" si="60"/>
        <v>#N/A</v>
      </c>
    </row>
    <row r="3607" spans="1:7">
      <c r="A3607" s="112" t="e">
        <f>VLOOKUP('Informe Kelly'!A3601,Base!A:B,2,FALSE)</f>
        <v>#N/A</v>
      </c>
      <c r="B3607" s="112" t="e">
        <f>VLOOKUP('Informe Kelly'!A3601,Base!A:G,7,FALSE)</f>
        <v>#N/A</v>
      </c>
      <c r="C3607" s="112">
        <f>'Informe Kelly'!E3601</f>
        <v>0</v>
      </c>
      <c r="D3607" s="112" t="e">
        <f>VLOOKUP(A3607,Ingreso!K:P,6,FALSE)</f>
        <v>#N/A</v>
      </c>
      <c r="E3607" s="142" t="e">
        <f>(VLOOKUP(D3607,$D$2:$E$4,2,FALSE))-(IF('Informe Kelly'!H3601=$A$2,'Informe Kelly'!F3601,VLOOKUP(D3607,$D$2:$E$4,2,FALSE)))</f>
        <v>#N/A</v>
      </c>
      <c r="F3607" s="142" t="e">
        <f>IF('Informe Kelly'!H3601=$A$3,'Informe Kelly'!F3601,VLOOKUP(D3607,$D$2:$F$4,3,FALSE))-(VLOOKUP(D3607,$D$2:$F$4,3,FALSE))</f>
        <v>#N/A</v>
      </c>
      <c r="G3607" s="137" t="e">
        <f t="shared" si="60"/>
        <v>#N/A</v>
      </c>
    </row>
    <row r="3608" spans="1:7">
      <c r="A3608" s="112" t="e">
        <f>VLOOKUP('Informe Kelly'!A3602,Base!A:B,2,FALSE)</f>
        <v>#N/A</v>
      </c>
      <c r="B3608" s="112" t="e">
        <f>VLOOKUP('Informe Kelly'!A3602,Base!A:G,7,FALSE)</f>
        <v>#N/A</v>
      </c>
      <c r="C3608" s="112">
        <f>'Informe Kelly'!E3602</f>
        <v>0</v>
      </c>
      <c r="D3608" s="112" t="e">
        <f>VLOOKUP(A3608,Ingreso!K:P,6,FALSE)</f>
        <v>#N/A</v>
      </c>
      <c r="E3608" s="142" t="e">
        <f>(VLOOKUP(D3608,$D$2:$E$4,2,FALSE))-(IF('Informe Kelly'!H3602=$A$2,'Informe Kelly'!F3602,VLOOKUP(D3608,$D$2:$E$4,2,FALSE)))</f>
        <v>#N/A</v>
      </c>
      <c r="F3608" s="142" t="e">
        <f>IF('Informe Kelly'!H3602=$A$3,'Informe Kelly'!F3602,VLOOKUP(D3608,$D$2:$F$4,3,FALSE))-(VLOOKUP(D3608,$D$2:$F$4,3,FALSE))</f>
        <v>#N/A</v>
      </c>
      <c r="G3608" s="137" t="e">
        <f t="shared" si="60"/>
        <v>#N/A</v>
      </c>
    </row>
    <row r="3609" spans="1:7">
      <c r="A3609" s="112" t="e">
        <f>VLOOKUP('Informe Kelly'!A3603,Base!A:B,2,FALSE)</f>
        <v>#N/A</v>
      </c>
      <c r="B3609" s="112" t="e">
        <f>VLOOKUP('Informe Kelly'!A3603,Base!A:G,7,FALSE)</f>
        <v>#N/A</v>
      </c>
      <c r="C3609" s="112">
        <f>'Informe Kelly'!E3603</f>
        <v>0</v>
      </c>
      <c r="D3609" s="112" t="e">
        <f>VLOOKUP(A3609,Ingreso!K:P,6,FALSE)</f>
        <v>#N/A</v>
      </c>
      <c r="E3609" s="142" t="e">
        <f>(VLOOKUP(D3609,$D$2:$E$4,2,FALSE))-(IF('Informe Kelly'!H3603=$A$2,'Informe Kelly'!F3603,VLOOKUP(D3609,$D$2:$E$4,2,FALSE)))</f>
        <v>#N/A</v>
      </c>
      <c r="F3609" s="142" t="e">
        <f>IF('Informe Kelly'!H3603=$A$3,'Informe Kelly'!F3603,VLOOKUP(D3609,$D$2:$F$4,3,FALSE))-(VLOOKUP(D3609,$D$2:$F$4,3,FALSE))</f>
        <v>#N/A</v>
      </c>
      <c r="G3609" s="137" t="e">
        <f t="shared" si="60"/>
        <v>#N/A</v>
      </c>
    </row>
    <row r="3610" spans="1:7">
      <c r="A3610" s="112" t="e">
        <f>VLOOKUP('Informe Kelly'!A3604,Base!A:B,2,FALSE)</f>
        <v>#N/A</v>
      </c>
      <c r="B3610" s="112" t="e">
        <f>VLOOKUP('Informe Kelly'!A3604,Base!A:G,7,FALSE)</f>
        <v>#N/A</v>
      </c>
      <c r="C3610" s="112">
        <f>'Informe Kelly'!E3604</f>
        <v>0</v>
      </c>
      <c r="D3610" s="112" t="e">
        <f>VLOOKUP(A3610,Ingreso!K:P,6,FALSE)</f>
        <v>#N/A</v>
      </c>
      <c r="E3610" s="142" t="e">
        <f>(VLOOKUP(D3610,$D$2:$E$4,2,FALSE))-(IF('Informe Kelly'!H3604=$A$2,'Informe Kelly'!F3604,VLOOKUP(D3610,$D$2:$E$4,2,FALSE)))</f>
        <v>#N/A</v>
      </c>
      <c r="F3610" s="142" t="e">
        <f>IF('Informe Kelly'!H3604=$A$3,'Informe Kelly'!F3604,VLOOKUP(D3610,$D$2:$F$4,3,FALSE))-(VLOOKUP(D3610,$D$2:$F$4,3,FALSE))</f>
        <v>#N/A</v>
      </c>
      <c r="G3610" s="137" t="e">
        <f t="shared" si="60"/>
        <v>#N/A</v>
      </c>
    </row>
    <row r="3611" spans="1:7">
      <c r="A3611" s="112" t="e">
        <f>VLOOKUP('Informe Kelly'!A3605,Base!A:B,2,FALSE)</f>
        <v>#N/A</v>
      </c>
      <c r="B3611" s="112" t="e">
        <f>VLOOKUP('Informe Kelly'!A3605,Base!A:G,7,FALSE)</f>
        <v>#N/A</v>
      </c>
      <c r="C3611" s="112">
        <f>'Informe Kelly'!E3605</f>
        <v>0</v>
      </c>
      <c r="D3611" s="112" t="e">
        <f>VLOOKUP(A3611,Ingreso!K:P,6,FALSE)</f>
        <v>#N/A</v>
      </c>
      <c r="E3611" s="142" t="e">
        <f>(VLOOKUP(D3611,$D$2:$E$4,2,FALSE))-(IF('Informe Kelly'!H3605=$A$2,'Informe Kelly'!F3605,VLOOKUP(D3611,$D$2:$E$4,2,FALSE)))</f>
        <v>#N/A</v>
      </c>
      <c r="F3611" s="142" t="e">
        <f>IF('Informe Kelly'!H3605=$A$3,'Informe Kelly'!F3605,VLOOKUP(D3611,$D$2:$F$4,3,FALSE))-(VLOOKUP(D3611,$D$2:$F$4,3,FALSE))</f>
        <v>#N/A</v>
      </c>
      <c r="G3611" s="137" t="e">
        <f t="shared" si="60"/>
        <v>#N/A</v>
      </c>
    </row>
    <row r="3612" spans="1:7">
      <c r="A3612" s="112" t="e">
        <f>VLOOKUP('Informe Kelly'!A3606,Base!A:B,2,FALSE)</f>
        <v>#N/A</v>
      </c>
      <c r="B3612" s="112" t="e">
        <f>VLOOKUP('Informe Kelly'!A3606,Base!A:G,7,FALSE)</f>
        <v>#N/A</v>
      </c>
      <c r="C3612" s="112">
        <f>'Informe Kelly'!E3606</f>
        <v>0</v>
      </c>
      <c r="D3612" s="112" t="e">
        <f>VLOOKUP(A3612,Ingreso!K:P,6,FALSE)</f>
        <v>#N/A</v>
      </c>
      <c r="E3612" s="142" t="e">
        <f>(VLOOKUP(D3612,$D$2:$E$4,2,FALSE))-(IF('Informe Kelly'!H3606=$A$2,'Informe Kelly'!F3606,VLOOKUP(D3612,$D$2:$E$4,2,FALSE)))</f>
        <v>#N/A</v>
      </c>
      <c r="F3612" s="142" t="e">
        <f>IF('Informe Kelly'!H3606=$A$3,'Informe Kelly'!F3606,VLOOKUP(D3612,$D$2:$F$4,3,FALSE))-(VLOOKUP(D3612,$D$2:$F$4,3,FALSE))</f>
        <v>#N/A</v>
      </c>
      <c r="G3612" s="137" t="e">
        <f t="shared" si="60"/>
        <v>#N/A</v>
      </c>
    </row>
    <row r="3613" spans="1:7">
      <c r="A3613" s="112" t="e">
        <f>VLOOKUP('Informe Kelly'!A3607,Base!A:B,2,FALSE)</f>
        <v>#N/A</v>
      </c>
      <c r="B3613" s="112" t="e">
        <f>VLOOKUP('Informe Kelly'!A3607,Base!A:G,7,FALSE)</f>
        <v>#N/A</v>
      </c>
      <c r="C3613" s="112">
        <f>'Informe Kelly'!E3607</f>
        <v>0</v>
      </c>
      <c r="D3613" s="112" t="e">
        <f>VLOOKUP(A3613,Ingreso!K:P,6,FALSE)</f>
        <v>#N/A</v>
      </c>
      <c r="E3613" s="142" t="e">
        <f>(VLOOKUP(D3613,$D$2:$E$4,2,FALSE))-(IF('Informe Kelly'!H3607=$A$2,'Informe Kelly'!F3607,VLOOKUP(D3613,$D$2:$E$4,2,FALSE)))</f>
        <v>#N/A</v>
      </c>
      <c r="F3613" s="142" t="e">
        <f>IF('Informe Kelly'!H3607=$A$3,'Informe Kelly'!F3607,VLOOKUP(D3613,$D$2:$F$4,3,FALSE))-(VLOOKUP(D3613,$D$2:$F$4,3,FALSE))</f>
        <v>#N/A</v>
      </c>
      <c r="G3613" s="137" t="e">
        <f t="shared" si="60"/>
        <v>#N/A</v>
      </c>
    </row>
    <row r="3614" spans="1:7">
      <c r="A3614" s="112" t="e">
        <f>VLOOKUP('Informe Kelly'!A3608,Base!A:B,2,FALSE)</f>
        <v>#N/A</v>
      </c>
      <c r="B3614" s="112" t="e">
        <f>VLOOKUP('Informe Kelly'!A3608,Base!A:G,7,FALSE)</f>
        <v>#N/A</v>
      </c>
      <c r="C3614" s="112">
        <f>'Informe Kelly'!E3608</f>
        <v>0</v>
      </c>
      <c r="D3614" s="112" t="e">
        <f>VLOOKUP(A3614,Ingreso!K:P,6,FALSE)</f>
        <v>#N/A</v>
      </c>
      <c r="E3614" s="142" t="e">
        <f>(VLOOKUP(D3614,$D$2:$E$4,2,FALSE))-(IF('Informe Kelly'!H3608=$A$2,'Informe Kelly'!F3608,VLOOKUP(D3614,$D$2:$E$4,2,FALSE)))</f>
        <v>#N/A</v>
      </c>
      <c r="F3614" s="142" t="e">
        <f>IF('Informe Kelly'!H3608=$A$3,'Informe Kelly'!F3608,VLOOKUP(D3614,$D$2:$F$4,3,FALSE))-(VLOOKUP(D3614,$D$2:$F$4,3,FALSE))</f>
        <v>#N/A</v>
      </c>
      <c r="G3614" s="137" t="e">
        <f t="shared" si="60"/>
        <v>#N/A</v>
      </c>
    </row>
    <row r="3615" spans="1:7">
      <c r="A3615" s="112" t="e">
        <f>VLOOKUP('Informe Kelly'!A3609,Base!A:B,2,FALSE)</f>
        <v>#N/A</v>
      </c>
      <c r="B3615" s="112" t="e">
        <f>VLOOKUP('Informe Kelly'!A3609,Base!A:G,7,FALSE)</f>
        <v>#N/A</v>
      </c>
      <c r="C3615" s="112">
        <f>'Informe Kelly'!E3609</f>
        <v>0</v>
      </c>
      <c r="D3615" s="112" t="e">
        <f>VLOOKUP(A3615,Ingreso!K:P,6,FALSE)</f>
        <v>#N/A</v>
      </c>
      <c r="E3615" s="142" t="e">
        <f>(VLOOKUP(D3615,$D$2:$E$4,2,FALSE))-(IF('Informe Kelly'!H3609=$A$2,'Informe Kelly'!F3609,VLOOKUP(D3615,$D$2:$E$4,2,FALSE)))</f>
        <v>#N/A</v>
      </c>
      <c r="F3615" s="142" t="e">
        <f>IF('Informe Kelly'!H3609=$A$3,'Informe Kelly'!F3609,VLOOKUP(D3615,$D$2:$F$4,3,FALSE))-(VLOOKUP(D3615,$D$2:$F$4,3,FALSE))</f>
        <v>#N/A</v>
      </c>
      <c r="G3615" s="137" t="e">
        <f t="shared" si="60"/>
        <v>#N/A</v>
      </c>
    </row>
    <row r="3616" spans="1:7">
      <c r="A3616" s="112" t="e">
        <f>VLOOKUP('Informe Kelly'!A3610,Base!A:B,2,FALSE)</f>
        <v>#N/A</v>
      </c>
      <c r="B3616" s="112" t="e">
        <f>VLOOKUP('Informe Kelly'!A3610,Base!A:G,7,FALSE)</f>
        <v>#N/A</v>
      </c>
      <c r="C3616" s="112">
        <f>'Informe Kelly'!E3610</f>
        <v>0</v>
      </c>
      <c r="D3616" s="112" t="e">
        <f>VLOOKUP(A3616,Ingreso!K:P,6,FALSE)</f>
        <v>#N/A</v>
      </c>
      <c r="E3616" s="142" t="e">
        <f>(VLOOKUP(D3616,$D$2:$E$4,2,FALSE))-(IF('Informe Kelly'!H3610=$A$2,'Informe Kelly'!F3610,VLOOKUP(D3616,$D$2:$E$4,2,FALSE)))</f>
        <v>#N/A</v>
      </c>
      <c r="F3616" s="142" t="e">
        <f>IF('Informe Kelly'!H3610=$A$3,'Informe Kelly'!F3610,VLOOKUP(D3616,$D$2:$F$4,3,FALSE))-(VLOOKUP(D3616,$D$2:$F$4,3,FALSE))</f>
        <v>#N/A</v>
      </c>
      <c r="G3616" s="137" t="e">
        <f t="shared" si="60"/>
        <v>#N/A</v>
      </c>
    </row>
    <row r="3617" spans="1:7">
      <c r="A3617" s="112" t="e">
        <f>VLOOKUP('Informe Kelly'!A3611,Base!A:B,2,FALSE)</f>
        <v>#N/A</v>
      </c>
      <c r="B3617" s="112" t="e">
        <f>VLOOKUP('Informe Kelly'!A3611,Base!A:G,7,FALSE)</f>
        <v>#N/A</v>
      </c>
      <c r="C3617" s="112">
        <f>'Informe Kelly'!E3611</f>
        <v>0</v>
      </c>
      <c r="D3617" s="112" t="e">
        <f>VLOOKUP(A3617,Ingreso!K:P,6,FALSE)</f>
        <v>#N/A</v>
      </c>
      <c r="E3617" s="142" t="e">
        <f>(VLOOKUP(D3617,$D$2:$E$4,2,FALSE))-(IF('Informe Kelly'!H3611=$A$2,'Informe Kelly'!F3611,VLOOKUP(D3617,$D$2:$E$4,2,FALSE)))</f>
        <v>#N/A</v>
      </c>
      <c r="F3617" s="142" t="e">
        <f>IF('Informe Kelly'!H3611=$A$3,'Informe Kelly'!F3611,VLOOKUP(D3617,$D$2:$F$4,3,FALSE))-(VLOOKUP(D3617,$D$2:$F$4,3,FALSE))</f>
        <v>#N/A</v>
      </c>
      <c r="G3617" s="137" t="e">
        <f t="shared" si="60"/>
        <v>#N/A</v>
      </c>
    </row>
    <row r="3618" spans="1:7">
      <c r="A3618" s="112" t="e">
        <f>VLOOKUP('Informe Kelly'!A3612,Base!A:B,2,FALSE)</f>
        <v>#N/A</v>
      </c>
      <c r="B3618" s="112" t="e">
        <f>VLOOKUP('Informe Kelly'!A3612,Base!A:G,7,FALSE)</f>
        <v>#N/A</v>
      </c>
      <c r="C3618" s="112">
        <f>'Informe Kelly'!E3612</f>
        <v>0</v>
      </c>
      <c r="D3618" s="112" t="e">
        <f>VLOOKUP(A3618,Ingreso!K:P,6,FALSE)</f>
        <v>#N/A</v>
      </c>
      <c r="E3618" s="142" t="e">
        <f>(VLOOKUP(D3618,$D$2:$E$4,2,FALSE))-(IF('Informe Kelly'!H3612=$A$2,'Informe Kelly'!F3612,VLOOKUP(D3618,$D$2:$E$4,2,FALSE)))</f>
        <v>#N/A</v>
      </c>
      <c r="F3618" s="142" t="e">
        <f>IF('Informe Kelly'!H3612=$A$3,'Informe Kelly'!F3612,VLOOKUP(D3618,$D$2:$F$4,3,FALSE))-(VLOOKUP(D3618,$D$2:$F$4,3,FALSE))</f>
        <v>#N/A</v>
      </c>
      <c r="G3618" s="137" t="e">
        <f t="shared" si="60"/>
        <v>#N/A</v>
      </c>
    </row>
    <row r="3619" spans="1:7">
      <c r="A3619" s="112" t="e">
        <f>VLOOKUP('Informe Kelly'!A3613,Base!A:B,2,FALSE)</f>
        <v>#N/A</v>
      </c>
      <c r="B3619" s="112" t="e">
        <f>VLOOKUP('Informe Kelly'!A3613,Base!A:G,7,FALSE)</f>
        <v>#N/A</v>
      </c>
      <c r="C3619" s="112">
        <f>'Informe Kelly'!E3613</f>
        <v>0</v>
      </c>
      <c r="D3619" s="112" t="e">
        <f>VLOOKUP(A3619,Ingreso!K:P,6,FALSE)</f>
        <v>#N/A</v>
      </c>
      <c r="E3619" s="142" t="e">
        <f>(VLOOKUP(D3619,$D$2:$E$4,2,FALSE))-(IF('Informe Kelly'!H3613=$A$2,'Informe Kelly'!F3613,VLOOKUP(D3619,$D$2:$E$4,2,FALSE)))</f>
        <v>#N/A</v>
      </c>
      <c r="F3619" s="142" t="e">
        <f>IF('Informe Kelly'!H3613=$A$3,'Informe Kelly'!F3613,VLOOKUP(D3619,$D$2:$F$4,3,FALSE))-(VLOOKUP(D3619,$D$2:$F$4,3,FALSE))</f>
        <v>#N/A</v>
      </c>
      <c r="G3619" s="137" t="e">
        <f t="shared" si="60"/>
        <v>#N/A</v>
      </c>
    </row>
    <row r="3620" spans="1:7">
      <c r="A3620" s="112" t="e">
        <f>VLOOKUP('Informe Kelly'!A3614,Base!A:B,2,FALSE)</f>
        <v>#N/A</v>
      </c>
      <c r="B3620" s="112" t="e">
        <f>VLOOKUP('Informe Kelly'!A3614,Base!A:G,7,FALSE)</f>
        <v>#N/A</v>
      </c>
      <c r="C3620" s="112">
        <f>'Informe Kelly'!E3614</f>
        <v>0</v>
      </c>
      <c r="D3620" s="112" t="e">
        <f>VLOOKUP(A3620,Ingreso!K:P,6,FALSE)</f>
        <v>#N/A</v>
      </c>
      <c r="E3620" s="142" t="e">
        <f>(VLOOKUP(D3620,$D$2:$E$4,2,FALSE))-(IF('Informe Kelly'!H3614=$A$2,'Informe Kelly'!F3614,VLOOKUP(D3620,$D$2:$E$4,2,FALSE)))</f>
        <v>#N/A</v>
      </c>
      <c r="F3620" s="142" t="e">
        <f>IF('Informe Kelly'!H3614=$A$3,'Informe Kelly'!F3614,VLOOKUP(D3620,$D$2:$F$4,3,FALSE))-(VLOOKUP(D3620,$D$2:$F$4,3,FALSE))</f>
        <v>#N/A</v>
      </c>
      <c r="G3620" s="137" t="e">
        <f t="shared" si="60"/>
        <v>#N/A</v>
      </c>
    </row>
    <row r="3621" spans="1:7">
      <c r="A3621" s="112" t="e">
        <f>VLOOKUP('Informe Kelly'!A3615,Base!A:B,2,FALSE)</f>
        <v>#N/A</v>
      </c>
      <c r="B3621" s="112" t="e">
        <f>VLOOKUP('Informe Kelly'!A3615,Base!A:G,7,FALSE)</f>
        <v>#N/A</v>
      </c>
      <c r="C3621" s="112">
        <f>'Informe Kelly'!E3615</f>
        <v>0</v>
      </c>
      <c r="D3621" s="112" t="e">
        <f>VLOOKUP(A3621,Ingreso!K:P,6,FALSE)</f>
        <v>#N/A</v>
      </c>
      <c r="E3621" s="142" t="e">
        <f>(VLOOKUP(D3621,$D$2:$E$4,2,FALSE))-(IF('Informe Kelly'!H3615=$A$2,'Informe Kelly'!F3615,VLOOKUP(D3621,$D$2:$E$4,2,FALSE)))</f>
        <v>#N/A</v>
      </c>
      <c r="F3621" s="142" t="e">
        <f>IF('Informe Kelly'!H3615=$A$3,'Informe Kelly'!F3615,VLOOKUP(D3621,$D$2:$F$4,3,FALSE))-(VLOOKUP(D3621,$D$2:$F$4,3,FALSE))</f>
        <v>#N/A</v>
      </c>
      <c r="G3621" s="137" t="e">
        <f t="shared" si="60"/>
        <v>#N/A</v>
      </c>
    </row>
    <row r="3622" spans="1:7">
      <c r="A3622" s="112" t="e">
        <f>VLOOKUP('Informe Kelly'!A3616,Base!A:B,2,FALSE)</f>
        <v>#N/A</v>
      </c>
      <c r="B3622" s="112" t="e">
        <f>VLOOKUP('Informe Kelly'!A3616,Base!A:G,7,FALSE)</f>
        <v>#N/A</v>
      </c>
      <c r="C3622" s="112">
        <f>'Informe Kelly'!E3616</f>
        <v>0</v>
      </c>
      <c r="D3622" s="112" t="e">
        <f>VLOOKUP(A3622,Ingreso!K:P,6,FALSE)</f>
        <v>#N/A</v>
      </c>
      <c r="E3622" s="142" t="e">
        <f>(VLOOKUP(D3622,$D$2:$E$4,2,FALSE))-(IF('Informe Kelly'!H3616=$A$2,'Informe Kelly'!F3616,VLOOKUP(D3622,$D$2:$E$4,2,FALSE)))</f>
        <v>#N/A</v>
      </c>
      <c r="F3622" s="142" t="e">
        <f>IF('Informe Kelly'!H3616=$A$3,'Informe Kelly'!F3616,VLOOKUP(D3622,$D$2:$F$4,3,FALSE))-(VLOOKUP(D3622,$D$2:$F$4,3,FALSE))</f>
        <v>#N/A</v>
      </c>
      <c r="G3622" s="137" t="e">
        <f t="shared" si="60"/>
        <v>#N/A</v>
      </c>
    </row>
    <row r="3623" spans="1:7">
      <c r="A3623" s="112" t="e">
        <f>VLOOKUP('Informe Kelly'!A3617,Base!A:B,2,FALSE)</f>
        <v>#N/A</v>
      </c>
      <c r="B3623" s="112" t="e">
        <f>VLOOKUP('Informe Kelly'!A3617,Base!A:G,7,FALSE)</f>
        <v>#N/A</v>
      </c>
      <c r="C3623" s="112">
        <f>'Informe Kelly'!E3617</f>
        <v>0</v>
      </c>
      <c r="D3623" s="112" t="e">
        <f>VLOOKUP(A3623,Ingreso!K:P,6,FALSE)</f>
        <v>#N/A</v>
      </c>
      <c r="E3623" s="142" t="e">
        <f>(VLOOKUP(D3623,$D$2:$E$4,2,FALSE))-(IF('Informe Kelly'!H3617=$A$2,'Informe Kelly'!F3617,VLOOKUP(D3623,$D$2:$E$4,2,FALSE)))</f>
        <v>#N/A</v>
      </c>
      <c r="F3623" s="142" t="e">
        <f>IF('Informe Kelly'!H3617=$A$3,'Informe Kelly'!F3617,VLOOKUP(D3623,$D$2:$F$4,3,FALSE))-(VLOOKUP(D3623,$D$2:$F$4,3,FALSE))</f>
        <v>#N/A</v>
      </c>
      <c r="G3623" s="137" t="e">
        <f t="shared" si="60"/>
        <v>#N/A</v>
      </c>
    </row>
    <row r="3624" spans="1:7">
      <c r="A3624" s="112" t="e">
        <f>VLOOKUP('Informe Kelly'!A3618,Base!A:B,2,FALSE)</f>
        <v>#N/A</v>
      </c>
      <c r="B3624" s="112" t="e">
        <f>VLOOKUP('Informe Kelly'!A3618,Base!A:G,7,FALSE)</f>
        <v>#N/A</v>
      </c>
      <c r="C3624" s="112">
        <f>'Informe Kelly'!E3618</f>
        <v>0</v>
      </c>
      <c r="D3624" s="112" t="e">
        <f>VLOOKUP(A3624,Ingreso!K:P,6,FALSE)</f>
        <v>#N/A</v>
      </c>
      <c r="E3624" s="142" t="e">
        <f>(VLOOKUP(D3624,$D$2:$E$4,2,FALSE))-(IF('Informe Kelly'!H3618=$A$2,'Informe Kelly'!F3618,VLOOKUP(D3624,$D$2:$E$4,2,FALSE)))</f>
        <v>#N/A</v>
      </c>
      <c r="F3624" s="142" t="e">
        <f>IF('Informe Kelly'!H3618=$A$3,'Informe Kelly'!F3618,VLOOKUP(D3624,$D$2:$F$4,3,FALSE))-(VLOOKUP(D3624,$D$2:$F$4,3,FALSE))</f>
        <v>#N/A</v>
      </c>
      <c r="G3624" s="137" t="e">
        <f t="shared" si="60"/>
        <v>#N/A</v>
      </c>
    </row>
    <row r="3625" spans="1:7">
      <c r="A3625" s="112" t="e">
        <f>VLOOKUP('Informe Kelly'!A3619,Base!A:B,2,FALSE)</f>
        <v>#N/A</v>
      </c>
      <c r="B3625" s="112" t="e">
        <f>VLOOKUP('Informe Kelly'!A3619,Base!A:G,7,FALSE)</f>
        <v>#N/A</v>
      </c>
      <c r="C3625" s="112">
        <f>'Informe Kelly'!E3619</f>
        <v>0</v>
      </c>
      <c r="D3625" s="112" t="e">
        <f>VLOOKUP(A3625,Ingreso!K:P,6,FALSE)</f>
        <v>#N/A</v>
      </c>
      <c r="E3625" s="142" t="e">
        <f>(VLOOKUP(D3625,$D$2:$E$4,2,FALSE))-(IF('Informe Kelly'!H3619=$A$2,'Informe Kelly'!F3619,VLOOKUP(D3625,$D$2:$E$4,2,FALSE)))</f>
        <v>#N/A</v>
      </c>
      <c r="F3625" s="142" t="e">
        <f>IF('Informe Kelly'!H3619=$A$3,'Informe Kelly'!F3619,VLOOKUP(D3625,$D$2:$F$4,3,FALSE))-(VLOOKUP(D3625,$D$2:$F$4,3,FALSE))</f>
        <v>#N/A</v>
      </c>
      <c r="G3625" s="137" t="e">
        <f t="shared" si="60"/>
        <v>#N/A</v>
      </c>
    </row>
    <row r="3626" spans="1:7">
      <c r="A3626" s="112" t="e">
        <f>VLOOKUP('Informe Kelly'!A3620,Base!A:B,2,FALSE)</f>
        <v>#N/A</v>
      </c>
      <c r="B3626" s="112" t="e">
        <f>VLOOKUP('Informe Kelly'!A3620,Base!A:G,7,FALSE)</f>
        <v>#N/A</v>
      </c>
      <c r="C3626" s="112">
        <f>'Informe Kelly'!E3620</f>
        <v>0</v>
      </c>
      <c r="D3626" s="112" t="e">
        <f>VLOOKUP(A3626,Ingreso!K:P,6,FALSE)</f>
        <v>#N/A</v>
      </c>
      <c r="E3626" s="142" t="e">
        <f>(VLOOKUP(D3626,$D$2:$E$4,2,FALSE))-(IF('Informe Kelly'!H3620=$A$2,'Informe Kelly'!F3620,VLOOKUP(D3626,$D$2:$E$4,2,FALSE)))</f>
        <v>#N/A</v>
      </c>
      <c r="F3626" s="142" t="e">
        <f>IF('Informe Kelly'!H3620=$A$3,'Informe Kelly'!F3620,VLOOKUP(D3626,$D$2:$F$4,3,FALSE))-(VLOOKUP(D3626,$D$2:$F$4,3,FALSE))</f>
        <v>#N/A</v>
      </c>
      <c r="G3626" s="137" t="e">
        <f t="shared" si="60"/>
        <v>#N/A</v>
      </c>
    </row>
    <row r="3627" spans="1:7">
      <c r="A3627" s="112" t="e">
        <f>VLOOKUP('Informe Kelly'!A3621,Base!A:B,2,FALSE)</f>
        <v>#N/A</v>
      </c>
      <c r="B3627" s="112" t="e">
        <f>VLOOKUP('Informe Kelly'!A3621,Base!A:G,7,FALSE)</f>
        <v>#N/A</v>
      </c>
      <c r="C3627" s="112">
        <f>'Informe Kelly'!E3621</f>
        <v>0</v>
      </c>
      <c r="D3627" s="112" t="e">
        <f>VLOOKUP(A3627,Ingreso!K:P,6,FALSE)</f>
        <v>#N/A</v>
      </c>
      <c r="E3627" s="142" t="e">
        <f>(VLOOKUP(D3627,$D$2:$E$4,2,FALSE))-(IF('Informe Kelly'!H3621=$A$2,'Informe Kelly'!F3621,VLOOKUP(D3627,$D$2:$E$4,2,FALSE)))</f>
        <v>#N/A</v>
      </c>
      <c r="F3627" s="142" t="e">
        <f>IF('Informe Kelly'!H3621=$A$3,'Informe Kelly'!F3621,VLOOKUP(D3627,$D$2:$F$4,3,FALSE))-(VLOOKUP(D3627,$D$2:$F$4,3,FALSE))</f>
        <v>#N/A</v>
      </c>
      <c r="G3627" s="137" t="e">
        <f t="shared" si="60"/>
        <v>#N/A</v>
      </c>
    </row>
    <row r="3628" spans="1:7">
      <c r="A3628" s="112" t="e">
        <f>VLOOKUP('Informe Kelly'!A3622,Base!A:B,2,FALSE)</f>
        <v>#N/A</v>
      </c>
      <c r="B3628" s="112" t="e">
        <f>VLOOKUP('Informe Kelly'!A3622,Base!A:G,7,FALSE)</f>
        <v>#N/A</v>
      </c>
      <c r="C3628" s="112">
        <f>'Informe Kelly'!E3622</f>
        <v>0</v>
      </c>
      <c r="D3628" s="112" t="e">
        <f>VLOOKUP(A3628,Ingreso!K:P,6,FALSE)</f>
        <v>#N/A</v>
      </c>
      <c r="E3628" s="142" t="e">
        <f>(VLOOKUP(D3628,$D$2:$E$4,2,FALSE))-(IF('Informe Kelly'!H3622=$A$2,'Informe Kelly'!F3622,VLOOKUP(D3628,$D$2:$E$4,2,FALSE)))</f>
        <v>#N/A</v>
      </c>
      <c r="F3628" s="142" t="e">
        <f>IF('Informe Kelly'!H3622=$A$3,'Informe Kelly'!F3622,VLOOKUP(D3628,$D$2:$F$4,3,FALSE))-(VLOOKUP(D3628,$D$2:$F$4,3,FALSE))</f>
        <v>#N/A</v>
      </c>
      <c r="G3628" s="137" t="e">
        <f t="shared" si="60"/>
        <v>#N/A</v>
      </c>
    </row>
    <row r="3629" spans="1:7">
      <c r="A3629" s="112" t="e">
        <f>VLOOKUP('Informe Kelly'!A3623,Base!A:B,2,FALSE)</f>
        <v>#N/A</v>
      </c>
      <c r="B3629" s="112" t="e">
        <f>VLOOKUP('Informe Kelly'!A3623,Base!A:G,7,FALSE)</f>
        <v>#N/A</v>
      </c>
      <c r="C3629" s="112">
        <f>'Informe Kelly'!E3623</f>
        <v>0</v>
      </c>
      <c r="D3629" s="112" t="e">
        <f>VLOOKUP(A3629,Ingreso!K:P,6,FALSE)</f>
        <v>#N/A</v>
      </c>
      <c r="E3629" s="142" t="e">
        <f>(VLOOKUP(D3629,$D$2:$E$4,2,FALSE))-(IF('Informe Kelly'!H3623=$A$2,'Informe Kelly'!F3623,VLOOKUP(D3629,$D$2:$E$4,2,FALSE)))</f>
        <v>#N/A</v>
      </c>
      <c r="F3629" s="142" t="e">
        <f>IF('Informe Kelly'!H3623=$A$3,'Informe Kelly'!F3623,VLOOKUP(D3629,$D$2:$F$4,3,FALSE))-(VLOOKUP(D3629,$D$2:$F$4,3,FALSE))</f>
        <v>#N/A</v>
      </c>
      <c r="G3629" s="137" t="e">
        <f t="shared" si="60"/>
        <v>#N/A</v>
      </c>
    </row>
    <row r="3630" spans="1:7">
      <c r="A3630" s="112" t="e">
        <f>VLOOKUP('Informe Kelly'!A3624,Base!A:B,2,FALSE)</f>
        <v>#N/A</v>
      </c>
      <c r="B3630" s="112" t="e">
        <f>VLOOKUP('Informe Kelly'!A3624,Base!A:G,7,FALSE)</f>
        <v>#N/A</v>
      </c>
      <c r="C3630" s="112">
        <f>'Informe Kelly'!E3624</f>
        <v>0</v>
      </c>
      <c r="D3630" s="112" t="e">
        <f>VLOOKUP(A3630,Ingreso!K:P,6,FALSE)</f>
        <v>#N/A</v>
      </c>
      <c r="E3630" s="142" t="e">
        <f>(VLOOKUP(D3630,$D$2:$E$4,2,FALSE))-(IF('Informe Kelly'!H3624=$A$2,'Informe Kelly'!F3624,VLOOKUP(D3630,$D$2:$E$4,2,FALSE)))</f>
        <v>#N/A</v>
      </c>
      <c r="F3630" s="142" t="e">
        <f>IF('Informe Kelly'!H3624=$A$3,'Informe Kelly'!F3624,VLOOKUP(D3630,$D$2:$F$4,3,FALSE))-(VLOOKUP(D3630,$D$2:$F$4,3,FALSE))</f>
        <v>#N/A</v>
      </c>
      <c r="G3630" s="137" t="e">
        <f t="shared" si="60"/>
        <v>#N/A</v>
      </c>
    </row>
    <row r="3631" spans="1:7">
      <c r="A3631" s="112" t="e">
        <f>VLOOKUP('Informe Kelly'!A3625,Base!A:B,2,FALSE)</f>
        <v>#N/A</v>
      </c>
      <c r="B3631" s="112" t="e">
        <f>VLOOKUP('Informe Kelly'!A3625,Base!A:G,7,FALSE)</f>
        <v>#N/A</v>
      </c>
      <c r="C3631" s="112">
        <f>'Informe Kelly'!E3625</f>
        <v>0</v>
      </c>
      <c r="D3631" s="112" t="e">
        <f>VLOOKUP(A3631,Ingreso!K:P,6,FALSE)</f>
        <v>#N/A</v>
      </c>
      <c r="E3631" s="142" t="e">
        <f>(VLOOKUP(D3631,$D$2:$E$4,2,FALSE))-(IF('Informe Kelly'!H3625=$A$2,'Informe Kelly'!F3625,VLOOKUP(D3631,$D$2:$E$4,2,FALSE)))</f>
        <v>#N/A</v>
      </c>
      <c r="F3631" s="142" t="e">
        <f>IF('Informe Kelly'!H3625=$A$3,'Informe Kelly'!F3625,VLOOKUP(D3631,$D$2:$F$4,3,FALSE))-(VLOOKUP(D3631,$D$2:$F$4,3,FALSE))</f>
        <v>#N/A</v>
      </c>
      <c r="G3631" s="137" t="e">
        <f t="shared" si="60"/>
        <v>#N/A</v>
      </c>
    </row>
    <row r="3632" spans="1:7">
      <c r="A3632" s="112" t="e">
        <f>VLOOKUP('Informe Kelly'!A3626,Base!A:B,2,FALSE)</f>
        <v>#N/A</v>
      </c>
      <c r="B3632" s="112" t="e">
        <f>VLOOKUP('Informe Kelly'!A3626,Base!A:G,7,FALSE)</f>
        <v>#N/A</v>
      </c>
      <c r="C3632" s="112">
        <f>'Informe Kelly'!E3626</f>
        <v>0</v>
      </c>
      <c r="D3632" s="112" t="e">
        <f>VLOOKUP(A3632,Ingreso!K:P,6,FALSE)</f>
        <v>#N/A</v>
      </c>
      <c r="E3632" s="142" t="e">
        <f>(VLOOKUP(D3632,$D$2:$E$4,2,FALSE))-(IF('Informe Kelly'!H3626=$A$2,'Informe Kelly'!F3626,VLOOKUP(D3632,$D$2:$E$4,2,FALSE)))</f>
        <v>#N/A</v>
      </c>
      <c r="F3632" s="142" t="e">
        <f>IF('Informe Kelly'!H3626=$A$3,'Informe Kelly'!F3626,VLOOKUP(D3632,$D$2:$F$4,3,FALSE))-(VLOOKUP(D3632,$D$2:$F$4,3,FALSE))</f>
        <v>#N/A</v>
      </c>
      <c r="G3632" s="137" t="e">
        <f t="shared" si="60"/>
        <v>#N/A</v>
      </c>
    </row>
    <row r="3633" spans="1:7">
      <c r="A3633" s="112" t="e">
        <f>VLOOKUP('Informe Kelly'!A3627,Base!A:B,2,FALSE)</f>
        <v>#N/A</v>
      </c>
      <c r="B3633" s="112" t="e">
        <f>VLOOKUP('Informe Kelly'!A3627,Base!A:G,7,FALSE)</f>
        <v>#N/A</v>
      </c>
      <c r="C3633" s="112">
        <f>'Informe Kelly'!E3627</f>
        <v>0</v>
      </c>
      <c r="D3633" s="112" t="e">
        <f>VLOOKUP(A3633,Ingreso!K:P,6,FALSE)</f>
        <v>#N/A</v>
      </c>
      <c r="E3633" s="142" t="e">
        <f>(VLOOKUP(D3633,$D$2:$E$4,2,FALSE))-(IF('Informe Kelly'!H3627=$A$2,'Informe Kelly'!F3627,VLOOKUP(D3633,$D$2:$E$4,2,FALSE)))</f>
        <v>#N/A</v>
      </c>
      <c r="F3633" s="142" t="e">
        <f>IF('Informe Kelly'!H3627=$A$3,'Informe Kelly'!F3627,VLOOKUP(D3633,$D$2:$F$4,3,FALSE))-(VLOOKUP(D3633,$D$2:$F$4,3,FALSE))</f>
        <v>#N/A</v>
      </c>
      <c r="G3633" s="137" t="e">
        <f t="shared" si="60"/>
        <v>#N/A</v>
      </c>
    </row>
    <row r="3634" spans="1:7">
      <c r="A3634" s="112" t="e">
        <f>VLOOKUP('Informe Kelly'!A3628,Base!A:B,2,FALSE)</f>
        <v>#N/A</v>
      </c>
      <c r="B3634" s="112" t="e">
        <f>VLOOKUP('Informe Kelly'!A3628,Base!A:G,7,FALSE)</f>
        <v>#N/A</v>
      </c>
      <c r="C3634" s="112">
        <f>'Informe Kelly'!E3628</f>
        <v>0</v>
      </c>
      <c r="D3634" s="112" t="e">
        <f>VLOOKUP(A3634,Ingreso!K:P,6,FALSE)</f>
        <v>#N/A</v>
      </c>
      <c r="E3634" s="142" t="e">
        <f>(VLOOKUP(D3634,$D$2:$E$4,2,FALSE))-(IF('Informe Kelly'!H3628=$A$2,'Informe Kelly'!F3628,VLOOKUP(D3634,$D$2:$E$4,2,FALSE)))</f>
        <v>#N/A</v>
      </c>
      <c r="F3634" s="142" t="e">
        <f>IF('Informe Kelly'!H3628=$A$3,'Informe Kelly'!F3628,VLOOKUP(D3634,$D$2:$F$4,3,FALSE))-(VLOOKUP(D3634,$D$2:$F$4,3,FALSE))</f>
        <v>#N/A</v>
      </c>
      <c r="G3634" s="137" t="e">
        <f t="shared" si="60"/>
        <v>#N/A</v>
      </c>
    </row>
    <row r="3635" spans="1:7">
      <c r="A3635" s="112" t="e">
        <f>VLOOKUP('Informe Kelly'!A3629,Base!A:B,2,FALSE)</f>
        <v>#N/A</v>
      </c>
      <c r="B3635" s="112" t="e">
        <f>VLOOKUP('Informe Kelly'!A3629,Base!A:G,7,FALSE)</f>
        <v>#N/A</v>
      </c>
      <c r="C3635" s="112">
        <f>'Informe Kelly'!E3629</f>
        <v>0</v>
      </c>
      <c r="D3635" s="112" t="e">
        <f>VLOOKUP(A3635,Ingreso!K:P,6,FALSE)</f>
        <v>#N/A</v>
      </c>
      <c r="E3635" s="142" t="e">
        <f>(VLOOKUP(D3635,$D$2:$E$4,2,FALSE))-(IF('Informe Kelly'!H3629=$A$2,'Informe Kelly'!F3629,VLOOKUP(D3635,$D$2:$E$4,2,FALSE)))</f>
        <v>#N/A</v>
      </c>
      <c r="F3635" s="142" t="e">
        <f>IF('Informe Kelly'!H3629=$A$3,'Informe Kelly'!F3629,VLOOKUP(D3635,$D$2:$F$4,3,FALSE))-(VLOOKUP(D3635,$D$2:$F$4,3,FALSE))</f>
        <v>#N/A</v>
      </c>
      <c r="G3635" s="137" t="e">
        <f t="shared" si="60"/>
        <v>#N/A</v>
      </c>
    </row>
    <row r="3636" spans="1:7">
      <c r="A3636" s="112" t="e">
        <f>VLOOKUP('Informe Kelly'!A3630,Base!A:B,2,FALSE)</f>
        <v>#N/A</v>
      </c>
      <c r="B3636" s="112" t="e">
        <f>VLOOKUP('Informe Kelly'!A3630,Base!A:G,7,FALSE)</f>
        <v>#N/A</v>
      </c>
      <c r="C3636" s="112">
        <f>'Informe Kelly'!E3630</f>
        <v>0</v>
      </c>
      <c r="D3636" s="112" t="e">
        <f>VLOOKUP(A3636,Ingreso!K:P,6,FALSE)</f>
        <v>#N/A</v>
      </c>
      <c r="E3636" s="142" t="e">
        <f>(VLOOKUP(D3636,$D$2:$E$4,2,FALSE))-(IF('Informe Kelly'!H3630=$A$2,'Informe Kelly'!F3630,VLOOKUP(D3636,$D$2:$E$4,2,FALSE)))</f>
        <v>#N/A</v>
      </c>
      <c r="F3636" s="142" t="e">
        <f>IF('Informe Kelly'!H3630=$A$3,'Informe Kelly'!F3630,VLOOKUP(D3636,$D$2:$F$4,3,FALSE))-(VLOOKUP(D3636,$D$2:$F$4,3,FALSE))</f>
        <v>#N/A</v>
      </c>
      <c r="G3636" s="137" t="e">
        <f t="shared" si="60"/>
        <v>#N/A</v>
      </c>
    </row>
    <row r="3637" spans="1:7">
      <c r="A3637" s="112" t="e">
        <f>VLOOKUP('Informe Kelly'!A3631,Base!A:B,2,FALSE)</f>
        <v>#N/A</v>
      </c>
      <c r="B3637" s="112" t="e">
        <f>VLOOKUP('Informe Kelly'!A3631,Base!A:G,7,FALSE)</f>
        <v>#N/A</v>
      </c>
      <c r="C3637" s="112">
        <f>'Informe Kelly'!E3631</f>
        <v>0</v>
      </c>
      <c r="D3637" s="112" t="e">
        <f>VLOOKUP(A3637,Ingreso!K:P,6,FALSE)</f>
        <v>#N/A</v>
      </c>
      <c r="E3637" s="142" t="e">
        <f>(VLOOKUP(D3637,$D$2:$E$4,2,FALSE))-(IF('Informe Kelly'!H3631=$A$2,'Informe Kelly'!F3631,VLOOKUP(D3637,$D$2:$E$4,2,FALSE)))</f>
        <v>#N/A</v>
      </c>
      <c r="F3637" s="142" t="e">
        <f>IF('Informe Kelly'!H3631=$A$3,'Informe Kelly'!F3631,VLOOKUP(D3637,$D$2:$F$4,3,FALSE))-(VLOOKUP(D3637,$D$2:$F$4,3,FALSE))</f>
        <v>#N/A</v>
      </c>
      <c r="G3637" s="137" t="e">
        <f t="shared" si="60"/>
        <v>#N/A</v>
      </c>
    </row>
    <row r="3638" spans="1:7">
      <c r="A3638" s="112" t="e">
        <f>VLOOKUP('Informe Kelly'!A3632,Base!A:B,2,FALSE)</f>
        <v>#N/A</v>
      </c>
      <c r="B3638" s="112" t="e">
        <f>VLOOKUP('Informe Kelly'!A3632,Base!A:G,7,FALSE)</f>
        <v>#N/A</v>
      </c>
      <c r="C3638" s="112">
        <f>'Informe Kelly'!E3632</f>
        <v>0</v>
      </c>
      <c r="D3638" s="112" t="e">
        <f>VLOOKUP(A3638,Ingreso!K:P,6,FALSE)</f>
        <v>#N/A</v>
      </c>
      <c r="E3638" s="142" t="e">
        <f>(VLOOKUP(D3638,$D$2:$E$4,2,FALSE))-(IF('Informe Kelly'!H3632=$A$2,'Informe Kelly'!F3632,VLOOKUP(D3638,$D$2:$E$4,2,FALSE)))</f>
        <v>#N/A</v>
      </c>
      <c r="F3638" s="142" t="e">
        <f>IF('Informe Kelly'!H3632=$A$3,'Informe Kelly'!F3632,VLOOKUP(D3638,$D$2:$F$4,3,FALSE))-(VLOOKUP(D3638,$D$2:$F$4,3,FALSE))</f>
        <v>#N/A</v>
      </c>
      <c r="G3638" s="137" t="e">
        <f t="shared" si="60"/>
        <v>#N/A</v>
      </c>
    </row>
    <row r="3639" spans="1:7">
      <c r="A3639" s="112" t="e">
        <f>VLOOKUP('Informe Kelly'!A3633,Base!A:B,2,FALSE)</f>
        <v>#N/A</v>
      </c>
      <c r="B3639" s="112" t="e">
        <f>VLOOKUP('Informe Kelly'!A3633,Base!A:G,7,FALSE)</f>
        <v>#N/A</v>
      </c>
      <c r="C3639" s="112">
        <f>'Informe Kelly'!E3633</f>
        <v>0</v>
      </c>
      <c r="D3639" s="112" t="e">
        <f>VLOOKUP(A3639,Ingreso!K:P,6,FALSE)</f>
        <v>#N/A</v>
      </c>
      <c r="E3639" s="142" t="e">
        <f>(VLOOKUP(D3639,$D$2:$E$4,2,FALSE))-(IF('Informe Kelly'!H3633=$A$2,'Informe Kelly'!F3633,VLOOKUP(D3639,$D$2:$E$4,2,FALSE)))</f>
        <v>#N/A</v>
      </c>
      <c r="F3639" s="142" t="e">
        <f>IF('Informe Kelly'!H3633=$A$3,'Informe Kelly'!F3633,VLOOKUP(D3639,$D$2:$F$4,3,FALSE))-(VLOOKUP(D3639,$D$2:$F$4,3,FALSE))</f>
        <v>#N/A</v>
      </c>
      <c r="G3639" s="137" t="e">
        <f t="shared" si="60"/>
        <v>#N/A</v>
      </c>
    </row>
    <row r="3640" spans="1:7">
      <c r="A3640" s="112" t="e">
        <f>VLOOKUP('Informe Kelly'!A3634,Base!A:B,2,FALSE)</f>
        <v>#N/A</v>
      </c>
      <c r="B3640" s="112" t="e">
        <f>VLOOKUP('Informe Kelly'!A3634,Base!A:G,7,FALSE)</f>
        <v>#N/A</v>
      </c>
      <c r="C3640" s="112">
        <f>'Informe Kelly'!E3634</f>
        <v>0</v>
      </c>
      <c r="D3640" s="112" t="e">
        <f>VLOOKUP(A3640,Ingreso!K:P,6,FALSE)</f>
        <v>#N/A</v>
      </c>
      <c r="E3640" s="142" t="e">
        <f>(VLOOKUP(D3640,$D$2:$E$4,2,FALSE))-(IF('Informe Kelly'!H3634=$A$2,'Informe Kelly'!F3634,VLOOKUP(D3640,$D$2:$E$4,2,FALSE)))</f>
        <v>#N/A</v>
      </c>
      <c r="F3640" s="142" t="e">
        <f>IF('Informe Kelly'!H3634=$A$3,'Informe Kelly'!F3634,VLOOKUP(D3640,$D$2:$F$4,3,FALSE))-(VLOOKUP(D3640,$D$2:$F$4,3,FALSE))</f>
        <v>#N/A</v>
      </c>
      <c r="G3640" s="137" t="e">
        <f t="shared" si="60"/>
        <v>#N/A</v>
      </c>
    </row>
    <row r="3641" spans="1:7">
      <c r="A3641" s="112" t="e">
        <f>VLOOKUP('Informe Kelly'!A3635,Base!A:B,2,FALSE)</f>
        <v>#N/A</v>
      </c>
      <c r="B3641" s="112" t="e">
        <f>VLOOKUP('Informe Kelly'!A3635,Base!A:G,7,FALSE)</f>
        <v>#N/A</v>
      </c>
      <c r="C3641" s="112">
        <f>'Informe Kelly'!E3635</f>
        <v>0</v>
      </c>
      <c r="D3641" s="112" t="e">
        <f>VLOOKUP(A3641,Ingreso!K:P,6,FALSE)</f>
        <v>#N/A</v>
      </c>
      <c r="E3641" s="142" t="e">
        <f>(VLOOKUP(D3641,$D$2:$E$4,2,FALSE))-(IF('Informe Kelly'!H3635=$A$2,'Informe Kelly'!F3635,VLOOKUP(D3641,$D$2:$E$4,2,FALSE)))</f>
        <v>#N/A</v>
      </c>
      <c r="F3641" s="142" t="e">
        <f>IF('Informe Kelly'!H3635=$A$3,'Informe Kelly'!F3635,VLOOKUP(D3641,$D$2:$F$4,3,FALSE))-(VLOOKUP(D3641,$D$2:$F$4,3,FALSE))</f>
        <v>#N/A</v>
      </c>
      <c r="G3641" s="137" t="e">
        <f t="shared" si="60"/>
        <v>#N/A</v>
      </c>
    </row>
    <row r="3642" spans="1:7">
      <c r="A3642" s="112" t="e">
        <f>VLOOKUP('Informe Kelly'!A3636,Base!A:B,2,FALSE)</f>
        <v>#N/A</v>
      </c>
      <c r="B3642" s="112" t="e">
        <f>VLOOKUP('Informe Kelly'!A3636,Base!A:G,7,FALSE)</f>
        <v>#N/A</v>
      </c>
      <c r="C3642" s="112">
        <f>'Informe Kelly'!E3636</f>
        <v>0</v>
      </c>
      <c r="D3642" s="112" t="e">
        <f>VLOOKUP(A3642,Ingreso!K:P,6,FALSE)</f>
        <v>#N/A</v>
      </c>
      <c r="E3642" s="142" t="e">
        <f>(VLOOKUP(D3642,$D$2:$E$4,2,FALSE))-(IF('Informe Kelly'!H3636=$A$2,'Informe Kelly'!F3636,VLOOKUP(D3642,$D$2:$E$4,2,FALSE)))</f>
        <v>#N/A</v>
      </c>
      <c r="F3642" s="142" t="e">
        <f>IF('Informe Kelly'!H3636=$A$3,'Informe Kelly'!F3636,VLOOKUP(D3642,$D$2:$F$4,3,FALSE))-(VLOOKUP(D3642,$D$2:$F$4,3,FALSE))</f>
        <v>#N/A</v>
      </c>
      <c r="G3642" s="137" t="e">
        <f t="shared" si="60"/>
        <v>#N/A</v>
      </c>
    </row>
    <row r="3643" spans="1:7">
      <c r="A3643" s="112" t="e">
        <f>VLOOKUP('Informe Kelly'!A3637,Base!A:B,2,FALSE)</f>
        <v>#N/A</v>
      </c>
      <c r="B3643" s="112" t="e">
        <f>VLOOKUP('Informe Kelly'!A3637,Base!A:G,7,FALSE)</f>
        <v>#N/A</v>
      </c>
      <c r="C3643" s="112">
        <f>'Informe Kelly'!E3637</f>
        <v>0</v>
      </c>
      <c r="D3643" s="112" t="e">
        <f>VLOOKUP(A3643,Ingreso!K:P,6,FALSE)</f>
        <v>#N/A</v>
      </c>
      <c r="E3643" s="142" t="e">
        <f>(VLOOKUP(D3643,$D$2:$E$4,2,FALSE))-(IF('Informe Kelly'!H3637=$A$2,'Informe Kelly'!F3637,VLOOKUP(D3643,$D$2:$E$4,2,FALSE)))</f>
        <v>#N/A</v>
      </c>
      <c r="F3643" s="142" t="e">
        <f>IF('Informe Kelly'!H3637=$A$3,'Informe Kelly'!F3637,VLOOKUP(D3643,$D$2:$F$4,3,FALSE))-(VLOOKUP(D3643,$D$2:$F$4,3,FALSE))</f>
        <v>#N/A</v>
      </c>
      <c r="G3643" s="137" t="e">
        <f t="shared" si="60"/>
        <v>#N/A</v>
      </c>
    </row>
    <row r="3644" spans="1:7">
      <c r="A3644" s="112" t="e">
        <f>VLOOKUP('Informe Kelly'!A3638,Base!A:B,2,FALSE)</f>
        <v>#N/A</v>
      </c>
      <c r="B3644" s="112" t="e">
        <f>VLOOKUP('Informe Kelly'!A3638,Base!A:G,7,FALSE)</f>
        <v>#N/A</v>
      </c>
      <c r="C3644" s="112">
        <f>'Informe Kelly'!E3638</f>
        <v>0</v>
      </c>
      <c r="D3644" s="112" t="e">
        <f>VLOOKUP(A3644,Ingreso!K:P,6,FALSE)</f>
        <v>#N/A</v>
      </c>
      <c r="E3644" s="142" t="e">
        <f>(VLOOKUP(D3644,$D$2:$E$4,2,FALSE))-(IF('Informe Kelly'!H3638=$A$2,'Informe Kelly'!F3638,VLOOKUP(D3644,$D$2:$E$4,2,FALSE)))</f>
        <v>#N/A</v>
      </c>
      <c r="F3644" s="142" t="e">
        <f>IF('Informe Kelly'!H3638=$A$3,'Informe Kelly'!F3638,VLOOKUP(D3644,$D$2:$F$4,3,FALSE))-(VLOOKUP(D3644,$D$2:$F$4,3,FALSE))</f>
        <v>#N/A</v>
      </c>
      <c r="G3644" s="137" t="e">
        <f t="shared" si="60"/>
        <v>#N/A</v>
      </c>
    </row>
    <row r="3645" spans="1:7">
      <c r="A3645" s="112" t="e">
        <f>VLOOKUP('Informe Kelly'!A3639,Base!A:B,2,FALSE)</f>
        <v>#N/A</v>
      </c>
      <c r="B3645" s="112" t="e">
        <f>VLOOKUP('Informe Kelly'!A3639,Base!A:G,7,FALSE)</f>
        <v>#N/A</v>
      </c>
      <c r="C3645" s="112">
        <f>'Informe Kelly'!E3639</f>
        <v>0</v>
      </c>
      <c r="D3645" s="112" t="e">
        <f>VLOOKUP(A3645,Ingreso!K:P,6,FALSE)</f>
        <v>#N/A</v>
      </c>
      <c r="E3645" s="142" t="e">
        <f>(VLOOKUP(D3645,$D$2:$E$4,2,FALSE))-(IF('Informe Kelly'!H3639=$A$2,'Informe Kelly'!F3639,VLOOKUP(D3645,$D$2:$E$4,2,FALSE)))</f>
        <v>#N/A</v>
      </c>
      <c r="F3645" s="142" t="e">
        <f>IF('Informe Kelly'!H3639=$A$3,'Informe Kelly'!F3639,VLOOKUP(D3645,$D$2:$F$4,3,FALSE))-(VLOOKUP(D3645,$D$2:$F$4,3,FALSE))</f>
        <v>#N/A</v>
      </c>
      <c r="G3645" s="137" t="e">
        <f t="shared" si="60"/>
        <v>#N/A</v>
      </c>
    </row>
    <row r="3646" spans="1:7">
      <c r="A3646" s="112" t="e">
        <f>VLOOKUP('Informe Kelly'!A3640,Base!A:B,2,FALSE)</f>
        <v>#N/A</v>
      </c>
      <c r="B3646" s="112" t="e">
        <f>VLOOKUP('Informe Kelly'!A3640,Base!A:G,7,FALSE)</f>
        <v>#N/A</v>
      </c>
      <c r="C3646" s="112">
        <f>'Informe Kelly'!E3640</f>
        <v>0</v>
      </c>
      <c r="D3646" s="112" t="e">
        <f>VLOOKUP(A3646,Ingreso!K:P,6,FALSE)</f>
        <v>#N/A</v>
      </c>
      <c r="E3646" s="142" t="e">
        <f>(VLOOKUP(D3646,$D$2:$E$4,2,FALSE))-(IF('Informe Kelly'!H3640=$A$2,'Informe Kelly'!F3640,VLOOKUP(D3646,$D$2:$E$4,2,FALSE)))</f>
        <v>#N/A</v>
      </c>
      <c r="F3646" s="142" t="e">
        <f>IF('Informe Kelly'!H3640=$A$3,'Informe Kelly'!F3640,VLOOKUP(D3646,$D$2:$F$4,3,FALSE))-(VLOOKUP(D3646,$D$2:$F$4,3,FALSE))</f>
        <v>#N/A</v>
      </c>
      <c r="G3646" s="137" t="e">
        <f t="shared" si="60"/>
        <v>#N/A</v>
      </c>
    </row>
    <row r="3647" spans="1:7">
      <c r="A3647" s="112" t="e">
        <f>VLOOKUP('Informe Kelly'!A3641,Base!A:B,2,FALSE)</f>
        <v>#N/A</v>
      </c>
      <c r="B3647" s="112" t="e">
        <f>VLOOKUP('Informe Kelly'!A3641,Base!A:G,7,FALSE)</f>
        <v>#N/A</v>
      </c>
      <c r="C3647" s="112">
        <f>'Informe Kelly'!E3641</f>
        <v>0</v>
      </c>
      <c r="D3647" s="112" t="e">
        <f>VLOOKUP(A3647,Ingreso!K:P,6,FALSE)</f>
        <v>#N/A</v>
      </c>
      <c r="E3647" s="142" t="e">
        <f>(VLOOKUP(D3647,$D$2:$E$4,2,FALSE))-(IF('Informe Kelly'!H3641=$A$2,'Informe Kelly'!F3641,VLOOKUP(D3647,$D$2:$E$4,2,FALSE)))</f>
        <v>#N/A</v>
      </c>
      <c r="F3647" s="142" t="e">
        <f>IF('Informe Kelly'!H3641=$A$3,'Informe Kelly'!F3641,VLOOKUP(D3647,$D$2:$F$4,3,FALSE))-(VLOOKUP(D3647,$D$2:$F$4,3,FALSE))</f>
        <v>#N/A</v>
      </c>
      <c r="G3647" s="137" t="e">
        <f t="shared" si="60"/>
        <v>#N/A</v>
      </c>
    </row>
    <row r="3648" spans="1:7">
      <c r="A3648" s="112" t="e">
        <f>VLOOKUP('Informe Kelly'!A3642,Base!A:B,2,FALSE)</f>
        <v>#N/A</v>
      </c>
      <c r="B3648" s="112" t="e">
        <f>VLOOKUP('Informe Kelly'!A3642,Base!A:G,7,FALSE)</f>
        <v>#N/A</v>
      </c>
      <c r="C3648" s="112">
        <f>'Informe Kelly'!E3642</f>
        <v>0</v>
      </c>
      <c r="D3648" s="112" t="e">
        <f>VLOOKUP(A3648,Ingreso!K:P,6,FALSE)</f>
        <v>#N/A</v>
      </c>
      <c r="E3648" s="142" t="e">
        <f>(VLOOKUP(D3648,$D$2:$E$4,2,FALSE))-(IF('Informe Kelly'!H3642=$A$2,'Informe Kelly'!F3642,VLOOKUP(D3648,$D$2:$E$4,2,FALSE)))</f>
        <v>#N/A</v>
      </c>
      <c r="F3648" s="142" t="e">
        <f>IF('Informe Kelly'!H3642=$A$3,'Informe Kelly'!F3642,VLOOKUP(D3648,$D$2:$F$4,3,FALSE))-(VLOOKUP(D3648,$D$2:$F$4,3,FALSE))</f>
        <v>#N/A</v>
      </c>
      <c r="G3648" s="137" t="e">
        <f t="shared" si="60"/>
        <v>#N/A</v>
      </c>
    </row>
    <row r="3649" spans="1:7">
      <c r="A3649" s="112" t="e">
        <f>VLOOKUP('Informe Kelly'!A3643,Base!A:B,2,FALSE)</f>
        <v>#N/A</v>
      </c>
      <c r="B3649" s="112" t="e">
        <f>VLOOKUP('Informe Kelly'!A3643,Base!A:G,7,FALSE)</f>
        <v>#N/A</v>
      </c>
      <c r="C3649" s="112">
        <f>'Informe Kelly'!E3643</f>
        <v>0</v>
      </c>
      <c r="D3649" s="112" t="e">
        <f>VLOOKUP(A3649,Ingreso!K:P,6,FALSE)</f>
        <v>#N/A</v>
      </c>
      <c r="E3649" s="142" t="e">
        <f>(VLOOKUP(D3649,$D$2:$E$4,2,FALSE))-(IF('Informe Kelly'!H3643=$A$2,'Informe Kelly'!F3643,VLOOKUP(D3649,$D$2:$E$4,2,FALSE)))</f>
        <v>#N/A</v>
      </c>
      <c r="F3649" s="142" t="e">
        <f>IF('Informe Kelly'!H3643=$A$3,'Informe Kelly'!F3643,VLOOKUP(D3649,$D$2:$F$4,3,FALSE))-(VLOOKUP(D3649,$D$2:$F$4,3,FALSE))</f>
        <v>#N/A</v>
      </c>
      <c r="G3649" s="137" t="e">
        <f t="shared" si="60"/>
        <v>#N/A</v>
      </c>
    </row>
    <row r="3650" spans="1:7">
      <c r="A3650" s="112" t="e">
        <f>VLOOKUP('Informe Kelly'!A3644,Base!A:B,2,FALSE)</f>
        <v>#N/A</v>
      </c>
      <c r="B3650" s="112" t="e">
        <f>VLOOKUP('Informe Kelly'!A3644,Base!A:G,7,FALSE)</f>
        <v>#N/A</v>
      </c>
      <c r="C3650" s="112">
        <f>'Informe Kelly'!E3644</f>
        <v>0</v>
      </c>
      <c r="D3650" s="112" t="e">
        <f>VLOOKUP(A3650,Ingreso!K:P,6,FALSE)</f>
        <v>#N/A</v>
      </c>
      <c r="E3650" s="142" t="e">
        <f>(VLOOKUP(D3650,$D$2:$E$4,2,FALSE))-(IF('Informe Kelly'!H3644=$A$2,'Informe Kelly'!F3644,VLOOKUP(D3650,$D$2:$E$4,2,FALSE)))</f>
        <v>#N/A</v>
      </c>
      <c r="F3650" s="142" t="e">
        <f>IF('Informe Kelly'!H3644=$A$3,'Informe Kelly'!F3644,VLOOKUP(D3650,$D$2:$F$4,3,FALSE))-(VLOOKUP(D3650,$D$2:$F$4,3,FALSE))</f>
        <v>#N/A</v>
      </c>
      <c r="G3650" s="137" t="e">
        <f t="shared" si="60"/>
        <v>#N/A</v>
      </c>
    </row>
    <row r="3651" spans="1:7">
      <c r="A3651" s="112" t="e">
        <f>VLOOKUP('Informe Kelly'!A3645,Base!A:B,2,FALSE)</f>
        <v>#N/A</v>
      </c>
      <c r="B3651" s="112" t="e">
        <f>VLOOKUP('Informe Kelly'!A3645,Base!A:G,7,FALSE)</f>
        <v>#N/A</v>
      </c>
      <c r="C3651" s="112">
        <f>'Informe Kelly'!E3645</f>
        <v>0</v>
      </c>
      <c r="D3651" s="112" t="e">
        <f>VLOOKUP(A3651,Ingreso!K:P,6,FALSE)</f>
        <v>#N/A</v>
      </c>
      <c r="E3651" s="142" t="e">
        <f>(VLOOKUP(D3651,$D$2:$E$4,2,FALSE))-(IF('Informe Kelly'!H3645=$A$2,'Informe Kelly'!F3645,VLOOKUP(D3651,$D$2:$E$4,2,FALSE)))</f>
        <v>#N/A</v>
      </c>
      <c r="F3651" s="142" t="e">
        <f>IF('Informe Kelly'!H3645=$A$3,'Informe Kelly'!F3645,VLOOKUP(D3651,$D$2:$F$4,3,FALSE))-(VLOOKUP(D3651,$D$2:$F$4,3,FALSE))</f>
        <v>#N/A</v>
      </c>
      <c r="G3651" s="137" t="e">
        <f t="shared" si="60"/>
        <v>#N/A</v>
      </c>
    </row>
    <row r="3652" spans="1:7">
      <c r="A3652" s="112" t="e">
        <f>VLOOKUP('Informe Kelly'!A3646,Base!A:B,2,FALSE)</f>
        <v>#N/A</v>
      </c>
      <c r="B3652" s="112" t="e">
        <f>VLOOKUP('Informe Kelly'!A3646,Base!A:G,7,FALSE)</f>
        <v>#N/A</v>
      </c>
      <c r="C3652" s="112">
        <f>'Informe Kelly'!E3646</f>
        <v>0</v>
      </c>
      <c r="D3652" s="112" t="e">
        <f>VLOOKUP(A3652,Ingreso!K:P,6,FALSE)</f>
        <v>#N/A</v>
      </c>
      <c r="E3652" s="142" t="e">
        <f>(VLOOKUP(D3652,$D$2:$E$4,2,FALSE))-(IF('Informe Kelly'!H3646=$A$2,'Informe Kelly'!F3646,VLOOKUP(D3652,$D$2:$E$4,2,FALSE)))</f>
        <v>#N/A</v>
      </c>
      <c r="F3652" s="142" t="e">
        <f>IF('Informe Kelly'!H3646=$A$3,'Informe Kelly'!F3646,VLOOKUP(D3652,$D$2:$F$4,3,FALSE))-(VLOOKUP(D3652,$D$2:$F$4,3,FALSE))</f>
        <v>#N/A</v>
      </c>
      <c r="G3652" s="137" t="e">
        <f t="shared" si="60"/>
        <v>#N/A</v>
      </c>
    </row>
    <row r="3653" spans="1:7">
      <c r="A3653" s="112" t="e">
        <f>VLOOKUP('Informe Kelly'!A3647,Base!A:B,2,FALSE)</f>
        <v>#N/A</v>
      </c>
      <c r="B3653" s="112" t="e">
        <f>VLOOKUP('Informe Kelly'!A3647,Base!A:G,7,FALSE)</f>
        <v>#N/A</v>
      </c>
      <c r="C3653" s="112">
        <f>'Informe Kelly'!E3647</f>
        <v>0</v>
      </c>
      <c r="D3653" s="112" t="e">
        <f>VLOOKUP(A3653,Ingreso!K:P,6,FALSE)</f>
        <v>#N/A</v>
      </c>
      <c r="E3653" s="142" t="e">
        <f>(VLOOKUP(D3653,$D$2:$E$4,2,FALSE))-(IF('Informe Kelly'!H3647=$A$2,'Informe Kelly'!F3647,VLOOKUP(D3653,$D$2:$E$4,2,FALSE)))</f>
        <v>#N/A</v>
      </c>
      <c r="F3653" s="142" t="e">
        <f>IF('Informe Kelly'!H3647=$A$3,'Informe Kelly'!F3647,VLOOKUP(D3653,$D$2:$F$4,3,FALSE))-(VLOOKUP(D3653,$D$2:$F$4,3,FALSE))</f>
        <v>#N/A</v>
      </c>
      <c r="G3653" s="137" t="e">
        <f t="shared" si="60"/>
        <v>#N/A</v>
      </c>
    </row>
    <row r="3654" spans="1:7">
      <c r="A3654" s="112" t="e">
        <f>VLOOKUP('Informe Kelly'!A3648,Base!A:B,2,FALSE)</f>
        <v>#N/A</v>
      </c>
      <c r="B3654" s="112" t="e">
        <f>VLOOKUP('Informe Kelly'!A3648,Base!A:G,7,FALSE)</f>
        <v>#N/A</v>
      </c>
      <c r="C3654" s="112">
        <f>'Informe Kelly'!E3648</f>
        <v>0</v>
      </c>
      <c r="D3654" s="112" t="e">
        <f>VLOOKUP(A3654,Ingreso!K:P,6,FALSE)</f>
        <v>#N/A</v>
      </c>
      <c r="E3654" s="142" t="e">
        <f>(VLOOKUP(D3654,$D$2:$E$4,2,FALSE))-(IF('Informe Kelly'!H3648=$A$2,'Informe Kelly'!F3648,VLOOKUP(D3654,$D$2:$E$4,2,FALSE)))</f>
        <v>#N/A</v>
      </c>
      <c r="F3654" s="142" t="e">
        <f>IF('Informe Kelly'!H3648=$A$3,'Informe Kelly'!F3648,VLOOKUP(D3654,$D$2:$F$4,3,FALSE))-(VLOOKUP(D3654,$D$2:$F$4,3,FALSE))</f>
        <v>#N/A</v>
      </c>
      <c r="G3654" s="137" t="e">
        <f t="shared" si="60"/>
        <v>#N/A</v>
      </c>
    </row>
    <row r="3655" spans="1:7">
      <c r="A3655" s="112" t="e">
        <f>VLOOKUP('Informe Kelly'!A3649,Base!A:B,2,FALSE)</f>
        <v>#N/A</v>
      </c>
      <c r="B3655" s="112" t="e">
        <f>VLOOKUP('Informe Kelly'!A3649,Base!A:G,7,FALSE)</f>
        <v>#N/A</v>
      </c>
      <c r="C3655" s="112">
        <f>'Informe Kelly'!E3649</f>
        <v>0</v>
      </c>
      <c r="D3655" s="112" t="e">
        <f>VLOOKUP(A3655,Ingreso!K:P,6,FALSE)</f>
        <v>#N/A</v>
      </c>
      <c r="E3655" s="142" t="e">
        <f>(VLOOKUP(D3655,$D$2:$E$4,2,FALSE))-(IF('Informe Kelly'!H3649=$A$2,'Informe Kelly'!F3649,VLOOKUP(D3655,$D$2:$E$4,2,FALSE)))</f>
        <v>#N/A</v>
      </c>
      <c r="F3655" s="142" t="e">
        <f>IF('Informe Kelly'!H3649=$A$3,'Informe Kelly'!F3649,VLOOKUP(D3655,$D$2:$F$4,3,FALSE))-(VLOOKUP(D3655,$D$2:$F$4,3,FALSE))</f>
        <v>#N/A</v>
      </c>
      <c r="G3655" s="137" t="e">
        <f t="shared" si="60"/>
        <v>#N/A</v>
      </c>
    </row>
    <row r="3656" spans="1:7">
      <c r="A3656" s="112" t="e">
        <f>VLOOKUP('Informe Kelly'!A3650,Base!A:B,2,FALSE)</f>
        <v>#N/A</v>
      </c>
      <c r="B3656" s="112" t="e">
        <f>VLOOKUP('Informe Kelly'!A3650,Base!A:G,7,FALSE)</f>
        <v>#N/A</v>
      </c>
      <c r="C3656" s="112">
        <f>'Informe Kelly'!E3650</f>
        <v>0</v>
      </c>
      <c r="D3656" s="112" t="e">
        <f>VLOOKUP(A3656,Ingreso!K:P,6,FALSE)</f>
        <v>#N/A</v>
      </c>
      <c r="E3656" s="142" t="e">
        <f>(VLOOKUP(D3656,$D$2:$E$4,2,FALSE))-(IF('Informe Kelly'!H3650=$A$2,'Informe Kelly'!F3650,VLOOKUP(D3656,$D$2:$E$4,2,FALSE)))</f>
        <v>#N/A</v>
      </c>
      <c r="F3656" s="142" t="e">
        <f>IF('Informe Kelly'!H3650=$A$3,'Informe Kelly'!F3650,VLOOKUP(D3656,$D$2:$F$4,3,FALSE))-(VLOOKUP(D3656,$D$2:$F$4,3,FALSE))</f>
        <v>#N/A</v>
      </c>
      <c r="G3656" s="137" t="e">
        <f t="shared" si="60"/>
        <v>#N/A</v>
      </c>
    </row>
    <row r="3657" spans="1:7">
      <c r="A3657" s="112" t="e">
        <f>VLOOKUP('Informe Kelly'!A3651,Base!A:B,2,FALSE)</f>
        <v>#N/A</v>
      </c>
      <c r="B3657" s="112" t="e">
        <f>VLOOKUP('Informe Kelly'!A3651,Base!A:G,7,FALSE)</f>
        <v>#N/A</v>
      </c>
      <c r="C3657" s="112">
        <f>'Informe Kelly'!E3651</f>
        <v>0</v>
      </c>
      <c r="D3657" s="112" t="e">
        <f>VLOOKUP(A3657,Ingreso!K:P,6,FALSE)</f>
        <v>#N/A</v>
      </c>
      <c r="E3657" s="142" t="e">
        <f>(VLOOKUP(D3657,$D$2:$E$4,2,FALSE))-(IF('Informe Kelly'!H3651=$A$2,'Informe Kelly'!F3651,VLOOKUP(D3657,$D$2:$E$4,2,FALSE)))</f>
        <v>#N/A</v>
      </c>
      <c r="F3657" s="142" t="e">
        <f>IF('Informe Kelly'!H3651=$A$3,'Informe Kelly'!F3651,VLOOKUP(D3657,$D$2:$F$4,3,FALSE))-(VLOOKUP(D3657,$D$2:$F$4,3,FALSE))</f>
        <v>#N/A</v>
      </c>
      <c r="G3657" s="137" t="e">
        <f t="shared" ref="G3657:G3720" si="61">IF(E3657="",IF(F3657&lt;0.0409722222222222,0,E3657),IF(E3657&lt;0.0409722222222222,0,E3657))</f>
        <v>#N/A</v>
      </c>
    </row>
    <row r="3658" spans="1:7">
      <c r="A3658" s="112" t="e">
        <f>VLOOKUP('Informe Kelly'!A3652,Base!A:B,2,FALSE)</f>
        <v>#N/A</v>
      </c>
      <c r="B3658" s="112" t="e">
        <f>VLOOKUP('Informe Kelly'!A3652,Base!A:G,7,FALSE)</f>
        <v>#N/A</v>
      </c>
      <c r="C3658" s="112">
        <f>'Informe Kelly'!E3652</f>
        <v>0</v>
      </c>
      <c r="D3658" s="112" t="e">
        <f>VLOOKUP(A3658,Ingreso!K:P,6,FALSE)</f>
        <v>#N/A</v>
      </c>
      <c r="E3658" s="142" t="e">
        <f>(VLOOKUP(D3658,$D$2:$E$4,2,FALSE))-(IF('Informe Kelly'!H3652=$A$2,'Informe Kelly'!F3652,VLOOKUP(D3658,$D$2:$E$4,2,FALSE)))</f>
        <v>#N/A</v>
      </c>
      <c r="F3658" s="142" t="e">
        <f>IF('Informe Kelly'!H3652=$A$3,'Informe Kelly'!F3652,VLOOKUP(D3658,$D$2:$F$4,3,FALSE))-(VLOOKUP(D3658,$D$2:$F$4,3,FALSE))</f>
        <v>#N/A</v>
      </c>
      <c r="G3658" s="137" t="e">
        <f t="shared" si="61"/>
        <v>#N/A</v>
      </c>
    </row>
    <row r="3659" spans="1:7">
      <c r="A3659" s="112" t="e">
        <f>VLOOKUP('Informe Kelly'!A3653,Base!A:B,2,FALSE)</f>
        <v>#N/A</v>
      </c>
      <c r="B3659" s="112" t="e">
        <f>VLOOKUP('Informe Kelly'!A3653,Base!A:G,7,FALSE)</f>
        <v>#N/A</v>
      </c>
      <c r="C3659" s="112">
        <f>'Informe Kelly'!E3653</f>
        <v>0</v>
      </c>
      <c r="D3659" s="112" t="e">
        <f>VLOOKUP(A3659,Ingreso!K:P,6,FALSE)</f>
        <v>#N/A</v>
      </c>
      <c r="E3659" s="142" t="e">
        <f>(VLOOKUP(D3659,$D$2:$E$4,2,FALSE))-(IF('Informe Kelly'!H3653=$A$2,'Informe Kelly'!F3653,VLOOKUP(D3659,$D$2:$E$4,2,FALSE)))</f>
        <v>#N/A</v>
      </c>
      <c r="F3659" s="142" t="e">
        <f>IF('Informe Kelly'!H3653=$A$3,'Informe Kelly'!F3653,VLOOKUP(D3659,$D$2:$F$4,3,FALSE))-(VLOOKUP(D3659,$D$2:$F$4,3,FALSE))</f>
        <v>#N/A</v>
      </c>
      <c r="G3659" s="137" t="e">
        <f t="shared" si="61"/>
        <v>#N/A</v>
      </c>
    </row>
    <row r="3660" spans="1:7">
      <c r="A3660" s="112" t="e">
        <f>VLOOKUP('Informe Kelly'!A3654,Base!A:B,2,FALSE)</f>
        <v>#N/A</v>
      </c>
      <c r="B3660" s="112" t="e">
        <f>VLOOKUP('Informe Kelly'!A3654,Base!A:G,7,FALSE)</f>
        <v>#N/A</v>
      </c>
      <c r="C3660" s="112">
        <f>'Informe Kelly'!E3654</f>
        <v>0</v>
      </c>
      <c r="D3660" s="112" t="e">
        <f>VLOOKUP(A3660,Ingreso!K:P,6,FALSE)</f>
        <v>#N/A</v>
      </c>
      <c r="E3660" s="142" t="e">
        <f>(VLOOKUP(D3660,$D$2:$E$4,2,FALSE))-(IF('Informe Kelly'!H3654=$A$2,'Informe Kelly'!F3654,VLOOKUP(D3660,$D$2:$E$4,2,FALSE)))</f>
        <v>#N/A</v>
      </c>
      <c r="F3660" s="142" t="e">
        <f>IF('Informe Kelly'!H3654=$A$3,'Informe Kelly'!F3654,VLOOKUP(D3660,$D$2:$F$4,3,FALSE))-(VLOOKUP(D3660,$D$2:$F$4,3,FALSE))</f>
        <v>#N/A</v>
      </c>
      <c r="G3660" s="137" t="e">
        <f t="shared" si="61"/>
        <v>#N/A</v>
      </c>
    </row>
    <row r="3661" spans="1:7">
      <c r="A3661" s="112" t="e">
        <f>VLOOKUP('Informe Kelly'!A3655,Base!A:B,2,FALSE)</f>
        <v>#N/A</v>
      </c>
      <c r="B3661" s="112" t="e">
        <f>VLOOKUP('Informe Kelly'!A3655,Base!A:G,7,FALSE)</f>
        <v>#N/A</v>
      </c>
      <c r="C3661" s="112">
        <f>'Informe Kelly'!E3655</f>
        <v>0</v>
      </c>
      <c r="D3661" s="112" t="e">
        <f>VLOOKUP(A3661,Ingreso!K:P,6,FALSE)</f>
        <v>#N/A</v>
      </c>
      <c r="E3661" s="142" t="e">
        <f>(VLOOKUP(D3661,$D$2:$E$4,2,FALSE))-(IF('Informe Kelly'!H3655=$A$2,'Informe Kelly'!F3655,VLOOKUP(D3661,$D$2:$E$4,2,FALSE)))</f>
        <v>#N/A</v>
      </c>
      <c r="F3661" s="142" t="e">
        <f>IF('Informe Kelly'!H3655=$A$3,'Informe Kelly'!F3655,VLOOKUP(D3661,$D$2:$F$4,3,FALSE))-(VLOOKUP(D3661,$D$2:$F$4,3,FALSE))</f>
        <v>#N/A</v>
      </c>
      <c r="G3661" s="137" t="e">
        <f t="shared" si="61"/>
        <v>#N/A</v>
      </c>
    </row>
    <row r="3662" spans="1:7">
      <c r="A3662" s="112" t="e">
        <f>VLOOKUP('Informe Kelly'!A3656,Base!A:B,2,FALSE)</f>
        <v>#N/A</v>
      </c>
      <c r="B3662" s="112" t="e">
        <f>VLOOKUP('Informe Kelly'!A3656,Base!A:G,7,FALSE)</f>
        <v>#N/A</v>
      </c>
      <c r="C3662" s="112">
        <f>'Informe Kelly'!E3656</f>
        <v>0</v>
      </c>
      <c r="D3662" s="112" t="e">
        <f>VLOOKUP(A3662,Ingreso!K:P,6,FALSE)</f>
        <v>#N/A</v>
      </c>
      <c r="E3662" s="142" t="e">
        <f>(VLOOKUP(D3662,$D$2:$E$4,2,FALSE))-(IF('Informe Kelly'!H3656=$A$2,'Informe Kelly'!F3656,VLOOKUP(D3662,$D$2:$E$4,2,FALSE)))</f>
        <v>#N/A</v>
      </c>
      <c r="F3662" s="142" t="e">
        <f>IF('Informe Kelly'!H3656=$A$3,'Informe Kelly'!F3656,VLOOKUP(D3662,$D$2:$F$4,3,FALSE))-(VLOOKUP(D3662,$D$2:$F$4,3,FALSE))</f>
        <v>#N/A</v>
      </c>
      <c r="G3662" s="137" t="e">
        <f t="shared" si="61"/>
        <v>#N/A</v>
      </c>
    </row>
    <row r="3663" spans="1:7">
      <c r="A3663" s="112" t="e">
        <f>VLOOKUP('Informe Kelly'!A3657,Base!A:B,2,FALSE)</f>
        <v>#N/A</v>
      </c>
      <c r="B3663" s="112" t="e">
        <f>VLOOKUP('Informe Kelly'!A3657,Base!A:G,7,FALSE)</f>
        <v>#N/A</v>
      </c>
      <c r="C3663" s="112">
        <f>'Informe Kelly'!E3657</f>
        <v>0</v>
      </c>
      <c r="D3663" s="112" t="e">
        <f>VLOOKUP(A3663,Ingreso!K:P,6,FALSE)</f>
        <v>#N/A</v>
      </c>
      <c r="E3663" s="142" t="e">
        <f>(VLOOKUP(D3663,$D$2:$E$4,2,FALSE))-(IF('Informe Kelly'!H3657=$A$2,'Informe Kelly'!F3657,VLOOKUP(D3663,$D$2:$E$4,2,FALSE)))</f>
        <v>#N/A</v>
      </c>
      <c r="F3663" s="142" t="e">
        <f>IF('Informe Kelly'!H3657=$A$3,'Informe Kelly'!F3657,VLOOKUP(D3663,$D$2:$F$4,3,FALSE))-(VLOOKUP(D3663,$D$2:$F$4,3,FALSE))</f>
        <v>#N/A</v>
      </c>
      <c r="G3663" s="137" t="e">
        <f t="shared" si="61"/>
        <v>#N/A</v>
      </c>
    </row>
    <row r="3664" spans="1:7">
      <c r="A3664" s="112" t="e">
        <f>VLOOKUP('Informe Kelly'!A3658,Base!A:B,2,FALSE)</f>
        <v>#N/A</v>
      </c>
      <c r="B3664" s="112" t="e">
        <f>VLOOKUP('Informe Kelly'!A3658,Base!A:G,7,FALSE)</f>
        <v>#N/A</v>
      </c>
      <c r="C3664" s="112">
        <f>'Informe Kelly'!E3658</f>
        <v>0</v>
      </c>
      <c r="D3664" s="112" t="e">
        <f>VLOOKUP(A3664,Ingreso!K:P,6,FALSE)</f>
        <v>#N/A</v>
      </c>
      <c r="E3664" s="142" t="e">
        <f>(VLOOKUP(D3664,$D$2:$E$4,2,FALSE))-(IF('Informe Kelly'!H3658=$A$2,'Informe Kelly'!F3658,VLOOKUP(D3664,$D$2:$E$4,2,FALSE)))</f>
        <v>#N/A</v>
      </c>
      <c r="F3664" s="142" t="e">
        <f>IF('Informe Kelly'!H3658=$A$3,'Informe Kelly'!F3658,VLOOKUP(D3664,$D$2:$F$4,3,FALSE))-(VLOOKUP(D3664,$D$2:$F$4,3,FALSE))</f>
        <v>#N/A</v>
      </c>
      <c r="G3664" s="137" t="e">
        <f t="shared" si="61"/>
        <v>#N/A</v>
      </c>
    </row>
    <row r="3665" spans="1:7">
      <c r="A3665" s="112" t="e">
        <f>VLOOKUP('Informe Kelly'!A3659,Base!A:B,2,FALSE)</f>
        <v>#N/A</v>
      </c>
      <c r="B3665" s="112" t="e">
        <f>VLOOKUP('Informe Kelly'!A3659,Base!A:G,7,FALSE)</f>
        <v>#N/A</v>
      </c>
      <c r="C3665" s="112">
        <f>'Informe Kelly'!E3659</f>
        <v>0</v>
      </c>
      <c r="D3665" s="112" t="e">
        <f>VLOOKUP(A3665,Ingreso!K:P,6,FALSE)</f>
        <v>#N/A</v>
      </c>
      <c r="E3665" s="142" t="e">
        <f>(VLOOKUP(D3665,$D$2:$E$4,2,FALSE))-(IF('Informe Kelly'!H3659=$A$2,'Informe Kelly'!F3659,VLOOKUP(D3665,$D$2:$E$4,2,FALSE)))</f>
        <v>#N/A</v>
      </c>
      <c r="F3665" s="142" t="e">
        <f>IF('Informe Kelly'!H3659=$A$3,'Informe Kelly'!F3659,VLOOKUP(D3665,$D$2:$F$4,3,FALSE))-(VLOOKUP(D3665,$D$2:$F$4,3,FALSE))</f>
        <v>#N/A</v>
      </c>
      <c r="G3665" s="137" t="e">
        <f t="shared" si="61"/>
        <v>#N/A</v>
      </c>
    </row>
    <row r="3666" spans="1:7">
      <c r="A3666" s="112" t="e">
        <f>VLOOKUP('Informe Kelly'!A3660,Base!A:B,2,FALSE)</f>
        <v>#N/A</v>
      </c>
      <c r="B3666" s="112" t="e">
        <f>VLOOKUP('Informe Kelly'!A3660,Base!A:G,7,FALSE)</f>
        <v>#N/A</v>
      </c>
      <c r="C3666" s="112">
        <f>'Informe Kelly'!E3660</f>
        <v>0</v>
      </c>
      <c r="D3666" s="112" t="e">
        <f>VLOOKUP(A3666,Ingreso!K:P,6,FALSE)</f>
        <v>#N/A</v>
      </c>
      <c r="E3666" s="142" t="e">
        <f>(VLOOKUP(D3666,$D$2:$E$4,2,FALSE))-(IF('Informe Kelly'!H3660=$A$2,'Informe Kelly'!F3660,VLOOKUP(D3666,$D$2:$E$4,2,FALSE)))</f>
        <v>#N/A</v>
      </c>
      <c r="F3666" s="142" t="e">
        <f>IF('Informe Kelly'!H3660=$A$3,'Informe Kelly'!F3660,VLOOKUP(D3666,$D$2:$F$4,3,FALSE))-(VLOOKUP(D3666,$D$2:$F$4,3,FALSE))</f>
        <v>#N/A</v>
      </c>
      <c r="G3666" s="137" t="e">
        <f t="shared" si="61"/>
        <v>#N/A</v>
      </c>
    </row>
    <row r="3667" spans="1:7">
      <c r="A3667" s="112" t="e">
        <f>VLOOKUP('Informe Kelly'!A3661,Base!A:B,2,FALSE)</f>
        <v>#N/A</v>
      </c>
      <c r="B3667" s="112" t="e">
        <f>VLOOKUP('Informe Kelly'!A3661,Base!A:G,7,FALSE)</f>
        <v>#N/A</v>
      </c>
      <c r="C3667" s="112">
        <f>'Informe Kelly'!E3661</f>
        <v>0</v>
      </c>
      <c r="D3667" s="112" t="e">
        <f>VLOOKUP(A3667,Ingreso!K:P,6,FALSE)</f>
        <v>#N/A</v>
      </c>
      <c r="E3667" s="142" t="e">
        <f>(VLOOKUP(D3667,$D$2:$E$4,2,FALSE))-(IF('Informe Kelly'!H3661=$A$2,'Informe Kelly'!F3661,VLOOKUP(D3667,$D$2:$E$4,2,FALSE)))</f>
        <v>#N/A</v>
      </c>
      <c r="F3667" s="142" t="e">
        <f>IF('Informe Kelly'!H3661=$A$3,'Informe Kelly'!F3661,VLOOKUP(D3667,$D$2:$F$4,3,FALSE))-(VLOOKUP(D3667,$D$2:$F$4,3,FALSE))</f>
        <v>#N/A</v>
      </c>
      <c r="G3667" s="137" t="e">
        <f t="shared" si="61"/>
        <v>#N/A</v>
      </c>
    </row>
    <row r="3668" spans="1:7">
      <c r="A3668" s="112" t="e">
        <f>VLOOKUP('Informe Kelly'!A3662,Base!A:B,2,FALSE)</f>
        <v>#N/A</v>
      </c>
      <c r="B3668" s="112" t="e">
        <f>VLOOKUP('Informe Kelly'!A3662,Base!A:G,7,FALSE)</f>
        <v>#N/A</v>
      </c>
      <c r="C3668" s="112">
        <f>'Informe Kelly'!E3662</f>
        <v>0</v>
      </c>
      <c r="D3668" s="112" t="e">
        <f>VLOOKUP(A3668,Ingreso!K:P,6,FALSE)</f>
        <v>#N/A</v>
      </c>
      <c r="E3668" s="142" t="e">
        <f>(VLOOKUP(D3668,$D$2:$E$4,2,FALSE))-(IF('Informe Kelly'!H3662=$A$2,'Informe Kelly'!F3662,VLOOKUP(D3668,$D$2:$E$4,2,FALSE)))</f>
        <v>#N/A</v>
      </c>
      <c r="F3668" s="142" t="e">
        <f>IF('Informe Kelly'!H3662=$A$3,'Informe Kelly'!F3662,VLOOKUP(D3668,$D$2:$F$4,3,FALSE))-(VLOOKUP(D3668,$D$2:$F$4,3,FALSE))</f>
        <v>#N/A</v>
      </c>
      <c r="G3668" s="137" t="e">
        <f t="shared" si="61"/>
        <v>#N/A</v>
      </c>
    </row>
    <row r="3669" spans="1:7">
      <c r="A3669" s="112" t="e">
        <f>VLOOKUP('Informe Kelly'!A3663,Base!A:B,2,FALSE)</f>
        <v>#N/A</v>
      </c>
      <c r="B3669" s="112" t="e">
        <f>VLOOKUP('Informe Kelly'!A3663,Base!A:G,7,FALSE)</f>
        <v>#N/A</v>
      </c>
      <c r="C3669" s="112">
        <f>'Informe Kelly'!E3663</f>
        <v>0</v>
      </c>
      <c r="D3669" s="112" t="e">
        <f>VLOOKUP(A3669,Ingreso!K:P,6,FALSE)</f>
        <v>#N/A</v>
      </c>
      <c r="E3669" s="142" t="e">
        <f>(VLOOKUP(D3669,$D$2:$E$4,2,FALSE))-(IF('Informe Kelly'!H3663=$A$2,'Informe Kelly'!F3663,VLOOKUP(D3669,$D$2:$E$4,2,FALSE)))</f>
        <v>#N/A</v>
      </c>
      <c r="F3669" s="142" t="e">
        <f>IF('Informe Kelly'!H3663=$A$3,'Informe Kelly'!F3663,VLOOKUP(D3669,$D$2:$F$4,3,FALSE))-(VLOOKUP(D3669,$D$2:$F$4,3,FALSE))</f>
        <v>#N/A</v>
      </c>
      <c r="G3669" s="137" t="e">
        <f t="shared" si="61"/>
        <v>#N/A</v>
      </c>
    </row>
    <row r="3670" spans="1:7">
      <c r="A3670" s="112" t="e">
        <f>VLOOKUP('Informe Kelly'!A3664,Base!A:B,2,FALSE)</f>
        <v>#N/A</v>
      </c>
      <c r="B3670" s="112" t="e">
        <f>VLOOKUP('Informe Kelly'!A3664,Base!A:G,7,FALSE)</f>
        <v>#N/A</v>
      </c>
      <c r="C3670" s="112">
        <f>'Informe Kelly'!E3664</f>
        <v>0</v>
      </c>
      <c r="D3670" s="112" t="e">
        <f>VLOOKUP(A3670,Ingreso!K:P,6,FALSE)</f>
        <v>#N/A</v>
      </c>
      <c r="E3670" s="142" t="e">
        <f>(VLOOKUP(D3670,$D$2:$E$4,2,FALSE))-(IF('Informe Kelly'!H3664=$A$2,'Informe Kelly'!F3664,VLOOKUP(D3670,$D$2:$E$4,2,FALSE)))</f>
        <v>#N/A</v>
      </c>
      <c r="F3670" s="142" t="e">
        <f>IF('Informe Kelly'!H3664=$A$3,'Informe Kelly'!F3664,VLOOKUP(D3670,$D$2:$F$4,3,FALSE))-(VLOOKUP(D3670,$D$2:$F$4,3,FALSE))</f>
        <v>#N/A</v>
      </c>
      <c r="G3670" s="137" t="e">
        <f t="shared" si="61"/>
        <v>#N/A</v>
      </c>
    </row>
    <row r="3671" spans="1:7">
      <c r="A3671" s="112" t="e">
        <f>VLOOKUP('Informe Kelly'!A3665,Base!A:B,2,FALSE)</f>
        <v>#N/A</v>
      </c>
      <c r="B3671" s="112" t="e">
        <f>VLOOKUP('Informe Kelly'!A3665,Base!A:G,7,FALSE)</f>
        <v>#N/A</v>
      </c>
      <c r="C3671" s="112">
        <f>'Informe Kelly'!E3665</f>
        <v>0</v>
      </c>
      <c r="D3671" s="112" t="e">
        <f>VLOOKUP(A3671,Ingreso!K:P,6,FALSE)</f>
        <v>#N/A</v>
      </c>
      <c r="E3671" s="142" t="e">
        <f>(VLOOKUP(D3671,$D$2:$E$4,2,FALSE))-(IF('Informe Kelly'!H3665=$A$2,'Informe Kelly'!F3665,VLOOKUP(D3671,$D$2:$E$4,2,FALSE)))</f>
        <v>#N/A</v>
      </c>
      <c r="F3671" s="142" t="e">
        <f>IF('Informe Kelly'!H3665=$A$3,'Informe Kelly'!F3665,VLOOKUP(D3671,$D$2:$F$4,3,FALSE))-(VLOOKUP(D3671,$D$2:$F$4,3,FALSE))</f>
        <v>#N/A</v>
      </c>
      <c r="G3671" s="137" t="e">
        <f t="shared" si="61"/>
        <v>#N/A</v>
      </c>
    </row>
    <row r="3672" spans="1:7">
      <c r="A3672" s="112" t="e">
        <f>VLOOKUP('Informe Kelly'!A3666,Base!A:B,2,FALSE)</f>
        <v>#N/A</v>
      </c>
      <c r="B3672" s="112" t="e">
        <f>VLOOKUP('Informe Kelly'!A3666,Base!A:G,7,FALSE)</f>
        <v>#N/A</v>
      </c>
      <c r="C3672" s="112">
        <f>'Informe Kelly'!E3666</f>
        <v>0</v>
      </c>
      <c r="D3672" s="112" t="e">
        <f>VLOOKUP(A3672,Ingreso!K:P,6,FALSE)</f>
        <v>#N/A</v>
      </c>
      <c r="E3672" s="142" t="e">
        <f>(VLOOKUP(D3672,$D$2:$E$4,2,FALSE))-(IF('Informe Kelly'!H3666=$A$2,'Informe Kelly'!F3666,VLOOKUP(D3672,$D$2:$E$4,2,FALSE)))</f>
        <v>#N/A</v>
      </c>
      <c r="F3672" s="142" t="e">
        <f>IF('Informe Kelly'!H3666=$A$3,'Informe Kelly'!F3666,VLOOKUP(D3672,$D$2:$F$4,3,FALSE))-(VLOOKUP(D3672,$D$2:$F$4,3,FALSE))</f>
        <v>#N/A</v>
      </c>
      <c r="G3672" s="137" t="e">
        <f t="shared" si="61"/>
        <v>#N/A</v>
      </c>
    </row>
    <row r="3673" spans="1:7">
      <c r="A3673" s="112" t="e">
        <f>VLOOKUP('Informe Kelly'!A3667,Base!A:B,2,FALSE)</f>
        <v>#N/A</v>
      </c>
      <c r="B3673" s="112" t="e">
        <f>VLOOKUP('Informe Kelly'!A3667,Base!A:G,7,FALSE)</f>
        <v>#N/A</v>
      </c>
      <c r="C3673" s="112">
        <f>'Informe Kelly'!E3667</f>
        <v>0</v>
      </c>
      <c r="D3673" s="112" t="e">
        <f>VLOOKUP(A3673,Ingreso!K:P,6,FALSE)</f>
        <v>#N/A</v>
      </c>
      <c r="E3673" s="142" t="e">
        <f>(VLOOKUP(D3673,$D$2:$E$4,2,FALSE))-(IF('Informe Kelly'!H3667=$A$2,'Informe Kelly'!F3667,VLOOKUP(D3673,$D$2:$E$4,2,FALSE)))</f>
        <v>#N/A</v>
      </c>
      <c r="F3673" s="142" t="e">
        <f>IF('Informe Kelly'!H3667=$A$3,'Informe Kelly'!F3667,VLOOKUP(D3673,$D$2:$F$4,3,FALSE))-(VLOOKUP(D3673,$D$2:$F$4,3,FALSE))</f>
        <v>#N/A</v>
      </c>
      <c r="G3673" s="137" t="e">
        <f t="shared" si="61"/>
        <v>#N/A</v>
      </c>
    </row>
    <row r="3674" spans="1:7">
      <c r="A3674" s="112" t="e">
        <f>VLOOKUP('Informe Kelly'!A3668,Base!A:B,2,FALSE)</f>
        <v>#N/A</v>
      </c>
      <c r="B3674" s="112" t="e">
        <f>VLOOKUP('Informe Kelly'!A3668,Base!A:G,7,FALSE)</f>
        <v>#N/A</v>
      </c>
      <c r="C3674" s="112">
        <f>'Informe Kelly'!E3668</f>
        <v>0</v>
      </c>
      <c r="D3674" s="112" t="e">
        <f>VLOOKUP(A3674,Ingreso!K:P,6,FALSE)</f>
        <v>#N/A</v>
      </c>
      <c r="E3674" s="142" t="e">
        <f>(VLOOKUP(D3674,$D$2:$E$4,2,FALSE))-(IF('Informe Kelly'!H3668=$A$2,'Informe Kelly'!F3668,VLOOKUP(D3674,$D$2:$E$4,2,FALSE)))</f>
        <v>#N/A</v>
      </c>
      <c r="F3674" s="142" t="e">
        <f>IF('Informe Kelly'!H3668=$A$3,'Informe Kelly'!F3668,VLOOKUP(D3674,$D$2:$F$4,3,FALSE))-(VLOOKUP(D3674,$D$2:$F$4,3,FALSE))</f>
        <v>#N/A</v>
      </c>
      <c r="G3674" s="137" t="e">
        <f t="shared" si="61"/>
        <v>#N/A</v>
      </c>
    </row>
    <row r="3675" spans="1:7">
      <c r="A3675" s="112" t="e">
        <f>VLOOKUP('Informe Kelly'!A3669,Base!A:B,2,FALSE)</f>
        <v>#N/A</v>
      </c>
      <c r="B3675" s="112" t="e">
        <f>VLOOKUP('Informe Kelly'!A3669,Base!A:G,7,FALSE)</f>
        <v>#N/A</v>
      </c>
      <c r="C3675" s="112">
        <f>'Informe Kelly'!E3669</f>
        <v>0</v>
      </c>
      <c r="D3675" s="112" t="e">
        <f>VLOOKUP(A3675,Ingreso!K:P,6,FALSE)</f>
        <v>#N/A</v>
      </c>
      <c r="E3675" s="142" t="e">
        <f>(VLOOKUP(D3675,$D$2:$E$4,2,FALSE))-(IF('Informe Kelly'!H3669=$A$2,'Informe Kelly'!F3669,VLOOKUP(D3675,$D$2:$E$4,2,FALSE)))</f>
        <v>#N/A</v>
      </c>
      <c r="F3675" s="142" t="e">
        <f>IF('Informe Kelly'!H3669=$A$3,'Informe Kelly'!F3669,VLOOKUP(D3675,$D$2:$F$4,3,FALSE))-(VLOOKUP(D3675,$D$2:$F$4,3,FALSE))</f>
        <v>#N/A</v>
      </c>
      <c r="G3675" s="137" t="e">
        <f t="shared" si="61"/>
        <v>#N/A</v>
      </c>
    </row>
    <row r="3676" spans="1:7">
      <c r="A3676" s="112" t="e">
        <f>VLOOKUP('Informe Kelly'!A3670,Base!A:B,2,FALSE)</f>
        <v>#N/A</v>
      </c>
      <c r="B3676" s="112" t="e">
        <f>VLOOKUP('Informe Kelly'!A3670,Base!A:G,7,FALSE)</f>
        <v>#N/A</v>
      </c>
      <c r="C3676" s="112">
        <f>'Informe Kelly'!E3670</f>
        <v>0</v>
      </c>
      <c r="D3676" s="112" t="e">
        <f>VLOOKUP(A3676,Ingreso!K:P,6,FALSE)</f>
        <v>#N/A</v>
      </c>
      <c r="E3676" s="142" t="e">
        <f>(VLOOKUP(D3676,$D$2:$E$4,2,FALSE))-(IF('Informe Kelly'!H3670=$A$2,'Informe Kelly'!F3670,VLOOKUP(D3676,$D$2:$E$4,2,FALSE)))</f>
        <v>#N/A</v>
      </c>
      <c r="F3676" s="142" t="e">
        <f>IF('Informe Kelly'!H3670=$A$3,'Informe Kelly'!F3670,VLOOKUP(D3676,$D$2:$F$4,3,FALSE))-(VLOOKUP(D3676,$D$2:$F$4,3,FALSE))</f>
        <v>#N/A</v>
      </c>
      <c r="G3676" s="137" t="e">
        <f t="shared" si="61"/>
        <v>#N/A</v>
      </c>
    </row>
    <row r="3677" spans="1:7">
      <c r="A3677" s="112" t="e">
        <f>VLOOKUP('Informe Kelly'!A3671,Base!A:B,2,FALSE)</f>
        <v>#N/A</v>
      </c>
      <c r="B3677" s="112" t="e">
        <f>VLOOKUP('Informe Kelly'!A3671,Base!A:G,7,FALSE)</f>
        <v>#N/A</v>
      </c>
      <c r="C3677" s="112">
        <f>'Informe Kelly'!E3671</f>
        <v>0</v>
      </c>
      <c r="D3677" s="112" t="e">
        <f>VLOOKUP(A3677,Ingreso!K:P,6,FALSE)</f>
        <v>#N/A</v>
      </c>
      <c r="E3677" s="142" t="e">
        <f>(VLOOKUP(D3677,$D$2:$E$4,2,FALSE))-(IF('Informe Kelly'!H3671=$A$2,'Informe Kelly'!F3671,VLOOKUP(D3677,$D$2:$E$4,2,FALSE)))</f>
        <v>#N/A</v>
      </c>
      <c r="F3677" s="142" t="e">
        <f>IF('Informe Kelly'!H3671=$A$3,'Informe Kelly'!F3671,VLOOKUP(D3677,$D$2:$F$4,3,FALSE))-(VLOOKUP(D3677,$D$2:$F$4,3,FALSE))</f>
        <v>#N/A</v>
      </c>
      <c r="G3677" s="137" t="e">
        <f t="shared" si="61"/>
        <v>#N/A</v>
      </c>
    </row>
    <row r="3678" spans="1:7">
      <c r="A3678" s="112" t="e">
        <f>VLOOKUP('Informe Kelly'!A3672,Base!A:B,2,FALSE)</f>
        <v>#N/A</v>
      </c>
      <c r="B3678" s="112" t="e">
        <f>VLOOKUP('Informe Kelly'!A3672,Base!A:G,7,FALSE)</f>
        <v>#N/A</v>
      </c>
      <c r="C3678" s="112">
        <f>'Informe Kelly'!E3672</f>
        <v>0</v>
      </c>
      <c r="D3678" s="112" t="e">
        <f>VLOOKUP(A3678,Ingreso!K:P,6,FALSE)</f>
        <v>#N/A</v>
      </c>
      <c r="E3678" s="142" t="e">
        <f>(VLOOKUP(D3678,$D$2:$E$4,2,FALSE))-(IF('Informe Kelly'!H3672=$A$2,'Informe Kelly'!F3672,VLOOKUP(D3678,$D$2:$E$4,2,FALSE)))</f>
        <v>#N/A</v>
      </c>
      <c r="F3678" s="142" t="e">
        <f>IF('Informe Kelly'!H3672=$A$3,'Informe Kelly'!F3672,VLOOKUP(D3678,$D$2:$F$4,3,FALSE))-(VLOOKUP(D3678,$D$2:$F$4,3,FALSE))</f>
        <v>#N/A</v>
      </c>
      <c r="G3678" s="137" t="e">
        <f t="shared" si="61"/>
        <v>#N/A</v>
      </c>
    </row>
    <row r="3679" spans="1:7">
      <c r="A3679" s="112" t="e">
        <f>VLOOKUP('Informe Kelly'!A3673,Base!A:B,2,FALSE)</f>
        <v>#N/A</v>
      </c>
      <c r="B3679" s="112" t="e">
        <f>VLOOKUP('Informe Kelly'!A3673,Base!A:G,7,FALSE)</f>
        <v>#N/A</v>
      </c>
      <c r="C3679" s="112">
        <f>'Informe Kelly'!E3673</f>
        <v>0</v>
      </c>
      <c r="D3679" s="112" t="e">
        <f>VLOOKUP(A3679,Ingreso!K:P,6,FALSE)</f>
        <v>#N/A</v>
      </c>
      <c r="E3679" s="142" t="e">
        <f>(VLOOKUP(D3679,$D$2:$E$4,2,FALSE))-(IF('Informe Kelly'!H3673=$A$2,'Informe Kelly'!F3673,VLOOKUP(D3679,$D$2:$E$4,2,FALSE)))</f>
        <v>#N/A</v>
      </c>
      <c r="F3679" s="142" t="e">
        <f>IF('Informe Kelly'!H3673=$A$3,'Informe Kelly'!F3673,VLOOKUP(D3679,$D$2:$F$4,3,FALSE))-(VLOOKUP(D3679,$D$2:$F$4,3,FALSE))</f>
        <v>#N/A</v>
      </c>
      <c r="G3679" s="137" t="e">
        <f t="shared" si="61"/>
        <v>#N/A</v>
      </c>
    </row>
    <row r="3680" spans="1:7">
      <c r="A3680" s="112" t="e">
        <f>VLOOKUP('Informe Kelly'!A3674,Base!A:B,2,FALSE)</f>
        <v>#N/A</v>
      </c>
      <c r="B3680" s="112" t="e">
        <f>VLOOKUP('Informe Kelly'!A3674,Base!A:G,7,FALSE)</f>
        <v>#N/A</v>
      </c>
      <c r="C3680" s="112">
        <f>'Informe Kelly'!E3674</f>
        <v>0</v>
      </c>
      <c r="D3680" s="112" t="e">
        <f>VLOOKUP(A3680,Ingreso!K:P,6,FALSE)</f>
        <v>#N/A</v>
      </c>
      <c r="E3680" s="142" t="e">
        <f>(VLOOKUP(D3680,$D$2:$E$4,2,FALSE))-(IF('Informe Kelly'!H3674=$A$2,'Informe Kelly'!F3674,VLOOKUP(D3680,$D$2:$E$4,2,FALSE)))</f>
        <v>#N/A</v>
      </c>
      <c r="F3680" s="142" t="e">
        <f>IF('Informe Kelly'!H3674=$A$3,'Informe Kelly'!F3674,VLOOKUP(D3680,$D$2:$F$4,3,FALSE))-(VLOOKUP(D3680,$D$2:$F$4,3,FALSE))</f>
        <v>#N/A</v>
      </c>
      <c r="G3680" s="137" t="e">
        <f t="shared" si="61"/>
        <v>#N/A</v>
      </c>
    </row>
    <row r="3681" spans="1:7">
      <c r="A3681" s="112" t="e">
        <f>VLOOKUP('Informe Kelly'!A3675,Base!A:B,2,FALSE)</f>
        <v>#N/A</v>
      </c>
      <c r="B3681" s="112" t="e">
        <f>VLOOKUP('Informe Kelly'!A3675,Base!A:G,7,FALSE)</f>
        <v>#N/A</v>
      </c>
      <c r="C3681" s="112">
        <f>'Informe Kelly'!E3675</f>
        <v>0</v>
      </c>
      <c r="D3681" s="112" t="e">
        <f>VLOOKUP(A3681,Ingreso!K:P,6,FALSE)</f>
        <v>#N/A</v>
      </c>
      <c r="E3681" s="142" t="e">
        <f>(VLOOKUP(D3681,$D$2:$E$4,2,FALSE))-(IF('Informe Kelly'!H3675=$A$2,'Informe Kelly'!F3675,VLOOKUP(D3681,$D$2:$E$4,2,FALSE)))</f>
        <v>#N/A</v>
      </c>
      <c r="F3681" s="142" t="e">
        <f>IF('Informe Kelly'!H3675=$A$3,'Informe Kelly'!F3675,VLOOKUP(D3681,$D$2:$F$4,3,FALSE))-(VLOOKUP(D3681,$D$2:$F$4,3,FALSE))</f>
        <v>#N/A</v>
      </c>
      <c r="G3681" s="137" t="e">
        <f t="shared" si="61"/>
        <v>#N/A</v>
      </c>
    </row>
    <row r="3682" spans="1:7">
      <c r="A3682" s="112" t="e">
        <f>VLOOKUP('Informe Kelly'!A3676,Base!A:B,2,FALSE)</f>
        <v>#N/A</v>
      </c>
      <c r="B3682" s="112" t="e">
        <f>VLOOKUP('Informe Kelly'!A3676,Base!A:G,7,FALSE)</f>
        <v>#N/A</v>
      </c>
      <c r="C3682" s="112">
        <f>'Informe Kelly'!E3676</f>
        <v>0</v>
      </c>
      <c r="D3682" s="112" t="e">
        <f>VLOOKUP(A3682,Ingreso!K:P,6,FALSE)</f>
        <v>#N/A</v>
      </c>
      <c r="E3682" s="142" t="e">
        <f>(VLOOKUP(D3682,$D$2:$E$4,2,FALSE))-(IF('Informe Kelly'!H3676=$A$2,'Informe Kelly'!F3676,VLOOKUP(D3682,$D$2:$E$4,2,FALSE)))</f>
        <v>#N/A</v>
      </c>
      <c r="F3682" s="142" t="e">
        <f>IF('Informe Kelly'!H3676=$A$3,'Informe Kelly'!F3676,VLOOKUP(D3682,$D$2:$F$4,3,FALSE))-(VLOOKUP(D3682,$D$2:$F$4,3,FALSE))</f>
        <v>#N/A</v>
      </c>
      <c r="G3682" s="137" t="e">
        <f t="shared" si="61"/>
        <v>#N/A</v>
      </c>
    </row>
    <row r="3683" spans="1:7">
      <c r="A3683" s="112" t="e">
        <f>VLOOKUP('Informe Kelly'!A3677,Base!A:B,2,FALSE)</f>
        <v>#N/A</v>
      </c>
      <c r="B3683" s="112" t="e">
        <f>VLOOKUP('Informe Kelly'!A3677,Base!A:G,7,FALSE)</f>
        <v>#N/A</v>
      </c>
      <c r="C3683" s="112">
        <f>'Informe Kelly'!E3677</f>
        <v>0</v>
      </c>
      <c r="D3683" s="112" t="e">
        <f>VLOOKUP(A3683,Ingreso!K:P,6,FALSE)</f>
        <v>#N/A</v>
      </c>
      <c r="E3683" s="142" t="e">
        <f>(VLOOKUP(D3683,$D$2:$E$4,2,FALSE))-(IF('Informe Kelly'!H3677=$A$2,'Informe Kelly'!F3677,VLOOKUP(D3683,$D$2:$E$4,2,FALSE)))</f>
        <v>#N/A</v>
      </c>
      <c r="F3683" s="142" t="e">
        <f>IF('Informe Kelly'!H3677=$A$3,'Informe Kelly'!F3677,VLOOKUP(D3683,$D$2:$F$4,3,FALSE))-(VLOOKUP(D3683,$D$2:$F$4,3,FALSE))</f>
        <v>#N/A</v>
      </c>
      <c r="G3683" s="137" t="e">
        <f t="shared" si="61"/>
        <v>#N/A</v>
      </c>
    </row>
    <row r="3684" spans="1:7">
      <c r="A3684" s="112" t="e">
        <f>VLOOKUP('Informe Kelly'!A3678,Base!A:B,2,FALSE)</f>
        <v>#N/A</v>
      </c>
      <c r="B3684" s="112" t="e">
        <f>VLOOKUP('Informe Kelly'!A3678,Base!A:G,7,FALSE)</f>
        <v>#N/A</v>
      </c>
      <c r="C3684" s="112">
        <f>'Informe Kelly'!E3678</f>
        <v>0</v>
      </c>
      <c r="D3684" s="112" t="e">
        <f>VLOOKUP(A3684,Ingreso!K:P,6,FALSE)</f>
        <v>#N/A</v>
      </c>
      <c r="E3684" s="142" t="e">
        <f>(VLOOKUP(D3684,$D$2:$E$4,2,FALSE))-(IF('Informe Kelly'!H3678=$A$2,'Informe Kelly'!F3678,VLOOKUP(D3684,$D$2:$E$4,2,FALSE)))</f>
        <v>#N/A</v>
      </c>
      <c r="F3684" s="142" t="e">
        <f>IF('Informe Kelly'!H3678=$A$3,'Informe Kelly'!F3678,VLOOKUP(D3684,$D$2:$F$4,3,FALSE))-(VLOOKUP(D3684,$D$2:$F$4,3,FALSE))</f>
        <v>#N/A</v>
      </c>
      <c r="G3684" s="137" t="e">
        <f t="shared" si="61"/>
        <v>#N/A</v>
      </c>
    </row>
    <row r="3685" spans="1:7">
      <c r="A3685" s="112" t="e">
        <f>VLOOKUP('Informe Kelly'!A3679,Base!A:B,2,FALSE)</f>
        <v>#N/A</v>
      </c>
      <c r="B3685" s="112" t="e">
        <f>VLOOKUP('Informe Kelly'!A3679,Base!A:G,7,FALSE)</f>
        <v>#N/A</v>
      </c>
      <c r="C3685" s="112">
        <f>'Informe Kelly'!E3679</f>
        <v>0</v>
      </c>
      <c r="D3685" s="112" t="e">
        <f>VLOOKUP(A3685,Ingreso!K:P,6,FALSE)</f>
        <v>#N/A</v>
      </c>
      <c r="E3685" s="142" t="e">
        <f>(VLOOKUP(D3685,$D$2:$E$4,2,FALSE))-(IF('Informe Kelly'!H3679=$A$2,'Informe Kelly'!F3679,VLOOKUP(D3685,$D$2:$E$4,2,FALSE)))</f>
        <v>#N/A</v>
      </c>
      <c r="F3685" s="142" t="e">
        <f>IF('Informe Kelly'!H3679=$A$3,'Informe Kelly'!F3679,VLOOKUP(D3685,$D$2:$F$4,3,FALSE))-(VLOOKUP(D3685,$D$2:$F$4,3,FALSE))</f>
        <v>#N/A</v>
      </c>
      <c r="G3685" s="137" t="e">
        <f t="shared" si="61"/>
        <v>#N/A</v>
      </c>
    </row>
    <row r="3686" spans="1:7">
      <c r="A3686" s="112" t="e">
        <f>VLOOKUP('Informe Kelly'!A3680,Base!A:B,2,FALSE)</f>
        <v>#N/A</v>
      </c>
      <c r="B3686" s="112" t="e">
        <f>VLOOKUP('Informe Kelly'!A3680,Base!A:G,7,FALSE)</f>
        <v>#N/A</v>
      </c>
      <c r="C3686" s="112">
        <f>'Informe Kelly'!E3680</f>
        <v>0</v>
      </c>
      <c r="D3686" s="112" t="e">
        <f>VLOOKUP(A3686,Ingreso!K:P,6,FALSE)</f>
        <v>#N/A</v>
      </c>
      <c r="E3686" s="142" t="e">
        <f>(VLOOKUP(D3686,$D$2:$E$4,2,FALSE))-(IF('Informe Kelly'!H3680=$A$2,'Informe Kelly'!F3680,VLOOKUP(D3686,$D$2:$E$4,2,FALSE)))</f>
        <v>#N/A</v>
      </c>
      <c r="F3686" s="142" t="e">
        <f>IF('Informe Kelly'!H3680=$A$3,'Informe Kelly'!F3680,VLOOKUP(D3686,$D$2:$F$4,3,FALSE))-(VLOOKUP(D3686,$D$2:$F$4,3,FALSE))</f>
        <v>#N/A</v>
      </c>
      <c r="G3686" s="137" t="e">
        <f t="shared" si="61"/>
        <v>#N/A</v>
      </c>
    </row>
    <row r="3687" spans="1:7">
      <c r="A3687" s="112" t="e">
        <f>VLOOKUP('Informe Kelly'!A3681,Base!A:B,2,FALSE)</f>
        <v>#N/A</v>
      </c>
      <c r="B3687" s="112" t="e">
        <f>VLOOKUP('Informe Kelly'!A3681,Base!A:G,7,FALSE)</f>
        <v>#N/A</v>
      </c>
      <c r="C3687" s="112">
        <f>'Informe Kelly'!E3681</f>
        <v>0</v>
      </c>
      <c r="D3687" s="112" t="e">
        <f>VLOOKUP(A3687,Ingreso!K:P,6,FALSE)</f>
        <v>#N/A</v>
      </c>
      <c r="E3687" s="142" t="e">
        <f>(VLOOKUP(D3687,$D$2:$E$4,2,FALSE))-(IF('Informe Kelly'!H3681=$A$2,'Informe Kelly'!F3681,VLOOKUP(D3687,$D$2:$E$4,2,FALSE)))</f>
        <v>#N/A</v>
      </c>
      <c r="F3687" s="142" t="e">
        <f>IF('Informe Kelly'!H3681=$A$3,'Informe Kelly'!F3681,VLOOKUP(D3687,$D$2:$F$4,3,FALSE))-(VLOOKUP(D3687,$D$2:$F$4,3,FALSE))</f>
        <v>#N/A</v>
      </c>
      <c r="G3687" s="137" t="e">
        <f t="shared" si="61"/>
        <v>#N/A</v>
      </c>
    </row>
    <row r="3688" spans="1:7">
      <c r="A3688" s="112" t="e">
        <f>VLOOKUP('Informe Kelly'!A3682,Base!A:B,2,FALSE)</f>
        <v>#N/A</v>
      </c>
      <c r="B3688" s="112" t="e">
        <f>VLOOKUP('Informe Kelly'!A3682,Base!A:G,7,FALSE)</f>
        <v>#N/A</v>
      </c>
      <c r="C3688" s="112">
        <f>'Informe Kelly'!E3682</f>
        <v>0</v>
      </c>
      <c r="D3688" s="112" t="e">
        <f>VLOOKUP(A3688,Ingreso!K:P,6,FALSE)</f>
        <v>#N/A</v>
      </c>
      <c r="E3688" s="142" t="e">
        <f>(VLOOKUP(D3688,$D$2:$E$4,2,FALSE))-(IF('Informe Kelly'!H3682=$A$2,'Informe Kelly'!F3682,VLOOKUP(D3688,$D$2:$E$4,2,FALSE)))</f>
        <v>#N/A</v>
      </c>
      <c r="F3688" s="142" t="e">
        <f>IF('Informe Kelly'!H3682=$A$3,'Informe Kelly'!F3682,VLOOKUP(D3688,$D$2:$F$4,3,FALSE))-(VLOOKUP(D3688,$D$2:$F$4,3,FALSE))</f>
        <v>#N/A</v>
      </c>
      <c r="G3688" s="137" t="e">
        <f t="shared" si="61"/>
        <v>#N/A</v>
      </c>
    </row>
    <row r="3689" spans="1:7">
      <c r="A3689" s="112" t="e">
        <f>VLOOKUP('Informe Kelly'!A3683,Base!A:B,2,FALSE)</f>
        <v>#N/A</v>
      </c>
      <c r="B3689" s="112" t="e">
        <f>VLOOKUP('Informe Kelly'!A3683,Base!A:G,7,FALSE)</f>
        <v>#N/A</v>
      </c>
      <c r="C3689" s="112">
        <f>'Informe Kelly'!E3683</f>
        <v>0</v>
      </c>
      <c r="D3689" s="112" t="e">
        <f>VLOOKUP(A3689,Ingreso!K:P,6,FALSE)</f>
        <v>#N/A</v>
      </c>
      <c r="E3689" s="142" t="e">
        <f>(VLOOKUP(D3689,$D$2:$E$4,2,FALSE))-(IF('Informe Kelly'!H3683=$A$2,'Informe Kelly'!F3683,VLOOKUP(D3689,$D$2:$E$4,2,FALSE)))</f>
        <v>#N/A</v>
      </c>
      <c r="F3689" s="142" t="e">
        <f>IF('Informe Kelly'!H3683=$A$3,'Informe Kelly'!F3683,VLOOKUP(D3689,$D$2:$F$4,3,FALSE))-(VLOOKUP(D3689,$D$2:$F$4,3,FALSE))</f>
        <v>#N/A</v>
      </c>
      <c r="G3689" s="137" t="e">
        <f t="shared" si="61"/>
        <v>#N/A</v>
      </c>
    </row>
    <row r="3690" spans="1:7">
      <c r="A3690" s="112" t="e">
        <f>VLOOKUP('Informe Kelly'!A3684,Base!A:B,2,FALSE)</f>
        <v>#N/A</v>
      </c>
      <c r="B3690" s="112" t="e">
        <f>VLOOKUP('Informe Kelly'!A3684,Base!A:G,7,FALSE)</f>
        <v>#N/A</v>
      </c>
      <c r="C3690" s="112">
        <f>'Informe Kelly'!E3684</f>
        <v>0</v>
      </c>
      <c r="D3690" s="112" t="e">
        <f>VLOOKUP(A3690,Ingreso!K:P,6,FALSE)</f>
        <v>#N/A</v>
      </c>
      <c r="E3690" s="142" t="e">
        <f>(VLOOKUP(D3690,$D$2:$E$4,2,FALSE))-(IF('Informe Kelly'!H3684=$A$2,'Informe Kelly'!F3684,VLOOKUP(D3690,$D$2:$E$4,2,FALSE)))</f>
        <v>#N/A</v>
      </c>
      <c r="F3690" s="142" t="e">
        <f>IF('Informe Kelly'!H3684=$A$3,'Informe Kelly'!F3684,VLOOKUP(D3690,$D$2:$F$4,3,FALSE))-(VLOOKUP(D3690,$D$2:$F$4,3,FALSE))</f>
        <v>#N/A</v>
      </c>
      <c r="G3690" s="137" t="e">
        <f t="shared" si="61"/>
        <v>#N/A</v>
      </c>
    </row>
    <row r="3691" spans="1:7">
      <c r="A3691" s="112" t="e">
        <f>VLOOKUP('Informe Kelly'!A3685,Base!A:B,2,FALSE)</f>
        <v>#N/A</v>
      </c>
      <c r="B3691" s="112" t="e">
        <f>VLOOKUP('Informe Kelly'!A3685,Base!A:G,7,FALSE)</f>
        <v>#N/A</v>
      </c>
      <c r="C3691" s="112">
        <f>'Informe Kelly'!E3685</f>
        <v>0</v>
      </c>
      <c r="D3691" s="112" t="e">
        <f>VLOOKUP(A3691,Ingreso!K:P,6,FALSE)</f>
        <v>#N/A</v>
      </c>
      <c r="E3691" s="142" t="e">
        <f>(VLOOKUP(D3691,$D$2:$E$4,2,FALSE))-(IF('Informe Kelly'!H3685=$A$2,'Informe Kelly'!F3685,VLOOKUP(D3691,$D$2:$E$4,2,FALSE)))</f>
        <v>#N/A</v>
      </c>
      <c r="F3691" s="142" t="e">
        <f>IF('Informe Kelly'!H3685=$A$3,'Informe Kelly'!F3685,VLOOKUP(D3691,$D$2:$F$4,3,FALSE))-(VLOOKUP(D3691,$D$2:$F$4,3,FALSE))</f>
        <v>#N/A</v>
      </c>
      <c r="G3691" s="137" t="e">
        <f t="shared" si="61"/>
        <v>#N/A</v>
      </c>
    </row>
    <row r="3692" spans="1:7">
      <c r="A3692" s="112" t="e">
        <f>VLOOKUP('Informe Kelly'!A3686,Base!A:B,2,FALSE)</f>
        <v>#N/A</v>
      </c>
      <c r="B3692" s="112" t="e">
        <f>VLOOKUP('Informe Kelly'!A3686,Base!A:G,7,FALSE)</f>
        <v>#N/A</v>
      </c>
      <c r="C3692" s="112">
        <f>'Informe Kelly'!E3686</f>
        <v>0</v>
      </c>
      <c r="D3692" s="112" t="e">
        <f>VLOOKUP(A3692,Ingreso!K:P,6,FALSE)</f>
        <v>#N/A</v>
      </c>
      <c r="E3692" s="142" t="e">
        <f>(VLOOKUP(D3692,$D$2:$E$4,2,FALSE))-(IF('Informe Kelly'!H3686=$A$2,'Informe Kelly'!F3686,VLOOKUP(D3692,$D$2:$E$4,2,FALSE)))</f>
        <v>#N/A</v>
      </c>
      <c r="F3692" s="142" t="e">
        <f>IF('Informe Kelly'!H3686=$A$3,'Informe Kelly'!F3686,VLOOKUP(D3692,$D$2:$F$4,3,FALSE))-(VLOOKUP(D3692,$D$2:$F$4,3,FALSE))</f>
        <v>#N/A</v>
      </c>
      <c r="G3692" s="137" t="e">
        <f t="shared" si="61"/>
        <v>#N/A</v>
      </c>
    </row>
    <row r="3693" spans="1:7">
      <c r="A3693" s="112" t="e">
        <f>VLOOKUP('Informe Kelly'!A3687,Base!A:B,2,FALSE)</f>
        <v>#N/A</v>
      </c>
      <c r="B3693" s="112" t="e">
        <f>VLOOKUP('Informe Kelly'!A3687,Base!A:G,7,FALSE)</f>
        <v>#N/A</v>
      </c>
      <c r="C3693" s="112">
        <f>'Informe Kelly'!E3687</f>
        <v>0</v>
      </c>
      <c r="D3693" s="112" t="e">
        <f>VLOOKUP(A3693,Ingreso!K:P,6,FALSE)</f>
        <v>#N/A</v>
      </c>
      <c r="E3693" s="142" t="e">
        <f>(VLOOKUP(D3693,$D$2:$E$4,2,FALSE))-(IF('Informe Kelly'!H3687=$A$2,'Informe Kelly'!F3687,VLOOKUP(D3693,$D$2:$E$4,2,FALSE)))</f>
        <v>#N/A</v>
      </c>
      <c r="F3693" s="142" t="e">
        <f>IF('Informe Kelly'!H3687=$A$3,'Informe Kelly'!F3687,VLOOKUP(D3693,$D$2:$F$4,3,FALSE))-(VLOOKUP(D3693,$D$2:$F$4,3,FALSE))</f>
        <v>#N/A</v>
      </c>
      <c r="G3693" s="137" t="e">
        <f t="shared" si="61"/>
        <v>#N/A</v>
      </c>
    </row>
    <row r="3694" spans="1:7">
      <c r="A3694" s="112" t="e">
        <f>VLOOKUP('Informe Kelly'!A3688,Base!A:B,2,FALSE)</f>
        <v>#N/A</v>
      </c>
      <c r="B3694" s="112" t="e">
        <f>VLOOKUP('Informe Kelly'!A3688,Base!A:G,7,FALSE)</f>
        <v>#N/A</v>
      </c>
      <c r="C3694" s="112">
        <f>'Informe Kelly'!E3688</f>
        <v>0</v>
      </c>
      <c r="D3694" s="112" t="e">
        <f>VLOOKUP(A3694,Ingreso!K:P,6,FALSE)</f>
        <v>#N/A</v>
      </c>
      <c r="E3694" s="142" t="e">
        <f>(VLOOKUP(D3694,$D$2:$E$4,2,FALSE))-(IF('Informe Kelly'!H3688=$A$2,'Informe Kelly'!F3688,VLOOKUP(D3694,$D$2:$E$4,2,FALSE)))</f>
        <v>#N/A</v>
      </c>
      <c r="F3694" s="142" t="e">
        <f>IF('Informe Kelly'!H3688=$A$3,'Informe Kelly'!F3688,VLOOKUP(D3694,$D$2:$F$4,3,FALSE))-(VLOOKUP(D3694,$D$2:$F$4,3,FALSE))</f>
        <v>#N/A</v>
      </c>
      <c r="G3694" s="137" t="e">
        <f t="shared" si="61"/>
        <v>#N/A</v>
      </c>
    </row>
    <row r="3695" spans="1:7">
      <c r="A3695" s="112" t="e">
        <f>VLOOKUP('Informe Kelly'!A3689,Base!A:B,2,FALSE)</f>
        <v>#N/A</v>
      </c>
      <c r="B3695" s="112" t="e">
        <f>VLOOKUP('Informe Kelly'!A3689,Base!A:G,7,FALSE)</f>
        <v>#N/A</v>
      </c>
      <c r="C3695" s="112">
        <f>'Informe Kelly'!E3689</f>
        <v>0</v>
      </c>
      <c r="D3695" s="112" t="e">
        <f>VLOOKUP(A3695,Ingreso!K:P,6,FALSE)</f>
        <v>#N/A</v>
      </c>
      <c r="E3695" s="142" t="e">
        <f>(VLOOKUP(D3695,$D$2:$E$4,2,FALSE))-(IF('Informe Kelly'!H3689=$A$2,'Informe Kelly'!F3689,VLOOKUP(D3695,$D$2:$E$4,2,FALSE)))</f>
        <v>#N/A</v>
      </c>
      <c r="F3695" s="142" t="e">
        <f>IF('Informe Kelly'!H3689=$A$3,'Informe Kelly'!F3689,VLOOKUP(D3695,$D$2:$F$4,3,FALSE))-(VLOOKUP(D3695,$D$2:$F$4,3,FALSE))</f>
        <v>#N/A</v>
      </c>
      <c r="G3695" s="137" t="e">
        <f t="shared" si="61"/>
        <v>#N/A</v>
      </c>
    </row>
    <row r="3696" spans="1:7">
      <c r="A3696" s="112" t="e">
        <f>VLOOKUP('Informe Kelly'!A3690,Base!A:B,2,FALSE)</f>
        <v>#N/A</v>
      </c>
      <c r="B3696" s="112" t="e">
        <f>VLOOKUP('Informe Kelly'!A3690,Base!A:G,7,FALSE)</f>
        <v>#N/A</v>
      </c>
      <c r="C3696" s="112">
        <f>'Informe Kelly'!E3690</f>
        <v>0</v>
      </c>
      <c r="D3696" s="112" t="e">
        <f>VLOOKUP(A3696,Ingreso!K:P,6,FALSE)</f>
        <v>#N/A</v>
      </c>
      <c r="E3696" s="142" t="e">
        <f>(VLOOKUP(D3696,$D$2:$E$4,2,FALSE))-(IF('Informe Kelly'!H3690=$A$2,'Informe Kelly'!F3690,VLOOKUP(D3696,$D$2:$E$4,2,FALSE)))</f>
        <v>#N/A</v>
      </c>
      <c r="F3696" s="142" t="e">
        <f>IF('Informe Kelly'!H3690=$A$3,'Informe Kelly'!F3690,VLOOKUP(D3696,$D$2:$F$4,3,FALSE))-(VLOOKUP(D3696,$D$2:$F$4,3,FALSE))</f>
        <v>#N/A</v>
      </c>
      <c r="G3696" s="137" t="e">
        <f t="shared" si="61"/>
        <v>#N/A</v>
      </c>
    </row>
    <row r="3697" spans="1:7">
      <c r="A3697" s="112" t="e">
        <f>VLOOKUP('Informe Kelly'!A3691,Base!A:B,2,FALSE)</f>
        <v>#N/A</v>
      </c>
      <c r="B3697" s="112" t="e">
        <f>VLOOKUP('Informe Kelly'!A3691,Base!A:G,7,FALSE)</f>
        <v>#N/A</v>
      </c>
      <c r="C3697" s="112">
        <f>'Informe Kelly'!E3691</f>
        <v>0</v>
      </c>
      <c r="D3697" s="112" t="e">
        <f>VLOOKUP(A3697,Ingreso!K:P,6,FALSE)</f>
        <v>#N/A</v>
      </c>
      <c r="E3697" s="142" t="e">
        <f>(VLOOKUP(D3697,$D$2:$E$4,2,FALSE))-(IF('Informe Kelly'!H3691=$A$2,'Informe Kelly'!F3691,VLOOKUP(D3697,$D$2:$E$4,2,FALSE)))</f>
        <v>#N/A</v>
      </c>
      <c r="F3697" s="142" t="e">
        <f>IF('Informe Kelly'!H3691=$A$3,'Informe Kelly'!F3691,VLOOKUP(D3697,$D$2:$F$4,3,FALSE))-(VLOOKUP(D3697,$D$2:$F$4,3,FALSE))</f>
        <v>#N/A</v>
      </c>
      <c r="G3697" s="137" t="e">
        <f t="shared" si="61"/>
        <v>#N/A</v>
      </c>
    </row>
    <row r="3698" spans="1:7">
      <c r="A3698" s="112" t="e">
        <f>VLOOKUP('Informe Kelly'!A3692,Base!A:B,2,FALSE)</f>
        <v>#N/A</v>
      </c>
      <c r="B3698" s="112" t="e">
        <f>VLOOKUP('Informe Kelly'!A3692,Base!A:G,7,FALSE)</f>
        <v>#N/A</v>
      </c>
      <c r="C3698" s="112">
        <f>'Informe Kelly'!E3692</f>
        <v>0</v>
      </c>
      <c r="D3698" s="112" t="e">
        <f>VLOOKUP(A3698,Ingreso!K:P,6,FALSE)</f>
        <v>#N/A</v>
      </c>
      <c r="E3698" s="142" t="e">
        <f>(VLOOKUP(D3698,$D$2:$E$4,2,FALSE))-(IF('Informe Kelly'!H3692=$A$2,'Informe Kelly'!F3692,VLOOKUP(D3698,$D$2:$E$4,2,FALSE)))</f>
        <v>#N/A</v>
      </c>
      <c r="F3698" s="142" t="e">
        <f>IF('Informe Kelly'!H3692=$A$3,'Informe Kelly'!F3692,VLOOKUP(D3698,$D$2:$F$4,3,FALSE))-(VLOOKUP(D3698,$D$2:$F$4,3,FALSE))</f>
        <v>#N/A</v>
      </c>
      <c r="G3698" s="137" t="e">
        <f t="shared" si="61"/>
        <v>#N/A</v>
      </c>
    </row>
    <row r="3699" spans="1:7">
      <c r="A3699" s="112" t="e">
        <f>VLOOKUP('Informe Kelly'!A3693,Base!A:B,2,FALSE)</f>
        <v>#N/A</v>
      </c>
      <c r="B3699" s="112" t="e">
        <f>VLOOKUP('Informe Kelly'!A3693,Base!A:G,7,FALSE)</f>
        <v>#N/A</v>
      </c>
      <c r="C3699" s="112">
        <f>'Informe Kelly'!E3693</f>
        <v>0</v>
      </c>
      <c r="D3699" s="112" t="e">
        <f>VLOOKUP(A3699,Ingreso!K:P,6,FALSE)</f>
        <v>#N/A</v>
      </c>
      <c r="E3699" s="142" t="e">
        <f>(VLOOKUP(D3699,$D$2:$E$4,2,FALSE))-(IF('Informe Kelly'!H3693=$A$2,'Informe Kelly'!F3693,VLOOKUP(D3699,$D$2:$E$4,2,FALSE)))</f>
        <v>#N/A</v>
      </c>
      <c r="F3699" s="142" t="e">
        <f>IF('Informe Kelly'!H3693=$A$3,'Informe Kelly'!F3693,VLOOKUP(D3699,$D$2:$F$4,3,FALSE))-(VLOOKUP(D3699,$D$2:$F$4,3,FALSE))</f>
        <v>#N/A</v>
      </c>
      <c r="G3699" s="137" t="e">
        <f t="shared" si="61"/>
        <v>#N/A</v>
      </c>
    </row>
    <row r="3700" spans="1:7">
      <c r="A3700" s="112" t="e">
        <f>VLOOKUP('Informe Kelly'!A3694,Base!A:B,2,FALSE)</f>
        <v>#N/A</v>
      </c>
      <c r="B3700" s="112" t="e">
        <f>VLOOKUP('Informe Kelly'!A3694,Base!A:G,7,FALSE)</f>
        <v>#N/A</v>
      </c>
      <c r="C3700" s="112">
        <f>'Informe Kelly'!E3694</f>
        <v>0</v>
      </c>
      <c r="D3700" s="112" t="e">
        <f>VLOOKUP(A3700,Ingreso!K:P,6,FALSE)</f>
        <v>#N/A</v>
      </c>
      <c r="E3700" s="142" t="e">
        <f>(VLOOKUP(D3700,$D$2:$E$4,2,FALSE))-(IF('Informe Kelly'!H3694=$A$2,'Informe Kelly'!F3694,VLOOKUP(D3700,$D$2:$E$4,2,FALSE)))</f>
        <v>#N/A</v>
      </c>
      <c r="F3700" s="142" t="e">
        <f>IF('Informe Kelly'!H3694=$A$3,'Informe Kelly'!F3694,VLOOKUP(D3700,$D$2:$F$4,3,FALSE))-(VLOOKUP(D3700,$D$2:$F$4,3,FALSE))</f>
        <v>#N/A</v>
      </c>
      <c r="G3700" s="137" t="e">
        <f t="shared" si="61"/>
        <v>#N/A</v>
      </c>
    </row>
    <row r="3701" spans="1:7">
      <c r="A3701" s="112" t="e">
        <f>VLOOKUP('Informe Kelly'!A3695,Base!A:B,2,FALSE)</f>
        <v>#N/A</v>
      </c>
      <c r="B3701" s="112" t="e">
        <f>VLOOKUP('Informe Kelly'!A3695,Base!A:G,7,FALSE)</f>
        <v>#N/A</v>
      </c>
      <c r="C3701" s="112">
        <f>'Informe Kelly'!E3695</f>
        <v>0</v>
      </c>
      <c r="D3701" s="112" t="e">
        <f>VLOOKUP(A3701,Ingreso!K:P,6,FALSE)</f>
        <v>#N/A</v>
      </c>
      <c r="E3701" s="142" t="e">
        <f>(VLOOKUP(D3701,$D$2:$E$4,2,FALSE))-(IF('Informe Kelly'!H3695=$A$2,'Informe Kelly'!F3695,VLOOKUP(D3701,$D$2:$E$4,2,FALSE)))</f>
        <v>#N/A</v>
      </c>
      <c r="F3701" s="142" t="e">
        <f>IF('Informe Kelly'!H3695=$A$3,'Informe Kelly'!F3695,VLOOKUP(D3701,$D$2:$F$4,3,FALSE))-(VLOOKUP(D3701,$D$2:$F$4,3,FALSE))</f>
        <v>#N/A</v>
      </c>
      <c r="G3701" s="137" t="e">
        <f t="shared" si="61"/>
        <v>#N/A</v>
      </c>
    </row>
    <row r="3702" spans="1:7">
      <c r="A3702" s="112" t="e">
        <f>VLOOKUP('Informe Kelly'!A3696,Base!A:B,2,FALSE)</f>
        <v>#N/A</v>
      </c>
      <c r="B3702" s="112" t="e">
        <f>VLOOKUP('Informe Kelly'!A3696,Base!A:G,7,FALSE)</f>
        <v>#N/A</v>
      </c>
      <c r="C3702" s="112">
        <f>'Informe Kelly'!E3696</f>
        <v>0</v>
      </c>
      <c r="D3702" s="112" t="e">
        <f>VLOOKUP(A3702,Ingreso!K:P,6,FALSE)</f>
        <v>#N/A</v>
      </c>
      <c r="E3702" s="142" t="e">
        <f>(VLOOKUP(D3702,$D$2:$E$4,2,FALSE))-(IF('Informe Kelly'!H3696=$A$2,'Informe Kelly'!F3696,VLOOKUP(D3702,$D$2:$E$4,2,FALSE)))</f>
        <v>#N/A</v>
      </c>
      <c r="F3702" s="142" t="e">
        <f>IF('Informe Kelly'!H3696=$A$3,'Informe Kelly'!F3696,VLOOKUP(D3702,$D$2:$F$4,3,FALSE))-(VLOOKUP(D3702,$D$2:$F$4,3,FALSE))</f>
        <v>#N/A</v>
      </c>
      <c r="G3702" s="137" t="e">
        <f t="shared" si="61"/>
        <v>#N/A</v>
      </c>
    </row>
    <row r="3703" spans="1:7">
      <c r="A3703" s="112" t="e">
        <f>VLOOKUP('Informe Kelly'!A3697,Base!A:B,2,FALSE)</f>
        <v>#N/A</v>
      </c>
      <c r="B3703" s="112" t="e">
        <f>VLOOKUP('Informe Kelly'!A3697,Base!A:G,7,FALSE)</f>
        <v>#N/A</v>
      </c>
      <c r="C3703" s="112">
        <f>'Informe Kelly'!E3697</f>
        <v>0</v>
      </c>
      <c r="D3703" s="112" t="e">
        <f>VLOOKUP(A3703,Ingreso!K:P,6,FALSE)</f>
        <v>#N/A</v>
      </c>
      <c r="E3703" s="142" t="e">
        <f>(VLOOKUP(D3703,$D$2:$E$4,2,FALSE))-(IF('Informe Kelly'!H3697=$A$2,'Informe Kelly'!F3697,VLOOKUP(D3703,$D$2:$E$4,2,FALSE)))</f>
        <v>#N/A</v>
      </c>
      <c r="F3703" s="142" t="e">
        <f>IF('Informe Kelly'!H3697=$A$3,'Informe Kelly'!F3697,VLOOKUP(D3703,$D$2:$F$4,3,FALSE))-(VLOOKUP(D3703,$D$2:$F$4,3,FALSE))</f>
        <v>#N/A</v>
      </c>
      <c r="G3703" s="137" t="e">
        <f t="shared" si="61"/>
        <v>#N/A</v>
      </c>
    </row>
    <row r="3704" spans="1:7">
      <c r="A3704" s="112" t="e">
        <f>VLOOKUP('Informe Kelly'!A3698,Base!A:B,2,FALSE)</f>
        <v>#N/A</v>
      </c>
      <c r="B3704" s="112" t="e">
        <f>VLOOKUP('Informe Kelly'!A3698,Base!A:G,7,FALSE)</f>
        <v>#N/A</v>
      </c>
      <c r="C3704" s="112">
        <f>'Informe Kelly'!E3698</f>
        <v>0</v>
      </c>
      <c r="D3704" s="112" t="e">
        <f>VLOOKUP(A3704,Ingreso!K:P,6,FALSE)</f>
        <v>#N/A</v>
      </c>
      <c r="E3704" s="142" t="e">
        <f>(VLOOKUP(D3704,$D$2:$E$4,2,FALSE))-(IF('Informe Kelly'!H3698=$A$2,'Informe Kelly'!F3698,VLOOKUP(D3704,$D$2:$E$4,2,FALSE)))</f>
        <v>#N/A</v>
      </c>
      <c r="F3704" s="142" t="e">
        <f>IF('Informe Kelly'!H3698=$A$3,'Informe Kelly'!F3698,VLOOKUP(D3704,$D$2:$F$4,3,FALSE))-(VLOOKUP(D3704,$D$2:$F$4,3,FALSE))</f>
        <v>#N/A</v>
      </c>
      <c r="G3704" s="137" t="e">
        <f t="shared" si="61"/>
        <v>#N/A</v>
      </c>
    </row>
    <row r="3705" spans="1:7">
      <c r="A3705" s="112" t="e">
        <f>VLOOKUP('Informe Kelly'!A3699,Base!A:B,2,FALSE)</f>
        <v>#N/A</v>
      </c>
      <c r="B3705" s="112" t="e">
        <f>VLOOKUP('Informe Kelly'!A3699,Base!A:G,7,FALSE)</f>
        <v>#N/A</v>
      </c>
      <c r="C3705" s="112">
        <f>'Informe Kelly'!E3699</f>
        <v>0</v>
      </c>
      <c r="D3705" s="112" t="e">
        <f>VLOOKUP(A3705,Ingreso!K:P,6,FALSE)</f>
        <v>#N/A</v>
      </c>
      <c r="E3705" s="142" t="e">
        <f>(VLOOKUP(D3705,$D$2:$E$4,2,FALSE))-(IF('Informe Kelly'!H3699=$A$2,'Informe Kelly'!F3699,VLOOKUP(D3705,$D$2:$E$4,2,FALSE)))</f>
        <v>#N/A</v>
      </c>
      <c r="F3705" s="142" t="e">
        <f>IF('Informe Kelly'!H3699=$A$3,'Informe Kelly'!F3699,VLOOKUP(D3705,$D$2:$F$4,3,FALSE))-(VLOOKUP(D3705,$D$2:$F$4,3,FALSE))</f>
        <v>#N/A</v>
      </c>
      <c r="G3705" s="137" t="e">
        <f t="shared" si="61"/>
        <v>#N/A</v>
      </c>
    </row>
    <row r="3706" spans="1:7">
      <c r="A3706" s="112" t="e">
        <f>VLOOKUP('Informe Kelly'!A3700,Base!A:B,2,FALSE)</f>
        <v>#N/A</v>
      </c>
      <c r="B3706" s="112" t="e">
        <f>VLOOKUP('Informe Kelly'!A3700,Base!A:G,7,FALSE)</f>
        <v>#N/A</v>
      </c>
      <c r="C3706" s="112">
        <f>'Informe Kelly'!E3700</f>
        <v>0</v>
      </c>
      <c r="D3706" s="112" t="e">
        <f>VLOOKUP(A3706,Ingreso!K:P,6,FALSE)</f>
        <v>#N/A</v>
      </c>
      <c r="E3706" s="142" t="e">
        <f>(VLOOKUP(D3706,$D$2:$E$4,2,FALSE))-(IF('Informe Kelly'!H3700=$A$2,'Informe Kelly'!F3700,VLOOKUP(D3706,$D$2:$E$4,2,FALSE)))</f>
        <v>#N/A</v>
      </c>
      <c r="F3706" s="142" t="e">
        <f>IF('Informe Kelly'!H3700=$A$3,'Informe Kelly'!F3700,VLOOKUP(D3706,$D$2:$F$4,3,FALSE))-(VLOOKUP(D3706,$D$2:$F$4,3,FALSE))</f>
        <v>#N/A</v>
      </c>
      <c r="G3706" s="137" t="e">
        <f t="shared" si="61"/>
        <v>#N/A</v>
      </c>
    </row>
    <row r="3707" spans="1:7">
      <c r="A3707" s="112" t="e">
        <f>VLOOKUP('Informe Kelly'!A3701,Base!A:B,2,FALSE)</f>
        <v>#N/A</v>
      </c>
      <c r="B3707" s="112" t="e">
        <f>VLOOKUP('Informe Kelly'!A3701,Base!A:G,7,FALSE)</f>
        <v>#N/A</v>
      </c>
      <c r="C3707" s="112">
        <f>'Informe Kelly'!E3701</f>
        <v>0</v>
      </c>
      <c r="D3707" s="112" t="e">
        <f>VLOOKUP(A3707,Ingreso!K:P,6,FALSE)</f>
        <v>#N/A</v>
      </c>
      <c r="E3707" s="142" t="e">
        <f>(VLOOKUP(D3707,$D$2:$E$4,2,FALSE))-(IF('Informe Kelly'!H3701=$A$2,'Informe Kelly'!F3701,VLOOKUP(D3707,$D$2:$E$4,2,FALSE)))</f>
        <v>#N/A</v>
      </c>
      <c r="F3707" s="142" t="e">
        <f>IF('Informe Kelly'!H3701=$A$3,'Informe Kelly'!F3701,VLOOKUP(D3707,$D$2:$F$4,3,FALSE))-(VLOOKUP(D3707,$D$2:$F$4,3,FALSE))</f>
        <v>#N/A</v>
      </c>
      <c r="G3707" s="137" t="e">
        <f t="shared" si="61"/>
        <v>#N/A</v>
      </c>
    </row>
    <row r="3708" spans="1:7">
      <c r="A3708" s="112" t="e">
        <f>VLOOKUP('Informe Kelly'!A3702,Base!A:B,2,FALSE)</f>
        <v>#N/A</v>
      </c>
      <c r="B3708" s="112" t="e">
        <f>VLOOKUP('Informe Kelly'!A3702,Base!A:G,7,FALSE)</f>
        <v>#N/A</v>
      </c>
      <c r="C3708" s="112">
        <f>'Informe Kelly'!E3702</f>
        <v>0</v>
      </c>
      <c r="D3708" s="112" t="e">
        <f>VLOOKUP(A3708,Ingreso!K:P,6,FALSE)</f>
        <v>#N/A</v>
      </c>
      <c r="E3708" s="142" t="e">
        <f>(VLOOKUP(D3708,$D$2:$E$4,2,FALSE))-(IF('Informe Kelly'!H3702=$A$2,'Informe Kelly'!F3702,VLOOKUP(D3708,$D$2:$E$4,2,FALSE)))</f>
        <v>#N/A</v>
      </c>
      <c r="F3708" s="142" t="e">
        <f>IF('Informe Kelly'!H3702=$A$3,'Informe Kelly'!F3702,VLOOKUP(D3708,$D$2:$F$4,3,FALSE))-(VLOOKUP(D3708,$D$2:$F$4,3,FALSE))</f>
        <v>#N/A</v>
      </c>
      <c r="G3708" s="137" t="e">
        <f t="shared" si="61"/>
        <v>#N/A</v>
      </c>
    </row>
    <row r="3709" spans="1:7">
      <c r="A3709" s="112" t="e">
        <f>VLOOKUP('Informe Kelly'!A3703,Base!A:B,2,FALSE)</f>
        <v>#N/A</v>
      </c>
      <c r="B3709" s="112" t="e">
        <f>VLOOKUP('Informe Kelly'!A3703,Base!A:G,7,FALSE)</f>
        <v>#N/A</v>
      </c>
      <c r="C3709" s="112">
        <f>'Informe Kelly'!E3703</f>
        <v>0</v>
      </c>
      <c r="D3709" s="112" t="e">
        <f>VLOOKUP(A3709,Ingreso!K:P,6,FALSE)</f>
        <v>#N/A</v>
      </c>
      <c r="E3709" s="142" t="e">
        <f>(VLOOKUP(D3709,$D$2:$E$4,2,FALSE))-(IF('Informe Kelly'!H3703=$A$2,'Informe Kelly'!F3703,VLOOKUP(D3709,$D$2:$E$4,2,FALSE)))</f>
        <v>#N/A</v>
      </c>
      <c r="F3709" s="142" t="e">
        <f>IF('Informe Kelly'!H3703=$A$3,'Informe Kelly'!F3703,VLOOKUP(D3709,$D$2:$F$4,3,FALSE))-(VLOOKUP(D3709,$D$2:$F$4,3,FALSE))</f>
        <v>#N/A</v>
      </c>
      <c r="G3709" s="137" t="e">
        <f t="shared" si="61"/>
        <v>#N/A</v>
      </c>
    </row>
    <row r="3710" spans="1:7">
      <c r="A3710" s="112" t="e">
        <f>VLOOKUP('Informe Kelly'!A3704,Base!A:B,2,FALSE)</f>
        <v>#N/A</v>
      </c>
      <c r="B3710" s="112" t="e">
        <f>VLOOKUP('Informe Kelly'!A3704,Base!A:G,7,FALSE)</f>
        <v>#N/A</v>
      </c>
      <c r="C3710" s="112">
        <f>'Informe Kelly'!E3704</f>
        <v>0</v>
      </c>
      <c r="D3710" s="112" t="e">
        <f>VLOOKUP(A3710,Ingreso!K:P,6,FALSE)</f>
        <v>#N/A</v>
      </c>
      <c r="E3710" s="142" t="e">
        <f>(VLOOKUP(D3710,$D$2:$E$4,2,FALSE))-(IF('Informe Kelly'!H3704=$A$2,'Informe Kelly'!F3704,VLOOKUP(D3710,$D$2:$E$4,2,FALSE)))</f>
        <v>#N/A</v>
      </c>
      <c r="F3710" s="142" t="e">
        <f>IF('Informe Kelly'!H3704=$A$3,'Informe Kelly'!F3704,VLOOKUP(D3710,$D$2:$F$4,3,FALSE))-(VLOOKUP(D3710,$D$2:$F$4,3,FALSE))</f>
        <v>#N/A</v>
      </c>
      <c r="G3710" s="137" t="e">
        <f t="shared" si="61"/>
        <v>#N/A</v>
      </c>
    </row>
    <row r="3711" spans="1:7">
      <c r="A3711" s="112" t="e">
        <f>VLOOKUP('Informe Kelly'!A3705,Base!A:B,2,FALSE)</f>
        <v>#N/A</v>
      </c>
      <c r="B3711" s="112" t="e">
        <f>VLOOKUP('Informe Kelly'!A3705,Base!A:G,7,FALSE)</f>
        <v>#N/A</v>
      </c>
      <c r="C3711" s="112">
        <f>'Informe Kelly'!E3705</f>
        <v>0</v>
      </c>
      <c r="D3711" s="112" t="e">
        <f>VLOOKUP(A3711,Ingreso!K:P,6,FALSE)</f>
        <v>#N/A</v>
      </c>
      <c r="E3711" s="142" t="e">
        <f>(VLOOKUP(D3711,$D$2:$E$4,2,FALSE))-(IF('Informe Kelly'!H3705=$A$2,'Informe Kelly'!F3705,VLOOKUP(D3711,$D$2:$E$4,2,FALSE)))</f>
        <v>#N/A</v>
      </c>
      <c r="F3711" s="142" t="e">
        <f>IF('Informe Kelly'!H3705=$A$3,'Informe Kelly'!F3705,VLOOKUP(D3711,$D$2:$F$4,3,FALSE))-(VLOOKUP(D3711,$D$2:$F$4,3,FALSE))</f>
        <v>#N/A</v>
      </c>
      <c r="G3711" s="137" t="e">
        <f t="shared" si="61"/>
        <v>#N/A</v>
      </c>
    </row>
    <row r="3712" spans="1:7">
      <c r="A3712" s="112" t="e">
        <f>VLOOKUP('Informe Kelly'!A3706,Base!A:B,2,FALSE)</f>
        <v>#N/A</v>
      </c>
      <c r="B3712" s="112" t="e">
        <f>VLOOKUP('Informe Kelly'!A3706,Base!A:G,7,FALSE)</f>
        <v>#N/A</v>
      </c>
      <c r="C3712" s="112">
        <f>'Informe Kelly'!E3706</f>
        <v>0</v>
      </c>
      <c r="D3712" s="112" t="e">
        <f>VLOOKUP(A3712,Ingreso!K:P,6,FALSE)</f>
        <v>#N/A</v>
      </c>
      <c r="E3712" s="142" t="e">
        <f>(VLOOKUP(D3712,$D$2:$E$4,2,FALSE))-(IF('Informe Kelly'!H3706=$A$2,'Informe Kelly'!F3706,VLOOKUP(D3712,$D$2:$E$4,2,FALSE)))</f>
        <v>#N/A</v>
      </c>
      <c r="F3712" s="142" t="e">
        <f>IF('Informe Kelly'!H3706=$A$3,'Informe Kelly'!F3706,VLOOKUP(D3712,$D$2:$F$4,3,FALSE))-(VLOOKUP(D3712,$D$2:$F$4,3,FALSE))</f>
        <v>#N/A</v>
      </c>
      <c r="G3712" s="137" t="e">
        <f t="shared" si="61"/>
        <v>#N/A</v>
      </c>
    </row>
    <row r="3713" spans="1:7">
      <c r="A3713" s="112" t="e">
        <f>VLOOKUP('Informe Kelly'!A3707,Base!A:B,2,FALSE)</f>
        <v>#N/A</v>
      </c>
      <c r="B3713" s="112" t="e">
        <f>VLOOKUP('Informe Kelly'!A3707,Base!A:G,7,FALSE)</f>
        <v>#N/A</v>
      </c>
      <c r="C3713" s="112">
        <f>'Informe Kelly'!E3707</f>
        <v>0</v>
      </c>
      <c r="D3713" s="112" t="e">
        <f>VLOOKUP(A3713,Ingreso!K:P,6,FALSE)</f>
        <v>#N/A</v>
      </c>
      <c r="E3713" s="142" t="e">
        <f>(VLOOKUP(D3713,$D$2:$E$4,2,FALSE))-(IF('Informe Kelly'!H3707=$A$2,'Informe Kelly'!F3707,VLOOKUP(D3713,$D$2:$E$4,2,FALSE)))</f>
        <v>#N/A</v>
      </c>
      <c r="F3713" s="142" t="e">
        <f>IF('Informe Kelly'!H3707=$A$3,'Informe Kelly'!F3707,VLOOKUP(D3713,$D$2:$F$4,3,FALSE))-(VLOOKUP(D3713,$D$2:$F$4,3,FALSE))</f>
        <v>#N/A</v>
      </c>
      <c r="G3713" s="137" t="e">
        <f t="shared" si="61"/>
        <v>#N/A</v>
      </c>
    </row>
    <row r="3714" spans="1:7">
      <c r="A3714" s="112" t="e">
        <f>VLOOKUP('Informe Kelly'!A3708,Base!A:B,2,FALSE)</f>
        <v>#N/A</v>
      </c>
      <c r="B3714" s="112" t="e">
        <f>VLOOKUP('Informe Kelly'!A3708,Base!A:G,7,FALSE)</f>
        <v>#N/A</v>
      </c>
      <c r="C3714" s="112">
        <f>'Informe Kelly'!E3708</f>
        <v>0</v>
      </c>
      <c r="D3714" s="112" t="e">
        <f>VLOOKUP(A3714,Ingreso!K:P,6,FALSE)</f>
        <v>#N/A</v>
      </c>
      <c r="E3714" s="142" t="e">
        <f>(VLOOKUP(D3714,$D$2:$E$4,2,FALSE))-(IF('Informe Kelly'!H3708=$A$2,'Informe Kelly'!F3708,VLOOKUP(D3714,$D$2:$E$4,2,FALSE)))</f>
        <v>#N/A</v>
      </c>
      <c r="F3714" s="142" t="e">
        <f>IF('Informe Kelly'!H3708=$A$3,'Informe Kelly'!F3708,VLOOKUP(D3714,$D$2:$F$4,3,FALSE))-(VLOOKUP(D3714,$D$2:$F$4,3,FALSE))</f>
        <v>#N/A</v>
      </c>
      <c r="G3714" s="137" t="e">
        <f t="shared" si="61"/>
        <v>#N/A</v>
      </c>
    </row>
    <row r="3715" spans="1:7">
      <c r="A3715" s="112" t="e">
        <f>VLOOKUP('Informe Kelly'!A3709,Base!A:B,2,FALSE)</f>
        <v>#N/A</v>
      </c>
      <c r="B3715" s="112" t="e">
        <f>VLOOKUP('Informe Kelly'!A3709,Base!A:G,7,FALSE)</f>
        <v>#N/A</v>
      </c>
      <c r="C3715" s="112">
        <f>'Informe Kelly'!E3709</f>
        <v>0</v>
      </c>
      <c r="D3715" s="112" t="e">
        <f>VLOOKUP(A3715,Ingreso!K:P,6,FALSE)</f>
        <v>#N/A</v>
      </c>
      <c r="E3715" s="142" t="e">
        <f>(VLOOKUP(D3715,$D$2:$E$4,2,FALSE))-(IF('Informe Kelly'!H3709=$A$2,'Informe Kelly'!F3709,VLOOKUP(D3715,$D$2:$E$4,2,FALSE)))</f>
        <v>#N/A</v>
      </c>
      <c r="F3715" s="142" t="e">
        <f>IF('Informe Kelly'!H3709=$A$3,'Informe Kelly'!F3709,VLOOKUP(D3715,$D$2:$F$4,3,FALSE))-(VLOOKUP(D3715,$D$2:$F$4,3,FALSE))</f>
        <v>#N/A</v>
      </c>
      <c r="G3715" s="137" t="e">
        <f t="shared" si="61"/>
        <v>#N/A</v>
      </c>
    </row>
    <row r="3716" spans="1:7">
      <c r="A3716" s="112" t="e">
        <f>VLOOKUP('Informe Kelly'!A3710,Base!A:B,2,FALSE)</f>
        <v>#N/A</v>
      </c>
      <c r="B3716" s="112" t="e">
        <f>VLOOKUP('Informe Kelly'!A3710,Base!A:G,7,FALSE)</f>
        <v>#N/A</v>
      </c>
      <c r="C3716" s="112">
        <f>'Informe Kelly'!E3710</f>
        <v>0</v>
      </c>
      <c r="D3716" s="112" t="e">
        <f>VLOOKUP(A3716,Ingreso!K:P,6,FALSE)</f>
        <v>#N/A</v>
      </c>
      <c r="E3716" s="142" t="e">
        <f>(VLOOKUP(D3716,$D$2:$E$4,2,FALSE))-(IF('Informe Kelly'!H3710=$A$2,'Informe Kelly'!F3710,VLOOKUP(D3716,$D$2:$E$4,2,FALSE)))</f>
        <v>#N/A</v>
      </c>
      <c r="F3716" s="142" t="e">
        <f>IF('Informe Kelly'!H3710=$A$3,'Informe Kelly'!F3710,VLOOKUP(D3716,$D$2:$F$4,3,FALSE))-(VLOOKUP(D3716,$D$2:$F$4,3,FALSE))</f>
        <v>#N/A</v>
      </c>
      <c r="G3716" s="137" t="e">
        <f t="shared" si="61"/>
        <v>#N/A</v>
      </c>
    </row>
    <row r="3717" spans="1:7">
      <c r="A3717" s="112" t="e">
        <f>VLOOKUP('Informe Kelly'!A3711,Base!A:B,2,FALSE)</f>
        <v>#N/A</v>
      </c>
      <c r="B3717" s="112" t="e">
        <f>VLOOKUP('Informe Kelly'!A3711,Base!A:G,7,FALSE)</f>
        <v>#N/A</v>
      </c>
      <c r="C3717" s="112">
        <f>'Informe Kelly'!E3711</f>
        <v>0</v>
      </c>
      <c r="D3717" s="112" t="e">
        <f>VLOOKUP(A3717,Ingreso!K:P,6,FALSE)</f>
        <v>#N/A</v>
      </c>
      <c r="E3717" s="142" t="e">
        <f>(VLOOKUP(D3717,$D$2:$E$4,2,FALSE))-(IF('Informe Kelly'!H3711=$A$2,'Informe Kelly'!F3711,VLOOKUP(D3717,$D$2:$E$4,2,FALSE)))</f>
        <v>#N/A</v>
      </c>
      <c r="F3717" s="142" t="e">
        <f>IF('Informe Kelly'!H3711=$A$3,'Informe Kelly'!F3711,VLOOKUP(D3717,$D$2:$F$4,3,FALSE))-(VLOOKUP(D3717,$D$2:$F$4,3,FALSE))</f>
        <v>#N/A</v>
      </c>
      <c r="G3717" s="137" t="e">
        <f t="shared" si="61"/>
        <v>#N/A</v>
      </c>
    </row>
    <row r="3718" spans="1:7">
      <c r="A3718" s="112" t="e">
        <f>VLOOKUP('Informe Kelly'!A3712,Base!A:B,2,FALSE)</f>
        <v>#N/A</v>
      </c>
      <c r="B3718" s="112" t="e">
        <f>VLOOKUP('Informe Kelly'!A3712,Base!A:G,7,FALSE)</f>
        <v>#N/A</v>
      </c>
      <c r="C3718" s="112">
        <f>'Informe Kelly'!E3712</f>
        <v>0</v>
      </c>
      <c r="D3718" s="112" t="e">
        <f>VLOOKUP(A3718,Ingreso!K:P,6,FALSE)</f>
        <v>#N/A</v>
      </c>
      <c r="E3718" s="142" t="e">
        <f>(VLOOKUP(D3718,$D$2:$E$4,2,FALSE))-(IF('Informe Kelly'!H3712=$A$2,'Informe Kelly'!F3712,VLOOKUP(D3718,$D$2:$E$4,2,FALSE)))</f>
        <v>#N/A</v>
      </c>
      <c r="F3718" s="142" t="e">
        <f>IF('Informe Kelly'!H3712=$A$3,'Informe Kelly'!F3712,VLOOKUP(D3718,$D$2:$F$4,3,FALSE))-(VLOOKUP(D3718,$D$2:$F$4,3,FALSE))</f>
        <v>#N/A</v>
      </c>
      <c r="G3718" s="137" t="e">
        <f t="shared" si="61"/>
        <v>#N/A</v>
      </c>
    </row>
    <row r="3719" spans="1:7">
      <c r="A3719" s="112" t="e">
        <f>VLOOKUP('Informe Kelly'!A3713,Base!A:B,2,FALSE)</f>
        <v>#N/A</v>
      </c>
      <c r="B3719" s="112" t="e">
        <f>VLOOKUP('Informe Kelly'!A3713,Base!A:G,7,FALSE)</f>
        <v>#N/A</v>
      </c>
      <c r="C3719" s="112">
        <f>'Informe Kelly'!E3713</f>
        <v>0</v>
      </c>
      <c r="D3719" s="112" t="e">
        <f>VLOOKUP(A3719,Ingreso!K:P,6,FALSE)</f>
        <v>#N/A</v>
      </c>
      <c r="E3719" s="142" t="e">
        <f>(VLOOKUP(D3719,$D$2:$E$4,2,FALSE))-(IF('Informe Kelly'!H3713=$A$2,'Informe Kelly'!F3713,VLOOKUP(D3719,$D$2:$E$4,2,FALSE)))</f>
        <v>#N/A</v>
      </c>
      <c r="F3719" s="142" t="e">
        <f>IF('Informe Kelly'!H3713=$A$3,'Informe Kelly'!F3713,VLOOKUP(D3719,$D$2:$F$4,3,FALSE))-(VLOOKUP(D3719,$D$2:$F$4,3,FALSE))</f>
        <v>#N/A</v>
      </c>
      <c r="G3719" s="137" t="e">
        <f t="shared" si="61"/>
        <v>#N/A</v>
      </c>
    </row>
    <row r="3720" spans="1:7">
      <c r="A3720" s="112" t="e">
        <f>VLOOKUP('Informe Kelly'!A3714,Base!A:B,2,FALSE)</f>
        <v>#N/A</v>
      </c>
      <c r="B3720" s="112" t="e">
        <f>VLOOKUP('Informe Kelly'!A3714,Base!A:G,7,FALSE)</f>
        <v>#N/A</v>
      </c>
      <c r="C3720" s="112">
        <f>'Informe Kelly'!E3714</f>
        <v>0</v>
      </c>
      <c r="D3720" s="112" t="e">
        <f>VLOOKUP(A3720,Ingreso!K:P,6,FALSE)</f>
        <v>#N/A</v>
      </c>
      <c r="E3720" s="142" t="e">
        <f>(VLOOKUP(D3720,$D$2:$E$4,2,FALSE))-(IF('Informe Kelly'!H3714=$A$2,'Informe Kelly'!F3714,VLOOKUP(D3720,$D$2:$E$4,2,FALSE)))</f>
        <v>#N/A</v>
      </c>
      <c r="F3720" s="142" t="e">
        <f>IF('Informe Kelly'!H3714=$A$3,'Informe Kelly'!F3714,VLOOKUP(D3720,$D$2:$F$4,3,FALSE))-(VLOOKUP(D3720,$D$2:$F$4,3,FALSE))</f>
        <v>#N/A</v>
      </c>
      <c r="G3720" s="137" t="e">
        <f t="shared" si="61"/>
        <v>#N/A</v>
      </c>
    </row>
    <row r="3721" spans="1:7">
      <c r="A3721" s="112" t="e">
        <f>VLOOKUP('Informe Kelly'!A3715,Base!A:B,2,FALSE)</f>
        <v>#N/A</v>
      </c>
      <c r="B3721" s="112" t="e">
        <f>VLOOKUP('Informe Kelly'!A3715,Base!A:G,7,FALSE)</f>
        <v>#N/A</v>
      </c>
      <c r="C3721" s="112">
        <f>'Informe Kelly'!E3715</f>
        <v>0</v>
      </c>
      <c r="D3721" s="112" t="e">
        <f>VLOOKUP(A3721,Ingreso!K:P,6,FALSE)</f>
        <v>#N/A</v>
      </c>
      <c r="E3721" s="142" t="e">
        <f>(VLOOKUP(D3721,$D$2:$E$4,2,FALSE))-(IF('Informe Kelly'!H3715=$A$2,'Informe Kelly'!F3715,VLOOKUP(D3721,$D$2:$E$4,2,FALSE)))</f>
        <v>#N/A</v>
      </c>
      <c r="F3721" s="142" t="e">
        <f>IF('Informe Kelly'!H3715=$A$3,'Informe Kelly'!F3715,VLOOKUP(D3721,$D$2:$F$4,3,FALSE))-(VLOOKUP(D3721,$D$2:$F$4,3,FALSE))</f>
        <v>#N/A</v>
      </c>
      <c r="G3721" s="137" t="e">
        <f t="shared" ref="G3721:G3784" si="62">IF(E3721="",IF(F3721&lt;0.0409722222222222,0,E3721),IF(E3721&lt;0.0409722222222222,0,E3721))</f>
        <v>#N/A</v>
      </c>
    </row>
    <row r="3722" spans="1:7">
      <c r="A3722" s="112" t="e">
        <f>VLOOKUP('Informe Kelly'!A3716,Base!A:B,2,FALSE)</f>
        <v>#N/A</v>
      </c>
      <c r="B3722" s="112" t="e">
        <f>VLOOKUP('Informe Kelly'!A3716,Base!A:G,7,FALSE)</f>
        <v>#N/A</v>
      </c>
      <c r="C3722" s="112">
        <f>'Informe Kelly'!E3716</f>
        <v>0</v>
      </c>
      <c r="D3722" s="112" t="e">
        <f>VLOOKUP(A3722,Ingreso!K:P,6,FALSE)</f>
        <v>#N/A</v>
      </c>
      <c r="E3722" s="142" t="e">
        <f>(VLOOKUP(D3722,$D$2:$E$4,2,FALSE))-(IF('Informe Kelly'!H3716=$A$2,'Informe Kelly'!F3716,VLOOKUP(D3722,$D$2:$E$4,2,FALSE)))</f>
        <v>#N/A</v>
      </c>
      <c r="F3722" s="142" t="e">
        <f>IF('Informe Kelly'!H3716=$A$3,'Informe Kelly'!F3716,VLOOKUP(D3722,$D$2:$F$4,3,FALSE))-(VLOOKUP(D3722,$D$2:$F$4,3,FALSE))</f>
        <v>#N/A</v>
      </c>
      <c r="G3722" s="137" t="e">
        <f t="shared" si="62"/>
        <v>#N/A</v>
      </c>
    </row>
    <row r="3723" spans="1:7">
      <c r="A3723" s="112" t="e">
        <f>VLOOKUP('Informe Kelly'!A3717,Base!A:B,2,FALSE)</f>
        <v>#N/A</v>
      </c>
      <c r="B3723" s="112" t="e">
        <f>VLOOKUP('Informe Kelly'!A3717,Base!A:G,7,FALSE)</f>
        <v>#N/A</v>
      </c>
      <c r="C3723" s="112">
        <f>'Informe Kelly'!E3717</f>
        <v>0</v>
      </c>
      <c r="D3723" s="112" t="e">
        <f>VLOOKUP(A3723,Ingreso!K:P,6,FALSE)</f>
        <v>#N/A</v>
      </c>
      <c r="E3723" s="142" t="e">
        <f>(VLOOKUP(D3723,$D$2:$E$4,2,FALSE))-(IF('Informe Kelly'!H3717=$A$2,'Informe Kelly'!F3717,VLOOKUP(D3723,$D$2:$E$4,2,FALSE)))</f>
        <v>#N/A</v>
      </c>
      <c r="F3723" s="142" t="e">
        <f>IF('Informe Kelly'!H3717=$A$3,'Informe Kelly'!F3717,VLOOKUP(D3723,$D$2:$F$4,3,FALSE))-(VLOOKUP(D3723,$D$2:$F$4,3,FALSE))</f>
        <v>#N/A</v>
      </c>
      <c r="G3723" s="137" t="e">
        <f t="shared" si="62"/>
        <v>#N/A</v>
      </c>
    </row>
    <row r="3724" spans="1:7">
      <c r="A3724" s="112" t="e">
        <f>VLOOKUP('Informe Kelly'!A3718,Base!A:B,2,FALSE)</f>
        <v>#N/A</v>
      </c>
      <c r="B3724" s="112" t="e">
        <f>VLOOKUP('Informe Kelly'!A3718,Base!A:G,7,FALSE)</f>
        <v>#N/A</v>
      </c>
      <c r="C3724" s="112">
        <f>'Informe Kelly'!E3718</f>
        <v>0</v>
      </c>
      <c r="D3724" s="112" t="e">
        <f>VLOOKUP(A3724,Ingreso!K:P,6,FALSE)</f>
        <v>#N/A</v>
      </c>
      <c r="E3724" s="142" t="e">
        <f>(VLOOKUP(D3724,$D$2:$E$4,2,FALSE))-(IF('Informe Kelly'!H3718=$A$2,'Informe Kelly'!F3718,VLOOKUP(D3724,$D$2:$E$4,2,FALSE)))</f>
        <v>#N/A</v>
      </c>
      <c r="F3724" s="142" t="e">
        <f>IF('Informe Kelly'!H3718=$A$3,'Informe Kelly'!F3718,VLOOKUP(D3724,$D$2:$F$4,3,FALSE))-(VLOOKUP(D3724,$D$2:$F$4,3,FALSE))</f>
        <v>#N/A</v>
      </c>
      <c r="G3724" s="137" t="e">
        <f t="shared" si="62"/>
        <v>#N/A</v>
      </c>
    </row>
    <row r="3725" spans="1:7">
      <c r="A3725" s="112" t="e">
        <f>VLOOKUP('Informe Kelly'!A3719,Base!A:B,2,FALSE)</f>
        <v>#N/A</v>
      </c>
      <c r="B3725" s="112" t="e">
        <f>VLOOKUP('Informe Kelly'!A3719,Base!A:G,7,FALSE)</f>
        <v>#N/A</v>
      </c>
      <c r="C3725" s="112">
        <f>'Informe Kelly'!E3719</f>
        <v>0</v>
      </c>
      <c r="D3725" s="112" t="e">
        <f>VLOOKUP(A3725,Ingreso!K:P,6,FALSE)</f>
        <v>#N/A</v>
      </c>
      <c r="E3725" s="142" t="e">
        <f>(VLOOKUP(D3725,$D$2:$E$4,2,FALSE))-(IF('Informe Kelly'!H3719=$A$2,'Informe Kelly'!F3719,VLOOKUP(D3725,$D$2:$E$4,2,FALSE)))</f>
        <v>#N/A</v>
      </c>
      <c r="F3725" s="142" t="e">
        <f>IF('Informe Kelly'!H3719=$A$3,'Informe Kelly'!F3719,VLOOKUP(D3725,$D$2:$F$4,3,FALSE))-(VLOOKUP(D3725,$D$2:$F$4,3,FALSE))</f>
        <v>#N/A</v>
      </c>
      <c r="G3725" s="137" t="e">
        <f t="shared" si="62"/>
        <v>#N/A</v>
      </c>
    </row>
    <row r="3726" spans="1:7">
      <c r="A3726" s="112" t="e">
        <f>VLOOKUP('Informe Kelly'!A3720,Base!A:B,2,FALSE)</f>
        <v>#N/A</v>
      </c>
      <c r="B3726" s="112" t="e">
        <f>VLOOKUP('Informe Kelly'!A3720,Base!A:G,7,FALSE)</f>
        <v>#N/A</v>
      </c>
      <c r="C3726" s="112">
        <f>'Informe Kelly'!E3720</f>
        <v>0</v>
      </c>
      <c r="D3726" s="112" t="e">
        <f>VLOOKUP(A3726,Ingreso!K:P,6,FALSE)</f>
        <v>#N/A</v>
      </c>
      <c r="E3726" s="142" t="e">
        <f>(VLOOKUP(D3726,$D$2:$E$4,2,FALSE))-(IF('Informe Kelly'!H3720=$A$2,'Informe Kelly'!F3720,VLOOKUP(D3726,$D$2:$E$4,2,FALSE)))</f>
        <v>#N/A</v>
      </c>
      <c r="F3726" s="142" t="e">
        <f>IF('Informe Kelly'!H3720=$A$3,'Informe Kelly'!F3720,VLOOKUP(D3726,$D$2:$F$4,3,FALSE))-(VLOOKUP(D3726,$D$2:$F$4,3,FALSE))</f>
        <v>#N/A</v>
      </c>
      <c r="G3726" s="137" t="e">
        <f t="shared" si="62"/>
        <v>#N/A</v>
      </c>
    </row>
    <row r="3727" spans="1:7">
      <c r="A3727" s="112" t="e">
        <f>VLOOKUP('Informe Kelly'!A3721,Base!A:B,2,FALSE)</f>
        <v>#N/A</v>
      </c>
      <c r="B3727" s="112" t="e">
        <f>VLOOKUP('Informe Kelly'!A3721,Base!A:G,7,FALSE)</f>
        <v>#N/A</v>
      </c>
      <c r="C3727" s="112">
        <f>'Informe Kelly'!E3721</f>
        <v>0</v>
      </c>
      <c r="D3727" s="112" t="e">
        <f>VLOOKUP(A3727,Ingreso!K:P,6,FALSE)</f>
        <v>#N/A</v>
      </c>
      <c r="E3727" s="142" t="e">
        <f>(VLOOKUP(D3727,$D$2:$E$4,2,FALSE))-(IF('Informe Kelly'!H3721=$A$2,'Informe Kelly'!F3721,VLOOKUP(D3727,$D$2:$E$4,2,FALSE)))</f>
        <v>#N/A</v>
      </c>
      <c r="F3727" s="142" t="e">
        <f>IF('Informe Kelly'!H3721=$A$3,'Informe Kelly'!F3721,VLOOKUP(D3727,$D$2:$F$4,3,FALSE))-(VLOOKUP(D3727,$D$2:$F$4,3,FALSE))</f>
        <v>#N/A</v>
      </c>
      <c r="G3727" s="137" t="e">
        <f t="shared" si="62"/>
        <v>#N/A</v>
      </c>
    </row>
    <row r="3728" spans="1:7">
      <c r="A3728" s="112" t="e">
        <f>VLOOKUP('Informe Kelly'!A3722,Base!A:B,2,FALSE)</f>
        <v>#N/A</v>
      </c>
      <c r="B3728" s="112" t="e">
        <f>VLOOKUP('Informe Kelly'!A3722,Base!A:G,7,FALSE)</f>
        <v>#N/A</v>
      </c>
      <c r="C3728" s="112">
        <f>'Informe Kelly'!E3722</f>
        <v>0</v>
      </c>
      <c r="D3728" s="112" t="e">
        <f>VLOOKUP(A3728,Ingreso!K:P,6,FALSE)</f>
        <v>#N/A</v>
      </c>
      <c r="E3728" s="142" t="e">
        <f>(VLOOKUP(D3728,$D$2:$E$4,2,FALSE))-(IF('Informe Kelly'!H3722=$A$2,'Informe Kelly'!F3722,VLOOKUP(D3728,$D$2:$E$4,2,FALSE)))</f>
        <v>#N/A</v>
      </c>
      <c r="F3728" s="142" t="e">
        <f>IF('Informe Kelly'!H3722=$A$3,'Informe Kelly'!F3722,VLOOKUP(D3728,$D$2:$F$4,3,FALSE))-(VLOOKUP(D3728,$D$2:$F$4,3,FALSE))</f>
        <v>#N/A</v>
      </c>
      <c r="G3728" s="137" t="e">
        <f t="shared" si="62"/>
        <v>#N/A</v>
      </c>
    </row>
    <row r="3729" spans="1:7">
      <c r="A3729" s="112" t="e">
        <f>VLOOKUP('Informe Kelly'!A3723,Base!A:B,2,FALSE)</f>
        <v>#N/A</v>
      </c>
      <c r="B3729" s="112" t="e">
        <f>VLOOKUP('Informe Kelly'!A3723,Base!A:G,7,FALSE)</f>
        <v>#N/A</v>
      </c>
      <c r="C3729" s="112">
        <f>'Informe Kelly'!E3723</f>
        <v>0</v>
      </c>
      <c r="D3729" s="112" t="e">
        <f>VLOOKUP(A3729,Ingreso!K:P,6,FALSE)</f>
        <v>#N/A</v>
      </c>
      <c r="E3729" s="142" t="e">
        <f>(VLOOKUP(D3729,$D$2:$E$4,2,FALSE))-(IF('Informe Kelly'!H3723=$A$2,'Informe Kelly'!F3723,VLOOKUP(D3729,$D$2:$E$4,2,FALSE)))</f>
        <v>#N/A</v>
      </c>
      <c r="F3729" s="142" t="e">
        <f>IF('Informe Kelly'!H3723=$A$3,'Informe Kelly'!F3723,VLOOKUP(D3729,$D$2:$F$4,3,FALSE))-(VLOOKUP(D3729,$D$2:$F$4,3,FALSE))</f>
        <v>#N/A</v>
      </c>
      <c r="G3729" s="137" t="e">
        <f t="shared" si="62"/>
        <v>#N/A</v>
      </c>
    </row>
    <row r="3730" spans="1:7">
      <c r="A3730" s="112" t="e">
        <f>VLOOKUP('Informe Kelly'!A3724,Base!A:B,2,FALSE)</f>
        <v>#N/A</v>
      </c>
      <c r="B3730" s="112" t="e">
        <f>VLOOKUP('Informe Kelly'!A3724,Base!A:G,7,FALSE)</f>
        <v>#N/A</v>
      </c>
      <c r="C3730" s="112">
        <f>'Informe Kelly'!E3724</f>
        <v>0</v>
      </c>
      <c r="D3730" s="112" t="e">
        <f>VLOOKUP(A3730,Ingreso!K:P,6,FALSE)</f>
        <v>#N/A</v>
      </c>
      <c r="E3730" s="142" t="e">
        <f>(VLOOKUP(D3730,$D$2:$E$4,2,FALSE))-(IF('Informe Kelly'!H3724=$A$2,'Informe Kelly'!F3724,VLOOKUP(D3730,$D$2:$E$4,2,FALSE)))</f>
        <v>#N/A</v>
      </c>
      <c r="F3730" s="142" t="e">
        <f>IF('Informe Kelly'!H3724=$A$3,'Informe Kelly'!F3724,VLOOKUP(D3730,$D$2:$F$4,3,FALSE))-(VLOOKUP(D3730,$D$2:$F$4,3,FALSE))</f>
        <v>#N/A</v>
      </c>
      <c r="G3730" s="137" t="e">
        <f t="shared" si="62"/>
        <v>#N/A</v>
      </c>
    </row>
    <row r="3731" spans="1:7">
      <c r="A3731" s="112" t="e">
        <f>VLOOKUP('Informe Kelly'!A3725,Base!A:B,2,FALSE)</f>
        <v>#N/A</v>
      </c>
      <c r="B3731" s="112" t="e">
        <f>VLOOKUP('Informe Kelly'!A3725,Base!A:G,7,FALSE)</f>
        <v>#N/A</v>
      </c>
      <c r="C3731" s="112">
        <f>'Informe Kelly'!E3725</f>
        <v>0</v>
      </c>
      <c r="D3731" s="112" t="e">
        <f>VLOOKUP(A3731,Ingreso!K:P,6,FALSE)</f>
        <v>#N/A</v>
      </c>
      <c r="E3731" s="142" t="e">
        <f>(VLOOKUP(D3731,$D$2:$E$4,2,FALSE))-(IF('Informe Kelly'!H3725=$A$2,'Informe Kelly'!F3725,VLOOKUP(D3731,$D$2:$E$4,2,FALSE)))</f>
        <v>#N/A</v>
      </c>
      <c r="F3731" s="142" t="e">
        <f>IF('Informe Kelly'!H3725=$A$3,'Informe Kelly'!F3725,VLOOKUP(D3731,$D$2:$F$4,3,FALSE))-(VLOOKUP(D3731,$D$2:$F$4,3,FALSE))</f>
        <v>#N/A</v>
      </c>
      <c r="G3731" s="137" t="e">
        <f t="shared" si="62"/>
        <v>#N/A</v>
      </c>
    </row>
    <row r="3732" spans="1:7">
      <c r="A3732" s="112" t="e">
        <f>VLOOKUP('Informe Kelly'!A3726,Base!A:B,2,FALSE)</f>
        <v>#N/A</v>
      </c>
      <c r="B3732" s="112" t="e">
        <f>VLOOKUP('Informe Kelly'!A3726,Base!A:G,7,FALSE)</f>
        <v>#N/A</v>
      </c>
      <c r="C3732" s="112">
        <f>'Informe Kelly'!E3726</f>
        <v>0</v>
      </c>
      <c r="D3732" s="112" t="e">
        <f>VLOOKUP(A3732,Ingreso!K:P,6,FALSE)</f>
        <v>#N/A</v>
      </c>
      <c r="E3732" s="142" t="e">
        <f>(VLOOKUP(D3732,$D$2:$E$4,2,FALSE))-(IF('Informe Kelly'!H3726=$A$2,'Informe Kelly'!F3726,VLOOKUP(D3732,$D$2:$E$4,2,FALSE)))</f>
        <v>#N/A</v>
      </c>
      <c r="F3732" s="142" t="e">
        <f>IF('Informe Kelly'!H3726=$A$3,'Informe Kelly'!F3726,VLOOKUP(D3732,$D$2:$F$4,3,FALSE))-(VLOOKUP(D3732,$D$2:$F$4,3,FALSE))</f>
        <v>#N/A</v>
      </c>
      <c r="G3732" s="137" t="e">
        <f t="shared" si="62"/>
        <v>#N/A</v>
      </c>
    </row>
    <row r="3733" spans="1:7">
      <c r="A3733" s="112" t="e">
        <f>VLOOKUP('Informe Kelly'!A3727,Base!A:B,2,FALSE)</f>
        <v>#N/A</v>
      </c>
      <c r="B3733" s="112" t="e">
        <f>VLOOKUP('Informe Kelly'!A3727,Base!A:G,7,FALSE)</f>
        <v>#N/A</v>
      </c>
      <c r="C3733" s="112">
        <f>'Informe Kelly'!E3727</f>
        <v>0</v>
      </c>
      <c r="D3733" s="112" t="e">
        <f>VLOOKUP(A3733,Ingreso!K:P,6,FALSE)</f>
        <v>#N/A</v>
      </c>
      <c r="E3733" s="142" t="e">
        <f>(VLOOKUP(D3733,$D$2:$E$4,2,FALSE))-(IF('Informe Kelly'!H3727=$A$2,'Informe Kelly'!F3727,VLOOKUP(D3733,$D$2:$E$4,2,FALSE)))</f>
        <v>#N/A</v>
      </c>
      <c r="F3733" s="142" t="e">
        <f>IF('Informe Kelly'!H3727=$A$3,'Informe Kelly'!F3727,VLOOKUP(D3733,$D$2:$F$4,3,FALSE))-(VLOOKUP(D3733,$D$2:$F$4,3,FALSE))</f>
        <v>#N/A</v>
      </c>
      <c r="G3733" s="137" t="e">
        <f t="shared" si="62"/>
        <v>#N/A</v>
      </c>
    </row>
    <row r="3734" spans="1:7">
      <c r="A3734" s="112" t="e">
        <f>VLOOKUP('Informe Kelly'!A3728,Base!A:B,2,FALSE)</f>
        <v>#N/A</v>
      </c>
      <c r="B3734" s="112" t="e">
        <f>VLOOKUP('Informe Kelly'!A3728,Base!A:G,7,FALSE)</f>
        <v>#N/A</v>
      </c>
      <c r="C3734" s="112">
        <f>'Informe Kelly'!E3728</f>
        <v>0</v>
      </c>
      <c r="D3734" s="112" t="e">
        <f>VLOOKUP(A3734,Ingreso!K:P,6,FALSE)</f>
        <v>#N/A</v>
      </c>
      <c r="E3734" s="142" t="e">
        <f>(VLOOKUP(D3734,$D$2:$E$4,2,FALSE))-(IF('Informe Kelly'!H3728=$A$2,'Informe Kelly'!F3728,VLOOKUP(D3734,$D$2:$E$4,2,FALSE)))</f>
        <v>#N/A</v>
      </c>
      <c r="F3734" s="142" t="e">
        <f>IF('Informe Kelly'!H3728=$A$3,'Informe Kelly'!F3728,VLOOKUP(D3734,$D$2:$F$4,3,FALSE))-(VLOOKUP(D3734,$D$2:$F$4,3,FALSE))</f>
        <v>#N/A</v>
      </c>
      <c r="G3734" s="137" t="e">
        <f t="shared" si="62"/>
        <v>#N/A</v>
      </c>
    </row>
    <row r="3735" spans="1:7">
      <c r="A3735" s="112" t="e">
        <f>VLOOKUP('Informe Kelly'!A3729,Base!A:B,2,FALSE)</f>
        <v>#N/A</v>
      </c>
      <c r="B3735" s="112" t="e">
        <f>VLOOKUP('Informe Kelly'!A3729,Base!A:G,7,FALSE)</f>
        <v>#N/A</v>
      </c>
      <c r="C3735" s="112">
        <f>'Informe Kelly'!E3729</f>
        <v>0</v>
      </c>
      <c r="D3735" s="112" t="e">
        <f>VLOOKUP(A3735,Ingreso!K:P,6,FALSE)</f>
        <v>#N/A</v>
      </c>
      <c r="E3735" s="142" t="e">
        <f>(VLOOKUP(D3735,$D$2:$E$4,2,FALSE))-(IF('Informe Kelly'!H3729=$A$2,'Informe Kelly'!F3729,VLOOKUP(D3735,$D$2:$E$4,2,FALSE)))</f>
        <v>#N/A</v>
      </c>
      <c r="F3735" s="142" t="e">
        <f>IF('Informe Kelly'!H3729=$A$3,'Informe Kelly'!F3729,VLOOKUP(D3735,$D$2:$F$4,3,FALSE))-(VLOOKUP(D3735,$D$2:$F$4,3,FALSE))</f>
        <v>#N/A</v>
      </c>
      <c r="G3735" s="137" t="e">
        <f t="shared" si="62"/>
        <v>#N/A</v>
      </c>
    </row>
    <row r="3736" spans="1:7">
      <c r="A3736" s="112" t="e">
        <f>VLOOKUP('Informe Kelly'!A3730,Base!A:B,2,FALSE)</f>
        <v>#N/A</v>
      </c>
      <c r="B3736" s="112" t="e">
        <f>VLOOKUP('Informe Kelly'!A3730,Base!A:G,7,FALSE)</f>
        <v>#N/A</v>
      </c>
      <c r="C3736" s="112">
        <f>'Informe Kelly'!E3730</f>
        <v>0</v>
      </c>
      <c r="D3736" s="112" t="e">
        <f>VLOOKUP(A3736,Ingreso!K:P,6,FALSE)</f>
        <v>#N/A</v>
      </c>
      <c r="E3736" s="142" t="e">
        <f>(VLOOKUP(D3736,$D$2:$E$4,2,FALSE))-(IF('Informe Kelly'!H3730=$A$2,'Informe Kelly'!F3730,VLOOKUP(D3736,$D$2:$E$4,2,FALSE)))</f>
        <v>#N/A</v>
      </c>
      <c r="F3736" s="142" t="e">
        <f>IF('Informe Kelly'!H3730=$A$3,'Informe Kelly'!F3730,VLOOKUP(D3736,$D$2:$F$4,3,FALSE))-(VLOOKUP(D3736,$D$2:$F$4,3,FALSE))</f>
        <v>#N/A</v>
      </c>
      <c r="G3736" s="137" t="e">
        <f t="shared" si="62"/>
        <v>#N/A</v>
      </c>
    </row>
    <row r="3737" spans="1:7">
      <c r="A3737" s="112" t="e">
        <f>VLOOKUP('Informe Kelly'!A3731,Base!A:B,2,FALSE)</f>
        <v>#N/A</v>
      </c>
      <c r="B3737" s="112" t="e">
        <f>VLOOKUP('Informe Kelly'!A3731,Base!A:G,7,FALSE)</f>
        <v>#N/A</v>
      </c>
      <c r="C3737" s="112">
        <f>'Informe Kelly'!E3731</f>
        <v>0</v>
      </c>
      <c r="D3737" s="112" t="e">
        <f>VLOOKUP(A3737,Ingreso!K:P,6,FALSE)</f>
        <v>#N/A</v>
      </c>
      <c r="E3737" s="142" t="e">
        <f>(VLOOKUP(D3737,$D$2:$E$4,2,FALSE))-(IF('Informe Kelly'!H3731=$A$2,'Informe Kelly'!F3731,VLOOKUP(D3737,$D$2:$E$4,2,FALSE)))</f>
        <v>#N/A</v>
      </c>
      <c r="F3737" s="142" t="e">
        <f>IF('Informe Kelly'!H3731=$A$3,'Informe Kelly'!F3731,VLOOKUP(D3737,$D$2:$F$4,3,FALSE))-(VLOOKUP(D3737,$D$2:$F$4,3,FALSE))</f>
        <v>#N/A</v>
      </c>
      <c r="G3737" s="137" t="e">
        <f t="shared" si="62"/>
        <v>#N/A</v>
      </c>
    </row>
    <row r="3738" spans="1:7">
      <c r="A3738" s="112" t="e">
        <f>VLOOKUP('Informe Kelly'!A3732,Base!A:B,2,FALSE)</f>
        <v>#N/A</v>
      </c>
      <c r="B3738" s="112" t="e">
        <f>VLOOKUP('Informe Kelly'!A3732,Base!A:G,7,FALSE)</f>
        <v>#N/A</v>
      </c>
      <c r="C3738" s="112">
        <f>'Informe Kelly'!E3732</f>
        <v>0</v>
      </c>
      <c r="D3738" s="112" t="e">
        <f>VLOOKUP(A3738,Ingreso!K:P,6,FALSE)</f>
        <v>#N/A</v>
      </c>
      <c r="E3738" s="142" t="e">
        <f>(VLOOKUP(D3738,$D$2:$E$4,2,FALSE))-(IF('Informe Kelly'!H3732=$A$2,'Informe Kelly'!F3732,VLOOKUP(D3738,$D$2:$E$4,2,FALSE)))</f>
        <v>#N/A</v>
      </c>
      <c r="F3738" s="142" t="e">
        <f>IF('Informe Kelly'!H3732=$A$3,'Informe Kelly'!F3732,VLOOKUP(D3738,$D$2:$F$4,3,FALSE))-(VLOOKUP(D3738,$D$2:$F$4,3,FALSE))</f>
        <v>#N/A</v>
      </c>
      <c r="G3738" s="137" t="e">
        <f t="shared" si="62"/>
        <v>#N/A</v>
      </c>
    </row>
    <row r="3739" spans="1:7">
      <c r="A3739" s="112" t="e">
        <f>VLOOKUP('Informe Kelly'!A3733,Base!A:B,2,FALSE)</f>
        <v>#N/A</v>
      </c>
      <c r="B3739" s="112" t="e">
        <f>VLOOKUP('Informe Kelly'!A3733,Base!A:G,7,FALSE)</f>
        <v>#N/A</v>
      </c>
      <c r="C3739" s="112">
        <f>'Informe Kelly'!E3733</f>
        <v>0</v>
      </c>
      <c r="D3739" s="112" t="e">
        <f>VLOOKUP(A3739,Ingreso!K:P,6,FALSE)</f>
        <v>#N/A</v>
      </c>
      <c r="E3739" s="142" t="e">
        <f>(VLOOKUP(D3739,$D$2:$E$4,2,FALSE))-(IF('Informe Kelly'!H3733=$A$2,'Informe Kelly'!F3733,VLOOKUP(D3739,$D$2:$E$4,2,FALSE)))</f>
        <v>#N/A</v>
      </c>
      <c r="F3739" s="142" t="e">
        <f>IF('Informe Kelly'!H3733=$A$3,'Informe Kelly'!F3733,VLOOKUP(D3739,$D$2:$F$4,3,FALSE))-(VLOOKUP(D3739,$D$2:$F$4,3,FALSE))</f>
        <v>#N/A</v>
      </c>
      <c r="G3739" s="137" t="e">
        <f t="shared" si="62"/>
        <v>#N/A</v>
      </c>
    </row>
    <row r="3740" spans="1:7">
      <c r="A3740" s="112" t="e">
        <f>VLOOKUP('Informe Kelly'!A3734,Base!A:B,2,FALSE)</f>
        <v>#N/A</v>
      </c>
      <c r="B3740" s="112" t="e">
        <f>VLOOKUP('Informe Kelly'!A3734,Base!A:G,7,FALSE)</f>
        <v>#N/A</v>
      </c>
      <c r="C3740" s="112">
        <f>'Informe Kelly'!E3734</f>
        <v>0</v>
      </c>
      <c r="D3740" s="112" t="e">
        <f>VLOOKUP(A3740,Ingreso!K:P,6,FALSE)</f>
        <v>#N/A</v>
      </c>
      <c r="E3740" s="142" t="e">
        <f>(VLOOKUP(D3740,$D$2:$E$4,2,FALSE))-(IF('Informe Kelly'!H3734=$A$2,'Informe Kelly'!F3734,VLOOKUP(D3740,$D$2:$E$4,2,FALSE)))</f>
        <v>#N/A</v>
      </c>
      <c r="F3740" s="142" t="e">
        <f>IF('Informe Kelly'!H3734=$A$3,'Informe Kelly'!F3734,VLOOKUP(D3740,$D$2:$F$4,3,FALSE))-(VLOOKUP(D3740,$D$2:$F$4,3,FALSE))</f>
        <v>#N/A</v>
      </c>
      <c r="G3740" s="137" t="e">
        <f t="shared" si="62"/>
        <v>#N/A</v>
      </c>
    </row>
    <row r="3741" spans="1:7">
      <c r="A3741" s="112" t="e">
        <f>VLOOKUP('Informe Kelly'!A3735,Base!A:B,2,FALSE)</f>
        <v>#N/A</v>
      </c>
      <c r="B3741" s="112" t="e">
        <f>VLOOKUP('Informe Kelly'!A3735,Base!A:G,7,FALSE)</f>
        <v>#N/A</v>
      </c>
      <c r="C3741" s="112">
        <f>'Informe Kelly'!E3735</f>
        <v>0</v>
      </c>
      <c r="D3741" s="112" t="e">
        <f>VLOOKUP(A3741,Ingreso!K:P,6,FALSE)</f>
        <v>#N/A</v>
      </c>
      <c r="E3741" s="142" t="e">
        <f>(VLOOKUP(D3741,$D$2:$E$4,2,FALSE))-(IF('Informe Kelly'!H3735=$A$2,'Informe Kelly'!F3735,VLOOKUP(D3741,$D$2:$E$4,2,FALSE)))</f>
        <v>#N/A</v>
      </c>
      <c r="F3741" s="142" t="e">
        <f>IF('Informe Kelly'!H3735=$A$3,'Informe Kelly'!F3735,VLOOKUP(D3741,$D$2:$F$4,3,FALSE))-(VLOOKUP(D3741,$D$2:$F$4,3,FALSE))</f>
        <v>#N/A</v>
      </c>
      <c r="G3741" s="137" t="e">
        <f t="shared" si="62"/>
        <v>#N/A</v>
      </c>
    </row>
    <row r="3742" spans="1:7">
      <c r="A3742" s="112" t="e">
        <f>VLOOKUP('Informe Kelly'!A3736,Base!A:B,2,FALSE)</f>
        <v>#N/A</v>
      </c>
      <c r="B3742" s="112" t="e">
        <f>VLOOKUP('Informe Kelly'!A3736,Base!A:G,7,FALSE)</f>
        <v>#N/A</v>
      </c>
      <c r="C3742" s="112">
        <f>'Informe Kelly'!E3736</f>
        <v>0</v>
      </c>
      <c r="D3742" s="112" t="e">
        <f>VLOOKUP(A3742,Ingreso!K:P,6,FALSE)</f>
        <v>#N/A</v>
      </c>
      <c r="E3742" s="142" t="e">
        <f>(VLOOKUP(D3742,$D$2:$E$4,2,FALSE))-(IF('Informe Kelly'!H3736=$A$2,'Informe Kelly'!F3736,VLOOKUP(D3742,$D$2:$E$4,2,FALSE)))</f>
        <v>#N/A</v>
      </c>
      <c r="F3742" s="142" t="e">
        <f>IF('Informe Kelly'!H3736=$A$3,'Informe Kelly'!F3736,VLOOKUP(D3742,$D$2:$F$4,3,FALSE))-(VLOOKUP(D3742,$D$2:$F$4,3,FALSE))</f>
        <v>#N/A</v>
      </c>
      <c r="G3742" s="137" t="e">
        <f t="shared" si="62"/>
        <v>#N/A</v>
      </c>
    </row>
    <row r="3743" spans="1:7">
      <c r="A3743" s="112" t="e">
        <f>VLOOKUP('Informe Kelly'!A3737,Base!A:B,2,FALSE)</f>
        <v>#N/A</v>
      </c>
      <c r="B3743" s="112" t="e">
        <f>VLOOKUP('Informe Kelly'!A3737,Base!A:G,7,FALSE)</f>
        <v>#N/A</v>
      </c>
      <c r="C3743" s="112">
        <f>'Informe Kelly'!E3737</f>
        <v>0</v>
      </c>
      <c r="D3743" s="112" t="e">
        <f>VLOOKUP(A3743,Ingreso!K:P,6,FALSE)</f>
        <v>#N/A</v>
      </c>
      <c r="E3743" s="142" t="e">
        <f>(VLOOKUP(D3743,$D$2:$E$4,2,FALSE))-(IF('Informe Kelly'!H3737=$A$2,'Informe Kelly'!F3737,VLOOKUP(D3743,$D$2:$E$4,2,FALSE)))</f>
        <v>#N/A</v>
      </c>
      <c r="F3743" s="142" t="e">
        <f>IF('Informe Kelly'!H3737=$A$3,'Informe Kelly'!F3737,VLOOKUP(D3743,$D$2:$F$4,3,FALSE))-(VLOOKUP(D3743,$D$2:$F$4,3,FALSE))</f>
        <v>#N/A</v>
      </c>
      <c r="G3743" s="137" t="e">
        <f t="shared" si="62"/>
        <v>#N/A</v>
      </c>
    </row>
    <row r="3744" spans="1:7">
      <c r="A3744" s="112" t="e">
        <f>VLOOKUP('Informe Kelly'!A3738,Base!A:B,2,FALSE)</f>
        <v>#N/A</v>
      </c>
      <c r="B3744" s="112" t="e">
        <f>VLOOKUP('Informe Kelly'!A3738,Base!A:G,7,FALSE)</f>
        <v>#N/A</v>
      </c>
      <c r="C3744" s="112">
        <f>'Informe Kelly'!E3738</f>
        <v>0</v>
      </c>
      <c r="D3744" s="112" t="e">
        <f>VLOOKUP(A3744,Ingreso!K:P,6,FALSE)</f>
        <v>#N/A</v>
      </c>
      <c r="E3744" s="142" t="e">
        <f>(VLOOKUP(D3744,$D$2:$E$4,2,FALSE))-(IF('Informe Kelly'!H3738=$A$2,'Informe Kelly'!F3738,VLOOKUP(D3744,$D$2:$E$4,2,FALSE)))</f>
        <v>#N/A</v>
      </c>
      <c r="F3744" s="142" t="e">
        <f>IF('Informe Kelly'!H3738=$A$3,'Informe Kelly'!F3738,VLOOKUP(D3744,$D$2:$F$4,3,FALSE))-(VLOOKUP(D3744,$D$2:$F$4,3,FALSE))</f>
        <v>#N/A</v>
      </c>
      <c r="G3744" s="137" t="e">
        <f t="shared" si="62"/>
        <v>#N/A</v>
      </c>
    </row>
    <row r="3745" spans="1:7">
      <c r="A3745" s="112" t="e">
        <f>VLOOKUP('Informe Kelly'!A3739,Base!A:B,2,FALSE)</f>
        <v>#N/A</v>
      </c>
      <c r="B3745" s="112" t="e">
        <f>VLOOKUP('Informe Kelly'!A3739,Base!A:G,7,FALSE)</f>
        <v>#N/A</v>
      </c>
      <c r="C3745" s="112">
        <f>'Informe Kelly'!E3739</f>
        <v>0</v>
      </c>
      <c r="D3745" s="112" t="e">
        <f>VLOOKUP(A3745,Ingreso!K:P,6,FALSE)</f>
        <v>#N/A</v>
      </c>
      <c r="E3745" s="142" t="e">
        <f>(VLOOKUP(D3745,$D$2:$E$4,2,FALSE))-(IF('Informe Kelly'!H3739=$A$2,'Informe Kelly'!F3739,VLOOKUP(D3745,$D$2:$E$4,2,FALSE)))</f>
        <v>#N/A</v>
      </c>
      <c r="F3745" s="142" t="e">
        <f>IF('Informe Kelly'!H3739=$A$3,'Informe Kelly'!F3739,VLOOKUP(D3745,$D$2:$F$4,3,FALSE))-(VLOOKUP(D3745,$D$2:$F$4,3,FALSE))</f>
        <v>#N/A</v>
      </c>
      <c r="G3745" s="137" t="e">
        <f t="shared" si="62"/>
        <v>#N/A</v>
      </c>
    </row>
    <row r="3746" spans="1:7">
      <c r="A3746" s="112" t="e">
        <f>VLOOKUP('Informe Kelly'!A3740,Base!A:B,2,FALSE)</f>
        <v>#N/A</v>
      </c>
      <c r="B3746" s="112" t="e">
        <f>VLOOKUP('Informe Kelly'!A3740,Base!A:G,7,FALSE)</f>
        <v>#N/A</v>
      </c>
      <c r="C3746" s="112">
        <f>'Informe Kelly'!E3740</f>
        <v>0</v>
      </c>
      <c r="D3746" s="112" t="e">
        <f>VLOOKUP(A3746,Ingreso!K:P,6,FALSE)</f>
        <v>#N/A</v>
      </c>
      <c r="E3746" s="142" t="e">
        <f>(VLOOKUP(D3746,$D$2:$E$4,2,FALSE))-(IF('Informe Kelly'!H3740=$A$2,'Informe Kelly'!F3740,VLOOKUP(D3746,$D$2:$E$4,2,FALSE)))</f>
        <v>#N/A</v>
      </c>
      <c r="F3746" s="142" t="e">
        <f>IF('Informe Kelly'!H3740=$A$3,'Informe Kelly'!F3740,VLOOKUP(D3746,$D$2:$F$4,3,FALSE))-(VLOOKUP(D3746,$D$2:$F$4,3,FALSE))</f>
        <v>#N/A</v>
      </c>
      <c r="G3746" s="137" t="e">
        <f t="shared" si="62"/>
        <v>#N/A</v>
      </c>
    </row>
    <row r="3747" spans="1:7">
      <c r="A3747" s="112" t="e">
        <f>VLOOKUP('Informe Kelly'!A3741,Base!A:B,2,FALSE)</f>
        <v>#N/A</v>
      </c>
      <c r="B3747" s="112" t="e">
        <f>VLOOKUP('Informe Kelly'!A3741,Base!A:G,7,FALSE)</f>
        <v>#N/A</v>
      </c>
      <c r="C3747" s="112">
        <f>'Informe Kelly'!E3741</f>
        <v>0</v>
      </c>
      <c r="D3747" s="112" t="e">
        <f>VLOOKUP(A3747,Ingreso!K:P,6,FALSE)</f>
        <v>#N/A</v>
      </c>
      <c r="E3747" s="142" t="e">
        <f>(VLOOKUP(D3747,$D$2:$E$4,2,FALSE))-(IF('Informe Kelly'!H3741=$A$2,'Informe Kelly'!F3741,VLOOKUP(D3747,$D$2:$E$4,2,FALSE)))</f>
        <v>#N/A</v>
      </c>
      <c r="F3747" s="142" t="e">
        <f>IF('Informe Kelly'!H3741=$A$3,'Informe Kelly'!F3741,VLOOKUP(D3747,$D$2:$F$4,3,FALSE))-(VLOOKUP(D3747,$D$2:$F$4,3,FALSE))</f>
        <v>#N/A</v>
      </c>
      <c r="G3747" s="137" t="e">
        <f t="shared" si="62"/>
        <v>#N/A</v>
      </c>
    </row>
    <row r="3748" spans="1:7">
      <c r="A3748" s="112" t="e">
        <f>VLOOKUP('Informe Kelly'!A3742,Base!A:B,2,FALSE)</f>
        <v>#N/A</v>
      </c>
      <c r="B3748" s="112" t="e">
        <f>VLOOKUP('Informe Kelly'!A3742,Base!A:G,7,FALSE)</f>
        <v>#N/A</v>
      </c>
      <c r="C3748" s="112">
        <f>'Informe Kelly'!E3742</f>
        <v>0</v>
      </c>
      <c r="D3748" s="112" t="e">
        <f>VLOOKUP(A3748,Ingreso!K:P,6,FALSE)</f>
        <v>#N/A</v>
      </c>
      <c r="E3748" s="142" t="e">
        <f>(VLOOKUP(D3748,$D$2:$E$4,2,FALSE))-(IF('Informe Kelly'!H3742=$A$2,'Informe Kelly'!F3742,VLOOKUP(D3748,$D$2:$E$4,2,FALSE)))</f>
        <v>#N/A</v>
      </c>
      <c r="F3748" s="142" t="e">
        <f>IF('Informe Kelly'!H3742=$A$3,'Informe Kelly'!F3742,VLOOKUP(D3748,$D$2:$F$4,3,FALSE))-(VLOOKUP(D3748,$D$2:$F$4,3,FALSE))</f>
        <v>#N/A</v>
      </c>
      <c r="G3748" s="137" t="e">
        <f t="shared" si="62"/>
        <v>#N/A</v>
      </c>
    </row>
    <row r="3749" spans="1:7">
      <c r="A3749" s="112" t="e">
        <f>VLOOKUP('Informe Kelly'!A3743,Base!A:B,2,FALSE)</f>
        <v>#N/A</v>
      </c>
      <c r="B3749" s="112" t="e">
        <f>VLOOKUP('Informe Kelly'!A3743,Base!A:G,7,FALSE)</f>
        <v>#N/A</v>
      </c>
      <c r="C3749" s="112">
        <f>'Informe Kelly'!E3743</f>
        <v>0</v>
      </c>
      <c r="D3749" s="112" t="e">
        <f>VLOOKUP(A3749,Ingreso!K:P,6,FALSE)</f>
        <v>#N/A</v>
      </c>
      <c r="E3749" s="142" t="e">
        <f>(VLOOKUP(D3749,$D$2:$E$4,2,FALSE))-(IF('Informe Kelly'!H3743=$A$2,'Informe Kelly'!F3743,VLOOKUP(D3749,$D$2:$E$4,2,FALSE)))</f>
        <v>#N/A</v>
      </c>
      <c r="F3749" s="142" t="e">
        <f>IF('Informe Kelly'!H3743=$A$3,'Informe Kelly'!F3743,VLOOKUP(D3749,$D$2:$F$4,3,FALSE))-(VLOOKUP(D3749,$D$2:$F$4,3,FALSE))</f>
        <v>#N/A</v>
      </c>
      <c r="G3749" s="137" t="e">
        <f t="shared" si="62"/>
        <v>#N/A</v>
      </c>
    </row>
    <row r="3750" spans="1:7">
      <c r="A3750" s="112" t="e">
        <f>VLOOKUP('Informe Kelly'!A3744,Base!A:B,2,FALSE)</f>
        <v>#N/A</v>
      </c>
      <c r="B3750" s="112" t="e">
        <f>VLOOKUP('Informe Kelly'!A3744,Base!A:G,7,FALSE)</f>
        <v>#N/A</v>
      </c>
      <c r="C3750" s="112">
        <f>'Informe Kelly'!E3744</f>
        <v>0</v>
      </c>
      <c r="D3750" s="112" t="e">
        <f>VLOOKUP(A3750,Ingreso!K:P,6,FALSE)</f>
        <v>#N/A</v>
      </c>
      <c r="E3750" s="142" t="e">
        <f>(VLOOKUP(D3750,$D$2:$E$4,2,FALSE))-(IF('Informe Kelly'!H3744=$A$2,'Informe Kelly'!F3744,VLOOKUP(D3750,$D$2:$E$4,2,FALSE)))</f>
        <v>#N/A</v>
      </c>
      <c r="F3750" s="142" t="e">
        <f>IF('Informe Kelly'!H3744=$A$3,'Informe Kelly'!F3744,VLOOKUP(D3750,$D$2:$F$4,3,FALSE))-(VLOOKUP(D3750,$D$2:$F$4,3,FALSE))</f>
        <v>#N/A</v>
      </c>
      <c r="G3750" s="137" t="e">
        <f t="shared" si="62"/>
        <v>#N/A</v>
      </c>
    </row>
    <row r="3751" spans="1:7">
      <c r="A3751" s="112" t="e">
        <f>VLOOKUP('Informe Kelly'!A3745,Base!A:B,2,FALSE)</f>
        <v>#N/A</v>
      </c>
      <c r="B3751" s="112" t="e">
        <f>VLOOKUP('Informe Kelly'!A3745,Base!A:G,7,FALSE)</f>
        <v>#N/A</v>
      </c>
      <c r="C3751" s="112">
        <f>'Informe Kelly'!E3745</f>
        <v>0</v>
      </c>
      <c r="D3751" s="112" t="e">
        <f>VLOOKUP(A3751,Ingreso!K:P,6,FALSE)</f>
        <v>#N/A</v>
      </c>
      <c r="E3751" s="142" t="e">
        <f>(VLOOKUP(D3751,$D$2:$E$4,2,FALSE))-(IF('Informe Kelly'!H3745=$A$2,'Informe Kelly'!F3745,VLOOKUP(D3751,$D$2:$E$4,2,FALSE)))</f>
        <v>#N/A</v>
      </c>
      <c r="F3751" s="142" t="e">
        <f>IF('Informe Kelly'!H3745=$A$3,'Informe Kelly'!F3745,VLOOKUP(D3751,$D$2:$F$4,3,FALSE))-(VLOOKUP(D3751,$D$2:$F$4,3,FALSE))</f>
        <v>#N/A</v>
      </c>
      <c r="G3751" s="137" t="e">
        <f t="shared" si="62"/>
        <v>#N/A</v>
      </c>
    </row>
    <row r="3752" spans="1:7">
      <c r="A3752" s="112" t="e">
        <f>VLOOKUP('Informe Kelly'!A3746,Base!A:B,2,FALSE)</f>
        <v>#N/A</v>
      </c>
      <c r="B3752" s="112" t="e">
        <f>VLOOKUP('Informe Kelly'!A3746,Base!A:G,7,FALSE)</f>
        <v>#N/A</v>
      </c>
      <c r="C3752" s="112">
        <f>'Informe Kelly'!E3746</f>
        <v>0</v>
      </c>
      <c r="D3752" s="112" t="e">
        <f>VLOOKUP(A3752,Ingreso!K:P,6,FALSE)</f>
        <v>#N/A</v>
      </c>
      <c r="E3752" s="142" t="e">
        <f>(VLOOKUP(D3752,$D$2:$E$4,2,FALSE))-(IF('Informe Kelly'!H3746=$A$2,'Informe Kelly'!F3746,VLOOKUP(D3752,$D$2:$E$4,2,FALSE)))</f>
        <v>#N/A</v>
      </c>
      <c r="F3752" s="142" t="e">
        <f>IF('Informe Kelly'!H3746=$A$3,'Informe Kelly'!F3746,VLOOKUP(D3752,$D$2:$F$4,3,FALSE))-(VLOOKUP(D3752,$D$2:$F$4,3,FALSE))</f>
        <v>#N/A</v>
      </c>
      <c r="G3752" s="137" t="e">
        <f t="shared" si="62"/>
        <v>#N/A</v>
      </c>
    </row>
    <row r="3753" spans="1:7">
      <c r="A3753" s="112" t="e">
        <f>VLOOKUP('Informe Kelly'!A3747,Base!A:B,2,FALSE)</f>
        <v>#N/A</v>
      </c>
      <c r="B3753" s="112" t="e">
        <f>VLOOKUP('Informe Kelly'!A3747,Base!A:G,7,FALSE)</f>
        <v>#N/A</v>
      </c>
      <c r="C3753" s="112">
        <f>'Informe Kelly'!E3747</f>
        <v>0</v>
      </c>
      <c r="D3753" s="112" t="e">
        <f>VLOOKUP(A3753,Ingreso!K:P,6,FALSE)</f>
        <v>#N/A</v>
      </c>
      <c r="E3753" s="142" t="e">
        <f>(VLOOKUP(D3753,$D$2:$E$4,2,FALSE))-(IF('Informe Kelly'!H3747=$A$2,'Informe Kelly'!F3747,VLOOKUP(D3753,$D$2:$E$4,2,FALSE)))</f>
        <v>#N/A</v>
      </c>
      <c r="F3753" s="142" t="e">
        <f>IF('Informe Kelly'!H3747=$A$3,'Informe Kelly'!F3747,VLOOKUP(D3753,$D$2:$F$4,3,FALSE))-(VLOOKUP(D3753,$D$2:$F$4,3,FALSE))</f>
        <v>#N/A</v>
      </c>
      <c r="G3753" s="137" t="e">
        <f t="shared" si="62"/>
        <v>#N/A</v>
      </c>
    </row>
    <row r="3754" spans="1:7">
      <c r="A3754" s="112" t="e">
        <f>VLOOKUP('Informe Kelly'!A3748,Base!A:B,2,FALSE)</f>
        <v>#N/A</v>
      </c>
      <c r="B3754" s="112" t="e">
        <f>VLOOKUP('Informe Kelly'!A3748,Base!A:G,7,FALSE)</f>
        <v>#N/A</v>
      </c>
      <c r="C3754" s="112">
        <f>'Informe Kelly'!E3748</f>
        <v>0</v>
      </c>
      <c r="D3754" s="112" t="e">
        <f>VLOOKUP(A3754,Ingreso!K:P,6,FALSE)</f>
        <v>#N/A</v>
      </c>
      <c r="E3754" s="142" t="e">
        <f>(VLOOKUP(D3754,$D$2:$E$4,2,FALSE))-(IF('Informe Kelly'!H3748=$A$2,'Informe Kelly'!F3748,VLOOKUP(D3754,$D$2:$E$4,2,FALSE)))</f>
        <v>#N/A</v>
      </c>
      <c r="F3754" s="142" t="e">
        <f>IF('Informe Kelly'!H3748=$A$3,'Informe Kelly'!F3748,VLOOKUP(D3754,$D$2:$F$4,3,FALSE))-(VLOOKUP(D3754,$D$2:$F$4,3,FALSE))</f>
        <v>#N/A</v>
      </c>
      <c r="G3754" s="137" t="e">
        <f t="shared" si="62"/>
        <v>#N/A</v>
      </c>
    </row>
    <row r="3755" spans="1:7">
      <c r="A3755" s="112" t="e">
        <f>VLOOKUP('Informe Kelly'!A3749,Base!A:B,2,FALSE)</f>
        <v>#N/A</v>
      </c>
      <c r="B3755" s="112" t="e">
        <f>VLOOKUP('Informe Kelly'!A3749,Base!A:G,7,FALSE)</f>
        <v>#N/A</v>
      </c>
      <c r="C3755" s="112">
        <f>'Informe Kelly'!E3749</f>
        <v>0</v>
      </c>
      <c r="D3755" s="112" t="e">
        <f>VLOOKUP(A3755,Ingreso!K:P,6,FALSE)</f>
        <v>#N/A</v>
      </c>
      <c r="E3755" s="142" t="e">
        <f>(VLOOKUP(D3755,$D$2:$E$4,2,FALSE))-(IF('Informe Kelly'!H3749=$A$2,'Informe Kelly'!F3749,VLOOKUP(D3755,$D$2:$E$4,2,FALSE)))</f>
        <v>#N/A</v>
      </c>
      <c r="F3755" s="142" t="e">
        <f>IF('Informe Kelly'!H3749=$A$3,'Informe Kelly'!F3749,VLOOKUP(D3755,$D$2:$F$4,3,FALSE))-(VLOOKUP(D3755,$D$2:$F$4,3,FALSE))</f>
        <v>#N/A</v>
      </c>
      <c r="G3755" s="137" t="e">
        <f t="shared" si="62"/>
        <v>#N/A</v>
      </c>
    </row>
    <row r="3756" spans="1:7">
      <c r="A3756" s="112" t="e">
        <f>VLOOKUP('Informe Kelly'!A3750,Base!A:B,2,FALSE)</f>
        <v>#N/A</v>
      </c>
      <c r="B3756" s="112" t="e">
        <f>VLOOKUP('Informe Kelly'!A3750,Base!A:G,7,FALSE)</f>
        <v>#N/A</v>
      </c>
      <c r="C3756" s="112">
        <f>'Informe Kelly'!E3750</f>
        <v>0</v>
      </c>
      <c r="D3756" s="112" t="e">
        <f>VLOOKUP(A3756,Ingreso!K:P,6,FALSE)</f>
        <v>#N/A</v>
      </c>
      <c r="E3756" s="142" t="e">
        <f>(VLOOKUP(D3756,$D$2:$E$4,2,FALSE))-(IF('Informe Kelly'!H3750=$A$2,'Informe Kelly'!F3750,VLOOKUP(D3756,$D$2:$E$4,2,FALSE)))</f>
        <v>#N/A</v>
      </c>
      <c r="F3756" s="142" t="e">
        <f>IF('Informe Kelly'!H3750=$A$3,'Informe Kelly'!F3750,VLOOKUP(D3756,$D$2:$F$4,3,FALSE))-(VLOOKUP(D3756,$D$2:$F$4,3,FALSE))</f>
        <v>#N/A</v>
      </c>
      <c r="G3756" s="137" t="e">
        <f t="shared" si="62"/>
        <v>#N/A</v>
      </c>
    </row>
    <row r="3757" spans="1:7">
      <c r="A3757" s="112" t="e">
        <f>VLOOKUP('Informe Kelly'!A3751,Base!A:B,2,FALSE)</f>
        <v>#N/A</v>
      </c>
      <c r="B3757" s="112" t="e">
        <f>VLOOKUP('Informe Kelly'!A3751,Base!A:G,7,FALSE)</f>
        <v>#N/A</v>
      </c>
      <c r="C3757" s="112">
        <f>'Informe Kelly'!E3751</f>
        <v>0</v>
      </c>
      <c r="D3757" s="112" t="e">
        <f>VLOOKUP(A3757,Ingreso!K:P,6,FALSE)</f>
        <v>#N/A</v>
      </c>
      <c r="E3757" s="142" t="e">
        <f>(VLOOKUP(D3757,$D$2:$E$4,2,FALSE))-(IF('Informe Kelly'!H3751=$A$2,'Informe Kelly'!F3751,VLOOKUP(D3757,$D$2:$E$4,2,FALSE)))</f>
        <v>#N/A</v>
      </c>
      <c r="F3757" s="142" t="e">
        <f>IF('Informe Kelly'!H3751=$A$3,'Informe Kelly'!F3751,VLOOKUP(D3757,$D$2:$F$4,3,FALSE))-(VLOOKUP(D3757,$D$2:$F$4,3,FALSE))</f>
        <v>#N/A</v>
      </c>
      <c r="G3757" s="137" t="e">
        <f t="shared" si="62"/>
        <v>#N/A</v>
      </c>
    </row>
    <row r="3758" spans="1:7">
      <c r="A3758" s="112" t="e">
        <f>VLOOKUP('Informe Kelly'!A3752,Base!A:B,2,FALSE)</f>
        <v>#N/A</v>
      </c>
      <c r="B3758" s="112" t="e">
        <f>VLOOKUP('Informe Kelly'!A3752,Base!A:G,7,FALSE)</f>
        <v>#N/A</v>
      </c>
      <c r="C3758" s="112">
        <f>'Informe Kelly'!E3752</f>
        <v>0</v>
      </c>
      <c r="D3758" s="112" t="e">
        <f>VLOOKUP(A3758,Ingreso!K:P,6,FALSE)</f>
        <v>#N/A</v>
      </c>
      <c r="E3758" s="142" t="e">
        <f>(VLOOKUP(D3758,$D$2:$E$4,2,FALSE))-(IF('Informe Kelly'!H3752=$A$2,'Informe Kelly'!F3752,VLOOKUP(D3758,$D$2:$E$4,2,FALSE)))</f>
        <v>#N/A</v>
      </c>
      <c r="F3758" s="142" t="e">
        <f>IF('Informe Kelly'!H3752=$A$3,'Informe Kelly'!F3752,VLOOKUP(D3758,$D$2:$F$4,3,FALSE))-(VLOOKUP(D3758,$D$2:$F$4,3,FALSE))</f>
        <v>#N/A</v>
      </c>
      <c r="G3758" s="137" t="e">
        <f t="shared" si="62"/>
        <v>#N/A</v>
      </c>
    </row>
    <row r="3759" spans="1:7">
      <c r="A3759" s="112" t="e">
        <f>VLOOKUP('Informe Kelly'!A3753,Base!A:B,2,FALSE)</f>
        <v>#N/A</v>
      </c>
      <c r="B3759" s="112" t="e">
        <f>VLOOKUP('Informe Kelly'!A3753,Base!A:G,7,FALSE)</f>
        <v>#N/A</v>
      </c>
      <c r="C3759" s="112">
        <f>'Informe Kelly'!E3753</f>
        <v>0</v>
      </c>
      <c r="D3759" s="112" t="e">
        <f>VLOOKUP(A3759,Ingreso!K:P,6,FALSE)</f>
        <v>#N/A</v>
      </c>
      <c r="E3759" s="142" t="e">
        <f>(VLOOKUP(D3759,$D$2:$E$4,2,FALSE))-(IF('Informe Kelly'!H3753=$A$2,'Informe Kelly'!F3753,VLOOKUP(D3759,$D$2:$E$4,2,FALSE)))</f>
        <v>#N/A</v>
      </c>
      <c r="F3759" s="142" t="e">
        <f>IF('Informe Kelly'!H3753=$A$3,'Informe Kelly'!F3753,VLOOKUP(D3759,$D$2:$F$4,3,FALSE))-(VLOOKUP(D3759,$D$2:$F$4,3,FALSE))</f>
        <v>#N/A</v>
      </c>
      <c r="G3759" s="137" t="e">
        <f t="shared" si="62"/>
        <v>#N/A</v>
      </c>
    </row>
    <row r="3760" spans="1:7">
      <c r="A3760" s="112" t="e">
        <f>VLOOKUP('Informe Kelly'!A3754,Base!A:B,2,FALSE)</f>
        <v>#N/A</v>
      </c>
      <c r="B3760" s="112" t="e">
        <f>VLOOKUP('Informe Kelly'!A3754,Base!A:G,7,FALSE)</f>
        <v>#N/A</v>
      </c>
      <c r="C3760" s="112">
        <f>'Informe Kelly'!E3754</f>
        <v>0</v>
      </c>
      <c r="D3760" s="112" t="e">
        <f>VLOOKUP(A3760,Ingreso!K:P,6,FALSE)</f>
        <v>#N/A</v>
      </c>
      <c r="E3760" s="142" t="e">
        <f>(VLOOKUP(D3760,$D$2:$E$4,2,FALSE))-(IF('Informe Kelly'!H3754=$A$2,'Informe Kelly'!F3754,VLOOKUP(D3760,$D$2:$E$4,2,FALSE)))</f>
        <v>#N/A</v>
      </c>
      <c r="F3760" s="142" t="e">
        <f>IF('Informe Kelly'!H3754=$A$3,'Informe Kelly'!F3754,VLOOKUP(D3760,$D$2:$F$4,3,FALSE))-(VLOOKUP(D3760,$D$2:$F$4,3,FALSE))</f>
        <v>#N/A</v>
      </c>
      <c r="G3760" s="137" t="e">
        <f t="shared" si="62"/>
        <v>#N/A</v>
      </c>
    </row>
    <row r="3761" spans="1:7">
      <c r="A3761" s="112" t="e">
        <f>VLOOKUP('Informe Kelly'!A3755,Base!A:B,2,FALSE)</f>
        <v>#N/A</v>
      </c>
      <c r="B3761" s="112" t="e">
        <f>VLOOKUP('Informe Kelly'!A3755,Base!A:G,7,FALSE)</f>
        <v>#N/A</v>
      </c>
      <c r="C3761" s="112">
        <f>'Informe Kelly'!E3755</f>
        <v>0</v>
      </c>
      <c r="D3761" s="112" t="e">
        <f>VLOOKUP(A3761,Ingreso!K:P,6,FALSE)</f>
        <v>#N/A</v>
      </c>
      <c r="E3761" s="142" t="e">
        <f>(VLOOKUP(D3761,$D$2:$E$4,2,FALSE))-(IF('Informe Kelly'!H3755=$A$2,'Informe Kelly'!F3755,VLOOKUP(D3761,$D$2:$E$4,2,FALSE)))</f>
        <v>#N/A</v>
      </c>
      <c r="F3761" s="142" t="e">
        <f>IF('Informe Kelly'!H3755=$A$3,'Informe Kelly'!F3755,VLOOKUP(D3761,$D$2:$F$4,3,FALSE))-(VLOOKUP(D3761,$D$2:$F$4,3,FALSE))</f>
        <v>#N/A</v>
      </c>
      <c r="G3761" s="137" t="e">
        <f t="shared" si="62"/>
        <v>#N/A</v>
      </c>
    </row>
    <row r="3762" spans="1:7">
      <c r="A3762" s="112" t="e">
        <f>VLOOKUP('Informe Kelly'!A3756,Base!A:B,2,FALSE)</f>
        <v>#N/A</v>
      </c>
      <c r="B3762" s="112" t="e">
        <f>VLOOKUP('Informe Kelly'!A3756,Base!A:G,7,FALSE)</f>
        <v>#N/A</v>
      </c>
      <c r="C3762" s="112">
        <f>'Informe Kelly'!E3756</f>
        <v>0</v>
      </c>
      <c r="D3762" s="112" t="e">
        <f>VLOOKUP(A3762,Ingreso!K:P,6,FALSE)</f>
        <v>#N/A</v>
      </c>
      <c r="E3762" s="142" t="e">
        <f>(VLOOKUP(D3762,$D$2:$E$4,2,FALSE))-(IF('Informe Kelly'!H3756=$A$2,'Informe Kelly'!F3756,VLOOKUP(D3762,$D$2:$E$4,2,FALSE)))</f>
        <v>#N/A</v>
      </c>
      <c r="F3762" s="142" t="e">
        <f>IF('Informe Kelly'!H3756=$A$3,'Informe Kelly'!F3756,VLOOKUP(D3762,$D$2:$F$4,3,FALSE))-(VLOOKUP(D3762,$D$2:$F$4,3,FALSE))</f>
        <v>#N/A</v>
      </c>
      <c r="G3762" s="137" t="e">
        <f t="shared" si="62"/>
        <v>#N/A</v>
      </c>
    </row>
    <row r="3763" spans="1:7">
      <c r="A3763" s="112" t="e">
        <f>VLOOKUP('Informe Kelly'!A3757,Base!A:B,2,FALSE)</f>
        <v>#N/A</v>
      </c>
      <c r="B3763" s="112" t="e">
        <f>VLOOKUP('Informe Kelly'!A3757,Base!A:G,7,FALSE)</f>
        <v>#N/A</v>
      </c>
      <c r="C3763" s="112">
        <f>'Informe Kelly'!E3757</f>
        <v>0</v>
      </c>
      <c r="D3763" s="112" t="e">
        <f>VLOOKUP(A3763,Ingreso!K:P,6,FALSE)</f>
        <v>#N/A</v>
      </c>
      <c r="E3763" s="142" t="e">
        <f>(VLOOKUP(D3763,$D$2:$E$4,2,FALSE))-(IF('Informe Kelly'!H3757=$A$2,'Informe Kelly'!F3757,VLOOKUP(D3763,$D$2:$E$4,2,FALSE)))</f>
        <v>#N/A</v>
      </c>
      <c r="F3763" s="142" t="e">
        <f>IF('Informe Kelly'!H3757=$A$3,'Informe Kelly'!F3757,VLOOKUP(D3763,$D$2:$F$4,3,FALSE))-(VLOOKUP(D3763,$D$2:$F$4,3,FALSE))</f>
        <v>#N/A</v>
      </c>
      <c r="G3763" s="137" t="e">
        <f t="shared" si="62"/>
        <v>#N/A</v>
      </c>
    </row>
    <row r="3764" spans="1:7">
      <c r="A3764" s="112" t="e">
        <f>VLOOKUP('Informe Kelly'!A3758,Base!A:B,2,FALSE)</f>
        <v>#N/A</v>
      </c>
      <c r="B3764" s="112" t="e">
        <f>VLOOKUP('Informe Kelly'!A3758,Base!A:G,7,FALSE)</f>
        <v>#N/A</v>
      </c>
      <c r="C3764" s="112">
        <f>'Informe Kelly'!E3758</f>
        <v>0</v>
      </c>
      <c r="D3764" s="112" t="e">
        <f>VLOOKUP(A3764,Ingreso!K:P,6,FALSE)</f>
        <v>#N/A</v>
      </c>
      <c r="E3764" s="142" t="e">
        <f>(VLOOKUP(D3764,$D$2:$E$4,2,FALSE))-(IF('Informe Kelly'!H3758=$A$2,'Informe Kelly'!F3758,VLOOKUP(D3764,$D$2:$E$4,2,FALSE)))</f>
        <v>#N/A</v>
      </c>
      <c r="F3764" s="142" t="e">
        <f>IF('Informe Kelly'!H3758=$A$3,'Informe Kelly'!F3758,VLOOKUP(D3764,$D$2:$F$4,3,FALSE))-(VLOOKUP(D3764,$D$2:$F$4,3,FALSE))</f>
        <v>#N/A</v>
      </c>
      <c r="G3764" s="137" t="e">
        <f t="shared" si="62"/>
        <v>#N/A</v>
      </c>
    </row>
    <row r="3765" spans="1:7">
      <c r="A3765" s="112" t="e">
        <f>VLOOKUP('Informe Kelly'!A3759,Base!A:B,2,FALSE)</f>
        <v>#N/A</v>
      </c>
      <c r="B3765" s="112" t="e">
        <f>VLOOKUP('Informe Kelly'!A3759,Base!A:G,7,FALSE)</f>
        <v>#N/A</v>
      </c>
      <c r="C3765" s="112">
        <f>'Informe Kelly'!E3759</f>
        <v>0</v>
      </c>
      <c r="D3765" s="112" t="e">
        <f>VLOOKUP(A3765,Ingreso!K:P,6,FALSE)</f>
        <v>#N/A</v>
      </c>
      <c r="E3765" s="142" t="e">
        <f>(VLOOKUP(D3765,$D$2:$E$4,2,FALSE))-(IF('Informe Kelly'!H3759=$A$2,'Informe Kelly'!F3759,VLOOKUP(D3765,$D$2:$E$4,2,FALSE)))</f>
        <v>#N/A</v>
      </c>
      <c r="F3765" s="142" t="e">
        <f>IF('Informe Kelly'!H3759=$A$3,'Informe Kelly'!F3759,VLOOKUP(D3765,$D$2:$F$4,3,FALSE))-(VLOOKUP(D3765,$D$2:$F$4,3,FALSE))</f>
        <v>#N/A</v>
      </c>
      <c r="G3765" s="137" t="e">
        <f t="shared" si="62"/>
        <v>#N/A</v>
      </c>
    </row>
    <row r="3766" spans="1:7">
      <c r="A3766" s="112" t="e">
        <f>VLOOKUP('Informe Kelly'!A3760,Base!A:B,2,FALSE)</f>
        <v>#N/A</v>
      </c>
      <c r="B3766" s="112" t="e">
        <f>VLOOKUP('Informe Kelly'!A3760,Base!A:G,7,FALSE)</f>
        <v>#N/A</v>
      </c>
      <c r="C3766" s="112">
        <f>'Informe Kelly'!E3760</f>
        <v>0</v>
      </c>
      <c r="D3766" s="112" t="e">
        <f>VLOOKUP(A3766,Ingreso!K:P,6,FALSE)</f>
        <v>#N/A</v>
      </c>
      <c r="E3766" s="142" t="e">
        <f>(VLOOKUP(D3766,$D$2:$E$4,2,FALSE))-(IF('Informe Kelly'!H3760=$A$2,'Informe Kelly'!F3760,VLOOKUP(D3766,$D$2:$E$4,2,FALSE)))</f>
        <v>#N/A</v>
      </c>
      <c r="F3766" s="142" t="e">
        <f>IF('Informe Kelly'!H3760=$A$3,'Informe Kelly'!F3760,VLOOKUP(D3766,$D$2:$F$4,3,FALSE))-(VLOOKUP(D3766,$D$2:$F$4,3,FALSE))</f>
        <v>#N/A</v>
      </c>
      <c r="G3766" s="137" t="e">
        <f t="shared" si="62"/>
        <v>#N/A</v>
      </c>
    </row>
    <row r="3767" spans="1:7">
      <c r="A3767" s="112" t="e">
        <f>VLOOKUP('Informe Kelly'!A3761,Base!A:B,2,FALSE)</f>
        <v>#N/A</v>
      </c>
      <c r="B3767" s="112" t="e">
        <f>VLOOKUP('Informe Kelly'!A3761,Base!A:G,7,FALSE)</f>
        <v>#N/A</v>
      </c>
      <c r="C3767" s="112">
        <f>'Informe Kelly'!E3761</f>
        <v>0</v>
      </c>
      <c r="D3767" s="112" t="e">
        <f>VLOOKUP(A3767,Ingreso!K:P,6,FALSE)</f>
        <v>#N/A</v>
      </c>
      <c r="E3767" s="142" t="e">
        <f>(VLOOKUP(D3767,$D$2:$E$4,2,FALSE))-(IF('Informe Kelly'!H3761=$A$2,'Informe Kelly'!F3761,VLOOKUP(D3767,$D$2:$E$4,2,FALSE)))</f>
        <v>#N/A</v>
      </c>
      <c r="F3767" s="142" t="e">
        <f>IF('Informe Kelly'!H3761=$A$3,'Informe Kelly'!F3761,VLOOKUP(D3767,$D$2:$F$4,3,FALSE))-(VLOOKUP(D3767,$D$2:$F$4,3,FALSE))</f>
        <v>#N/A</v>
      </c>
      <c r="G3767" s="137" t="e">
        <f t="shared" si="62"/>
        <v>#N/A</v>
      </c>
    </row>
    <row r="3768" spans="1:7">
      <c r="A3768" s="112" t="e">
        <f>VLOOKUP('Informe Kelly'!A3762,Base!A:B,2,FALSE)</f>
        <v>#N/A</v>
      </c>
      <c r="B3768" s="112" t="e">
        <f>VLOOKUP('Informe Kelly'!A3762,Base!A:G,7,FALSE)</f>
        <v>#N/A</v>
      </c>
      <c r="C3768" s="112">
        <f>'Informe Kelly'!E3762</f>
        <v>0</v>
      </c>
      <c r="D3768" s="112" t="e">
        <f>VLOOKUP(A3768,Ingreso!K:P,6,FALSE)</f>
        <v>#N/A</v>
      </c>
      <c r="E3768" s="142" t="e">
        <f>(VLOOKUP(D3768,$D$2:$E$4,2,FALSE))-(IF('Informe Kelly'!H3762=$A$2,'Informe Kelly'!F3762,VLOOKUP(D3768,$D$2:$E$4,2,FALSE)))</f>
        <v>#N/A</v>
      </c>
      <c r="F3768" s="142" t="e">
        <f>IF('Informe Kelly'!H3762=$A$3,'Informe Kelly'!F3762,VLOOKUP(D3768,$D$2:$F$4,3,FALSE))-(VLOOKUP(D3768,$D$2:$F$4,3,FALSE))</f>
        <v>#N/A</v>
      </c>
      <c r="G3768" s="137" t="e">
        <f t="shared" si="62"/>
        <v>#N/A</v>
      </c>
    </row>
    <row r="3769" spans="1:7">
      <c r="A3769" s="112" t="e">
        <f>VLOOKUP('Informe Kelly'!A3763,Base!A:B,2,FALSE)</f>
        <v>#N/A</v>
      </c>
      <c r="B3769" s="112" t="e">
        <f>VLOOKUP('Informe Kelly'!A3763,Base!A:G,7,FALSE)</f>
        <v>#N/A</v>
      </c>
      <c r="C3769" s="112">
        <f>'Informe Kelly'!E3763</f>
        <v>0</v>
      </c>
      <c r="D3769" s="112" t="e">
        <f>VLOOKUP(A3769,Ingreso!K:P,6,FALSE)</f>
        <v>#N/A</v>
      </c>
      <c r="E3769" s="142" t="e">
        <f>(VLOOKUP(D3769,$D$2:$E$4,2,FALSE))-(IF('Informe Kelly'!H3763=$A$2,'Informe Kelly'!F3763,VLOOKUP(D3769,$D$2:$E$4,2,FALSE)))</f>
        <v>#N/A</v>
      </c>
      <c r="F3769" s="142" t="e">
        <f>IF('Informe Kelly'!H3763=$A$3,'Informe Kelly'!F3763,VLOOKUP(D3769,$D$2:$F$4,3,FALSE))-(VLOOKUP(D3769,$D$2:$F$4,3,FALSE))</f>
        <v>#N/A</v>
      </c>
      <c r="G3769" s="137" t="e">
        <f t="shared" si="62"/>
        <v>#N/A</v>
      </c>
    </row>
    <row r="3770" spans="1:7">
      <c r="A3770" s="112" t="e">
        <f>VLOOKUP('Informe Kelly'!A3764,Base!A:B,2,FALSE)</f>
        <v>#N/A</v>
      </c>
      <c r="B3770" s="112" t="e">
        <f>VLOOKUP('Informe Kelly'!A3764,Base!A:G,7,FALSE)</f>
        <v>#N/A</v>
      </c>
      <c r="C3770" s="112">
        <f>'Informe Kelly'!E3764</f>
        <v>0</v>
      </c>
      <c r="D3770" s="112" t="e">
        <f>VLOOKUP(A3770,Ingreso!K:P,6,FALSE)</f>
        <v>#N/A</v>
      </c>
      <c r="E3770" s="142" t="e">
        <f>(VLOOKUP(D3770,$D$2:$E$4,2,FALSE))-(IF('Informe Kelly'!H3764=$A$2,'Informe Kelly'!F3764,VLOOKUP(D3770,$D$2:$E$4,2,FALSE)))</f>
        <v>#N/A</v>
      </c>
      <c r="F3770" s="142" t="e">
        <f>IF('Informe Kelly'!H3764=$A$3,'Informe Kelly'!F3764,VLOOKUP(D3770,$D$2:$F$4,3,FALSE))-(VLOOKUP(D3770,$D$2:$F$4,3,FALSE))</f>
        <v>#N/A</v>
      </c>
      <c r="G3770" s="137" t="e">
        <f t="shared" si="62"/>
        <v>#N/A</v>
      </c>
    </row>
    <row r="3771" spans="1:7">
      <c r="A3771" s="112" t="e">
        <f>VLOOKUP('Informe Kelly'!A3765,Base!A:B,2,FALSE)</f>
        <v>#N/A</v>
      </c>
      <c r="B3771" s="112" t="e">
        <f>VLOOKUP('Informe Kelly'!A3765,Base!A:G,7,FALSE)</f>
        <v>#N/A</v>
      </c>
      <c r="C3771" s="112">
        <f>'Informe Kelly'!E3765</f>
        <v>0</v>
      </c>
      <c r="D3771" s="112" t="e">
        <f>VLOOKUP(A3771,Ingreso!K:P,6,FALSE)</f>
        <v>#N/A</v>
      </c>
      <c r="E3771" s="142" t="e">
        <f>(VLOOKUP(D3771,$D$2:$E$4,2,FALSE))-(IF('Informe Kelly'!H3765=$A$2,'Informe Kelly'!F3765,VLOOKUP(D3771,$D$2:$E$4,2,FALSE)))</f>
        <v>#N/A</v>
      </c>
      <c r="F3771" s="142" t="e">
        <f>IF('Informe Kelly'!H3765=$A$3,'Informe Kelly'!F3765,VLOOKUP(D3771,$D$2:$F$4,3,FALSE))-(VLOOKUP(D3771,$D$2:$F$4,3,FALSE))</f>
        <v>#N/A</v>
      </c>
      <c r="G3771" s="137" t="e">
        <f t="shared" si="62"/>
        <v>#N/A</v>
      </c>
    </row>
    <row r="3772" spans="1:7">
      <c r="A3772" s="112" t="e">
        <f>VLOOKUP('Informe Kelly'!A3766,Base!A:B,2,FALSE)</f>
        <v>#N/A</v>
      </c>
      <c r="B3772" s="112" t="e">
        <f>VLOOKUP('Informe Kelly'!A3766,Base!A:G,7,FALSE)</f>
        <v>#N/A</v>
      </c>
      <c r="C3772" s="112">
        <f>'Informe Kelly'!E3766</f>
        <v>0</v>
      </c>
      <c r="D3772" s="112" t="e">
        <f>VLOOKUP(A3772,Ingreso!K:P,6,FALSE)</f>
        <v>#N/A</v>
      </c>
      <c r="E3772" s="142" t="e">
        <f>(VLOOKUP(D3772,$D$2:$E$4,2,FALSE))-(IF('Informe Kelly'!H3766=$A$2,'Informe Kelly'!F3766,VLOOKUP(D3772,$D$2:$E$4,2,FALSE)))</f>
        <v>#N/A</v>
      </c>
      <c r="F3772" s="142" t="e">
        <f>IF('Informe Kelly'!H3766=$A$3,'Informe Kelly'!F3766,VLOOKUP(D3772,$D$2:$F$4,3,FALSE))-(VLOOKUP(D3772,$D$2:$F$4,3,FALSE))</f>
        <v>#N/A</v>
      </c>
      <c r="G3772" s="137" t="e">
        <f t="shared" si="62"/>
        <v>#N/A</v>
      </c>
    </row>
    <row r="3773" spans="1:7">
      <c r="A3773" s="112" t="e">
        <f>VLOOKUP('Informe Kelly'!A3767,Base!A:B,2,FALSE)</f>
        <v>#N/A</v>
      </c>
      <c r="B3773" s="112" t="e">
        <f>VLOOKUP('Informe Kelly'!A3767,Base!A:G,7,FALSE)</f>
        <v>#N/A</v>
      </c>
      <c r="C3773" s="112">
        <f>'Informe Kelly'!E3767</f>
        <v>0</v>
      </c>
      <c r="D3773" s="112" t="e">
        <f>VLOOKUP(A3773,Ingreso!K:P,6,FALSE)</f>
        <v>#N/A</v>
      </c>
      <c r="E3773" s="142" t="e">
        <f>(VLOOKUP(D3773,$D$2:$E$4,2,FALSE))-(IF('Informe Kelly'!H3767=$A$2,'Informe Kelly'!F3767,VLOOKUP(D3773,$D$2:$E$4,2,FALSE)))</f>
        <v>#N/A</v>
      </c>
      <c r="F3773" s="142" t="e">
        <f>IF('Informe Kelly'!H3767=$A$3,'Informe Kelly'!F3767,VLOOKUP(D3773,$D$2:$F$4,3,FALSE))-(VLOOKUP(D3773,$D$2:$F$4,3,FALSE))</f>
        <v>#N/A</v>
      </c>
      <c r="G3773" s="137" t="e">
        <f t="shared" si="62"/>
        <v>#N/A</v>
      </c>
    </row>
    <row r="3774" spans="1:7">
      <c r="A3774" s="112" t="e">
        <f>VLOOKUP('Informe Kelly'!A3768,Base!A:B,2,FALSE)</f>
        <v>#N/A</v>
      </c>
      <c r="B3774" s="112" t="e">
        <f>VLOOKUP('Informe Kelly'!A3768,Base!A:G,7,FALSE)</f>
        <v>#N/A</v>
      </c>
      <c r="C3774" s="112">
        <f>'Informe Kelly'!E3768</f>
        <v>0</v>
      </c>
      <c r="D3774" s="112" t="e">
        <f>VLOOKUP(A3774,Ingreso!K:P,6,FALSE)</f>
        <v>#N/A</v>
      </c>
      <c r="E3774" s="142" t="e">
        <f>(VLOOKUP(D3774,$D$2:$E$4,2,FALSE))-(IF('Informe Kelly'!H3768=$A$2,'Informe Kelly'!F3768,VLOOKUP(D3774,$D$2:$E$4,2,FALSE)))</f>
        <v>#N/A</v>
      </c>
      <c r="F3774" s="142" t="e">
        <f>IF('Informe Kelly'!H3768=$A$3,'Informe Kelly'!F3768,VLOOKUP(D3774,$D$2:$F$4,3,FALSE))-(VLOOKUP(D3774,$D$2:$F$4,3,FALSE))</f>
        <v>#N/A</v>
      </c>
      <c r="G3774" s="137" t="e">
        <f t="shared" si="62"/>
        <v>#N/A</v>
      </c>
    </row>
    <row r="3775" spans="1:7">
      <c r="A3775" s="112" t="e">
        <f>VLOOKUP('Informe Kelly'!A3769,Base!A:B,2,FALSE)</f>
        <v>#N/A</v>
      </c>
      <c r="B3775" s="112" t="e">
        <f>VLOOKUP('Informe Kelly'!A3769,Base!A:G,7,FALSE)</f>
        <v>#N/A</v>
      </c>
      <c r="C3775" s="112">
        <f>'Informe Kelly'!E3769</f>
        <v>0</v>
      </c>
      <c r="D3775" s="112" t="e">
        <f>VLOOKUP(A3775,Ingreso!K:P,6,FALSE)</f>
        <v>#N/A</v>
      </c>
      <c r="E3775" s="142" t="e">
        <f>(VLOOKUP(D3775,$D$2:$E$4,2,FALSE))-(IF('Informe Kelly'!H3769=$A$2,'Informe Kelly'!F3769,VLOOKUP(D3775,$D$2:$E$4,2,FALSE)))</f>
        <v>#N/A</v>
      </c>
      <c r="F3775" s="142" t="e">
        <f>IF('Informe Kelly'!H3769=$A$3,'Informe Kelly'!F3769,VLOOKUP(D3775,$D$2:$F$4,3,FALSE))-(VLOOKUP(D3775,$D$2:$F$4,3,FALSE))</f>
        <v>#N/A</v>
      </c>
      <c r="G3775" s="137" t="e">
        <f t="shared" si="62"/>
        <v>#N/A</v>
      </c>
    </row>
    <row r="3776" spans="1:7">
      <c r="A3776" s="112" t="e">
        <f>VLOOKUP('Informe Kelly'!A3770,Base!A:B,2,FALSE)</f>
        <v>#N/A</v>
      </c>
      <c r="B3776" s="112" t="e">
        <f>VLOOKUP('Informe Kelly'!A3770,Base!A:G,7,FALSE)</f>
        <v>#N/A</v>
      </c>
      <c r="C3776" s="112">
        <f>'Informe Kelly'!E3770</f>
        <v>0</v>
      </c>
      <c r="D3776" s="112" t="e">
        <f>VLOOKUP(A3776,Ingreso!K:P,6,FALSE)</f>
        <v>#N/A</v>
      </c>
      <c r="E3776" s="142" t="e">
        <f>(VLOOKUP(D3776,$D$2:$E$4,2,FALSE))-(IF('Informe Kelly'!H3770=$A$2,'Informe Kelly'!F3770,VLOOKUP(D3776,$D$2:$E$4,2,FALSE)))</f>
        <v>#N/A</v>
      </c>
      <c r="F3776" s="142" t="e">
        <f>IF('Informe Kelly'!H3770=$A$3,'Informe Kelly'!F3770,VLOOKUP(D3776,$D$2:$F$4,3,FALSE))-(VLOOKUP(D3776,$D$2:$F$4,3,FALSE))</f>
        <v>#N/A</v>
      </c>
      <c r="G3776" s="137" t="e">
        <f t="shared" si="62"/>
        <v>#N/A</v>
      </c>
    </row>
    <row r="3777" spans="1:7">
      <c r="A3777" s="112" t="e">
        <f>VLOOKUP('Informe Kelly'!A3771,Base!A:B,2,FALSE)</f>
        <v>#N/A</v>
      </c>
      <c r="B3777" s="112" t="e">
        <f>VLOOKUP('Informe Kelly'!A3771,Base!A:G,7,FALSE)</f>
        <v>#N/A</v>
      </c>
      <c r="C3777" s="112">
        <f>'Informe Kelly'!E3771</f>
        <v>0</v>
      </c>
      <c r="D3777" s="112" t="e">
        <f>VLOOKUP(A3777,Ingreso!K:P,6,FALSE)</f>
        <v>#N/A</v>
      </c>
      <c r="E3777" s="142" t="e">
        <f>(VLOOKUP(D3777,$D$2:$E$4,2,FALSE))-(IF('Informe Kelly'!H3771=$A$2,'Informe Kelly'!F3771,VLOOKUP(D3777,$D$2:$E$4,2,FALSE)))</f>
        <v>#N/A</v>
      </c>
      <c r="F3777" s="142" t="e">
        <f>IF('Informe Kelly'!H3771=$A$3,'Informe Kelly'!F3771,VLOOKUP(D3777,$D$2:$F$4,3,FALSE))-(VLOOKUP(D3777,$D$2:$F$4,3,FALSE))</f>
        <v>#N/A</v>
      </c>
      <c r="G3777" s="137" t="e">
        <f t="shared" si="62"/>
        <v>#N/A</v>
      </c>
    </row>
    <row r="3778" spans="1:7">
      <c r="A3778" s="112" t="e">
        <f>VLOOKUP('Informe Kelly'!A3772,Base!A:B,2,FALSE)</f>
        <v>#N/A</v>
      </c>
      <c r="B3778" s="112" t="e">
        <f>VLOOKUP('Informe Kelly'!A3772,Base!A:G,7,FALSE)</f>
        <v>#N/A</v>
      </c>
      <c r="C3778" s="112">
        <f>'Informe Kelly'!E3772</f>
        <v>0</v>
      </c>
      <c r="D3778" s="112" t="e">
        <f>VLOOKUP(A3778,Ingreso!K:P,6,FALSE)</f>
        <v>#N/A</v>
      </c>
      <c r="E3778" s="142" t="e">
        <f>(VLOOKUP(D3778,$D$2:$E$4,2,FALSE))-(IF('Informe Kelly'!H3772=$A$2,'Informe Kelly'!F3772,VLOOKUP(D3778,$D$2:$E$4,2,FALSE)))</f>
        <v>#N/A</v>
      </c>
      <c r="F3778" s="142" t="e">
        <f>IF('Informe Kelly'!H3772=$A$3,'Informe Kelly'!F3772,VLOOKUP(D3778,$D$2:$F$4,3,FALSE))-(VLOOKUP(D3778,$D$2:$F$4,3,FALSE))</f>
        <v>#N/A</v>
      </c>
      <c r="G3778" s="137" t="e">
        <f t="shared" si="62"/>
        <v>#N/A</v>
      </c>
    </row>
    <row r="3779" spans="1:7">
      <c r="A3779" s="112" t="e">
        <f>VLOOKUP('Informe Kelly'!A3773,Base!A:B,2,FALSE)</f>
        <v>#N/A</v>
      </c>
      <c r="B3779" s="112" t="e">
        <f>VLOOKUP('Informe Kelly'!A3773,Base!A:G,7,FALSE)</f>
        <v>#N/A</v>
      </c>
      <c r="C3779" s="112">
        <f>'Informe Kelly'!E3773</f>
        <v>0</v>
      </c>
      <c r="D3779" s="112" t="e">
        <f>VLOOKUP(A3779,Ingreso!K:P,6,FALSE)</f>
        <v>#N/A</v>
      </c>
      <c r="E3779" s="142" t="e">
        <f>(VLOOKUP(D3779,$D$2:$E$4,2,FALSE))-(IF('Informe Kelly'!H3773=$A$2,'Informe Kelly'!F3773,VLOOKUP(D3779,$D$2:$E$4,2,FALSE)))</f>
        <v>#N/A</v>
      </c>
      <c r="F3779" s="142" t="e">
        <f>IF('Informe Kelly'!H3773=$A$3,'Informe Kelly'!F3773,VLOOKUP(D3779,$D$2:$F$4,3,FALSE))-(VLOOKUP(D3779,$D$2:$F$4,3,FALSE))</f>
        <v>#N/A</v>
      </c>
      <c r="G3779" s="137" t="e">
        <f t="shared" si="62"/>
        <v>#N/A</v>
      </c>
    </row>
    <row r="3780" spans="1:7">
      <c r="A3780" s="112" t="e">
        <f>VLOOKUP('Informe Kelly'!A3774,Base!A:B,2,FALSE)</f>
        <v>#N/A</v>
      </c>
      <c r="B3780" s="112" t="e">
        <f>VLOOKUP('Informe Kelly'!A3774,Base!A:G,7,FALSE)</f>
        <v>#N/A</v>
      </c>
      <c r="C3780" s="112">
        <f>'Informe Kelly'!E3774</f>
        <v>0</v>
      </c>
      <c r="D3780" s="112" t="e">
        <f>VLOOKUP(A3780,Ingreso!K:P,6,FALSE)</f>
        <v>#N/A</v>
      </c>
      <c r="E3780" s="142" t="e">
        <f>(VLOOKUP(D3780,$D$2:$E$4,2,FALSE))-(IF('Informe Kelly'!H3774=$A$2,'Informe Kelly'!F3774,VLOOKUP(D3780,$D$2:$E$4,2,FALSE)))</f>
        <v>#N/A</v>
      </c>
      <c r="F3780" s="142" t="e">
        <f>IF('Informe Kelly'!H3774=$A$3,'Informe Kelly'!F3774,VLOOKUP(D3780,$D$2:$F$4,3,FALSE))-(VLOOKUP(D3780,$D$2:$F$4,3,FALSE))</f>
        <v>#N/A</v>
      </c>
      <c r="G3780" s="137" t="e">
        <f t="shared" si="62"/>
        <v>#N/A</v>
      </c>
    </row>
    <row r="3781" spans="1:7">
      <c r="A3781" s="112" t="e">
        <f>VLOOKUP('Informe Kelly'!A3775,Base!A:B,2,FALSE)</f>
        <v>#N/A</v>
      </c>
      <c r="B3781" s="112" t="e">
        <f>VLOOKUP('Informe Kelly'!A3775,Base!A:G,7,FALSE)</f>
        <v>#N/A</v>
      </c>
      <c r="C3781" s="112">
        <f>'Informe Kelly'!E3775</f>
        <v>0</v>
      </c>
      <c r="D3781" s="112" t="e">
        <f>VLOOKUP(A3781,Ingreso!K:P,6,FALSE)</f>
        <v>#N/A</v>
      </c>
      <c r="E3781" s="142" t="e">
        <f>(VLOOKUP(D3781,$D$2:$E$4,2,FALSE))-(IF('Informe Kelly'!H3775=$A$2,'Informe Kelly'!F3775,VLOOKUP(D3781,$D$2:$E$4,2,FALSE)))</f>
        <v>#N/A</v>
      </c>
      <c r="F3781" s="142" t="e">
        <f>IF('Informe Kelly'!H3775=$A$3,'Informe Kelly'!F3775,VLOOKUP(D3781,$D$2:$F$4,3,FALSE))-(VLOOKUP(D3781,$D$2:$F$4,3,FALSE))</f>
        <v>#N/A</v>
      </c>
      <c r="G3781" s="137" t="e">
        <f t="shared" si="62"/>
        <v>#N/A</v>
      </c>
    </row>
    <row r="3782" spans="1:7">
      <c r="A3782" s="112" t="e">
        <f>VLOOKUP('Informe Kelly'!A3776,Base!A:B,2,FALSE)</f>
        <v>#N/A</v>
      </c>
      <c r="B3782" s="112" t="e">
        <f>VLOOKUP('Informe Kelly'!A3776,Base!A:G,7,FALSE)</f>
        <v>#N/A</v>
      </c>
      <c r="C3782" s="112">
        <f>'Informe Kelly'!E3776</f>
        <v>0</v>
      </c>
      <c r="D3782" s="112" t="e">
        <f>VLOOKUP(A3782,Ingreso!K:P,6,FALSE)</f>
        <v>#N/A</v>
      </c>
      <c r="E3782" s="142" t="e">
        <f>(VLOOKUP(D3782,$D$2:$E$4,2,FALSE))-(IF('Informe Kelly'!H3776=$A$2,'Informe Kelly'!F3776,VLOOKUP(D3782,$D$2:$E$4,2,FALSE)))</f>
        <v>#N/A</v>
      </c>
      <c r="F3782" s="142" t="e">
        <f>IF('Informe Kelly'!H3776=$A$3,'Informe Kelly'!F3776,VLOOKUP(D3782,$D$2:$F$4,3,FALSE))-(VLOOKUP(D3782,$D$2:$F$4,3,FALSE))</f>
        <v>#N/A</v>
      </c>
      <c r="G3782" s="137" t="e">
        <f t="shared" si="62"/>
        <v>#N/A</v>
      </c>
    </row>
    <row r="3783" spans="1:7">
      <c r="A3783" s="112" t="e">
        <f>VLOOKUP('Informe Kelly'!A3777,Base!A:B,2,FALSE)</f>
        <v>#N/A</v>
      </c>
      <c r="B3783" s="112" t="e">
        <f>VLOOKUP('Informe Kelly'!A3777,Base!A:G,7,FALSE)</f>
        <v>#N/A</v>
      </c>
      <c r="C3783" s="112">
        <f>'Informe Kelly'!E3777</f>
        <v>0</v>
      </c>
      <c r="D3783" s="112" t="e">
        <f>VLOOKUP(A3783,Ingreso!K:P,6,FALSE)</f>
        <v>#N/A</v>
      </c>
      <c r="E3783" s="142" t="e">
        <f>(VLOOKUP(D3783,$D$2:$E$4,2,FALSE))-(IF('Informe Kelly'!H3777=$A$2,'Informe Kelly'!F3777,VLOOKUP(D3783,$D$2:$E$4,2,FALSE)))</f>
        <v>#N/A</v>
      </c>
      <c r="F3783" s="142" t="e">
        <f>IF('Informe Kelly'!H3777=$A$3,'Informe Kelly'!F3777,VLOOKUP(D3783,$D$2:$F$4,3,FALSE))-(VLOOKUP(D3783,$D$2:$F$4,3,FALSE))</f>
        <v>#N/A</v>
      </c>
      <c r="G3783" s="137" t="e">
        <f t="shared" si="62"/>
        <v>#N/A</v>
      </c>
    </row>
    <row r="3784" spans="1:7">
      <c r="A3784" s="112" t="e">
        <f>VLOOKUP('Informe Kelly'!A3778,Base!A:B,2,FALSE)</f>
        <v>#N/A</v>
      </c>
      <c r="B3784" s="112" t="e">
        <f>VLOOKUP('Informe Kelly'!A3778,Base!A:G,7,FALSE)</f>
        <v>#N/A</v>
      </c>
      <c r="C3784" s="112">
        <f>'Informe Kelly'!E3778</f>
        <v>0</v>
      </c>
      <c r="D3784" s="112" t="e">
        <f>VLOOKUP(A3784,Ingreso!K:P,6,FALSE)</f>
        <v>#N/A</v>
      </c>
      <c r="E3784" s="142" t="e">
        <f>(VLOOKUP(D3784,$D$2:$E$4,2,FALSE))-(IF('Informe Kelly'!H3778=$A$2,'Informe Kelly'!F3778,VLOOKUP(D3784,$D$2:$E$4,2,FALSE)))</f>
        <v>#N/A</v>
      </c>
      <c r="F3784" s="142" t="e">
        <f>IF('Informe Kelly'!H3778=$A$3,'Informe Kelly'!F3778,VLOOKUP(D3784,$D$2:$F$4,3,FALSE))-(VLOOKUP(D3784,$D$2:$F$4,3,FALSE))</f>
        <v>#N/A</v>
      </c>
      <c r="G3784" s="137" t="e">
        <f t="shared" si="62"/>
        <v>#N/A</v>
      </c>
    </row>
    <row r="3785" spans="1:7">
      <c r="A3785" s="112" t="e">
        <f>VLOOKUP('Informe Kelly'!A3779,Base!A:B,2,FALSE)</f>
        <v>#N/A</v>
      </c>
      <c r="B3785" s="112" t="e">
        <f>VLOOKUP('Informe Kelly'!A3779,Base!A:G,7,FALSE)</f>
        <v>#N/A</v>
      </c>
      <c r="C3785" s="112">
        <f>'Informe Kelly'!E3779</f>
        <v>0</v>
      </c>
      <c r="D3785" s="112" t="e">
        <f>VLOOKUP(A3785,Ingreso!K:P,6,FALSE)</f>
        <v>#N/A</v>
      </c>
      <c r="E3785" s="142" t="e">
        <f>(VLOOKUP(D3785,$D$2:$E$4,2,FALSE))-(IF('Informe Kelly'!H3779=$A$2,'Informe Kelly'!F3779,VLOOKUP(D3785,$D$2:$E$4,2,FALSE)))</f>
        <v>#N/A</v>
      </c>
      <c r="F3785" s="142" t="e">
        <f>IF('Informe Kelly'!H3779=$A$3,'Informe Kelly'!F3779,VLOOKUP(D3785,$D$2:$F$4,3,FALSE))-(VLOOKUP(D3785,$D$2:$F$4,3,FALSE))</f>
        <v>#N/A</v>
      </c>
      <c r="G3785" s="137" t="e">
        <f t="shared" ref="G3785:G3848" si="63">IF(E3785="",IF(F3785&lt;0.0409722222222222,0,E3785),IF(E3785&lt;0.0409722222222222,0,E3785))</f>
        <v>#N/A</v>
      </c>
    </row>
    <row r="3786" spans="1:7">
      <c r="A3786" s="112" t="e">
        <f>VLOOKUP('Informe Kelly'!A3780,Base!A:B,2,FALSE)</f>
        <v>#N/A</v>
      </c>
      <c r="B3786" s="112" t="e">
        <f>VLOOKUP('Informe Kelly'!A3780,Base!A:G,7,FALSE)</f>
        <v>#N/A</v>
      </c>
      <c r="C3786" s="112">
        <f>'Informe Kelly'!E3780</f>
        <v>0</v>
      </c>
      <c r="D3786" s="112" t="e">
        <f>VLOOKUP(A3786,Ingreso!K:P,6,FALSE)</f>
        <v>#N/A</v>
      </c>
      <c r="E3786" s="142" t="e">
        <f>(VLOOKUP(D3786,$D$2:$E$4,2,FALSE))-(IF('Informe Kelly'!H3780=$A$2,'Informe Kelly'!F3780,VLOOKUP(D3786,$D$2:$E$4,2,FALSE)))</f>
        <v>#N/A</v>
      </c>
      <c r="F3786" s="142" t="e">
        <f>IF('Informe Kelly'!H3780=$A$3,'Informe Kelly'!F3780,VLOOKUP(D3786,$D$2:$F$4,3,FALSE))-(VLOOKUP(D3786,$D$2:$F$4,3,FALSE))</f>
        <v>#N/A</v>
      </c>
      <c r="G3786" s="137" t="e">
        <f t="shared" si="63"/>
        <v>#N/A</v>
      </c>
    </row>
    <row r="3787" spans="1:7">
      <c r="A3787" s="112" t="e">
        <f>VLOOKUP('Informe Kelly'!A3781,Base!A:B,2,FALSE)</f>
        <v>#N/A</v>
      </c>
      <c r="B3787" s="112" t="e">
        <f>VLOOKUP('Informe Kelly'!A3781,Base!A:G,7,FALSE)</f>
        <v>#N/A</v>
      </c>
      <c r="C3787" s="112">
        <f>'Informe Kelly'!E3781</f>
        <v>0</v>
      </c>
      <c r="D3787" s="112" t="e">
        <f>VLOOKUP(A3787,Ingreso!K:P,6,FALSE)</f>
        <v>#N/A</v>
      </c>
      <c r="E3787" s="142" t="e">
        <f>(VLOOKUP(D3787,$D$2:$E$4,2,FALSE))-(IF('Informe Kelly'!H3781=$A$2,'Informe Kelly'!F3781,VLOOKUP(D3787,$D$2:$E$4,2,FALSE)))</f>
        <v>#N/A</v>
      </c>
      <c r="F3787" s="142" t="e">
        <f>IF('Informe Kelly'!H3781=$A$3,'Informe Kelly'!F3781,VLOOKUP(D3787,$D$2:$F$4,3,FALSE))-(VLOOKUP(D3787,$D$2:$F$4,3,FALSE))</f>
        <v>#N/A</v>
      </c>
      <c r="G3787" s="137" t="e">
        <f t="shared" si="63"/>
        <v>#N/A</v>
      </c>
    </row>
    <row r="3788" spans="1:7">
      <c r="A3788" s="112" t="e">
        <f>VLOOKUP('Informe Kelly'!A3782,Base!A:B,2,FALSE)</f>
        <v>#N/A</v>
      </c>
      <c r="B3788" s="112" t="e">
        <f>VLOOKUP('Informe Kelly'!A3782,Base!A:G,7,FALSE)</f>
        <v>#N/A</v>
      </c>
      <c r="C3788" s="112">
        <f>'Informe Kelly'!E3782</f>
        <v>0</v>
      </c>
      <c r="D3788" s="112" t="e">
        <f>VLOOKUP(A3788,Ingreso!K:P,6,FALSE)</f>
        <v>#N/A</v>
      </c>
      <c r="E3788" s="142" t="e">
        <f>(VLOOKUP(D3788,$D$2:$E$4,2,FALSE))-(IF('Informe Kelly'!H3782=$A$2,'Informe Kelly'!F3782,VLOOKUP(D3788,$D$2:$E$4,2,FALSE)))</f>
        <v>#N/A</v>
      </c>
      <c r="F3788" s="142" t="e">
        <f>IF('Informe Kelly'!H3782=$A$3,'Informe Kelly'!F3782,VLOOKUP(D3788,$D$2:$F$4,3,FALSE))-(VLOOKUP(D3788,$D$2:$F$4,3,FALSE))</f>
        <v>#N/A</v>
      </c>
      <c r="G3788" s="137" t="e">
        <f t="shared" si="63"/>
        <v>#N/A</v>
      </c>
    </row>
    <row r="3789" spans="1:7">
      <c r="A3789" s="112" t="e">
        <f>VLOOKUP('Informe Kelly'!A3783,Base!A:B,2,FALSE)</f>
        <v>#N/A</v>
      </c>
      <c r="B3789" s="112" t="e">
        <f>VLOOKUP('Informe Kelly'!A3783,Base!A:G,7,FALSE)</f>
        <v>#N/A</v>
      </c>
      <c r="C3789" s="112">
        <f>'Informe Kelly'!E3783</f>
        <v>0</v>
      </c>
      <c r="D3789" s="112" t="e">
        <f>VLOOKUP(A3789,Ingreso!K:P,6,FALSE)</f>
        <v>#N/A</v>
      </c>
      <c r="E3789" s="142" t="e">
        <f>(VLOOKUP(D3789,$D$2:$E$4,2,FALSE))-(IF('Informe Kelly'!H3783=$A$2,'Informe Kelly'!F3783,VLOOKUP(D3789,$D$2:$E$4,2,FALSE)))</f>
        <v>#N/A</v>
      </c>
      <c r="F3789" s="142" t="e">
        <f>IF('Informe Kelly'!H3783=$A$3,'Informe Kelly'!F3783,VLOOKUP(D3789,$D$2:$F$4,3,FALSE))-(VLOOKUP(D3789,$D$2:$F$4,3,FALSE))</f>
        <v>#N/A</v>
      </c>
      <c r="G3789" s="137" t="e">
        <f t="shared" si="63"/>
        <v>#N/A</v>
      </c>
    </row>
    <row r="3790" spans="1:7">
      <c r="A3790" s="112" t="e">
        <f>VLOOKUP('Informe Kelly'!A3784,Base!A:B,2,FALSE)</f>
        <v>#N/A</v>
      </c>
      <c r="B3790" s="112" t="e">
        <f>VLOOKUP('Informe Kelly'!A3784,Base!A:G,7,FALSE)</f>
        <v>#N/A</v>
      </c>
      <c r="C3790" s="112">
        <f>'Informe Kelly'!E3784</f>
        <v>0</v>
      </c>
      <c r="D3790" s="112" t="e">
        <f>VLOOKUP(A3790,Ingreso!K:P,6,FALSE)</f>
        <v>#N/A</v>
      </c>
      <c r="E3790" s="142" t="e">
        <f>(VLOOKUP(D3790,$D$2:$E$4,2,FALSE))-(IF('Informe Kelly'!H3784=$A$2,'Informe Kelly'!F3784,VLOOKUP(D3790,$D$2:$E$4,2,FALSE)))</f>
        <v>#N/A</v>
      </c>
      <c r="F3790" s="142" t="e">
        <f>IF('Informe Kelly'!H3784=$A$3,'Informe Kelly'!F3784,VLOOKUP(D3790,$D$2:$F$4,3,FALSE))-(VLOOKUP(D3790,$D$2:$F$4,3,FALSE))</f>
        <v>#N/A</v>
      </c>
      <c r="G3790" s="137" t="e">
        <f t="shared" si="63"/>
        <v>#N/A</v>
      </c>
    </row>
    <row r="3791" spans="1:7">
      <c r="A3791" s="112" t="e">
        <f>VLOOKUP('Informe Kelly'!A3785,Base!A:B,2,FALSE)</f>
        <v>#N/A</v>
      </c>
      <c r="B3791" s="112" t="e">
        <f>VLOOKUP('Informe Kelly'!A3785,Base!A:G,7,FALSE)</f>
        <v>#N/A</v>
      </c>
      <c r="C3791" s="112">
        <f>'Informe Kelly'!E3785</f>
        <v>0</v>
      </c>
      <c r="D3791" s="112" t="e">
        <f>VLOOKUP(A3791,Ingreso!K:P,6,FALSE)</f>
        <v>#N/A</v>
      </c>
      <c r="E3791" s="142" t="e">
        <f>(VLOOKUP(D3791,$D$2:$E$4,2,FALSE))-(IF('Informe Kelly'!H3785=$A$2,'Informe Kelly'!F3785,VLOOKUP(D3791,$D$2:$E$4,2,FALSE)))</f>
        <v>#N/A</v>
      </c>
      <c r="F3791" s="142" t="e">
        <f>IF('Informe Kelly'!H3785=$A$3,'Informe Kelly'!F3785,VLOOKUP(D3791,$D$2:$F$4,3,FALSE))-(VLOOKUP(D3791,$D$2:$F$4,3,FALSE))</f>
        <v>#N/A</v>
      </c>
      <c r="G3791" s="137" t="e">
        <f t="shared" si="63"/>
        <v>#N/A</v>
      </c>
    </row>
    <row r="3792" spans="1:7">
      <c r="A3792" s="112" t="e">
        <f>VLOOKUP('Informe Kelly'!A3786,Base!A:B,2,FALSE)</f>
        <v>#N/A</v>
      </c>
      <c r="B3792" s="112" t="e">
        <f>VLOOKUP('Informe Kelly'!A3786,Base!A:G,7,FALSE)</f>
        <v>#N/A</v>
      </c>
      <c r="C3792" s="112">
        <f>'Informe Kelly'!E3786</f>
        <v>0</v>
      </c>
      <c r="D3792" s="112" t="e">
        <f>VLOOKUP(A3792,Ingreso!K:P,6,FALSE)</f>
        <v>#N/A</v>
      </c>
      <c r="E3792" s="142" t="e">
        <f>(VLOOKUP(D3792,$D$2:$E$4,2,FALSE))-(IF('Informe Kelly'!H3786=$A$2,'Informe Kelly'!F3786,VLOOKUP(D3792,$D$2:$E$4,2,FALSE)))</f>
        <v>#N/A</v>
      </c>
      <c r="F3792" s="142" t="e">
        <f>IF('Informe Kelly'!H3786=$A$3,'Informe Kelly'!F3786,VLOOKUP(D3792,$D$2:$F$4,3,FALSE))-(VLOOKUP(D3792,$D$2:$F$4,3,FALSE))</f>
        <v>#N/A</v>
      </c>
      <c r="G3792" s="137" t="e">
        <f t="shared" si="63"/>
        <v>#N/A</v>
      </c>
    </row>
    <row r="3793" spans="1:7">
      <c r="A3793" s="112" t="e">
        <f>VLOOKUP('Informe Kelly'!A3787,Base!A:B,2,FALSE)</f>
        <v>#N/A</v>
      </c>
      <c r="B3793" s="112" t="e">
        <f>VLOOKUP('Informe Kelly'!A3787,Base!A:G,7,FALSE)</f>
        <v>#N/A</v>
      </c>
      <c r="C3793" s="112">
        <f>'Informe Kelly'!E3787</f>
        <v>0</v>
      </c>
      <c r="D3793" s="112" t="e">
        <f>VLOOKUP(A3793,Ingreso!K:P,6,FALSE)</f>
        <v>#N/A</v>
      </c>
      <c r="E3793" s="142" t="e">
        <f>(VLOOKUP(D3793,$D$2:$E$4,2,FALSE))-(IF('Informe Kelly'!H3787=$A$2,'Informe Kelly'!F3787,VLOOKUP(D3793,$D$2:$E$4,2,FALSE)))</f>
        <v>#N/A</v>
      </c>
      <c r="F3793" s="142" t="e">
        <f>IF('Informe Kelly'!H3787=$A$3,'Informe Kelly'!F3787,VLOOKUP(D3793,$D$2:$F$4,3,FALSE))-(VLOOKUP(D3793,$D$2:$F$4,3,FALSE))</f>
        <v>#N/A</v>
      </c>
      <c r="G3793" s="137" t="e">
        <f t="shared" si="63"/>
        <v>#N/A</v>
      </c>
    </row>
    <row r="3794" spans="1:7">
      <c r="A3794" s="112" t="e">
        <f>VLOOKUP('Informe Kelly'!A3788,Base!A:B,2,FALSE)</f>
        <v>#N/A</v>
      </c>
      <c r="B3794" s="112" t="e">
        <f>VLOOKUP('Informe Kelly'!A3788,Base!A:G,7,FALSE)</f>
        <v>#N/A</v>
      </c>
      <c r="C3794" s="112">
        <f>'Informe Kelly'!E3788</f>
        <v>0</v>
      </c>
      <c r="D3794" s="112" t="e">
        <f>VLOOKUP(A3794,Ingreso!K:P,6,FALSE)</f>
        <v>#N/A</v>
      </c>
      <c r="E3794" s="142" t="e">
        <f>(VLOOKUP(D3794,$D$2:$E$4,2,FALSE))-(IF('Informe Kelly'!H3788=$A$2,'Informe Kelly'!F3788,VLOOKUP(D3794,$D$2:$E$4,2,FALSE)))</f>
        <v>#N/A</v>
      </c>
      <c r="F3794" s="142" t="e">
        <f>IF('Informe Kelly'!H3788=$A$3,'Informe Kelly'!F3788,VLOOKUP(D3794,$D$2:$F$4,3,FALSE))-(VLOOKUP(D3794,$D$2:$F$4,3,FALSE))</f>
        <v>#N/A</v>
      </c>
      <c r="G3794" s="137" t="e">
        <f t="shared" si="63"/>
        <v>#N/A</v>
      </c>
    </row>
    <row r="3795" spans="1:7">
      <c r="A3795" s="112" t="e">
        <f>VLOOKUP('Informe Kelly'!A3789,Base!A:B,2,FALSE)</f>
        <v>#N/A</v>
      </c>
      <c r="B3795" s="112" t="e">
        <f>VLOOKUP('Informe Kelly'!A3789,Base!A:G,7,FALSE)</f>
        <v>#N/A</v>
      </c>
      <c r="C3795" s="112">
        <f>'Informe Kelly'!E3789</f>
        <v>0</v>
      </c>
      <c r="D3795" s="112" t="e">
        <f>VLOOKUP(A3795,Ingreso!K:P,6,FALSE)</f>
        <v>#N/A</v>
      </c>
      <c r="E3795" s="142" t="e">
        <f>(VLOOKUP(D3795,$D$2:$E$4,2,FALSE))-(IF('Informe Kelly'!H3789=$A$2,'Informe Kelly'!F3789,VLOOKUP(D3795,$D$2:$E$4,2,FALSE)))</f>
        <v>#N/A</v>
      </c>
      <c r="F3795" s="142" t="e">
        <f>IF('Informe Kelly'!H3789=$A$3,'Informe Kelly'!F3789,VLOOKUP(D3795,$D$2:$F$4,3,FALSE))-(VLOOKUP(D3795,$D$2:$F$4,3,FALSE))</f>
        <v>#N/A</v>
      </c>
      <c r="G3795" s="137" t="e">
        <f t="shared" si="63"/>
        <v>#N/A</v>
      </c>
    </row>
    <row r="3796" spans="1:7">
      <c r="A3796" s="112" t="e">
        <f>VLOOKUP('Informe Kelly'!A3790,Base!A:B,2,FALSE)</f>
        <v>#N/A</v>
      </c>
      <c r="B3796" s="112" t="e">
        <f>VLOOKUP('Informe Kelly'!A3790,Base!A:G,7,FALSE)</f>
        <v>#N/A</v>
      </c>
      <c r="C3796" s="112">
        <f>'Informe Kelly'!E3790</f>
        <v>0</v>
      </c>
      <c r="D3796" s="112" t="e">
        <f>VLOOKUP(A3796,Ingreso!K:P,6,FALSE)</f>
        <v>#N/A</v>
      </c>
      <c r="E3796" s="142" t="e">
        <f>(VLOOKUP(D3796,$D$2:$E$4,2,FALSE))-(IF('Informe Kelly'!H3790=$A$2,'Informe Kelly'!F3790,VLOOKUP(D3796,$D$2:$E$4,2,FALSE)))</f>
        <v>#N/A</v>
      </c>
      <c r="F3796" s="142" t="e">
        <f>IF('Informe Kelly'!H3790=$A$3,'Informe Kelly'!F3790,VLOOKUP(D3796,$D$2:$F$4,3,FALSE))-(VLOOKUP(D3796,$D$2:$F$4,3,FALSE))</f>
        <v>#N/A</v>
      </c>
      <c r="G3796" s="137" t="e">
        <f t="shared" si="63"/>
        <v>#N/A</v>
      </c>
    </row>
    <row r="3797" spans="1:7">
      <c r="A3797" s="112" t="e">
        <f>VLOOKUP('Informe Kelly'!A3791,Base!A:B,2,FALSE)</f>
        <v>#N/A</v>
      </c>
      <c r="B3797" s="112" t="e">
        <f>VLOOKUP('Informe Kelly'!A3791,Base!A:G,7,FALSE)</f>
        <v>#N/A</v>
      </c>
      <c r="C3797" s="112">
        <f>'Informe Kelly'!E3791</f>
        <v>0</v>
      </c>
      <c r="D3797" s="112" t="e">
        <f>VLOOKUP(A3797,Ingreso!K:P,6,FALSE)</f>
        <v>#N/A</v>
      </c>
      <c r="E3797" s="142" t="e">
        <f>(VLOOKUP(D3797,$D$2:$E$4,2,FALSE))-(IF('Informe Kelly'!H3791=$A$2,'Informe Kelly'!F3791,VLOOKUP(D3797,$D$2:$E$4,2,FALSE)))</f>
        <v>#N/A</v>
      </c>
      <c r="F3797" s="142" t="e">
        <f>IF('Informe Kelly'!H3791=$A$3,'Informe Kelly'!F3791,VLOOKUP(D3797,$D$2:$F$4,3,FALSE))-(VLOOKUP(D3797,$D$2:$F$4,3,FALSE))</f>
        <v>#N/A</v>
      </c>
      <c r="G3797" s="137" t="e">
        <f t="shared" si="63"/>
        <v>#N/A</v>
      </c>
    </row>
    <row r="3798" spans="1:7">
      <c r="A3798" s="112" t="e">
        <f>VLOOKUP('Informe Kelly'!A3792,Base!A:B,2,FALSE)</f>
        <v>#N/A</v>
      </c>
      <c r="B3798" s="112" t="e">
        <f>VLOOKUP('Informe Kelly'!A3792,Base!A:G,7,FALSE)</f>
        <v>#N/A</v>
      </c>
      <c r="C3798" s="112">
        <f>'Informe Kelly'!E3792</f>
        <v>0</v>
      </c>
      <c r="D3798" s="112" t="e">
        <f>VLOOKUP(A3798,Ingreso!K:P,6,FALSE)</f>
        <v>#N/A</v>
      </c>
      <c r="E3798" s="142" t="e">
        <f>(VLOOKUP(D3798,$D$2:$E$4,2,FALSE))-(IF('Informe Kelly'!H3792=$A$2,'Informe Kelly'!F3792,VLOOKUP(D3798,$D$2:$E$4,2,FALSE)))</f>
        <v>#N/A</v>
      </c>
      <c r="F3798" s="142" t="e">
        <f>IF('Informe Kelly'!H3792=$A$3,'Informe Kelly'!F3792,VLOOKUP(D3798,$D$2:$F$4,3,FALSE))-(VLOOKUP(D3798,$D$2:$F$4,3,FALSE))</f>
        <v>#N/A</v>
      </c>
      <c r="G3798" s="137" t="e">
        <f t="shared" si="63"/>
        <v>#N/A</v>
      </c>
    </row>
    <row r="3799" spans="1:7">
      <c r="A3799" s="112" t="e">
        <f>VLOOKUP('Informe Kelly'!A3793,Base!A:B,2,FALSE)</f>
        <v>#N/A</v>
      </c>
      <c r="B3799" s="112" t="e">
        <f>VLOOKUP('Informe Kelly'!A3793,Base!A:G,7,FALSE)</f>
        <v>#N/A</v>
      </c>
      <c r="C3799" s="112">
        <f>'Informe Kelly'!E3793</f>
        <v>0</v>
      </c>
      <c r="D3799" s="112" t="e">
        <f>VLOOKUP(A3799,Ingreso!K:P,6,FALSE)</f>
        <v>#N/A</v>
      </c>
      <c r="E3799" s="142" t="e">
        <f>(VLOOKUP(D3799,$D$2:$E$4,2,FALSE))-(IF('Informe Kelly'!H3793=$A$2,'Informe Kelly'!F3793,VLOOKUP(D3799,$D$2:$E$4,2,FALSE)))</f>
        <v>#N/A</v>
      </c>
      <c r="F3799" s="142" t="e">
        <f>IF('Informe Kelly'!H3793=$A$3,'Informe Kelly'!F3793,VLOOKUP(D3799,$D$2:$F$4,3,FALSE))-(VLOOKUP(D3799,$D$2:$F$4,3,FALSE))</f>
        <v>#N/A</v>
      </c>
      <c r="G3799" s="137" t="e">
        <f t="shared" si="63"/>
        <v>#N/A</v>
      </c>
    </row>
    <row r="3800" spans="1:7">
      <c r="A3800" s="112" t="e">
        <f>VLOOKUP('Informe Kelly'!A3794,Base!A:B,2,FALSE)</f>
        <v>#N/A</v>
      </c>
      <c r="B3800" s="112" t="e">
        <f>VLOOKUP('Informe Kelly'!A3794,Base!A:G,7,FALSE)</f>
        <v>#N/A</v>
      </c>
      <c r="C3800" s="112">
        <f>'Informe Kelly'!E3794</f>
        <v>0</v>
      </c>
      <c r="D3800" s="112" t="e">
        <f>VLOOKUP(A3800,Ingreso!K:P,6,FALSE)</f>
        <v>#N/A</v>
      </c>
      <c r="E3800" s="142" t="e">
        <f>(VLOOKUP(D3800,$D$2:$E$4,2,FALSE))-(IF('Informe Kelly'!H3794=$A$2,'Informe Kelly'!F3794,VLOOKUP(D3800,$D$2:$E$4,2,FALSE)))</f>
        <v>#N/A</v>
      </c>
      <c r="F3800" s="142" t="e">
        <f>IF('Informe Kelly'!H3794=$A$3,'Informe Kelly'!F3794,VLOOKUP(D3800,$D$2:$F$4,3,FALSE))-(VLOOKUP(D3800,$D$2:$F$4,3,FALSE))</f>
        <v>#N/A</v>
      </c>
      <c r="G3800" s="137" t="e">
        <f t="shared" si="63"/>
        <v>#N/A</v>
      </c>
    </row>
    <row r="3801" spans="1:7">
      <c r="A3801" s="112" t="e">
        <f>VLOOKUP('Informe Kelly'!A3795,Base!A:B,2,FALSE)</f>
        <v>#N/A</v>
      </c>
      <c r="B3801" s="112" t="e">
        <f>VLOOKUP('Informe Kelly'!A3795,Base!A:G,7,FALSE)</f>
        <v>#N/A</v>
      </c>
      <c r="C3801" s="112">
        <f>'Informe Kelly'!E3795</f>
        <v>0</v>
      </c>
      <c r="D3801" s="112" t="e">
        <f>VLOOKUP(A3801,Ingreso!K:P,6,FALSE)</f>
        <v>#N/A</v>
      </c>
      <c r="E3801" s="142" t="e">
        <f>(VLOOKUP(D3801,$D$2:$E$4,2,FALSE))-(IF('Informe Kelly'!H3795=$A$2,'Informe Kelly'!F3795,VLOOKUP(D3801,$D$2:$E$4,2,FALSE)))</f>
        <v>#N/A</v>
      </c>
      <c r="F3801" s="142" t="e">
        <f>IF('Informe Kelly'!H3795=$A$3,'Informe Kelly'!F3795,VLOOKUP(D3801,$D$2:$F$4,3,FALSE))-(VLOOKUP(D3801,$D$2:$F$4,3,FALSE))</f>
        <v>#N/A</v>
      </c>
      <c r="G3801" s="137" t="e">
        <f t="shared" si="63"/>
        <v>#N/A</v>
      </c>
    </row>
    <row r="3802" spans="1:7">
      <c r="A3802" s="112" t="e">
        <f>VLOOKUP('Informe Kelly'!A3796,Base!A:B,2,FALSE)</f>
        <v>#N/A</v>
      </c>
      <c r="B3802" s="112" t="e">
        <f>VLOOKUP('Informe Kelly'!A3796,Base!A:G,7,FALSE)</f>
        <v>#N/A</v>
      </c>
      <c r="C3802" s="112">
        <f>'Informe Kelly'!E3796</f>
        <v>0</v>
      </c>
      <c r="D3802" s="112" t="e">
        <f>VLOOKUP(A3802,Ingreso!K:P,6,FALSE)</f>
        <v>#N/A</v>
      </c>
      <c r="E3802" s="142" t="e">
        <f>(VLOOKUP(D3802,$D$2:$E$4,2,FALSE))-(IF('Informe Kelly'!H3796=$A$2,'Informe Kelly'!F3796,VLOOKUP(D3802,$D$2:$E$4,2,FALSE)))</f>
        <v>#N/A</v>
      </c>
      <c r="F3802" s="142" t="e">
        <f>IF('Informe Kelly'!H3796=$A$3,'Informe Kelly'!F3796,VLOOKUP(D3802,$D$2:$F$4,3,FALSE))-(VLOOKUP(D3802,$D$2:$F$4,3,FALSE))</f>
        <v>#N/A</v>
      </c>
      <c r="G3802" s="137" t="e">
        <f t="shared" si="63"/>
        <v>#N/A</v>
      </c>
    </row>
    <row r="3803" spans="1:7">
      <c r="A3803" s="112" t="e">
        <f>VLOOKUP('Informe Kelly'!A3797,Base!A:B,2,FALSE)</f>
        <v>#N/A</v>
      </c>
      <c r="B3803" s="112" t="e">
        <f>VLOOKUP('Informe Kelly'!A3797,Base!A:G,7,FALSE)</f>
        <v>#N/A</v>
      </c>
      <c r="C3803" s="112">
        <f>'Informe Kelly'!E3797</f>
        <v>0</v>
      </c>
      <c r="D3803" s="112" t="e">
        <f>VLOOKUP(A3803,Ingreso!K:P,6,FALSE)</f>
        <v>#N/A</v>
      </c>
      <c r="E3803" s="142" t="e">
        <f>(VLOOKUP(D3803,$D$2:$E$4,2,FALSE))-(IF('Informe Kelly'!H3797=$A$2,'Informe Kelly'!F3797,VLOOKUP(D3803,$D$2:$E$4,2,FALSE)))</f>
        <v>#N/A</v>
      </c>
      <c r="F3803" s="142" t="e">
        <f>IF('Informe Kelly'!H3797=$A$3,'Informe Kelly'!F3797,VLOOKUP(D3803,$D$2:$F$4,3,FALSE))-(VLOOKUP(D3803,$D$2:$F$4,3,FALSE))</f>
        <v>#N/A</v>
      </c>
      <c r="G3803" s="137" t="e">
        <f t="shared" si="63"/>
        <v>#N/A</v>
      </c>
    </row>
    <row r="3804" spans="1:7">
      <c r="A3804" s="112" t="e">
        <f>VLOOKUP('Informe Kelly'!A3798,Base!A:B,2,FALSE)</f>
        <v>#N/A</v>
      </c>
      <c r="B3804" s="112" t="e">
        <f>VLOOKUP('Informe Kelly'!A3798,Base!A:G,7,FALSE)</f>
        <v>#N/A</v>
      </c>
      <c r="C3804" s="112">
        <f>'Informe Kelly'!E3798</f>
        <v>0</v>
      </c>
      <c r="D3804" s="112" t="e">
        <f>VLOOKUP(A3804,Ingreso!K:P,6,FALSE)</f>
        <v>#N/A</v>
      </c>
      <c r="E3804" s="142" t="e">
        <f>(VLOOKUP(D3804,$D$2:$E$4,2,FALSE))-(IF('Informe Kelly'!H3798=$A$2,'Informe Kelly'!F3798,VLOOKUP(D3804,$D$2:$E$4,2,FALSE)))</f>
        <v>#N/A</v>
      </c>
      <c r="F3804" s="142" t="e">
        <f>IF('Informe Kelly'!H3798=$A$3,'Informe Kelly'!F3798,VLOOKUP(D3804,$D$2:$F$4,3,FALSE))-(VLOOKUP(D3804,$D$2:$F$4,3,FALSE))</f>
        <v>#N/A</v>
      </c>
      <c r="G3804" s="137" t="e">
        <f t="shared" si="63"/>
        <v>#N/A</v>
      </c>
    </row>
    <row r="3805" spans="1:7">
      <c r="A3805" s="112" t="e">
        <f>VLOOKUP('Informe Kelly'!A3799,Base!A:B,2,FALSE)</f>
        <v>#N/A</v>
      </c>
      <c r="B3805" s="112" t="e">
        <f>VLOOKUP('Informe Kelly'!A3799,Base!A:G,7,FALSE)</f>
        <v>#N/A</v>
      </c>
      <c r="C3805" s="112">
        <f>'Informe Kelly'!E3799</f>
        <v>0</v>
      </c>
      <c r="D3805" s="112" t="e">
        <f>VLOOKUP(A3805,Ingreso!K:P,6,FALSE)</f>
        <v>#N/A</v>
      </c>
      <c r="E3805" s="142" t="e">
        <f>(VLOOKUP(D3805,$D$2:$E$4,2,FALSE))-(IF('Informe Kelly'!H3799=$A$2,'Informe Kelly'!F3799,VLOOKUP(D3805,$D$2:$E$4,2,FALSE)))</f>
        <v>#N/A</v>
      </c>
      <c r="F3805" s="142" t="e">
        <f>IF('Informe Kelly'!H3799=$A$3,'Informe Kelly'!F3799,VLOOKUP(D3805,$D$2:$F$4,3,FALSE))-(VLOOKUP(D3805,$D$2:$F$4,3,FALSE))</f>
        <v>#N/A</v>
      </c>
      <c r="G3805" s="137" t="e">
        <f t="shared" si="63"/>
        <v>#N/A</v>
      </c>
    </row>
    <row r="3806" spans="1:7">
      <c r="A3806" s="112" t="e">
        <f>VLOOKUP('Informe Kelly'!A3800,Base!A:B,2,FALSE)</f>
        <v>#N/A</v>
      </c>
      <c r="B3806" s="112" t="e">
        <f>VLOOKUP('Informe Kelly'!A3800,Base!A:G,7,FALSE)</f>
        <v>#N/A</v>
      </c>
      <c r="C3806" s="112">
        <f>'Informe Kelly'!E3800</f>
        <v>0</v>
      </c>
      <c r="D3806" s="112" t="e">
        <f>VLOOKUP(A3806,Ingreso!K:P,6,FALSE)</f>
        <v>#N/A</v>
      </c>
      <c r="E3806" s="142" t="e">
        <f>(VLOOKUP(D3806,$D$2:$E$4,2,FALSE))-(IF('Informe Kelly'!H3800=$A$2,'Informe Kelly'!F3800,VLOOKUP(D3806,$D$2:$E$4,2,FALSE)))</f>
        <v>#N/A</v>
      </c>
      <c r="F3806" s="142" t="e">
        <f>IF('Informe Kelly'!H3800=$A$3,'Informe Kelly'!F3800,VLOOKUP(D3806,$D$2:$F$4,3,FALSE))-(VLOOKUP(D3806,$D$2:$F$4,3,FALSE))</f>
        <v>#N/A</v>
      </c>
      <c r="G3806" s="137" t="e">
        <f t="shared" si="63"/>
        <v>#N/A</v>
      </c>
    </row>
    <row r="3807" spans="1:7">
      <c r="A3807" s="112" t="e">
        <f>VLOOKUP('Informe Kelly'!A3801,Base!A:B,2,FALSE)</f>
        <v>#N/A</v>
      </c>
      <c r="B3807" s="112" t="e">
        <f>VLOOKUP('Informe Kelly'!A3801,Base!A:G,7,FALSE)</f>
        <v>#N/A</v>
      </c>
      <c r="C3807" s="112">
        <f>'Informe Kelly'!E3801</f>
        <v>0</v>
      </c>
      <c r="D3807" s="112" t="e">
        <f>VLOOKUP(A3807,Ingreso!K:P,6,FALSE)</f>
        <v>#N/A</v>
      </c>
      <c r="E3807" s="142" t="e">
        <f>(VLOOKUP(D3807,$D$2:$E$4,2,FALSE))-(IF('Informe Kelly'!H3801=$A$2,'Informe Kelly'!F3801,VLOOKUP(D3807,$D$2:$E$4,2,FALSE)))</f>
        <v>#N/A</v>
      </c>
      <c r="F3807" s="142" t="e">
        <f>IF('Informe Kelly'!H3801=$A$3,'Informe Kelly'!F3801,VLOOKUP(D3807,$D$2:$F$4,3,FALSE))-(VLOOKUP(D3807,$D$2:$F$4,3,FALSE))</f>
        <v>#N/A</v>
      </c>
      <c r="G3807" s="137" t="e">
        <f t="shared" si="63"/>
        <v>#N/A</v>
      </c>
    </row>
    <row r="3808" spans="1:7">
      <c r="A3808" s="112" t="e">
        <f>VLOOKUP('Informe Kelly'!A3802,Base!A:B,2,FALSE)</f>
        <v>#N/A</v>
      </c>
      <c r="B3808" s="112" t="e">
        <f>VLOOKUP('Informe Kelly'!A3802,Base!A:G,7,FALSE)</f>
        <v>#N/A</v>
      </c>
      <c r="C3808" s="112">
        <f>'Informe Kelly'!E3802</f>
        <v>0</v>
      </c>
      <c r="D3808" s="112" t="e">
        <f>VLOOKUP(A3808,Ingreso!K:P,6,FALSE)</f>
        <v>#N/A</v>
      </c>
      <c r="E3808" s="142" t="e">
        <f>(VLOOKUP(D3808,$D$2:$E$4,2,FALSE))-(IF('Informe Kelly'!H3802=$A$2,'Informe Kelly'!F3802,VLOOKUP(D3808,$D$2:$E$4,2,FALSE)))</f>
        <v>#N/A</v>
      </c>
      <c r="F3808" s="142" t="e">
        <f>IF('Informe Kelly'!H3802=$A$3,'Informe Kelly'!F3802,VLOOKUP(D3808,$D$2:$F$4,3,FALSE))-(VLOOKUP(D3808,$D$2:$F$4,3,FALSE))</f>
        <v>#N/A</v>
      </c>
      <c r="G3808" s="137" t="e">
        <f t="shared" si="63"/>
        <v>#N/A</v>
      </c>
    </row>
    <row r="3809" spans="1:7">
      <c r="A3809" s="112" t="e">
        <f>VLOOKUP('Informe Kelly'!A3803,Base!A:B,2,FALSE)</f>
        <v>#N/A</v>
      </c>
      <c r="B3809" s="112" t="e">
        <f>VLOOKUP('Informe Kelly'!A3803,Base!A:G,7,FALSE)</f>
        <v>#N/A</v>
      </c>
      <c r="C3809" s="112">
        <f>'Informe Kelly'!E3803</f>
        <v>0</v>
      </c>
      <c r="D3809" s="112" t="e">
        <f>VLOOKUP(A3809,Ingreso!K:P,6,FALSE)</f>
        <v>#N/A</v>
      </c>
      <c r="E3809" s="142" t="e">
        <f>(VLOOKUP(D3809,$D$2:$E$4,2,FALSE))-(IF('Informe Kelly'!H3803=$A$2,'Informe Kelly'!F3803,VLOOKUP(D3809,$D$2:$E$4,2,FALSE)))</f>
        <v>#N/A</v>
      </c>
      <c r="F3809" s="142" t="e">
        <f>IF('Informe Kelly'!H3803=$A$3,'Informe Kelly'!F3803,VLOOKUP(D3809,$D$2:$F$4,3,FALSE))-(VLOOKUP(D3809,$D$2:$F$4,3,FALSE))</f>
        <v>#N/A</v>
      </c>
      <c r="G3809" s="137" t="e">
        <f t="shared" si="63"/>
        <v>#N/A</v>
      </c>
    </row>
    <row r="3810" spans="1:7">
      <c r="A3810" s="112" t="e">
        <f>VLOOKUP('Informe Kelly'!A3804,Base!A:B,2,FALSE)</f>
        <v>#N/A</v>
      </c>
      <c r="B3810" s="112" t="e">
        <f>VLOOKUP('Informe Kelly'!A3804,Base!A:G,7,FALSE)</f>
        <v>#N/A</v>
      </c>
      <c r="C3810" s="112">
        <f>'Informe Kelly'!E3804</f>
        <v>0</v>
      </c>
      <c r="D3810" s="112" t="e">
        <f>VLOOKUP(A3810,Ingreso!K:P,6,FALSE)</f>
        <v>#N/A</v>
      </c>
      <c r="E3810" s="142" t="e">
        <f>(VLOOKUP(D3810,$D$2:$E$4,2,FALSE))-(IF('Informe Kelly'!H3804=$A$2,'Informe Kelly'!F3804,VLOOKUP(D3810,$D$2:$E$4,2,FALSE)))</f>
        <v>#N/A</v>
      </c>
      <c r="F3810" s="142" t="e">
        <f>IF('Informe Kelly'!H3804=$A$3,'Informe Kelly'!F3804,VLOOKUP(D3810,$D$2:$F$4,3,FALSE))-(VLOOKUP(D3810,$D$2:$F$4,3,FALSE))</f>
        <v>#N/A</v>
      </c>
      <c r="G3810" s="137" t="e">
        <f t="shared" si="63"/>
        <v>#N/A</v>
      </c>
    </row>
    <row r="3811" spans="1:7">
      <c r="A3811" s="112" t="e">
        <f>VLOOKUP('Informe Kelly'!A3805,Base!A:B,2,FALSE)</f>
        <v>#N/A</v>
      </c>
      <c r="B3811" s="112" t="e">
        <f>VLOOKUP('Informe Kelly'!A3805,Base!A:G,7,FALSE)</f>
        <v>#N/A</v>
      </c>
      <c r="C3811" s="112">
        <f>'Informe Kelly'!E3805</f>
        <v>0</v>
      </c>
      <c r="D3811" s="112" t="e">
        <f>VLOOKUP(A3811,Ingreso!K:P,6,FALSE)</f>
        <v>#N/A</v>
      </c>
      <c r="E3811" s="142" t="e">
        <f>(VLOOKUP(D3811,$D$2:$E$4,2,FALSE))-(IF('Informe Kelly'!H3805=$A$2,'Informe Kelly'!F3805,VLOOKUP(D3811,$D$2:$E$4,2,FALSE)))</f>
        <v>#N/A</v>
      </c>
      <c r="F3811" s="142" t="e">
        <f>IF('Informe Kelly'!H3805=$A$3,'Informe Kelly'!F3805,VLOOKUP(D3811,$D$2:$F$4,3,FALSE))-(VLOOKUP(D3811,$D$2:$F$4,3,FALSE))</f>
        <v>#N/A</v>
      </c>
      <c r="G3811" s="137" t="e">
        <f t="shared" si="63"/>
        <v>#N/A</v>
      </c>
    </row>
    <row r="3812" spans="1:7">
      <c r="A3812" s="112" t="e">
        <f>VLOOKUP('Informe Kelly'!A3806,Base!A:B,2,FALSE)</f>
        <v>#N/A</v>
      </c>
      <c r="B3812" s="112" t="e">
        <f>VLOOKUP('Informe Kelly'!A3806,Base!A:G,7,FALSE)</f>
        <v>#N/A</v>
      </c>
      <c r="C3812" s="112">
        <f>'Informe Kelly'!E3806</f>
        <v>0</v>
      </c>
      <c r="D3812" s="112" t="e">
        <f>VLOOKUP(A3812,Ingreso!K:P,6,FALSE)</f>
        <v>#N/A</v>
      </c>
      <c r="E3812" s="142" t="e">
        <f>(VLOOKUP(D3812,$D$2:$E$4,2,FALSE))-(IF('Informe Kelly'!H3806=$A$2,'Informe Kelly'!F3806,VLOOKUP(D3812,$D$2:$E$4,2,FALSE)))</f>
        <v>#N/A</v>
      </c>
      <c r="F3812" s="142" t="e">
        <f>IF('Informe Kelly'!H3806=$A$3,'Informe Kelly'!F3806,VLOOKUP(D3812,$D$2:$F$4,3,FALSE))-(VLOOKUP(D3812,$D$2:$F$4,3,FALSE))</f>
        <v>#N/A</v>
      </c>
      <c r="G3812" s="137" t="e">
        <f t="shared" si="63"/>
        <v>#N/A</v>
      </c>
    </row>
    <row r="3813" spans="1:7">
      <c r="A3813" s="112" t="e">
        <f>VLOOKUP('Informe Kelly'!A3807,Base!A:B,2,FALSE)</f>
        <v>#N/A</v>
      </c>
      <c r="B3813" s="112" t="e">
        <f>VLOOKUP('Informe Kelly'!A3807,Base!A:G,7,FALSE)</f>
        <v>#N/A</v>
      </c>
      <c r="C3813" s="112">
        <f>'Informe Kelly'!E3807</f>
        <v>0</v>
      </c>
      <c r="D3813" s="112" t="e">
        <f>VLOOKUP(A3813,Ingreso!K:P,6,FALSE)</f>
        <v>#N/A</v>
      </c>
      <c r="E3813" s="142" t="e">
        <f>(VLOOKUP(D3813,$D$2:$E$4,2,FALSE))-(IF('Informe Kelly'!H3807=$A$2,'Informe Kelly'!F3807,VLOOKUP(D3813,$D$2:$E$4,2,FALSE)))</f>
        <v>#N/A</v>
      </c>
      <c r="F3813" s="142" t="e">
        <f>IF('Informe Kelly'!H3807=$A$3,'Informe Kelly'!F3807,VLOOKUP(D3813,$D$2:$F$4,3,FALSE))-(VLOOKUP(D3813,$D$2:$F$4,3,FALSE))</f>
        <v>#N/A</v>
      </c>
      <c r="G3813" s="137" t="e">
        <f t="shared" si="63"/>
        <v>#N/A</v>
      </c>
    </row>
    <row r="3814" spans="1:7">
      <c r="A3814" s="112" t="e">
        <f>VLOOKUP('Informe Kelly'!A3808,Base!A:B,2,FALSE)</f>
        <v>#N/A</v>
      </c>
      <c r="B3814" s="112" t="e">
        <f>VLOOKUP('Informe Kelly'!A3808,Base!A:G,7,FALSE)</f>
        <v>#N/A</v>
      </c>
      <c r="C3814" s="112">
        <f>'Informe Kelly'!E3808</f>
        <v>0</v>
      </c>
      <c r="D3814" s="112" t="e">
        <f>VLOOKUP(A3814,Ingreso!K:P,6,FALSE)</f>
        <v>#N/A</v>
      </c>
      <c r="E3814" s="142" t="e">
        <f>(VLOOKUP(D3814,$D$2:$E$4,2,FALSE))-(IF('Informe Kelly'!H3808=$A$2,'Informe Kelly'!F3808,VLOOKUP(D3814,$D$2:$E$4,2,FALSE)))</f>
        <v>#N/A</v>
      </c>
      <c r="F3814" s="142" t="e">
        <f>IF('Informe Kelly'!H3808=$A$3,'Informe Kelly'!F3808,VLOOKUP(D3814,$D$2:$F$4,3,FALSE))-(VLOOKUP(D3814,$D$2:$F$4,3,FALSE))</f>
        <v>#N/A</v>
      </c>
      <c r="G3814" s="137" t="e">
        <f t="shared" si="63"/>
        <v>#N/A</v>
      </c>
    </row>
    <row r="3815" spans="1:7">
      <c r="A3815" s="112" t="e">
        <f>VLOOKUP('Informe Kelly'!A3809,Base!A:B,2,FALSE)</f>
        <v>#N/A</v>
      </c>
      <c r="B3815" s="112" t="e">
        <f>VLOOKUP('Informe Kelly'!A3809,Base!A:G,7,FALSE)</f>
        <v>#N/A</v>
      </c>
      <c r="C3815" s="112">
        <f>'Informe Kelly'!E3809</f>
        <v>0</v>
      </c>
      <c r="D3815" s="112" t="e">
        <f>VLOOKUP(A3815,Ingreso!K:P,6,FALSE)</f>
        <v>#N/A</v>
      </c>
      <c r="E3815" s="142" t="e">
        <f>(VLOOKUP(D3815,$D$2:$E$4,2,FALSE))-(IF('Informe Kelly'!H3809=$A$2,'Informe Kelly'!F3809,VLOOKUP(D3815,$D$2:$E$4,2,FALSE)))</f>
        <v>#N/A</v>
      </c>
      <c r="F3815" s="142" t="e">
        <f>IF('Informe Kelly'!H3809=$A$3,'Informe Kelly'!F3809,VLOOKUP(D3815,$D$2:$F$4,3,FALSE))-(VLOOKUP(D3815,$D$2:$F$4,3,FALSE))</f>
        <v>#N/A</v>
      </c>
      <c r="G3815" s="137" t="e">
        <f t="shared" si="63"/>
        <v>#N/A</v>
      </c>
    </row>
    <row r="3816" spans="1:7">
      <c r="A3816" s="112" t="e">
        <f>VLOOKUP('Informe Kelly'!A3810,Base!A:B,2,FALSE)</f>
        <v>#N/A</v>
      </c>
      <c r="B3816" s="112" t="e">
        <f>VLOOKUP('Informe Kelly'!A3810,Base!A:G,7,FALSE)</f>
        <v>#N/A</v>
      </c>
      <c r="C3816" s="112">
        <f>'Informe Kelly'!E3810</f>
        <v>0</v>
      </c>
      <c r="D3816" s="112" t="e">
        <f>VLOOKUP(A3816,Ingreso!K:P,6,FALSE)</f>
        <v>#N/A</v>
      </c>
      <c r="E3816" s="142" t="e">
        <f>(VLOOKUP(D3816,$D$2:$E$4,2,FALSE))-(IF('Informe Kelly'!H3810=$A$2,'Informe Kelly'!F3810,VLOOKUP(D3816,$D$2:$E$4,2,FALSE)))</f>
        <v>#N/A</v>
      </c>
      <c r="F3816" s="142" t="e">
        <f>IF('Informe Kelly'!H3810=$A$3,'Informe Kelly'!F3810,VLOOKUP(D3816,$D$2:$F$4,3,FALSE))-(VLOOKUP(D3816,$D$2:$F$4,3,FALSE))</f>
        <v>#N/A</v>
      </c>
      <c r="G3816" s="137" t="e">
        <f t="shared" si="63"/>
        <v>#N/A</v>
      </c>
    </row>
    <row r="3817" spans="1:7">
      <c r="A3817" s="112" t="e">
        <f>VLOOKUP('Informe Kelly'!A3811,Base!A:B,2,FALSE)</f>
        <v>#N/A</v>
      </c>
      <c r="B3817" s="112" t="e">
        <f>VLOOKUP('Informe Kelly'!A3811,Base!A:G,7,FALSE)</f>
        <v>#N/A</v>
      </c>
      <c r="C3817" s="112">
        <f>'Informe Kelly'!E3811</f>
        <v>0</v>
      </c>
      <c r="D3817" s="112" t="e">
        <f>VLOOKUP(A3817,Ingreso!K:P,6,FALSE)</f>
        <v>#N/A</v>
      </c>
      <c r="E3817" s="142" t="e">
        <f>(VLOOKUP(D3817,$D$2:$E$4,2,FALSE))-(IF('Informe Kelly'!H3811=$A$2,'Informe Kelly'!F3811,VLOOKUP(D3817,$D$2:$E$4,2,FALSE)))</f>
        <v>#N/A</v>
      </c>
      <c r="F3817" s="142" t="e">
        <f>IF('Informe Kelly'!H3811=$A$3,'Informe Kelly'!F3811,VLOOKUP(D3817,$D$2:$F$4,3,FALSE))-(VLOOKUP(D3817,$D$2:$F$4,3,FALSE))</f>
        <v>#N/A</v>
      </c>
      <c r="G3817" s="137" t="e">
        <f t="shared" si="63"/>
        <v>#N/A</v>
      </c>
    </row>
    <row r="3818" spans="1:7">
      <c r="A3818" s="112" t="e">
        <f>VLOOKUP('Informe Kelly'!A3812,Base!A:B,2,FALSE)</f>
        <v>#N/A</v>
      </c>
      <c r="B3818" s="112" t="e">
        <f>VLOOKUP('Informe Kelly'!A3812,Base!A:G,7,FALSE)</f>
        <v>#N/A</v>
      </c>
      <c r="C3818" s="112">
        <f>'Informe Kelly'!E3812</f>
        <v>0</v>
      </c>
      <c r="D3818" s="112" t="e">
        <f>VLOOKUP(A3818,Ingreso!K:P,6,FALSE)</f>
        <v>#N/A</v>
      </c>
      <c r="E3818" s="142" t="e">
        <f>(VLOOKUP(D3818,$D$2:$E$4,2,FALSE))-(IF('Informe Kelly'!H3812=$A$2,'Informe Kelly'!F3812,VLOOKUP(D3818,$D$2:$E$4,2,FALSE)))</f>
        <v>#N/A</v>
      </c>
      <c r="F3818" s="142" t="e">
        <f>IF('Informe Kelly'!H3812=$A$3,'Informe Kelly'!F3812,VLOOKUP(D3818,$D$2:$F$4,3,FALSE))-(VLOOKUP(D3818,$D$2:$F$4,3,FALSE))</f>
        <v>#N/A</v>
      </c>
      <c r="G3818" s="137" t="e">
        <f t="shared" si="63"/>
        <v>#N/A</v>
      </c>
    </row>
    <row r="3819" spans="1:7">
      <c r="A3819" s="112" t="e">
        <f>VLOOKUP('Informe Kelly'!A3813,Base!A:B,2,FALSE)</f>
        <v>#N/A</v>
      </c>
      <c r="B3819" s="112" t="e">
        <f>VLOOKUP('Informe Kelly'!A3813,Base!A:G,7,FALSE)</f>
        <v>#N/A</v>
      </c>
      <c r="C3819" s="112">
        <f>'Informe Kelly'!E3813</f>
        <v>0</v>
      </c>
      <c r="D3819" s="112" t="e">
        <f>VLOOKUP(A3819,Ingreso!K:P,6,FALSE)</f>
        <v>#N/A</v>
      </c>
      <c r="E3819" s="142" t="e">
        <f>(VLOOKUP(D3819,$D$2:$E$4,2,FALSE))-(IF('Informe Kelly'!H3813=$A$2,'Informe Kelly'!F3813,VLOOKUP(D3819,$D$2:$E$4,2,FALSE)))</f>
        <v>#N/A</v>
      </c>
      <c r="F3819" s="142" t="e">
        <f>IF('Informe Kelly'!H3813=$A$3,'Informe Kelly'!F3813,VLOOKUP(D3819,$D$2:$F$4,3,FALSE))-(VLOOKUP(D3819,$D$2:$F$4,3,FALSE))</f>
        <v>#N/A</v>
      </c>
      <c r="G3819" s="137" t="e">
        <f t="shared" si="63"/>
        <v>#N/A</v>
      </c>
    </row>
    <row r="3820" spans="1:7">
      <c r="A3820" s="112" t="e">
        <f>VLOOKUP('Informe Kelly'!A3814,Base!A:B,2,FALSE)</f>
        <v>#N/A</v>
      </c>
      <c r="B3820" s="112" t="e">
        <f>VLOOKUP('Informe Kelly'!A3814,Base!A:G,7,FALSE)</f>
        <v>#N/A</v>
      </c>
      <c r="C3820" s="112">
        <f>'Informe Kelly'!E3814</f>
        <v>0</v>
      </c>
      <c r="D3820" s="112" t="e">
        <f>VLOOKUP(A3820,Ingreso!K:P,6,FALSE)</f>
        <v>#N/A</v>
      </c>
      <c r="E3820" s="142" t="e">
        <f>(VLOOKUP(D3820,$D$2:$E$4,2,FALSE))-(IF('Informe Kelly'!H3814=$A$2,'Informe Kelly'!F3814,VLOOKUP(D3820,$D$2:$E$4,2,FALSE)))</f>
        <v>#N/A</v>
      </c>
      <c r="F3820" s="142" t="e">
        <f>IF('Informe Kelly'!H3814=$A$3,'Informe Kelly'!F3814,VLOOKUP(D3820,$D$2:$F$4,3,FALSE))-(VLOOKUP(D3820,$D$2:$F$4,3,FALSE))</f>
        <v>#N/A</v>
      </c>
      <c r="G3820" s="137" t="e">
        <f t="shared" si="63"/>
        <v>#N/A</v>
      </c>
    </row>
    <row r="3821" spans="1:7">
      <c r="A3821" s="112" t="e">
        <f>VLOOKUP('Informe Kelly'!A3815,Base!A:B,2,FALSE)</f>
        <v>#N/A</v>
      </c>
      <c r="B3821" s="112" t="e">
        <f>VLOOKUP('Informe Kelly'!A3815,Base!A:G,7,FALSE)</f>
        <v>#N/A</v>
      </c>
      <c r="C3821" s="112">
        <f>'Informe Kelly'!E3815</f>
        <v>0</v>
      </c>
      <c r="D3821" s="112" t="e">
        <f>VLOOKUP(A3821,Ingreso!K:P,6,FALSE)</f>
        <v>#N/A</v>
      </c>
      <c r="E3821" s="142" t="e">
        <f>(VLOOKUP(D3821,$D$2:$E$4,2,FALSE))-(IF('Informe Kelly'!H3815=$A$2,'Informe Kelly'!F3815,VLOOKUP(D3821,$D$2:$E$4,2,FALSE)))</f>
        <v>#N/A</v>
      </c>
      <c r="F3821" s="142" t="e">
        <f>IF('Informe Kelly'!H3815=$A$3,'Informe Kelly'!F3815,VLOOKUP(D3821,$D$2:$F$4,3,FALSE))-(VLOOKUP(D3821,$D$2:$F$4,3,FALSE))</f>
        <v>#N/A</v>
      </c>
      <c r="G3821" s="137" t="e">
        <f t="shared" si="63"/>
        <v>#N/A</v>
      </c>
    </row>
    <row r="3822" spans="1:7">
      <c r="A3822" s="112" t="e">
        <f>VLOOKUP('Informe Kelly'!A3816,Base!A:B,2,FALSE)</f>
        <v>#N/A</v>
      </c>
      <c r="B3822" s="112" t="e">
        <f>VLOOKUP('Informe Kelly'!A3816,Base!A:G,7,FALSE)</f>
        <v>#N/A</v>
      </c>
      <c r="C3822" s="112">
        <f>'Informe Kelly'!E3816</f>
        <v>0</v>
      </c>
      <c r="D3822" s="112" t="e">
        <f>VLOOKUP(A3822,Ingreso!K:P,6,FALSE)</f>
        <v>#N/A</v>
      </c>
      <c r="E3822" s="142" t="e">
        <f>(VLOOKUP(D3822,$D$2:$E$4,2,FALSE))-(IF('Informe Kelly'!H3816=$A$2,'Informe Kelly'!F3816,VLOOKUP(D3822,$D$2:$E$4,2,FALSE)))</f>
        <v>#N/A</v>
      </c>
      <c r="F3822" s="142" t="e">
        <f>IF('Informe Kelly'!H3816=$A$3,'Informe Kelly'!F3816,VLOOKUP(D3822,$D$2:$F$4,3,FALSE))-(VLOOKUP(D3822,$D$2:$F$4,3,FALSE))</f>
        <v>#N/A</v>
      </c>
      <c r="G3822" s="137" t="e">
        <f t="shared" si="63"/>
        <v>#N/A</v>
      </c>
    </row>
    <row r="3823" spans="1:7">
      <c r="A3823" s="112" t="e">
        <f>VLOOKUP('Informe Kelly'!A3817,Base!A:B,2,FALSE)</f>
        <v>#N/A</v>
      </c>
      <c r="B3823" s="112" t="e">
        <f>VLOOKUP('Informe Kelly'!A3817,Base!A:G,7,FALSE)</f>
        <v>#N/A</v>
      </c>
      <c r="C3823" s="112">
        <f>'Informe Kelly'!E3817</f>
        <v>0</v>
      </c>
      <c r="D3823" s="112" t="e">
        <f>VLOOKUP(A3823,Ingreso!K:P,6,FALSE)</f>
        <v>#N/A</v>
      </c>
      <c r="E3823" s="142" t="e">
        <f>(VLOOKUP(D3823,$D$2:$E$4,2,FALSE))-(IF('Informe Kelly'!H3817=$A$2,'Informe Kelly'!F3817,VLOOKUP(D3823,$D$2:$E$4,2,FALSE)))</f>
        <v>#N/A</v>
      </c>
      <c r="F3823" s="142" t="e">
        <f>IF('Informe Kelly'!H3817=$A$3,'Informe Kelly'!F3817,VLOOKUP(D3823,$D$2:$F$4,3,FALSE))-(VLOOKUP(D3823,$D$2:$F$4,3,FALSE))</f>
        <v>#N/A</v>
      </c>
      <c r="G3823" s="137" t="e">
        <f t="shared" si="63"/>
        <v>#N/A</v>
      </c>
    </row>
    <row r="3824" spans="1:7">
      <c r="A3824" s="112" t="e">
        <f>VLOOKUP('Informe Kelly'!A3818,Base!A:B,2,FALSE)</f>
        <v>#N/A</v>
      </c>
      <c r="B3824" s="112" t="e">
        <f>VLOOKUP('Informe Kelly'!A3818,Base!A:G,7,FALSE)</f>
        <v>#N/A</v>
      </c>
      <c r="C3824" s="112">
        <f>'Informe Kelly'!E3818</f>
        <v>0</v>
      </c>
      <c r="D3824" s="112" t="e">
        <f>VLOOKUP(A3824,Ingreso!K:P,6,FALSE)</f>
        <v>#N/A</v>
      </c>
      <c r="E3824" s="142" t="e">
        <f>(VLOOKUP(D3824,$D$2:$E$4,2,FALSE))-(IF('Informe Kelly'!H3818=$A$2,'Informe Kelly'!F3818,VLOOKUP(D3824,$D$2:$E$4,2,FALSE)))</f>
        <v>#N/A</v>
      </c>
      <c r="F3824" s="142" t="e">
        <f>IF('Informe Kelly'!H3818=$A$3,'Informe Kelly'!F3818,VLOOKUP(D3824,$D$2:$F$4,3,FALSE))-(VLOOKUP(D3824,$D$2:$F$4,3,FALSE))</f>
        <v>#N/A</v>
      </c>
      <c r="G3824" s="137" t="e">
        <f t="shared" si="63"/>
        <v>#N/A</v>
      </c>
    </row>
    <row r="3825" spans="1:7">
      <c r="A3825" s="112" t="e">
        <f>VLOOKUP('Informe Kelly'!A3819,Base!A:B,2,FALSE)</f>
        <v>#N/A</v>
      </c>
      <c r="B3825" s="112" t="e">
        <f>VLOOKUP('Informe Kelly'!A3819,Base!A:G,7,FALSE)</f>
        <v>#N/A</v>
      </c>
      <c r="C3825" s="112">
        <f>'Informe Kelly'!E3819</f>
        <v>0</v>
      </c>
      <c r="D3825" s="112" t="e">
        <f>VLOOKUP(A3825,Ingreso!K:P,6,FALSE)</f>
        <v>#N/A</v>
      </c>
      <c r="E3825" s="142" t="e">
        <f>(VLOOKUP(D3825,$D$2:$E$4,2,FALSE))-(IF('Informe Kelly'!H3819=$A$2,'Informe Kelly'!F3819,VLOOKUP(D3825,$D$2:$E$4,2,FALSE)))</f>
        <v>#N/A</v>
      </c>
      <c r="F3825" s="142" t="e">
        <f>IF('Informe Kelly'!H3819=$A$3,'Informe Kelly'!F3819,VLOOKUP(D3825,$D$2:$F$4,3,FALSE))-(VLOOKUP(D3825,$D$2:$F$4,3,FALSE))</f>
        <v>#N/A</v>
      </c>
      <c r="G3825" s="137" t="e">
        <f t="shared" si="63"/>
        <v>#N/A</v>
      </c>
    </row>
    <row r="3826" spans="1:7">
      <c r="A3826" s="112" t="e">
        <f>VLOOKUP('Informe Kelly'!A3820,Base!A:B,2,FALSE)</f>
        <v>#N/A</v>
      </c>
      <c r="B3826" s="112" t="e">
        <f>VLOOKUP('Informe Kelly'!A3820,Base!A:G,7,FALSE)</f>
        <v>#N/A</v>
      </c>
      <c r="C3826" s="112">
        <f>'Informe Kelly'!E3820</f>
        <v>0</v>
      </c>
      <c r="D3826" s="112" t="e">
        <f>VLOOKUP(A3826,Ingreso!K:P,6,FALSE)</f>
        <v>#N/A</v>
      </c>
      <c r="E3826" s="142" t="e">
        <f>(VLOOKUP(D3826,$D$2:$E$4,2,FALSE))-(IF('Informe Kelly'!H3820=$A$2,'Informe Kelly'!F3820,VLOOKUP(D3826,$D$2:$E$4,2,FALSE)))</f>
        <v>#N/A</v>
      </c>
      <c r="F3826" s="142" t="e">
        <f>IF('Informe Kelly'!H3820=$A$3,'Informe Kelly'!F3820,VLOOKUP(D3826,$D$2:$F$4,3,FALSE))-(VLOOKUP(D3826,$D$2:$F$4,3,FALSE))</f>
        <v>#N/A</v>
      </c>
      <c r="G3826" s="137" t="e">
        <f t="shared" si="63"/>
        <v>#N/A</v>
      </c>
    </row>
    <row r="3827" spans="1:7">
      <c r="A3827" s="112" t="e">
        <f>VLOOKUP('Informe Kelly'!A3821,Base!A:B,2,FALSE)</f>
        <v>#N/A</v>
      </c>
      <c r="B3827" s="112" t="e">
        <f>VLOOKUP('Informe Kelly'!A3821,Base!A:G,7,FALSE)</f>
        <v>#N/A</v>
      </c>
      <c r="C3827" s="112">
        <f>'Informe Kelly'!E3821</f>
        <v>0</v>
      </c>
      <c r="D3827" s="112" t="e">
        <f>VLOOKUP(A3827,Ingreso!K:P,6,FALSE)</f>
        <v>#N/A</v>
      </c>
      <c r="E3827" s="142" t="e">
        <f>(VLOOKUP(D3827,$D$2:$E$4,2,FALSE))-(IF('Informe Kelly'!H3821=$A$2,'Informe Kelly'!F3821,VLOOKUP(D3827,$D$2:$E$4,2,FALSE)))</f>
        <v>#N/A</v>
      </c>
      <c r="F3827" s="142" t="e">
        <f>IF('Informe Kelly'!H3821=$A$3,'Informe Kelly'!F3821,VLOOKUP(D3827,$D$2:$F$4,3,FALSE))-(VLOOKUP(D3827,$D$2:$F$4,3,FALSE))</f>
        <v>#N/A</v>
      </c>
      <c r="G3827" s="137" t="e">
        <f t="shared" si="63"/>
        <v>#N/A</v>
      </c>
    </row>
    <row r="3828" spans="1:7">
      <c r="A3828" s="112" t="e">
        <f>VLOOKUP('Informe Kelly'!A3822,Base!A:B,2,FALSE)</f>
        <v>#N/A</v>
      </c>
      <c r="B3828" s="112" t="e">
        <f>VLOOKUP('Informe Kelly'!A3822,Base!A:G,7,FALSE)</f>
        <v>#N/A</v>
      </c>
      <c r="C3828" s="112">
        <f>'Informe Kelly'!E3822</f>
        <v>0</v>
      </c>
      <c r="D3828" s="112" t="e">
        <f>VLOOKUP(A3828,Ingreso!K:P,6,FALSE)</f>
        <v>#N/A</v>
      </c>
      <c r="E3828" s="142" t="e">
        <f>(VLOOKUP(D3828,$D$2:$E$4,2,FALSE))-(IF('Informe Kelly'!H3822=$A$2,'Informe Kelly'!F3822,VLOOKUP(D3828,$D$2:$E$4,2,FALSE)))</f>
        <v>#N/A</v>
      </c>
      <c r="F3828" s="142" t="e">
        <f>IF('Informe Kelly'!H3822=$A$3,'Informe Kelly'!F3822,VLOOKUP(D3828,$D$2:$F$4,3,FALSE))-(VLOOKUP(D3828,$D$2:$F$4,3,FALSE))</f>
        <v>#N/A</v>
      </c>
      <c r="G3828" s="137" t="e">
        <f t="shared" si="63"/>
        <v>#N/A</v>
      </c>
    </row>
    <row r="3829" spans="1:7">
      <c r="A3829" s="112" t="e">
        <f>VLOOKUP('Informe Kelly'!A3823,Base!A:B,2,FALSE)</f>
        <v>#N/A</v>
      </c>
      <c r="B3829" s="112" t="e">
        <f>VLOOKUP('Informe Kelly'!A3823,Base!A:G,7,FALSE)</f>
        <v>#N/A</v>
      </c>
      <c r="C3829" s="112">
        <f>'Informe Kelly'!E3823</f>
        <v>0</v>
      </c>
      <c r="D3829" s="112" t="e">
        <f>VLOOKUP(A3829,Ingreso!K:P,6,FALSE)</f>
        <v>#N/A</v>
      </c>
      <c r="E3829" s="142" t="e">
        <f>(VLOOKUP(D3829,$D$2:$E$4,2,FALSE))-(IF('Informe Kelly'!H3823=$A$2,'Informe Kelly'!F3823,VLOOKUP(D3829,$D$2:$E$4,2,FALSE)))</f>
        <v>#N/A</v>
      </c>
      <c r="F3829" s="142" t="e">
        <f>IF('Informe Kelly'!H3823=$A$3,'Informe Kelly'!F3823,VLOOKUP(D3829,$D$2:$F$4,3,FALSE))-(VLOOKUP(D3829,$D$2:$F$4,3,FALSE))</f>
        <v>#N/A</v>
      </c>
      <c r="G3829" s="137" t="e">
        <f t="shared" si="63"/>
        <v>#N/A</v>
      </c>
    </row>
    <row r="3830" spans="1:7">
      <c r="A3830" s="112" t="e">
        <f>VLOOKUP('Informe Kelly'!A3824,Base!A:B,2,FALSE)</f>
        <v>#N/A</v>
      </c>
      <c r="B3830" s="112" t="e">
        <f>VLOOKUP('Informe Kelly'!A3824,Base!A:G,7,FALSE)</f>
        <v>#N/A</v>
      </c>
      <c r="C3830" s="112">
        <f>'Informe Kelly'!E3824</f>
        <v>0</v>
      </c>
      <c r="D3830" s="112" t="e">
        <f>VLOOKUP(A3830,Ingreso!K:P,6,FALSE)</f>
        <v>#N/A</v>
      </c>
      <c r="E3830" s="142" t="e">
        <f>(VLOOKUP(D3830,$D$2:$E$4,2,FALSE))-(IF('Informe Kelly'!H3824=$A$2,'Informe Kelly'!F3824,VLOOKUP(D3830,$D$2:$E$4,2,FALSE)))</f>
        <v>#N/A</v>
      </c>
      <c r="F3830" s="142" t="e">
        <f>IF('Informe Kelly'!H3824=$A$3,'Informe Kelly'!F3824,VLOOKUP(D3830,$D$2:$F$4,3,FALSE))-(VLOOKUP(D3830,$D$2:$F$4,3,FALSE))</f>
        <v>#N/A</v>
      </c>
      <c r="G3830" s="137" t="e">
        <f t="shared" si="63"/>
        <v>#N/A</v>
      </c>
    </row>
    <row r="3831" spans="1:7">
      <c r="A3831" s="112" t="e">
        <f>VLOOKUP('Informe Kelly'!A3825,Base!A:B,2,FALSE)</f>
        <v>#N/A</v>
      </c>
      <c r="B3831" s="112" t="e">
        <f>VLOOKUP('Informe Kelly'!A3825,Base!A:G,7,FALSE)</f>
        <v>#N/A</v>
      </c>
      <c r="C3831" s="112">
        <f>'Informe Kelly'!E3825</f>
        <v>0</v>
      </c>
      <c r="D3831" s="112" t="e">
        <f>VLOOKUP(A3831,Ingreso!K:P,6,FALSE)</f>
        <v>#N/A</v>
      </c>
      <c r="E3831" s="142" t="e">
        <f>(VLOOKUP(D3831,$D$2:$E$4,2,FALSE))-(IF('Informe Kelly'!H3825=$A$2,'Informe Kelly'!F3825,VLOOKUP(D3831,$D$2:$E$4,2,FALSE)))</f>
        <v>#N/A</v>
      </c>
      <c r="F3831" s="142" t="e">
        <f>IF('Informe Kelly'!H3825=$A$3,'Informe Kelly'!F3825,VLOOKUP(D3831,$D$2:$F$4,3,FALSE))-(VLOOKUP(D3831,$D$2:$F$4,3,FALSE))</f>
        <v>#N/A</v>
      </c>
      <c r="G3831" s="137" t="e">
        <f t="shared" si="63"/>
        <v>#N/A</v>
      </c>
    </row>
    <row r="3832" spans="1:7">
      <c r="A3832" s="112" t="e">
        <f>VLOOKUP('Informe Kelly'!A3826,Base!A:B,2,FALSE)</f>
        <v>#N/A</v>
      </c>
      <c r="B3832" s="112" t="e">
        <f>VLOOKUP('Informe Kelly'!A3826,Base!A:G,7,FALSE)</f>
        <v>#N/A</v>
      </c>
      <c r="C3832" s="112">
        <f>'Informe Kelly'!E3826</f>
        <v>0</v>
      </c>
      <c r="D3832" s="112" t="e">
        <f>VLOOKUP(A3832,Ingreso!K:P,6,FALSE)</f>
        <v>#N/A</v>
      </c>
      <c r="E3832" s="142" t="e">
        <f>(VLOOKUP(D3832,$D$2:$E$4,2,FALSE))-(IF('Informe Kelly'!H3826=$A$2,'Informe Kelly'!F3826,VLOOKUP(D3832,$D$2:$E$4,2,FALSE)))</f>
        <v>#N/A</v>
      </c>
      <c r="F3832" s="142" t="e">
        <f>IF('Informe Kelly'!H3826=$A$3,'Informe Kelly'!F3826,VLOOKUP(D3832,$D$2:$F$4,3,FALSE))-(VLOOKUP(D3832,$D$2:$F$4,3,FALSE))</f>
        <v>#N/A</v>
      </c>
      <c r="G3832" s="137" t="e">
        <f t="shared" si="63"/>
        <v>#N/A</v>
      </c>
    </row>
    <row r="3833" spans="1:7">
      <c r="A3833" s="112" t="e">
        <f>VLOOKUP('Informe Kelly'!A3827,Base!A:B,2,FALSE)</f>
        <v>#N/A</v>
      </c>
      <c r="B3833" s="112" t="e">
        <f>VLOOKUP('Informe Kelly'!A3827,Base!A:G,7,FALSE)</f>
        <v>#N/A</v>
      </c>
      <c r="C3833" s="112">
        <f>'Informe Kelly'!E3827</f>
        <v>0</v>
      </c>
      <c r="D3833" s="112" t="e">
        <f>VLOOKUP(A3833,Ingreso!K:P,6,FALSE)</f>
        <v>#N/A</v>
      </c>
      <c r="E3833" s="142" t="e">
        <f>(VLOOKUP(D3833,$D$2:$E$4,2,FALSE))-(IF('Informe Kelly'!H3827=$A$2,'Informe Kelly'!F3827,VLOOKUP(D3833,$D$2:$E$4,2,FALSE)))</f>
        <v>#N/A</v>
      </c>
      <c r="F3833" s="142" t="e">
        <f>IF('Informe Kelly'!H3827=$A$3,'Informe Kelly'!F3827,VLOOKUP(D3833,$D$2:$F$4,3,FALSE))-(VLOOKUP(D3833,$D$2:$F$4,3,FALSE))</f>
        <v>#N/A</v>
      </c>
      <c r="G3833" s="137" t="e">
        <f t="shared" si="63"/>
        <v>#N/A</v>
      </c>
    </row>
    <row r="3834" spans="1:7">
      <c r="A3834" s="112" t="e">
        <f>VLOOKUP('Informe Kelly'!A3828,Base!A:B,2,FALSE)</f>
        <v>#N/A</v>
      </c>
      <c r="B3834" s="112" t="e">
        <f>VLOOKUP('Informe Kelly'!A3828,Base!A:G,7,FALSE)</f>
        <v>#N/A</v>
      </c>
      <c r="C3834" s="112">
        <f>'Informe Kelly'!E3828</f>
        <v>0</v>
      </c>
      <c r="D3834" s="112" t="e">
        <f>VLOOKUP(A3834,Ingreso!K:P,6,FALSE)</f>
        <v>#N/A</v>
      </c>
      <c r="E3834" s="142" t="e">
        <f>(VLOOKUP(D3834,$D$2:$E$4,2,FALSE))-(IF('Informe Kelly'!H3828=$A$2,'Informe Kelly'!F3828,VLOOKUP(D3834,$D$2:$E$4,2,FALSE)))</f>
        <v>#N/A</v>
      </c>
      <c r="F3834" s="142" t="e">
        <f>IF('Informe Kelly'!H3828=$A$3,'Informe Kelly'!F3828,VLOOKUP(D3834,$D$2:$F$4,3,FALSE))-(VLOOKUP(D3834,$D$2:$F$4,3,FALSE))</f>
        <v>#N/A</v>
      </c>
      <c r="G3834" s="137" t="e">
        <f t="shared" si="63"/>
        <v>#N/A</v>
      </c>
    </row>
    <row r="3835" spans="1:7">
      <c r="A3835" s="112" t="e">
        <f>VLOOKUP('Informe Kelly'!A3829,Base!A:B,2,FALSE)</f>
        <v>#N/A</v>
      </c>
      <c r="B3835" s="112" t="e">
        <f>VLOOKUP('Informe Kelly'!A3829,Base!A:G,7,FALSE)</f>
        <v>#N/A</v>
      </c>
      <c r="C3835" s="112">
        <f>'Informe Kelly'!E3829</f>
        <v>0</v>
      </c>
      <c r="D3835" s="112" t="e">
        <f>VLOOKUP(A3835,Ingreso!K:P,6,FALSE)</f>
        <v>#N/A</v>
      </c>
      <c r="E3835" s="142" t="e">
        <f>(VLOOKUP(D3835,$D$2:$E$4,2,FALSE))-(IF('Informe Kelly'!H3829=$A$2,'Informe Kelly'!F3829,VLOOKUP(D3835,$D$2:$E$4,2,FALSE)))</f>
        <v>#N/A</v>
      </c>
      <c r="F3835" s="142" t="e">
        <f>IF('Informe Kelly'!H3829=$A$3,'Informe Kelly'!F3829,VLOOKUP(D3835,$D$2:$F$4,3,FALSE))-(VLOOKUP(D3835,$D$2:$F$4,3,FALSE))</f>
        <v>#N/A</v>
      </c>
      <c r="G3835" s="137" t="e">
        <f t="shared" si="63"/>
        <v>#N/A</v>
      </c>
    </row>
    <row r="3836" spans="1:7">
      <c r="A3836" s="112" t="e">
        <f>VLOOKUP('Informe Kelly'!A3830,Base!A:B,2,FALSE)</f>
        <v>#N/A</v>
      </c>
      <c r="B3836" s="112" t="e">
        <f>VLOOKUP('Informe Kelly'!A3830,Base!A:G,7,FALSE)</f>
        <v>#N/A</v>
      </c>
      <c r="C3836" s="112">
        <f>'Informe Kelly'!E3830</f>
        <v>0</v>
      </c>
      <c r="D3836" s="112" t="e">
        <f>VLOOKUP(A3836,Ingreso!K:P,6,FALSE)</f>
        <v>#N/A</v>
      </c>
      <c r="E3836" s="142" t="e">
        <f>(VLOOKUP(D3836,$D$2:$E$4,2,FALSE))-(IF('Informe Kelly'!H3830=$A$2,'Informe Kelly'!F3830,VLOOKUP(D3836,$D$2:$E$4,2,FALSE)))</f>
        <v>#N/A</v>
      </c>
      <c r="F3836" s="142" t="e">
        <f>IF('Informe Kelly'!H3830=$A$3,'Informe Kelly'!F3830,VLOOKUP(D3836,$D$2:$F$4,3,FALSE))-(VLOOKUP(D3836,$D$2:$F$4,3,FALSE))</f>
        <v>#N/A</v>
      </c>
      <c r="G3836" s="137" t="e">
        <f t="shared" si="63"/>
        <v>#N/A</v>
      </c>
    </row>
    <row r="3837" spans="1:7">
      <c r="A3837" s="112" t="e">
        <f>VLOOKUP('Informe Kelly'!A3831,Base!A:B,2,FALSE)</f>
        <v>#N/A</v>
      </c>
      <c r="B3837" s="112" t="e">
        <f>VLOOKUP('Informe Kelly'!A3831,Base!A:G,7,FALSE)</f>
        <v>#N/A</v>
      </c>
      <c r="C3837" s="112">
        <f>'Informe Kelly'!E3831</f>
        <v>0</v>
      </c>
      <c r="D3837" s="112" t="e">
        <f>VLOOKUP(A3837,Ingreso!K:P,6,FALSE)</f>
        <v>#N/A</v>
      </c>
      <c r="E3837" s="142" t="e">
        <f>(VLOOKUP(D3837,$D$2:$E$4,2,FALSE))-(IF('Informe Kelly'!H3831=$A$2,'Informe Kelly'!F3831,VLOOKUP(D3837,$D$2:$E$4,2,FALSE)))</f>
        <v>#N/A</v>
      </c>
      <c r="F3837" s="142" t="e">
        <f>IF('Informe Kelly'!H3831=$A$3,'Informe Kelly'!F3831,VLOOKUP(D3837,$D$2:$F$4,3,FALSE))-(VLOOKUP(D3837,$D$2:$F$4,3,FALSE))</f>
        <v>#N/A</v>
      </c>
      <c r="G3837" s="137" t="e">
        <f t="shared" si="63"/>
        <v>#N/A</v>
      </c>
    </row>
    <row r="3838" spans="1:7">
      <c r="A3838" s="112" t="e">
        <f>VLOOKUP('Informe Kelly'!A3832,Base!A:B,2,FALSE)</f>
        <v>#N/A</v>
      </c>
      <c r="B3838" s="112" t="e">
        <f>VLOOKUP('Informe Kelly'!A3832,Base!A:G,7,FALSE)</f>
        <v>#N/A</v>
      </c>
      <c r="C3838" s="112">
        <f>'Informe Kelly'!E3832</f>
        <v>0</v>
      </c>
      <c r="D3838" s="112" t="e">
        <f>VLOOKUP(A3838,Ingreso!K:P,6,FALSE)</f>
        <v>#N/A</v>
      </c>
      <c r="E3838" s="142" t="e">
        <f>(VLOOKUP(D3838,$D$2:$E$4,2,FALSE))-(IF('Informe Kelly'!H3832=$A$2,'Informe Kelly'!F3832,VLOOKUP(D3838,$D$2:$E$4,2,FALSE)))</f>
        <v>#N/A</v>
      </c>
      <c r="F3838" s="142" t="e">
        <f>IF('Informe Kelly'!H3832=$A$3,'Informe Kelly'!F3832,VLOOKUP(D3838,$D$2:$F$4,3,FALSE))-(VLOOKUP(D3838,$D$2:$F$4,3,FALSE))</f>
        <v>#N/A</v>
      </c>
      <c r="G3838" s="137" t="e">
        <f t="shared" si="63"/>
        <v>#N/A</v>
      </c>
    </row>
    <row r="3839" spans="1:7">
      <c r="A3839" s="112" t="e">
        <f>VLOOKUP('Informe Kelly'!A3833,Base!A:B,2,FALSE)</f>
        <v>#N/A</v>
      </c>
      <c r="B3839" s="112" t="e">
        <f>VLOOKUP('Informe Kelly'!A3833,Base!A:G,7,FALSE)</f>
        <v>#N/A</v>
      </c>
      <c r="C3839" s="112">
        <f>'Informe Kelly'!E3833</f>
        <v>0</v>
      </c>
      <c r="D3839" s="112" t="e">
        <f>VLOOKUP(A3839,Ingreso!K:P,6,FALSE)</f>
        <v>#N/A</v>
      </c>
      <c r="E3839" s="142" t="e">
        <f>(VLOOKUP(D3839,$D$2:$E$4,2,FALSE))-(IF('Informe Kelly'!H3833=$A$2,'Informe Kelly'!F3833,VLOOKUP(D3839,$D$2:$E$4,2,FALSE)))</f>
        <v>#N/A</v>
      </c>
      <c r="F3839" s="142" t="e">
        <f>IF('Informe Kelly'!H3833=$A$3,'Informe Kelly'!F3833,VLOOKUP(D3839,$D$2:$F$4,3,FALSE))-(VLOOKUP(D3839,$D$2:$F$4,3,FALSE))</f>
        <v>#N/A</v>
      </c>
      <c r="G3839" s="137" t="e">
        <f t="shared" si="63"/>
        <v>#N/A</v>
      </c>
    </row>
    <row r="3840" spans="1:7">
      <c r="A3840" s="112" t="e">
        <f>VLOOKUP('Informe Kelly'!A3834,Base!A:B,2,FALSE)</f>
        <v>#N/A</v>
      </c>
      <c r="B3840" s="112" t="e">
        <f>VLOOKUP('Informe Kelly'!A3834,Base!A:G,7,FALSE)</f>
        <v>#N/A</v>
      </c>
      <c r="C3840" s="112">
        <f>'Informe Kelly'!E3834</f>
        <v>0</v>
      </c>
      <c r="D3840" s="112" t="e">
        <f>VLOOKUP(A3840,Ingreso!K:P,6,FALSE)</f>
        <v>#N/A</v>
      </c>
      <c r="E3840" s="142" t="e">
        <f>(VLOOKUP(D3840,$D$2:$E$4,2,FALSE))-(IF('Informe Kelly'!H3834=$A$2,'Informe Kelly'!F3834,VLOOKUP(D3840,$D$2:$E$4,2,FALSE)))</f>
        <v>#N/A</v>
      </c>
      <c r="F3840" s="142" t="e">
        <f>IF('Informe Kelly'!H3834=$A$3,'Informe Kelly'!F3834,VLOOKUP(D3840,$D$2:$F$4,3,FALSE))-(VLOOKUP(D3840,$D$2:$F$4,3,FALSE))</f>
        <v>#N/A</v>
      </c>
      <c r="G3840" s="137" t="e">
        <f t="shared" si="63"/>
        <v>#N/A</v>
      </c>
    </row>
    <row r="3841" spans="1:7">
      <c r="A3841" s="112" t="e">
        <f>VLOOKUP('Informe Kelly'!A3835,Base!A:B,2,FALSE)</f>
        <v>#N/A</v>
      </c>
      <c r="B3841" s="112" t="e">
        <f>VLOOKUP('Informe Kelly'!A3835,Base!A:G,7,FALSE)</f>
        <v>#N/A</v>
      </c>
      <c r="C3841" s="112">
        <f>'Informe Kelly'!E3835</f>
        <v>0</v>
      </c>
      <c r="D3841" s="112" t="e">
        <f>VLOOKUP(A3841,Ingreso!K:P,6,FALSE)</f>
        <v>#N/A</v>
      </c>
      <c r="E3841" s="142" t="e">
        <f>(VLOOKUP(D3841,$D$2:$E$4,2,FALSE))-(IF('Informe Kelly'!H3835=$A$2,'Informe Kelly'!F3835,VLOOKUP(D3841,$D$2:$E$4,2,FALSE)))</f>
        <v>#N/A</v>
      </c>
      <c r="F3841" s="142" t="e">
        <f>IF('Informe Kelly'!H3835=$A$3,'Informe Kelly'!F3835,VLOOKUP(D3841,$D$2:$F$4,3,FALSE))-(VLOOKUP(D3841,$D$2:$F$4,3,FALSE))</f>
        <v>#N/A</v>
      </c>
      <c r="G3841" s="137" t="e">
        <f t="shared" si="63"/>
        <v>#N/A</v>
      </c>
    </row>
    <row r="3842" spans="1:7">
      <c r="A3842" s="112" t="e">
        <f>VLOOKUP('Informe Kelly'!A3836,Base!A:B,2,FALSE)</f>
        <v>#N/A</v>
      </c>
      <c r="B3842" s="112" t="e">
        <f>VLOOKUP('Informe Kelly'!A3836,Base!A:G,7,FALSE)</f>
        <v>#N/A</v>
      </c>
      <c r="C3842" s="112">
        <f>'Informe Kelly'!E3836</f>
        <v>0</v>
      </c>
      <c r="D3842" s="112" t="e">
        <f>VLOOKUP(A3842,Ingreso!K:P,6,FALSE)</f>
        <v>#N/A</v>
      </c>
      <c r="E3842" s="142" t="e">
        <f>(VLOOKUP(D3842,$D$2:$E$4,2,FALSE))-(IF('Informe Kelly'!H3836=$A$2,'Informe Kelly'!F3836,VLOOKUP(D3842,$D$2:$E$4,2,FALSE)))</f>
        <v>#N/A</v>
      </c>
      <c r="F3842" s="142" t="e">
        <f>IF('Informe Kelly'!H3836=$A$3,'Informe Kelly'!F3836,VLOOKUP(D3842,$D$2:$F$4,3,FALSE))-(VLOOKUP(D3842,$D$2:$F$4,3,FALSE))</f>
        <v>#N/A</v>
      </c>
      <c r="G3842" s="137" t="e">
        <f t="shared" si="63"/>
        <v>#N/A</v>
      </c>
    </row>
    <row r="3843" spans="1:7">
      <c r="A3843" s="112" t="e">
        <f>VLOOKUP('Informe Kelly'!A3837,Base!A:B,2,FALSE)</f>
        <v>#N/A</v>
      </c>
      <c r="B3843" s="112" t="e">
        <f>VLOOKUP('Informe Kelly'!A3837,Base!A:G,7,FALSE)</f>
        <v>#N/A</v>
      </c>
      <c r="C3843" s="112">
        <f>'Informe Kelly'!E3837</f>
        <v>0</v>
      </c>
      <c r="D3843" s="112" t="e">
        <f>VLOOKUP(A3843,Ingreso!K:P,6,FALSE)</f>
        <v>#N/A</v>
      </c>
      <c r="E3843" s="142" t="e">
        <f>(VLOOKUP(D3843,$D$2:$E$4,2,FALSE))-(IF('Informe Kelly'!H3837=$A$2,'Informe Kelly'!F3837,VLOOKUP(D3843,$D$2:$E$4,2,FALSE)))</f>
        <v>#N/A</v>
      </c>
      <c r="F3843" s="142" t="e">
        <f>IF('Informe Kelly'!H3837=$A$3,'Informe Kelly'!F3837,VLOOKUP(D3843,$D$2:$F$4,3,FALSE))-(VLOOKUP(D3843,$D$2:$F$4,3,FALSE))</f>
        <v>#N/A</v>
      </c>
      <c r="G3843" s="137" t="e">
        <f t="shared" si="63"/>
        <v>#N/A</v>
      </c>
    </row>
    <row r="3844" spans="1:7">
      <c r="A3844" s="112" t="e">
        <f>VLOOKUP('Informe Kelly'!A3838,Base!A:B,2,FALSE)</f>
        <v>#N/A</v>
      </c>
      <c r="B3844" s="112" t="e">
        <f>VLOOKUP('Informe Kelly'!A3838,Base!A:G,7,FALSE)</f>
        <v>#N/A</v>
      </c>
      <c r="C3844" s="112">
        <f>'Informe Kelly'!E3838</f>
        <v>0</v>
      </c>
      <c r="D3844" s="112" t="e">
        <f>VLOOKUP(A3844,Ingreso!K:P,6,FALSE)</f>
        <v>#N/A</v>
      </c>
      <c r="E3844" s="142" t="e">
        <f>(VLOOKUP(D3844,$D$2:$E$4,2,FALSE))-(IF('Informe Kelly'!H3838=$A$2,'Informe Kelly'!F3838,VLOOKUP(D3844,$D$2:$E$4,2,FALSE)))</f>
        <v>#N/A</v>
      </c>
      <c r="F3844" s="142" t="e">
        <f>IF('Informe Kelly'!H3838=$A$3,'Informe Kelly'!F3838,VLOOKUP(D3844,$D$2:$F$4,3,FALSE))-(VLOOKUP(D3844,$D$2:$F$4,3,FALSE))</f>
        <v>#N/A</v>
      </c>
      <c r="G3844" s="137" t="e">
        <f t="shared" si="63"/>
        <v>#N/A</v>
      </c>
    </row>
    <row r="3845" spans="1:7">
      <c r="A3845" s="112" t="e">
        <f>VLOOKUP('Informe Kelly'!A3839,Base!A:B,2,FALSE)</f>
        <v>#N/A</v>
      </c>
      <c r="B3845" s="112" t="e">
        <f>VLOOKUP('Informe Kelly'!A3839,Base!A:G,7,FALSE)</f>
        <v>#N/A</v>
      </c>
      <c r="C3845" s="112">
        <f>'Informe Kelly'!E3839</f>
        <v>0</v>
      </c>
      <c r="D3845" s="112" t="e">
        <f>VLOOKUP(A3845,Ingreso!K:P,6,FALSE)</f>
        <v>#N/A</v>
      </c>
      <c r="E3845" s="142" t="e">
        <f>(VLOOKUP(D3845,$D$2:$E$4,2,FALSE))-(IF('Informe Kelly'!H3839=$A$2,'Informe Kelly'!F3839,VLOOKUP(D3845,$D$2:$E$4,2,FALSE)))</f>
        <v>#N/A</v>
      </c>
      <c r="F3845" s="142" t="e">
        <f>IF('Informe Kelly'!H3839=$A$3,'Informe Kelly'!F3839,VLOOKUP(D3845,$D$2:$F$4,3,FALSE))-(VLOOKUP(D3845,$D$2:$F$4,3,FALSE))</f>
        <v>#N/A</v>
      </c>
      <c r="G3845" s="137" t="e">
        <f t="shared" si="63"/>
        <v>#N/A</v>
      </c>
    </row>
    <row r="3846" spans="1:7">
      <c r="A3846" s="112" t="e">
        <f>VLOOKUP('Informe Kelly'!A3840,Base!A:B,2,FALSE)</f>
        <v>#N/A</v>
      </c>
      <c r="B3846" s="112" t="e">
        <f>VLOOKUP('Informe Kelly'!A3840,Base!A:G,7,FALSE)</f>
        <v>#N/A</v>
      </c>
      <c r="C3846" s="112">
        <f>'Informe Kelly'!E3840</f>
        <v>0</v>
      </c>
      <c r="D3846" s="112" t="e">
        <f>VLOOKUP(A3846,Ingreso!K:P,6,FALSE)</f>
        <v>#N/A</v>
      </c>
      <c r="E3846" s="142" t="e">
        <f>(VLOOKUP(D3846,$D$2:$E$4,2,FALSE))-(IF('Informe Kelly'!H3840=$A$2,'Informe Kelly'!F3840,VLOOKUP(D3846,$D$2:$E$4,2,FALSE)))</f>
        <v>#N/A</v>
      </c>
      <c r="F3846" s="142" t="e">
        <f>IF('Informe Kelly'!H3840=$A$3,'Informe Kelly'!F3840,VLOOKUP(D3846,$D$2:$F$4,3,FALSE))-(VLOOKUP(D3846,$D$2:$F$4,3,FALSE))</f>
        <v>#N/A</v>
      </c>
      <c r="G3846" s="137" t="e">
        <f t="shared" si="63"/>
        <v>#N/A</v>
      </c>
    </row>
    <row r="3847" spans="1:7">
      <c r="A3847" s="112" t="e">
        <f>VLOOKUP('Informe Kelly'!A3841,Base!A:B,2,FALSE)</f>
        <v>#N/A</v>
      </c>
      <c r="B3847" s="112" t="e">
        <f>VLOOKUP('Informe Kelly'!A3841,Base!A:G,7,FALSE)</f>
        <v>#N/A</v>
      </c>
      <c r="C3847" s="112">
        <f>'Informe Kelly'!E3841</f>
        <v>0</v>
      </c>
      <c r="D3847" s="112" t="e">
        <f>VLOOKUP(A3847,Ingreso!K:P,6,FALSE)</f>
        <v>#N/A</v>
      </c>
      <c r="E3847" s="142" t="e">
        <f>(VLOOKUP(D3847,$D$2:$E$4,2,FALSE))-(IF('Informe Kelly'!H3841=$A$2,'Informe Kelly'!F3841,VLOOKUP(D3847,$D$2:$E$4,2,FALSE)))</f>
        <v>#N/A</v>
      </c>
      <c r="F3847" s="142" t="e">
        <f>IF('Informe Kelly'!H3841=$A$3,'Informe Kelly'!F3841,VLOOKUP(D3847,$D$2:$F$4,3,FALSE))-(VLOOKUP(D3847,$D$2:$F$4,3,FALSE))</f>
        <v>#N/A</v>
      </c>
      <c r="G3847" s="137" t="e">
        <f t="shared" si="63"/>
        <v>#N/A</v>
      </c>
    </row>
    <row r="3848" spans="1:7">
      <c r="A3848" s="112" t="e">
        <f>VLOOKUP('Informe Kelly'!A3842,Base!A:B,2,FALSE)</f>
        <v>#N/A</v>
      </c>
      <c r="B3848" s="112" t="e">
        <f>VLOOKUP('Informe Kelly'!A3842,Base!A:G,7,FALSE)</f>
        <v>#N/A</v>
      </c>
      <c r="C3848" s="112">
        <f>'Informe Kelly'!E3842</f>
        <v>0</v>
      </c>
      <c r="D3848" s="112" t="e">
        <f>VLOOKUP(A3848,Ingreso!K:P,6,FALSE)</f>
        <v>#N/A</v>
      </c>
      <c r="E3848" s="142" t="e">
        <f>(VLOOKUP(D3848,$D$2:$E$4,2,FALSE))-(IF('Informe Kelly'!H3842=$A$2,'Informe Kelly'!F3842,VLOOKUP(D3848,$D$2:$E$4,2,FALSE)))</f>
        <v>#N/A</v>
      </c>
      <c r="F3848" s="142" t="e">
        <f>IF('Informe Kelly'!H3842=$A$3,'Informe Kelly'!F3842,VLOOKUP(D3848,$D$2:$F$4,3,FALSE))-(VLOOKUP(D3848,$D$2:$F$4,3,FALSE))</f>
        <v>#N/A</v>
      </c>
      <c r="G3848" s="137" t="e">
        <f t="shared" si="63"/>
        <v>#N/A</v>
      </c>
    </row>
    <row r="3849" spans="1:7">
      <c r="A3849" s="112" t="e">
        <f>VLOOKUP('Informe Kelly'!A3843,Base!A:B,2,FALSE)</f>
        <v>#N/A</v>
      </c>
      <c r="B3849" s="112" t="e">
        <f>VLOOKUP('Informe Kelly'!A3843,Base!A:G,7,FALSE)</f>
        <v>#N/A</v>
      </c>
      <c r="C3849" s="112">
        <f>'Informe Kelly'!E3843</f>
        <v>0</v>
      </c>
      <c r="D3849" s="112" t="e">
        <f>VLOOKUP(A3849,Ingreso!K:P,6,FALSE)</f>
        <v>#N/A</v>
      </c>
      <c r="E3849" s="142" t="e">
        <f>(VLOOKUP(D3849,$D$2:$E$4,2,FALSE))-(IF('Informe Kelly'!H3843=$A$2,'Informe Kelly'!F3843,VLOOKUP(D3849,$D$2:$E$4,2,FALSE)))</f>
        <v>#N/A</v>
      </c>
      <c r="F3849" s="142" t="e">
        <f>IF('Informe Kelly'!H3843=$A$3,'Informe Kelly'!F3843,VLOOKUP(D3849,$D$2:$F$4,3,FALSE))-(VLOOKUP(D3849,$D$2:$F$4,3,FALSE))</f>
        <v>#N/A</v>
      </c>
      <c r="G3849" s="137" t="e">
        <f t="shared" ref="G3849:G3912" si="64">IF(E3849="",IF(F3849&lt;0.0409722222222222,0,E3849),IF(E3849&lt;0.0409722222222222,0,E3849))</f>
        <v>#N/A</v>
      </c>
    </row>
    <row r="3850" spans="1:7">
      <c r="A3850" s="112" t="e">
        <f>VLOOKUP('Informe Kelly'!A3844,Base!A:B,2,FALSE)</f>
        <v>#N/A</v>
      </c>
      <c r="B3850" s="112" t="e">
        <f>VLOOKUP('Informe Kelly'!A3844,Base!A:G,7,FALSE)</f>
        <v>#N/A</v>
      </c>
      <c r="C3850" s="112">
        <f>'Informe Kelly'!E3844</f>
        <v>0</v>
      </c>
      <c r="D3850" s="112" t="e">
        <f>VLOOKUP(A3850,Ingreso!K:P,6,FALSE)</f>
        <v>#N/A</v>
      </c>
      <c r="E3850" s="142" t="e">
        <f>(VLOOKUP(D3850,$D$2:$E$4,2,FALSE))-(IF('Informe Kelly'!H3844=$A$2,'Informe Kelly'!F3844,VLOOKUP(D3850,$D$2:$E$4,2,FALSE)))</f>
        <v>#N/A</v>
      </c>
      <c r="F3850" s="142" t="e">
        <f>IF('Informe Kelly'!H3844=$A$3,'Informe Kelly'!F3844,VLOOKUP(D3850,$D$2:$F$4,3,FALSE))-(VLOOKUP(D3850,$D$2:$F$4,3,FALSE))</f>
        <v>#N/A</v>
      </c>
      <c r="G3850" s="137" t="e">
        <f t="shared" si="64"/>
        <v>#N/A</v>
      </c>
    </row>
    <row r="3851" spans="1:7">
      <c r="A3851" s="112" t="e">
        <f>VLOOKUP('Informe Kelly'!A3845,Base!A:B,2,FALSE)</f>
        <v>#N/A</v>
      </c>
      <c r="B3851" s="112" t="e">
        <f>VLOOKUP('Informe Kelly'!A3845,Base!A:G,7,FALSE)</f>
        <v>#N/A</v>
      </c>
      <c r="C3851" s="112">
        <f>'Informe Kelly'!E3845</f>
        <v>0</v>
      </c>
      <c r="D3851" s="112" t="e">
        <f>VLOOKUP(A3851,Ingreso!K:P,6,FALSE)</f>
        <v>#N/A</v>
      </c>
      <c r="E3851" s="142" t="e">
        <f>(VLOOKUP(D3851,$D$2:$E$4,2,FALSE))-(IF('Informe Kelly'!H3845=$A$2,'Informe Kelly'!F3845,VLOOKUP(D3851,$D$2:$E$4,2,FALSE)))</f>
        <v>#N/A</v>
      </c>
      <c r="F3851" s="142" t="e">
        <f>IF('Informe Kelly'!H3845=$A$3,'Informe Kelly'!F3845,VLOOKUP(D3851,$D$2:$F$4,3,FALSE))-(VLOOKUP(D3851,$D$2:$F$4,3,FALSE))</f>
        <v>#N/A</v>
      </c>
      <c r="G3851" s="137" t="e">
        <f t="shared" si="64"/>
        <v>#N/A</v>
      </c>
    </row>
    <row r="3852" spans="1:7">
      <c r="A3852" s="112" t="e">
        <f>VLOOKUP('Informe Kelly'!A3846,Base!A:B,2,FALSE)</f>
        <v>#N/A</v>
      </c>
      <c r="B3852" s="112" t="e">
        <f>VLOOKUP('Informe Kelly'!A3846,Base!A:G,7,FALSE)</f>
        <v>#N/A</v>
      </c>
      <c r="C3852" s="112">
        <f>'Informe Kelly'!E3846</f>
        <v>0</v>
      </c>
      <c r="D3852" s="112" t="e">
        <f>VLOOKUP(A3852,Ingreso!K:P,6,FALSE)</f>
        <v>#N/A</v>
      </c>
      <c r="E3852" s="142" t="e">
        <f>(VLOOKUP(D3852,$D$2:$E$4,2,FALSE))-(IF('Informe Kelly'!H3846=$A$2,'Informe Kelly'!F3846,VLOOKUP(D3852,$D$2:$E$4,2,FALSE)))</f>
        <v>#N/A</v>
      </c>
      <c r="F3852" s="142" t="e">
        <f>IF('Informe Kelly'!H3846=$A$3,'Informe Kelly'!F3846,VLOOKUP(D3852,$D$2:$F$4,3,FALSE))-(VLOOKUP(D3852,$D$2:$F$4,3,FALSE))</f>
        <v>#N/A</v>
      </c>
      <c r="G3852" s="137" t="e">
        <f t="shared" si="64"/>
        <v>#N/A</v>
      </c>
    </row>
    <row r="3853" spans="1:7">
      <c r="A3853" s="112" t="e">
        <f>VLOOKUP('Informe Kelly'!A3847,Base!A:B,2,FALSE)</f>
        <v>#N/A</v>
      </c>
      <c r="B3853" s="112" t="e">
        <f>VLOOKUP('Informe Kelly'!A3847,Base!A:G,7,FALSE)</f>
        <v>#N/A</v>
      </c>
      <c r="C3853" s="112">
        <f>'Informe Kelly'!E3847</f>
        <v>0</v>
      </c>
      <c r="D3853" s="112" t="e">
        <f>VLOOKUP(A3853,Ingreso!K:P,6,FALSE)</f>
        <v>#N/A</v>
      </c>
      <c r="E3853" s="142" t="e">
        <f>(VLOOKUP(D3853,$D$2:$E$4,2,FALSE))-(IF('Informe Kelly'!H3847=$A$2,'Informe Kelly'!F3847,VLOOKUP(D3853,$D$2:$E$4,2,FALSE)))</f>
        <v>#N/A</v>
      </c>
      <c r="F3853" s="142" t="e">
        <f>IF('Informe Kelly'!H3847=$A$3,'Informe Kelly'!F3847,VLOOKUP(D3853,$D$2:$F$4,3,FALSE))-(VLOOKUP(D3853,$D$2:$F$4,3,FALSE))</f>
        <v>#N/A</v>
      </c>
      <c r="G3853" s="137" t="e">
        <f t="shared" si="64"/>
        <v>#N/A</v>
      </c>
    </row>
    <row r="3854" spans="1:7">
      <c r="A3854" s="112" t="e">
        <f>VLOOKUP('Informe Kelly'!A3848,Base!A:B,2,FALSE)</f>
        <v>#N/A</v>
      </c>
      <c r="B3854" s="112" t="e">
        <f>VLOOKUP('Informe Kelly'!A3848,Base!A:G,7,FALSE)</f>
        <v>#N/A</v>
      </c>
      <c r="C3854" s="112">
        <f>'Informe Kelly'!E3848</f>
        <v>0</v>
      </c>
      <c r="D3854" s="112" t="e">
        <f>VLOOKUP(A3854,Ingreso!K:P,6,FALSE)</f>
        <v>#N/A</v>
      </c>
      <c r="E3854" s="142" t="e">
        <f>(VLOOKUP(D3854,$D$2:$E$4,2,FALSE))-(IF('Informe Kelly'!H3848=$A$2,'Informe Kelly'!F3848,VLOOKUP(D3854,$D$2:$E$4,2,FALSE)))</f>
        <v>#N/A</v>
      </c>
      <c r="F3854" s="142" t="e">
        <f>IF('Informe Kelly'!H3848=$A$3,'Informe Kelly'!F3848,VLOOKUP(D3854,$D$2:$F$4,3,FALSE))-(VLOOKUP(D3854,$D$2:$F$4,3,FALSE))</f>
        <v>#N/A</v>
      </c>
      <c r="G3854" s="137" t="e">
        <f t="shared" si="64"/>
        <v>#N/A</v>
      </c>
    </row>
    <row r="3855" spans="1:7">
      <c r="A3855" s="112" t="e">
        <f>VLOOKUP('Informe Kelly'!A3849,Base!A:B,2,FALSE)</f>
        <v>#N/A</v>
      </c>
      <c r="B3855" s="112" t="e">
        <f>VLOOKUP('Informe Kelly'!A3849,Base!A:G,7,FALSE)</f>
        <v>#N/A</v>
      </c>
      <c r="C3855" s="112">
        <f>'Informe Kelly'!E3849</f>
        <v>0</v>
      </c>
      <c r="D3855" s="112" t="e">
        <f>VLOOKUP(A3855,Ingreso!K:P,6,FALSE)</f>
        <v>#N/A</v>
      </c>
      <c r="E3855" s="142" t="e">
        <f>(VLOOKUP(D3855,$D$2:$E$4,2,FALSE))-(IF('Informe Kelly'!H3849=$A$2,'Informe Kelly'!F3849,VLOOKUP(D3855,$D$2:$E$4,2,FALSE)))</f>
        <v>#N/A</v>
      </c>
      <c r="F3855" s="142" t="e">
        <f>IF('Informe Kelly'!H3849=$A$3,'Informe Kelly'!F3849,VLOOKUP(D3855,$D$2:$F$4,3,FALSE))-(VLOOKUP(D3855,$D$2:$F$4,3,FALSE))</f>
        <v>#N/A</v>
      </c>
      <c r="G3855" s="137" t="e">
        <f t="shared" si="64"/>
        <v>#N/A</v>
      </c>
    </row>
    <row r="3856" spans="1:7">
      <c r="A3856" s="112" t="e">
        <f>VLOOKUP('Informe Kelly'!A3850,Base!A:B,2,FALSE)</f>
        <v>#N/A</v>
      </c>
      <c r="B3856" s="112" t="e">
        <f>VLOOKUP('Informe Kelly'!A3850,Base!A:G,7,FALSE)</f>
        <v>#N/A</v>
      </c>
      <c r="C3856" s="112">
        <f>'Informe Kelly'!E3850</f>
        <v>0</v>
      </c>
      <c r="D3856" s="112" t="e">
        <f>VLOOKUP(A3856,Ingreso!K:P,6,FALSE)</f>
        <v>#N/A</v>
      </c>
      <c r="E3856" s="142" t="e">
        <f>(VLOOKUP(D3856,$D$2:$E$4,2,FALSE))-(IF('Informe Kelly'!H3850=$A$2,'Informe Kelly'!F3850,VLOOKUP(D3856,$D$2:$E$4,2,FALSE)))</f>
        <v>#N/A</v>
      </c>
      <c r="F3856" s="142" t="e">
        <f>IF('Informe Kelly'!H3850=$A$3,'Informe Kelly'!F3850,VLOOKUP(D3856,$D$2:$F$4,3,FALSE))-(VLOOKUP(D3856,$D$2:$F$4,3,FALSE))</f>
        <v>#N/A</v>
      </c>
      <c r="G3856" s="137" t="e">
        <f t="shared" si="64"/>
        <v>#N/A</v>
      </c>
    </row>
    <row r="3857" spans="1:7">
      <c r="A3857" s="112" t="e">
        <f>VLOOKUP('Informe Kelly'!A3851,Base!A:B,2,FALSE)</f>
        <v>#N/A</v>
      </c>
      <c r="B3857" s="112" t="e">
        <f>VLOOKUP('Informe Kelly'!A3851,Base!A:G,7,FALSE)</f>
        <v>#N/A</v>
      </c>
      <c r="C3857" s="112">
        <f>'Informe Kelly'!E3851</f>
        <v>0</v>
      </c>
      <c r="D3857" s="112" t="e">
        <f>VLOOKUP(A3857,Ingreso!K:P,6,FALSE)</f>
        <v>#N/A</v>
      </c>
      <c r="E3857" s="142" t="e">
        <f>(VLOOKUP(D3857,$D$2:$E$4,2,FALSE))-(IF('Informe Kelly'!H3851=$A$2,'Informe Kelly'!F3851,VLOOKUP(D3857,$D$2:$E$4,2,FALSE)))</f>
        <v>#N/A</v>
      </c>
      <c r="F3857" s="142" t="e">
        <f>IF('Informe Kelly'!H3851=$A$3,'Informe Kelly'!F3851,VLOOKUP(D3857,$D$2:$F$4,3,FALSE))-(VLOOKUP(D3857,$D$2:$F$4,3,FALSE))</f>
        <v>#N/A</v>
      </c>
      <c r="G3857" s="137" t="e">
        <f t="shared" si="64"/>
        <v>#N/A</v>
      </c>
    </row>
    <row r="3858" spans="1:7">
      <c r="A3858" s="112" t="e">
        <f>VLOOKUP('Informe Kelly'!A3852,Base!A:B,2,FALSE)</f>
        <v>#N/A</v>
      </c>
      <c r="B3858" s="112" t="e">
        <f>VLOOKUP('Informe Kelly'!A3852,Base!A:G,7,FALSE)</f>
        <v>#N/A</v>
      </c>
      <c r="C3858" s="112">
        <f>'Informe Kelly'!E3852</f>
        <v>0</v>
      </c>
      <c r="D3858" s="112" t="e">
        <f>VLOOKUP(A3858,Ingreso!K:P,6,FALSE)</f>
        <v>#N/A</v>
      </c>
      <c r="E3858" s="142" t="e">
        <f>(VLOOKUP(D3858,$D$2:$E$4,2,FALSE))-(IF('Informe Kelly'!H3852=$A$2,'Informe Kelly'!F3852,VLOOKUP(D3858,$D$2:$E$4,2,FALSE)))</f>
        <v>#N/A</v>
      </c>
      <c r="F3858" s="142" t="e">
        <f>IF('Informe Kelly'!H3852=$A$3,'Informe Kelly'!F3852,VLOOKUP(D3858,$D$2:$F$4,3,FALSE))-(VLOOKUP(D3858,$D$2:$F$4,3,FALSE))</f>
        <v>#N/A</v>
      </c>
      <c r="G3858" s="137" t="e">
        <f t="shared" si="64"/>
        <v>#N/A</v>
      </c>
    </row>
    <row r="3859" spans="1:7">
      <c r="A3859" s="112" t="e">
        <f>VLOOKUP('Informe Kelly'!A3853,Base!A:B,2,FALSE)</f>
        <v>#N/A</v>
      </c>
      <c r="B3859" s="112" t="e">
        <f>VLOOKUP('Informe Kelly'!A3853,Base!A:G,7,FALSE)</f>
        <v>#N/A</v>
      </c>
      <c r="C3859" s="112">
        <f>'Informe Kelly'!E3853</f>
        <v>0</v>
      </c>
      <c r="D3859" s="112" t="e">
        <f>VLOOKUP(A3859,Ingreso!K:P,6,FALSE)</f>
        <v>#N/A</v>
      </c>
      <c r="E3859" s="142" t="e">
        <f>(VLOOKUP(D3859,$D$2:$E$4,2,FALSE))-(IF('Informe Kelly'!H3853=$A$2,'Informe Kelly'!F3853,VLOOKUP(D3859,$D$2:$E$4,2,FALSE)))</f>
        <v>#N/A</v>
      </c>
      <c r="F3859" s="142" t="e">
        <f>IF('Informe Kelly'!H3853=$A$3,'Informe Kelly'!F3853,VLOOKUP(D3859,$D$2:$F$4,3,FALSE))-(VLOOKUP(D3859,$D$2:$F$4,3,FALSE))</f>
        <v>#N/A</v>
      </c>
      <c r="G3859" s="137" t="e">
        <f t="shared" si="64"/>
        <v>#N/A</v>
      </c>
    </row>
    <row r="3860" spans="1:7">
      <c r="A3860" s="112" t="e">
        <f>VLOOKUP('Informe Kelly'!A3854,Base!A:B,2,FALSE)</f>
        <v>#N/A</v>
      </c>
      <c r="B3860" s="112" t="e">
        <f>VLOOKUP('Informe Kelly'!A3854,Base!A:G,7,FALSE)</f>
        <v>#N/A</v>
      </c>
      <c r="C3860" s="112">
        <f>'Informe Kelly'!E3854</f>
        <v>0</v>
      </c>
      <c r="D3860" s="112" t="e">
        <f>VLOOKUP(A3860,Ingreso!K:P,6,FALSE)</f>
        <v>#N/A</v>
      </c>
      <c r="E3860" s="142" t="e">
        <f>(VLOOKUP(D3860,$D$2:$E$4,2,FALSE))-(IF('Informe Kelly'!H3854=$A$2,'Informe Kelly'!F3854,VLOOKUP(D3860,$D$2:$E$4,2,FALSE)))</f>
        <v>#N/A</v>
      </c>
      <c r="F3860" s="142" t="e">
        <f>IF('Informe Kelly'!H3854=$A$3,'Informe Kelly'!F3854,VLOOKUP(D3860,$D$2:$F$4,3,FALSE))-(VLOOKUP(D3860,$D$2:$F$4,3,FALSE))</f>
        <v>#N/A</v>
      </c>
      <c r="G3860" s="137" t="e">
        <f t="shared" si="64"/>
        <v>#N/A</v>
      </c>
    </row>
    <row r="3861" spans="1:7">
      <c r="A3861" s="112" t="e">
        <f>VLOOKUP('Informe Kelly'!A3855,Base!A:B,2,FALSE)</f>
        <v>#N/A</v>
      </c>
      <c r="B3861" s="112" t="e">
        <f>VLOOKUP('Informe Kelly'!A3855,Base!A:G,7,FALSE)</f>
        <v>#N/A</v>
      </c>
      <c r="C3861" s="112">
        <f>'Informe Kelly'!E3855</f>
        <v>0</v>
      </c>
      <c r="D3861" s="112" t="e">
        <f>VLOOKUP(A3861,Ingreso!K:P,6,FALSE)</f>
        <v>#N/A</v>
      </c>
      <c r="E3861" s="142" t="e">
        <f>(VLOOKUP(D3861,$D$2:$E$4,2,FALSE))-(IF('Informe Kelly'!H3855=$A$2,'Informe Kelly'!F3855,VLOOKUP(D3861,$D$2:$E$4,2,FALSE)))</f>
        <v>#N/A</v>
      </c>
      <c r="F3861" s="142" t="e">
        <f>IF('Informe Kelly'!H3855=$A$3,'Informe Kelly'!F3855,VLOOKUP(D3861,$D$2:$F$4,3,FALSE))-(VLOOKUP(D3861,$D$2:$F$4,3,FALSE))</f>
        <v>#N/A</v>
      </c>
      <c r="G3861" s="137" t="e">
        <f t="shared" si="64"/>
        <v>#N/A</v>
      </c>
    </row>
    <row r="3862" spans="1:7">
      <c r="A3862" s="112" t="e">
        <f>VLOOKUP('Informe Kelly'!A3856,Base!A:B,2,FALSE)</f>
        <v>#N/A</v>
      </c>
      <c r="B3862" s="112" t="e">
        <f>VLOOKUP('Informe Kelly'!A3856,Base!A:G,7,FALSE)</f>
        <v>#N/A</v>
      </c>
      <c r="C3862" s="112">
        <f>'Informe Kelly'!E3856</f>
        <v>0</v>
      </c>
      <c r="D3862" s="112" t="e">
        <f>VLOOKUP(A3862,Ingreso!K:P,6,FALSE)</f>
        <v>#N/A</v>
      </c>
      <c r="E3862" s="142" t="e">
        <f>(VLOOKUP(D3862,$D$2:$E$4,2,FALSE))-(IF('Informe Kelly'!H3856=$A$2,'Informe Kelly'!F3856,VLOOKUP(D3862,$D$2:$E$4,2,FALSE)))</f>
        <v>#N/A</v>
      </c>
      <c r="F3862" s="142" t="e">
        <f>IF('Informe Kelly'!H3856=$A$3,'Informe Kelly'!F3856,VLOOKUP(D3862,$D$2:$F$4,3,FALSE))-(VLOOKUP(D3862,$D$2:$F$4,3,FALSE))</f>
        <v>#N/A</v>
      </c>
      <c r="G3862" s="137" t="e">
        <f t="shared" si="64"/>
        <v>#N/A</v>
      </c>
    </row>
    <row r="3863" spans="1:7">
      <c r="A3863" s="112" t="e">
        <f>VLOOKUP('Informe Kelly'!A3857,Base!A:B,2,FALSE)</f>
        <v>#N/A</v>
      </c>
      <c r="B3863" s="112" t="e">
        <f>VLOOKUP('Informe Kelly'!A3857,Base!A:G,7,FALSE)</f>
        <v>#N/A</v>
      </c>
      <c r="C3863" s="112">
        <f>'Informe Kelly'!E3857</f>
        <v>0</v>
      </c>
      <c r="D3863" s="112" t="e">
        <f>VLOOKUP(A3863,Ingreso!K:P,6,FALSE)</f>
        <v>#N/A</v>
      </c>
      <c r="E3863" s="142" t="e">
        <f>(VLOOKUP(D3863,$D$2:$E$4,2,FALSE))-(IF('Informe Kelly'!H3857=$A$2,'Informe Kelly'!F3857,VLOOKUP(D3863,$D$2:$E$4,2,FALSE)))</f>
        <v>#N/A</v>
      </c>
      <c r="F3863" s="142" t="e">
        <f>IF('Informe Kelly'!H3857=$A$3,'Informe Kelly'!F3857,VLOOKUP(D3863,$D$2:$F$4,3,FALSE))-(VLOOKUP(D3863,$D$2:$F$4,3,FALSE))</f>
        <v>#N/A</v>
      </c>
      <c r="G3863" s="137" t="e">
        <f t="shared" si="64"/>
        <v>#N/A</v>
      </c>
    </row>
    <row r="3864" spans="1:7">
      <c r="A3864" s="112" t="e">
        <f>VLOOKUP('Informe Kelly'!A3858,Base!A:B,2,FALSE)</f>
        <v>#N/A</v>
      </c>
      <c r="B3864" s="112" t="e">
        <f>VLOOKUP('Informe Kelly'!A3858,Base!A:G,7,FALSE)</f>
        <v>#N/A</v>
      </c>
      <c r="C3864" s="112">
        <f>'Informe Kelly'!E3858</f>
        <v>0</v>
      </c>
      <c r="D3864" s="112" t="e">
        <f>VLOOKUP(A3864,Ingreso!K:P,6,FALSE)</f>
        <v>#N/A</v>
      </c>
      <c r="E3864" s="142" t="e">
        <f>(VLOOKUP(D3864,$D$2:$E$4,2,FALSE))-(IF('Informe Kelly'!H3858=$A$2,'Informe Kelly'!F3858,VLOOKUP(D3864,$D$2:$E$4,2,FALSE)))</f>
        <v>#N/A</v>
      </c>
      <c r="F3864" s="142" t="e">
        <f>IF('Informe Kelly'!H3858=$A$3,'Informe Kelly'!F3858,VLOOKUP(D3864,$D$2:$F$4,3,FALSE))-(VLOOKUP(D3864,$D$2:$F$4,3,FALSE))</f>
        <v>#N/A</v>
      </c>
      <c r="G3864" s="137" t="e">
        <f t="shared" si="64"/>
        <v>#N/A</v>
      </c>
    </row>
    <row r="3865" spans="1:7">
      <c r="A3865" s="112" t="e">
        <f>VLOOKUP('Informe Kelly'!A3859,Base!A:B,2,FALSE)</f>
        <v>#N/A</v>
      </c>
      <c r="B3865" s="112" t="e">
        <f>VLOOKUP('Informe Kelly'!A3859,Base!A:G,7,FALSE)</f>
        <v>#N/A</v>
      </c>
      <c r="C3865" s="112">
        <f>'Informe Kelly'!E3859</f>
        <v>0</v>
      </c>
      <c r="D3865" s="112" t="e">
        <f>VLOOKUP(A3865,Ingreso!K:P,6,FALSE)</f>
        <v>#N/A</v>
      </c>
      <c r="E3865" s="142" t="e">
        <f>(VLOOKUP(D3865,$D$2:$E$4,2,FALSE))-(IF('Informe Kelly'!H3859=$A$2,'Informe Kelly'!F3859,VLOOKUP(D3865,$D$2:$E$4,2,FALSE)))</f>
        <v>#N/A</v>
      </c>
      <c r="F3865" s="142" t="e">
        <f>IF('Informe Kelly'!H3859=$A$3,'Informe Kelly'!F3859,VLOOKUP(D3865,$D$2:$F$4,3,FALSE))-(VLOOKUP(D3865,$D$2:$F$4,3,FALSE))</f>
        <v>#N/A</v>
      </c>
      <c r="G3865" s="137" t="e">
        <f t="shared" si="64"/>
        <v>#N/A</v>
      </c>
    </row>
    <row r="3866" spans="1:7">
      <c r="A3866" s="112" t="e">
        <f>VLOOKUP('Informe Kelly'!A3860,Base!A:B,2,FALSE)</f>
        <v>#N/A</v>
      </c>
      <c r="B3866" s="112" t="e">
        <f>VLOOKUP('Informe Kelly'!A3860,Base!A:G,7,FALSE)</f>
        <v>#N/A</v>
      </c>
      <c r="C3866" s="112">
        <f>'Informe Kelly'!E3860</f>
        <v>0</v>
      </c>
      <c r="D3866" s="112" t="e">
        <f>VLOOKUP(A3866,Ingreso!K:P,6,FALSE)</f>
        <v>#N/A</v>
      </c>
      <c r="E3866" s="142" t="e">
        <f>(VLOOKUP(D3866,$D$2:$E$4,2,FALSE))-(IF('Informe Kelly'!H3860=$A$2,'Informe Kelly'!F3860,VLOOKUP(D3866,$D$2:$E$4,2,FALSE)))</f>
        <v>#N/A</v>
      </c>
      <c r="F3866" s="142" t="e">
        <f>IF('Informe Kelly'!H3860=$A$3,'Informe Kelly'!F3860,VLOOKUP(D3866,$D$2:$F$4,3,FALSE))-(VLOOKUP(D3866,$D$2:$F$4,3,FALSE))</f>
        <v>#N/A</v>
      </c>
      <c r="G3866" s="137" t="e">
        <f t="shared" si="64"/>
        <v>#N/A</v>
      </c>
    </row>
    <row r="3867" spans="1:7">
      <c r="A3867" s="112" t="e">
        <f>VLOOKUP('Informe Kelly'!A3861,Base!A:B,2,FALSE)</f>
        <v>#N/A</v>
      </c>
      <c r="B3867" s="112" t="e">
        <f>VLOOKUP('Informe Kelly'!A3861,Base!A:G,7,FALSE)</f>
        <v>#N/A</v>
      </c>
      <c r="C3867" s="112">
        <f>'Informe Kelly'!E3861</f>
        <v>0</v>
      </c>
      <c r="D3867" s="112" t="e">
        <f>VLOOKUP(A3867,Ingreso!K:P,6,FALSE)</f>
        <v>#N/A</v>
      </c>
      <c r="E3867" s="142" t="e">
        <f>(VLOOKUP(D3867,$D$2:$E$4,2,FALSE))-(IF('Informe Kelly'!H3861=$A$2,'Informe Kelly'!F3861,VLOOKUP(D3867,$D$2:$E$4,2,FALSE)))</f>
        <v>#N/A</v>
      </c>
      <c r="F3867" s="142" t="e">
        <f>IF('Informe Kelly'!H3861=$A$3,'Informe Kelly'!F3861,VLOOKUP(D3867,$D$2:$F$4,3,FALSE))-(VLOOKUP(D3867,$D$2:$F$4,3,FALSE))</f>
        <v>#N/A</v>
      </c>
      <c r="G3867" s="137" t="e">
        <f t="shared" si="64"/>
        <v>#N/A</v>
      </c>
    </row>
    <row r="3868" spans="1:7">
      <c r="A3868" s="112" t="e">
        <f>VLOOKUP('Informe Kelly'!A3862,Base!A:B,2,FALSE)</f>
        <v>#N/A</v>
      </c>
      <c r="B3868" s="112" t="e">
        <f>VLOOKUP('Informe Kelly'!A3862,Base!A:G,7,FALSE)</f>
        <v>#N/A</v>
      </c>
      <c r="C3868" s="112">
        <f>'Informe Kelly'!E3862</f>
        <v>0</v>
      </c>
      <c r="D3868" s="112" t="e">
        <f>VLOOKUP(A3868,Ingreso!K:P,6,FALSE)</f>
        <v>#N/A</v>
      </c>
      <c r="E3868" s="142" t="e">
        <f>(VLOOKUP(D3868,$D$2:$E$4,2,FALSE))-(IF('Informe Kelly'!H3862=$A$2,'Informe Kelly'!F3862,VLOOKUP(D3868,$D$2:$E$4,2,FALSE)))</f>
        <v>#N/A</v>
      </c>
      <c r="F3868" s="142" t="e">
        <f>IF('Informe Kelly'!H3862=$A$3,'Informe Kelly'!F3862,VLOOKUP(D3868,$D$2:$F$4,3,FALSE))-(VLOOKUP(D3868,$D$2:$F$4,3,FALSE))</f>
        <v>#N/A</v>
      </c>
      <c r="G3868" s="137" t="e">
        <f t="shared" si="64"/>
        <v>#N/A</v>
      </c>
    </row>
    <row r="3869" spans="1:7">
      <c r="A3869" s="112" t="e">
        <f>VLOOKUP('Informe Kelly'!A3863,Base!A:B,2,FALSE)</f>
        <v>#N/A</v>
      </c>
      <c r="B3869" s="112" t="e">
        <f>VLOOKUP('Informe Kelly'!A3863,Base!A:G,7,FALSE)</f>
        <v>#N/A</v>
      </c>
      <c r="C3869" s="112">
        <f>'Informe Kelly'!E3863</f>
        <v>0</v>
      </c>
      <c r="D3869" s="112" t="e">
        <f>VLOOKUP(A3869,Ingreso!K:P,6,FALSE)</f>
        <v>#N/A</v>
      </c>
      <c r="E3869" s="142" t="e">
        <f>(VLOOKUP(D3869,$D$2:$E$4,2,FALSE))-(IF('Informe Kelly'!H3863=$A$2,'Informe Kelly'!F3863,VLOOKUP(D3869,$D$2:$E$4,2,FALSE)))</f>
        <v>#N/A</v>
      </c>
      <c r="F3869" s="142" t="e">
        <f>IF('Informe Kelly'!H3863=$A$3,'Informe Kelly'!F3863,VLOOKUP(D3869,$D$2:$F$4,3,FALSE))-(VLOOKUP(D3869,$D$2:$F$4,3,FALSE))</f>
        <v>#N/A</v>
      </c>
      <c r="G3869" s="137" t="e">
        <f t="shared" si="64"/>
        <v>#N/A</v>
      </c>
    </row>
    <row r="3870" spans="1:7">
      <c r="A3870" s="112" t="e">
        <f>VLOOKUP('Informe Kelly'!A3864,Base!A:B,2,FALSE)</f>
        <v>#N/A</v>
      </c>
      <c r="B3870" s="112" t="e">
        <f>VLOOKUP('Informe Kelly'!A3864,Base!A:G,7,FALSE)</f>
        <v>#N/A</v>
      </c>
      <c r="C3870" s="112">
        <f>'Informe Kelly'!E3864</f>
        <v>0</v>
      </c>
      <c r="D3870" s="112" t="e">
        <f>VLOOKUP(A3870,Ingreso!K:P,6,FALSE)</f>
        <v>#N/A</v>
      </c>
      <c r="E3870" s="142" t="e">
        <f>(VLOOKUP(D3870,$D$2:$E$4,2,FALSE))-(IF('Informe Kelly'!H3864=$A$2,'Informe Kelly'!F3864,VLOOKUP(D3870,$D$2:$E$4,2,FALSE)))</f>
        <v>#N/A</v>
      </c>
      <c r="F3870" s="142" t="e">
        <f>IF('Informe Kelly'!H3864=$A$3,'Informe Kelly'!F3864,VLOOKUP(D3870,$D$2:$F$4,3,FALSE))-(VLOOKUP(D3870,$D$2:$F$4,3,FALSE))</f>
        <v>#N/A</v>
      </c>
      <c r="G3870" s="137" t="e">
        <f t="shared" si="64"/>
        <v>#N/A</v>
      </c>
    </row>
    <row r="3871" spans="1:7">
      <c r="A3871" s="112" t="e">
        <f>VLOOKUP('Informe Kelly'!A3865,Base!A:B,2,FALSE)</f>
        <v>#N/A</v>
      </c>
      <c r="B3871" s="112" t="e">
        <f>VLOOKUP('Informe Kelly'!A3865,Base!A:G,7,FALSE)</f>
        <v>#N/A</v>
      </c>
      <c r="C3871" s="112">
        <f>'Informe Kelly'!E3865</f>
        <v>0</v>
      </c>
      <c r="D3871" s="112" t="e">
        <f>VLOOKUP(A3871,Ingreso!K:P,6,FALSE)</f>
        <v>#N/A</v>
      </c>
      <c r="E3871" s="142" t="e">
        <f>(VLOOKUP(D3871,$D$2:$E$4,2,FALSE))-(IF('Informe Kelly'!H3865=$A$2,'Informe Kelly'!F3865,VLOOKUP(D3871,$D$2:$E$4,2,FALSE)))</f>
        <v>#N/A</v>
      </c>
      <c r="F3871" s="142" t="e">
        <f>IF('Informe Kelly'!H3865=$A$3,'Informe Kelly'!F3865,VLOOKUP(D3871,$D$2:$F$4,3,FALSE))-(VLOOKUP(D3871,$D$2:$F$4,3,FALSE))</f>
        <v>#N/A</v>
      </c>
      <c r="G3871" s="137" t="e">
        <f t="shared" si="64"/>
        <v>#N/A</v>
      </c>
    </row>
    <row r="3872" spans="1:7">
      <c r="A3872" s="112" t="e">
        <f>VLOOKUP('Informe Kelly'!A3866,Base!A:B,2,FALSE)</f>
        <v>#N/A</v>
      </c>
      <c r="B3872" s="112" t="e">
        <f>VLOOKUP('Informe Kelly'!A3866,Base!A:G,7,FALSE)</f>
        <v>#N/A</v>
      </c>
      <c r="C3872" s="112">
        <f>'Informe Kelly'!E3866</f>
        <v>0</v>
      </c>
      <c r="D3872" s="112" t="e">
        <f>VLOOKUP(A3872,Ingreso!K:P,6,FALSE)</f>
        <v>#N/A</v>
      </c>
      <c r="E3872" s="142" t="e">
        <f>(VLOOKUP(D3872,$D$2:$E$4,2,FALSE))-(IF('Informe Kelly'!H3866=$A$2,'Informe Kelly'!F3866,VLOOKUP(D3872,$D$2:$E$4,2,FALSE)))</f>
        <v>#N/A</v>
      </c>
      <c r="F3872" s="142" t="e">
        <f>IF('Informe Kelly'!H3866=$A$3,'Informe Kelly'!F3866,VLOOKUP(D3872,$D$2:$F$4,3,FALSE))-(VLOOKUP(D3872,$D$2:$F$4,3,FALSE))</f>
        <v>#N/A</v>
      </c>
      <c r="G3872" s="137" t="e">
        <f t="shared" si="64"/>
        <v>#N/A</v>
      </c>
    </row>
    <row r="3873" spans="1:7">
      <c r="A3873" s="112" t="e">
        <f>VLOOKUP('Informe Kelly'!A3867,Base!A:B,2,FALSE)</f>
        <v>#N/A</v>
      </c>
      <c r="B3873" s="112" t="e">
        <f>VLOOKUP('Informe Kelly'!A3867,Base!A:G,7,FALSE)</f>
        <v>#N/A</v>
      </c>
      <c r="C3873" s="112">
        <f>'Informe Kelly'!E3867</f>
        <v>0</v>
      </c>
      <c r="D3873" s="112" t="e">
        <f>VLOOKUP(A3873,Ingreso!K:P,6,FALSE)</f>
        <v>#N/A</v>
      </c>
      <c r="E3873" s="142" t="e">
        <f>(VLOOKUP(D3873,$D$2:$E$4,2,FALSE))-(IF('Informe Kelly'!H3867=$A$2,'Informe Kelly'!F3867,VLOOKUP(D3873,$D$2:$E$4,2,FALSE)))</f>
        <v>#N/A</v>
      </c>
      <c r="F3873" s="142" t="e">
        <f>IF('Informe Kelly'!H3867=$A$3,'Informe Kelly'!F3867,VLOOKUP(D3873,$D$2:$F$4,3,FALSE))-(VLOOKUP(D3873,$D$2:$F$4,3,FALSE))</f>
        <v>#N/A</v>
      </c>
      <c r="G3873" s="137" t="e">
        <f t="shared" si="64"/>
        <v>#N/A</v>
      </c>
    </row>
    <row r="3874" spans="1:7">
      <c r="A3874" s="112" t="e">
        <f>VLOOKUP('Informe Kelly'!A3868,Base!A:B,2,FALSE)</f>
        <v>#N/A</v>
      </c>
      <c r="B3874" s="112" t="e">
        <f>VLOOKUP('Informe Kelly'!A3868,Base!A:G,7,FALSE)</f>
        <v>#N/A</v>
      </c>
      <c r="C3874" s="112">
        <f>'Informe Kelly'!E3868</f>
        <v>0</v>
      </c>
      <c r="D3874" s="112" t="e">
        <f>VLOOKUP(A3874,Ingreso!K:P,6,FALSE)</f>
        <v>#N/A</v>
      </c>
      <c r="E3874" s="142" t="e">
        <f>(VLOOKUP(D3874,$D$2:$E$4,2,FALSE))-(IF('Informe Kelly'!H3868=$A$2,'Informe Kelly'!F3868,VLOOKUP(D3874,$D$2:$E$4,2,FALSE)))</f>
        <v>#N/A</v>
      </c>
      <c r="F3874" s="142" t="e">
        <f>IF('Informe Kelly'!H3868=$A$3,'Informe Kelly'!F3868,VLOOKUP(D3874,$D$2:$F$4,3,FALSE))-(VLOOKUP(D3874,$D$2:$F$4,3,FALSE))</f>
        <v>#N/A</v>
      </c>
      <c r="G3874" s="137" t="e">
        <f t="shared" si="64"/>
        <v>#N/A</v>
      </c>
    </row>
    <row r="3875" spans="1:7">
      <c r="A3875" s="112" t="e">
        <f>VLOOKUP('Informe Kelly'!A3869,Base!A:B,2,FALSE)</f>
        <v>#N/A</v>
      </c>
      <c r="B3875" s="112" t="e">
        <f>VLOOKUP('Informe Kelly'!A3869,Base!A:G,7,FALSE)</f>
        <v>#N/A</v>
      </c>
      <c r="C3875" s="112">
        <f>'Informe Kelly'!E3869</f>
        <v>0</v>
      </c>
      <c r="D3875" s="112" t="e">
        <f>VLOOKUP(A3875,Ingreso!K:P,6,FALSE)</f>
        <v>#N/A</v>
      </c>
      <c r="E3875" s="142" t="e">
        <f>(VLOOKUP(D3875,$D$2:$E$4,2,FALSE))-(IF('Informe Kelly'!H3869=$A$2,'Informe Kelly'!F3869,VLOOKUP(D3875,$D$2:$E$4,2,FALSE)))</f>
        <v>#N/A</v>
      </c>
      <c r="F3875" s="142" t="e">
        <f>IF('Informe Kelly'!H3869=$A$3,'Informe Kelly'!F3869,VLOOKUP(D3875,$D$2:$F$4,3,FALSE))-(VLOOKUP(D3875,$D$2:$F$4,3,FALSE))</f>
        <v>#N/A</v>
      </c>
      <c r="G3875" s="137" t="e">
        <f t="shared" si="64"/>
        <v>#N/A</v>
      </c>
    </row>
    <row r="3876" spans="1:7">
      <c r="A3876" s="112" t="e">
        <f>VLOOKUP('Informe Kelly'!A3870,Base!A:B,2,FALSE)</f>
        <v>#N/A</v>
      </c>
      <c r="B3876" s="112" t="e">
        <f>VLOOKUP('Informe Kelly'!A3870,Base!A:G,7,FALSE)</f>
        <v>#N/A</v>
      </c>
      <c r="C3876" s="112">
        <f>'Informe Kelly'!E3870</f>
        <v>0</v>
      </c>
      <c r="D3876" s="112" t="e">
        <f>VLOOKUP(A3876,Ingreso!K:P,6,FALSE)</f>
        <v>#N/A</v>
      </c>
      <c r="E3876" s="142" t="e">
        <f>(VLOOKUP(D3876,$D$2:$E$4,2,FALSE))-(IF('Informe Kelly'!H3870=$A$2,'Informe Kelly'!F3870,VLOOKUP(D3876,$D$2:$E$4,2,FALSE)))</f>
        <v>#N/A</v>
      </c>
      <c r="F3876" s="142" t="e">
        <f>IF('Informe Kelly'!H3870=$A$3,'Informe Kelly'!F3870,VLOOKUP(D3876,$D$2:$F$4,3,FALSE))-(VLOOKUP(D3876,$D$2:$F$4,3,FALSE))</f>
        <v>#N/A</v>
      </c>
      <c r="G3876" s="137" t="e">
        <f t="shared" si="64"/>
        <v>#N/A</v>
      </c>
    </row>
    <row r="3877" spans="1:7">
      <c r="A3877" s="112" t="e">
        <f>VLOOKUP('Informe Kelly'!A3871,Base!A:B,2,FALSE)</f>
        <v>#N/A</v>
      </c>
      <c r="B3877" s="112" t="e">
        <f>VLOOKUP('Informe Kelly'!A3871,Base!A:G,7,FALSE)</f>
        <v>#N/A</v>
      </c>
      <c r="C3877" s="112">
        <f>'Informe Kelly'!E3871</f>
        <v>0</v>
      </c>
      <c r="D3877" s="112" t="e">
        <f>VLOOKUP(A3877,Ingreso!K:P,6,FALSE)</f>
        <v>#N/A</v>
      </c>
      <c r="E3877" s="142" t="e">
        <f>(VLOOKUP(D3877,$D$2:$E$4,2,FALSE))-(IF('Informe Kelly'!H3871=$A$2,'Informe Kelly'!F3871,VLOOKUP(D3877,$D$2:$E$4,2,FALSE)))</f>
        <v>#N/A</v>
      </c>
      <c r="F3877" s="142" t="e">
        <f>IF('Informe Kelly'!H3871=$A$3,'Informe Kelly'!F3871,VLOOKUP(D3877,$D$2:$F$4,3,FALSE))-(VLOOKUP(D3877,$D$2:$F$4,3,FALSE))</f>
        <v>#N/A</v>
      </c>
      <c r="G3877" s="137" t="e">
        <f t="shared" si="64"/>
        <v>#N/A</v>
      </c>
    </row>
    <row r="3878" spans="1:7">
      <c r="A3878" s="112" t="e">
        <f>VLOOKUP('Informe Kelly'!A3872,Base!A:B,2,FALSE)</f>
        <v>#N/A</v>
      </c>
      <c r="B3878" s="112" t="e">
        <f>VLOOKUP('Informe Kelly'!A3872,Base!A:G,7,FALSE)</f>
        <v>#N/A</v>
      </c>
      <c r="C3878" s="112">
        <f>'Informe Kelly'!E3872</f>
        <v>0</v>
      </c>
      <c r="D3878" s="112" t="e">
        <f>VLOOKUP(A3878,Ingreso!K:P,6,FALSE)</f>
        <v>#N/A</v>
      </c>
      <c r="E3878" s="142" t="e">
        <f>(VLOOKUP(D3878,$D$2:$E$4,2,FALSE))-(IF('Informe Kelly'!H3872=$A$2,'Informe Kelly'!F3872,VLOOKUP(D3878,$D$2:$E$4,2,FALSE)))</f>
        <v>#N/A</v>
      </c>
      <c r="F3878" s="142" t="e">
        <f>IF('Informe Kelly'!H3872=$A$3,'Informe Kelly'!F3872,VLOOKUP(D3878,$D$2:$F$4,3,FALSE))-(VLOOKUP(D3878,$D$2:$F$4,3,FALSE))</f>
        <v>#N/A</v>
      </c>
      <c r="G3878" s="137" t="e">
        <f t="shared" si="64"/>
        <v>#N/A</v>
      </c>
    </row>
    <row r="3879" spans="1:7">
      <c r="A3879" s="112" t="e">
        <f>VLOOKUP('Informe Kelly'!A3873,Base!A:B,2,FALSE)</f>
        <v>#N/A</v>
      </c>
      <c r="B3879" s="112" t="e">
        <f>VLOOKUP('Informe Kelly'!A3873,Base!A:G,7,FALSE)</f>
        <v>#N/A</v>
      </c>
      <c r="C3879" s="112">
        <f>'Informe Kelly'!E3873</f>
        <v>0</v>
      </c>
      <c r="D3879" s="112" t="e">
        <f>VLOOKUP(A3879,Ingreso!K:P,6,FALSE)</f>
        <v>#N/A</v>
      </c>
      <c r="E3879" s="142" t="e">
        <f>(VLOOKUP(D3879,$D$2:$E$4,2,FALSE))-(IF('Informe Kelly'!H3873=$A$2,'Informe Kelly'!F3873,VLOOKUP(D3879,$D$2:$E$4,2,FALSE)))</f>
        <v>#N/A</v>
      </c>
      <c r="F3879" s="142" t="e">
        <f>IF('Informe Kelly'!H3873=$A$3,'Informe Kelly'!F3873,VLOOKUP(D3879,$D$2:$F$4,3,FALSE))-(VLOOKUP(D3879,$D$2:$F$4,3,FALSE))</f>
        <v>#N/A</v>
      </c>
      <c r="G3879" s="137" t="e">
        <f t="shared" si="64"/>
        <v>#N/A</v>
      </c>
    </row>
    <row r="3880" spans="1:7">
      <c r="A3880" s="112" t="e">
        <f>VLOOKUP('Informe Kelly'!A3874,Base!A:B,2,FALSE)</f>
        <v>#N/A</v>
      </c>
      <c r="B3880" s="112" t="e">
        <f>VLOOKUP('Informe Kelly'!A3874,Base!A:G,7,FALSE)</f>
        <v>#N/A</v>
      </c>
      <c r="C3880" s="112">
        <f>'Informe Kelly'!E3874</f>
        <v>0</v>
      </c>
      <c r="D3880" s="112" t="e">
        <f>VLOOKUP(A3880,Ingreso!K:P,6,FALSE)</f>
        <v>#N/A</v>
      </c>
      <c r="E3880" s="142" t="e">
        <f>(VLOOKUP(D3880,$D$2:$E$4,2,FALSE))-(IF('Informe Kelly'!H3874=$A$2,'Informe Kelly'!F3874,VLOOKUP(D3880,$D$2:$E$4,2,FALSE)))</f>
        <v>#N/A</v>
      </c>
      <c r="F3880" s="142" t="e">
        <f>IF('Informe Kelly'!H3874=$A$3,'Informe Kelly'!F3874,VLOOKUP(D3880,$D$2:$F$4,3,FALSE))-(VLOOKUP(D3880,$D$2:$F$4,3,FALSE))</f>
        <v>#N/A</v>
      </c>
      <c r="G3880" s="137" t="e">
        <f t="shared" si="64"/>
        <v>#N/A</v>
      </c>
    </row>
    <row r="3881" spans="1:7">
      <c r="A3881" s="112" t="e">
        <f>VLOOKUP('Informe Kelly'!A3875,Base!A:B,2,FALSE)</f>
        <v>#N/A</v>
      </c>
      <c r="B3881" s="112" t="e">
        <f>VLOOKUP('Informe Kelly'!A3875,Base!A:G,7,FALSE)</f>
        <v>#N/A</v>
      </c>
      <c r="C3881" s="112">
        <f>'Informe Kelly'!E3875</f>
        <v>0</v>
      </c>
      <c r="D3881" s="112" t="e">
        <f>VLOOKUP(A3881,Ingreso!K:P,6,FALSE)</f>
        <v>#N/A</v>
      </c>
      <c r="E3881" s="142" t="e">
        <f>(VLOOKUP(D3881,$D$2:$E$4,2,FALSE))-(IF('Informe Kelly'!H3875=$A$2,'Informe Kelly'!F3875,VLOOKUP(D3881,$D$2:$E$4,2,FALSE)))</f>
        <v>#N/A</v>
      </c>
      <c r="F3881" s="142" t="e">
        <f>IF('Informe Kelly'!H3875=$A$3,'Informe Kelly'!F3875,VLOOKUP(D3881,$D$2:$F$4,3,FALSE))-(VLOOKUP(D3881,$D$2:$F$4,3,FALSE))</f>
        <v>#N/A</v>
      </c>
      <c r="G3881" s="137" t="e">
        <f t="shared" si="64"/>
        <v>#N/A</v>
      </c>
    </row>
    <row r="3882" spans="1:7">
      <c r="A3882" s="112" t="e">
        <f>VLOOKUP('Informe Kelly'!A3876,Base!A:B,2,FALSE)</f>
        <v>#N/A</v>
      </c>
      <c r="B3882" s="112" t="e">
        <f>VLOOKUP('Informe Kelly'!A3876,Base!A:G,7,FALSE)</f>
        <v>#N/A</v>
      </c>
      <c r="C3882" s="112">
        <f>'Informe Kelly'!E3876</f>
        <v>0</v>
      </c>
      <c r="D3882" s="112" t="e">
        <f>VLOOKUP(A3882,Ingreso!K:P,6,FALSE)</f>
        <v>#N/A</v>
      </c>
      <c r="E3882" s="142" t="e">
        <f>(VLOOKUP(D3882,$D$2:$E$4,2,FALSE))-(IF('Informe Kelly'!H3876=$A$2,'Informe Kelly'!F3876,VLOOKUP(D3882,$D$2:$E$4,2,FALSE)))</f>
        <v>#N/A</v>
      </c>
      <c r="F3882" s="142" t="e">
        <f>IF('Informe Kelly'!H3876=$A$3,'Informe Kelly'!F3876,VLOOKUP(D3882,$D$2:$F$4,3,FALSE))-(VLOOKUP(D3882,$D$2:$F$4,3,FALSE))</f>
        <v>#N/A</v>
      </c>
      <c r="G3882" s="137" t="e">
        <f t="shared" si="64"/>
        <v>#N/A</v>
      </c>
    </row>
    <row r="3883" spans="1:7">
      <c r="A3883" s="112" t="e">
        <f>VLOOKUP('Informe Kelly'!A3877,Base!A:B,2,FALSE)</f>
        <v>#N/A</v>
      </c>
      <c r="B3883" s="112" t="e">
        <f>VLOOKUP('Informe Kelly'!A3877,Base!A:G,7,FALSE)</f>
        <v>#N/A</v>
      </c>
      <c r="C3883" s="112">
        <f>'Informe Kelly'!E3877</f>
        <v>0</v>
      </c>
      <c r="D3883" s="112" t="e">
        <f>VLOOKUP(A3883,Ingreso!K:P,6,FALSE)</f>
        <v>#N/A</v>
      </c>
      <c r="E3883" s="142" t="e">
        <f>(VLOOKUP(D3883,$D$2:$E$4,2,FALSE))-(IF('Informe Kelly'!H3877=$A$2,'Informe Kelly'!F3877,VLOOKUP(D3883,$D$2:$E$4,2,FALSE)))</f>
        <v>#N/A</v>
      </c>
      <c r="F3883" s="142" t="e">
        <f>IF('Informe Kelly'!H3877=$A$3,'Informe Kelly'!F3877,VLOOKUP(D3883,$D$2:$F$4,3,FALSE))-(VLOOKUP(D3883,$D$2:$F$4,3,FALSE))</f>
        <v>#N/A</v>
      </c>
      <c r="G3883" s="137" t="e">
        <f t="shared" si="64"/>
        <v>#N/A</v>
      </c>
    </row>
    <row r="3884" spans="1:7">
      <c r="A3884" s="112" t="e">
        <f>VLOOKUP('Informe Kelly'!A3878,Base!A:B,2,FALSE)</f>
        <v>#N/A</v>
      </c>
      <c r="B3884" s="112" t="e">
        <f>VLOOKUP('Informe Kelly'!A3878,Base!A:G,7,FALSE)</f>
        <v>#N/A</v>
      </c>
      <c r="C3884" s="112">
        <f>'Informe Kelly'!E3878</f>
        <v>0</v>
      </c>
      <c r="D3884" s="112" t="e">
        <f>VLOOKUP(A3884,Ingreso!K:P,6,FALSE)</f>
        <v>#N/A</v>
      </c>
      <c r="E3884" s="142" t="e">
        <f>(VLOOKUP(D3884,$D$2:$E$4,2,FALSE))-(IF('Informe Kelly'!H3878=$A$2,'Informe Kelly'!F3878,VLOOKUP(D3884,$D$2:$E$4,2,FALSE)))</f>
        <v>#N/A</v>
      </c>
      <c r="F3884" s="142" t="e">
        <f>IF('Informe Kelly'!H3878=$A$3,'Informe Kelly'!F3878,VLOOKUP(D3884,$D$2:$F$4,3,FALSE))-(VLOOKUP(D3884,$D$2:$F$4,3,FALSE))</f>
        <v>#N/A</v>
      </c>
      <c r="G3884" s="137" t="e">
        <f t="shared" si="64"/>
        <v>#N/A</v>
      </c>
    </row>
    <row r="3885" spans="1:7">
      <c r="A3885" s="112" t="e">
        <f>VLOOKUP('Informe Kelly'!A3879,Base!A:B,2,FALSE)</f>
        <v>#N/A</v>
      </c>
      <c r="B3885" s="112" t="e">
        <f>VLOOKUP('Informe Kelly'!A3879,Base!A:G,7,FALSE)</f>
        <v>#N/A</v>
      </c>
      <c r="C3885" s="112">
        <f>'Informe Kelly'!E3879</f>
        <v>0</v>
      </c>
      <c r="D3885" s="112" t="e">
        <f>VLOOKUP(A3885,Ingreso!K:P,6,FALSE)</f>
        <v>#N/A</v>
      </c>
      <c r="E3885" s="142" t="e">
        <f>(VLOOKUP(D3885,$D$2:$E$4,2,FALSE))-(IF('Informe Kelly'!H3879=$A$2,'Informe Kelly'!F3879,VLOOKUP(D3885,$D$2:$E$4,2,FALSE)))</f>
        <v>#N/A</v>
      </c>
      <c r="F3885" s="142" t="e">
        <f>IF('Informe Kelly'!H3879=$A$3,'Informe Kelly'!F3879,VLOOKUP(D3885,$D$2:$F$4,3,FALSE))-(VLOOKUP(D3885,$D$2:$F$4,3,FALSE))</f>
        <v>#N/A</v>
      </c>
      <c r="G3885" s="137" t="e">
        <f t="shared" si="64"/>
        <v>#N/A</v>
      </c>
    </row>
    <row r="3886" spans="1:7">
      <c r="A3886" s="112" t="e">
        <f>VLOOKUP('Informe Kelly'!A3880,Base!A:B,2,FALSE)</f>
        <v>#N/A</v>
      </c>
      <c r="B3886" s="112" t="e">
        <f>VLOOKUP('Informe Kelly'!A3880,Base!A:G,7,FALSE)</f>
        <v>#N/A</v>
      </c>
      <c r="C3886" s="112">
        <f>'Informe Kelly'!E3880</f>
        <v>0</v>
      </c>
      <c r="D3886" s="112" t="e">
        <f>VLOOKUP(A3886,Ingreso!K:P,6,FALSE)</f>
        <v>#N/A</v>
      </c>
      <c r="E3886" s="142" t="e">
        <f>(VLOOKUP(D3886,$D$2:$E$4,2,FALSE))-(IF('Informe Kelly'!H3880=$A$2,'Informe Kelly'!F3880,VLOOKUP(D3886,$D$2:$E$4,2,FALSE)))</f>
        <v>#N/A</v>
      </c>
      <c r="F3886" s="142" t="e">
        <f>IF('Informe Kelly'!H3880=$A$3,'Informe Kelly'!F3880,VLOOKUP(D3886,$D$2:$F$4,3,FALSE))-(VLOOKUP(D3886,$D$2:$F$4,3,FALSE))</f>
        <v>#N/A</v>
      </c>
      <c r="G3886" s="137" t="e">
        <f t="shared" si="64"/>
        <v>#N/A</v>
      </c>
    </row>
    <row r="3887" spans="1:7">
      <c r="A3887" s="112" t="e">
        <f>VLOOKUP('Informe Kelly'!A3881,Base!A:B,2,FALSE)</f>
        <v>#N/A</v>
      </c>
      <c r="B3887" s="112" t="e">
        <f>VLOOKUP('Informe Kelly'!A3881,Base!A:G,7,FALSE)</f>
        <v>#N/A</v>
      </c>
      <c r="C3887" s="112">
        <f>'Informe Kelly'!E3881</f>
        <v>0</v>
      </c>
      <c r="D3887" s="112" t="e">
        <f>VLOOKUP(A3887,Ingreso!K:P,6,FALSE)</f>
        <v>#N/A</v>
      </c>
      <c r="E3887" s="142" t="e">
        <f>(VLOOKUP(D3887,$D$2:$E$4,2,FALSE))-(IF('Informe Kelly'!H3881=$A$2,'Informe Kelly'!F3881,VLOOKUP(D3887,$D$2:$E$4,2,FALSE)))</f>
        <v>#N/A</v>
      </c>
      <c r="F3887" s="142" t="e">
        <f>IF('Informe Kelly'!H3881=$A$3,'Informe Kelly'!F3881,VLOOKUP(D3887,$D$2:$F$4,3,FALSE))-(VLOOKUP(D3887,$D$2:$F$4,3,FALSE))</f>
        <v>#N/A</v>
      </c>
      <c r="G3887" s="137" t="e">
        <f t="shared" si="64"/>
        <v>#N/A</v>
      </c>
    </row>
    <row r="3888" spans="1:7">
      <c r="A3888" s="112" t="e">
        <f>VLOOKUP('Informe Kelly'!A3882,Base!A:B,2,FALSE)</f>
        <v>#N/A</v>
      </c>
      <c r="B3888" s="112" t="e">
        <f>VLOOKUP('Informe Kelly'!A3882,Base!A:G,7,FALSE)</f>
        <v>#N/A</v>
      </c>
      <c r="C3888" s="112">
        <f>'Informe Kelly'!E3882</f>
        <v>0</v>
      </c>
      <c r="D3888" s="112" t="e">
        <f>VLOOKUP(A3888,Ingreso!K:P,6,FALSE)</f>
        <v>#N/A</v>
      </c>
      <c r="E3888" s="142" t="e">
        <f>(VLOOKUP(D3888,$D$2:$E$4,2,FALSE))-(IF('Informe Kelly'!H3882=$A$2,'Informe Kelly'!F3882,VLOOKUP(D3888,$D$2:$E$4,2,FALSE)))</f>
        <v>#N/A</v>
      </c>
      <c r="F3888" s="142" t="e">
        <f>IF('Informe Kelly'!H3882=$A$3,'Informe Kelly'!F3882,VLOOKUP(D3888,$D$2:$F$4,3,FALSE))-(VLOOKUP(D3888,$D$2:$F$4,3,FALSE))</f>
        <v>#N/A</v>
      </c>
      <c r="G3888" s="137" t="e">
        <f t="shared" si="64"/>
        <v>#N/A</v>
      </c>
    </row>
    <row r="3889" spans="1:7">
      <c r="A3889" s="112" t="e">
        <f>VLOOKUP('Informe Kelly'!A3883,Base!A:B,2,FALSE)</f>
        <v>#N/A</v>
      </c>
      <c r="B3889" s="112" t="e">
        <f>VLOOKUP('Informe Kelly'!A3883,Base!A:G,7,FALSE)</f>
        <v>#N/A</v>
      </c>
      <c r="C3889" s="112">
        <f>'Informe Kelly'!E3883</f>
        <v>0</v>
      </c>
      <c r="D3889" s="112" t="e">
        <f>VLOOKUP(A3889,Ingreso!K:P,6,FALSE)</f>
        <v>#N/A</v>
      </c>
      <c r="E3889" s="142" t="e">
        <f>(VLOOKUP(D3889,$D$2:$E$4,2,FALSE))-(IF('Informe Kelly'!H3883=$A$2,'Informe Kelly'!F3883,VLOOKUP(D3889,$D$2:$E$4,2,FALSE)))</f>
        <v>#N/A</v>
      </c>
      <c r="F3889" s="142" t="e">
        <f>IF('Informe Kelly'!H3883=$A$3,'Informe Kelly'!F3883,VLOOKUP(D3889,$D$2:$F$4,3,FALSE))-(VLOOKUP(D3889,$D$2:$F$4,3,FALSE))</f>
        <v>#N/A</v>
      </c>
      <c r="G3889" s="137" t="e">
        <f t="shared" si="64"/>
        <v>#N/A</v>
      </c>
    </row>
    <row r="3890" spans="1:7">
      <c r="A3890" s="112" t="e">
        <f>VLOOKUP('Informe Kelly'!A3884,Base!A:B,2,FALSE)</f>
        <v>#N/A</v>
      </c>
      <c r="B3890" s="112" t="e">
        <f>VLOOKUP('Informe Kelly'!A3884,Base!A:G,7,FALSE)</f>
        <v>#N/A</v>
      </c>
      <c r="C3890" s="112">
        <f>'Informe Kelly'!E3884</f>
        <v>0</v>
      </c>
      <c r="D3890" s="112" t="e">
        <f>VLOOKUP(A3890,Ingreso!K:P,6,FALSE)</f>
        <v>#N/A</v>
      </c>
      <c r="E3890" s="142" t="e">
        <f>(VLOOKUP(D3890,$D$2:$E$4,2,FALSE))-(IF('Informe Kelly'!H3884=$A$2,'Informe Kelly'!F3884,VLOOKUP(D3890,$D$2:$E$4,2,FALSE)))</f>
        <v>#N/A</v>
      </c>
      <c r="F3890" s="142" t="e">
        <f>IF('Informe Kelly'!H3884=$A$3,'Informe Kelly'!F3884,VLOOKUP(D3890,$D$2:$F$4,3,FALSE))-(VLOOKUP(D3890,$D$2:$F$4,3,FALSE))</f>
        <v>#N/A</v>
      </c>
      <c r="G3890" s="137" t="e">
        <f t="shared" si="64"/>
        <v>#N/A</v>
      </c>
    </row>
    <row r="3891" spans="1:7">
      <c r="A3891" s="112" t="e">
        <f>VLOOKUP('Informe Kelly'!A3885,Base!A:B,2,FALSE)</f>
        <v>#N/A</v>
      </c>
      <c r="B3891" s="112" t="e">
        <f>VLOOKUP('Informe Kelly'!A3885,Base!A:G,7,FALSE)</f>
        <v>#N/A</v>
      </c>
      <c r="C3891" s="112">
        <f>'Informe Kelly'!E3885</f>
        <v>0</v>
      </c>
      <c r="D3891" s="112" t="e">
        <f>VLOOKUP(A3891,Ingreso!K:P,6,FALSE)</f>
        <v>#N/A</v>
      </c>
      <c r="E3891" s="142" t="e">
        <f>(VLOOKUP(D3891,$D$2:$E$4,2,FALSE))-(IF('Informe Kelly'!H3885=$A$2,'Informe Kelly'!F3885,VLOOKUP(D3891,$D$2:$E$4,2,FALSE)))</f>
        <v>#N/A</v>
      </c>
      <c r="F3891" s="142" t="e">
        <f>IF('Informe Kelly'!H3885=$A$3,'Informe Kelly'!F3885,VLOOKUP(D3891,$D$2:$F$4,3,FALSE))-(VLOOKUP(D3891,$D$2:$F$4,3,FALSE))</f>
        <v>#N/A</v>
      </c>
      <c r="G3891" s="137" t="e">
        <f t="shared" si="64"/>
        <v>#N/A</v>
      </c>
    </row>
    <row r="3892" spans="1:7">
      <c r="A3892" s="112" t="e">
        <f>VLOOKUP('Informe Kelly'!A3886,Base!A:B,2,FALSE)</f>
        <v>#N/A</v>
      </c>
      <c r="B3892" s="112" t="e">
        <f>VLOOKUP('Informe Kelly'!A3886,Base!A:G,7,FALSE)</f>
        <v>#N/A</v>
      </c>
      <c r="C3892" s="112">
        <f>'Informe Kelly'!E3886</f>
        <v>0</v>
      </c>
      <c r="D3892" s="112" t="e">
        <f>VLOOKUP(A3892,Ingreso!K:P,6,FALSE)</f>
        <v>#N/A</v>
      </c>
      <c r="E3892" s="142" t="e">
        <f>(VLOOKUP(D3892,$D$2:$E$4,2,FALSE))-(IF('Informe Kelly'!H3886=$A$2,'Informe Kelly'!F3886,VLOOKUP(D3892,$D$2:$E$4,2,FALSE)))</f>
        <v>#N/A</v>
      </c>
      <c r="F3892" s="142" t="e">
        <f>IF('Informe Kelly'!H3886=$A$3,'Informe Kelly'!F3886,VLOOKUP(D3892,$D$2:$F$4,3,FALSE))-(VLOOKUP(D3892,$D$2:$F$4,3,FALSE))</f>
        <v>#N/A</v>
      </c>
      <c r="G3892" s="137" t="e">
        <f t="shared" si="64"/>
        <v>#N/A</v>
      </c>
    </row>
    <row r="3893" spans="1:7">
      <c r="A3893" s="112" t="e">
        <f>VLOOKUP('Informe Kelly'!A3887,Base!A:B,2,FALSE)</f>
        <v>#N/A</v>
      </c>
      <c r="B3893" s="112" t="e">
        <f>VLOOKUP('Informe Kelly'!A3887,Base!A:G,7,FALSE)</f>
        <v>#N/A</v>
      </c>
      <c r="C3893" s="112">
        <f>'Informe Kelly'!E3887</f>
        <v>0</v>
      </c>
      <c r="D3893" s="112" t="e">
        <f>VLOOKUP(A3893,Ingreso!K:P,6,FALSE)</f>
        <v>#N/A</v>
      </c>
      <c r="E3893" s="142" t="e">
        <f>(VLOOKUP(D3893,$D$2:$E$4,2,FALSE))-(IF('Informe Kelly'!H3887=$A$2,'Informe Kelly'!F3887,VLOOKUP(D3893,$D$2:$E$4,2,FALSE)))</f>
        <v>#N/A</v>
      </c>
      <c r="F3893" s="142" t="e">
        <f>IF('Informe Kelly'!H3887=$A$3,'Informe Kelly'!F3887,VLOOKUP(D3893,$D$2:$F$4,3,FALSE))-(VLOOKUP(D3893,$D$2:$F$4,3,FALSE))</f>
        <v>#N/A</v>
      </c>
      <c r="G3893" s="137" t="e">
        <f t="shared" si="64"/>
        <v>#N/A</v>
      </c>
    </row>
    <row r="3894" spans="1:7">
      <c r="A3894" s="112" t="e">
        <f>VLOOKUP('Informe Kelly'!A3888,Base!A:B,2,FALSE)</f>
        <v>#N/A</v>
      </c>
      <c r="B3894" s="112" t="e">
        <f>VLOOKUP('Informe Kelly'!A3888,Base!A:G,7,FALSE)</f>
        <v>#N/A</v>
      </c>
      <c r="C3894" s="112">
        <f>'Informe Kelly'!E3888</f>
        <v>0</v>
      </c>
      <c r="D3894" s="112" t="e">
        <f>VLOOKUP(A3894,Ingreso!K:P,6,FALSE)</f>
        <v>#N/A</v>
      </c>
      <c r="E3894" s="142" t="e">
        <f>(VLOOKUP(D3894,$D$2:$E$4,2,FALSE))-(IF('Informe Kelly'!H3888=$A$2,'Informe Kelly'!F3888,VLOOKUP(D3894,$D$2:$E$4,2,FALSE)))</f>
        <v>#N/A</v>
      </c>
      <c r="F3894" s="142" t="e">
        <f>IF('Informe Kelly'!H3888=$A$3,'Informe Kelly'!F3888,VLOOKUP(D3894,$D$2:$F$4,3,FALSE))-(VLOOKUP(D3894,$D$2:$F$4,3,FALSE))</f>
        <v>#N/A</v>
      </c>
      <c r="G3894" s="137" t="e">
        <f t="shared" si="64"/>
        <v>#N/A</v>
      </c>
    </row>
    <row r="3895" spans="1:7">
      <c r="A3895" s="112" t="e">
        <f>VLOOKUP('Informe Kelly'!A3889,Base!A:B,2,FALSE)</f>
        <v>#N/A</v>
      </c>
      <c r="B3895" s="112" t="e">
        <f>VLOOKUP('Informe Kelly'!A3889,Base!A:G,7,FALSE)</f>
        <v>#N/A</v>
      </c>
      <c r="C3895" s="112">
        <f>'Informe Kelly'!E3889</f>
        <v>0</v>
      </c>
      <c r="D3895" s="112" t="e">
        <f>VLOOKUP(A3895,Ingreso!K:P,6,FALSE)</f>
        <v>#N/A</v>
      </c>
      <c r="E3895" s="142" t="e">
        <f>(VLOOKUP(D3895,$D$2:$E$4,2,FALSE))-(IF('Informe Kelly'!H3889=$A$2,'Informe Kelly'!F3889,VLOOKUP(D3895,$D$2:$E$4,2,FALSE)))</f>
        <v>#N/A</v>
      </c>
      <c r="F3895" s="142" t="e">
        <f>IF('Informe Kelly'!H3889=$A$3,'Informe Kelly'!F3889,VLOOKUP(D3895,$D$2:$F$4,3,FALSE))-(VLOOKUP(D3895,$D$2:$F$4,3,FALSE))</f>
        <v>#N/A</v>
      </c>
      <c r="G3895" s="137" t="e">
        <f t="shared" si="64"/>
        <v>#N/A</v>
      </c>
    </row>
    <row r="3896" spans="1:7">
      <c r="A3896" s="112" t="e">
        <f>VLOOKUP('Informe Kelly'!A3890,Base!A:B,2,FALSE)</f>
        <v>#N/A</v>
      </c>
      <c r="B3896" s="112" t="e">
        <f>VLOOKUP('Informe Kelly'!A3890,Base!A:G,7,FALSE)</f>
        <v>#N/A</v>
      </c>
      <c r="C3896" s="112">
        <f>'Informe Kelly'!E3890</f>
        <v>0</v>
      </c>
      <c r="D3896" s="112" t="e">
        <f>VLOOKUP(A3896,Ingreso!K:P,6,FALSE)</f>
        <v>#N/A</v>
      </c>
      <c r="E3896" s="142" t="e">
        <f>(VLOOKUP(D3896,$D$2:$E$4,2,FALSE))-(IF('Informe Kelly'!H3890=$A$2,'Informe Kelly'!F3890,VLOOKUP(D3896,$D$2:$E$4,2,FALSE)))</f>
        <v>#N/A</v>
      </c>
      <c r="F3896" s="142" t="e">
        <f>IF('Informe Kelly'!H3890=$A$3,'Informe Kelly'!F3890,VLOOKUP(D3896,$D$2:$F$4,3,FALSE))-(VLOOKUP(D3896,$D$2:$F$4,3,FALSE))</f>
        <v>#N/A</v>
      </c>
      <c r="G3896" s="137" t="e">
        <f t="shared" si="64"/>
        <v>#N/A</v>
      </c>
    </row>
    <row r="3897" spans="1:7">
      <c r="A3897" s="112" t="e">
        <f>VLOOKUP('Informe Kelly'!A3891,Base!A:B,2,FALSE)</f>
        <v>#N/A</v>
      </c>
      <c r="B3897" s="112" t="e">
        <f>VLOOKUP('Informe Kelly'!A3891,Base!A:G,7,FALSE)</f>
        <v>#N/A</v>
      </c>
      <c r="C3897" s="112">
        <f>'Informe Kelly'!E3891</f>
        <v>0</v>
      </c>
      <c r="D3897" s="112" t="e">
        <f>VLOOKUP(A3897,Ingreso!K:P,6,FALSE)</f>
        <v>#N/A</v>
      </c>
      <c r="E3897" s="142" t="e">
        <f>(VLOOKUP(D3897,$D$2:$E$4,2,FALSE))-(IF('Informe Kelly'!H3891=$A$2,'Informe Kelly'!F3891,VLOOKUP(D3897,$D$2:$E$4,2,FALSE)))</f>
        <v>#N/A</v>
      </c>
      <c r="F3897" s="142" t="e">
        <f>IF('Informe Kelly'!H3891=$A$3,'Informe Kelly'!F3891,VLOOKUP(D3897,$D$2:$F$4,3,FALSE))-(VLOOKUP(D3897,$D$2:$F$4,3,FALSE))</f>
        <v>#N/A</v>
      </c>
      <c r="G3897" s="137" t="e">
        <f t="shared" si="64"/>
        <v>#N/A</v>
      </c>
    </row>
    <row r="3898" spans="1:7">
      <c r="A3898" s="112" t="e">
        <f>VLOOKUP('Informe Kelly'!A3892,Base!A:B,2,FALSE)</f>
        <v>#N/A</v>
      </c>
      <c r="B3898" s="112" t="e">
        <f>VLOOKUP('Informe Kelly'!A3892,Base!A:G,7,FALSE)</f>
        <v>#N/A</v>
      </c>
      <c r="C3898" s="112">
        <f>'Informe Kelly'!E3892</f>
        <v>0</v>
      </c>
      <c r="D3898" s="112" t="e">
        <f>VLOOKUP(A3898,Ingreso!K:P,6,FALSE)</f>
        <v>#N/A</v>
      </c>
      <c r="E3898" s="142" t="e">
        <f>(VLOOKUP(D3898,$D$2:$E$4,2,FALSE))-(IF('Informe Kelly'!H3892=$A$2,'Informe Kelly'!F3892,VLOOKUP(D3898,$D$2:$E$4,2,FALSE)))</f>
        <v>#N/A</v>
      </c>
      <c r="F3898" s="142" t="e">
        <f>IF('Informe Kelly'!H3892=$A$3,'Informe Kelly'!F3892,VLOOKUP(D3898,$D$2:$F$4,3,FALSE))-(VLOOKUP(D3898,$D$2:$F$4,3,FALSE))</f>
        <v>#N/A</v>
      </c>
      <c r="G3898" s="137" t="e">
        <f t="shared" si="64"/>
        <v>#N/A</v>
      </c>
    </row>
    <row r="3899" spans="1:7">
      <c r="A3899" s="112" t="e">
        <f>VLOOKUP('Informe Kelly'!A3893,Base!A:B,2,FALSE)</f>
        <v>#N/A</v>
      </c>
      <c r="B3899" s="112" t="e">
        <f>VLOOKUP('Informe Kelly'!A3893,Base!A:G,7,FALSE)</f>
        <v>#N/A</v>
      </c>
      <c r="C3899" s="112">
        <f>'Informe Kelly'!E3893</f>
        <v>0</v>
      </c>
      <c r="D3899" s="112" t="e">
        <f>VLOOKUP(A3899,Ingreso!K:P,6,FALSE)</f>
        <v>#N/A</v>
      </c>
      <c r="E3899" s="142" t="e">
        <f>(VLOOKUP(D3899,$D$2:$E$4,2,FALSE))-(IF('Informe Kelly'!H3893=$A$2,'Informe Kelly'!F3893,VLOOKUP(D3899,$D$2:$E$4,2,FALSE)))</f>
        <v>#N/A</v>
      </c>
      <c r="F3899" s="142" t="e">
        <f>IF('Informe Kelly'!H3893=$A$3,'Informe Kelly'!F3893,VLOOKUP(D3899,$D$2:$F$4,3,FALSE))-(VLOOKUP(D3899,$D$2:$F$4,3,FALSE))</f>
        <v>#N/A</v>
      </c>
      <c r="G3899" s="137" t="e">
        <f t="shared" si="64"/>
        <v>#N/A</v>
      </c>
    </row>
    <row r="3900" spans="1:7">
      <c r="A3900" s="112" t="e">
        <f>VLOOKUP('Informe Kelly'!A3894,Base!A:B,2,FALSE)</f>
        <v>#N/A</v>
      </c>
      <c r="B3900" s="112" t="e">
        <f>VLOOKUP('Informe Kelly'!A3894,Base!A:G,7,FALSE)</f>
        <v>#N/A</v>
      </c>
      <c r="C3900" s="112">
        <f>'Informe Kelly'!E3894</f>
        <v>0</v>
      </c>
      <c r="D3900" s="112" t="e">
        <f>VLOOKUP(A3900,Ingreso!K:P,6,FALSE)</f>
        <v>#N/A</v>
      </c>
      <c r="E3900" s="142" t="e">
        <f>(VLOOKUP(D3900,$D$2:$E$4,2,FALSE))-(IF('Informe Kelly'!H3894=$A$2,'Informe Kelly'!F3894,VLOOKUP(D3900,$D$2:$E$4,2,FALSE)))</f>
        <v>#N/A</v>
      </c>
      <c r="F3900" s="142" t="e">
        <f>IF('Informe Kelly'!H3894=$A$3,'Informe Kelly'!F3894,VLOOKUP(D3900,$D$2:$F$4,3,FALSE))-(VLOOKUP(D3900,$D$2:$F$4,3,FALSE))</f>
        <v>#N/A</v>
      </c>
      <c r="G3900" s="137" t="e">
        <f t="shared" si="64"/>
        <v>#N/A</v>
      </c>
    </row>
    <row r="3901" spans="1:7">
      <c r="A3901" s="112" t="e">
        <f>VLOOKUP('Informe Kelly'!A3895,Base!A:B,2,FALSE)</f>
        <v>#N/A</v>
      </c>
      <c r="B3901" s="112" t="e">
        <f>VLOOKUP('Informe Kelly'!A3895,Base!A:G,7,FALSE)</f>
        <v>#N/A</v>
      </c>
      <c r="C3901" s="112">
        <f>'Informe Kelly'!E3895</f>
        <v>0</v>
      </c>
      <c r="D3901" s="112" t="e">
        <f>VLOOKUP(A3901,Ingreso!K:P,6,FALSE)</f>
        <v>#N/A</v>
      </c>
      <c r="E3901" s="142" t="e">
        <f>(VLOOKUP(D3901,$D$2:$E$4,2,FALSE))-(IF('Informe Kelly'!H3895=$A$2,'Informe Kelly'!F3895,VLOOKUP(D3901,$D$2:$E$4,2,FALSE)))</f>
        <v>#N/A</v>
      </c>
      <c r="F3901" s="142" t="e">
        <f>IF('Informe Kelly'!H3895=$A$3,'Informe Kelly'!F3895,VLOOKUP(D3901,$D$2:$F$4,3,FALSE))-(VLOOKUP(D3901,$D$2:$F$4,3,FALSE))</f>
        <v>#N/A</v>
      </c>
      <c r="G3901" s="137" t="e">
        <f t="shared" si="64"/>
        <v>#N/A</v>
      </c>
    </row>
    <row r="3902" spans="1:7">
      <c r="A3902" s="112" t="e">
        <f>VLOOKUP('Informe Kelly'!A3896,Base!A:B,2,FALSE)</f>
        <v>#N/A</v>
      </c>
      <c r="B3902" s="112" t="e">
        <f>VLOOKUP('Informe Kelly'!A3896,Base!A:G,7,FALSE)</f>
        <v>#N/A</v>
      </c>
      <c r="C3902" s="112">
        <f>'Informe Kelly'!E3896</f>
        <v>0</v>
      </c>
      <c r="D3902" s="112" t="e">
        <f>VLOOKUP(A3902,Ingreso!K:P,6,FALSE)</f>
        <v>#N/A</v>
      </c>
      <c r="E3902" s="142" t="e">
        <f>(VLOOKUP(D3902,$D$2:$E$4,2,FALSE))-(IF('Informe Kelly'!H3896=$A$2,'Informe Kelly'!F3896,VLOOKUP(D3902,$D$2:$E$4,2,FALSE)))</f>
        <v>#N/A</v>
      </c>
      <c r="F3902" s="142" t="e">
        <f>IF('Informe Kelly'!H3896=$A$3,'Informe Kelly'!F3896,VLOOKUP(D3902,$D$2:$F$4,3,FALSE))-(VLOOKUP(D3902,$D$2:$F$4,3,FALSE))</f>
        <v>#N/A</v>
      </c>
      <c r="G3902" s="137" t="e">
        <f t="shared" si="64"/>
        <v>#N/A</v>
      </c>
    </row>
    <row r="3903" spans="1:7">
      <c r="A3903" s="112" t="e">
        <f>VLOOKUP('Informe Kelly'!A3897,Base!A:B,2,FALSE)</f>
        <v>#N/A</v>
      </c>
      <c r="B3903" s="112" t="e">
        <f>VLOOKUP('Informe Kelly'!A3897,Base!A:G,7,FALSE)</f>
        <v>#N/A</v>
      </c>
      <c r="C3903" s="112">
        <f>'Informe Kelly'!E3897</f>
        <v>0</v>
      </c>
      <c r="D3903" s="112" t="e">
        <f>VLOOKUP(A3903,Ingreso!K:P,6,FALSE)</f>
        <v>#N/A</v>
      </c>
      <c r="E3903" s="142" t="e">
        <f>(VLOOKUP(D3903,$D$2:$E$4,2,FALSE))-(IF('Informe Kelly'!H3897=$A$2,'Informe Kelly'!F3897,VLOOKUP(D3903,$D$2:$E$4,2,FALSE)))</f>
        <v>#N/A</v>
      </c>
      <c r="F3903" s="142" t="e">
        <f>IF('Informe Kelly'!H3897=$A$3,'Informe Kelly'!F3897,VLOOKUP(D3903,$D$2:$F$4,3,FALSE))-(VLOOKUP(D3903,$D$2:$F$4,3,FALSE))</f>
        <v>#N/A</v>
      </c>
      <c r="G3903" s="137" t="e">
        <f t="shared" si="64"/>
        <v>#N/A</v>
      </c>
    </row>
    <row r="3904" spans="1:7">
      <c r="A3904" s="112" t="e">
        <f>VLOOKUP('Informe Kelly'!A3898,Base!A:B,2,FALSE)</f>
        <v>#N/A</v>
      </c>
      <c r="B3904" s="112" t="e">
        <f>VLOOKUP('Informe Kelly'!A3898,Base!A:G,7,FALSE)</f>
        <v>#N/A</v>
      </c>
      <c r="C3904" s="112">
        <f>'Informe Kelly'!E3898</f>
        <v>0</v>
      </c>
      <c r="D3904" s="112" t="e">
        <f>VLOOKUP(A3904,Ingreso!K:P,6,FALSE)</f>
        <v>#N/A</v>
      </c>
      <c r="E3904" s="142" t="e">
        <f>(VLOOKUP(D3904,$D$2:$E$4,2,FALSE))-(IF('Informe Kelly'!H3898=$A$2,'Informe Kelly'!F3898,VLOOKUP(D3904,$D$2:$E$4,2,FALSE)))</f>
        <v>#N/A</v>
      </c>
      <c r="F3904" s="142" t="e">
        <f>IF('Informe Kelly'!H3898=$A$3,'Informe Kelly'!F3898,VLOOKUP(D3904,$D$2:$F$4,3,FALSE))-(VLOOKUP(D3904,$D$2:$F$4,3,FALSE))</f>
        <v>#N/A</v>
      </c>
      <c r="G3904" s="137" t="e">
        <f t="shared" si="64"/>
        <v>#N/A</v>
      </c>
    </row>
    <row r="3905" spans="1:7">
      <c r="A3905" s="112" t="e">
        <f>VLOOKUP('Informe Kelly'!A3899,Base!A:B,2,FALSE)</f>
        <v>#N/A</v>
      </c>
      <c r="B3905" s="112" t="e">
        <f>VLOOKUP('Informe Kelly'!A3899,Base!A:G,7,FALSE)</f>
        <v>#N/A</v>
      </c>
      <c r="C3905" s="112">
        <f>'Informe Kelly'!E3899</f>
        <v>0</v>
      </c>
      <c r="D3905" s="112" t="e">
        <f>VLOOKUP(A3905,Ingreso!K:P,6,FALSE)</f>
        <v>#N/A</v>
      </c>
      <c r="E3905" s="142" t="e">
        <f>(VLOOKUP(D3905,$D$2:$E$4,2,FALSE))-(IF('Informe Kelly'!H3899=$A$2,'Informe Kelly'!F3899,VLOOKUP(D3905,$D$2:$E$4,2,FALSE)))</f>
        <v>#N/A</v>
      </c>
      <c r="F3905" s="142" t="e">
        <f>IF('Informe Kelly'!H3899=$A$3,'Informe Kelly'!F3899,VLOOKUP(D3905,$D$2:$F$4,3,FALSE))-(VLOOKUP(D3905,$D$2:$F$4,3,FALSE))</f>
        <v>#N/A</v>
      </c>
      <c r="G3905" s="137" t="e">
        <f t="shared" si="64"/>
        <v>#N/A</v>
      </c>
    </row>
    <row r="3906" spans="1:7">
      <c r="A3906" s="112" t="e">
        <f>VLOOKUP('Informe Kelly'!A3900,Base!A:B,2,FALSE)</f>
        <v>#N/A</v>
      </c>
      <c r="B3906" s="112" t="e">
        <f>VLOOKUP('Informe Kelly'!A3900,Base!A:G,7,FALSE)</f>
        <v>#N/A</v>
      </c>
      <c r="C3906" s="112">
        <f>'Informe Kelly'!E3900</f>
        <v>0</v>
      </c>
      <c r="D3906" s="112" t="e">
        <f>VLOOKUP(A3906,Ingreso!K:P,6,FALSE)</f>
        <v>#N/A</v>
      </c>
      <c r="E3906" s="142" t="e">
        <f>(VLOOKUP(D3906,$D$2:$E$4,2,FALSE))-(IF('Informe Kelly'!H3900=$A$2,'Informe Kelly'!F3900,VLOOKUP(D3906,$D$2:$E$4,2,FALSE)))</f>
        <v>#N/A</v>
      </c>
      <c r="F3906" s="142" t="e">
        <f>IF('Informe Kelly'!H3900=$A$3,'Informe Kelly'!F3900,VLOOKUP(D3906,$D$2:$F$4,3,FALSE))-(VLOOKUP(D3906,$D$2:$F$4,3,FALSE))</f>
        <v>#N/A</v>
      </c>
      <c r="G3906" s="137" t="e">
        <f t="shared" si="64"/>
        <v>#N/A</v>
      </c>
    </row>
    <row r="3907" spans="1:7">
      <c r="A3907" s="112" t="e">
        <f>VLOOKUP('Informe Kelly'!A3901,Base!A:B,2,FALSE)</f>
        <v>#N/A</v>
      </c>
      <c r="B3907" s="112" t="e">
        <f>VLOOKUP('Informe Kelly'!A3901,Base!A:G,7,FALSE)</f>
        <v>#N/A</v>
      </c>
      <c r="C3907" s="112">
        <f>'Informe Kelly'!E3901</f>
        <v>0</v>
      </c>
      <c r="D3907" s="112" t="e">
        <f>VLOOKUP(A3907,Ingreso!K:P,6,FALSE)</f>
        <v>#N/A</v>
      </c>
      <c r="E3907" s="142" t="e">
        <f>(VLOOKUP(D3907,$D$2:$E$4,2,FALSE))-(IF('Informe Kelly'!H3901=$A$2,'Informe Kelly'!F3901,VLOOKUP(D3907,$D$2:$E$4,2,FALSE)))</f>
        <v>#N/A</v>
      </c>
      <c r="F3907" s="142" t="e">
        <f>IF('Informe Kelly'!H3901=$A$3,'Informe Kelly'!F3901,VLOOKUP(D3907,$D$2:$F$4,3,FALSE))-(VLOOKUP(D3907,$D$2:$F$4,3,FALSE))</f>
        <v>#N/A</v>
      </c>
      <c r="G3907" s="137" t="e">
        <f t="shared" si="64"/>
        <v>#N/A</v>
      </c>
    </row>
    <row r="3908" spans="1:7">
      <c r="A3908" s="112" t="e">
        <f>VLOOKUP('Informe Kelly'!A3902,Base!A:B,2,FALSE)</f>
        <v>#N/A</v>
      </c>
      <c r="B3908" s="112" t="e">
        <f>VLOOKUP('Informe Kelly'!A3902,Base!A:G,7,FALSE)</f>
        <v>#N/A</v>
      </c>
      <c r="C3908" s="112">
        <f>'Informe Kelly'!E3902</f>
        <v>0</v>
      </c>
      <c r="D3908" s="112" t="e">
        <f>VLOOKUP(A3908,Ingreso!K:P,6,FALSE)</f>
        <v>#N/A</v>
      </c>
      <c r="E3908" s="142" t="e">
        <f>(VLOOKUP(D3908,$D$2:$E$4,2,FALSE))-(IF('Informe Kelly'!H3902=$A$2,'Informe Kelly'!F3902,VLOOKUP(D3908,$D$2:$E$4,2,FALSE)))</f>
        <v>#N/A</v>
      </c>
      <c r="F3908" s="142" t="e">
        <f>IF('Informe Kelly'!H3902=$A$3,'Informe Kelly'!F3902,VLOOKUP(D3908,$D$2:$F$4,3,FALSE))-(VLOOKUP(D3908,$D$2:$F$4,3,FALSE))</f>
        <v>#N/A</v>
      </c>
      <c r="G3908" s="137" t="e">
        <f t="shared" si="64"/>
        <v>#N/A</v>
      </c>
    </row>
    <row r="3909" spans="1:7">
      <c r="A3909" s="112" t="e">
        <f>VLOOKUP('Informe Kelly'!A3903,Base!A:B,2,FALSE)</f>
        <v>#N/A</v>
      </c>
      <c r="B3909" s="112" t="e">
        <f>VLOOKUP('Informe Kelly'!A3903,Base!A:G,7,FALSE)</f>
        <v>#N/A</v>
      </c>
      <c r="C3909" s="112">
        <f>'Informe Kelly'!E3903</f>
        <v>0</v>
      </c>
      <c r="D3909" s="112" t="e">
        <f>VLOOKUP(A3909,Ingreso!K:P,6,FALSE)</f>
        <v>#N/A</v>
      </c>
      <c r="E3909" s="142" t="e">
        <f>(VLOOKUP(D3909,$D$2:$E$4,2,FALSE))-(IF('Informe Kelly'!H3903=$A$2,'Informe Kelly'!F3903,VLOOKUP(D3909,$D$2:$E$4,2,FALSE)))</f>
        <v>#N/A</v>
      </c>
      <c r="F3909" s="142" t="e">
        <f>IF('Informe Kelly'!H3903=$A$3,'Informe Kelly'!F3903,VLOOKUP(D3909,$D$2:$F$4,3,FALSE))-(VLOOKUP(D3909,$D$2:$F$4,3,FALSE))</f>
        <v>#N/A</v>
      </c>
      <c r="G3909" s="137" t="e">
        <f t="shared" si="64"/>
        <v>#N/A</v>
      </c>
    </row>
    <row r="3910" spans="1:7">
      <c r="A3910" s="112" t="e">
        <f>VLOOKUP('Informe Kelly'!A3904,Base!A:B,2,FALSE)</f>
        <v>#N/A</v>
      </c>
      <c r="B3910" s="112" t="e">
        <f>VLOOKUP('Informe Kelly'!A3904,Base!A:G,7,FALSE)</f>
        <v>#N/A</v>
      </c>
      <c r="C3910" s="112">
        <f>'Informe Kelly'!E3904</f>
        <v>0</v>
      </c>
      <c r="D3910" s="112" t="e">
        <f>VLOOKUP(A3910,Ingreso!K:P,6,FALSE)</f>
        <v>#N/A</v>
      </c>
      <c r="E3910" s="142" t="e">
        <f>(VLOOKUP(D3910,$D$2:$E$4,2,FALSE))-(IF('Informe Kelly'!H3904=$A$2,'Informe Kelly'!F3904,VLOOKUP(D3910,$D$2:$E$4,2,FALSE)))</f>
        <v>#N/A</v>
      </c>
      <c r="F3910" s="142" t="e">
        <f>IF('Informe Kelly'!H3904=$A$3,'Informe Kelly'!F3904,VLOOKUP(D3910,$D$2:$F$4,3,FALSE))-(VLOOKUP(D3910,$D$2:$F$4,3,FALSE))</f>
        <v>#N/A</v>
      </c>
      <c r="G3910" s="137" t="e">
        <f t="shared" si="64"/>
        <v>#N/A</v>
      </c>
    </row>
    <row r="3911" spans="1:7">
      <c r="A3911" s="112" t="e">
        <f>VLOOKUP('Informe Kelly'!A3905,Base!A:B,2,FALSE)</f>
        <v>#N/A</v>
      </c>
      <c r="B3911" s="112" t="e">
        <f>VLOOKUP('Informe Kelly'!A3905,Base!A:G,7,FALSE)</f>
        <v>#N/A</v>
      </c>
      <c r="C3911" s="112">
        <f>'Informe Kelly'!E3905</f>
        <v>0</v>
      </c>
      <c r="D3911" s="112" t="e">
        <f>VLOOKUP(A3911,Ingreso!K:P,6,FALSE)</f>
        <v>#N/A</v>
      </c>
      <c r="E3911" s="142" t="e">
        <f>(VLOOKUP(D3911,$D$2:$E$4,2,FALSE))-(IF('Informe Kelly'!H3905=$A$2,'Informe Kelly'!F3905,VLOOKUP(D3911,$D$2:$E$4,2,FALSE)))</f>
        <v>#N/A</v>
      </c>
      <c r="F3911" s="142" t="e">
        <f>IF('Informe Kelly'!H3905=$A$3,'Informe Kelly'!F3905,VLOOKUP(D3911,$D$2:$F$4,3,FALSE))-(VLOOKUP(D3911,$D$2:$F$4,3,FALSE))</f>
        <v>#N/A</v>
      </c>
      <c r="G3911" s="137" t="e">
        <f t="shared" si="64"/>
        <v>#N/A</v>
      </c>
    </row>
    <row r="3912" spans="1:7">
      <c r="A3912" s="112" t="e">
        <f>VLOOKUP('Informe Kelly'!A3906,Base!A:B,2,FALSE)</f>
        <v>#N/A</v>
      </c>
      <c r="B3912" s="112" t="e">
        <f>VLOOKUP('Informe Kelly'!A3906,Base!A:G,7,FALSE)</f>
        <v>#N/A</v>
      </c>
      <c r="C3912" s="112">
        <f>'Informe Kelly'!E3906</f>
        <v>0</v>
      </c>
      <c r="D3912" s="112" t="e">
        <f>VLOOKUP(A3912,Ingreso!K:P,6,FALSE)</f>
        <v>#N/A</v>
      </c>
      <c r="E3912" s="142" t="e">
        <f>(VLOOKUP(D3912,$D$2:$E$4,2,FALSE))-(IF('Informe Kelly'!H3906=$A$2,'Informe Kelly'!F3906,VLOOKUP(D3912,$D$2:$E$4,2,FALSE)))</f>
        <v>#N/A</v>
      </c>
      <c r="F3912" s="142" t="e">
        <f>IF('Informe Kelly'!H3906=$A$3,'Informe Kelly'!F3906,VLOOKUP(D3912,$D$2:$F$4,3,FALSE))-(VLOOKUP(D3912,$D$2:$F$4,3,FALSE))</f>
        <v>#N/A</v>
      </c>
      <c r="G3912" s="137" t="e">
        <f t="shared" si="64"/>
        <v>#N/A</v>
      </c>
    </row>
    <row r="3913" spans="1:7">
      <c r="A3913" s="112" t="e">
        <f>VLOOKUP('Informe Kelly'!A3907,Base!A:B,2,FALSE)</f>
        <v>#N/A</v>
      </c>
      <c r="B3913" s="112" t="e">
        <f>VLOOKUP('Informe Kelly'!A3907,Base!A:G,7,FALSE)</f>
        <v>#N/A</v>
      </c>
      <c r="C3913" s="112">
        <f>'Informe Kelly'!E3907</f>
        <v>0</v>
      </c>
      <c r="D3913" s="112" t="e">
        <f>VLOOKUP(A3913,Ingreso!K:P,6,FALSE)</f>
        <v>#N/A</v>
      </c>
      <c r="E3913" s="142" t="e">
        <f>(VLOOKUP(D3913,$D$2:$E$4,2,FALSE))-(IF('Informe Kelly'!H3907=$A$2,'Informe Kelly'!F3907,VLOOKUP(D3913,$D$2:$E$4,2,FALSE)))</f>
        <v>#N/A</v>
      </c>
      <c r="F3913" s="142" t="e">
        <f>IF('Informe Kelly'!H3907=$A$3,'Informe Kelly'!F3907,VLOOKUP(D3913,$D$2:$F$4,3,FALSE))-(VLOOKUP(D3913,$D$2:$F$4,3,FALSE))</f>
        <v>#N/A</v>
      </c>
      <c r="G3913" s="137" t="e">
        <f t="shared" ref="G3913:G3976" si="65">IF(E3913="",IF(F3913&lt;0.0409722222222222,0,E3913),IF(E3913&lt;0.0409722222222222,0,E3913))</f>
        <v>#N/A</v>
      </c>
    </row>
    <row r="3914" spans="1:7">
      <c r="A3914" s="112" t="e">
        <f>VLOOKUP('Informe Kelly'!A3908,Base!A:B,2,FALSE)</f>
        <v>#N/A</v>
      </c>
      <c r="B3914" s="112" t="e">
        <f>VLOOKUP('Informe Kelly'!A3908,Base!A:G,7,FALSE)</f>
        <v>#N/A</v>
      </c>
      <c r="C3914" s="112">
        <f>'Informe Kelly'!E3908</f>
        <v>0</v>
      </c>
      <c r="D3914" s="112" t="e">
        <f>VLOOKUP(A3914,Ingreso!K:P,6,FALSE)</f>
        <v>#N/A</v>
      </c>
      <c r="E3914" s="142" t="e">
        <f>(VLOOKUP(D3914,$D$2:$E$4,2,FALSE))-(IF('Informe Kelly'!H3908=$A$2,'Informe Kelly'!F3908,VLOOKUP(D3914,$D$2:$E$4,2,FALSE)))</f>
        <v>#N/A</v>
      </c>
      <c r="F3914" s="142" t="e">
        <f>IF('Informe Kelly'!H3908=$A$3,'Informe Kelly'!F3908,VLOOKUP(D3914,$D$2:$F$4,3,FALSE))-(VLOOKUP(D3914,$D$2:$F$4,3,FALSE))</f>
        <v>#N/A</v>
      </c>
      <c r="G3914" s="137" t="e">
        <f t="shared" si="65"/>
        <v>#N/A</v>
      </c>
    </row>
    <row r="3915" spans="1:7">
      <c r="A3915" s="112" t="e">
        <f>VLOOKUP('Informe Kelly'!A3909,Base!A:B,2,FALSE)</f>
        <v>#N/A</v>
      </c>
      <c r="B3915" s="112" t="e">
        <f>VLOOKUP('Informe Kelly'!A3909,Base!A:G,7,FALSE)</f>
        <v>#N/A</v>
      </c>
      <c r="C3915" s="112">
        <f>'Informe Kelly'!E3909</f>
        <v>0</v>
      </c>
      <c r="D3915" s="112" t="e">
        <f>VLOOKUP(A3915,Ingreso!K:P,6,FALSE)</f>
        <v>#N/A</v>
      </c>
      <c r="E3915" s="142" t="e">
        <f>(VLOOKUP(D3915,$D$2:$E$4,2,FALSE))-(IF('Informe Kelly'!H3909=$A$2,'Informe Kelly'!F3909,VLOOKUP(D3915,$D$2:$E$4,2,FALSE)))</f>
        <v>#N/A</v>
      </c>
      <c r="F3915" s="142" t="e">
        <f>IF('Informe Kelly'!H3909=$A$3,'Informe Kelly'!F3909,VLOOKUP(D3915,$D$2:$F$4,3,FALSE))-(VLOOKUP(D3915,$D$2:$F$4,3,FALSE))</f>
        <v>#N/A</v>
      </c>
      <c r="G3915" s="137" t="e">
        <f t="shared" si="65"/>
        <v>#N/A</v>
      </c>
    </row>
    <row r="3916" spans="1:7">
      <c r="A3916" s="112" t="e">
        <f>VLOOKUP('Informe Kelly'!A3910,Base!A:B,2,FALSE)</f>
        <v>#N/A</v>
      </c>
      <c r="B3916" s="112" t="e">
        <f>VLOOKUP('Informe Kelly'!A3910,Base!A:G,7,FALSE)</f>
        <v>#N/A</v>
      </c>
      <c r="C3916" s="112">
        <f>'Informe Kelly'!E3910</f>
        <v>0</v>
      </c>
      <c r="D3916" s="112" t="e">
        <f>VLOOKUP(A3916,Ingreso!K:P,6,FALSE)</f>
        <v>#N/A</v>
      </c>
      <c r="E3916" s="142" t="e">
        <f>(VLOOKUP(D3916,$D$2:$E$4,2,FALSE))-(IF('Informe Kelly'!H3910=$A$2,'Informe Kelly'!F3910,VLOOKUP(D3916,$D$2:$E$4,2,FALSE)))</f>
        <v>#N/A</v>
      </c>
      <c r="F3916" s="142" t="e">
        <f>IF('Informe Kelly'!H3910=$A$3,'Informe Kelly'!F3910,VLOOKUP(D3916,$D$2:$F$4,3,FALSE))-(VLOOKUP(D3916,$D$2:$F$4,3,FALSE))</f>
        <v>#N/A</v>
      </c>
      <c r="G3916" s="137" t="e">
        <f t="shared" si="65"/>
        <v>#N/A</v>
      </c>
    </row>
    <row r="3917" spans="1:7">
      <c r="A3917" s="112" t="e">
        <f>VLOOKUP('Informe Kelly'!A3911,Base!A:B,2,FALSE)</f>
        <v>#N/A</v>
      </c>
      <c r="B3917" s="112" t="e">
        <f>VLOOKUP('Informe Kelly'!A3911,Base!A:G,7,FALSE)</f>
        <v>#N/A</v>
      </c>
      <c r="C3917" s="112">
        <f>'Informe Kelly'!E3911</f>
        <v>0</v>
      </c>
      <c r="D3917" s="112" t="e">
        <f>VLOOKUP(A3917,Ingreso!K:P,6,FALSE)</f>
        <v>#N/A</v>
      </c>
      <c r="E3917" s="142" t="e">
        <f>(VLOOKUP(D3917,$D$2:$E$4,2,FALSE))-(IF('Informe Kelly'!H3911=$A$2,'Informe Kelly'!F3911,VLOOKUP(D3917,$D$2:$E$4,2,FALSE)))</f>
        <v>#N/A</v>
      </c>
      <c r="F3917" s="142" t="e">
        <f>IF('Informe Kelly'!H3911=$A$3,'Informe Kelly'!F3911,VLOOKUP(D3917,$D$2:$F$4,3,FALSE))-(VLOOKUP(D3917,$D$2:$F$4,3,FALSE))</f>
        <v>#N/A</v>
      </c>
      <c r="G3917" s="137" t="e">
        <f t="shared" si="65"/>
        <v>#N/A</v>
      </c>
    </row>
    <row r="3918" spans="1:7">
      <c r="A3918" s="112" t="e">
        <f>VLOOKUP('Informe Kelly'!A3912,Base!A:B,2,FALSE)</f>
        <v>#N/A</v>
      </c>
      <c r="B3918" s="112" t="e">
        <f>VLOOKUP('Informe Kelly'!A3912,Base!A:G,7,FALSE)</f>
        <v>#N/A</v>
      </c>
      <c r="C3918" s="112">
        <f>'Informe Kelly'!E3912</f>
        <v>0</v>
      </c>
      <c r="D3918" s="112" t="e">
        <f>VLOOKUP(A3918,Ingreso!K:P,6,FALSE)</f>
        <v>#N/A</v>
      </c>
      <c r="E3918" s="142" t="e">
        <f>(VLOOKUP(D3918,$D$2:$E$4,2,FALSE))-(IF('Informe Kelly'!H3912=$A$2,'Informe Kelly'!F3912,VLOOKUP(D3918,$D$2:$E$4,2,FALSE)))</f>
        <v>#N/A</v>
      </c>
      <c r="F3918" s="142" t="e">
        <f>IF('Informe Kelly'!H3912=$A$3,'Informe Kelly'!F3912,VLOOKUP(D3918,$D$2:$F$4,3,FALSE))-(VLOOKUP(D3918,$D$2:$F$4,3,FALSE))</f>
        <v>#N/A</v>
      </c>
      <c r="G3918" s="137" t="e">
        <f t="shared" si="65"/>
        <v>#N/A</v>
      </c>
    </row>
    <row r="3919" spans="1:7">
      <c r="A3919" s="112" t="e">
        <f>VLOOKUP('Informe Kelly'!A3913,Base!A:B,2,FALSE)</f>
        <v>#N/A</v>
      </c>
      <c r="B3919" s="112" t="e">
        <f>VLOOKUP('Informe Kelly'!A3913,Base!A:G,7,FALSE)</f>
        <v>#N/A</v>
      </c>
      <c r="C3919" s="112">
        <f>'Informe Kelly'!E3913</f>
        <v>0</v>
      </c>
      <c r="D3919" s="112" t="e">
        <f>VLOOKUP(A3919,Ingreso!K:P,6,FALSE)</f>
        <v>#N/A</v>
      </c>
      <c r="E3919" s="142" t="e">
        <f>(VLOOKUP(D3919,$D$2:$E$4,2,FALSE))-(IF('Informe Kelly'!H3913=$A$2,'Informe Kelly'!F3913,VLOOKUP(D3919,$D$2:$E$4,2,FALSE)))</f>
        <v>#N/A</v>
      </c>
      <c r="F3919" s="142" t="e">
        <f>IF('Informe Kelly'!H3913=$A$3,'Informe Kelly'!F3913,VLOOKUP(D3919,$D$2:$F$4,3,FALSE))-(VLOOKUP(D3919,$D$2:$F$4,3,FALSE))</f>
        <v>#N/A</v>
      </c>
      <c r="G3919" s="137" t="e">
        <f t="shared" si="65"/>
        <v>#N/A</v>
      </c>
    </row>
    <row r="3920" spans="1:7">
      <c r="A3920" s="112" t="e">
        <f>VLOOKUP('Informe Kelly'!A3914,Base!A:B,2,FALSE)</f>
        <v>#N/A</v>
      </c>
      <c r="B3920" s="112" t="e">
        <f>VLOOKUP('Informe Kelly'!A3914,Base!A:G,7,FALSE)</f>
        <v>#N/A</v>
      </c>
      <c r="C3920" s="112">
        <f>'Informe Kelly'!E3914</f>
        <v>0</v>
      </c>
      <c r="D3920" s="112" t="e">
        <f>VLOOKUP(A3920,Ingreso!K:P,6,FALSE)</f>
        <v>#N/A</v>
      </c>
      <c r="E3920" s="142" t="e">
        <f>(VLOOKUP(D3920,$D$2:$E$4,2,FALSE))-(IF('Informe Kelly'!H3914=$A$2,'Informe Kelly'!F3914,VLOOKUP(D3920,$D$2:$E$4,2,FALSE)))</f>
        <v>#N/A</v>
      </c>
      <c r="F3920" s="142" t="e">
        <f>IF('Informe Kelly'!H3914=$A$3,'Informe Kelly'!F3914,VLOOKUP(D3920,$D$2:$F$4,3,FALSE))-(VLOOKUP(D3920,$D$2:$F$4,3,FALSE))</f>
        <v>#N/A</v>
      </c>
      <c r="G3920" s="137" t="e">
        <f t="shared" si="65"/>
        <v>#N/A</v>
      </c>
    </row>
    <row r="3921" spans="1:7">
      <c r="A3921" s="112" t="e">
        <f>VLOOKUP('Informe Kelly'!A3915,Base!A:B,2,FALSE)</f>
        <v>#N/A</v>
      </c>
      <c r="B3921" s="112" t="e">
        <f>VLOOKUP('Informe Kelly'!A3915,Base!A:G,7,FALSE)</f>
        <v>#N/A</v>
      </c>
      <c r="C3921" s="112">
        <f>'Informe Kelly'!E3915</f>
        <v>0</v>
      </c>
      <c r="D3921" s="112" t="e">
        <f>VLOOKUP(A3921,Ingreso!K:P,6,FALSE)</f>
        <v>#N/A</v>
      </c>
      <c r="E3921" s="142" t="e">
        <f>(VLOOKUP(D3921,$D$2:$E$4,2,FALSE))-(IF('Informe Kelly'!H3915=$A$2,'Informe Kelly'!F3915,VLOOKUP(D3921,$D$2:$E$4,2,FALSE)))</f>
        <v>#N/A</v>
      </c>
      <c r="F3921" s="142" t="e">
        <f>IF('Informe Kelly'!H3915=$A$3,'Informe Kelly'!F3915,VLOOKUP(D3921,$D$2:$F$4,3,FALSE))-(VLOOKUP(D3921,$D$2:$F$4,3,FALSE))</f>
        <v>#N/A</v>
      </c>
      <c r="G3921" s="137" t="e">
        <f t="shared" si="65"/>
        <v>#N/A</v>
      </c>
    </row>
    <row r="3922" spans="1:7">
      <c r="A3922" s="112" t="e">
        <f>VLOOKUP('Informe Kelly'!A3916,Base!A:B,2,FALSE)</f>
        <v>#N/A</v>
      </c>
      <c r="B3922" s="112" t="e">
        <f>VLOOKUP('Informe Kelly'!A3916,Base!A:G,7,FALSE)</f>
        <v>#N/A</v>
      </c>
      <c r="C3922" s="112">
        <f>'Informe Kelly'!E3916</f>
        <v>0</v>
      </c>
      <c r="D3922" s="112" t="e">
        <f>VLOOKUP(A3922,Ingreso!K:P,6,FALSE)</f>
        <v>#N/A</v>
      </c>
      <c r="E3922" s="142" t="e">
        <f>(VLOOKUP(D3922,$D$2:$E$4,2,FALSE))-(IF('Informe Kelly'!H3916=$A$2,'Informe Kelly'!F3916,VLOOKUP(D3922,$D$2:$E$4,2,FALSE)))</f>
        <v>#N/A</v>
      </c>
      <c r="F3922" s="142" t="e">
        <f>IF('Informe Kelly'!H3916=$A$3,'Informe Kelly'!F3916,VLOOKUP(D3922,$D$2:$F$4,3,FALSE))-(VLOOKUP(D3922,$D$2:$F$4,3,FALSE))</f>
        <v>#N/A</v>
      </c>
      <c r="G3922" s="137" t="e">
        <f t="shared" si="65"/>
        <v>#N/A</v>
      </c>
    </row>
    <row r="3923" spans="1:7">
      <c r="A3923" s="112" t="e">
        <f>VLOOKUP('Informe Kelly'!A3917,Base!A:B,2,FALSE)</f>
        <v>#N/A</v>
      </c>
      <c r="B3923" s="112" t="e">
        <f>VLOOKUP('Informe Kelly'!A3917,Base!A:G,7,FALSE)</f>
        <v>#N/A</v>
      </c>
      <c r="C3923" s="112">
        <f>'Informe Kelly'!E3917</f>
        <v>0</v>
      </c>
      <c r="D3923" s="112" t="e">
        <f>VLOOKUP(A3923,Ingreso!K:P,6,FALSE)</f>
        <v>#N/A</v>
      </c>
      <c r="E3923" s="142" t="e">
        <f>(VLOOKUP(D3923,$D$2:$E$4,2,FALSE))-(IF('Informe Kelly'!H3917=$A$2,'Informe Kelly'!F3917,VLOOKUP(D3923,$D$2:$E$4,2,FALSE)))</f>
        <v>#N/A</v>
      </c>
      <c r="F3923" s="142" t="e">
        <f>IF('Informe Kelly'!H3917=$A$3,'Informe Kelly'!F3917,VLOOKUP(D3923,$D$2:$F$4,3,FALSE))-(VLOOKUP(D3923,$D$2:$F$4,3,FALSE))</f>
        <v>#N/A</v>
      </c>
      <c r="G3923" s="137" t="e">
        <f t="shared" si="65"/>
        <v>#N/A</v>
      </c>
    </row>
    <row r="3924" spans="1:7">
      <c r="A3924" s="112" t="e">
        <f>VLOOKUP('Informe Kelly'!A3918,Base!A:B,2,FALSE)</f>
        <v>#N/A</v>
      </c>
      <c r="B3924" s="112" t="e">
        <f>VLOOKUP('Informe Kelly'!A3918,Base!A:G,7,FALSE)</f>
        <v>#N/A</v>
      </c>
      <c r="C3924" s="112">
        <f>'Informe Kelly'!E3918</f>
        <v>0</v>
      </c>
      <c r="D3924" s="112" t="e">
        <f>VLOOKUP(A3924,Ingreso!K:P,6,FALSE)</f>
        <v>#N/A</v>
      </c>
      <c r="E3924" s="142" t="e">
        <f>(VLOOKUP(D3924,$D$2:$E$4,2,FALSE))-(IF('Informe Kelly'!H3918=$A$2,'Informe Kelly'!F3918,VLOOKUP(D3924,$D$2:$E$4,2,FALSE)))</f>
        <v>#N/A</v>
      </c>
      <c r="F3924" s="142" t="e">
        <f>IF('Informe Kelly'!H3918=$A$3,'Informe Kelly'!F3918,VLOOKUP(D3924,$D$2:$F$4,3,FALSE))-(VLOOKUP(D3924,$D$2:$F$4,3,FALSE))</f>
        <v>#N/A</v>
      </c>
      <c r="G3924" s="137" t="e">
        <f t="shared" si="65"/>
        <v>#N/A</v>
      </c>
    </row>
    <row r="3925" spans="1:7">
      <c r="A3925" s="112" t="e">
        <f>VLOOKUP('Informe Kelly'!A3919,Base!A:B,2,FALSE)</f>
        <v>#N/A</v>
      </c>
      <c r="B3925" s="112" t="e">
        <f>VLOOKUP('Informe Kelly'!A3919,Base!A:G,7,FALSE)</f>
        <v>#N/A</v>
      </c>
      <c r="C3925" s="112">
        <f>'Informe Kelly'!E3919</f>
        <v>0</v>
      </c>
      <c r="D3925" s="112" t="e">
        <f>VLOOKUP(A3925,Ingreso!K:P,6,FALSE)</f>
        <v>#N/A</v>
      </c>
      <c r="E3925" s="142" t="e">
        <f>(VLOOKUP(D3925,$D$2:$E$4,2,FALSE))-(IF('Informe Kelly'!H3919=$A$2,'Informe Kelly'!F3919,VLOOKUP(D3925,$D$2:$E$4,2,FALSE)))</f>
        <v>#N/A</v>
      </c>
      <c r="F3925" s="142" t="e">
        <f>IF('Informe Kelly'!H3919=$A$3,'Informe Kelly'!F3919,VLOOKUP(D3925,$D$2:$F$4,3,FALSE))-(VLOOKUP(D3925,$D$2:$F$4,3,FALSE))</f>
        <v>#N/A</v>
      </c>
      <c r="G3925" s="137" t="e">
        <f t="shared" si="65"/>
        <v>#N/A</v>
      </c>
    </row>
    <row r="3926" spans="1:7">
      <c r="A3926" s="112" t="e">
        <f>VLOOKUP('Informe Kelly'!A3920,Base!A:B,2,FALSE)</f>
        <v>#N/A</v>
      </c>
      <c r="B3926" s="112" t="e">
        <f>VLOOKUP('Informe Kelly'!A3920,Base!A:G,7,FALSE)</f>
        <v>#N/A</v>
      </c>
      <c r="C3926" s="112">
        <f>'Informe Kelly'!E3920</f>
        <v>0</v>
      </c>
      <c r="D3926" s="112" t="e">
        <f>VLOOKUP(A3926,Ingreso!K:P,6,FALSE)</f>
        <v>#N/A</v>
      </c>
      <c r="E3926" s="142" t="e">
        <f>(VLOOKUP(D3926,$D$2:$E$4,2,FALSE))-(IF('Informe Kelly'!H3920=$A$2,'Informe Kelly'!F3920,VLOOKUP(D3926,$D$2:$E$4,2,FALSE)))</f>
        <v>#N/A</v>
      </c>
      <c r="F3926" s="142" t="e">
        <f>IF('Informe Kelly'!H3920=$A$3,'Informe Kelly'!F3920,VLOOKUP(D3926,$D$2:$F$4,3,FALSE))-(VLOOKUP(D3926,$D$2:$F$4,3,FALSE))</f>
        <v>#N/A</v>
      </c>
      <c r="G3926" s="137" t="e">
        <f t="shared" si="65"/>
        <v>#N/A</v>
      </c>
    </row>
    <row r="3927" spans="1:7">
      <c r="A3927" s="112" t="e">
        <f>VLOOKUP('Informe Kelly'!A3921,Base!A:B,2,FALSE)</f>
        <v>#N/A</v>
      </c>
      <c r="B3927" s="112" t="e">
        <f>VLOOKUP('Informe Kelly'!A3921,Base!A:G,7,FALSE)</f>
        <v>#N/A</v>
      </c>
      <c r="C3927" s="112">
        <f>'Informe Kelly'!E3921</f>
        <v>0</v>
      </c>
      <c r="D3927" s="112" t="e">
        <f>VLOOKUP(A3927,Ingreso!K:P,6,FALSE)</f>
        <v>#N/A</v>
      </c>
      <c r="E3927" s="142" t="e">
        <f>(VLOOKUP(D3927,$D$2:$E$4,2,FALSE))-(IF('Informe Kelly'!H3921=$A$2,'Informe Kelly'!F3921,VLOOKUP(D3927,$D$2:$E$4,2,FALSE)))</f>
        <v>#N/A</v>
      </c>
      <c r="F3927" s="142" t="e">
        <f>IF('Informe Kelly'!H3921=$A$3,'Informe Kelly'!F3921,VLOOKUP(D3927,$D$2:$F$4,3,FALSE))-(VLOOKUP(D3927,$D$2:$F$4,3,FALSE))</f>
        <v>#N/A</v>
      </c>
      <c r="G3927" s="137" t="e">
        <f t="shared" si="65"/>
        <v>#N/A</v>
      </c>
    </row>
    <row r="3928" spans="1:7">
      <c r="A3928" s="112" t="e">
        <f>VLOOKUP('Informe Kelly'!A3922,Base!A:B,2,FALSE)</f>
        <v>#N/A</v>
      </c>
      <c r="B3928" s="112" t="e">
        <f>VLOOKUP('Informe Kelly'!A3922,Base!A:G,7,FALSE)</f>
        <v>#N/A</v>
      </c>
      <c r="C3928" s="112">
        <f>'Informe Kelly'!E3922</f>
        <v>0</v>
      </c>
      <c r="D3928" s="112" t="e">
        <f>VLOOKUP(A3928,Ingreso!K:P,6,FALSE)</f>
        <v>#N/A</v>
      </c>
      <c r="E3928" s="142" t="e">
        <f>(VLOOKUP(D3928,$D$2:$E$4,2,FALSE))-(IF('Informe Kelly'!H3922=$A$2,'Informe Kelly'!F3922,VLOOKUP(D3928,$D$2:$E$4,2,FALSE)))</f>
        <v>#N/A</v>
      </c>
      <c r="F3928" s="142" t="e">
        <f>IF('Informe Kelly'!H3922=$A$3,'Informe Kelly'!F3922,VLOOKUP(D3928,$D$2:$F$4,3,FALSE))-(VLOOKUP(D3928,$D$2:$F$4,3,FALSE))</f>
        <v>#N/A</v>
      </c>
      <c r="G3928" s="137" t="e">
        <f t="shared" si="65"/>
        <v>#N/A</v>
      </c>
    </row>
    <row r="3929" spans="1:7">
      <c r="A3929" s="112" t="e">
        <f>VLOOKUP('Informe Kelly'!A3923,Base!A:B,2,FALSE)</f>
        <v>#N/A</v>
      </c>
      <c r="B3929" s="112" t="e">
        <f>VLOOKUP('Informe Kelly'!A3923,Base!A:G,7,FALSE)</f>
        <v>#N/A</v>
      </c>
      <c r="C3929" s="112">
        <f>'Informe Kelly'!E3923</f>
        <v>0</v>
      </c>
      <c r="D3929" s="112" t="e">
        <f>VLOOKUP(A3929,Ingreso!K:P,6,FALSE)</f>
        <v>#N/A</v>
      </c>
      <c r="E3929" s="142" t="e">
        <f>(VLOOKUP(D3929,$D$2:$E$4,2,FALSE))-(IF('Informe Kelly'!H3923=$A$2,'Informe Kelly'!F3923,VLOOKUP(D3929,$D$2:$E$4,2,FALSE)))</f>
        <v>#N/A</v>
      </c>
      <c r="F3929" s="142" t="e">
        <f>IF('Informe Kelly'!H3923=$A$3,'Informe Kelly'!F3923,VLOOKUP(D3929,$D$2:$F$4,3,FALSE))-(VLOOKUP(D3929,$D$2:$F$4,3,FALSE))</f>
        <v>#N/A</v>
      </c>
      <c r="G3929" s="137" t="e">
        <f t="shared" si="65"/>
        <v>#N/A</v>
      </c>
    </row>
    <row r="3930" spans="1:7">
      <c r="A3930" s="112" t="e">
        <f>VLOOKUP('Informe Kelly'!A3924,Base!A:B,2,FALSE)</f>
        <v>#N/A</v>
      </c>
      <c r="B3930" s="112" t="e">
        <f>VLOOKUP('Informe Kelly'!A3924,Base!A:G,7,FALSE)</f>
        <v>#N/A</v>
      </c>
      <c r="C3930" s="112">
        <f>'Informe Kelly'!E3924</f>
        <v>0</v>
      </c>
      <c r="D3930" s="112" t="e">
        <f>VLOOKUP(A3930,Ingreso!K:P,6,FALSE)</f>
        <v>#N/A</v>
      </c>
      <c r="E3930" s="142" t="e">
        <f>(VLOOKUP(D3930,$D$2:$E$4,2,FALSE))-(IF('Informe Kelly'!H3924=$A$2,'Informe Kelly'!F3924,VLOOKUP(D3930,$D$2:$E$4,2,FALSE)))</f>
        <v>#N/A</v>
      </c>
      <c r="F3930" s="142" t="e">
        <f>IF('Informe Kelly'!H3924=$A$3,'Informe Kelly'!F3924,VLOOKUP(D3930,$D$2:$F$4,3,FALSE))-(VLOOKUP(D3930,$D$2:$F$4,3,FALSE))</f>
        <v>#N/A</v>
      </c>
      <c r="G3930" s="137" t="e">
        <f t="shared" si="65"/>
        <v>#N/A</v>
      </c>
    </row>
    <row r="3931" spans="1:7">
      <c r="A3931" s="112" t="e">
        <f>VLOOKUP('Informe Kelly'!A3925,Base!A:B,2,FALSE)</f>
        <v>#N/A</v>
      </c>
      <c r="B3931" s="112" t="e">
        <f>VLOOKUP('Informe Kelly'!A3925,Base!A:G,7,FALSE)</f>
        <v>#N/A</v>
      </c>
      <c r="C3931" s="112">
        <f>'Informe Kelly'!E3925</f>
        <v>0</v>
      </c>
      <c r="D3931" s="112" t="e">
        <f>VLOOKUP(A3931,Ingreso!K:P,6,FALSE)</f>
        <v>#N/A</v>
      </c>
      <c r="E3931" s="142" t="e">
        <f>(VLOOKUP(D3931,$D$2:$E$4,2,FALSE))-(IF('Informe Kelly'!H3925=$A$2,'Informe Kelly'!F3925,VLOOKUP(D3931,$D$2:$E$4,2,FALSE)))</f>
        <v>#N/A</v>
      </c>
      <c r="F3931" s="142" t="e">
        <f>IF('Informe Kelly'!H3925=$A$3,'Informe Kelly'!F3925,VLOOKUP(D3931,$D$2:$F$4,3,FALSE))-(VLOOKUP(D3931,$D$2:$F$4,3,FALSE))</f>
        <v>#N/A</v>
      </c>
      <c r="G3931" s="137" t="e">
        <f t="shared" si="65"/>
        <v>#N/A</v>
      </c>
    </row>
    <row r="3932" spans="1:7">
      <c r="A3932" s="112" t="e">
        <f>VLOOKUP('Informe Kelly'!A3926,Base!A:B,2,FALSE)</f>
        <v>#N/A</v>
      </c>
      <c r="B3932" s="112" t="e">
        <f>VLOOKUP('Informe Kelly'!A3926,Base!A:G,7,FALSE)</f>
        <v>#N/A</v>
      </c>
      <c r="C3932" s="112">
        <f>'Informe Kelly'!E3926</f>
        <v>0</v>
      </c>
      <c r="D3932" s="112" t="e">
        <f>VLOOKUP(A3932,Ingreso!K:P,6,FALSE)</f>
        <v>#N/A</v>
      </c>
      <c r="E3932" s="142" t="e">
        <f>(VLOOKUP(D3932,$D$2:$E$4,2,FALSE))-(IF('Informe Kelly'!H3926=$A$2,'Informe Kelly'!F3926,VLOOKUP(D3932,$D$2:$E$4,2,FALSE)))</f>
        <v>#N/A</v>
      </c>
      <c r="F3932" s="142" t="e">
        <f>IF('Informe Kelly'!H3926=$A$3,'Informe Kelly'!F3926,VLOOKUP(D3932,$D$2:$F$4,3,FALSE))-(VLOOKUP(D3932,$D$2:$F$4,3,FALSE))</f>
        <v>#N/A</v>
      </c>
      <c r="G3932" s="137" t="e">
        <f t="shared" si="65"/>
        <v>#N/A</v>
      </c>
    </row>
    <row r="3933" spans="1:7">
      <c r="A3933" s="112" t="e">
        <f>VLOOKUP('Informe Kelly'!A3927,Base!A:B,2,FALSE)</f>
        <v>#N/A</v>
      </c>
      <c r="B3933" s="112" t="e">
        <f>VLOOKUP('Informe Kelly'!A3927,Base!A:G,7,FALSE)</f>
        <v>#N/A</v>
      </c>
      <c r="C3933" s="112">
        <f>'Informe Kelly'!E3927</f>
        <v>0</v>
      </c>
      <c r="D3933" s="112" t="e">
        <f>VLOOKUP(A3933,Ingreso!K:P,6,FALSE)</f>
        <v>#N/A</v>
      </c>
      <c r="E3933" s="142" t="e">
        <f>(VLOOKUP(D3933,$D$2:$E$4,2,FALSE))-(IF('Informe Kelly'!H3927=$A$2,'Informe Kelly'!F3927,VLOOKUP(D3933,$D$2:$E$4,2,FALSE)))</f>
        <v>#N/A</v>
      </c>
      <c r="F3933" s="142" t="e">
        <f>IF('Informe Kelly'!H3927=$A$3,'Informe Kelly'!F3927,VLOOKUP(D3933,$D$2:$F$4,3,FALSE))-(VLOOKUP(D3933,$D$2:$F$4,3,FALSE))</f>
        <v>#N/A</v>
      </c>
      <c r="G3933" s="137" t="e">
        <f t="shared" si="65"/>
        <v>#N/A</v>
      </c>
    </row>
    <row r="3934" spans="1:7">
      <c r="A3934" s="112" t="e">
        <f>VLOOKUP('Informe Kelly'!A3928,Base!A:B,2,FALSE)</f>
        <v>#N/A</v>
      </c>
      <c r="B3934" s="112" t="e">
        <f>VLOOKUP('Informe Kelly'!A3928,Base!A:G,7,FALSE)</f>
        <v>#N/A</v>
      </c>
      <c r="C3934" s="112">
        <f>'Informe Kelly'!E3928</f>
        <v>0</v>
      </c>
      <c r="D3934" s="112" t="e">
        <f>VLOOKUP(A3934,Ingreso!K:P,6,FALSE)</f>
        <v>#N/A</v>
      </c>
      <c r="E3934" s="142" t="e">
        <f>(VLOOKUP(D3934,$D$2:$E$4,2,FALSE))-(IF('Informe Kelly'!H3928=$A$2,'Informe Kelly'!F3928,VLOOKUP(D3934,$D$2:$E$4,2,FALSE)))</f>
        <v>#N/A</v>
      </c>
      <c r="F3934" s="142" t="e">
        <f>IF('Informe Kelly'!H3928=$A$3,'Informe Kelly'!F3928,VLOOKUP(D3934,$D$2:$F$4,3,FALSE))-(VLOOKUP(D3934,$D$2:$F$4,3,FALSE))</f>
        <v>#N/A</v>
      </c>
      <c r="G3934" s="137" t="e">
        <f t="shared" si="65"/>
        <v>#N/A</v>
      </c>
    </row>
    <row r="3935" spans="1:7">
      <c r="A3935" s="112" t="e">
        <f>VLOOKUP('Informe Kelly'!A3929,Base!A:B,2,FALSE)</f>
        <v>#N/A</v>
      </c>
      <c r="B3935" s="112" t="e">
        <f>VLOOKUP('Informe Kelly'!A3929,Base!A:G,7,FALSE)</f>
        <v>#N/A</v>
      </c>
      <c r="C3935" s="112">
        <f>'Informe Kelly'!E3929</f>
        <v>0</v>
      </c>
      <c r="D3935" s="112" t="e">
        <f>VLOOKUP(A3935,Ingreso!K:P,6,FALSE)</f>
        <v>#N/A</v>
      </c>
      <c r="E3935" s="142" t="e">
        <f>(VLOOKUP(D3935,$D$2:$E$4,2,FALSE))-(IF('Informe Kelly'!H3929=$A$2,'Informe Kelly'!F3929,VLOOKUP(D3935,$D$2:$E$4,2,FALSE)))</f>
        <v>#N/A</v>
      </c>
      <c r="F3935" s="142" t="e">
        <f>IF('Informe Kelly'!H3929=$A$3,'Informe Kelly'!F3929,VLOOKUP(D3935,$D$2:$F$4,3,FALSE))-(VLOOKUP(D3935,$D$2:$F$4,3,FALSE))</f>
        <v>#N/A</v>
      </c>
      <c r="G3935" s="137" t="e">
        <f t="shared" si="65"/>
        <v>#N/A</v>
      </c>
    </row>
    <row r="3936" spans="1:7">
      <c r="A3936" s="112" t="e">
        <f>VLOOKUP('Informe Kelly'!A3930,Base!A:B,2,FALSE)</f>
        <v>#N/A</v>
      </c>
      <c r="B3936" s="112" t="e">
        <f>VLOOKUP('Informe Kelly'!A3930,Base!A:G,7,FALSE)</f>
        <v>#N/A</v>
      </c>
      <c r="C3936" s="112">
        <f>'Informe Kelly'!E3930</f>
        <v>0</v>
      </c>
      <c r="D3936" s="112" t="e">
        <f>VLOOKUP(A3936,Ingreso!K:P,6,FALSE)</f>
        <v>#N/A</v>
      </c>
      <c r="E3936" s="142" t="e">
        <f>(VLOOKUP(D3936,$D$2:$E$4,2,FALSE))-(IF('Informe Kelly'!H3930=$A$2,'Informe Kelly'!F3930,VLOOKUP(D3936,$D$2:$E$4,2,FALSE)))</f>
        <v>#N/A</v>
      </c>
      <c r="F3936" s="142" t="e">
        <f>IF('Informe Kelly'!H3930=$A$3,'Informe Kelly'!F3930,VLOOKUP(D3936,$D$2:$F$4,3,FALSE))-(VLOOKUP(D3936,$D$2:$F$4,3,FALSE))</f>
        <v>#N/A</v>
      </c>
      <c r="G3936" s="137" t="e">
        <f t="shared" si="65"/>
        <v>#N/A</v>
      </c>
    </row>
    <row r="3937" spans="1:7">
      <c r="A3937" s="112" t="e">
        <f>VLOOKUP('Informe Kelly'!A3931,Base!A:B,2,FALSE)</f>
        <v>#N/A</v>
      </c>
      <c r="B3937" s="112" t="e">
        <f>VLOOKUP('Informe Kelly'!A3931,Base!A:G,7,FALSE)</f>
        <v>#N/A</v>
      </c>
      <c r="C3937" s="112">
        <f>'Informe Kelly'!E3931</f>
        <v>0</v>
      </c>
      <c r="D3937" s="112" t="e">
        <f>VLOOKUP(A3937,Ingreso!K:P,6,FALSE)</f>
        <v>#N/A</v>
      </c>
      <c r="E3937" s="142" t="e">
        <f>(VLOOKUP(D3937,$D$2:$E$4,2,FALSE))-(IF('Informe Kelly'!H3931=$A$2,'Informe Kelly'!F3931,VLOOKUP(D3937,$D$2:$E$4,2,FALSE)))</f>
        <v>#N/A</v>
      </c>
      <c r="F3937" s="142" t="e">
        <f>IF('Informe Kelly'!H3931=$A$3,'Informe Kelly'!F3931,VLOOKUP(D3937,$D$2:$F$4,3,FALSE))-(VLOOKUP(D3937,$D$2:$F$4,3,FALSE))</f>
        <v>#N/A</v>
      </c>
      <c r="G3937" s="137" t="e">
        <f t="shared" si="65"/>
        <v>#N/A</v>
      </c>
    </row>
    <row r="3938" spans="1:7">
      <c r="A3938" s="112" t="e">
        <f>VLOOKUP('Informe Kelly'!A3932,Base!A:B,2,FALSE)</f>
        <v>#N/A</v>
      </c>
      <c r="B3938" s="112" t="e">
        <f>VLOOKUP('Informe Kelly'!A3932,Base!A:G,7,FALSE)</f>
        <v>#N/A</v>
      </c>
      <c r="C3938" s="112">
        <f>'Informe Kelly'!E3932</f>
        <v>0</v>
      </c>
      <c r="D3938" s="112" t="e">
        <f>VLOOKUP(A3938,Ingreso!K:P,6,FALSE)</f>
        <v>#N/A</v>
      </c>
      <c r="E3938" s="142" t="e">
        <f>(VLOOKUP(D3938,$D$2:$E$4,2,FALSE))-(IF('Informe Kelly'!H3932=$A$2,'Informe Kelly'!F3932,VLOOKUP(D3938,$D$2:$E$4,2,FALSE)))</f>
        <v>#N/A</v>
      </c>
      <c r="F3938" s="142" t="e">
        <f>IF('Informe Kelly'!H3932=$A$3,'Informe Kelly'!F3932,VLOOKUP(D3938,$D$2:$F$4,3,FALSE))-(VLOOKUP(D3938,$D$2:$F$4,3,FALSE))</f>
        <v>#N/A</v>
      </c>
      <c r="G3938" s="137" t="e">
        <f t="shared" si="65"/>
        <v>#N/A</v>
      </c>
    </row>
    <row r="3939" spans="1:7">
      <c r="A3939" s="112" t="e">
        <f>VLOOKUP('Informe Kelly'!A3933,Base!A:B,2,FALSE)</f>
        <v>#N/A</v>
      </c>
      <c r="B3939" s="112" t="e">
        <f>VLOOKUP('Informe Kelly'!A3933,Base!A:G,7,FALSE)</f>
        <v>#N/A</v>
      </c>
      <c r="C3939" s="112">
        <f>'Informe Kelly'!E3933</f>
        <v>0</v>
      </c>
      <c r="D3939" s="112" t="e">
        <f>VLOOKUP(A3939,Ingreso!K:P,6,FALSE)</f>
        <v>#N/A</v>
      </c>
      <c r="E3939" s="142" t="e">
        <f>(VLOOKUP(D3939,$D$2:$E$4,2,FALSE))-(IF('Informe Kelly'!H3933=$A$2,'Informe Kelly'!F3933,VLOOKUP(D3939,$D$2:$E$4,2,FALSE)))</f>
        <v>#N/A</v>
      </c>
      <c r="F3939" s="142" t="e">
        <f>IF('Informe Kelly'!H3933=$A$3,'Informe Kelly'!F3933,VLOOKUP(D3939,$D$2:$F$4,3,FALSE))-(VLOOKUP(D3939,$D$2:$F$4,3,FALSE))</f>
        <v>#N/A</v>
      </c>
      <c r="G3939" s="137" t="e">
        <f t="shared" si="65"/>
        <v>#N/A</v>
      </c>
    </row>
    <row r="3940" spans="1:7">
      <c r="A3940" s="112" t="e">
        <f>VLOOKUP('Informe Kelly'!A3934,Base!A:B,2,FALSE)</f>
        <v>#N/A</v>
      </c>
      <c r="B3940" s="112" t="e">
        <f>VLOOKUP('Informe Kelly'!A3934,Base!A:G,7,FALSE)</f>
        <v>#N/A</v>
      </c>
      <c r="C3940" s="112">
        <f>'Informe Kelly'!E3934</f>
        <v>0</v>
      </c>
      <c r="D3940" s="112" t="e">
        <f>VLOOKUP(A3940,Ingreso!K:P,6,FALSE)</f>
        <v>#N/A</v>
      </c>
      <c r="E3940" s="142" t="e">
        <f>(VLOOKUP(D3940,$D$2:$E$4,2,FALSE))-(IF('Informe Kelly'!H3934=$A$2,'Informe Kelly'!F3934,VLOOKUP(D3940,$D$2:$E$4,2,FALSE)))</f>
        <v>#N/A</v>
      </c>
      <c r="F3940" s="142" t="e">
        <f>IF('Informe Kelly'!H3934=$A$3,'Informe Kelly'!F3934,VLOOKUP(D3940,$D$2:$F$4,3,FALSE))-(VLOOKUP(D3940,$D$2:$F$4,3,FALSE))</f>
        <v>#N/A</v>
      </c>
      <c r="G3940" s="137" t="e">
        <f t="shared" si="65"/>
        <v>#N/A</v>
      </c>
    </row>
    <row r="3941" spans="1:7">
      <c r="A3941" s="112" t="e">
        <f>VLOOKUP('Informe Kelly'!A3935,Base!A:B,2,FALSE)</f>
        <v>#N/A</v>
      </c>
      <c r="B3941" s="112" t="e">
        <f>VLOOKUP('Informe Kelly'!A3935,Base!A:G,7,FALSE)</f>
        <v>#N/A</v>
      </c>
      <c r="C3941" s="112">
        <f>'Informe Kelly'!E3935</f>
        <v>0</v>
      </c>
      <c r="D3941" s="112" t="e">
        <f>VLOOKUP(A3941,Ingreso!K:P,6,FALSE)</f>
        <v>#N/A</v>
      </c>
      <c r="E3941" s="142" t="e">
        <f>(VLOOKUP(D3941,$D$2:$E$4,2,FALSE))-(IF('Informe Kelly'!H3935=$A$2,'Informe Kelly'!F3935,VLOOKUP(D3941,$D$2:$E$4,2,FALSE)))</f>
        <v>#N/A</v>
      </c>
      <c r="F3941" s="142" t="e">
        <f>IF('Informe Kelly'!H3935=$A$3,'Informe Kelly'!F3935,VLOOKUP(D3941,$D$2:$F$4,3,FALSE))-(VLOOKUP(D3941,$D$2:$F$4,3,FALSE))</f>
        <v>#N/A</v>
      </c>
      <c r="G3941" s="137" t="e">
        <f t="shared" si="65"/>
        <v>#N/A</v>
      </c>
    </row>
    <row r="3942" spans="1:7">
      <c r="A3942" s="112" t="e">
        <f>VLOOKUP('Informe Kelly'!A3936,Base!A:B,2,FALSE)</f>
        <v>#N/A</v>
      </c>
      <c r="B3942" s="112" t="e">
        <f>VLOOKUP('Informe Kelly'!A3936,Base!A:G,7,FALSE)</f>
        <v>#N/A</v>
      </c>
      <c r="C3942" s="112">
        <f>'Informe Kelly'!E3936</f>
        <v>0</v>
      </c>
      <c r="D3942" s="112" t="e">
        <f>VLOOKUP(A3942,Ingreso!K:P,6,FALSE)</f>
        <v>#N/A</v>
      </c>
      <c r="E3942" s="142" t="e">
        <f>(VLOOKUP(D3942,$D$2:$E$4,2,FALSE))-(IF('Informe Kelly'!H3936=$A$2,'Informe Kelly'!F3936,VLOOKUP(D3942,$D$2:$E$4,2,FALSE)))</f>
        <v>#N/A</v>
      </c>
      <c r="F3942" s="142" t="e">
        <f>IF('Informe Kelly'!H3936=$A$3,'Informe Kelly'!F3936,VLOOKUP(D3942,$D$2:$F$4,3,FALSE))-(VLOOKUP(D3942,$D$2:$F$4,3,FALSE))</f>
        <v>#N/A</v>
      </c>
      <c r="G3942" s="137" t="e">
        <f t="shared" si="65"/>
        <v>#N/A</v>
      </c>
    </row>
    <row r="3943" spans="1:7">
      <c r="A3943" s="112" t="e">
        <f>VLOOKUP('Informe Kelly'!A3937,Base!A:B,2,FALSE)</f>
        <v>#N/A</v>
      </c>
      <c r="B3943" s="112" t="e">
        <f>VLOOKUP('Informe Kelly'!A3937,Base!A:G,7,FALSE)</f>
        <v>#N/A</v>
      </c>
      <c r="C3943" s="112">
        <f>'Informe Kelly'!E3937</f>
        <v>0</v>
      </c>
      <c r="D3943" s="112" t="e">
        <f>VLOOKUP(A3943,Ingreso!K:P,6,FALSE)</f>
        <v>#N/A</v>
      </c>
      <c r="E3943" s="142" t="e">
        <f>(VLOOKUP(D3943,$D$2:$E$4,2,FALSE))-(IF('Informe Kelly'!H3937=$A$2,'Informe Kelly'!F3937,VLOOKUP(D3943,$D$2:$E$4,2,FALSE)))</f>
        <v>#N/A</v>
      </c>
      <c r="F3943" s="142" t="e">
        <f>IF('Informe Kelly'!H3937=$A$3,'Informe Kelly'!F3937,VLOOKUP(D3943,$D$2:$F$4,3,FALSE))-(VLOOKUP(D3943,$D$2:$F$4,3,FALSE))</f>
        <v>#N/A</v>
      </c>
      <c r="G3943" s="137" t="e">
        <f t="shared" si="65"/>
        <v>#N/A</v>
      </c>
    </row>
    <row r="3944" spans="1:7">
      <c r="A3944" s="112" t="e">
        <f>VLOOKUP('Informe Kelly'!A3938,Base!A:B,2,FALSE)</f>
        <v>#N/A</v>
      </c>
      <c r="B3944" s="112" t="e">
        <f>VLOOKUP('Informe Kelly'!A3938,Base!A:G,7,FALSE)</f>
        <v>#N/A</v>
      </c>
      <c r="C3944" s="112">
        <f>'Informe Kelly'!E3938</f>
        <v>0</v>
      </c>
      <c r="D3944" s="112" t="e">
        <f>VLOOKUP(A3944,Ingreso!K:P,6,FALSE)</f>
        <v>#N/A</v>
      </c>
      <c r="E3944" s="142" t="e">
        <f>(VLOOKUP(D3944,$D$2:$E$4,2,FALSE))-(IF('Informe Kelly'!H3938=$A$2,'Informe Kelly'!F3938,VLOOKUP(D3944,$D$2:$E$4,2,FALSE)))</f>
        <v>#N/A</v>
      </c>
      <c r="F3944" s="142" t="e">
        <f>IF('Informe Kelly'!H3938=$A$3,'Informe Kelly'!F3938,VLOOKUP(D3944,$D$2:$F$4,3,FALSE))-(VLOOKUP(D3944,$D$2:$F$4,3,FALSE))</f>
        <v>#N/A</v>
      </c>
      <c r="G3944" s="137" t="e">
        <f t="shared" si="65"/>
        <v>#N/A</v>
      </c>
    </row>
    <row r="3945" spans="1:7">
      <c r="A3945" s="112" t="e">
        <f>VLOOKUP('Informe Kelly'!A3939,Base!A:B,2,FALSE)</f>
        <v>#N/A</v>
      </c>
      <c r="B3945" s="112" t="e">
        <f>VLOOKUP('Informe Kelly'!A3939,Base!A:G,7,FALSE)</f>
        <v>#N/A</v>
      </c>
      <c r="C3945" s="112">
        <f>'Informe Kelly'!E3939</f>
        <v>0</v>
      </c>
      <c r="D3945" s="112" t="e">
        <f>VLOOKUP(A3945,Ingreso!K:P,6,FALSE)</f>
        <v>#N/A</v>
      </c>
      <c r="E3945" s="142" t="e">
        <f>(VLOOKUP(D3945,$D$2:$E$4,2,FALSE))-(IF('Informe Kelly'!H3939=$A$2,'Informe Kelly'!F3939,VLOOKUP(D3945,$D$2:$E$4,2,FALSE)))</f>
        <v>#N/A</v>
      </c>
      <c r="F3945" s="142" t="e">
        <f>IF('Informe Kelly'!H3939=$A$3,'Informe Kelly'!F3939,VLOOKUP(D3945,$D$2:$F$4,3,FALSE))-(VLOOKUP(D3945,$D$2:$F$4,3,FALSE))</f>
        <v>#N/A</v>
      </c>
      <c r="G3945" s="137" t="e">
        <f t="shared" si="65"/>
        <v>#N/A</v>
      </c>
    </row>
    <row r="3946" spans="1:7">
      <c r="A3946" s="112" t="e">
        <f>VLOOKUP('Informe Kelly'!A3940,Base!A:B,2,FALSE)</f>
        <v>#N/A</v>
      </c>
      <c r="B3946" s="112" t="e">
        <f>VLOOKUP('Informe Kelly'!A3940,Base!A:G,7,FALSE)</f>
        <v>#N/A</v>
      </c>
      <c r="C3946" s="112">
        <f>'Informe Kelly'!E3940</f>
        <v>0</v>
      </c>
      <c r="D3946" s="112" t="e">
        <f>VLOOKUP(A3946,Ingreso!K:P,6,FALSE)</f>
        <v>#N/A</v>
      </c>
      <c r="E3946" s="142" t="e">
        <f>(VLOOKUP(D3946,$D$2:$E$4,2,FALSE))-(IF('Informe Kelly'!H3940=$A$2,'Informe Kelly'!F3940,VLOOKUP(D3946,$D$2:$E$4,2,FALSE)))</f>
        <v>#N/A</v>
      </c>
      <c r="F3946" s="142" t="e">
        <f>IF('Informe Kelly'!H3940=$A$3,'Informe Kelly'!F3940,VLOOKUP(D3946,$D$2:$F$4,3,FALSE))-(VLOOKUP(D3946,$D$2:$F$4,3,FALSE))</f>
        <v>#N/A</v>
      </c>
      <c r="G3946" s="137" t="e">
        <f t="shared" si="65"/>
        <v>#N/A</v>
      </c>
    </row>
    <row r="3947" spans="1:7">
      <c r="A3947" s="112" t="e">
        <f>VLOOKUP('Informe Kelly'!A3941,Base!A:B,2,FALSE)</f>
        <v>#N/A</v>
      </c>
      <c r="B3947" s="112" t="e">
        <f>VLOOKUP('Informe Kelly'!A3941,Base!A:G,7,FALSE)</f>
        <v>#N/A</v>
      </c>
      <c r="C3947" s="112">
        <f>'Informe Kelly'!E3941</f>
        <v>0</v>
      </c>
      <c r="D3947" s="112" t="e">
        <f>VLOOKUP(A3947,Ingreso!K:P,6,FALSE)</f>
        <v>#N/A</v>
      </c>
      <c r="E3947" s="142" t="e">
        <f>(VLOOKUP(D3947,$D$2:$E$4,2,FALSE))-(IF('Informe Kelly'!H3941=$A$2,'Informe Kelly'!F3941,VLOOKUP(D3947,$D$2:$E$4,2,FALSE)))</f>
        <v>#N/A</v>
      </c>
      <c r="F3947" s="142" t="e">
        <f>IF('Informe Kelly'!H3941=$A$3,'Informe Kelly'!F3941,VLOOKUP(D3947,$D$2:$F$4,3,FALSE))-(VLOOKUP(D3947,$D$2:$F$4,3,FALSE))</f>
        <v>#N/A</v>
      </c>
      <c r="G3947" s="137" t="e">
        <f t="shared" si="65"/>
        <v>#N/A</v>
      </c>
    </row>
    <row r="3948" spans="1:7">
      <c r="A3948" s="112" t="e">
        <f>VLOOKUP('Informe Kelly'!A3942,Base!A:B,2,FALSE)</f>
        <v>#N/A</v>
      </c>
      <c r="B3948" s="112" t="e">
        <f>VLOOKUP('Informe Kelly'!A3942,Base!A:G,7,FALSE)</f>
        <v>#N/A</v>
      </c>
      <c r="C3948" s="112">
        <f>'Informe Kelly'!E3942</f>
        <v>0</v>
      </c>
      <c r="D3948" s="112" t="e">
        <f>VLOOKUP(A3948,Ingreso!K:P,6,FALSE)</f>
        <v>#N/A</v>
      </c>
      <c r="E3948" s="142" t="e">
        <f>(VLOOKUP(D3948,$D$2:$E$4,2,FALSE))-(IF('Informe Kelly'!H3942=$A$2,'Informe Kelly'!F3942,VLOOKUP(D3948,$D$2:$E$4,2,FALSE)))</f>
        <v>#N/A</v>
      </c>
      <c r="F3948" s="142" t="e">
        <f>IF('Informe Kelly'!H3942=$A$3,'Informe Kelly'!F3942,VLOOKUP(D3948,$D$2:$F$4,3,FALSE))-(VLOOKUP(D3948,$D$2:$F$4,3,FALSE))</f>
        <v>#N/A</v>
      </c>
      <c r="G3948" s="137" t="e">
        <f t="shared" si="65"/>
        <v>#N/A</v>
      </c>
    </row>
    <row r="3949" spans="1:7">
      <c r="A3949" s="112" t="e">
        <f>VLOOKUP('Informe Kelly'!A3943,Base!A:B,2,FALSE)</f>
        <v>#N/A</v>
      </c>
      <c r="B3949" s="112" t="e">
        <f>VLOOKUP('Informe Kelly'!A3943,Base!A:G,7,FALSE)</f>
        <v>#N/A</v>
      </c>
      <c r="C3949" s="112">
        <f>'Informe Kelly'!E3943</f>
        <v>0</v>
      </c>
      <c r="D3949" s="112" t="e">
        <f>VLOOKUP(A3949,Ingreso!K:P,6,FALSE)</f>
        <v>#N/A</v>
      </c>
      <c r="E3949" s="142" t="e">
        <f>(VLOOKUP(D3949,$D$2:$E$4,2,FALSE))-(IF('Informe Kelly'!H3943=$A$2,'Informe Kelly'!F3943,VLOOKUP(D3949,$D$2:$E$4,2,FALSE)))</f>
        <v>#N/A</v>
      </c>
      <c r="F3949" s="142" t="e">
        <f>IF('Informe Kelly'!H3943=$A$3,'Informe Kelly'!F3943,VLOOKUP(D3949,$D$2:$F$4,3,FALSE))-(VLOOKUP(D3949,$D$2:$F$4,3,FALSE))</f>
        <v>#N/A</v>
      </c>
      <c r="G3949" s="137" t="e">
        <f t="shared" si="65"/>
        <v>#N/A</v>
      </c>
    </row>
    <row r="3950" spans="1:7">
      <c r="A3950" s="112" t="e">
        <f>VLOOKUP('Informe Kelly'!A3944,Base!A:B,2,FALSE)</f>
        <v>#N/A</v>
      </c>
      <c r="B3950" s="112" t="e">
        <f>VLOOKUP('Informe Kelly'!A3944,Base!A:G,7,FALSE)</f>
        <v>#N/A</v>
      </c>
      <c r="C3950" s="112">
        <f>'Informe Kelly'!E3944</f>
        <v>0</v>
      </c>
      <c r="D3950" s="112" t="e">
        <f>VLOOKUP(A3950,Ingreso!K:P,6,FALSE)</f>
        <v>#N/A</v>
      </c>
      <c r="E3950" s="142" t="e">
        <f>(VLOOKUP(D3950,$D$2:$E$4,2,FALSE))-(IF('Informe Kelly'!H3944=$A$2,'Informe Kelly'!F3944,VLOOKUP(D3950,$D$2:$E$4,2,FALSE)))</f>
        <v>#N/A</v>
      </c>
      <c r="F3950" s="142" t="e">
        <f>IF('Informe Kelly'!H3944=$A$3,'Informe Kelly'!F3944,VLOOKUP(D3950,$D$2:$F$4,3,FALSE))-(VLOOKUP(D3950,$D$2:$F$4,3,FALSE))</f>
        <v>#N/A</v>
      </c>
      <c r="G3950" s="137" t="e">
        <f t="shared" si="65"/>
        <v>#N/A</v>
      </c>
    </row>
    <row r="3951" spans="1:7">
      <c r="A3951" s="112" t="e">
        <f>VLOOKUP('Informe Kelly'!A3945,Base!A:B,2,FALSE)</f>
        <v>#N/A</v>
      </c>
      <c r="B3951" s="112" t="e">
        <f>VLOOKUP('Informe Kelly'!A3945,Base!A:G,7,FALSE)</f>
        <v>#N/A</v>
      </c>
      <c r="C3951" s="112">
        <f>'Informe Kelly'!E3945</f>
        <v>0</v>
      </c>
      <c r="D3951" s="112" t="e">
        <f>VLOOKUP(A3951,Ingreso!K:P,6,FALSE)</f>
        <v>#N/A</v>
      </c>
      <c r="E3951" s="142" t="e">
        <f>(VLOOKUP(D3951,$D$2:$E$4,2,FALSE))-(IF('Informe Kelly'!H3945=$A$2,'Informe Kelly'!F3945,VLOOKUP(D3951,$D$2:$E$4,2,FALSE)))</f>
        <v>#N/A</v>
      </c>
      <c r="F3951" s="142" t="e">
        <f>IF('Informe Kelly'!H3945=$A$3,'Informe Kelly'!F3945,VLOOKUP(D3951,$D$2:$F$4,3,FALSE))-(VLOOKUP(D3951,$D$2:$F$4,3,FALSE))</f>
        <v>#N/A</v>
      </c>
      <c r="G3951" s="137" t="e">
        <f t="shared" si="65"/>
        <v>#N/A</v>
      </c>
    </row>
    <row r="3952" spans="1:7">
      <c r="A3952" s="112" t="e">
        <f>VLOOKUP('Informe Kelly'!A3946,Base!A:B,2,FALSE)</f>
        <v>#N/A</v>
      </c>
      <c r="B3952" s="112" t="e">
        <f>VLOOKUP('Informe Kelly'!A3946,Base!A:G,7,FALSE)</f>
        <v>#N/A</v>
      </c>
      <c r="C3952" s="112">
        <f>'Informe Kelly'!E3946</f>
        <v>0</v>
      </c>
      <c r="D3952" s="112" t="e">
        <f>VLOOKUP(A3952,Ingreso!K:P,6,FALSE)</f>
        <v>#N/A</v>
      </c>
      <c r="E3952" s="142" t="e">
        <f>(VLOOKUP(D3952,$D$2:$E$4,2,FALSE))-(IF('Informe Kelly'!H3946=$A$2,'Informe Kelly'!F3946,VLOOKUP(D3952,$D$2:$E$4,2,FALSE)))</f>
        <v>#N/A</v>
      </c>
      <c r="F3952" s="142" t="e">
        <f>IF('Informe Kelly'!H3946=$A$3,'Informe Kelly'!F3946,VLOOKUP(D3952,$D$2:$F$4,3,FALSE))-(VLOOKUP(D3952,$D$2:$F$4,3,FALSE))</f>
        <v>#N/A</v>
      </c>
      <c r="G3952" s="137" t="e">
        <f t="shared" si="65"/>
        <v>#N/A</v>
      </c>
    </row>
    <row r="3953" spans="1:7">
      <c r="A3953" s="112" t="e">
        <f>VLOOKUP('Informe Kelly'!A3947,Base!A:B,2,FALSE)</f>
        <v>#N/A</v>
      </c>
      <c r="B3953" s="112" t="e">
        <f>VLOOKUP('Informe Kelly'!A3947,Base!A:G,7,FALSE)</f>
        <v>#N/A</v>
      </c>
      <c r="C3953" s="112">
        <f>'Informe Kelly'!E3947</f>
        <v>0</v>
      </c>
      <c r="D3953" s="112" t="e">
        <f>VLOOKUP(A3953,Ingreso!K:P,6,FALSE)</f>
        <v>#N/A</v>
      </c>
      <c r="E3953" s="142" t="e">
        <f>(VLOOKUP(D3953,$D$2:$E$4,2,FALSE))-(IF('Informe Kelly'!H3947=$A$2,'Informe Kelly'!F3947,VLOOKUP(D3953,$D$2:$E$4,2,FALSE)))</f>
        <v>#N/A</v>
      </c>
      <c r="F3953" s="142" t="e">
        <f>IF('Informe Kelly'!H3947=$A$3,'Informe Kelly'!F3947,VLOOKUP(D3953,$D$2:$F$4,3,FALSE))-(VLOOKUP(D3953,$D$2:$F$4,3,FALSE))</f>
        <v>#N/A</v>
      </c>
      <c r="G3953" s="137" t="e">
        <f t="shared" si="65"/>
        <v>#N/A</v>
      </c>
    </row>
    <row r="3954" spans="1:7">
      <c r="A3954" s="112" t="e">
        <f>VLOOKUP('Informe Kelly'!A3948,Base!A:B,2,FALSE)</f>
        <v>#N/A</v>
      </c>
      <c r="B3954" s="112" t="e">
        <f>VLOOKUP('Informe Kelly'!A3948,Base!A:G,7,FALSE)</f>
        <v>#N/A</v>
      </c>
      <c r="C3954" s="112">
        <f>'Informe Kelly'!E3948</f>
        <v>0</v>
      </c>
      <c r="D3954" s="112" t="e">
        <f>VLOOKUP(A3954,Ingreso!K:P,6,FALSE)</f>
        <v>#N/A</v>
      </c>
      <c r="E3954" s="142" t="e">
        <f>(VLOOKUP(D3954,$D$2:$E$4,2,FALSE))-(IF('Informe Kelly'!H3948=$A$2,'Informe Kelly'!F3948,VLOOKUP(D3954,$D$2:$E$4,2,FALSE)))</f>
        <v>#N/A</v>
      </c>
      <c r="F3954" s="142" t="e">
        <f>IF('Informe Kelly'!H3948=$A$3,'Informe Kelly'!F3948,VLOOKUP(D3954,$D$2:$F$4,3,FALSE))-(VLOOKUP(D3954,$D$2:$F$4,3,FALSE))</f>
        <v>#N/A</v>
      </c>
      <c r="G3954" s="137" t="e">
        <f t="shared" si="65"/>
        <v>#N/A</v>
      </c>
    </row>
    <row r="3955" spans="1:7">
      <c r="A3955" s="112" t="e">
        <f>VLOOKUP('Informe Kelly'!A3949,Base!A:B,2,FALSE)</f>
        <v>#N/A</v>
      </c>
      <c r="B3955" s="112" t="e">
        <f>VLOOKUP('Informe Kelly'!A3949,Base!A:G,7,FALSE)</f>
        <v>#N/A</v>
      </c>
      <c r="C3955" s="112">
        <f>'Informe Kelly'!E3949</f>
        <v>0</v>
      </c>
      <c r="D3955" s="112" t="e">
        <f>VLOOKUP(A3955,Ingreso!K:P,6,FALSE)</f>
        <v>#N/A</v>
      </c>
      <c r="E3955" s="142" t="e">
        <f>(VLOOKUP(D3955,$D$2:$E$4,2,FALSE))-(IF('Informe Kelly'!H3949=$A$2,'Informe Kelly'!F3949,VLOOKUP(D3955,$D$2:$E$4,2,FALSE)))</f>
        <v>#N/A</v>
      </c>
      <c r="F3955" s="142" t="e">
        <f>IF('Informe Kelly'!H3949=$A$3,'Informe Kelly'!F3949,VLOOKUP(D3955,$D$2:$F$4,3,FALSE))-(VLOOKUP(D3955,$D$2:$F$4,3,FALSE))</f>
        <v>#N/A</v>
      </c>
      <c r="G3955" s="137" t="e">
        <f t="shared" si="65"/>
        <v>#N/A</v>
      </c>
    </row>
    <row r="3956" spans="1:7">
      <c r="A3956" s="112" t="e">
        <f>VLOOKUP('Informe Kelly'!A3950,Base!A:B,2,FALSE)</f>
        <v>#N/A</v>
      </c>
      <c r="B3956" s="112" t="e">
        <f>VLOOKUP('Informe Kelly'!A3950,Base!A:G,7,FALSE)</f>
        <v>#N/A</v>
      </c>
      <c r="C3956" s="112">
        <f>'Informe Kelly'!E3950</f>
        <v>0</v>
      </c>
      <c r="D3956" s="112" t="e">
        <f>VLOOKUP(A3956,Ingreso!K:P,6,FALSE)</f>
        <v>#N/A</v>
      </c>
      <c r="E3956" s="142" t="e">
        <f>(VLOOKUP(D3956,$D$2:$E$4,2,FALSE))-(IF('Informe Kelly'!H3950=$A$2,'Informe Kelly'!F3950,VLOOKUP(D3956,$D$2:$E$4,2,FALSE)))</f>
        <v>#N/A</v>
      </c>
      <c r="F3956" s="142" t="e">
        <f>IF('Informe Kelly'!H3950=$A$3,'Informe Kelly'!F3950,VLOOKUP(D3956,$D$2:$F$4,3,FALSE))-(VLOOKUP(D3956,$D$2:$F$4,3,FALSE))</f>
        <v>#N/A</v>
      </c>
      <c r="G3956" s="137" t="e">
        <f t="shared" si="65"/>
        <v>#N/A</v>
      </c>
    </row>
    <row r="3957" spans="1:7">
      <c r="A3957" s="112" t="e">
        <f>VLOOKUP('Informe Kelly'!A3951,Base!A:B,2,FALSE)</f>
        <v>#N/A</v>
      </c>
      <c r="B3957" s="112" t="e">
        <f>VLOOKUP('Informe Kelly'!A3951,Base!A:G,7,FALSE)</f>
        <v>#N/A</v>
      </c>
      <c r="C3957" s="112">
        <f>'Informe Kelly'!E3951</f>
        <v>0</v>
      </c>
      <c r="D3957" s="112" t="e">
        <f>VLOOKUP(A3957,Ingreso!K:P,6,FALSE)</f>
        <v>#N/A</v>
      </c>
      <c r="E3957" s="142" t="e">
        <f>(VLOOKUP(D3957,$D$2:$E$4,2,FALSE))-(IF('Informe Kelly'!H3951=$A$2,'Informe Kelly'!F3951,VLOOKUP(D3957,$D$2:$E$4,2,FALSE)))</f>
        <v>#N/A</v>
      </c>
      <c r="F3957" s="142" t="e">
        <f>IF('Informe Kelly'!H3951=$A$3,'Informe Kelly'!F3951,VLOOKUP(D3957,$D$2:$F$4,3,FALSE))-(VLOOKUP(D3957,$D$2:$F$4,3,FALSE))</f>
        <v>#N/A</v>
      </c>
      <c r="G3957" s="137" t="e">
        <f t="shared" si="65"/>
        <v>#N/A</v>
      </c>
    </row>
    <row r="3958" spans="1:7">
      <c r="A3958" s="112" t="e">
        <f>VLOOKUP('Informe Kelly'!A3952,Base!A:B,2,FALSE)</f>
        <v>#N/A</v>
      </c>
      <c r="B3958" s="112" t="e">
        <f>VLOOKUP('Informe Kelly'!A3952,Base!A:G,7,FALSE)</f>
        <v>#N/A</v>
      </c>
      <c r="C3958" s="112">
        <f>'Informe Kelly'!E3952</f>
        <v>0</v>
      </c>
      <c r="D3958" s="112" t="e">
        <f>VLOOKUP(A3958,Ingreso!K:P,6,FALSE)</f>
        <v>#N/A</v>
      </c>
      <c r="E3958" s="142" t="e">
        <f>(VLOOKUP(D3958,$D$2:$E$4,2,FALSE))-(IF('Informe Kelly'!H3952=$A$2,'Informe Kelly'!F3952,VLOOKUP(D3958,$D$2:$E$4,2,FALSE)))</f>
        <v>#N/A</v>
      </c>
      <c r="F3958" s="142" t="e">
        <f>IF('Informe Kelly'!H3952=$A$3,'Informe Kelly'!F3952,VLOOKUP(D3958,$D$2:$F$4,3,FALSE))-(VLOOKUP(D3958,$D$2:$F$4,3,FALSE))</f>
        <v>#N/A</v>
      </c>
      <c r="G3958" s="137" t="e">
        <f t="shared" si="65"/>
        <v>#N/A</v>
      </c>
    </row>
    <row r="3959" spans="1:7">
      <c r="A3959" s="112" t="e">
        <f>VLOOKUP('Informe Kelly'!A3953,Base!A:B,2,FALSE)</f>
        <v>#N/A</v>
      </c>
      <c r="B3959" s="112" t="e">
        <f>VLOOKUP('Informe Kelly'!A3953,Base!A:G,7,FALSE)</f>
        <v>#N/A</v>
      </c>
      <c r="C3959" s="112">
        <f>'Informe Kelly'!E3953</f>
        <v>0</v>
      </c>
      <c r="D3959" s="112" t="e">
        <f>VLOOKUP(A3959,Ingreso!K:P,6,FALSE)</f>
        <v>#N/A</v>
      </c>
      <c r="E3959" s="142" t="e">
        <f>(VLOOKUP(D3959,$D$2:$E$4,2,FALSE))-(IF('Informe Kelly'!H3953=$A$2,'Informe Kelly'!F3953,VLOOKUP(D3959,$D$2:$E$4,2,FALSE)))</f>
        <v>#N/A</v>
      </c>
      <c r="F3959" s="142" t="e">
        <f>IF('Informe Kelly'!H3953=$A$3,'Informe Kelly'!F3953,VLOOKUP(D3959,$D$2:$F$4,3,FALSE))-(VLOOKUP(D3959,$D$2:$F$4,3,FALSE))</f>
        <v>#N/A</v>
      </c>
      <c r="G3959" s="137" t="e">
        <f t="shared" si="65"/>
        <v>#N/A</v>
      </c>
    </row>
    <row r="3960" spans="1:7">
      <c r="A3960" s="112" t="e">
        <f>VLOOKUP('Informe Kelly'!A3954,Base!A:B,2,FALSE)</f>
        <v>#N/A</v>
      </c>
      <c r="B3960" s="112" t="e">
        <f>VLOOKUP('Informe Kelly'!A3954,Base!A:G,7,FALSE)</f>
        <v>#N/A</v>
      </c>
      <c r="C3960" s="112">
        <f>'Informe Kelly'!E3954</f>
        <v>0</v>
      </c>
      <c r="D3960" s="112" t="e">
        <f>VLOOKUP(A3960,Ingreso!K:P,6,FALSE)</f>
        <v>#N/A</v>
      </c>
      <c r="E3960" s="142" t="e">
        <f>(VLOOKUP(D3960,$D$2:$E$4,2,FALSE))-(IF('Informe Kelly'!H3954=$A$2,'Informe Kelly'!F3954,VLOOKUP(D3960,$D$2:$E$4,2,FALSE)))</f>
        <v>#N/A</v>
      </c>
      <c r="F3960" s="142" t="e">
        <f>IF('Informe Kelly'!H3954=$A$3,'Informe Kelly'!F3954,VLOOKUP(D3960,$D$2:$F$4,3,FALSE))-(VLOOKUP(D3960,$D$2:$F$4,3,FALSE))</f>
        <v>#N/A</v>
      </c>
      <c r="G3960" s="137" t="e">
        <f t="shared" si="65"/>
        <v>#N/A</v>
      </c>
    </row>
    <row r="3961" spans="1:7">
      <c r="A3961" s="112" t="e">
        <f>VLOOKUP('Informe Kelly'!A3955,Base!A:B,2,FALSE)</f>
        <v>#N/A</v>
      </c>
      <c r="B3961" s="112" t="e">
        <f>VLOOKUP('Informe Kelly'!A3955,Base!A:G,7,FALSE)</f>
        <v>#N/A</v>
      </c>
      <c r="C3961" s="112">
        <f>'Informe Kelly'!E3955</f>
        <v>0</v>
      </c>
      <c r="D3961" s="112" t="e">
        <f>VLOOKUP(A3961,Ingreso!K:P,6,FALSE)</f>
        <v>#N/A</v>
      </c>
      <c r="E3961" s="142" t="e">
        <f>(VLOOKUP(D3961,$D$2:$E$4,2,FALSE))-(IF('Informe Kelly'!H3955=$A$2,'Informe Kelly'!F3955,VLOOKUP(D3961,$D$2:$E$4,2,FALSE)))</f>
        <v>#N/A</v>
      </c>
      <c r="F3961" s="142" t="e">
        <f>IF('Informe Kelly'!H3955=$A$3,'Informe Kelly'!F3955,VLOOKUP(D3961,$D$2:$F$4,3,FALSE))-(VLOOKUP(D3961,$D$2:$F$4,3,FALSE))</f>
        <v>#N/A</v>
      </c>
      <c r="G3961" s="137" t="e">
        <f t="shared" si="65"/>
        <v>#N/A</v>
      </c>
    </row>
    <row r="3962" spans="1:7">
      <c r="A3962" s="112" t="e">
        <f>VLOOKUP('Informe Kelly'!A3956,Base!A:B,2,FALSE)</f>
        <v>#N/A</v>
      </c>
      <c r="B3962" s="112" t="e">
        <f>VLOOKUP('Informe Kelly'!A3956,Base!A:G,7,FALSE)</f>
        <v>#N/A</v>
      </c>
      <c r="C3962" s="112">
        <f>'Informe Kelly'!E3956</f>
        <v>0</v>
      </c>
      <c r="D3962" s="112" t="e">
        <f>VLOOKUP(A3962,Ingreso!K:P,6,FALSE)</f>
        <v>#N/A</v>
      </c>
      <c r="E3962" s="142" t="e">
        <f>(VLOOKUP(D3962,$D$2:$E$4,2,FALSE))-(IF('Informe Kelly'!H3956=$A$2,'Informe Kelly'!F3956,VLOOKUP(D3962,$D$2:$E$4,2,FALSE)))</f>
        <v>#N/A</v>
      </c>
      <c r="F3962" s="142" t="e">
        <f>IF('Informe Kelly'!H3956=$A$3,'Informe Kelly'!F3956,VLOOKUP(D3962,$D$2:$F$4,3,FALSE))-(VLOOKUP(D3962,$D$2:$F$4,3,FALSE))</f>
        <v>#N/A</v>
      </c>
      <c r="G3962" s="137" t="e">
        <f t="shared" si="65"/>
        <v>#N/A</v>
      </c>
    </row>
    <row r="3963" spans="1:7">
      <c r="A3963" s="112" t="e">
        <f>VLOOKUP('Informe Kelly'!A3957,Base!A:B,2,FALSE)</f>
        <v>#N/A</v>
      </c>
      <c r="B3963" s="112" t="e">
        <f>VLOOKUP('Informe Kelly'!A3957,Base!A:G,7,FALSE)</f>
        <v>#N/A</v>
      </c>
      <c r="C3963" s="112">
        <f>'Informe Kelly'!E3957</f>
        <v>0</v>
      </c>
      <c r="D3963" s="112" t="e">
        <f>VLOOKUP(A3963,Ingreso!K:P,6,FALSE)</f>
        <v>#N/A</v>
      </c>
      <c r="E3963" s="142" t="e">
        <f>(VLOOKUP(D3963,$D$2:$E$4,2,FALSE))-(IF('Informe Kelly'!H3957=$A$2,'Informe Kelly'!F3957,VLOOKUP(D3963,$D$2:$E$4,2,FALSE)))</f>
        <v>#N/A</v>
      </c>
      <c r="F3963" s="142" t="e">
        <f>IF('Informe Kelly'!H3957=$A$3,'Informe Kelly'!F3957,VLOOKUP(D3963,$D$2:$F$4,3,FALSE))-(VLOOKUP(D3963,$D$2:$F$4,3,FALSE))</f>
        <v>#N/A</v>
      </c>
      <c r="G3963" s="137" t="e">
        <f t="shared" si="65"/>
        <v>#N/A</v>
      </c>
    </row>
    <row r="3964" spans="1:7">
      <c r="A3964" s="112" t="e">
        <f>VLOOKUP('Informe Kelly'!A3958,Base!A:B,2,FALSE)</f>
        <v>#N/A</v>
      </c>
      <c r="B3964" s="112" t="e">
        <f>VLOOKUP('Informe Kelly'!A3958,Base!A:G,7,FALSE)</f>
        <v>#N/A</v>
      </c>
      <c r="C3964" s="112">
        <f>'Informe Kelly'!E3958</f>
        <v>0</v>
      </c>
      <c r="D3964" s="112" t="e">
        <f>VLOOKUP(A3964,Ingreso!K:P,6,FALSE)</f>
        <v>#N/A</v>
      </c>
      <c r="E3964" s="142" t="e">
        <f>(VLOOKUP(D3964,$D$2:$E$4,2,FALSE))-(IF('Informe Kelly'!H3958=$A$2,'Informe Kelly'!F3958,VLOOKUP(D3964,$D$2:$E$4,2,FALSE)))</f>
        <v>#N/A</v>
      </c>
      <c r="F3964" s="142" t="e">
        <f>IF('Informe Kelly'!H3958=$A$3,'Informe Kelly'!F3958,VLOOKUP(D3964,$D$2:$F$4,3,FALSE))-(VLOOKUP(D3964,$D$2:$F$4,3,FALSE))</f>
        <v>#N/A</v>
      </c>
      <c r="G3964" s="137" t="e">
        <f t="shared" si="65"/>
        <v>#N/A</v>
      </c>
    </row>
    <row r="3965" spans="1:7">
      <c r="A3965" s="112" t="e">
        <f>VLOOKUP('Informe Kelly'!A3959,Base!A:B,2,FALSE)</f>
        <v>#N/A</v>
      </c>
      <c r="B3965" s="112" t="e">
        <f>VLOOKUP('Informe Kelly'!A3959,Base!A:G,7,FALSE)</f>
        <v>#N/A</v>
      </c>
      <c r="C3965" s="112">
        <f>'Informe Kelly'!E3959</f>
        <v>0</v>
      </c>
      <c r="D3965" s="112" t="e">
        <f>VLOOKUP(A3965,Ingreso!K:P,6,FALSE)</f>
        <v>#N/A</v>
      </c>
      <c r="E3965" s="142" t="e">
        <f>(VLOOKUP(D3965,$D$2:$E$4,2,FALSE))-(IF('Informe Kelly'!H3959=$A$2,'Informe Kelly'!F3959,VLOOKUP(D3965,$D$2:$E$4,2,FALSE)))</f>
        <v>#N/A</v>
      </c>
      <c r="F3965" s="142" t="e">
        <f>IF('Informe Kelly'!H3959=$A$3,'Informe Kelly'!F3959,VLOOKUP(D3965,$D$2:$F$4,3,FALSE))-(VLOOKUP(D3965,$D$2:$F$4,3,FALSE))</f>
        <v>#N/A</v>
      </c>
      <c r="G3965" s="137" t="e">
        <f t="shared" si="65"/>
        <v>#N/A</v>
      </c>
    </row>
    <row r="3966" spans="1:7">
      <c r="A3966" s="112" t="e">
        <f>VLOOKUP('Informe Kelly'!A3960,Base!A:B,2,FALSE)</f>
        <v>#N/A</v>
      </c>
      <c r="B3966" s="112" t="e">
        <f>VLOOKUP('Informe Kelly'!A3960,Base!A:G,7,FALSE)</f>
        <v>#N/A</v>
      </c>
      <c r="C3966" s="112">
        <f>'Informe Kelly'!E3960</f>
        <v>0</v>
      </c>
      <c r="D3966" s="112" t="e">
        <f>VLOOKUP(A3966,Ingreso!K:P,6,FALSE)</f>
        <v>#N/A</v>
      </c>
      <c r="E3966" s="142" t="e">
        <f>(VLOOKUP(D3966,$D$2:$E$4,2,FALSE))-(IF('Informe Kelly'!H3960=$A$2,'Informe Kelly'!F3960,VLOOKUP(D3966,$D$2:$E$4,2,FALSE)))</f>
        <v>#N/A</v>
      </c>
      <c r="F3966" s="142" t="e">
        <f>IF('Informe Kelly'!H3960=$A$3,'Informe Kelly'!F3960,VLOOKUP(D3966,$D$2:$F$4,3,FALSE))-(VLOOKUP(D3966,$D$2:$F$4,3,FALSE))</f>
        <v>#N/A</v>
      </c>
      <c r="G3966" s="137" t="e">
        <f t="shared" si="65"/>
        <v>#N/A</v>
      </c>
    </row>
    <row r="3967" spans="1:7">
      <c r="A3967" s="112" t="e">
        <f>VLOOKUP('Informe Kelly'!A3961,Base!A:B,2,FALSE)</f>
        <v>#N/A</v>
      </c>
      <c r="B3967" s="112" t="e">
        <f>VLOOKUP('Informe Kelly'!A3961,Base!A:G,7,FALSE)</f>
        <v>#N/A</v>
      </c>
      <c r="C3967" s="112">
        <f>'Informe Kelly'!E3961</f>
        <v>0</v>
      </c>
      <c r="D3967" s="112" t="e">
        <f>VLOOKUP(A3967,Ingreso!K:P,6,FALSE)</f>
        <v>#N/A</v>
      </c>
      <c r="E3967" s="142" t="e">
        <f>(VLOOKUP(D3967,$D$2:$E$4,2,FALSE))-(IF('Informe Kelly'!H3961=$A$2,'Informe Kelly'!F3961,VLOOKUP(D3967,$D$2:$E$4,2,FALSE)))</f>
        <v>#N/A</v>
      </c>
      <c r="F3967" s="142" t="e">
        <f>IF('Informe Kelly'!H3961=$A$3,'Informe Kelly'!F3961,VLOOKUP(D3967,$D$2:$F$4,3,FALSE))-(VLOOKUP(D3967,$D$2:$F$4,3,FALSE))</f>
        <v>#N/A</v>
      </c>
      <c r="G3967" s="137" t="e">
        <f t="shared" si="65"/>
        <v>#N/A</v>
      </c>
    </row>
    <row r="3968" spans="1:7">
      <c r="A3968" s="112" t="e">
        <f>VLOOKUP('Informe Kelly'!A3962,Base!A:B,2,FALSE)</f>
        <v>#N/A</v>
      </c>
      <c r="B3968" s="112" t="e">
        <f>VLOOKUP('Informe Kelly'!A3962,Base!A:G,7,FALSE)</f>
        <v>#N/A</v>
      </c>
      <c r="C3968" s="112">
        <f>'Informe Kelly'!E3962</f>
        <v>0</v>
      </c>
      <c r="D3968" s="112" t="e">
        <f>VLOOKUP(A3968,Ingreso!K:P,6,FALSE)</f>
        <v>#N/A</v>
      </c>
      <c r="E3968" s="142" t="e">
        <f>(VLOOKUP(D3968,$D$2:$E$4,2,FALSE))-(IF('Informe Kelly'!H3962=$A$2,'Informe Kelly'!F3962,VLOOKUP(D3968,$D$2:$E$4,2,FALSE)))</f>
        <v>#N/A</v>
      </c>
      <c r="F3968" s="142" t="e">
        <f>IF('Informe Kelly'!H3962=$A$3,'Informe Kelly'!F3962,VLOOKUP(D3968,$D$2:$F$4,3,FALSE))-(VLOOKUP(D3968,$D$2:$F$4,3,FALSE))</f>
        <v>#N/A</v>
      </c>
      <c r="G3968" s="137" t="e">
        <f t="shared" si="65"/>
        <v>#N/A</v>
      </c>
    </row>
    <row r="3969" spans="1:7">
      <c r="A3969" s="112" t="e">
        <f>VLOOKUP('Informe Kelly'!A3963,Base!A:B,2,FALSE)</f>
        <v>#N/A</v>
      </c>
      <c r="B3969" s="112" t="e">
        <f>VLOOKUP('Informe Kelly'!A3963,Base!A:G,7,FALSE)</f>
        <v>#N/A</v>
      </c>
      <c r="C3969" s="112">
        <f>'Informe Kelly'!E3963</f>
        <v>0</v>
      </c>
      <c r="D3969" s="112" t="e">
        <f>VLOOKUP(A3969,Ingreso!K:P,6,FALSE)</f>
        <v>#N/A</v>
      </c>
      <c r="E3969" s="142" t="e">
        <f>(VLOOKUP(D3969,$D$2:$E$4,2,FALSE))-(IF('Informe Kelly'!H3963=$A$2,'Informe Kelly'!F3963,VLOOKUP(D3969,$D$2:$E$4,2,FALSE)))</f>
        <v>#N/A</v>
      </c>
      <c r="F3969" s="142" t="e">
        <f>IF('Informe Kelly'!H3963=$A$3,'Informe Kelly'!F3963,VLOOKUP(D3969,$D$2:$F$4,3,FALSE))-(VLOOKUP(D3969,$D$2:$F$4,3,FALSE))</f>
        <v>#N/A</v>
      </c>
      <c r="G3969" s="137" t="e">
        <f t="shared" si="65"/>
        <v>#N/A</v>
      </c>
    </row>
    <row r="3970" spans="1:7">
      <c r="A3970" s="112" t="e">
        <f>VLOOKUP('Informe Kelly'!A3964,Base!A:B,2,FALSE)</f>
        <v>#N/A</v>
      </c>
      <c r="B3970" s="112" t="e">
        <f>VLOOKUP('Informe Kelly'!A3964,Base!A:G,7,FALSE)</f>
        <v>#N/A</v>
      </c>
      <c r="C3970" s="112">
        <f>'Informe Kelly'!E3964</f>
        <v>0</v>
      </c>
      <c r="D3970" s="112" t="e">
        <f>VLOOKUP(A3970,Ingreso!K:P,6,FALSE)</f>
        <v>#N/A</v>
      </c>
      <c r="E3970" s="142" t="e">
        <f>(VLOOKUP(D3970,$D$2:$E$4,2,FALSE))-(IF('Informe Kelly'!H3964=$A$2,'Informe Kelly'!F3964,VLOOKUP(D3970,$D$2:$E$4,2,FALSE)))</f>
        <v>#N/A</v>
      </c>
      <c r="F3970" s="142" t="e">
        <f>IF('Informe Kelly'!H3964=$A$3,'Informe Kelly'!F3964,VLOOKUP(D3970,$D$2:$F$4,3,FALSE))-(VLOOKUP(D3970,$D$2:$F$4,3,FALSE))</f>
        <v>#N/A</v>
      </c>
      <c r="G3970" s="137" t="e">
        <f t="shared" si="65"/>
        <v>#N/A</v>
      </c>
    </row>
    <row r="3971" spans="1:7">
      <c r="A3971" s="112" t="e">
        <f>VLOOKUP('Informe Kelly'!A3965,Base!A:B,2,FALSE)</f>
        <v>#N/A</v>
      </c>
      <c r="B3971" s="112" t="e">
        <f>VLOOKUP('Informe Kelly'!A3965,Base!A:G,7,FALSE)</f>
        <v>#N/A</v>
      </c>
      <c r="C3971" s="112">
        <f>'Informe Kelly'!E3965</f>
        <v>0</v>
      </c>
      <c r="D3971" s="112" t="e">
        <f>VLOOKUP(A3971,Ingreso!K:P,6,FALSE)</f>
        <v>#N/A</v>
      </c>
      <c r="E3971" s="142" t="e">
        <f>(VLOOKUP(D3971,$D$2:$E$4,2,FALSE))-(IF('Informe Kelly'!H3965=$A$2,'Informe Kelly'!F3965,VLOOKUP(D3971,$D$2:$E$4,2,FALSE)))</f>
        <v>#N/A</v>
      </c>
      <c r="F3971" s="142" t="e">
        <f>IF('Informe Kelly'!H3965=$A$3,'Informe Kelly'!F3965,VLOOKUP(D3971,$D$2:$F$4,3,FALSE))-(VLOOKUP(D3971,$D$2:$F$4,3,FALSE))</f>
        <v>#N/A</v>
      </c>
      <c r="G3971" s="137" t="e">
        <f t="shared" si="65"/>
        <v>#N/A</v>
      </c>
    </row>
    <row r="3972" spans="1:7">
      <c r="A3972" s="112" t="e">
        <f>VLOOKUP('Informe Kelly'!A3966,Base!A:B,2,FALSE)</f>
        <v>#N/A</v>
      </c>
      <c r="B3972" s="112" t="e">
        <f>VLOOKUP('Informe Kelly'!A3966,Base!A:G,7,FALSE)</f>
        <v>#N/A</v>
      </c>
      <c r="C3972" s="112">
        <f>'Informe Kelly'!E3966</f>
        <v>0</v>
      </c>
      <c r="D3972" s="112" t="e">
        <f>VLOOKUP(A3972,Ingreso!K:P,6,FALSE)</f>
        <v>#N/A</v>
      </c>
      <c r="E3972" s="142" t="e">
        <f>(VLOOKUP(D3972,$D$2:$E$4,2,FALSE))-(IF('Informe Kelly'!H3966=$A$2,'Informe Kelly'!F3966,VLOOKUP(D3972,$D$2:$E$4,2,FALSE)))</f>
        <v>#N/A</v>
      </c>
      <c r="F3972" s="142" t="e">
        <f>IF('Informe Kelly'!H3966=$A$3,'Informe Kelly'!F3966,VLOOKUP(D3972,$D$2:$F$4,3,FALSE))-(VLOOKUP(D3972,$D$2:$F$4,3,FALSE))</f>
        <v>#N/A</v>
      </c>
      <c r="G3972" s="137" t="e">
        <f t="shared" si="65"/>
        <v>#N/A</v>
      </c>
    </row>
    <row r="3973" spans="1:7">
      <c r="A3973" s="112" t="e">
        <f>VLOOKUP('Informe Kelly'!A3967,Base!A:B,2,FALSE)</f>
        <v>#N/A</v>
      </c>
      <c r="B3973" s="112" t="e">
        <f>VLOOKUP('Informe Kelly'!A3967,Base!A:G,7,FALSE)</f>
        <v>#N/A</v>
      </c>
      <c r="C3973" s="112">
        <f>'Informe Kelly'!E3967</f>
        <v>0</v>
      </c>
      <c r="D3973" s="112" t="e">
        <f>VLOOKUP(A3973,Ingreso!K:P,6,FALSE)</f>
        <v>#N/A</v>
      </c>
      <c r="E3973" s="142" t="e">
        <f>(VLOOKUP(D3973,$D$2:$E$4,2,FALSE))-(IF('Informe Kelly'!H3967=$A$2,'Informe Kelly'!F3967,VLOOKUP(D3973,$D$2:$E$4,2,FALSE)))</f>
        <v>#N/A</v>
      </c>
      <c r="F3973" s="142" t="e">
        <f>IF('Informe Kelly'!H3967=$A$3,'Informe Kelly'!F3967,VLOOKUP(D3973,$D$2:$F$4,3,FALSE))-(VLOOKUP(D3973,$D$2:$F$4,3,FALSE))</f>
        <v>#N/A</v>
      </c>
      <c r="G3973" s="137" t="e">
        <f t="shared" si="65"/>
        <v>#N/A</v>
      </c>
    </row>
    <row r="3974" spans="1:7">
      <c r="A3974" s="112" t="e">
        <f>VLOOKUP('Informe Kelly'!A3968,Base!A:B,2,FALSE)</f>
        <v>#N/A</v>
      </c>
      <c r="B3974" s="112" t="e">
        <f>VLOOKUP('Informe Kelly'!A3968,Base!A:G,7,FALSE)</f>
        <v>#N/A</v>
      </c>
      <c r="C3974" s="112">
        <f>'Informe Kelly'!E3968</f>
        <v>0</v>
      </c>
      <c r="D3974" s="112" t="e">
        <f>VLOOKUP(A3974,Ingreso!K:P,6,FALSE)</f>
        <v>#N/A</v>
      </c>
      <c r="E3974" s="142" t="e">
        <f>(VLOOKUP(D3974,$D$2:$E$4,2,FALSE))-(IF('Informe Kelly'!H3968=$A$2,'Informe Kelly'!F3968,VLOOKUP(D3974,$D$2:$E$4,2,FALSE)))</f>
        <v>#N/A</v>
      </c>
      <c r="F3974" s="142" t="e">
        <f>IF('Informe Kelly'!H3968=$A$3,'Informe Kelly'!F3968,VLOOKUP(D3974,$D$2:$F$4,3,FALSE))-(VLOOKUP(D3974,$D$2:$F$4,3,FALSE))</f>
        <v>#N/A</v>
      </c>
      <c r="G3974" s="137" t="e">
        <f t="shared" si="65"/>
        <v>#N/A</v>
      </c>
    </row>
    <row r="3975" spans="1:7">
      <c r="A3975" s="112" t="e">
        <f>VLOOKUP('Informe Kelly'!A3969,Base!A:B,2,FALSE)</f>
        <v>#N/A</v>
      </c>
      <c r="B3975" s="112" t="e">
        <f>VLOOKUP('Informe Kelly'!A3969,Base!A:G,7,FALSE)</f>
        <v>#N/A</v>
      </c>
      <c r="C3975" s="112">
        <f>'Informe Kelly'!E3969</f>
        <v>0</v>
      </c>
      <c r="D3975" s="112" t="e">
        <f>VLOOKUP(A3975,Ingreso!K:P,6,FALSE)</f>
        <v>#N/A</v>
      </c>
      <c r="E3975" s="142" t="e">
        <f>(VLOOKUP(D3975,$D$2:$E$4,2,FALSE))-(IF('Informe Kelly'!H3969=$A$2,'Informe Kelly'!F3969,VLOOKUP(D3975,$D$2:$E$4,2,FALSE)))</f>
        <v>#N/A</v>
      </c>
      <c r="F3975" s="142" t="e">
        <f>IF('Informe Kelly'!H3969=$A$3,'Informe Kelly'!F3969,VLOOKUP(D3975,$D$2:$F$4,3,FALSE))-(VLOOKUP(D3975,$D$2:$F$4,3,FALSE))</f>
        <v>#N/A</v>
      </c>
      <c r="G3975" s="137" t="e">
        <f t="shared" si="65"/>
        <v>#N/A</v>
      </c>
    </row>
    <row r="3976" spans="1:7">
      <c r="A3976" s="112" t="e">
        <f>VLOOKUP('Informe Kelly'!A3970,Base!A:B,2,FALSE)</f>
        <v>#N/A</v>
      </c>
      <c r="B3976" s="112" t="e">
        <f>VLOOKUP('Informe Kelly'!A3970,Base!A:G,7,FALSE)</f>
        <v>#N/A</v>
      </c>
      <c r="C3976" s="112">
        <f>'Informe Kelly'!E3970</f>
        <v>0</v>
      </c>
      <c r="D3976" s="112" t="e">
        <f>VLOOKUP(A3976,Ingreso!K:P,6,FALSE)</f>
        <v>#N/A</v>
      </c>
      <c r="E3976" s="142" t="e">
        <f>(VLOOKUP(D3976,$D$2:$E$4,2,FALSE))-(IF('Informe Kelly'!H3970=$A$2,'Informe Kelly'!F3970,VLOOKUP(D3976,$D$2:$E$4,2,FALSE)))</f>
        <v>#N/A</v>
      </c>
      <c r="F3976" s="142" t="e">
        <f>IF('Informe Kelly'!H3970=$A$3,'Informe Kelly'!F3970,VLOOKUP(D3976,$D$2:$F$4,3,FALSE))-(VLOOKUP(D3976,$D$2:$F$4,3,FALSE))</f>
        <v>#N/A</v>
      </c>
      <c r="G3976" s="137" t="e">
        <f t="shared" si="65"/>
        <v>#N/A</v>
      </c>
    </row>
    <row r="3977" spans="1:7">
      <c r="A3977" s="112" t="e">
        <f>VLOOKUP('Informe Kelly'!A3971,Base!A:B,2,FALSE)</f>
        <v>#N/A</v>
      </c>
      <c r="B3977" s="112" t="e">
        <f>VLOOKUP('Informe Kelly'!A3971,Base!A:G,7,FALSE)</f>
        <v>#N/A</v>
      </c>
      <c r="C3977" s="112">
        <f>'Informe Kelly'!E3971</f>
        <v>0</v>
      </c>
      <c r="D3977" s="112" t="e">
        <f>VLOOKUP(A3977,Ingreso!K:P,6,FALSE)</f>
        <v>#N/A</v>
      </c>
      <c r="E3977" s="142" t="e">
        <f>(VLOOKUP(D3977,$D$2:$E$4,2,FALSE))-(IF('Informe Kelly'!H3971=$A$2,'Informe Kelly'!F3971,VLOOKUP(D3977,$D$2:$E$4,2,FALSE)))</f>
        <v>#N/A</v>
      </c>
      <c r="F3977" s="142" t="e">
        <f>IF('Informe Kelly'!H3971=$A$3,'Informe Kelly'!F3971,VLOOKUP(D3977,$D$2:$F$4,3,FALSE))-(VLOOKUP(D3977,$D$2:$F$4,3,FALSE))</f>
        <v>#N/A</v>
      </c>
      <c r="G3977" s="137" t="e">
        <f t="shared" ref="G3977:G4040" si="66">IF(E3977="",IF(F3977&lt;0.0409722222222222,0,E3977),IF(E3977&lt;0.0409722222222222,0,E3977))</f>
        <v>#N/A</v>
      </c>
    </row>
    <row r="3978" spans="1:7">
      <c r="A3978" s="112" t="e">
        <f>VLOOKUP('Informe Kelly'!A3972,Base!A:B,2,FALSE)</f>
        <v>#N/A</v>
      </c>
      <c r="B3978" s="112" t="e">
        <f>VLOOKUP('Informe Kelly'!A3972,Base!A:G,7,FALSE)</f>
        <v>#N/A</v>
      </c>
      <c r="C3978" s="112">
        <f>'Informe Kelly'!E3972</f>
        <v>0</v>
      </c>
      <c r="D3978" s="112" t="e">
        <f>VLOOKUP(A3978,Ingreso!K:P,6,FALSE)</f>
        <v>#N/A</v>
      </c>
      <c r="E3978" s="142" t="e">
        <f>(VLOOKUP(D3978,$D$2:$E$4,2,FALSE))-(IF('Informe Kelly'!H3972=$A$2,'Informe Kelly'!F3972,VLOOKUP(D3978,$D$2:$E$4,2,FALSE)))</f>
        <v>#N/A</v>
      </c>
      <c r="F3978" s="142" t="e">
        <f>IF('Informe Kelly'!H3972=$A$3,'Informe Kelly'!F3972,VLOOKUP(D3978,$D$2:$F$4,3,FALSE))-(VLOOKUP(D3978,$D$2:$F$4,3,FALSE))</f>
        <v>#N/A</v>
      </c>
      <c r="G3978" s="137" t="e">
        <f t="shared" si="66"/>
        <v>#N/A</v>
      </c>
    </row>
    <row r="3979" spans="1:7">
      <c r="A3979" s="112" t="e">
        <f>VLOOKUP('Informe Kelly'!A3973,Base!A:B,2,FALSE)</f>
        <v>#N/A</v>
      </c>
      <c r="B3979" s="112" t="e">
        <f>VLOOKUP('Informe Kelly'!A3973,Base!A:G,7,FALSE)</f>
        <v>#N/A</v>
      </c>
      <c r="C3979" s="112">
        <f>'Informe Kelly'!E3973</f>
        <v>0</v>
      </c>
      <c r="D3979" s="112" t="e">
        <f>VLOOKUP(A3979,Ingreso!K:P,6,FALSE)</f>
        <v>#N/A</v>
      </c>
      <c r="E3979" s="142" t="e">
        <f>(VLOOKUP(D3979,$D$2:$E$4,2,FALSE))-(IF('Informe Kelly'!H3973=$A$2,'Informe Kelly'!F3973,VLOOKUP(D3979,$D$2:$E$4,2,FALSE)))</f>
        <v>#N/A</v>
      </c>
      <c r="F3979" s="142" t="e">
        <f>IF('Informe Kelly'!H3973=$A$3,'Informe Kelly'!F3973,VLOOKUP(D3979,$D$2:$F$4,3,FALSE))-(VLOOKUP(D3979,$D$2:$F$4,3,FALSE))</f>
        <v>#N/A</v>
      </c>
      <c r="G3979" s="137" t="e">
        <f t="shared" si="66"/>
        <v>#N/A</v>
      </c>
    </row>
    <row r="3980" spans="1:7">
      <c r="A3980" s="112" t="e">
        <f>VLOOKUP('Informe Kelly'!A3974,Base!A:B,2,FALSE)</f>
        <v>#N/A</v>
      </c>
      <c r="B3980" s="112" t="e">
        <f>VLOOKUP('Informe Kelly'!A3974,Base!A:G,7,FALSE)</f>
        <v>#N/A</v>
      </c>
      <c r="C3980" s="112">
        <f>'Informe Kelly'!E3974</f>
        <v>0</v>
      </c>
      <c r="D3980" s="112" t="e">
        <f>VLOOKUP(A3980,Ingreso!K:P,6,FALSE)</f>
        <v>#N/A</v>
      </c>
      <c r="E3980" s="142" t="e">
        <f>(VLOOKUP(D3980,$D$2:$E$4,2,FALSE))-(IF('Informe Kelly'!H3974=$A$2,'Informe Kelly'!F3974,VLOOKUP(D3980,$D$2:$E$4,2,FALSE)))</f>
        <v>#N/A</v>
      </c>
      <c r="F3980" s="142" t="e">
        <f>IF('Informe Kelly'!H3974=$A$3,'Informe Kelly'!F3974,VLOOKUP(D3980,$D$2:$F$4,3,FALSE))-(VLOOKUP(D3980,$D$2:$F$4,3,FALSE))</f>
        <v>#N/A</v>
      </c>
      <c r="G3980" s="137" t="e">
        <f t="shared" si="66"/>
        <v>#N/A</v>
      </c>
    </row>
    <row r="3981" spans="1:7">
      <c r="A3981" s="112" t="e">
        <f>VLOOKUP('Informe Kelly'!A3975,Base!A:B,2,FALSE)</f>
        <v>#N/A</v>
      </c>
      <c r="B3981" s="112" t="e">
        <f>VLOOKUP('Informe Kelly'!A3975,Base!A:G,7,FALSE)</f>
        <v>#N/A</v>
      </c>
      <c r="C3981" s="112">
        <f>'Informe Kelly'!E3975</f>
        <v>0</v>
      </c>
      <c r="D3981" s="112" t="e">
        <f>VLOOKUP(A3981,Ingreso!K:P,6,FALSE)</f>
        <v>#N/A</v>
      </c>
      <c r="E3981" s="142" t="e">
        <f>(VLOOKUP(D3981,$D$2:$E$4,2,FALSE))-(IF('Informe Kelly'!H3975=$A$2,'Informe Kelly'!F3975,VLOOKUP(D3981,$D$2:$E$4,2,FALSE)))</f>
        <v>#N/A</v>
      </c>
      <c r="F3981" s="142" t="e">
        <f>IF('Informe Kelly'!H3975=$A$3,'Informe Kelly'!F3975,VLOOKUP(D3981,$D$2:$F$4,3,FALSE))-(VLOOKUP(D3981,$D$2:$F$4,3,FALSE))</f>
        <v>#N/A</v>
      </c>
      <c r="G3981" s="137" t="e">
        <f t="shared" si="66"/>
        <v>#N/A</v>
      </c>
    </row>
    <row r="3982" spans="1:7">
      <c r="A3982" s="112" t="e">
        <f>VLOOKUP('Informe Kelly'!A3976,Base!A:B,2,FALSE)</f>
        <v>#N/A</v>
      </c>
      <c r="B3982" s="112" t="e">
        <f>VLOOKUP('Informe Kelly'!A3976,Base!A:G,7,FALSE)</f>
        <v>#N/A</v>
      </c>
      <c r="C3982" s="112">
        <f>'Informe Kelly'!E3976</f>
        <v>0</v>
      </c>
      <c r="D3982" s="112" t="e">
        <f>VLOOKUP(A3982,Ingreso!K:P,6,FALSE)</f>
        <v>#N/A</v>
      </c>
      <c r="E3982" s="142" t="e">
        <f>(VLOOKUP(D3982,$D$2:$E$4,2,FALSE))-(IF('Informe Kelly'!H3976=$A$2,'Informe Kelly'!F3976,VLOOKUP(D3982,$D$2:$E$4,2,FALSE)))</f>
        <v>#N/A</v>
      </c>
      <c r="F3982" s="142" t="e">
        <f>IF('Informe Kelly'!H3976=$A$3,'Informe Kelly'!F3976,VLOOKUP(D3982,$D$2:$F$4,3,FALSE))-(VLOOKUP(D3982,$D$2:$F$4,3,FALSE))</f>
        <v>#N/A</v>
      </c>
      <c r="G3982" s="137" t="e">
        <f t="shared" si="66"/>
        <v>#N/A</v>
      </c>
    </row>
    <row r="3983" spans="1:7">
      <c r="A3983" s="112" t="e">
        <f>VLOOKUP('Informe Kelly'!A3977,Base!A:B,2,FALSE)</f>
        <v>#N/A</v>
      </c>
      <c r="B3983" s="112" t="e">
        <f>VLOOKUP('Informe Kelly'!A3977,Base!A:G,7,FALSE)</f>
        <v>#N/A</v>
      </c>
      <c r="C3983" s="112">
        <f>'Informe Kelly'!E3977</f>
        <v>0</v>
      </c>
      <c r="D3983" s="112" t="e">
        <f>VLOOKUP(A3983,Ingreso!K:P,6,FALSE)</f>
        <v>#N/A</v>
      </c>
      <c r="E3983" s="142" t="e">
        <f>(VLOOKUP(D3983,$D$2:$E$4,2,FALSE))-(IF('Informe Kelly'!H3977=$A$2,'Informe Kelly'!F3977,VLOOKUP(D3983,$D$2:$E$4,2,FALSE)))</f>
        <v>#N/A</v>
      </c>
      <c r="F3983" s="142" t="e">
        <f>IF('Informe Kelly'!H3977=$A$3,'Informe Kelly'!F3977,VLOOKUP(D3983,$D$2:$F$4,3,FALSE))-(VLOOKUP(D3983,$D$2:$F$4,3,FALSE))</f>
        <v>#N/A</v>
      </c>
      <c r="G3983" s="137" t="e">
        <f t="shared" si="66"/>
        <v>#N/A</v>
      </c>
    </row>
    <row r="3984" spans="1:7">
      <c r="A3984" s="112" t="e">
        <f>VLOOKUP('Informe Kelly'!A3978,Base!A:B,2,FALSE)</f>
        <v>#N/A</v>
      </c>
      <c r="B3984" s="112" t="e">
        <f>VLOOKUP('Informe Kelly'!A3978,Base!A:G,7,FALSE)</f>
        <v>#N/A</v>
      </c>
      <c r="C3984" s="112">
        <f>'Informe Kelly'!E3978</f>
        <v>0</v>
      </c>
      <c r="D3984" s="112" t="e">
        <f>VLOOKUP(A3984,Ingreso!K:P,6,FALSE)</f>
        <v>#N/A</v>
      </c>
      <c r="E3984" s="142" t="e">
        <f>(VLOOKUP(D3984,$D$2:$E$4,2,FALSE))-(IF('Informe Kelly'!H3978=$A$2,'Informe Kelly'!F3978,VLOOKUP(D3984,$D$2:$E$4,2,FALSE)))</f>
        <v>#N/A</v>
      </c>
      <c r="F3984" s="142" t="e">
        <f>IF('Informe Kelly'!H3978=$A$3,'Informe Kelly'!F3978,VLOOKUP(D3984,$D$2:$F$4,3,FALSE))-(VLOOKUP(D3984,$D$2:$F$4,3,FALSE))</f>
        <v>#N/A</v>
      </c>
      <c r="G3984" s="137" t="e">
        <f t="shared" si="66"/>
        <v>#N/A</v>
      </c>
    </row>
    <row r="3985" spans="1:7">
      <c r="A3985" s="112" t="e">
        <f>VLOOKUP('Informe Kelly'!A3979,Base!A:B,2,FALSE)</f>
        <v>#N/A</v>
      </c>
      <c r="B3985" s="112" t="e">
        <f>VLOOKUP('Informe Kelly'!A3979,Base!A:G,7,FALSE)</f>
        <v>#N/A</v>
      </c>
      <c r="C3985" s="112">
        <f>'Informe Kelly'!E3979</f>
        <v>0</v>
      </c>
      <c r="D3985" s="112" t="e">
        <f>VLOOKUP(A3985,Ingreso!K:P,6,FALSE)</f>
        <v>#N/A</v>
      </c>
      <c r="E3985" s="142" t="e">
        <f>(VLOOKUP(D3985,$D$2:$E$4,2,FALSE))-(IF('Informe Kelly'!H3979=$A$2,'Informe Kelly'!F3979,VLOOKUP(D3985,$D$2:$E$4,2,FALSE)))</f>
        <v>#N/A</v>
      </c>
      <c r="F3985" s="142" t="e">
        <f>IF('Informe Kelly'!H3979=$A$3,'Informe Kelly'!F3979,VLOOKUP(D3985,$D$2:$F$4,3,FALSE))-(VLOOKUP(D3985,$D$2:$F$4,3,FALSE))</f>
        <v>#N/A</v>
      </c>
      <c r="G3985" s="137" t="e">
        <f t="shared" si="66"/>
        <v>#N/A</v>
      </c>
    </row>
    <row r="3986" spans="1:7">
      <c r="A3986" s="112" t="e">
        <f>VLOOKUP('Informe Kelly'!A3980,Base!A:B,2,FALSE)</f>
        <v>#N/A</v>
      </c>
      <c r="B3986" s="112" t="e">
        <f>VLOOKUP('Informe Kelly'!A3980,Base!A:G,7,FALSE)</f>
        <v>#N/A</v>
      </c>
      <c r="C3986" s="112">
        <f>'Informe Kelly'!E3980</f>
        <v>0</v>
      </c>
      <c r="D3986" s="112" t="e">
        <f>VLOOKUP(A3986,Ingreso!K:P,6,FALSE)</f>
        <v>#N/A</v>
      </c>
      <c r="E3986" s="142" t="e">
        <f>(VLOOKUP(D3986,$D$2:$E$4,2,FALSE))-(IF('Informe Kelly'!H3980=$A$2,'Informe Kelly'!F3980,VLOOKUP(D3986,$D$2:$E$4,2,FALSE)))</f>
        <v>#N/A</v>
      </c>
      <c r="F3986" s="142" t="e">
        <f>IF('Informe Kelly'!H3980=$A$3,'Informe Kelly'!F3980,VLOOKUP(D3986,$D$2:$F$4,3,FALSE))-(VLOOKUP(D3986,$D$2:$F$4,3,FALSE))</f>
        <v>#N/A</v>
      </c>
      <c r="G3986" s="137" t="e">
        <f t="shared" si="66"/>
        <v>#N/A</v>
      </c>
    </row>
    <row r="3987" spans="1:7">
      <c r="A3987" s="112" t="e">
        <f>VLOOKUP('Informe Kelly'!A3981,Base!A:B,2,FALSE)</f>
        <v>#N/A</v>
      </c>
      <c r="B3987" s="112" t="e">
        <f>VLOOKUP('Informe Kelly'!A3981,Base!A:G,7,FALSE)</f>
        <v>#N/A</v>
      </c>
      <c r="C3987" s="112">
        <f>'Informe Kelly'!E3981</f>
        <v>0</v>
      </c>
      <c r="D3987" s="112" t="e">
        <f>VLOOKUP(A3987,Ingreso!K:P,6,FALSE)</f>
        <v>#N/A</v>
      </c>
      <c r="E3987" s="142" t="e">
        <f>(VLOOKUP(D3987,$D$2:$E$4,2,FALSE))-(IF('Informe Kelly'!H3981=$A$2,'Informe Kelly'!F3981,VLOOKUP(D3987,$D$2:$E$4,2,FALSE)))</f>
        <v>#N/A</v>
      </c>
      <c r="F3987" s="142" t="e">
        <f>IF('Informe Kelly'!H3981=$A$3,'Informe Kelly'!F3981,VLOOKUP(D3987,$D$2:$F$4,3,FALSE))-(VLOOKUP(D3987,$D$2:$F$4,3,FALSE))</f>
        <v>#N/A</v>
      </c>
      <c r="G3987" s="137" t="e">
        <f t="shared" si="66"/>
        <v>#N/A</v>
      </c>
    </row>
    <row r="3988" spans="1:7">
      <c r="A3988" s="112" t="e">
        <f>VLOOKUP('Informe Kelly'!A3982,Base!A:B,2,FALSE)</f>
        <v>#N/A</v>
      </c>
      <c r="B3988" s="112" t="e">
        <f>VLOOKUP('Informe Kelly'!A3982,Base!A:G,7,FALSE)</f>
        <v>#N/A</v>
      </c>
      <c r="C3988" s="112">
        <f>'Informe Kelly'!E3982</f>
        <v>0</v>
      </c>
      <c r="D3988" s="112" t="e">
        <f>VLOOKUP(A3988,Ingreso!K:P,6,FALSE)</f>
        <v>#N/A</v>
      </c>
      <c r="E3988" s="142" t="e">
        <f>(VLOOKUP(D3988,$D$2:$E$4,2,FALSE))-(IF('Informe Kelly'!H3982=$A$2,'Informe Kelly'!F3982,VLOOKUP(D3988,$D$2:$E$4,2,FALSE)))</f>
        <v>#N/A</v>
      </c>
      <c r="F3988" s="142" t="e">
        <f>IF('Informe Kelly'!H3982=$A$3,'Informe Kelly'!F3982,VLOOKUP(D3988,$D$2:$F$4,3,FALSE))-(VLOOKUP(D3988,$D$2:$F$4,3,FALSE))</f>
        <v>#N/A</v>
      </c>
      <c r="G3988" s="137" t="e">
        <f t="shared" si="66"/>
        <v>#N/A</v>
      </c>
    </row>
    <row r="3989" spans="1:7">
      <c r="A3989" s="112" t="e">
        <f>VLOOKUP('Informe Kelly'!A3983,Base!A:B,2,FALSE)</f>
        <v>#N/A</v>
      </c>
      <c r="B3989" s="112" t="e">
        <f>VLOOKUP('Informe Kelly'!A3983,Base!A:G,7,FALSE)</f>
        <v>#N/A</v>
      </c>
      <c r="C3989" s="112">
        <f>'Informe Kelly'!E3983</f>
        <v>0</v>
      </c>
      <c r="D3989" s="112" t="e">
        <f>VLOOKUP(A3989,Ingreso!K:P,6,FALSE)</f>
        <v>#N/A</v>
      </c>
      <c r="E3989" s="142" t="e">
        <f>(VLOOKUP(D3989,$D$2:$E$4,2,FALSE))-(IF('Informe Kelly'!H3983=$A$2,'Informe Kelly'!F3983,VLOOKUP(D3989,$D$2:$E$4,2,FALSE)))</f>
        <v>#N/A</v>
      </c>
      <c r="F3989" s="142" t="e">
        <f>IF('Informe Kelly'!H3983=$A$3,'Informe Kelly'!F3983,VLOOKUP(D3989,$D$2:$F$4,3,FALSE))-(VLOOKUP(D3989,$D$2:$F$4,3,FALSE))</f>
        <v>#N/A</v>
      </c>
      <c r="G3989" s="137" t="e">
        <f t="shared" si="66"/>
        <v>#N/A</v>
      </c>
    </row>
    <row r="3990" spans="1:7">
      <c r="A3990" s="112" t="e">
        <f>VLOOKUP('Informe Kelly'!A3984,Base!A:B,2,FALSE)</f>
        <v>#N/A</v>
      </c>
      <c r="B3990" s="112" t="e">
        <f>VLOOKUP('Informe Kelly'!A3984,Base!A:G,7,FALSE)</f>
        <v>#N/A</v>
      </c>
      <c r="C3990" s="112">
        <f>'Informe Kelly'!E3984</f>
        <v>0</v>
      </c>
      <c r="D3990" s="112" t="e">
        <f>VLOOKUP(A3990,Ingreso!K:P,6,FALSE)</f>
        <v>#N/A</v>
      </c>
      <c r="E3990" s="142" t="e">
        <f>(VLOOKUP(D3990,$D$2:$E$4,2,FALSE))-(IF('Informe Kelly'!H3984=$A$2,'Informe Kelly'!F3984,VLOOKUP(D3990,$D$2:$E$4,2,FALSE)))</f>
        <v>#N/A</v>
      </c>
      <c r="F3990" s="142" t="e">
        <f>IF('Informe Kelly'!H3984=$A$3,'Informe Kelly'!F3984,VLOOKUP(D3990,$D$2:$F$4,3,FALSE))-(VLOOKUP(D3990,$D$2:$F$4,3,FALSE))</f>
        <v>#N/A</v>
      </c>
      <c r="G3990" s="137" t="e">
        <f t="shared" si="66"/>
        <v>#N/A</v>
      </c>
    </row>
    <row r="3991" spans="1:7">
      <c r="A3991" s="112" t="e">
        <f>VLOOKUP('Informe Kelly'!A3985,Base!A:B,2,FALSE)</f>
        <v>#N/A</v>
      </c>
      <c r="B3991" s="112" t="e">
        <f>VLOOKUP('Informe Kelly'!A3985,Base!A:G,7,FALSE)</f>
        <v>#N/A</v>
      </c>
      <c r="C3991" s="112">
        <f>'Informe Kelly'!E3985</f>
        <v>0</v>
      </c>
      <c r="D3991" s="112" t="e">
        <f>VLOOKUP(A3991,Ingreso!K:P,6,FALSE)</f>
        <v>#N/A</v>
      </c>
      <c r="E3991" s="142" t="e">
        <f>(VLOOKUP(D3991,$D$2:$E$4,2,FALSE))-(IF('Informe Kelly'!H3985=$A$2,'Informe Kelly'!F3985,VLOOKUP(D3991,$D$2:$E$4,2,FALSE)))</f>
        <v>#N/A</v>
      </c>
      <c r="F3991" s="142" t="e">
        <f>IF('Informe Kelly'!H3985=$A$3,'Informe Kelly'!F3985,VLOOKUP(D3991,$D$2:$F$4,3,FALSE))-(VLOOKUP(D3991,$D$2:$F$4,3,FALSE))</f>
        <v>#N/A</v>
      </c>
      <c r="G3991" s="137" t="e">
        <f t="shared" si="66"/>
        <v>#N/A</v>
      </c>
    </row>
    <row r="3992" spans="1:7">
      <c r="A3992" s="112" t="e">
        <f>VLOOKUP('Informe Kelly'!A3986,Base!A:B,2,FALSE)</f>
        <v>#N/A</v>
      </c>
      <c r="B3992" s="112" t="e">
        <f>VLOOKUP('Informe Kelly'!A3986,Base!A:G,7,FALSE)</f>
        <v>#N/A</v>
      </c>
      <c r="C3992" s="112">
        <f>'Informe Kelly'!E3986</f>
        <v>0</v>
      </c>
      <c r="D3992" s="112" t="e">
        <f>VLOOKUP(A3992,Ingreso!K:P,6,FALSE)</f>
        <v>#N/A</v>
      </c>
      <c r="E3992" s="142" t="e">
        <f>(VLOOKUP(D3992,$D$2:$E$4,2,FALSE))-(IF('Informe Kelly'!H3986=$A$2,'Informe Kelly'!F3986,VLOOKUP(D3992,$D$2:$E$4,2,FALSE)))</f>
        <v>#N/A</v>
      </c>
      <c r="F3992" s="142" t="e">
        <f>IF('Informe Kelly'!H3986=$A$3,'Informe Kelly'!F3986,VLOOKUP(D3992,$D$2:$F$4,3,FALSE))-(VLOOKUP(D3992,$D$2:$F$4,3,FALSE))</f>
        <v>#N/A</v>
      </c>
      <c r="G3992" s="137" t="e">
        <f t="shared" si="66"/>
        <v>#N/A</v>
      </c>
    </row>
    <row r="3993" spans="1:7">
      <c r="A3993" s="112" t="e">
        <f>VLOOKUP('Informe Kelly'!A3987,Base!A:B,2,FALSE)</f>
        <v>#N/A</v>
      </c>
      <c r="B3993" s="112" t="e">
        <f>VLOOKUP('Informe Kelly'!A3987,Base!A:G,7,FALSE)</f>
        <v>#N/A</v>
      </c>
      <c r="C3993" s="112">
        <f>'Informe Kelly'!E3987</f>
        <v>0</v>
      </c>
      <c r="D3993" s="112" t="e">
        <f>VLOOKUP(A3993,Ingreso!K:P,6,FALSE)</f>
        <v>#N/A</v>
      </c>
      <c r="E3993" s="142" t="e">
        <f>(VLOOKUP(D3993,$D$2:$E$4,2,FALSE))-(IF('Informe Kelly'!H3987=$A$2,'Informe Kelly'!F3987,VLOOKUP(D3993,$D$2:$E$4,2,FALSE)))</f>
        <v>#N/A</v>
      </c>
      <c r="F3993" s="142" t="e">
        <f>IF('Informe Kelly'!H3987=$A$3,'Informe Kelly'!F3987,VLOOKUP(D3993,$D$2:$F$4,3,FALSE))-(VLOOKUP(D3993,$D$2:$F$4,3,FALSE))</f>
        <v>#N/A</v>
      </c>
      <c r="G3993" s="137" t="e">
        <f t="shared" si="66"/>
        <v>#N/A</v>
      </c>
    </row>
    <row r="3994" spans="1:7">
      <c r="A3994" s="112" t="e">
        <f>VLOOKUP('Informe Kelly'!A3988,Base!A:B,2,FALSE)</f>
        <v>#N/A</v>
      </c>
      <c r="B3994" s="112" t="e">
        <f>VLOOKUP('Informe Kelly'!A3988,Base!A:G,7,FALSE)</f>
        <v>#N/A</v>
      </c>
      <c r="C3994" s="112">
        <f>'Informe Kelly'!E3988</f>
        <v>0</v>
      </c>
      <c r="D3994" s="112" t="e">
        <f>VLOOKUP(A3994,Ingreso!K:P,6,FALSE)</f>
        <v>#N/A</v>
      </c>
      <c r="E3994" s="142" t="e">
        <f>(VLOOKUP(D3994,$D$2:$E$4,2,FALSE))-(IF('Informe Kelly'!H3988=$A$2,'Informe Kelly'!F3988,VLOOKUP(D3994,$D$2:$E$4,2,FALSE)))</f>
        <v>#N/A</v>
      </c>
      <c r="F3994" s="142" t="e">
        <f>IF('Informe Kelly'!H3988=$A$3,'Informe Kelly'!F3988,VLOOKUP(D3994,$D$2:$F$4,3,FALSE))-(VLOOKUP(D3994,$D$2:$F$4,3,FALSE))</f>
        <v>#N/A</v>
      </c>
      <c r="G3994" s="137" t="e">
        <f t="shared" si="66"/>
        <v>#N/A</v>
      </c>
    </row>
    <row r="3995" spans="1:7">
      <c r="A3995" s="112" t="e">
        <f>VLOOKUP('Informe Kelly'!A3989,Base!A:B,2,FALSE)</f>
        <v>#N/A</v>
      </c>
      <c r="B3995" s="112" t="e">
        <f>VLOOKUP('Informe Kelly'!A3989,Base!A:G,7,FALSE)</f>
        <v>#N/A</v>
      </c>
      <c r="C3995" s="112">
        <f>'Informe Kelly'!E3989</f>
        <v>0</v>
      </c>
      <c r="D3995" s="112" t="e">
        <f>VLOOKUP(A3995,Ingreso!K:P,6,FALSE)</f>
        <v>#N/A</v>
      </c>
      <c r="E3995" s="142" t="e">
        <f>(VLOOKUP(D3995,$D$2:$E$4,2,FALSE))-(IF('Informe Kelly'!H3989=$A$2,'Informe Kelly'!F3989,VLOOKUP(D3995,$D$2:$E$4,2,FALSE)))</f>
        <v>#N/A</v>
      </c>
      <c r="F3995" s="142" t="e">
        <f>IF('Informe Kelly'!H3989=$A$3,'Informe Kelly'!F3989,VLOOKUP(D3995,$D$2:$F$4,3,FALSE))-(VLOOKUP(D3995,$D$2:$F$4,3,FALSE))</f>
        <v>#N/A</v>
      </c>
      <c r="G3995" s="137" t="e">
        <f t="shared" si="66"/>
        <v>#N/A</v>
      </c>
    </row>
    <row r="3996" spans="1:7">
      <c r="A3996" s="112" t="e">
        <f>VLOOKUP('Informe Kelly'!A3990,Base!A:B,2,FALSE)</f>
        <v>#N/A</v>
      </c>
      <c r="B3996" s="112" t="e">
        <f>VLOOKUP('Informe Kelly'!A3990,Base!A:G,7,FALSE)</f>
        <v>#N/A</v>
      </c>
      <c r="C3996" s="112">
        <f>'Informe Kelly'!E3990</f>
        <v>0</v>
      </c>
      <c r="D3996" s="112" t="e">
        <f>VLOOKUP(A3996,Ingreso!K:P,6,FALSE)</f>
        <v>#N/A</v>
      </c>
      <c r="E3996" s="142" t="e">
        <f>(VLOOKUP(D3996,$D$2:$E$4,2,FALSE))-(IF('Informe Kelly'!H3990=$A$2,'Informe Kelly'!F3990,VLOOKUP(D3996,$D$2:$E$4,2,FALSE)))</f>
        <v>#N/A</v>
      </c>
      <c r="F3996" s="142" t="e">
        <f>IF('Informe Kelly'!H3990=$A$3,'Informe Kelly'!F3990,VLOOKUP(D3996,$D$2:$F$4,3,FALSE))-(VLOOKUP(D3996,$D$2:$F$4,3,FALSE))</f>
        <v>#N/A</v>
      </c>
      <c r="G3996" s="137" t="e">
        <f t="shared" si="66"/>
        <v>#N/A</v>
      </c>
    </row>
    <row r="3997" spans="1:7">
      <c r="A3997" s="112" t="e">
        <f>VLOOKUP('Informe Kelly'!A3991,Base!A:B,2,FALSE)</f>
        <v>#N/A</v>
      </c>
      <c r="B3997" s="112" t="e">
        <f>VLOOKUP('Informe Kelly'!A3991,Base!A:G,7,FALSE)</f>
        <v>#N/A</v>
      </c>
      <c r="C3997" s="112">
        <f>'Informe Kelly'!E3991</f>
        <v>0</v>
      </c>
      <c r="D3997" s="112" t="e">
        <f>VLOOKUP(A3997,Ingreso!K:P,6,FALSE)</f>
        <v>#N/A</v>
      </c>
      <c r="E3997" s="142" t="e">
        <f>(VLOOKUP(D3997,$D$2:$E$4,2,FALSE))-(IF('Informe Kelly'!H3991=$A$2,'Informe Kelly'!F3991,VLOOKUP(D3997,$D$2:$E$4,2,FALSE)))</f>
        <v>#N/A</v>
      </c>
      <c r="F3997" s="142" t="e">
        <f>IF('Informe Kelly'!H3991=$A$3,'Informe Kelly'!F3991,VLOOKUP(D3997,$D$2:$F$4,3,FALSE))-(VLOOKUP(D3997,$D$2:$F$4,3,FALSE))</f>
        <v>#N/A</v>
      </c>
      <c r="G3997" s="137" t="e">
        <f t="shared" si="66"/>
        <v>#N/A</v>
      </c>
    </row>
    <row r="3998" spans="1:7">
      <c r="A3998" s="112" t="e">
        <f>VLOOKUP('Informe Kelly'!A3992,Base!A:B,2,FALSE)</f>
        <v>#N/A</v>
      </c>
      <c r="B3998" s="112" t="e">
        <f>VLOOKUP('Informe Kelly'!A3992,Base!A:G,7,FALSE)</f>
        <v>#N/A</v>
      </c>
      <c r="C3998" s="112">
        <f>'Informe Kelly'!E3992</f>
        <v>0</v>
      </c>
      <c r="D3998" s="112" t="e">
        <f>VLOOKUP(A3998,Ingreso!K:P,6,FALSE)</f>
        <v>#N/A</v>
      </c>
      <c r="E3998" s="142" t="e">
        <f>(VLOOKUP(D3998,$D$2:$E$4,2,FALSE))-(IF('Informe Kelly'!H3992=$A$2,'Informe Kelly'!F3992,VLOOKUP(D3998,$D$2:$E$4,2,FALSE)))</f>
        <v>#N/A</v>
      </c>
      <c r="F3998" s="142" t="e">
        <f>IF('Informe Kelly'!H3992=$A$3,'Informe Kelly'!F3992,VLOOKUP(D3998,$D$2:$F$4,3,FALSE))-(VLOOKUP(D3998,$D$2:$F$4,3,FALSE))</f>
        <v>#N/A</v>
      </c>
      <c r="G3998" s="137" t="e">
        <f t="shared" si="66"/>
        <v>#N/A</v>
      </c>
    </row>
    <row r="3999" spans="1:7">
      <c r="A3999" s="112" t="e">
        <f>VLOOKUP('Informe Kelly'!A3993,Base!A:B,2,FALSE)</f>
        <v>#N/A</v>
      </c>
      <c r="B3999" s="112" t="e">
        <f>VLOOKUP('Informe Kelly'!A3993,Base!A:G,7,FALSE)</f>
        <v>#N/A</v>
      </c>
      <c r="C3999" s="112">
        <f>'Informe Kelly'!E3993</f>
        <v>0</v>
      </c>
      <c r="D3999" s="112" t="e">
        <f>VLOOKUP(A3999,Ingreso!K:P,6,FALSE)</f>
        <v>#N/A</v>
      </c>
      <c r="E3999" s="142" t="e">
        <f>(VLOOKUP(D3999,$D$2:$E$4,2,FALSE))-(IF('Informe Kelly'!H3993=$A$2,'Informe Kelly'!F3993,VLOOKUP(D3999,$D$2:$E$4,2,FALSE)))</f>
        <v>#N/A</v>
      </c>
      <c r="F3999" s="142" t="e">
        <f>IF('Informe Kelly'!H3993=$A$3,'Informe Kelly'!F3993,VLOOKUP(D3999,$D$2:$F$4,3,FALSE))-(VLOOKUP(D3999,$D$2:$F$4,3,FALSE))</f>
        <v>#N/A</v>
      </c>
      <c r="G3999" s="137" t="e">
        <f t="shared" si="66"/>
        <v>#N/A</v>
      </c>
    </row>
    <row r="4000" spans="1:7">
      <c r="A4000" s="112" t="e">
        <f>VLOOKUP('Informe Kelly'!A3994,Base!A:B,2,FALSE)</f>
        <v>#N/A</v>
      </c>
      <c r="B4000" s="112" t="e">
        <f>VLOOKUP('Informe Kelly'!A3994,Base!A:G,7,FALSE)</f>
        <v>#N/A</v>
      </c>
      <c r="C4000" s="112">
        <f>'Informe Kelly'!E3994</f>
        <v>0</v>
      </c>
      <c r="D4000" s="112" t="e">
        <f>VLOOKUP(A4000,Ingreso!K:P,6,FALSE)</f>
        <v>#N/A</v>
      </c>
      <c r="E4000" s="142" t="e">
        <f>(VLOOKUP(D4000,$D$2:$E$4,2,FALSE))-(IF('Informe Kelly'!H3994=$A$2,'Informe Kelly'!F3994,VLOOKUP(D4000,$D$2:$E$4,2,FALSE)))</f>
        <v>#N/A</v>
      </c>
      <c r="F4000" s="142" t="e">
        <f>IF('Informe Kelly'!H3994=$A$3,'Informe Kelly'!F3994,VLOOKUP(D4000,$D$2:$F$4,3,FALSE))-(VLOOKUP(D4000,$D$2:$F$4,3,FALSE))</f>
        <v>#N/A</v>
      </c>
      <c r="G4000" s="137" t="e">
        <f t="shared" si="66"/>
        <v>#N/A</v>
      </c>
    </row>
    <row r="4001" spans="1:7">
      <c r="A4001" s="112" t="e">
        <f>VLOOKUP('Informe Kelly'!A3995,Base!A:B,2,FALSE)</f>
        <v>#N/A</v>
      </c>
      <c r="B4001" s="112" t="e">
        <f>VLOOKUP('Informe Kelly'!A3995,Base!A:G,7,FALSE)</f>
        <v>#N/A</v>
      </c>
      <c r="C4001" s="112">
        <f>'Informe Kelly'!E3995</f>
        <v>0</v>
      </c>
      <c r="D4001" s="112" t="e">
        <f>VLOOKUP(A4001,Ingreso!K:P,6,FALSE)</f>
        <v>#N/A</v>
      </c>
      <c r="E4001" s="142" t="e">
        <f>(VLOOKUP(D4001,$D$2:$E$4,2,FALSE))-(IF('Informe Kelly'!H3995=$A$2,'Informe Kelly'!F3995,VLOOKUP(D4001,$D$2:$E$4,2,FALSE)))</f>
        <v>#N/A</v>
      </c>
      <c r="F4001" s="142" t="e">
        <f>IF('Informe Kelly'!H3995=$A$3,'Informe Kelly'!F3995,VLOOKUP(D4001,$D$2:$F$4,3,FALSE))-(VLOOKUP(D4001,$D$2:$F$4,3,FALSE))</f>
        <v>#N/A</v>
      </c>
      <c r="G4001" s="137" t="e">
        <f t="shared" si="66"/>
        <v>#N/A</v>
      </c>
    </row>
    <row r="4002" spans="1:7">
      <c r="A4002" s="112" t="e">
        <f>VLOOKUP('Informe Kelly'!A3996,Base!A:B,2,FALSE)</f>
        <v>#N/A</v>
      </c>
      <c r="B4002" s="112" t="e">
        <f>VLOOKUP('Informe Kelly'!A3996,Base!A:G,7,FALSE)</f>
        <v>#N/A</v>
      </c>
      <c r="C4002" s="112">
        <f>'Informe Kelly'!E3996</f>
        <v>0</v>
      </c>
      <c r="D4002" s="112" t="e">
        <f>VLOOKUP(A4002,Ingreso!K:P,6,FALSE)</f>
        <v>#N/A</v>
      </c>
      <c r="E4002" s="142" t="e">
        <f>(VLOOKUP(D4002,$D$2:$E$4,2,FALSE))-(IF('Informe Kelly'!H3996=$A$2,'Informe Kelly'!F3996,VLOOKUP(D4002,$D$2:$E$4,2,FALSE)))</f>
        <v>#N/A</v>
      </c>
      <c r="F4002" s="142" t="e">
        <f>IF('Informe Kelly'!H3996=$A$3,'Informe Kelly'!F3996,VLOOKUP(D4002,$D$2:$F$4,3,FALSE))-(VLOOKUP(D4002,$D$2:$F$4,3,FALSE))</f>
        <v>#N/A</v>
      </c>
      <c r="G4002" s="137" t="e">
        <f t="shared" si="66"/>
        <v>#N/A</v>
      </c>
    </row>
    <row r="4003" spans="1:7">
      <c r="A4003" s="112" t="e">
        <f>VLOOKUP('Informe Kelly'!A3997,Base!A:B,2,FALSE)</f>
        <v>#N/A</v>
      </c>
      <c r="B4003" s="112" t="e">
        <f>VLOOKUP('Informe Kelly'!A3997,Base!A:G,7,FALSE)</f>
        <v>#N/A</v>
      </c>
      <c r="C4003" s="112">
        <f>'Informe Kelly'!E3997</f>
        <v>0</v>
      </c>
      <c r="D4003" s="112" t="e">
        <f>VLOOKUP(A4003,Ingreso!K:P,6,FALSE)</f>
        <v>#N/A</v>
      </c>
      <c r="E4003" s="142" t="e">
        <f>(VLOOKUP(D4003,$D$2:$E$4,2,FALSE))-(IF('Informe Kelly'!H3997=$A$2,'Informe Kelly'!F3997,VLOOKUP(D4003,$D$2:$E$4,2,FALSE)))</f>
        <v>#N/A</v>
      </c>
      <c r="F4003" s="142" t="e">
        <f>IF('Informe Kelly'!H3997=$A$3,'Informe Kelly'!F3997,VLOOKUP(D4003,$D$2:$F$4,3,FALSE))-(VLOOKUP(D4003,$D$2:$F$4,3,FALSE))</f>
        <v>#N/A</v>
      </c>
      <c r="G4003" s="137" t="e">
        <f t="shared" si="66"/>
        <v>#N/A</v>
      </c>
    </row>
    <row r="4004" spans="1:7">
      <c r="A4004" s="112" t="e">
        <f>VLOOKUP('Informe Kelly'!A3998,Base!A:B,2,FALSE)</f>
        <v>#N/A</v>
      </c>
      <c r="B4004" s="112" t="e">
        <f>VLOOKUP('Informe Kelly'!A3998,Base!A:G,7,FALSE)</f>
        <v>#N/A</v>
      </c>
      <c r="C4004" s="112">
        <f>'Informe Kelly'!E3998</f>
        <v>0</v>
      </c>
      <c r="D4004" s="112" t="e">
        <f>VLOOKUP(A4004,Ingreso!K:P,6,FALSE)</f>
        <v>#N/A</v>
      </c>
      <c r="E4004" s="142" t="e">
        <f>(VLOOKUP(D4004,$D$2:$E$4,2,FALSE))-(IF('Informe Kelly'!H3998=$A$2,'Informe Kelly'!F3998,VLOOKUP(D4004,$D$2:$E$4,2,FALSE)))</f>
        <v>#N/A</v>
      </c>
      <c r="F4004" s="142" t="e">
        <f>IF('Informe Kelly'!H3998=$A$3,'Informe Kelly'!F3998,VLOOKUP(D4004,$D$2:$F$4,3,FALSE))-(VLOOKUP(D4004,$D$2:$F$4,3,FALSE))</f>
        <v>#N/A</v>
      </c>
      <c r="G4004" s="137" t="e">
        <f t="shared" si="66"/>
        <v>#N/A</v>
      </c>
    </row>
    <row r="4005" spans="1:7">
      <c r="A4005" s="112" t="e">
        <f>VLOOKUP('Informe Kelly'!A3999,Base!A:B,2,FALSE)</f>
        <v>#N/A</v>
      </c>
      <c r="B4005" s="112" t="e">
        <f>VLOOKUP('Informe Kelly'!A3999,Base!A:G,7,FALSE)</f>
        <v>#N/A</v>
      </c>
      <c r="C4005" s="112">
        <f>'Informe Kelly'!E3999</f>
        <v>0</v>
      </c>
      <c r="D4005" s="112" t="e">
        <f>VLOOKUP(A4005,Ingreso!K:P,6,FALSE)</f>
        <v>#N/A</v>
      </c>
      <c r="E4005" s="142" t="e">
        <f>(VLOOKUP(D4005,$D$2:$E$4,2,FALSE))-(IF('Informe Kelly'!H3999=$A$2,'Informe Kelly'!F3999,VLOOKUP(D4005,$D$2:$E$4,2,FALSE)))</f>
        <v>#N/A</v>
      </c>
      <c r="F4005" s="142" t="e">
        <f>IF('Informe Kelly'!H3999=$A$3,'Informe Kelly'!F3999,VLOOKUP(D4005,$D$2:$F$4,3,FALSE))-(VLOOKUP(D4005,$D$2:$F$4,3,FALSE))</f>
        <v>#N/A</v>
      </c>
      <c r="G4005" s="137" t="e">
        <f t="shared" si="66"/>
        <v>#N/A</v>
      </c>
    </row>
    <row r="4006" spans="1:7">
      <c r="A4006" s="112" t="e">
        <f>VLOOKUP('Informe Kelly'!A4000,Base!A:B,2,FALSE)</f>
        <v>#N/A</v>
      </c>
      <c r="B4006" s="112" t="e">
        <f>VLOOKUP('Informe Kelly'!A4000,Base!A:G,7,FALSE)</f>
        <v>#N/A</v>
      </c>
      <c r="C4006" s="112">
        <f>'Informe Kelly'!E4000</f>
        <v>0</v>
      </c>
      <c r="D4006" s="112" t="e">
        <f>VLOOKUP(A4006,Ingreso!K:P,6,FALSE)</f>
        <v>#N/A</v>
      </c>
      <c r="E4006" s="142" t="e">
        <f>(VLOOKUP(D4006,$D$2:$E$4,2,FALSE))-(IF('Informe Kelly'!H4000=$A$2,'Informe Kelly'!F4000,VLOOKUP(D4006,$D$2:$E$4,2,FALSE)))</f>
        <v>#N/A</v>
      </c>
      <c r="F4006" s="142" t="e">
        <f>IF('Informe Kelly'!H4000=$A$3,'Informe Kelly'!F4000,VLOOKUP(D4006,$D$2:$F$4,3,FALSE))-(VLOOKUP(D4006,$D$2:$F$4,3,FALSE))</f>
        <v>#N/A</v>
      </c>
      <c r="G4006" s="137" t="e">
        <f t="shared" si="66"/>
        <v>#N/A</v>
      </c>
    </row>
    <row r="4007" spans="1:7">
      <c r="A4007" s="112" t="e">
        <f>VLOOKUP('Informe Kelly'!A4001,Base!A:B,2,FALSE)</f>
        <v>#N/A</v>
      </c>
      <c r="B4007" s="112" t="e">
        <f>VLOOKUP('Informe Kelly'!A4001,Base!A:G,7,FALSE)</f>
        <v>#N/A</v>
      </c>
      <c r="C4007" s="112">
        <f>'Informe Kelly'!E4001</f>
        <v>0</v>
      </c>
      <c r="D4007" s="112" t="e">
        <f>VLOOKUP(A4007,Ingreso!K:P,6,FALSE)</f>
        <v>#N/A</v>
      </c>
      <c r="E4007" s="142" t="e">
        <f>(VLOOKUP(D4007,$D$2:$E$4,2,FALSE))-(IF('Informe Kelly'!H4001=$A$2,'Informe Kelly'!F4001,VLOOKUP(D4007,$D$2:$E$4,2,FALSE)))</f>
        <v>#N/A</v>
      </c>
      <c r="F4007" s="142" t="e">
        <f>IF('Informe Kelly'!H4001=$A$3,'Informe Kelly'!F4001,VLOOKUP(D4007,$D$2:$F$4,3,FALSE))-(VLOOKUP(D4007,$D$2:$F$4,3,FALSE))</f>
        <v>#N/A</v>
      </c>
      <c r="G4007" s="137" t="e">
        <f t="shared" si="66"/>
        <v>#N/A</v>
      </c>
    </row>
    <row r="4008" spans="1:7">
      <c r="A4008" s="112" t="e">
        <f>VLOOKUP('Informe Kelly'!A4002,Base!A:B,2,FALSE)</f>
        <v>#N/A</v>
      </c>
      <c r="B4008" s="112" t="e">
        <f>VLOOKUP('Informe Kelly'!A4002,Base!A:G,7,FALSE)</f>
        <v>#N/A</v>
      </c>
      <c r="C4008" s="112">
        <f>'Informe Kelly'!E4002</f>
        <v>0</v>
      </c>
      <c r="D4008" s="112" t="e">
        <f>VLOOKUP(A4008,Ingreso!K:P,6,FALSE)</f>
        <v>#N/A</v>
      </c>
      <c r="E4008" s="142" t="e">
        <f>(VLOOKUP(D4008,$D$2:$E$4,2,FALSE))-(IF('Informe Kelly'!H4002=$A$2,'Informe Kelly'!F4002,VLOOKUP(D4008,$D$2:$E$4,2,FALSE)))</f>
        <v>#N/A</v>
      </c>
      <c r="F4008" s="142" t="e">
        <f>IF('Informe Kelly'!H4002=$A$3,'Informe Kelly'!F4002,VLOOKUP(D4008,$D$2:$F$4,3,FALSE))-(VLOOKUP(D4008,$D$2:$F$4,3,FALSE))</f>
        <v>#N/A</v>
      </c>
      <c r="G4008" s="137" t="e">
        <f t="shared" si="66"/>
        <v>#N/A</v>
      </c>
    </row>
    <row r="4009" spans="1:7">
      <c r="A4009" s="112" t="e">
        <f>VLOOKUP('Informe Kelly'!A4003,Base!A:B,2,FALSE)</f>
        <v>#N/A</v>
      </c>
      <c r="B4009" s="112" t="e">
        <f>VLOOKUP('Informe Kelly'!A4003,Base!A:G,7,FALSE)</f>
        <v>#N/A</v>
      </c>
      <c r="C4009" s="112">
        <f>'Informe Kelly'!E4003</f>
        <v>0</v>
      </c>
      <c r="D4009" s="112" t="e">
        <f>VLOOKUP(A4009,Ingreso!K:P,6,FALSE)</f>
        <v>#N/A</v>
      </c>
      <c r="E4009" s="142" t="e">
        <f>(VLOOKUP(D4009,$D$2:$E$4,2,FALSE))-(IF('Informe Kelly'!H4003=$A$2,'Informe Kelly'!F4003,VLOOKUP(D4009,$D$2:$E$4,2,FALSE)))</f>
        <v>#N/A</v>
      </c>
      <c r="F4009" s="142" t="e">
        <f>IF('Informe Kelly'!H4003=$A$3,'Informe Kelly'!F4003,VLOOKUP(D4009,$D$2:$F$4,3,FALSE))-(VLOOKUP(D4009,$D$2:$F$4,3,FALSE))</f>
        <v>#N/A</v>
      </c>
      <c r="G4009" s="137" t="e">
        <f t="shared" si="66"/>
        <v>#N/A</v>
      </c>
    </row>
    <row r="4010" spans="1:7">
      <c r="A4010" s="112" t="e">
        <f>VLOOKUP('Informe Kelly'!A4004,Base!A:B,2,FALSE)</f>
        <v>#N/A</v>
      </c>
      <c r="B4010" s="112" t="e">
        <f>VLOOKUP('Informe Kelly'!A4004,Base!A:G,7,FALSE)</f>
        <v>#N/A</v>
      </c>
      <c r="C4010" s="112">
        <f>'Informe Kelly'!E4004</f>
        <v>0</v>
      </c>
      <c r="D4010" s="112" t="e">
        <f>VLOOKUP(A4010,Ingreso!K:P,6,FALSE)</f>
        <v>#N/A</v>
      </c>
      <c r="E4010" s="142" t="e">
        <f>(VLOOKUP(D4010,$D$2:$E$4,2,FALSE))-(IF('Informe Kelly'!H4004=$A$2,'Informe Kelly'!F4004,VLOOKUP(D4010,$D$2:$E$4,2,FALSE)))</f>
        <v>#N/A</v>
      </c>
      <c r="F4010" s="142" t="e">
        <f>IF('Informe Kelly'!H4004=$A$3,'Informe Kelly'!F4004,VLOOKUP(D4010,$D$2:$F$4,3,FALSE))-(VLOOKUP(D4010,$D$2:$F$4,3,FALSE))</f>
        <v>#N/A</v>
      </c>
      <c r="G4010" s="137" t="e">
        <f t="shared" si="66"/>
        <v>#N/A</v>
      </c>
    </row>
    <row r="4011" spans="1:7">
      <c r="A4011" s="112" t="e">
        <f>VLOOKUP('Informe Kelly'!A4005,Base!A:B,2,FALSE)</f>
        <v>#N/A</v>
      </c>
      <c r="B4011" s="112" t="e">
        <f>VLOOKUP('Informe Kelly'!A4005,Base!A:G,7,FALSE)</f>
        <v>#N/A</v>
      </c>
      <c r="C4011" s="112">
        <f>'Informe Kelly'!E4005</f>
        <v>0</v>
      </c>
      <c r="D4011" s="112" t="e">
        <f>VLOOKUP(A4011,Ingreso!K:P,6,FALSE)</f>
        <v>#N/A</v>
      </c>
      <c r="E4011" s="142" t="e">
        <f>(VLOOKUP(D4011,$D$2:$E$4,2,FALSE))-(IF('Informe Kelly'!H4005=$A$2,'Informe Kelly'!F4005,VLOOKUP(D4011,$D$2:$E$4,2,FALSE)))</f>
        <v>#N/A</v>
      </c>
      <c r="F4011" s="142" t="e">
        <f>IF('Informe Kelly'!H4005=$A$3,'Informe Kelly'!F4005,VLOOKUP(D4011,$D$2:$F$4,3,FALSE))-(VLOOKUP(D4011,$D$2:$F$4,3,FALSE))</f>
        <v>#N/A</v>
      </c>
      <c r="G4011" s="137" t="e">
        <f t="shared" si="66"/>
        <v>#N/A</v>
      </c>
    </row>
    <row r="4012" spans="1:7">
      <c r="A4012" s="112" t="e">
        <f>VLOOKUP('Informe Kelly'!A4006,Base!A:B,2,FALSE)</f>
        <v>#N/A</v>
      </c>
      <c r="B4012" s="112" t="e">
        <f>VLOOKUP('Informe Kelly'!A4006,Base!A:G,7,FALSE)</f>
        <v>#N/A</v>
      </c>
      <c r="C4012" s="112">
        <f>'Informe Kelly'!E4006</f>
        <v>0</v>
      </c>
      <c r="D4012" s="112" t="e">
        <f>VLOOKUP(A4012,Ingreso!K:P,6,FALSE)</f>
        <v>#N/A</v>
      </c>
      <c r="E4012" s="142" t="e">
        <f>(VLOOKUP(D4012,$D$2:$E$4,2,FALSE))-(IF('Informe Kelly'!H4006=$A$2,'Informe Kelly'!F4006,VLOOKUP(D4012,$D$2:$E$4,2,FALSE)))</f>
        <v>#N/A</v>
      </c>
      <c r="F4012" s="142" t="e">
        <f>IF('Informe Kelly'!H4006=$A$3,'Informe Kelly'!F4006,VLOOKUP(D4012,$D$2:$F$4,3,FALSE))-(VLOOKUP(D4012,$D$2:$F$4,3,FALSE))</f>
        <v>#N/A</v>
      </c>
      <c r="G4012" s="137" t="e">
        <f t="shared" si="66"/>
        <v>#N/A</v>
      </c>
    </row>
    <row r="4013" spans="1:7">
      <c r="A4013" s="112" t="e">
        <f>VLOOKUP('Informe Kelly'!A4007,Base!A:B,2,FALSE)</f>
        <v>#N/A</v>
      </c>
      <c r="B4013" s="112" t="e">
        <f>VLOOKUP('Informe Kelly'!A4007,Base!A:G,7,FALSE)</f>
        <v>#N/A</v>
      </c>
      <c r="C4013" s="112">
        <f>'Informe Kelly'!E4007</f>
        <v>0</v>
      </c>
      <c r="D4013" s="112" t="e">
        <f>VLOOKUP(A4013,Ingreso!K:P,6,FALSE)</f>
        <v>#N/A</v>
      </c>
      <c r="E4013" s="142" t="e">
        <f>(VLOOKUP(D4013,$D$2:$E$4,2,FALSE))-(IF('Informe Kelly'!H4007=$A$2,'Informe Kelly'!F4007,VLOOKUP(D4013,$D$2:$E$4,2,FALSE)))</f>
        <v>#N/A</v>
      </c>
      <c r="F4013" s="142" t="e">
        <f>IF('Informe Kelly'!H4007=$A$3,'Informe Kelly'!F4007,VLOOKUP(D4013,$D$2:$F$4,3,FALSE))-(VLOOKUP(D4013,$D$2:$F$4,3,FALSE))</f>
        <v>#N/A</v>
      </c>
      <c r="G4013" s="137" t="e">
        <f t="shared" si="66"/>
        <v>#N/A</v>
      </c>
    </row>
    <row r="4014" spans="1:7">
      <c r="A4014" s="112" t="e">
        <f>VLOOKUP('Informe Kelly'!A4008,Base!A:B,2,FALSE)</f>
        <v>#N/A</v>
      </c>
      <c r="B4014" s="112" t="e">
        <f>VLOOKUP('Informe Kelly'!A4008,Base!A:G,7,FALSE)</f>
        <v>#N/A</v>
      </c>
      <c r="C4014" s="112">
        <f>'Informe Kelly'!E4008</f>
        <v>0</v>
      </c>
      <c r="D4014" s="112" t="e">
        <f>VLOOKUP(A4014,Ingreso!K:P,6,FALSE)</f>
        <v>#N/A</v>
      </c>
      <c r="E4014" s="142" t="e">
        <f>(VLOOKUP(D4014,$D$2:$E$4,2,FALSE))-(IF('Informe Kelly'!H4008=$A$2,'Informe Kelly'!F4008,VLOOKUP(D4014,$D$2:$E$4,2,FALSE)))</f>
        <v>#N/A</v>
      </c>
      <c r="F4014" s="142" t="e">
        <f>IF('Informe Kelly'!H4008=$A$3,'Informe Kelly'!F4008,VLOOKUP(D4014,$D$2:$F$4,3,FALSE))-(VLOOKUP(D4014,$D$2:$F$4,3,FALSE))</f>
        <v>#N/A</v>
      </c>
      <c r="G4014" s="137" t="e">
        <f t="shared" si="66"/>
        <v>#N/A</v>
      </c>
    </row>
    <row r="4015" spans="1:7">
      <c r="A4015" s="112" t="e">
        <f>VLOOKUP('Informe Kelly'!A4009,Base!A:B,2,FALSE)</f>
        <v>#N/A</v>
      </c>
      <c r="B4015" s="112" t="e">
        <f>VLOOKUP('Informe Kelly'!A4009,Base!A:G,7,FALSE)</f>
        <v>#N/A</v>
      </c>
      <c r="C4015" s="112">
        <f>'Informe Kelly'!E4009</f>
        <v>0</v>
      </c>
      <c r="D4015" s="112" t="e">
        <f>VLOOKUP(A4015,Ingreso!K:P,6,FALSE)</f>
        <v>#N/A</v>
      </c>
      <c r="E4015" s="142" t="e">
        <f>(VLOOKUP(D4015,$D$2:$E$4,2,FALSE))-(IF('Informe Kelly'!H4009=$A$2,'Informe Kelly'!F4009,VLOOKUP(D4015,$D$2:$E$4,2,FALSE)))</f>
        <v>#N/A</v>
      </c>
      <c r="F4015" s="142" t="e">
        <f>IF('Informe Kelly'!H4009=$A$3,'Informe Kelly'!F4009,VLOOKUP(D4015,$D$2:$F$4,3,FALSE))-(VLOOKUP(D4015,$D$2:$F$4,3,FALSE))</f>
        <v>#N/A</v>
      </c>
      <c r="G4015" s="137" t="e">
        <f t="shared" si="66"/>
        <v>#N/A</v>
      </c>
    </row>
    <row r="4016" spans="1:7">
      <c r="A4016" s="112" t="e">
        <f>VLOOKUP('Informe Kelly'!A4010,Base!A:B,2,FALSE)</f>
        <v>#N/A</v>
      </c>
      <c r="B4016" s="112" t="e">
        <f>VLOOKUP('Informe Kelly'!A4010,Base!A:G,7,FALSE)</f>
        <v>#N/A</v>
      </c>
      <c r="C4016" s="112">
        <f>'Informe Kelly'!E4010</f>
        <v>0</v>
      </c>
      <c r="D4016" s="112" t="e">
        <f>VLOOKUP(A4016,Ingreso!K:P,6,FALSE)</f>
        <v>#N/A</v>
      </c>
      <c r="E4016" s="142" t="e">
        <f>(VLOOKUP(D4016,$D$2:$E$4,2,FALSE))-(IF('Informe Kelly'!H4010=$A$2,'Informe Kelly'!F4010,VLOOKUP(D4016,$D$2:$E$4,2,FALSE)))</f>
        <v>#N/A</v>
      </c>
      <c r="F4016" s="142" t="e">
        <f>IF('Informe Kelly'!H4010=$A$3,'Informe Kelly'!F4010,VLOOKUP(D4016,$D$2:$F$4,3,FALSE))-(VLOOKUP(D4016,$D$2:$F$4,3,FALSE))</f>
        <v>#N/A</v>
      </c>
      <c r="G4016" s="137" t="e">
        <f t="shared" si="66"/>
        <v>#N/A</v>
      </c>
    </row>
    <row r="4017" spans="1:7">
      <c r="A4017" s="112" t="e">
        <f>VLOOKUP('Informe Kelly'!A4011,Base!A:B,2,FALSE)</f>
        <v>#N/A</v>
      </c>
      <c r="B4017" s="112" t="e">
        <f>VLOOKUP('Informe Kelly'!A4011,Base!A:G,7,FALSE)</f>
        <v>#N/A</v>
      </c>
      <c r="C4017" s="112">
        <f>'Informe Kelly'!E4011</f>
        <v>0</v>
      </c>
      <c r="D4017" s="112" t="e">
        <f>VLOOKUP(A4017,Ingreso!K:P,6,FALSE)</f>
        <v>#N/A</v>
      </c>
      <c r="E4017" s="142" t="e">
        <f>(VLOOKUP(D4017,$D$2:$E$4,2,FALSE))-(IF('Informe Kelly'!H4011=$A$2,'Informe Kelly'!F4011,VLOOKUP(D4017,$D$2:$E$4,2,FALSE)))</f>
        <v>#N/A</v>
      </c>
      <c r="F4017" s="142" t="e">
        <f>IF('Informe Kelly'!H4011=$A$3,'Informe Kelly'!F4011,VLOOKUP(D4017,$D$2:$F$4,3,FALSE))-(VLOOKUP(D4017,$D$2:$F$4,3,FALSE))</f>
        <v>#N/A</v>
      </c>
      <c r="G4017" s="137" t="e">
        <f t="shared" si="66"/>
        <v>#N/A</v>
      </c>
    </row>
    <row r="4018" spans="1:7">
      <c r="A4018" s="112" t="e">
        <f>VLOOKUP('Informe Kelly'!A4012,Base!A:B,2,FALSE)</f>
        <v>#N/A</v>
      </c>
      <c r="B4018" s="112" t="e">
        <f>VLOOKUP('Informe Kelly'!A4012,Base!A:G,7,FALSE)</f>
        <v>#N/A</v>
      </c>
      <c r="C4018" s="112">
        <f>'Informe Kelly'!E4012</f>
        <v>0</v>
      </c>
      <c r="D4018" s="112" t="e">
        <f>VLOOKUP(A4018,Ingreso!K:P,6,FALSE)</f>
        <v>#N/A</v>
      </c>
      <c r="E4018" s="142" t="e">
        <f>(VLOOKUP(D4018,$D$2:$E$4,2,FALSE))-(IF('Informe Kelly'!H4012=$A$2,'Informe Kelly'!F4012,VLOOKUP(D4018,$D$2:$E$4,2,FALSE)))</f>
        <v>#N/A</v>
      </c>
      <c r="F4018" s="142" t="e">
        <f>IF('Informe Kelly'!H4012=$A$3,'Informe Kelly'!F4012,VLOOKUP(D4018,$D$2:$F$4,3,FALSE))-(VLOOKUP(D4018,$D$2:$F$4,3,FALSE))</f>
        <v>#N/A</v>
      </c>
      <c r="G4018" s="137" t="e">
        <f t="shared" si="66"/>
        <v>#N/A</v>
      </c>
    </row>
    <row r="4019" spans="1:7">
      <c r="A4019" s="112" t="e">
        <f>VLOOKUP('Informe Kelly'!A4013,Base!A:B,2,FALSE)</f>
        <v>#N/A</v>
      </c>
      <c r="B4019" s="112" t="e">
        <f>VLOOKUP('Informe Kelly'!A4013,Base!A:G,7,FALSE)</f>
        <v>#N/A</v>
      </c>
      <c r="C4019" s="112">
        <f>'Informe Kelly'!E4013</f>
        <v>0</v>
      </c>
      <c r="D4019" s="112" t="e">
        <f>VLOOKUP(A4019,Ingreso!K:P,6,FALSE)</f>
        <v>#N/A</v>
      </c>
      <c r="E4019" s="142" t="e">
        <f>(VLOOKUP(D4019,$D$2:$E$4,2,FALSE))-(IF('Informe Kelly'!H4013=$A$2,'Informe Kelly'!F4013,VLOOKUP(D4019,$D$2:$E$4,2,FALSE)))</f>
        <v>#N/A</v>
      </c>
      <c r="F4019" s="142" t="e">
        <f>IF('Informe Kelly'!H4013=$A$3,'Informe Kelly'!F4013,VLOOKUP(D4019,$D$2:$F$4,3,FALSE))-(VLOOKUP(D4019,$D$2:$F$4,3,FALSE))</f>
        <v>#N/A</v>
      </c>
      <c r="G4019" s="137" t="e">
        <f t="shared" si="66"/>
        <v>#N/A</v>
      </c>
    </row>
    <row r="4020" spans="1:7">
      <c r="A4020" s="112" t="e">
        <f>VLOOKUP('Informe Kelly'!A4014,Base!A:B,2,FALSE)</f>
        <v>#N/A</v>
      </c>
      <c r="B4020" s="112" t="e">
        <f>VLOOKUP('Informe Kelly'!A4014,Base!A:G,7,FALSE)</f>
        <v>#N/A</v>
      </c>
      <c r="C4020" s="112">
        <f>'Informe Kelly'!E4014</f>
        <v>0</v>
      </c>
      <c r="D4020" s="112" t="e">
        <f>VLOOKUP(A4020,Ingreso!K:P,6,FALSE)</f>
        <v>#N/A</v>
      </c>
      <c r="E4020" s="142" t="e">
        <f>(VLOOKUP(D4020,$D$2:$E$4,2,FALSE))-(IF('Informe Kelly'!H4014=$A$2,'Informe Kelly'!F4014,VLOOKUP(D4020,$D$2:$E$4,2,FALSE)))</f>
        <v>#N/A</v>
      </c>
      <c r="F4020" s="142" t="e">
        <f>IF('Informe Kelly'!H4014=$A$3,'Informe Kelly'!F4014,VLOOKUP(D4020,$D$2:$F$4,3,FALSE))-(VLOOKUP(D4020,$D$2:$F$4,3,FALSE))</f>
        <v>#N/A</v>
      </c>
      <c r="G4020" s="137" t="e">
        <f t="shared" si="66"/>
        <v>#N/A</v>
      </c>
    </row>
    <row r="4021" spans="1:7">
      <c r="A4021" s="112" t="e">
        <f>VLOOKUP('Informe Kelly'!A4015,Base!A:B,2,FALSE)</f>
        <v>#N/A</v>
      </c>
      <c r="B4021" s="112" t="e">
        <f>VLOOKUP('Informe Kelly'!A4015,Base!A:G,7,FALSE)</f>
        <v>#N/A</v>
      </c>
      <c r="C4021" s="112">
        <f>'Informe Kelly'!E4015</f>
        <v>0</v>
      </c>
      <c r="D4021" s="112" t="e">
        <f>VLOOKUP(A4021,Ingreso!K:P,6,FALSE)</f>
        <v>#N/A</v>
      </c>
      <c r="E4021" s="142" t="e">
        <f>(VLOOKUP(D4021,$D$2:$E$4,2,FALSE))-(IF('Informe Kelly'!H4015=$A$2,'Informe Kelly'!F4015,VLOOKUP(D4021,$D$2:$E$4,2,FALSE)))</f>
        <v>#N/A</v>
      </c>
      <c r="F4021" s="142" t="e">
        <f>IF('Informe Kelly'!H4015=$A$3,'Informe Kelly'!F4015,VLOOKUP(D4021,$D$2:$F$4,3,FALSE))-(VLOOKUP(D4021,$D$2:$F$4,3,FALSE))</f>
        <v>#N/A</v>
      </c>
      <c r="G4021" s="137" t="e">
        <f t="shared" si="66"/>
        <v>#N/A</v>
      </c>
    </row>
    <row r="4022" spans="1:7">
      <c r="A4022" s="112" t="e">
        <f>VLOOKUP('Informe Kelly'!A4016,Base!A:B,2,FALSE)</f>
        <v>#N/A</v>
      </c>
      <c r="B4022" s="112" t="e">
        <f>VLOOKUP('Informe Kelly'!A4016,Base!A:G,7,FALSE)</f>
        <v>#N/A</v>
      </c>
      <c r="C4022" s="112">
        <f>'Informe Kelly'!E4016</f>
        <v>0</v>
      </c>
      <c r="D4022" s="112" t="e">
        <f>VLOOKUP(A4022,Ingreso!K:P,6,FALSE)</f>
        <v>#N/A</v>
      </c>
      <c r="E4022" s="142" t="e">
        <f>(VLOOKUP(D4022,$D$2:$E$4,2,FALSE))-(IF('Informe Kelly'!H4016=$A$2,'Informe Kelly'!F4016,VLOOKUP(D4022,$D$2:$E$4,2,FALSE)))</f>
        <v>#N/A</v>
      </c>
      <c r="F4022" s="142" t="e">
        <f>IF('Informe Kelly'!H4016=$A$3,'Informe Kelly'!F4016,VLOOKUP(D4022,$D$2:$F$4,3,FALSE))-(VLOOKUP(D4022,$D$2:$F$4,3,FALSE))</f>
        <v>#N/A</v>
      </c>
      <c r="G4022" s="137" t="e">
        <f t="shared" si="66"/>
        <v>#N/A</v>
      </c>
    </row>
    <row r="4023" spans="1:7">
      <c r="A4023" s="112" t="e">
        <f>VLOOKUP('Informe Kelly'!A4017,Base!A:B,2,FALSE)</f>
        <v>#N/A</v>
      </c>
      <c r="B4023" s="112" t="e">
        <f>VLOOKUP('Informe Kelly'!A4017,Base!A:G,7,FALSE)</f>
        <v>#N/A</v>
      </c>
      <c r="C4023" s="112">
        <f>'Informe Kelly'!E4017</f>
        <v>0</v>
      </c>
      <c r="D4023" s="112" t="e">
        <f>VLOOKUP(A4023,Ingreso!K:P,6,FALSE)</f>
        <v>#N/A</v>
      </c>
      <c r="E4023" s="142" t="e">
        <f>(VLOOKUP(D4023,$D$2:$E$4,2,FALSE))-(IF('Informe Kelly'!H4017=$A$2,'Informe Kelly'!F4017,VLOOKUP(D4023,$D$2:$E$4,2,FALSE)))</f>
        <v>#N/A</v>
      </c>
      <c r="F4023" s="142" t="e">
        <f>IF('Informe Kelly'!H4017=$A$3,'Informe Kelly'!F4017,VLOOKUP(D4023,$D$2:$F$4,3,FALSE))-(VLOOKUP(D4023,$D$2:$F$4,3,FALSE))</f>
        <v>#N/A</v>
      </c>
      <c r="G4023" s="137" t="e">
        <f t="shared" si="66"/>
        <v>#N/A</v>
      </c>
    </row>
    <row r="4024" spans="1:7">
      <c r="A4024" s="112" t="e">
        <f>VLOOKUP('Informe Kelly'!A4018,Base!A:B,2,FALSE)</f>
        <v>#N/A</v>
      </c>
      <c r="B4024" s="112" t="e">
        <f>VLOOKUP('Informe Kelly'!A4018,Base!A:G,7,FALSE)</f>
        <v>#N/A</v>
      </c>
      <c r="C4024" s="112">
        <f>'Informe Kelly'!E4018</f>
        <v>0</v>
      </c>
      <c r="D4024" s="112" t="e">
        <f>VLOOKUP(A4024,Ingreso!K:P,6,FALSE)</f>
        <v>#N/A</v>
      </c>
      <c r="E4024" s="142" t="e">
        <f>(VLOOKUP(D4024,$D$2:$E$4,2,FALSE))-(IF('Informe Kelly'!H4018=$A$2,'Informe Kelly'!F4018,VLOOKUP(D4024,$D$2:$E$4,2,FALSE)))</f>
        <v>#N/A</v>
      </c>
      <c r="F4024" s="142" t="e">
        <f>IF('Informe Kelly'!H4018=$A$3,'Informe Kelly'!F4018,VLOOKUP(D4024,$D$2:$F$4,3,FALSE))-(VLOOKUP(D4024,$D$2:$F$4,3,FALSE))</f>
        <v>#N/A</v>
      </c>
      <c r="G4024" s="137" t="e">
        <f t="shared" si="66"/>
        <v>#N/A</v>
      </c>
    </row>
    <row r="4025" spans="1:7">
      <c r="A4025" s="112" t="e">
        <f>VLOOKUP('Informe Kelly'!A4019,Base!A:B,2,FALSE)</f>
        <v>#N/A</v>
      </c>
      <c r="B4025" s="112" t="e">
        <f>VLOOKUP('Informe Kelly'!A4019,Base!A:G,7,FALSE)</f>
        <v>#N/A</v>
      </c>
      <c r="C4025" s="112">
        <f>'Informe Kelly'!E4019</f>
        <v>0</v>
      </c>
      <c r="D4025" s="112" t="e">
        <f>VLOOKUP(A4025,Ingreso!K:P,6,FALSE)</f>
        <v>#N/A</v>
      </c>
      <c r="E4025" s="142" t="e">
        <f>(VLOOKUP(D4025,$D$2:$E$4,2,FALSE))-(IF('Informe Kelly'!H4019=$A$2,'Informe Kelly'!F4019,VLOOKUP(D4025,$D$2:$E$4,2,FALSE)))</f>
        <v>#N/A</v>
      </c>
      <c r="F4025" s="142" t="e">
        <f>IF('Informe Kelly'!H4019=$A$3,'Informe Kelly'!F4019,VLOOKUP(D4025,$D$2:$F$4,3,FALSE))-(VLOOKUP(D4025,$D$2:$F$4,3,FALSE))</f>
        <v>#N/A</v>
      </c>
      <c r="G4025" s="137" t="e">
        <f t="shared" si="66"/>
        <v>#N/A</v>
      </c>
    </row>
    <row r="4026" spans="1:7">
      <c r="A4026" s="112" t="e">
        <f>VLOOKUP('Informe Kelly'!A4020,Base!A:B,2,FALSE)</f>
        <v>#N/A</v>
      </c>
      <c r="B4026" s="112" t="e">
        <f>VLOOKUP('Informe Kelly'!A4020,Base!A:G,7,FALSE)</f>
        <v>#N/A</v>
      </c>
      <c r="C4026" s="112">
        <f>'Informe Kelly'!E4020</f>
        <v>0</v>
      </c>
      <c r="D4026" s="112" t="e">
        <f>VLOOKUP(A4026,Ingreso!K:P,6,FALSE)</f>
        <v>#N/A</v>
      </c>
      <c r="E4026" s="142" t="e">
        <f>(VLOOKUP(D4026,$D$2:$E$4,2,FALSE))-(IF('Informe Kelly'!H4020=$A$2,'Informe Kelly'!F4020,VLOOKUP(D4026,$D$2:$E$4,2,FALSE)))</f>
        <v>#N/A</v>
      </c>
      <c r="F4026" s="142" t="e">
        <f>IF('Informe Kelly'!H4020=$A$3,'Informe Kelly'!F4020,VLOOKUP(D4026,$D$2:$F$4,3,FALSE))-(VLOOKUP(D4026,$D$2:$F$4,3,FALSE))</f>
        <v>#N/A</v>
      </c>
      <c r="G4026" s="137" t="e">
        <f t="shared" si="66"/>
        <v>#N/A</v>
      </c>
    </row>
    <row r="4027" spans="1:7">
      <c r="A4027" s="112" t="e">
        <f>VLOOKUP('Informe Kelly'!A4021,Base!A:B,2,FALSE)</f>
        <v>#N/A</v>
      </c>
      <c r="B4027" s="112" t="e">
        <f>VLOOKUP('Informe Kelly'!A4021,Base!A:G,7,FALSE)</f>
        <v>#N/A</v>
      </c>
      <c r="C4027" s="112">
        <f>'Informe Kelly'!E4021</f>
        <v>0</v>
      </c>
      <c r="D4027" s="112" t="e">
        <f>VLOOKUP(A4027,Ingreso!K:P,6,FALSE)</f>
        <v>#N/A</v>
      </c>
      <c r="E4027" s="142" t="e">
        <f>(VLOOKUP(D4027,$D$2:$E$4,2,FALSE))-(IF('Informe Kelly'!H4021=$A$2,'Informe Kelly'!F4021,VLOOKUP(D4027,$D$2:$E$4,2,FALSE)))</f>
        <v>#N/A</v>
      </c>
      <c r="F4027" s="142" t="e">
        <f>IF('Informe Kelly'!H4021=$A$3,'Informe Kelly'!F4021,VLOOKUP(D4027,$D$2:$F$4,3,FALSE))-(VLOOKUP(D4027,$D$2:$F$4,3,FALSE))</f>
        <v>#N/A</v>
      </c>
      <c r="G4027" s="137" t="e">
        <f t="shared" si="66"/>
        <v>#N/A</v>
      </c>
    </row>
    <row r="4028" spans="1:7">
      <c r="A4028" s="112" t="e">
        <f>VLOOKUP('Informe Kelly'!A4022,Base!A:B,2,FALSE)</f>
        <v>#N/A</v>
      </c>
      <c r="B4028" s="112" t="e">
        <f>VLOOKUP('Informe Kelly'!A4022,Base!A:G,7,FALSE)</f>
        <v>#N/A</v>
      </c>
      <c r="C4028" s="112">
        <f>'Informe Kelly'!E4022</f>
        <v>0</v>
      </c>
      <c r="D4028" s="112" t="e">
        <f>VLOOKUP(A4028,Ingreso!K:P,6,FALSE)</f>
        <v>#N/A</v>
      </c>
      <c r="E4028" s="142" t="e">
        <f>(VLOOKUP(D4028,$D$2:$E$4,2,FALSE))-(IF('Informe Kelly'!H4022=$A$2,'Informe Kelly'!F4022,VLOOKUP(D4028,$D$2:$E$4,2,FALSE)))</f>
        <v>#N/A</v>
      </c>
      <c r="F4028" s="142" t="e">
        <f>IF('Informe Kelly'!H4022=$A$3,'Informe Kelly'!F4022,VLOOKUP(D4028,$D$2:$F$4,3,FALSE))-(VLOOKUP(D4028,$D$2:$F$4,3,FALSE))</f>
        <v>#N/A</v>
      </c>
      <c r="G4028" s="137" t="e">
        <f t="shared" si="66"/>
        <v>#N/A</v>
      </c>
    </row>
    <row r="4029" spans="1:7">
      <c r="A4029" s="112" t="e">
        <f>VLOOKUP('Informe Kelly'!A4023,Base!A:B,2,FALSE)</f>
        <v>#N/A</v>
      </c>
      <c r="B4029" s="112" t="e">
        <f>VLOOKUP('Informe Kelly'!A4023,Base!A:G,7,FALSE)</f>
        <v>#N/A</v>
      </c>
      <c r="C4029" s="112">
        <f>'Informe Kelly'!E4023</f>
        <v>0</v>
      </c>
      <c r="D4029" s="112" t="e">
        <f>VLOOKUP(A4029,Ingreso!K:P,6,FALSE)</f>
        <v>#N/A</v>
      </c>
      <c r="E4029" s="142" t="e">
        <f>(VLOOKUP(D4029,$D$2:$E$4,2,FALSE))-(IF('Informe Kelly'!H4023=$A$2,'Informe Kelly'!F4023,VLOOKUP(D4029,$D$2:$E$4,2,FALSE)))</f>
        <v>#N/A</v>
      </c>
      <c r="F4029" s="142" t="e">
        <f>IF('Informe Kelly'!H4023=$A$3,'Informe Kelly'!F4023,VLOOKUP(D4029,$D$2:$F$4,3,FALSE))-(VLOOKUP(D4029,$D$2:$F$4,3,FALSE))</f>
        <v>#N/A</v>
      </c>
      <c r="G4029" s="137" t="e">
        <f t="shared" si="66"/>
        <v>#N/A</v>
      </c>
    </row>
    <row r="4030" spans="1:7">
      <c r="A4030" s="112" t="e">
        <f>VLOOKUP('Informe Kelly'!A4024,Base!A:B,2,FALSE)</f>
        <v>#N/A</v>
      </c>
      <c r="B4030" s="112" t="e">
        <f>VLOOKUP('Informe Kelly'!A4024,Base!A:G,7,FALSE)</f>
        <v>#N/A</v>
      </c>
      <c r="C4030" s="112">
        <f>'Informe Kelly'!E4024</f>
        <v>0</v>
      </c>
      <c r="D4030" s="112" t="e">
        <f>VLOOKUP(A4030,Ingreso!K:P,6,FALSE)</f>
        <v>#N/A</v>
      </c>
      <c r="E4030" s="142" t="e">
        <f>(VLOOKUP(D4030,$D$2:$E$4,2,FALSE))-(IF('Informe Kelly'!H4024=$A$2,'Informe Kelly'!F4024,VLOOKUP(D4030,$D$2:$E$4,2,FALSE)))</f>
        <v>#N/A</v>
      </c>
      <c r="F4030" s="142" t="e">
        <f>IF('Informe Kelly'!H4024=$A$3,'Informe Kelly'!F4024,VLOOKUP(D4030,$D$2:$F$4,3,FALSE))-(VLOOKUP(D4030,$D$2:$F$4,3,FALSE))</f>
        <v>#N/A</v>
      </c>
      <c r="G4030" s="137" t="e">
        <f t="shared" si="66"/>
        <v>#N/A</v>
      </c>
    </row>
    <row r="4031" spans="1:7">
      <c r="A4031" s="112" t="e">
        <f>VLOOKUP('Informe Kelly'!A4025,Base!A:B,2,FALSE)</f>
        <v>#N/A</v>
      </c>
      <c r="B4031" s="112" t="e">
        <f>VLOOKUP('Informe Kelly'!A4025,Base!A:G,7,FALSE)</f>
        <v>#N/A</v>
      </c>
      <c r="C4031" s="112">
        <f>'Informe Kelly'!E4025</f>
        <v>0</v>
      </c>
      <c r="D4031" s="112" t="e">
        <f>VLOOKUP(A4031,Ingreso!K:P,6,FALSE)</f>
        <v>#N/A</v>
      </c>
      <c r="E4031" s="142" t="e">
        <f>(VLOOKUP(D4031,$D$2:$E$4,2,FALSE))-(IF('Informe Kelly'!H4025=$A$2,'Informe Kelly'!F4025,VLOOKUP(D4031,$D$2:$E$4,2,FALSE)))</f>
        <v>#N/A</v>
      </c>
      <c r="F4031" s="142" t="e">
        <f>IF('Informe Kelly'!H4025=$A$3,'Informe Kelly'!F4025,VLOOKUP(D4031,$D$2:$F$4,3,FALSE))-(VLOOKUP(D4031,$D$2:$F$4,3,FALSE))</f>
        <v>#N/A</v>
      </c>
      <c r="G4031" s="137" t="e">
        <f t="shared" si="66"/>
        <v>#N/A</v>
      </c>
    </row>
    <row r="4032" spans="1:7">
      <c r="A4032" s="112" t="e">
        <f>VLOOKUP('Informe Kelly'!A4026,Base!A:B,2,FALSE)</f>
        <v>#N/A</v>
      </c>
      <c r="B4032" s="112" t="e">
        <f>VLOOKUP('Informe Kelly'!A4026,Base!A:G,7,FALSE)</f>
        <v>#N/A</v>
      </c>
      <c r="C4032" s="112">
        <f>'Informe Kelly'!E4026</f>
        <v>0</v>
      </c>
      <c r="D4032" s="112" t="e">
        <f>VLOOKUP(A4032,Ingreso!K:P,6,FALSE)</f>
        <v>#N/A</v>
      </c>
      <c r="E4032" s="142" t="e">
        <f>(VLOOKUP(D4032,$D$2:$E$4,2,FALSE))-(IF('Informe Kelly'!H4026=$A$2,'Informe Kelly'!F4026,VLOOKUP(D4032,$D$2:$E$4,2,FALSE)))</f>
        <v>#N/A</v>
      </c>
      <c r="F4032" s="142" t="e">
        <f>IF('Informe Kelly'!H4026=$A$3,'Informe Kelly'!F4026,VLOOKUP(D4032,$D$2:$F$4,3,FALSE))-(VLOOKUP(D4032,$D$2:$F$4,3,FALSE))</f>
        <v>#N/A</v>
      </c>
      <c r="G4032" s="137" t="e">
        <f t="shared" si="66"/>
        <v>#N/A</v>
      </c>
    </row>
    <row r="4033" spans="1:7">
      <c r="A4033" s="112" t="e">
        <f>VLOOKUP('Informe Kelly'!A4027,Base!A:B,2,FALSE)</f>
        <v>#N/A</v>
      </c>
      <c r="B4033" s="112" t="e">
        <f>VLOOKUP('Informe Kelly'!A4027,Base!A:G,7,FALSE)</f>
        <v>#N/A</v>
      </c>
      <c r="C4033" s="112">
        <f>'Informe Kelly'!E4027</f>
        <v>0</v>
      </c>
      <c r="D4033" s="112" t="e">
        <f>VLOOKUP(A4033,Ingreso!K:P,6,FALSE)</f>
        <v>#N/A</v>
      </c>
      <c r="E4033" s="142" t="e">
        <f>(VLOOKUP(D4033,$D$2:$E$4,2,FALSE))-(IF('Informe Kelly'!H4027=$A$2,'Informe Kelly'!F4027,VLOOKUP(D4033,$D$2:$E$4,2,FALSE)))</f>
        <v>#N/A</v>
      </c>
      <c r="F4033" s="142" t="e">
        <f>IF('Informe Kelly'!H4027=$A$3,'Informe Kelly'!F4027,VLOOKUP(D4033,$D$2:$F$4,3,FALSE))-(VLOOKUP(D4033,$D$2:$F$4,3,FALSE))</f>
        <v>#N/A</v>
      </c>
      <c r="G4033" s="137" t="e">
        <f t="shared" si="66"/>
        <v>#N/A</v>
      </c>
    </row>
    <row r="4034" spans="1:7">
      <c r="A4034" s="112" t="e">
        <f>VLOOKUP('Informe Kelly'!A4028,Base!A:B,2,FALSE)</f>
        <v>#N/A</v>
      </c>
      <c r="B4034" s="112" t="e">
        <f>VLOOKUP('Informe Kelly'!A4028,Base!A:G,7,FALSE)</f>
        <v>#N/A</v>
      </c>
      <c r="C4034" s="112">
        <f>'Informe Kelly'!E4028</f>
        <v>0</v>
      </c>
      <c r="D4034" s="112" t="e">
        <f>VLOOKUP(A4034,Ingreso!K:P,6,FALSE)</f>
        <v>#N/A</v>
      </c>
      <c r="E4034" s="142" t="e">
        <f>(VLOOKUP(D4034,$D$2:$E$4,2,FALSE))-(IF('Informe Kelly'!H4028=$A$2,'Informe Kelly'!F4028,VLOOKUP(D4034,$D$2:$E$4,2,FALSE)))</f>
        <v>#N/A</v>
      </c>
      <c r="F4034" s="142" t="e">
        <f>IF('Informe Kelly'!H4028=$A$3,'Informe Kelly'!F4028,VLOOKUP(D4034,$D$2:$F$4,3,FALSE))-(VLOOKUP(D4034,$D$2:$F$4,3,FALSE))</f>
        <v>#N/A</v>
      </c>
      <c r="G4034" s="137" t="e">
        <f t="shared" si="66"/>
        <v>#N/A</v>
      </c>
    </row>
    <row r="4035" spans="1:7">
      <c r="A4035" s="112" t="e">
        <f>VLOOKUP('Informe Kelly'!A4029,Base!A:B,2,FALSE)</f>
        <v>#N/A</v>
      </c>
      <c r="B4035" s="112" t="e">
        <f>VLOOKUP('Informe Kelly'!A4029,Base!A:G,7,FALSE)</f>
        <v>#N/A</v>
      </c>
      <c r="C4035" s="112">
        <f>'Informe Kelly'!E4029</f>
        <v>0</v>
      </c>
      <c r="D4035" s="112" t="e">
        <f>VLOOKUP(A4035,Ingreso!K:P,6,FALSE)</f>
        <v>#N/A</v>
      </c>
      <c r="E4035" s="142" t="e">
        <f>(VLOOKUP(D4035,$D$2:$E$4,2,FALSE))-(IF('Informe Kelly'!H4029=$A$2,'Informe Kelly'!F4029,VLOOKUP(D4035,$D$2:$E$4,2,FALSE)))</f>
        <v>#N/A</v>
      </c>
      <c r="F4035" s="142" t="e">
        <f>IF('Informe Kelly'!H4029=$A$3,'Informe Kelly'!F4029,VLOOKUP(D4035,$D$2:$F$4,3,FALSE))-(VLOOKUP(D4035,$D$2:$F$4,3,FALSE))</f>
        <v>#N/A</v>
      </c>
      <c r="G4035" s="137" t="e">
        <f t="shared" si="66"/>
        <v>#N/A</v>
      </c>
    </row>
    <row r="4036" spans="1:7">
      <c r="A4036" s="112" t="e">
        <f>VLOOKUP('Informe Kelly'!A4030,Base!A:B,2,FALSE)</f>
        <v>#N/A</v>
      </c>
      <c r="B4036" s="112" t="e">
        <f>VLOOKUP('Informe Kelly'!A4030,Base!A:G,7,FALSE)</f>
        <v>#N/A</v>
      </c>
      <c r="C4036" s="112">
        <f>'Informe Kelly'!E4030</f>
        <v>0</v>
      </c>
      <c r="D4036" s="112" t="e">
        <f>VLOOKUP(A4036,Ingreso!K:P,6,FALSE)</f>
        <v>#N/A</v>
      </c>
      <c r="E4036" s="142" t="e">
        <f>(VLOOKUP(D4036,$D$2:$E$4,2,FALSE))-(IF('Informe Kelly'!H4030=$A$2,'Informe Kelly'!F4030,VLOOKUP(D4036,$D$2:$E$4,2,FALSE)))</f>
        <v>#N/A</v>
      </c>
      <c r="F4036" s="142" t="e">
        <f>IF('Informe Kelly'!H4030=$A$3,'Informe Kelly'!F4030,VLOOKUP(D4036,$D$2:$F$4,3,FALSE))-(VLOOKUP(D4036,$D$2:$F$4,3,FALSE))</f>
        <v>#N/A</v>
      </c>
      <c r="G4036" s="137" t="e">
        <f t="shared" si="66"/>
        <v>#N/A</v>
      </c>
    </row>
    <row r="4037" spans="1:7">
      <c r="A4037" s="112" t="e">
        <f>VLOOKUP('Informe Kelly'!A4031,Base!A:B,2,FALSE)</f>
        <v>#N/A</v>
      </c>
      <c r="B4037" s="112" t="e">
        <f>VLOOKUP('Informe Kelly'!A4031,Base!A:G,7,FALSE)</f>
        <v>#N/A</v>
      </c>
      <c r="C4037" s="112">
        <f>'Informe Kelly'!E4031</f>
        <v>0</v>
      </c>
      <c r="D4037" s="112" t="e">
        <f>VLOOKUP(A4037,Ingreso!K:P,6,FALSE)</f>
        <v>#N/A</v>
      </c>
      <c r="E4037" s="142" t="e">
        <f>(VLOOKUP(D4037,$D$2:$E$4,2,FALSE))-(IF('Informe Kelly'!H4031=$A$2,'Informe Kelly'!F4031,VLOOKUP(D4037,$D$2:$E$4,2,FALSE)))</f>
        <v>#N/A</v>
      </c>
      <c r="F4037" s="142" t="e">
        <f>IF('Informe Kelly'!H4031=$A$3,'Informe Kelly'!F4031,VLOOKUP(D4037,$D$2:$F$4,3,FALSE))-(VLOOKUP(D4037,$D$2:$F$4,3,FALSE))</f>
        <v>#N/A</v>
      </c>
      <c r="G4037" s="137" t="e">
        <f t="shared" si="66"/>
        <v>#N/A</v>
      </c>
    </row>
    <row r="4038" spans="1:7">
      <c r="A4038" s="112" t="e">
        <f>VLOOKUP('Informe Kelly'!A4032,Base!A:B,2,FALSE)</f>
        <v>#N/A</v>
      </c>
      <c r="B4038" s="112" t="e">
        <f>VLOOKUP('Informe Kelly'!A4032,Base!A:G,7,FALSE)</f>
        <v>#N/A</v>
      </c>
      <c r="C4038" s="112">
        <f>'Informe Kelly'!E4032</f>
        <v>0</v>
      </c>
      <c r="D4038" s="112" t="e">
        <f>VLOOKUP(A4038,Ingreso!K:P,6,FALSE)</f>
        <v>#N/A</v>
      </c>
      <c r="E4038" s="142" t="e">
        <f>(VLOOKUP(D4038,$D$2:$E$4,2,FALSE))-(IF('Informe Kelly'!H4032=$A$2,'Informe Kelly'!F4032,VLOOKUP(D4038,$D$2:$E$4,2,FALSE)))</f>
        <v>#N/A</v>
      </c>
      <c r="F4038" s="142" t="e">
        <f>IF('Informe Kelly'!H4032=$A$3,'Informe Kelly'!F4032,VLOOKUP(D4038,$D$2:$F$4,3,FALSE))-(VLOOKUP(D4038,$D$2:$F$4,3,FALSE))</f>
        <v>#N/A</v>
      </c>
      <c r="G4038" s="137" t="e">
        <f t="shared" si="66"/>
        <v>#N/A</v>
      </c>
    </row>
    <row r="4039" spans="1:7">
      <c r="A4039" s="112" t="e">
        <f>VLOOKUP('Informe Kelly'!A4033,Base!A:B,2,FALSE)</f>
        <v>#N/A</v>
      </c>
      <c r="B4039" s="112" t="e">
        <f>VLOOKUP('Informe Kelly'!A4033,Base!A:G,7,FALSE)</f>
        <v>#N/A</v>
      </c>
      <c r="C4039" s="112">
        <f>'Informe Kelly'!E4033</f>
        <v>0</v>
      </c>
      <c r="D4039" s="112" t="e">
        <f>VLOOKUP(A4039,Ingreso!K:P,6,FALSE)</f>
        <v>#N/A</v>
      </c>
      <c r="E4039" s="142" t="e">
        <f>(VLOOKUP(D4039,$D$2:$E$4,2,FALSE))-(IF('Informe Kelly'!H4033=$A$2,'Informe Kelly'!F4033,VLOOKUP(D4039,$D$2:$E$4,2,FALSE)))</f>
        <v>#N/A</v>
      </c>
      <c r="F4039" s="142" t="e">
        <f>IF('Informe Kelly'!H4033=$A$3,'Informe Kelly'!F4033,VLOOKUP(D4039,$D$2:$F$4,3,FALSE))-(VLOOKUP(D4039,$D$2:$F$4,3,FALSE))</f>
        <v>#N/A</v>
      </c>
      <c r="G4039" s="137" t="e">
        <f t="shared" si="66"/>
        <v>#N/A</v>
      </c>
    </row>
    <row r="4040" spans="1:7">
      <c r="A4040" s="112" t="e">
        <f>VLOOKUP('Informe Kelly'!A4034,Base!A:B,2,FALSE)</f>
        <v>#N/A</v>
      </c>
      <c r="B4040" s="112" t="e">
        <f>VLOOKUP('Informe Kelly'!A4034,Base!A:G,7,FALSE)</f>
        <v>#N/A</v>
      </c>
      <c r="C4040" s="112">
        <f>'Informe Kelly'!E4034</f>
        <v>0</v>
      </c>
      <c r="D4040" s="112" t="e">
        <f>VLOOKUP(A4040,Ingreso!K:P,6,FALSE)</f>
        <v>#N/A</v>
      </c>
      <c r="E4040" s="142" t="e">
        <f>(VLOOKUP(D4040,$D$2:$E$4,2,FALSE))-(IF('Informe Kelly'!H4034=$A$2,'Informe Kelly'!F4034,VLOOKUP(D4040,$D$2:$E$4,2,FALSE)))</f>
        <v>#N/A</v>
      </c>
      <c r="F4040" s="142" t="e">
        <f>IF('Informe Kelly'!H4034=$A$3,'Informe Kelly'!F4034,VLOOKUP(D4040,$D$2:$F$4,3,FALSE))-(VLOOKUP(D4040,$D$2:$F$4,3,FALSE))</f>
        <v>#N/A</v>
      </c>
      <c r="G4040" s="137" t="e">
        <f t="shared" si="66"/>
        <v>#N/A</v>
      </c>
    </row>
    <row r="4041" spans="1:7">
      <c r="A4041" s="112" t="e">
        <f>VLOOKUP('Informe Kelly'!A4035,Base!A:B,2,FALSE)</f>
        <v>#N/A</v>
      </c>
      <c r="B4041" s="112" t="e">
        <f>VLOOKUP('Informe Kelly'!A4035,Base!A:G,7,FALSE)</f>
        <v>#N/A</v>
      </c>
      <c r="C4041" s="112">
        <f>'Informe Kelly'!E4035</f>
        <v>0</v>
      </c>
      <c r="D4041" s="112" t="e">
        <f>VLOOKUP(A4041,Ingreso!K:P,6,FALSE)</f>
        <v>#N/A</v>
      </c>
      <c r="E4041" s="142" t="e">
        <f>(VLOOKUP(D4041,$D$2:$E$4,2,FALSE))-(IF('Informe Kelly'!H4035=$A$2,'Informe Kelly'!F4035,VLOOKUP(D4041,$D$2:$E$4,2,FALSE)))</f>
        <v>#N/A</v>
      </c>
      <c r="F4041" s="142" t="e">
        <f>IF('Informe Kelly'!H4035=$A$3,'Informe Kelly'!F4035,VLOOKUP(D4041,$D$2:$F$4,3,FALSE))-(VLOOKUP(D4041,$D$2:$F$4,3,FALSE))</f>
        <v>#N/A</v>
      </c>
      <c r="G4041" s="137" t="e">
        <f t="shared" ref="G4041:G4066" si="67">IF(E4041="",IF(F4041&lt;0.0409722222222222,0,E4041),IF(E4041&lt;0.0409722222222222,0,E4041))</f>
        <v>#N/A</v>
      </c>
    </row>
    <row r="4042" spans="1:7">
      <c r="A4042" s="112" t="e">
        <f>VLOOKUP('Informe Kelly'!A4036,Base!A:B,2,FALSE)</f>
        <v>#N/A</v>
      </c>
      <c r="B4042" s="112" t="e">
        <f>VLOOKUP('Informe Kelly'!A4036,Base!A:G,7,FALSE)</f>
        <v>#N/A</v>
      </c>
      <c r="C4042" s="112">
        <f>'Informe Kelly'!E4036</f>
        <v>0</v>
      </c>
      <c r="D4042" s="112" t="e">
        <f>VLOOKUP(A4042,Ingreso!K:P,6,FALSE)</f>
        <v>#N/A</v>
      </c>
      <c r="E4042" s="142" t="e">
        <f>(VLOOKUP(D4042,$D$2:$E$4,2,FALSE))-(IF('Informe Kelly'!H4036=$A$2,'Informe Kelly'!F4036,VLOOKUP(D4042,$D$2:$E$4,2,FALSE)))</f>
        <v>#N/A</v>
      </c>
      <c r="F4042" s="142" t="e">
        <f>IF('Informe Kelly'!H4036=$A$3,'Informe Kelly'!F4036,VLOOKUP(D4042,$D$2:$F$4,3,FALSE))-(VLOOKUP(D4042,$D$2:$F$4,3,FALSE))</f>
        <v>#N/A</v>
      </c>
      <c r="G4042" s="137" t="e">
        <f t="shared" si="67"/>
        <v>#N/A</v>
      </c>
    </row>
    <row r="4043" spans="1:7">
      <c r="A4043" s="112" t="e">
        <f>VLOOKUP('Informe Kelly'!A4037,Base!A:B,2,FALSE)</f>
        <v>#N/A</v>
      </c>
      <c r="B4043" s="112" t="e">
        <f>VLOOKUP('Informe Kelly'!A4037,Base!A:G,7,FALSE)</f>
        <v>#N/A</v>
      </c>
      <c r="C4043" s="112">
        <f>'Informe Kelly'!E4037</f>
        <v>0</v>
      </c>
      <c r="D4043" s="112" t="e">
        <f>VLOOKUP(A4043,Ingreso!K:P,6,FALSE)</f>
        <v>#N/A</v>
      </c>
      <c r="E4043" s="142" t="e">
        <f>(VLOOKUP(D4043,$D$2:$E$4,2,FALSE))-(IF('Informe Kelly'!H4037=$A$2,'Informe Kelly'!F4037,VLOOKUP(D4043,$D$2:$E$4,2,FALSE)))</f>
        <v>#N/A</v>
      </c>
      <c r="F4043" s="142" t="e">
        <f>IF('Informe Kelly'!H4037=$A$3,'Informe Kelly'!F4037,VLOOKUP(D4043,$D$2:$F$4,3,FALSE))-(VLOOKUP(D4043,$D$2:$F$4,3,FALSE))</f>
        <v>#N/A</v>
      </c>
      <c r="G4043" s="137" t="e">
        <f t="shared" si="67"/>
        <v>#N/A</v>
      </c>
    </row>
    <row r="4044" spans="1:7">
      <c r="A4044" s="112" t="e">
        <f>VLOOKUP('Informe Kelly'!A4038,Base!A:B,2,FALSE)</f>
        <v>#N/A</v>
      </c>
      <c r="B4044" s="112" t="e">
        <f>VLOOKUP('Informe Kelly'!A4038,Base!A:G,7,FALSE)</f>
        <v>#N/A</v>
      </c>
      <c r="C4044" s="112">
        <f>'Informe Kelly'!E4038</f>
        <v>0</v>
      </c>
      <c r="D4044" s="112" t="e">
        <f>VLOOKUP(A4044,Ingreso!K:P,6,FALSE)</f>
        <v>#N/A</v>
      </c>
      <c r="E4044" s="142" t="e">
        <f>(VLOOKUP(D4044,$D$2:$E$4,2,FALSE))-(IF('Informe Kelly'!H4038=$A$2,'Informe Kelly'!F4038,VLOOKUP(D4044,$D$2:$E$4,2,FALSE)))</f>
        <v>#N/A</v>
      </c>
      <c r="F4044" s="142" t="e">
        <f>IF('Informe Kelly'!H4038=$A$3,'Informe Kelly'!F4038,VLOOKUP(D4044,$D$2:$F$4,3,FALSE))-(VLOOKUP(D4044,$D$2:$F$4,3,FALSE))</f>
        <v>#N/A</v>
      </c>
      <c r="G4044" s="137" t="e">
        <f t="shared" si="67"/>
        <v>#N/A</v>
      </c>
    </row>
    <row r="4045" spans="1:7">
      <c r="A4045" s="112" t="e">
        <f>VLOOKUP('Informe Kelly'!A4039,Base!A:B,2,FALSE)</f>
        <v>#N/A</v>
      </c>
      <c r="B4045" s="112" t="e">
        <f>VLOOKUP('Informe Kelly'!A4039,Base!A:G,7,FALSE)</f>
        <v>#N/A</v>
      </c>
      <c r="C4045" s="112">
        <f>'Informe Kelly'!E4039</f>
        <v>0</v>
      </c>
      <c r="D4045" s="112" t="e">
        <f>VLOOKUP(A4045,Ingreso!K:P,6,FALSE)</f>
        <v>#N/A</v>
      </c>
      <c r="E4045" s="142" t="e">
        <f>(VLOOKUP(D4045,$D$2:$E$4,2,FALSE))-(IF('Informe Kelly'!H4039=$A$2,'Informe Kelly'!F4039,VLOOKUP(D4045,$D$2:$E$4,2,FALSE)))</f>
        <v>#N/A</v>
      </c>
      <c r="F4045" s="142" t="e">
        <f>IF('Informe Kelly'!H4039=$A$3,'Informe Kelly'!F4039,VLOOKUP(D4045,$D$2:$F$4,3,FALSE))-(VLOOKUP(D4045,$D$2:$F$4,3,FALSE))</f>
        <v>#N/A</v>
      </c>
      <c r="G4045" s="137" t="e">
        <f t="shared" si="67"/>
        <v>#N/A</v>
      </c>
    </row>
    <row r="4046" spans="1:7">
      <c r="A4046" s="112" t="e">
        <f>VLOOKUP('Informe Kelly'!A4040,Base!A:B,2,FALSE)</f>
        <v>#N/A</v>
      </c>
      <c r="B4046" s="112" t="e">
        <f>VLOOKUP('Informe Kelly'!A4040,Base!A:G,7,FALSE)</f>
        <v>#N/A</v>
      </c>
      <c r="C4046" s="112">
        <f>'Informe Kelly'!E4040</f>
        <v>0</v>
      </c>
      <c r="D4046" s="112" t="e">
        <f>VLOOKUP(A4046,Ingreso!K:P,6,FALSE)</f>
        <v>#N/A</v>
      </c>
      <c r="E4046" s="142" t="e">
        <f>(VLOOKUP(D4046,$D$2:$E$4,2,FALSE))-(IF('Informe Kelly'!H4040=$A$2,'Informe Kelly'!F4040,VLOOKUP(D4046,$D$2:$E$4,2,FALSE)))</f>
        <v>#N/A</v>
      </c>
      <c r="F4046" s="142" t="e">
        <f>IF('Informe Kelly'!H4040=$A$3,'Informe Kelly'!F4040,VLOOKUP(D4046,$D$2:$F$4,3,FALSE))-(VLOOKUP(D4046,$D$2:$F$4,3,FALSE))</f>
        <v>#N/A</v>
      </c>
      <c r="G4046" s="137" t="e">
        <f t="shared" si="67"/>
        <v>#N/A</v>
      </c>
    </row>
    <row r="4047" spans="1:7">
      <c r="A4047" s="112" t="e">
        <f>VLOOKUP('Informe Kelly'!A4041,Base!A:B,2,FALSE)</f>
        <v>#N/A</v>
      </c>
      <c r="B4047" s="112" t="e">
        <f>VLOOKUP('Informe Kelly'!A4041,Base!A:G,7,FALSE)</f>
        <v>#N/A</v>
      </c>
      <c r="C4047" s="112">
        <f>'Informe Kelly'!E4041</f>
        <v>0</v>
      </c>
      <c r="D4047" s="112" t="e">
        <f>VLOOKUP(A4047,Ingreso!K:P,6,FALSE)</f>
        <v>#N/A</v>
      </c>
      <c r="E4047" s="142" t="e">
        <f>(VLOOKUP(D4047,$D$2:$E$4,2,FALSE))-(IF('Informe Kelly'!H4041=$A$2,'Informe Kelly'!F4041,VLOOKUP(D4047,$D$2:$E$4,2,FALSE)))</f>
        <v>#N/A</v>
      </c>
      <c r="F4047" s="142" t="e">
        <f>IF('Informe Kelly'!H4041=$A$3,'Informe Kelly'!F4041,VLOOKUP(D4047,$D$2:$F$4,3,FALSE))-(VLOOKUP(D4047,$D$2:$F$4,3,FALSE))</f>
        <v>#N/A</v>
      </c>
      <c r="G4047" s="137" t="e">
        <f t="shared" si="67"/>
        <v>#N/A</v>
      </c>
    </row>
    <row r="4048" spans="1:7">
      <c r="A4048" s="112" t="e">
        <f>VLOOKUP('Informe Kelly'!A4042,Base!A:B,2,FALSE)</f>
        <v>#N/A</v>
      </c>
      <c r="B4048" s="112" t="e">
        <f>VLOOKUP('Informe Kelly'!A4042,Base!A:G,7,FALSE)</f>
        <v>#N/A</v>
      </c>
      <c r="C4048" s="112">
        <f>'Informe Kelly'!E4042</f>
        <v>0</v>
      </c>
      <c r="D4048" s="112" t="e">
        <f>VLOOKUP(A4048,Ingreso!K:P,6,FALSE)</f>
        <v>#N/A</v>
      </c>
      <c r="E4048" s="142" t="e">
        <f>(VLOOKUP(D4048,$D$2:$E$4,2,FALSE))-(IF('Informe Kelly'!H4042=$A$2,'Informe Kelly'!F4042,VLOOKUP(D4048,$D$2:$E$4,2,FALSE)))</f>
        <v>#N/A</v>
      </c>
      <c r="F4048" s="142" t="e">
        <f>IF('Informe Kelly'!H4042=$A$3,'Informe Kelly'!F4042,VLOOKUP(D4048,$D$2:$F$4,3,FALSE))-(VLOOKUP(D4048,$D$2:$F$4,3,FALSE))</f>
        <v>#N/A</v>
      </c>
      <c r="G4048" s="137" t="e">
        <f t="shared" si="67"/>
        <v>#N/A</v>
      </c>
    </row>
    <row r="4049" spans="1:7">
      <c r="A4049" s="112" t="e">
        <f>VLOOKUP('Informe Kelly'!A4043,Base!A:B,2,FALSE)</f>
        <v>#N/A</v>
      </c>
      <c r="B4049" s="112" t="e">
        <f>VLOOKUP('Informe Kelly'!A4043,Base!A:G,7,FALSE)</f>
        <v>#N/A</v>
      </c>
      <c r="C4049" s="112">
        <f>'Informe Kelly'!E4043</f>
        <v>0</v>
      </c>
      <c r="D4049" s="112" t="e">
        <f>VLOOKUP(A4049,Ingreso!K:P,6,FALSE)</f>
        <v>#N/A</v>
      </c>
      <c r="E4049" s="142" t="e">
        <f>(VLOOKUP(D4049,$D$2:$E$4,2,FALSE))-(IF('Informe Kelly'!H4043=$A$2,'Informe Kelly'!F4043,VLOOKUP(D4049,$D$2:$E$4,2,FALSE)))</f>
        <v>#N/A</v>
      </c>
      <c r="F4049" s="142" t="e">
        <f>IF('Informe Kelly'!H4043=$A$3,'Informe Kelly'!F4043,VLOOKUP(D4049,$D$2:$F$4,3,FALSE))-(VLOOKUP(D4049,$D$2:$F$4,3,FALSE))</f>
        <v>#N/A</v>
      </c>
      <c r="G4049" s="137" t="e">
        <f t="shared" si="67"/>
        <v>#N/A</v>
      </c>
    </row>
    <row r="4050" spans="1:7">
      <c r="A4050" s="112" t="e">
        <f>VLOOKUP('Informe Kelly'!A4044,Base!A:B,2,FALSE)</f>
        <v>#N/A</v>
      </c>
      <c r="B4050" s="112" t="e">
        <f>VLOOKUP('Informe Kelly'!A4044,Base!A:G,7,FALSE)</f>
        <v>#N/A</v>
      </c>
      <c r="C4050" s="112">
        <f>'Informe Kelly'!E4044</f>
        <v>0</v>
      </c>
      <c r="D4050" s="112" t="e">
        <f>VLOOKUP(A4050,Ingreso!K:P,6,FALSE)</f>
        <v>#N/A</v>
      </c>
      <c r="E4050" s="142" t="e">
        <f>(VLOOKUP(D4050,$D$2:$E$4,2,FALSE))-(IF('Informe Kelly'!H4044=$A$2,'Informe Kelly'!F4044,VLOOKUP(D4050,$D$2:$E$4,2,FALSE)))</f>
        <v>#N/A</v>
      </c>
      <c r="F4050" s="142" t="e">
        <f>IF('Informe Kelly'!H4044=$A$3,'Informe Kelly'!F4044,VLOOKUP(D4050,$D$2:$F$4,3,FALSE))-(VLOOKUP(D4050,$D$2:$F$4,3,FALSE))</f>
        <v>#N/A</v>
      </c>
      <c r="G4050" s="137" t="e">
        <f t="shared" si="67"/>
        <v>#N/A</v>
      </c>
    </row>
    <row r="4051" spans="1:7">
      <c r="A4051" s="112" t="e">
        <f>VLOOKUP('Informe Kelly'!A4045,Base!A:B,2,FALSE)</f>
        <v>#N/A</v>
      </c>
      <c r="B4051" s="112" t="e">
        <f>VLOOKUP('Informe Kelly'!A4045,Base!A:G,7,FALSE)</f>
        <v>#N/A</v>
      </c>
      <c r="C4051" s="112">
        <f>'Informe Kelly'!E4045</f>
        <v>0</v>
      </c>
      <c r="D4051" s="112" t="e">
        <f>VLOOKUP(A4051,Ingreso!K:P,6,FALSE)</f>
        <v>#N/A</v>
      </c>
      <c r="E4051" s="142" t="e">
        <f>(VLOOKUP(D4051,$D$2:$E$4,2,FALSE))-(IF('Informe Kelly'!H4045=$A$2,'Informe Kelly'!F4045,VLOOKUP(D4051,$D$2:$E$4,2,FALSE)))</f>
        <v>#N/A</v>
      </c>
      <c r="F4051" s="142" t="e">
        <f>IF('Informe Kelly'!H4045=$A$3,'Informe Kelly'!F4045,VLOOKUP(D4051,$D$2:$F$4,3,FALSE))-(VLOOKUP(D4051,$D$2:$F$4,3,FALSE))</f>
        <v>#N/A</v>
      </c>
      <c r="G4051" s="137" t="e">
        <f t="shared" si="67"/>
        <v>#N/A</v>
      </c>
    </row>
    <row r="4052" spans="1:7">
      <c r="A4052" s="112" t="e">
        <f>VLOOKUP('Informe Kelly'!A4046,Base!A:B,2,FALSE)</f>
        <v>#N/A</v>
      </c>
      <c r="B4052" s="112" t="e">
        <f>VLOOKUP('Informe Kelly'!A4046,Base!A:G,7,FALSE)</f>
        <v>#N/A</v>
      </c>
      <c r="C4052" s="112">
        <f>'Informe Kelly'!E4046</f>
        <v>0</v>
      </c>
      <c r="D4052" s="112" t="e">
        <f>VLOOKUP(A4052,Ingreso!K:P,6,FALSE)</f>
        <v>#N/A</v>
      </c>
      <c r="E4052" s="142" t="e">
        <f>(VLOOKUP(D4052,$D$2:$E$4,2,FALSE))-(IF('Informe Kelly'!H4046=$A$2,'Informe Kelly'!F4046,VLOOKUP(D4052,$D$2:$E$4,2,FALSE)))</f>
        <v>#N/A</v>
      </c>
      <c r="F4052" s="142" t="e">
        <f>IF('Informe Kelly'!H4046=$A$3,'Informe Kelly'!F4046,VLOOKUP(D4052,$D$2:$F$4,3,FALSE))-(VLOOKUP(D4052,$D$2:$F$4,3,FALSE))</f>
        <v>#N/A</v>
      </c>
      <c r="G4052" s="137" t="e">
        <f t="shared" si="67"/>
        <v>#N/A</v>
      </c>
    </row>
    <row r="4053" spans="1:7">
      <c r="A4053" s="112" t="e">
        <f>VLOOKUP('Informe Kelly'!A4047,Base!A:B,2,FALSE)</f>
        <v>#N/A</v>
      </c>
      <c r="B4053" s="112" t="e">
        <f>VLOOKUP('Informe Kelly'!A4047,Base!A:G,7,FALSE)</f>
        <v>#N/A</v>
      </c>
      <c r="C4053" s="112">
        <f>'Informe Kelly'!E4047</f>
        <v>0</v>
      </c>
      <c r="D4053" s="112" t="e">
        <f>VLOOKUP(A4053,Ingreso!K:P,6,FALSE)</f>
        <v>#N/A</v>
      </c>
      <c r="E4053" s="142" t="e">
        <f>(VLOOKUP(D4053,$D$2:$E$4,2,FALSE))-(IF('Informe Kelly'!H4047=$A$2,'Informe Kelly'!F4047,VLOOKUP(D4053,$D$2:$E$4,2,FALSE)))</f>
        <v>#N/A</v>
      </c>
      <c r="F4053" s="142" t="e">
        <f>IF('Informe Kelly'!H4047=$A$3,'Informe Kelly'!F4047,VLOOKUP(D4053,$D$2:$F$4,3,FALSE))-(VLOOKUP(D4053,$D$2:$F$4,3,FALSE))</f>
        <v>#N/A</v>
      </c>
      <c r="G4053" s="137" t="e">
        <f t="shared" si="67"/>
        <v>#N/A</v>
      </c>
    </row>
    <row r="4054" spans="1:7">
      <c r="A4054" s="112" t="e">
        <f>VLOOKUP('Informe Kelly'!A4048,Base!A:B,2,FALSE)</f>
        <v>#N/A</v>
      </c>
      <c r="B4054" s="112" t="e">
        <f>VLOOKUP('Informe Kelly'!A4048,Base!A:G,7,FALSE)</f>
        <v>#N/A</v>
      </c>
      <c r="C4054" s="112">
        <f>'Informe Kelly'!E4048</f>
        <v>0</v>
      </c>
      <c r="D4054" s="112" t="e">
        <f>VLOOKUP(A4054,Ingreso!K:P,6,FALSE)</f>
        <v>#N/A</v>
      </c>
      <c r="E4054" s="142" t="e">
        <f>(VLOOKUP(D4054,$D$2:$E$4,2,FALSE))-(IF('Informe Kelly'!H4048=$A$2,'Informe Kelly'!F4048,VLOOKUP(D4054,$D$2:$E$4,2,FALSE)))</f>
        <v>#N/A</v>
      </c>
      <c r="F4054" s="142" t="e">
        <f>IF('Informe Kelly'!H4048=$A$3,'Informe Kelly'!F4048,VLOOKUP(D4054,$D$2:$F$4,3,FALSE))-(VLOOKUP(D4054,$D$2:$F$4,3,FALSE))</f>
        <v>#N/A</v>
      </c>
      <c r="G4054" s="137" t="e">
        <f t="shared" si="67"/>
        <v>#N/A</v>
      </c>
    </row>
    <row r="4055" spans="1:7">
      <c r="A4055" s="112" t="e">
        <f>VLOOKUP('Informe Kelly'!A4049,Base!A:B,2,FALSE)</f>
        <v>#N/A</v>
      </c>
      <c r="B4055" s="112" t="e">
        <f>VLOOKUP('Informe Kelly'!A4049,Base!A:G,7,FALSE)</f>
        <v>#N/A</v>
      </c>
      <c r="C4055" s="112">
        <f>'Informe Kelly'!E4049</f>
        <v>0</v>
      </c>
      <c r="D4055" s="112" t="e">
        <f>VLOOKUP(A4055,Ingreso!K:P,6,FALSE)</f>
        <v>#N/A</v>
      </c>
      <c r="E4055" s="142" t="e">
        <f>(VLOOKUP(D4055,$D$2:$E$4,2,FALSE))-(IF('Informe Kelly'!H4049=$A$2,'Informe Kelly'!F4049,VLOOKUP(D4055,$D$2:$E$4,2,FALSE)))</f>
        <v>#N/A</v>
      </c>
      <c r="F4055" s="142" t="e">
        <f>IF('Informe Kelly'!H4049=$A$3,'Informe Kelly'!F4049,VLOOKUP(D4055,$D$2:$F$4,3,FALSE))-(VLOOKUP(D4055,$D$2:$F$4,3,FALSE))</f>
        <v>#N/A</v>
      </c>
      <c r="G4055" s="137" t="e">
        <f t="shared" si="67"/>
        <v>#N/A</v>
      </c>
    </row>
    <row r="4056" spans="1:7">
      <c r="A4056" s="112" t="e">
        <f>VLOOKUP('Informe Kelly'!A4050,Base!A:B,2,FALSE)</f>
        <v>#N/A</v>
      </c>
      <c r="B4056" s="112" t="e">
        <f>VLOOKUP('Informe Kelly'!A4050,Base!A:G,7,FALSE)</f>
        <v>#N/A</v>
      </c>
      <c r="C4056" s="112">
        <f>'Informe Kelly'!E4050</f>
        <v>0</v>
      </c>
      <c r="D4056" s="112" t="e">
        <f>VLOOKUP(A4056,Ingreso!K:P,6,FALSE)</f>
        <v>#N/A</v>
      </c>
      <c r="E4056" s="142" t="e">
        <f>(VLOOKUP(D4056,$D$2:$E$4,2,FALSE))-(IF('Informe Kelly'!H4050=$A$2,'Informe Kelly'!F4050,VLOOKUP(D4056,$D$2:$E$4,2,FALSE)))</f>
        <v>#N/A</v>
      </c>
      <c r="F4056" s="142" t="e">
        <f>IF('Informe Kelly'!H4050=$A$3,'Informe Kelly'!F4050,VLOOKUP(D4056,$D$2:$F$4,3,FALSE))-(VLOOKUP(D4056,$D$2:$F$4,3,FALSE))</f>
        <v>#N/A</v>
      </c>
      <c r="G4056" s="137" t="e">
        <f t="shared" si="67"/>
        <v>#N/A</v>
      </c>
    </row>
    <row r="4057" spans="1:7">
      <c r="A4057" s="112" t="e">
        <f>VLOOKUP('Informe Kelly'!A4051,Base!A:B,2,FALSE)</f>
        <v>#N/A</v>
      </c>
      <c r="B4057" s="112" t="e">
        <f>VLOOKUP('Informe Kelly'!A4051,Base!A:G,7,FALSE)</f>
        <v>#N/A</v>
      </c>
      <c r="C4057" s="112">
        <f>'Informe Kelly'!E4051</f>
        <v>0</v>
      </c>
      <c r="D4057" s="112" t="e">
        <f>VLOOKUP(A4057,Ingreso!K:P,6,FALSE)</f>
        <v>#N/A</v>
      </c>
      <c r="E4057" s="142" t="e">
        <f>(VLOOKUP(D4057,$D$2:$E$4,2,FALSE))-(IF('Informe Kelly'!H4051=$A$2,'Informe Kelly'!F4051,VLOOKUP(D4057,$D$2:$E$4,2,FALSE)))</f>
        <v>#N/A</v>
      </c>
      <c r="F4057" s="142" t="e">
        <f>IF('Informe Kelly'!H4051=$A$3,'Informe Kelly'!F4051,VLOOKUP(D4057,$D$2:$F$4,3,FALSE))-(VLOOKUP(D4057,$D$2:$F$4,3,FALSE))</f>
        <v>#N/A</v>
      </c>
      <c r="G4057" s="137" t="e">
        <f t="shared" si="67"/>
        <v>#N/A</v>
      </c>
    </row>
    <row r="4058" spans="1:7">
      <c r="A4058" s="112" t="e">
        <f>VLOOKUP('Informe Kelly'!A4052,Base!A:B,2,FALSE)</f>
        <v>#N/A</v>
      </c>
      <c r="B4058" s="112" t="e">
        <f>VLOOKUP('Informe Kelly'!A4052,Base!A:G,7,FALSE)</f>
        <v>#N/A</v>
      </c>
      <c r="C4058" s="112">
        <f>'Informe Kelly'!E4052</f>
        <v>0</v>
      </c>
      <c r="D4058" s="112" t="e">
        <f>VLOOKUP(A4058,Ingreso!K:P,6,FALSE)</f>
        <v>#N/A</v>
      </c>
      <c r="E4058" s="142" t="e">
        <f>(VLOOKUP(D4058,$D$2:$E$4,2,FALSE))-(IF('Informe Kelly'!H4052=$A$2,'Informe Kelly'!F4052,VLOOKUP(D4058,$D$2:$E$4,2,FALSE)))</f>
        <v>#N/A</v>
      </c>
      <c r="F4058" s="142" t="e">
        <f>IF('Informe Kelly'!H4052=$A$3,'Informe Kelly'!F4052,VLOOKUP(D4058,$D$2:$F$4,3,FALSE))-(VLOOKUP(D4058,$D$2:$F$4,3,FALSE))</f>
        <v>#N/A</v>
      </c>
      <c r="G4058" s="137" t="e">
        <f t="shared" si="67"/>
        <v>#N/A</v>
      </c>
    </row>
    <row r="4059" spans="1:7">
      <c r="A4059" s="112" t="e">
        <f>VLOOKUP('Informe Kelly'!A4053,Base!A:B,2,FALSE)</f>
        <v>#N/A</v>
      </c>
      <c r="B4059" s="112" t="e">
        <f>VLOOKUP('Informe Kelly'!A4053,Base!A:G,7,FALSE)</f>
        <v>#N/A</v>
      </c>
      <c r="C4059" s="112">
        <f>'Informe Kelly'!E4053</f>
        <v>0</v>
      </c>
      <c r="D4059" s="112" t="e">
        <f>VLOOKUP(A4059,Ingreso!K:P,6,FALSE)</f>
        <v>#N/A</v>
      </c>
      <c r="E4059" s="142" t="e">
        <f>(VLOOKUP(D4059,$D$2:$E$4,2,FALSE))-(IF('Informe Kelly'!H4053=$A$2,'Informe Kelly'!F4053,VLOOKUP(D4059,$D$2:$E$4,2,FALSE)))</f>
        <v>#N/A</v>
      </c>
      <c r="F4059" s="142" t="e">
        <f>IF('Informe Kelly'!H4053=$A$3,'Informe Kelly'!F4053,VLOOKUP(D4059,$D$2:$F$4,3,FALSE))-(VLOOKUP(D4059,$D$2:$F$4,3,FALSE))</f>
        <v>#N/A</v>
      </c>
      <c r="G4059" s="137" t="e">
        <f t="shared" si="67"/>
        <v>#N/A</v>
      </c>
    </row>
    <row r="4060" spans="1:7">
      <c r="A4060" s="112" t="e">
        <f>VLOOKUP('Informe Kelly'!A4054,Base!A:B,2,FALSE)</f>
        <v>#N/A</v>
      </c>
      <c r="B4060" s="112" t="e">
        <f>VLOOKUP('Informe Kelly'!A4054,Base!A:G,7,FALSE)</f>
        <v>#N/A</v>
      </c>
      <c r="C4060" s="112">
        <f>'Informe Kelly'!E4054</f>
        <v>0</v>
      </c>
      <c r="D4060" s="112" t="e">
        <f>VLOOKUP(A4060,Ingreso!K:P,6,FALSE)</f>
        <v>#N/A</v>
      </c>
      <c r="E4060" s="142" t="e">
        <f>(VLOOKUP(D4060,$D$2:$E$4,2,FALSE))-(IF('Informe Kelly'!H4054=$A$2,'Informe Kelly'!F4054,VLOOKUP(D4060,$D$2:$E$4,2,FALSE)))</f>
        <v>#N/A</v>
      </c>
      <c r="F4060" s="142" t="e">
        <f>IF('Informe Kelly'!H4054=$A$3,'Informe Kelly'!F4054,VLOOKUP(D4060,$D$2:$F$4,3,FALSE))-(VLOOKUP(D4060,$D$2:$F$4,3,FALSE))</f>
        <v>#N/A</v>
      </c>
      <c r="G4060" s="137" t="e">
        <f t="shared" si="67"/>
        <v>#N/A</v>
      </c>
    </row>
    <row r="4061" spans="1:7">
      <c r="A4061" s="112" t="e">
        <f>VLOOKUP('Informe Kelly'!A4055,Base!A:B,2,FALSE)</f>
        <v>#N/A</v>
      </c>
      <c r="B4061" s="112" t="e">
        <f>VLOOKUP('Informe Kelly'!A4055,Base!A:G,7,FALSE)</f>
        <v>#N/A</v>
      </c>
      <c r="C4061" s="112">
        <f>'Informe Kelly'!E4055</f>
        <v>0</v>
      </c>
      <c r="D4061" s="112" t="e">
        <f>VLOOKUP(A4061,Ingreso!K:P,6,FALSE)</f>
        <v>#N/A</v>
      </c>
      <c r="E4061" s="142" t="e">
        <f>(VLOOKUP(D4061,$D$2:$E$4,2,FALSE))-(IF('Informe Kelly'!H4055=$A$2,'Informe Kelly'!F4055,VLOOKUP(D4061,$D$2:$E$4,2,FALSE)))</f>
        <v>#N/A</v>
      </c>
      <c r="F4061" s="142" t="e">
        <f>IF('Informe Kelly'!H4055=$A$3,'Informe Kelly'!F4055,VLOOKUP(D4061,$D$2:$F$4,3,FALSE))-(VLOOKUP(D4061,$D$2:$F$4,3,FALSE))</f>
        <v>#N/A</v>
      </c>
      <c r="G4061" s="137" t="e">
        <f t="shared" si="67"/>
        <v>#N/A</v>
      </c>
    </row>
    <row r="4062" spans="1:7">
      <c r="A4062" s="112" t="e">
        <f>VLOOKUP('Informe Kelly'!A4056,Base!A:B,2,FALSE)</f>
        <v>#N/A</v>
      </c>
      <c r="B4062" s="112" t="e">
        <f>VLOOKUP('Informe Kelly'!A4056,Base!A:G,7,FALSE)</f>
        <v>#N/A</v>
      </c>
      <c r="C4062" s="112">
        <f>'Informe Kelly'!E4056</f>
        <v>0</v>
      </c>
      <c r="D4062" s="112" t="e">
        <f>VLOOKUP(A4062,Ingreso!K:P,6,FALSE)</f>
        <v>#N/A</v>
      </c>
      <c r="E4062" s="142" t="e">
        <f>(VLOOKUP(D4062,$D$2:$E$4,2,FALSE))-(IF('Informe Kelly'!H4056=$A$2,'Informe Kelly'!F4056,VLOOKUP(D4062,$D$2:$E$4,2,FALSE)))</f>
        <v>#N/A</v>
      </c>
      <c r="F4062" s="142" t="e">
        <f>IF('Informe Kelly'!H4056=$A$3,'Informe Kelly'!F4056,VLOOKUP(D4062,$D$2:$F$4,3,FALSE))-(VLOOKUP(D4062,$D$2:$F$4,3,FALSE))</f>
        <v>#N/A</v>
      </c>
      <c r="G4062" s="137" t="e">
        <f t="shared" si="67"/>
        <v>#N/A</v>
      </c>
    </row>
    <row r="4063" spans="1:7">
      <c r="A4063" s="112" t="e">
        <f>VLOOKUP('Informe Kelly'!A4057,Base!A:B,2,FALSE)</f>
        <v>#N/A</v>
      </c>
      <c r="B4063" s="112" t="e">
        <f>VLOOKUP('Informe Kelly'!A4057,Base!A:G,7,FALSE)</f>
        <v>#N/A</v>
      </c>
      <c r="C4063" s="112">
        <f>'Informe Kelly'!E4057</f>
        <v>0</v>
      </c>
      <c r="D4063" s="112" t="e">
        <f>VLOOKUP(A4063,Ingreso!K:P,6,FALSE)</f>
        <v>#N/A</v>
      </c>
      <c r="E4063" s="142" t="e">
        <f>(VLOOKUP(D4063,$D$2:$E$4,2,FALSE))-(IF('Informe Kelly'!H4057=$A$2,'Informe Kelly'!F4057,VLOOKUP(D4063,$D$2:$E$4,2,FALSE)))</f>
        <v>#N/A</v>
      </c>
      <c r="F4063" s="142" t="e">
        <f>IF('Informe Kelly'!H4057=$A$3,'Informe Kelly'!F4057,VLOOKUP(D4063,$D$2:$F$4,3,FALSE))-(VLOOKUP(D4063,$D$2:$F$4,3,FALSE))</f>
        <v>#N/A</v>
      </c>
      <c r="G4063" s="137" t="e">
        <f t="shared" si="67"/>
        <v>#N/A</v>
      </c>
    </row>
    <row r="4064" spans="1:7">
      <c r="A4064" s="112" t="e">
        <f>VLOOKUP('Informe Kelly'!A4058,Base!A:B,2,FALSE)</f>
        <v>#N/A</v>
      </c>
      <c r="B4064" s="112" t="e">
        <f>VLOOKUP('Informe Kelly'!A4058,Base!A:G,7,FALSE)</f>
        <v>#N/A</v>
      </c>
      <c r="C4064" s="112">
        <f>'Informe Kelly'!E4058</f>
        <v>0</v>
      </c>
      <c r="D4064" s="112" t="e">
        <f>VLOOKUP(A4064,Ingreso!K:P,6,FALSE)</f>
        <v>#N/A</v>
      </c>
      <c r="E4064" s="142" t="e">
        <f>(VLOOKUP(D4064,$D$2:$E$4,2,FALSE))-(IF('Informe Kelly'!H4058=$A$2,'Informe Kelly'!F4058,VLOOKUP(D4064,$D$2:$E$4,2,FALSE)))</f>
        <v>#N/A</v>
      </c>
      <c r="F4064" s="142" t="e">
        <f>IF('Informe Kelly'!H4058=$A$3,'Informe Kelly'!F4058,VLOOKUP(D4064,$D$2:$F$4,3,FALSE))-(VLOOKUP(D4064,$D$2:$F$4,3,FALSE))</f>
        <v>#N/A</v>
      </c>
      <c r="G4064" s="137" t="e">
        <f t="shared" si="67"/>
        <v>#N/A</v>
      </c>
    </row>
    <row r="4065" spans="1:7">
      <c r="A4065" s="112" t="e">
        <f>VLOOKUP('Informe Kelly'!A4059,Base!A:B,2,FALSE)</f>
        <v>#N/A</v>
      </c>
      <c r="B4065" s="112" t="e">
        <f>VLOOKUP('Informe Kelly'!A4059,Base!A:G,7,FALSE)</f>
        <v>#N/A</v>
      </c>
      <c r="C4065" s="112">
        <f>'Informe Kelly'!E4059</f>
        <v>0</v>
      </c>
      <c r="D4065" s="112" t="e">
        <f>VLOOKUP(A4065,Ingreso!K:P,6,FALSE)</f>
        <v>#N/A</v>
      </c>
      <c r="E4065" s="142" t="e">
        <f>(VLOOKUP(D4065,$D$2:$E$4,2,FALSE))-(IF('Informe Kelly'!H4059=$A$2,'Informe Kelly'!F4059,VLOOKUP(D4065,$D$2:$E$4,2,FALSE)))</f>
        <v>#N/A</v>
      </c>
      <c r="F4065" s="142" t="e">
        <f>IF('Informe Kelly'!H4059=$A$3,'Informe Kelly'!F4059,VLOOKUP(D4065,$D$2:$F$4,3,FALSE))-(VLOOKUP(D4065,$D$2:$F$4,3,FALSE))</f>
        <v>#N/A</v>
      </c>
      <c r="G4065" s="137" t="e">
        <f t="shared" si="67"/>
        <v>#N/A</v>
      </c>
    </row>
    <row r="4066" spans="1:7">
      <c r="A4066" s="112" t="e">
        <f>VLOOKUP('Informe Kelly'!A4060,Base!A:B,2,FALSE)</f>
        <v>#N/A</v>
      </c>
      <c r="B4066" s="112" t="e">
        <f>VLOOKUP('Informe Kelly'!A4060,Base!A:G,7,FALSE)</f>
        <v>#N/A</v>
      </c>
      <c r="C4066" s="112">
        <f>'Informe Kelly'!E4060</f>
        <v>0</v>
      </c>
      <c r="D4066" s="112" t="e">
        <f>VLOOKUP(A4066,Ingreso!K:P,6,FALSE)</f>
        <v>#N/A</v>
      </c>
      <c r="E4066" s="142" t="e">
        <f>(VLOOKUP(D4066,$D$2:$E$4,2,FALSE))-(IF('Informe Kelly'!H4060=$A$2,'Informe Kelly'!F4060,VLOOKUP(D4066,$D$2:$E$4,2,FALSE)))</f>
        <v>#N/A</v>
      </c>
      <c r="F4066" s="142" t="e">
        <f>IF('Informe Kelly'!H4060=$A$3,'Informe Kelly'!F4060,VLOOKUP(D4066,$D$2:$F$4,3,FALSE))-(VLOOKUP(D4066,$D$2:$F$4,3,FALSE))</f>
        <v>#N/A</v>
      </c>
      <c r="G4066" s="137" t="e">
        <f t="shared" si="67"/>
        <v>#N/A</v>
      </c>
    </row>
  </sheetData>
  <conditionalFormatting sqref="E8:F4066">
    <cfRule type="cellIs" dxfId="3" priority="4" operator="equal">
      <formula>0</formula>
    </cfRule>
  </conditionalFormatting>
  <conditionalFormatting sqref="M1:M1048576">
    <cfRule type="cellIs" dxfId="2" priority="3" operator="equal">
      <formula>"Revisar"</formula>
    </cfRule>
  </conditionalFormatting>
  <conditionalFormatting sqref="E8:F4066">
    <cfRule type="cellIs" dxfId="1" priority="2" operator="equal">
      <formula>0</formula>
    </cfRule>
  </conditionalFormatting>
  <conditionalFormatting sqref="E8:F406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horizontalDpi="200" verticalDpi="20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CO11</vt:lpstr>
      <vt:lpstr>Kpi</vt:lpstr>
      <vt:lpstr>Base</vt:lpstr>
      <vt:lpstr>Ingreso</vt:lpstr>
      <vt:lpstr>Informe Kelly</vt:lpstr>
      <vt:lpstr>Control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gledesma</cp:lastModifiedBy>
  <cp:lastPrinted>2009-05-06T13:00:05Z</cp:lastPrinted>
  <dcterms:created xsi:type="dcterms:W3CDTF">2002-02-26T04:08:33Z</dcterms:created>
  <dcterms:modified xsi:type="dcterms:W3CDTF">2011-04-21T10:59:14Z</dcterms:modified>
</cp:coreProperties>
</file>